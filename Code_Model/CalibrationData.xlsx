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265\Box\Research\Papers, submitted\OilDiscoveries\OilDiscoveries_2026_0_JPEMacro_R&amp;R\DraftAndCode\Code_Model\"/>
    </mc:Choice>
  </mc:AlternateContent>
  <xr:revisionPtr revIDLastSave="0" documentId="13_ncr:1_{46D7E354-6AEE-4A93-B2C7-5A69A040B980}" xr6:coauthVersionLast="47" xr6:coauthVersionMax="47" xr10:uidLastSave="{00000000-0000-0000-0000-000000000000}"/>
  <bookViews>
    <workbookView xWindow="-108" yWindow="-108" windowWidth="23256" windowHeight="13896" tabRatio="640" xr2:uid="{00000000-000D-0000-FFFF-FFFF00000000}"/>
  </bookViews>
  <sheets>
    <sheet name="GDP per capita long" sheetId="4" r:id="rId1"/>
    <sheet name="M1" sheetId="5" r:id="rId2"/>
    <sheet name="GDP quarterly" sheetId="6" r:id="rId3"/>
    <sheet name="Proxy for working capital" sheetId="8" r:id="rId4"/>
    <sheet name="EMBI spreads" sheetId="9" r:id="rId5"/>
    <sheet name="DefaultDummys, ReinhartRogoff" sheetId="14" r:id="rId6"/>
    <sheet name="Default episodes" sheetId="13" r:id="rId7"/>
    <sheet name="Public debt" sheetId="15" r:id="rId8"/>
    <sheet name="Consumption" sheetId="16" r:id="rId9"/>
    <sheet name="Trade balance" sheetId="17" r:id="rId10"/>
    <sheet name="Calibration summary" sheetId="11" r:id="rId11"/>
    <sheet name="GDP long" sheetId="12" r:id="rId12"/>
    <sheet name="Mexico Discoveries" sheetId="19" r:id="rId13"/>
    <sheet name="Data MAFHOLA" sheetId="20" r:id="rId14"/>
    <sheet name="Discoveries" sheetId="18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4" l="1"/>
  <c r="J40" i="12"/>
  <c r="J39" i="12"/>
  <c r="K10" i="4"/>
  <c r="K12" i="12"/>
  <c r="I9" i="12"/>
  <c r="W5" i="19" l="1"/>
  <c r="W6" i="19"/>
  <c r="W7" i="19"/>
  <c r="W8" i="19"/>
  <c r="W9" i="19"/>
  <c r="W10" i="19"/>
  <c r="W11" i="19"/>
  <c r="W12" i="19"/>
  <c r="W13" i="19"/>
  <c r="W14" i="19"/>
  <c r="W15" i="19"/>
  <c r="W16" i="19"/>
  <c r="W17" i="19"/>
  <c r="W18" i="19"/>
  <c r="W19" i="19"/>
  <c r="W4" i="19"/>
  <c r="V7" i="19"/>
  <c r="V6" i="19"/>
  <c r="V5" i="19"/>
  <c r="V4" i="19"/>
  <c r="V8" i="19"/>
  <c r="V19" i="19"/>
  <c r="V18" i="19"/>
  <c r="V17" i="19"/>
  <c r="V16" i="19"/>
  <c r="V15" i="19"/>
  <c r="V14" i="19"/>
  <c r="V13" i="19"/>
  <c r="V12" i="19"/>
  <c r="V11" i="19"/>
  <c r="V10" i="19"/>
  <c r="V9" i="19"/>
  <c r="U19" i="19"/>
  <c r="U18" i="19"/>
  <c r="U17" i="19"/>
  <c r="U16" i="19"/>
  <c r="U15" i="19"/>
  <c r="U14" i="19"/>
  <c r="U13" i="19"/>
  <c r="U12" i="19"/>
  <c r="U11" i="19"/>
  <c r="U10" i="19"/>
  <c r="U9" i="19"/>
  <c r="U8" i="19"/>
  <c r="U7" i="19"/>
  <c r="U6" i="19"/>
  <c r="U5" i="19"/>
  <c r="U4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4" i="19"/>
  <c r="S19" i="19"/>
  <c r="S18" i="19"/>
  <c r="S17" i="19"/>
  <c r="S16" i="19"/>
  <c r="S15" i="19"/>
  <c r="S14" i="19"/>
  <c r="S13" i="19"/>
  <c r="S12" i="19"/>
  <c r="S11" i="19"/>
  <c r="S10" i="19"/>
  <c r="S9" i="19"/>
  <c r="S8" i="19"/>
  <c r="S7" i="19"/>
  <c r="S6" i="19"/>
  <c r="S5" i="19"/>
  <c r="S4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Q19" i="19"/>
  <c r="Q18" i="19"/>
  <c r="Q17" i="19"/>
  <c r="Q16" i="19"/>
  <c r="Q15" i="19"/>
  <c r="Q14" i="19"/>
  <c r="Q13" i="19"/>
  <c r="Q12" i="19"/>
  <c r="Q11" i="19"/>
  <c r="Q10" i="19"/>
  <c r="Q9" i="19"/>
  <c r="Q8" i="19"/>
  <c r="Q7" i="19"/>
  <c r="Q6" i="19"/>
  <c r="Q5" i="19"/>
  <c r="Q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4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K4" i="19"/>
  <c r="M16" i="19"/>
  <c r="M13" i="19"/>
  <c r="M12" i="19"/>
  <c r="M8" i="19"/>
  <c r="M5" i="19"/>
  <c r="M4" i="19"/>
  <c r="H4" i="19"/>
  <c r="I4" i="19"/>
  <c r="N4" i="19" s="1"/>
  <c r="H5" i="19"/>
  <c r="I5" i="19"/>
  <c r="N5" i="19" s="1"/>
  <c r="H6" i="19"/>
  <c r="M6" i="19" s="1"/>
  <c r="I6" i="19"/>
  <c r="N6" i="19" s="1"/>
  <c r="H7" i="19"/>
  <c r="M7" i="19" s="1"/>
  <c r="I7" i="19"/>
  <c r="N7" i="19" s="1"/>
  <c r="H8" i="19"/>
  <c r="I8" i="19"/>
  <c r="N8" i="19" s="1"/>
  <c r="H9" i="19"/>
  <c r="M9" i="19" s="1"/>
  <c r="I9" i="19"/>
  <c r="N9" i="19" s="1"/>
  <c r="H10" i="19"/>
  <c r="M10" i="19" s="1"/>
  <c r="I10" i="19"/>
  <c r="N10" i="19" s="1"/>
  <c r="H11" i="19"/>
  <c r="M11" i="19" s="1"/>
  <c r="I11" i="19"/>
  <c r="N11" i="19" s="1"/>
  <c r="H12" i="19"/>
  <c r="I12" i="19"/>
  <c r="N12" i="19" s="1"/>
  <c r="H13" i="19"/>
  <c r="I13" i="19"/>
  <c r="N13" i="19" s="1"/>
  <c r="H14" i="19"/>
  <c r="M14" i="19" s="1"/>
  <c r="I14" i="19"/>
  <c r="N14" i="19" s="1"/>
  <c r="H15" i="19"/>
  <c r="M15" i="19" s="1"/>
  <c r="I15" i="19"/>
  <c r="N15" i="19" s="1"/>
  <c r="H16" i="19"/>
  <c r="I16" i="19"/>
  <c r="N16" i="19" s="1"/>
  <c r="H17" i="19"/>
  <c r="M17" i="19" s="1"/>
  <c r="I17" i="19"/>
  <c r="N17" i="19" s="1"/>
  <c r="H18" i="19"/>
  <c r="M18" i="19" s="1"/>
  <c r="I18" i="19"/>
  <c r="N18" i="19" s="1"/>
  <c r="H19" i="19"/>
  <c r="M19" i="19" s="1"/>
  <c r="I19" i="19"/>
  <c r="N19" i="19" s="1"/>
  <c r="D4" i="19"/>
  <c r="C4" i="19"/>
  <c r="D9" i="19"/>
  <c r="D8" i="19"/>
  <c r="D7" i="19"/>
  <c r="D6" i="19"/>
  <c r="D5" i="19"/>
  <c r="C9" i="19"/>
  <c r="C8" i="19"/>
  <c r="C7" i="19"/>
  <c r="C6" i="19"/>
  <c r="C5" i="1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5" i="9"/>
  <c r="L6" i="9"/>
  <c r="M6" i="9"/>
  <c r="L7" i="9"/>
  <c r="M7" i="9"/>
  <c r="L8" i="9"/>
  <c r="M8" i="9"/>
  <c r="L9" i="9"/>
  <c r="M9" i="9"/>
  <c r="L10" i="9"/>
  <c r="M10" i="9"/>
  <c r="L11" i="9"/>
  <c r="M11" i="9"/>
  <c r="L12" i="9"/>
  <c r="M12" i="9"/>
  <c r="L13" i="9"/>
  <c r="M13" i="9"/>
  <c r="L14" i="9"/>
  <c r="M14" i="9"/>
  <c r="L15" i="9"/>
  <c r="M15" i="9"/>
  <c r="L16" i="9"/>
  <c r="M16" i="9"/>
  <c r="L17" i="9"/>
  <c r="M17" i="9"/>
  <c r="L18" i="9"/>
  <c r="M18" i="9"/>
  <c r="L19" i="9"/>
  <c r="M19" i="9"/>
  <c r="L20" i="9"/>
  <c r="M20" i="9"/>
  <c r="L21" i="9"/>
  <c r="M21" i="9"/>
  <c r="L22" i="9"/>
  <c r="M22" i="9"/>
  <c r="L23" i="9"/>
  <c r="M23" i="9"/>
  <c r="L24" i="9"/>
  <c r="M24" i="9"/>
  <c r="L25" i="9"/>
  <c r="M25" i="9"/>
  <c r="L26" i="9"/>
  <c r="M26" i="9"/>
  <c r="L27" i="9"/>
  <c r="M27" i="9"/>
  <c r="L28" i="9"/>
  <c r="M28" i="9"/>
  <c r="L29" i="9"/>
  <c r="M29" i="9"/>
  <c r="L30" i="9"/>
  <c r="M30" i="9"/>
  <c r="L31" i="9"/>
  <c r="M31" i="9"/>
  <c r="L32" i="9"/>
  <c r="M32" i="9"/>
  <c r="L33" i="9"/>
  <c r="M33" i="9"/>
  <c r="L34" i="9"/>
  <c r="M34" i="9"/>
  <c r="L35" i="9"/>
  <c r="M35" i="9"/>
  <c r="L36" i="9"/>
  <c r="M36" i="9"/>
  <c r="L37" i="9"/>
  <c r="M37" i="9"/>
  <c r="L38" i="9"/>
  <c r="M38" i="9"/>
  <c r="L39" i="9"/>
  <c r="M39" i="9"/>
  <c r="L40" i="9"/>
  <c r="M40" i="9"/>
  <c r="L41" i="9"/>
  <c r="M41" i="9"/>
  <c r="L42" i="9"/>
  <c r="M42" i="9"/>
  <c r="L43" i="9"/>
  <c r="M43" i="9"/>
  <c r="L44" i="9"/>
  <c r="M44" i="9"/>
  <c r="L45" i="9"/>
  <c r="M45" i="9"/>
  <c r="L46" i="9"/>
  <c r="M46" i="9"/>
  <c r="L47" i="9"/>
  <c r="M47" i="9"/>
  <c r="L48" i="9"/>
  <c r="M48" i="9"/>
  <c r="L49" i="9"/>
  <c r="M49" i="9"/>
  <c r="L50" i="9"/>
  <c r="M50" i="9"/>
  <c r="L51" i="9"/>
  <c r="M51" i="9"/>
  <c r="L52" i="9"/>
  <c r="M52" i="9"/>
  <c r="L53" i="9"/>
  <c r="M53" i="9"/>
  <c r="L54" i="9"/>
  <c r="M54" i="9"/>
  <c r="L55" i="9"/>
  <c r="M55" i="9"/>
  <c r="L56" i="9"/>
  <c r="M56" i="9"/>
  <c r="L57" i="9"/>
  <c r="M57" i="9"/>
  <c r="L58" i="9"/>
  <c r="M58" i="9"/>
  <c r="L59" i="9"/>
  <c r="M59" i="9"/>
  <c r="L60" i="9"/>
  <c r="M60" i="9"/>
  <c r="L61" i="9"/>
  <c r="M61" i="9"/>
  <c r="L62" i="9"/>
  <c r="M62" i="9"/>
  <c r="L63" i="9"/>
  <c r="M63" i="9"/>
  <c r="L64" i="9"/>
  <c r="M64" i="9"/>
  <c r="L65" i="9"/>
  <c r="M65" i="9"/>
  <c r="L66" i="9"/>
  <c r="M66" i="9"/>
  <c r="L67" i="9"/>
  <c r="M67" i="9"/>
  <c r="L68" i="9"/>
  <c r="M68" i="9"/>
  <c r="L69" i="9"/>
  <c r="M69" i="9"/>
  <c r="L70" i="9"/>
  <c r="M70" i="9"/>
  <c r="L71" i="9"/>
  <c r="M71" i="9"/>
  <c r="L72" i="9"/>
  <c r="M72" i="9"/>
  <c r="L73" i="9"/>
  <c r="M73" i="9"/>
  <c r="L74" i="9"/>
  <c r="M74" i="9"/>
  <c r="L75" i="9"/>
  <c r="M75" i="9"/>
  <c r="L76" i="9"/>
  <c r="M76" i="9"/>
  <c r="L77" i="9"/>
  <c r="M77" i="9"/>
  <c r="L78" i="9"/>
  <c r="M78" i="9"/>
  <c r="L79" i="9"/>
  <c r="M79" i="9"/>
  <c r="L80" i="9"/>
  <c r="M80" i="9"/>
  <c r="L81" i="9"/>
  <c r="M81" i="9"/>
  <c r="L82" i="9"/>
  <c r="M82" i="9"/>
  <c r="L83" i="9"/>
  <c r="M83" i="9"/>
  <c r="L84" i="9"/>
  <c r="M84" i="9"/>
  <c r="L85" i="9"/>
  <c r="M85" i="9"/>
  <c r="L86" i="9"/>
  <c r="M86" i="9"/>
  <c r="L87" i="9"/>
  <c r="M87" i="9"/>
  <c r="L88" i="9"/>
  <c r="M88" i="9"/>
  <c r="L89" i="9"/>
  <c r="M89" i="9"/>
  <c r="L90" i="9"/>
  <c r="M90" i="9"/>
  <c r="L91" i="9"/>
  <c r="M91" i="9"/>
  <c r="L92" i="9"/>
  <c r="M92" i="9"/>
  <c r="L93" i="9"/>
  <c r="M93" i="9"/>
  <c r="L94" i="9"/>
  <c r="M94" i="9"/>
  <c r="L95" i="9"/>
  <c r="M95" i="9"/>
  <c r="L96" i="9"/>
  <c r="M96" i="9"/>
  <c r="L97" i="9"/>
  <c r="M97" i="9"/>
  <c r="L98" i="9"/>
  <c r="M98" i="9"/>
  <c r="L99" i="9"/>
  <c r="M99" i="9"/>
  <c r="L100" i="9"/>
  <c r="M100" i="9"/>
  <c r="L101" i="9"/>
  <c r="M101" i="9"/>
  <c r="L102" i="9"/>
  <c r="M102" i="9"/>
  <c r="L103" i="9"/>
  <c r="M103" i="9"/>
  <c r="L104" i="9"/>
  <c r="M104" i="9"/>
  <c r="L105" i="9"/>
  <c r="M105" i="9"/>
  <c r="L106" i="9"/>
  <c r="M106" i="9"/>
  <c r="L107" i="9"/>
  <c r="M107" i="9"/>
  <c r="L108" i="9"/>
  <c r="M108" i="9"/>
  <c r="L109" i="9"/>
  <c r="M109" i="9"/>
  <c r="L110" i="9"/>
  <c r="M110" i="9"/>
  <c r="L111" i="9"/>
  <c r="M111" i="9"/>
  <c r="L112" i="9"/>
  <c r="M112" i="9"/>
  <c r="L113" i="9"/>
  <c r="M113" i="9"/>
  <c r="L114" i="9"/>
  <c r="M114" i="9"/>
  <c r="L115" i="9"/>
  <c r="M115" i="9"/>
  <c r="L116" i="9"/>
  <c r="M116" i="9"/>
  <c r="L117" i="9"/>
  <c r="M117" i="9"/>
  <c r="L118" i="9"/>
  <c r="M118" i="9"/>
  <c r="L119" i="9"/>
  <c r="M119" i="9"/>
  <c r="L120" i="9"/>
  <c r="M120" i="9"/>
  <c r="L121" i="9"/>
  <c r="M121" i="9"/>
  <c r="L122" i="9"/>
  <c r="M122" i="9"/>
  <c r="L123" i="9"/>
  <c r="M123" i="9"/>
  <c r="L124" i="9"/>
  <c r="M124" i="9"/>
  <c r="L125" i="9"/>
  <c r="M125" i="9"/>
  <c r="L126" i="9"/>
  <c r="M126" i="9"/>
  <c r="L127" i="9"/>
  <c r="M127" i="9"/>
  <c r="L128" i="9"/>
  <c r="M128" i="9"/>
  <c r="L129" i="9"/>
  <c r="M129" i="9"/>
  <c r="L130" i="9"/>
  <c r="M130" i="9"/>
  <c r="L131" i="9"/>
  <c r="M131" i="9"/>
  <c r="L132" i="9"/>
  <c r="M132" i="9"/>
  <c r="L133" i="9"/>
  <c r="M133" i="9"/>
  <c r="L134" i="9"/>
  <c r="M134" i="9"/>
  <c r="L135" i="9"/>
  <c r="M135" i="9"/>
  <c r="L136" i="9"/>
  <c r="M136" i="9"/>
  <c r="L137" i="9"/>
  <c r="M137" i="9"/>
  <c r="L138" i="9"/>
  <c r="M138" i="9"/>
  <c r="L139" i="9"/>
  <c r="M139" i="9"/>
  <c r="L140" i="9"/>
  <c r="M140" i="9"/>
  <c r="L141" i="9"/>
  <c r="M141" i="9"/>
  <c r="L142" i="9"/>
  <c r="M142" i="9"/>
  <c r="L143" i="9"/>
  <c r="M143" i="9"/>
  <c r="L144" i="9"/>
  <c r="M144" i="9"/>
  <c r="L145" i="9"/>
  <c r="M145" i="9"/>
  <c r="L146" i="9"/>
  <c r="M146" i="9"/>
  <c r="L147" i="9"/>
  <c r="M147" i="9"/>
  <c r="L148" i="9"/>
  <c r="M148" i="9"/>
  <c r="L149" i="9"/>
  <c r="M149" i="9"/>
  <c r="L150" i="9"/>
  <c r="M150" i="9"/>
  <c r="L151" i="9"/>
  <c r="M151" i="9"/>
  <c r="L152" i="9"/>
  <c r="M152" i="9"/>
  <c r="L153" i="9"/>
  <c r="M153" i="9"/>
  <c r="L154" i="9"/>
  <c r="M154" i="9"/>
  <c r="L155" i="9"/>
  <c r="M155" i="9"/>
  <c r="L156" i="9"/>
  <c r="M156" i="9"/>
  <c r="L157" i="9"/>
  <c r="M157" i="9"/>
  <c r="L158" i="9"/>
  <c r="M158" i="9"/>
  <c r="L159" i="9"/>
  <c r="M159" i="9"/>
  <c r="L160" i="9"/>
  <c r="M160" i="9"/>
  <c r="L161" i="9"/>
  <c r="M161" i="9"/>
  <c r="L162" i="9"/>
  <c r="M162" i="9"/>
  <c r="L163" i="9"/>
  <c r="M163" i="9"/>
  <c r="L164" i="9"/>
  <c r="M164" i="9"/>
  <c r="L165" i="9"/>
  <c r="M165" i="9"/>
  <c r="L166" i="9"/>
  <c r="M166" i="9"/>
  <c r="L167" i="9"/>
  <c r="M167" i="9"/>
  <c r="L168" i="9"/>
  <c r="M168" i="9"/>
  <c r="L169" i="9"/>
  <c r="M169" i="9"/>
  <c r="L170" i="9"/>
  <c r="M170" i="9"/>
  <c r="L171" i="9"/>
  <c r="M171" i="9"/>
  <c r="L172" i="9"/>
  <c r="M172" i="9"/>
  <c r="L173" i="9"/>
  <c r="M173" i="9"/>
  <c r="L174" i="9"/>
  <c r="M174" i="9"/>
  <c r="L175" i="9"/>
  <c r="M175" i="9"/>
  <c r="L176" i="9"/>
  <c r="M176" i="9"/>
  <c r="L177" i="9"/>
  <c r="M177" i="9"/>
  <c r="L178" i="9"/>
  <c r="M178" i="9"/>
  <c r="L179" i="9"/>
  <c r="M179" i="9"/>
  <c r="L180" i="9"/>
  <c r="M180" i="9"/>
  <c r="L181" i="9"/>
  <c r="M181" i="9"/>
  <c r="L182" i="9"/>
  <c r="M182" i="9"/>
  <c r="L183" i="9"/>
  <c r="M183" i="9"/>
  <c r="L184" i="9"/>
  <c r="M184" i="9"/>
  <c r="L185" i="9"/>
  <c r="M185" i="9"/>
  <c r="L186" i="9"/>
  <c r="M186" i="9"/>
  <c r="L187" i="9"/>
  <c r="M187" i="9"/>
  <c r="L188" i="9"/>
  <c r="M188" i="9"/>
  <c r="L189" i="9"/>
  <c r="M189" i="9"/>
  <c r="L190" i="9"/>
  <c r="M190" i="9"/>
  <c r="L191" i="9"/>
  <c r="M191" i="9"/>
  <c r="L192" i="9"/>
  <c r="M192" i="9"/>
  <c r="L193" i="9"/>
  <c r="M193" i="9"/>
  <c r="L194" i="9"/>
  <c r="M194" i="9"/>
  <c r="L195" i="9"/>
  <c r="M195" i="9"/>
  <c r="L196" i="9"/>
  <c r="M196" i="9"/>
  <c r="L197" i="9"/>
  <c r="M197" i="9"/>
  <c r="L198" i="9"/>
  <c r="M198" i="9"/>
  <c r="L199" i="9"/>
  <c r="M199" i="9"/>
  <c r="L200" i="9"/>
  <c r="M200" i="9"/>
  <c r="L201" i="9"/>
  <c r="M201" i="9"/>
  <c r="L202" i="9"/>
  <c r="M202" i="9"/>
  <c r="L203" i="9"/>
  <c r="M203" i="9"/>
  <c r="L204" i="9"/>
  <c r="M204" i="9"/>
  <c r="L205" i="9"/>
  <c r="M205" i="9"/>
  <c r="L206" i="9"/>
  <c r="M206" i="9"/>
  <c r="L207" i="9"/>
  <c r="M207" i="9"/>
  <c r="L208" i="9"/>
  <c r="M208" i="9"/>
  <c r="L209" i="9"/>
  <c r="M209" i="9"/>
  <c r="L210" i="9"/>
  <c r="M210" i="9"/>
  <c r="L211" i="9"/>
  <c r="M211" i="9"/>
  <c r="L212" i="9"/>
  <c r="M212" i="9"/>
  <c r="L213" i="9"/>
  <c r="M213" i="9"/>
  <c r="L214" i="9"/>
  <c r="M214" i="9"/>
  <c r="L215" i="9"/>
  <c r="M215" i="9"/>
  <c r="L216" i="9"/>
  <c r="M216" i="9"/>
  <c r="L217" i="9"/>
  <c r="M217" i="9"/>
  <c r="L218" i="9"/>
  <c r="M218" i="9"/>
  <c r="L219" i="9"/>
  <c r="M219" i="9"/>
  <c r="L220" i="9"/>
  <c r="M220" i="9"/>
  <c r="L221" i="9"/>
  <c r="M221" i="9"/>
  <c r="L222" i="9"/>
  <c r="M222" i="9"/>
  <c r="L223" i="9"/>
  <c r="M223" i="9"/>
  <c r="L224" i="9"/>
  <c r="M224" i="9"/>
  <c r="L225" i="9"/>
  <c r="M225" i="9"/>
  <c r="L226" i="9"/>
  <c r="M226" i="9"/>
  <c r="L227" i="9"/>
  <c r="M227" i="9"/>
  <c r="L228" i="9"/>
  <c r="M228" i="9"/>
  <c r="L229" i="9"/>
  <c r="M229" i="9"/>
  <c r="L230" i="9"/>
  <c r="M230" i="9"/>
  <c r="L231" i="9"/>
  <c r="M231" i="9"/>
  <c r="L232" i="9"/>
  <c r="M232" i="9"/>
  <c r="L233" i="9"/>
  <c r="M233" i="9"/>
  <c r="L234" i="9"/>
  <c r="M234" i="9"/>
  <c r="L235" i="9"/>
  <c r="M235" i="9"/>
  <c r="L236" i="9"/>
  <c r="M236" i="9"/>
  <c r="L237" i="9"/>
  <c r="M237" i="9"/>
  <c r="L238" i="9"/>
  <c r="M238" i="9"/>
  <c r="L239" i="9"/>
  <c r="M239" i="9"/>
  <c r="L240" i="9"/>
  <c r="M240" i="9"/>
  <c r="L241" i="9"/>
  <c r="M241" i="9"/>
  <c r="L242" i="9"/>
  <c r="M242" i="9"/>
  <c r="L243" i="9"/>
  <c r="M243" i="9"/>
  <c r="L244" i="9"/>
  <c r="M244" i="9"/>
  <c r="L245" i="9"/>
  <c r="M245" i="9"/>
  <c r="L246" i="9"/>
  <c r="M246" i="9"/>
  <c r="L247" i="9"/>
  <c r="M247" i="9"/>
  <c r="L248" i="9"/>
  <c r="M248" i="9"/>
  <c r="L249" i="9"/>
  <c r="M249" i="9"/>
  <c r="L250" i="9"/>
  <c r="M250" i="9"/>
  <c r="L251" i="9"/>
  <c r="M251" i="9"/>
  <c r="L252" i="9"/>
  <c r="M252" i="9"/>
  <c r="L253" i="9"/>
  <c r="M253" i="9"/>
  <c r="L254" i="9"/>
  <c r="M254" i="9"/>
  <c r="L255" i="9"/>
  <c r="M255" i="9"/>
  <c r="L256" i="9"/>
  <c r="M256" i="9"/>
  <c r="L257" i="9"/>
  <c r="M257" i="9"/>
  <c r="L258" i="9"/>
  <c r="M258" i="9"/>
  <c r="L259" i="9"/>
  <c r="M259" i="9"/>
  <c r="L260" i="9"/>
  <c r="M260" i="9"/>
  <c r="L261" i="9"/>
  <c r="M261" i="9"/>
  <c r="L262" i="9"/>
  <c r="M262" i="9"/>
  <c r="L263" i="9"/>
  <c r="M263" i="9"/>
  <c r="L264" i="9"/>
  <c r="M264" i="9"/>
  <c r="L265" i="9"/>
  <c r="M265" i="9"/>
  <c r="L266" i="9"/>
  <c r="M266" i="9"/>
  <c r="L267" i="9"/>
  <c r="M267" i="9"/>
  <c r="L268" i="9"/>
  <c r="M268" i="9"/>
  <c r="L269" i="9"/>
  <c r="M269" i="9"/>
  <c r="L270" i="9"/>
  <c r="M270" i="9"/>
  <c r="L271" i="9"/>
  <c r="M271" i="9"/>
  <c r="L272" i="9"/>
  <c r="M272" i="9"/>
  <c r="L273" i="9"/>
  <c r="M273" i="9"/>
  <c r="L274" i="9"/>
  <c r="M274" i="9"/>
  <c r="L275" i="9"/>
  <c r="M275" i="9"/>
  <c r="L276" i="9"/>
  <c r="M276" i="9"/>
  <c r="L277" i="9"/>
  <c r="M277" i="9"/>
  <c r="L278" i="9"/>
  <c r="M278" i="9"/>
  <c r="L279" i="9"/>
  <c r="M279" i="9"/>
  <c r="L280" i="9"/>
  <c r="M280" i="9"/>
  <c r="L281" i="9"/>
  <c r="M281" i="9"/>
  <c r="L282" i="9"/>
  <c r="M282" i="9"/>
  <c r="L283" i="9"/>
  <c r="M283" i="9"/>
  <c r="L284" i="9"/>
  <c r="M284" i="9"/>
  <c r="L285" i="9"/>
  <c r="M285" i="9"/>
  <c r="L286" i="9"/>
  <c r="M286" i="9"/>
  <c r="L287" i="9"/>
  <c r="M287" i="9"/>
  <c r="L288" i="9"/>
  <c r="M288" i="9"/>
  <c r="L289" i="9"/>
  <c r="M289" i="9"/>
  <c r="L290" i="9"/>
  <c r="M290" i="9"/>
  <c r="L291" i="9"/>
  <c r="M291" i="9"/>
  <c r="L292" i="9"/>
  <c r="M292" i="9"/>
  <c r="L293" i="9"/>
  <c r="M293" i="9"/>
  <c r="L294" i="9"/>
  <c r="M294" i="9"/>
  <c r="L295" i="9"/>
  <c r="M295" i="9"/>
  <c r="L296" i="9"/>
  <c r="M296" i="9"/>
  <c r="L297" i="9"/>
  <c r="M297" i="9"/>
  <c r="L298" i="9"/>
  <c r="M298" i="9"/>
  <c r="L299" i="9"/>
  <c r="M299" i="9"/>
  <c r="L300" i="9"/>
  <c r="M300" i="9"/>
  <c r="L301" i="9"/>
  <c r="M301" i="9"/>
  <c r="L302" i="9"/>
  <c r="M302" i="9"/>
  <c r="L303" i="9"/>
  <c r="M303" i="9"/>
  <c r="L304" i="9"/>
  <c r="M304" i="9"/>
  <c r="L305" i="9"/>
  <c r="M305" i="9"/>
  <c r="L306" i="9"/>
  <c r="M306" i="9"/>
  <c r="L307" i="9"/>
  <c r="M307" i="9"/>
  <c r="L308" i="9"/>
  <c r="M308" i="9"/>
  <c r="L309" i="9"/>
  <c r="M309" i="9"/>
  <c r="L310" i="9"/>
  <c r="M310" i="9"/>
  <c r="L311" i="9"/>
  <c r="M311" i="9"/>
  <c r="L312" i="9"/>
  <c r="M312" i="9"/>
  <c r="L313" i="9"/>
  <c r="M313" i="9"/>
  <c r="L314" i="9"/>
  <c r="M314" i="9"/>
  <c r="L315" i="9"/>
  <c r="M315" i="9"/>
  <c r="L316" i="9"/>
  <c r="M316" i="9"/>
  <c r="L317" i="9"/>
  <c r="M317" i="9"/>
  <c r="L318" i="9"/>
  <c r="M318" i="9"/>
  <c r="L319" i="9"/>
  <c r="M319" i="9"/>
  <c r="L320" i="9"/>
  <c r="M320" i="9"/>
  <c r="L321" i="9"/>
  <c r="M321" i="9"/>
  <c r="L322" i="9"/>
  <c r="M322" i="9"/>
  <c r="L323" i="9"/>
  <c r="M323" i="9"/>
  <c r="L324" i="9"/>
  <c r="M324" i="9"/>
  <c r="L325" i="9"/>
  <c r="M325" i="9"/>
  <c r="L326" i="9"/>
  <c r="M326" i="9"/>
  <c r="L327" i="9"/>
  <c r="M327" i="9"/>
  <c r="L328" i="9"/>
  <c r="M328" i="9"/>
  <c r="L329" i="9"/>
  <c r="M329" i="9"/>
  <c r="L330" i="9"/>
  <c r="M330" i="9"/>
  <c r="L331" i="9"/>
  <c r="M331" i="9"/>
  <c r="L332" i="9"/>
  <c r="M332" i="9"/>
  <c r="L333" i="9"/>
  <c r="M333" i="9"/>
  <c r="M5" i="9"/>
  <c r="L5" i="9"/>
  <c r="E7066" i="9"/>
  <c r="E7065" i="9"/>
  <c r="E7064" i="9"/>
  <c r="E7063" i="9"/>
  <c r="E7062" i="9"/>
  <c r="E7061" i="9"/>
  <c r="E7060" i="9"/>
  <c r="E7059" i="9"/>
  <c r="E7058" i="9"/>
  <c r="E7057" i="9"/>
  <c r="E7056" i="9"/>
  <c r="E7055" i="9"/>
  <c r="E7054" i="9"/>
  <c r="E7053" i="9"/>
  <c r="E7052" i="9"/>
  <c r="E7051" i="9"/>
  <c r="E7050" i="9"/>
  <c r="E7049" i="9"/>
  <c r="E7048" i="9"/>
  <c r="E7047" i="9"/>
  <c r="E7046" i="9"/>
  <c r="E7045" i="9"/>
  <c r="E7044" i="9"/>
  <c r="E7043" i="9"/>
  <c r="E7042" i="9"/>
  <c r="E7041" i="9"/>
  <c r="E7040" i="9"/>
  <c r="E7039" i="9"/>
  <c r="E7038" i="9"/>
  <c r="E7037" i="9"/>
  <c r="E7036" i="9"/>
  <c r="E7035" i="9"/>
  <c r="E7034" i="9"/>
  <c r="E7033" i="9"/>
  <c r="E7032" i="9"/>
  <c r="E7031" i="9"/>
  <c r="E7030" i="9"/>
  <c r="E7029" i="9"/>
  <c r="E7028" i="9"/>
  <c r="E7027" i="9"/>
  <c r="E7026" i="9"/>
  <c r="E7025" i="9"/>
  <c r="E7024" i="9"/>
  <c r="E7023" i="9"/>
  <c r="E7022" i="9"/>
  <c r="E7021" i="9"/>
  <c r="E7020" i="9"/>
  <c r="E7019" i="9"/>
  <c r="E7018" i="9"/>
  <c r="E7017" i="9"/>
  <c r="E7016" i="9"/>
  <c r="E7015" i="9"/>
  <c r="E7014" i="9"/>
  <c r="E7013" i="9"/>
  <c r="E7012" i="9"/>
  <c r="E7011" i="9"/>
  <c r="E7010" i="9"/>
  <c r="E7009" i="9"/>
  <c r="E7008" i="9"/>
  <c r="E7007" i="9"/>
  <c r="E7006" i="9"/>
  <c r="E7005" i="9"/>
  <c r="E7004" i="9"/>
  <c r="E7003" i="9"/>
  <c r="E7002" i="9"/>
  <c r="E7001" i="9"/>
  <c r="E7000" i="9"/>
  <c r="E6999" i="9"/>
  <c r="E6998" i="9"/>
  <c r="E6997" i="9"/>
  <c r="E6996" i="9"/>
  <c r="E6995" i="9"/>
  <c r="E6994" i="9"/>
  <c r="E6993" i="9"/>
  <c r="E6992" i="9"/>
  <c r="E6991" i="9"/>
  <c r="E6990" i="9"/>
  <c r="E6989" i="9"/>
  <c r="E6988" i="9"/>
  <c r="E6987" i="9"/>
  <c r="E6986" i="9"/>
  <c r="E6985" i="9"/>
  <c r="E6984" i="9"/>
  <c r="E6983" i="9"/>
  <c r="E6982" i="9"/>
  <c r="E6981" i="9"/>
  <c r="E6980" i="9"/>
  <c r="E6979" i="9"/>
  <c r="E6978" i="9"/>
  <c r="E6977" i="9"/>
  <c r="E6976" i="9"/>
  <c r="E6975" i="9"/>
  <c r="E6974" i="9"/>
  <c r="E6973" i="9"/>
  <c r="E6972" i="9"/>
  <c r="E6971" i="9"/>
  <c r="E6970" i="9"/>
  <c r="E6969" i="9"/>
  <c r="E6968" i="9"/>
  <c r="E6967" i="9"/>
  <c r="E6966" i="9"/>
  <c r="E6965" i="9"/>
  <c r="E6964" i="9"/>
  <c r="E6963" i="9"/>
  <c r="E6962" i="9"/>
  <c r="E6961" i="9"/>
  <c r="E6960" i="9"/>
  <c r="E6959" i="9"/>
  <c r="E6958" i="9"/>
  <c r="E6957" i="9"/>
  <c r="E6956" i="9"/>
  <c r="E6955" i="9"/>
  <c r="E6954" i="9"/>
  <c r="E6953" i="9"/>
  <c r="E6952" i="9"/>
  <c r="E6951" i="9"/>
  <c r="E6950" i="9"/>
  <c r="E6949" i="9"/>
  <c r="E6948" i="9"/>
  <c r="E6947" i="9"/>
  <c r="E6946" i="9"/>
  <c r="E6945" i="9"/>
  <c r="E6944" i="9"/>
  <c r="E6943" i="9"/>
  <c r="E6942" i="9"/>
  <c r="E6941" i="9"/>
  <c r="E6940" i="9"/>
  <c r="E6939" i="9"/>
  <c r="E6938" i="9"/>
  <c r="E6937" i="9"/>
  <c r="E6936" i="9"/>
  <c r="E6935" i="9"/>
  <c r="E6934" i="9"/>
  <c r="E6933" i="9"/>
  <c r="E6932" i="9"/>
  <c r="E6931" i="9"/>
  <c r="E6930" i="9"/>
  <c r="E6929" i="9"/>
  <c r="E6928" i="9"/>
  <c r="E6927" i="9"/>
  <c r="E6926" i="9"/>
  <c r="E6925" i="9"/>
  <c r="E6924" i="9"/>
  <c r="E6923" i="9"/>
  <c r="E6922" i="9"/>
  <c r="E6921" i="9"/>
  <c r="E6920" i="9"/>
  <c r="E6919" i="9"/>
  <c r="E6918" i="9"/>
  <c r="E6917" i="9"/>
  <c r="E6916" i="9"/>
  <c r="E6915" i="9"/>
  <c r="E6914" i="9"/>
  <c r="E6913" i="9"/>
  <c r="E6912" i="9"/>
  <c r="E6911" i="9"/>
  <c r="E6910" i="9"/>
  <c r="E6909" i="9"/>
  <c r="E6908" i="9"/>
  <c r="E6907" i="9"/>
  <c r="E6906" i="9"/>
  <c r="E6905" i="9"/>
  <c r="E6904" i="9"/>
  <c r="E6903" i="9"/>
  <c r="E6902" i="9"/>
  <c r="E6901" i="9"/>
  <c r="E6900" i="9"/>
  <c r="E6899" i="9"/>
  <c r="E6898" i="9"/>
  <c r="E6897" i="9"/>
  <c r="E6896" i="9"/>
  <c r="E6895" i="9"/>
  <c r="E6894" i="9"/>
  <c r="E6893" i="9"/>
  <c r="E6892" i="9"/>
  <c r="E6891" i="9"/>
  <c r="E6890" i="9"/>
  <c r="E6889" i="9"/>
  <c r="E6888" i="9"/>
  <c r="E6887" i="9"/>
  <c r="E6886" i="9"/>
  <c r="E6885" i="9"/>
  <c r="E6884" i="9"/>
  <c r="E6883" i="9"/>
  <c r="E6882" i="9"/>
  <c r="E6881" i="9"/>
  <c r="E6880" i="9"/>
  <c r="E6879" i="9"/>
  <c r="E6878" i="9"/>
  <c r="E6877" i="9"/>
  <c r="E6876" i="9"/>
  <c r="E6875" i="9"/>
  <c r="E6874" i="9"/>
  <c r="E6873" i="9"/>
  <c r="E6872" i="9"/>
  <c r="E6871" i="9"/>
  <c r="E6870" i="9"/>
  <c r="E6869" i="9"/>
  <c r="E6868" i="9"/>
  <c r="E6867" i="9"/>
  <c r="E6866" i="9"/>
  <c r="E6865" i="9"/>
  <c r="E6864" i="9"/>
  <c r="E6863" i="9"/>
  <c r="E6862" i="9"/>
  <c r="E6861" i="9"/>
  <c r="E6860" i="9"/>
  <c r="E6859" i="9"/>
  <c r="E6858" i="9"/>
  <c r="E6857" i="9"/>
  <c r="E6856" i="9"/>
  <c r="E6855" i="9"/>
  <c r="E6854" i="9"/>
  <c r="E6853" i="9"/>
  <c r="E6852" i="9"/>
  <c r="E6851" i="9"/>
  <c r="E6850" i="9"/>
  <c r="E6849" i="9"/>
  <c r="E6848" i="9"/>
  <c r="E6847" i="9"/>
  <c r="E6846" i="9"/>
  <c r="E6845" i="9"/>
  <c r="E6844" i="9"/>
  <c r="E6843" i="9"/>
  <c r="E6842" i="9"/>
  <c r="E6841" i="9"/>
  <c r="E6840" i="9"/>
  <c r="E6839" i="9"/>
  <c r="E6838" i="9"/>
  <c r="E6837" i="9"/>
  <c r="E6836" i="9"/>
  <c r="E6835" i="9"/>
  <c r="E6834" i="9"/>
  <c r="E6833" i="9"/>
  <c r="E6832" i="9"/>
  <c r="E6831" i="9"/>
  <c r="E6830" i="9"/>
  <c r="E6829" i="9"/>
  <c r="E6828" i="9"/>
  <c r="E6827" i="9"/>
  <c r="E6826" i="9"/>
  <c r="E6825" i="9"/>
  <c r="E6824" i="9"/>
  <c r="E6823" i="9"/>
  <c r="E6822" i="9"/>
  <c r="E6821" i="9"/>
  <c r="E6820" i="9"/>
  <c r="E6819" i="9"/>
  <c r="E6818" i="9"/>
  <c r="E6817" i="9"/>
  <c r="E6816" i="9"/>
  <c r="E6815" i="9"/>
  <c r="E6814" i="9"/>
  <c r="E6813" i="9"/>
  <c r="E6812" i="9"/>
  <c r="E6811" i="9"/>
  <c r="E6810" i="9"/>
  <c r="E6809" i="9"/>
  <c r="E6808" i="9"/>
  <c r="E6807" i="9"/>
  <c r="E6806" i="9"/>
  <c r="E6805" i="9"/>
  <c r="E6804" i="9"/>
  <c r="E6803" i="9"/>
  <c r="E6802" i="9"/>
  <c r="E6801" i="9"/>
  <c r="E6800" i="9"/>
  <c r="E6799" i="9"/>
  <c r="E6798" i="9"/>
  <c r="E6797" i="9"/>
  <c r="E6796" i="9"/>
  <c r="E6795" i="9"/>
  <c r="E6794" i="9"/>
  <c r="E6793" i="9"/>
  <c r="E6792" i="9"/>
  <c r="E6791" i="9"/>
  <c r="E6790" i="9"/>
  <c r="E6789" i="9"/>
  <c r="E6788" i="9"/>
  <c r="E6787" i="9"/>
  <c r="E6786" i="9"/>
  <c r="E6785" i="9"/>
  <c r="E6784" i="9"/>
  <c r="E6783" i="9"/>
  <c r="E6782" i="9"/>
  <c r="E6781" i="9"/>
  <c r="E6780" i="9"/>
  <c r="E6779" i="9"/>
  <c r="E6778" i="9"/>
  <c r="E6777" i="9"/>
  <c r="E6776" i="9"/>
  <c r="E6775" i="9"/>
  <c r="E6774" i="9"/>
  <c r="E6773" i="9"/>
  <c r="E6772" i="9"/>
  <c r="E6771" i="9"/>
  <c r="E6770" i="9"/>
  <c r="E6769" i="9"/>
  <c r="E6768" i="9"/>
  <c r="E6767" i="9"/>
  <c r="E6766" i="9"/>
  <c r="E6765" i="9"/>
  <c r="E6764" i="9"/>
  <c r="E6763" i="9"/>
  <c r="E6762" i="9"/>
  <c r="E6761" i="9"/>
  <c r="E6760" i="9"/>
  <c r="E6759" i="9"/>
  <c r="E6758" i="9"/>
  <c r="E6757" i="9"/>
  <c r="E6756" i="9"/>
  <c r="E6755" i="9"/>
  <c r="E6754" i="9"/>
  <c r="E6753" i="9"/>
  <c r="E6752" i="9"/>
  <c r="E6751" i="9"/>
  <c r="E6750" i="9"/>
  <c r="E6749" i="9"/>
  <c r="E6748" i="9"/>
  <c r="E6747" i="9"/>
  <c r="E6746" i="9"/>
  <c r="E6745" i="9"/>
  <c r="E6744" i="9"/>
  <c r="E6743" i="9"/>
  <c r="E6742" i="9"/>
  <c r="E6741" i="9"/>
  <c r="E6740" i="9"/>
  <c r="E6739" i="9"/>
  <c r="E6738" i="9"/>
  <c r="E6737" i="9"/>
  <c r="E6736" i="9"/>
  <c r="E6735" i="9"/>
  <c r="E6734" i="9"/>
  <c r="E6733" i="9"/>
  <c r="E6732" i="9"/>
  <c r="E6731" i="9"/>
  <c r="E6730" i="9"/>
  <c r="E6729" i="9"/>
  <c r="E6728" i="9"/>
  <c r="E6727" i="9"/>
  <c r="E6726" i="9"/>
  <c r="E6725" i="9"/>
  <c r="E6724" i="9"/>
  <c r="E6723" i="9"/>
  <c r="E6722" i="9"/>
  <c r="E6721" i="9"/>
  <c r="E6720" i="9"/>
  <c r="E6719" i="9"/>
  <c r="E6718" i="9"/>
  <c r="E6717" i="9"/>
  <c r="E6716" i="9"/>
  <c r="E6715" i="9"/>
  <c r="E6714" i="9"/>
  <c r="E6713" i="9"/>
  <c r="E6712" i="9"/>
  <c r="E6711" i="9"/>
  <c r="E6710" i="9"/>
  <c r="E6709" i="9"/>
  <c r="E6708" i="9"/>
  <c r="E6707" i="9"/>
  <c r="E6706" i="9"/>
  <c r="E6705" i="9"/>
  <c r="E6704" i="9"/>
  <c r="E6703" i="9"/>
  <c r="E6702" i="9"/>
  <c r="E6701" i="9"/>
  <c r="E6700" i="9"/>
  <c r="E6699" i="9"/>
  <c r="E6698" i="9"/>
  <c r="E6697" i="9"/>
  <c r="E6696" i="9"/>
  <c r="E6695" i="9"/>
  <c r="E6694" i="9"/>
  <c r="E6693" i="9"/>
  <c r="E6692" i="9"/>
  <c r="E6691" i="9"/>
  <c r="E6690" i="9"/>
  <c r="E6689" i="9"/>
  <c r="E6688" i="9"/>
  <c r="E6687" i="9"/>
  <c r="E6686" i="9"/>
  <c r="E6685" i="9"/>
  <c r="E6684" i="9"/>
  <c r="E6683" i="9"/>
  <c r="E6682" i="9"/>
  <c r="E6681" i="9"/>
  <c r="E6680" i="9"/>
  <c r="E6679" i="9"/>
  <c r="E6678" i="9"/>
  <c r="E6677" i="9"/>
  <c r="E6676" i="9"/>
  <c r="E6675" i="9"/>
  <c r="E6674" i="9"/>
  <c r="E6673" i="9"/>
  <c r="E6672" i="9"/>
  <c r="E6671" i="9"/>
  <c r="E6670" i="9"/>
  <c r="E6669" i="9"/>
  <c r="E6668" i="9"/>
  <c r="E6667" i="9"/>
  <c r="E6666" i="9"/>
  <c r="E6665" i="9"/>
  <c r="E6664" i="9"/>
  <c r="E6663" i="9"/>
  <c r="E6662" i="9"/>
  <c r="E6661" i="9"/>
  <c r="E6660" i="9"/>
  <c r="E6659" i="9"/>
  <c r="E6658" i="9"/>
  <c r="E6657" i="9"/>
  <c r="E6656" i="9"/>
  <c r="E6655" i="9"/>
  <c r="E6654" i="9"/>
  <c r="E6653" i="9"/>
  <c r="E6652" i="9"/>
  <c r="E6651" i="9"/>
  <c r="E6650" i="9"/>
  <c r="E6649" i="9"/>
  <c r="E6648" i="9"/>
  <c r="E6647" i="9"/>
  <c r="E6646" i="9"/>
  <c r="E6645" i="9"/>
  <c r="E6644" i="9"/>
  <c r="E6643" i="9"/>
  <c r="E6642" i="9"/>
  <c r="E6641" i="9"/>
  <c r="E6640" i="9"/>
  <c r="E6639" i="9"/>
  <c r="E6638" i="9"/>
  <c r="E6637" i="9"/>
  <c r="E6636" i="9"/>
  <c r="E6635" i="9"/>
  <c r="E6634" i="9"/>
  <c r="E6633" i="9"/>
  <c r="E6632" i="9"/>
  <c r="E6631" i="9"/>
  <c r="E6630" i="9"/>
  <c r="E6629" i="9"/>
  <c r="E6628" i="9"/>
  <c r="E6627" i="9"/>
  <c r="E6626" i="9"/>
  <c r="E6625" i="9"/>
  <c r="E6624" i="9"/>
  <c r="E6623" i="9"/>
  <c r="E6622" i="9"/>
  <c r="E6621" i="9"/>
  <c r="E6620" i="9"/>
  <c r="E6619" i="9"/>
  <c r="E6618" i="9"/>
  <c r="E6617" i="9"/>
  <c r="E6616" i="9"/>
  <c r="E6615" i="9"/>
  <c r="E6614" i="9"/>
  <c r="E6613" i="9"/>
  <c r="E6612" i="9"/>
  <c r="E6611" i="9"/>
  <c r="E6610" i="9"/>
  <c r="E6609" i="9"/>
  <c r="E6608" i="9"/>
  <c r="E6607" i="9"/>
  <c r="E6606" i="9"/>
  <c r="E6605" i="9"/>
  <c r="E6604" i="9"/>
  <c r="E6603" i="9"/>
  <c r="E6602" i="9"/>
  <c r="E6601" i="9"/>
  <c r="E6600" i="9"/>
  <c r="E6599" i="9"/>
  <c r="E6598" i="9"/>
  <c r="E6597" i="9"/>
  <c r="E6596" i="9"/>
  <c r="E6595" i="9"/>
  <c r="E6594" i="9"/>
  <c r="E6593" i="9"/>
  <c r="E6592" i="9"/>
  <c r="E6591" i="9"/>
  <c r="E6590" i="9"/>
  <c r="E6589" i="9"/>
  <c r="E6588" i="9"/>
  <c r="E6587" i="9"/>
  <c r="E6586" i="9"/>
  <c r="E6585" i="9"/>
  <c r="E6584" i="9"/>
  <c r="E6583" i="9"/>
  <c r="E6582" i="9"/>
  <c r="E6581" i="9"/>
  <c r="E6580" i="9"/>
  <c r="E6579" i="9"/>
  <c r="E6578" i="9"/>
  <c r="E6577" i="9"/>
  <c r="E6576" i="9"/>
  <c r="E6575" i="9"/>
  <c r="E6574" i="9"/>
  <c r="E6573" i="9"/>
  <c r="E6572" i="9"/>
  <c r="E6571" i="9"/>
  <c r="E6570" i="9"/>
  <c r="E6569" i="9"/>
  <c r="E6568" i="9"/>
  <c r="E6567" i="9"/>
  <c r="E6566" i="9"/>
  <c r="E6565" i="9"/>
  <c r="E6564" i="9"/>
  <c r="E6563" i="9"/>
  <c r="E6562" i="9"/>
  <c r="E6561" i="9"/>
  <c r="E6560" i="9"/>
  <c r="E6559" i="9"/>
  <c r="E6558" i="9"/>
  <c r="E6557" i="9"/>
  <c r="E6556" i="9"/>
  <c r="E6555" i="9"/>
  <c r="E6554" i="9"/>
  <c r="E6553" i="9"/>
  <c r="E6552" i="9"/>
  <c r="E6551" i="9"/>
  <c r="E6550" i="9"/>
  <c r="E6549" i="9"/>
  <c r="E6548" i="9"/>
  <c r="E6547" i="9"/>
  <c r="E6546" i="9"/>
  <c r="E6545" i="9"/>
  <c r="E6544" i="9"/>
  <c r="E6543" i="9"/>
  <c r="E6542" i="9"/>
  <c r="E6541" i="9"/>
  <c r="E6540" i="9"/>
  <c r="E6539" i="9"/>
  <c r="E6538" i="9"/>
  <c r="E6537" i="9"/>
  <c r="E6536" i="9"/>
  <c r="E6535" i="9"/>
  <c r="E6534" i="9"/>
  <c r="E6533" i="9"/>
  <c r="E6532" i="9"/>
  <c r="E6531" i="9"/>
  <c r="E6530" i="9"/>
  <c r="E6529" i="9"/>
  <c r="E6528" i="9"/>
  <c r="E6527" i="9"/>
  <c r="E6526" i="9"/>
  <c r="E6525" i="9"/>
  <c r="E6524" i="9"/>
  <c r="E6523" i="9"/>
  <c r="E6522" i="9"/>
  <c r="E6521" i="9"/>
  <c r="E6520" i="9"/>
  <c r="E6519" i="9"/>
  <c r="E6518" i="9"/>
  <c r="E6517" i="9"/>
  <c r="E6516" i="9"/>
  <c r="E6515" i="9"/>
  <c r="E6514" i="9"/>
  <c r="E6513" i="9"/>
  <c r="E6512" i="9"/>
  <c r="E6511" i="9"/>
  <c r="E6510" i="9"/>
  <c r="E6509" i="9"/>
  <c r="E6508" i="9"/>
  <c r="E6507" i="9"/>
  <c r="E6506" i="9"/>
  <c r="E6505" i="9"/>
  <c r="E6504" i="9"/>
  <c r="E6503" i="9"/>
  <c r="E6502" i="9"/>
  <c r="E6501" i="9"/>
  <c r="E6500" i="9"/>
  <c r="E6499" i="9"/>
  <c r="E6498" i="9"/>
  <c r="E6497" i="9"/>
  <c r="E6496" i="9"/>
  <c r="E6495" i="9"/>
  <c r="E6494" i="9"/>
  <c r="E6493" i="9"/>
  <c r="E6492" i="9"/>
  <c r="E6491" i="9"/>
  <c r="E6490" i="9"/>
  <c r="E6489" i="9"/>
  <c r="E6488" i="9"/>
  <c r="E6487" i="9"/>
  <c r="E6486" i="9"/>
  <c r="E6485" i="9"/>
  <c r="E6484" i="9"/>
  <c r="E6483" i="9"/>
  <c r="E6482" i="9"/>
  <c r="E6481" i="9"/>
  <c r="E6480" i="9"/>
  <c r="E6479" i="9"/>
  <c r="E6478" i="9"/>
  <c r="E6477" i="9"/>
  <c r="E6476" i="9"/>
  <c r="E6475" i="9"/>
  <c r="E6474" i="9"/>
  <c r="E6473" i="9"/>
  <c r="E6472" i="9"/>
  <c r="E6471" i="9"/>
  <c r="E6470" i="9"/>
  <c r="E6469" i="9"/>
  <c r="E6468" i="9"/>
  <c r="E6467" i="9"/>
  <c r="E6466" i="9"/>
  <c r="E6465" i="9"/>
  <c r="E6464" i="9"/>
  <c r="E6463" i="9"/>
  <c r="E6462" i="9"/>
  <c r="E6461" i="9"/>
  <c r="E6460" i="9"/>
  <c r="E6459" i="9"/>
  <c r="E6458" i="9"/>
  <c r="E6457" i="9"/>
  <c r="E6456" i="9"/>
  <c r="E6455" i="9"/>
  <c r="E6454" i="9"/>
  <c r="E6453" i="9"/>
  <c r="E6452" i="9"/>
  <c r="E6451" i="9"/>
  <c r="E6450" i="9"/>
  <c r="E6449" i="9"/>
  <c r="E6448" i="9"/>
  <c r="E6447" i="9"/>
  <c r="E6446" i="9"/>
  <c r="E6445" i="9"/>
  <c r="E6444" i="9"/>
  <c r="E6443" i="9"/>
  <c r="E6442" i="9"/>
  <c r="E6441" i="9"/>
  <c r="E6440" i="9"/>
  <c r="E6439" i="9"/>
  <c r="E6438" i="9"/>
  <c r="E6437" i="9"/>
  <c r="E6436" i="9"/>
  <c r="E6435" i="9"/>
  <c r="E6434" i="9"/>
  <c r="E6433" i="9"/>
  <c r="E6432" i="9"/>
  <c r="E6431" i="9"/>
  <c r="E6430" i="9"/>
  <c r="E6429" i="9"/>
  <c r="E6428" i="9"/>
  <c r="E6427" i="9"/>
  <c r="E6426" i="9"/>
  <c r="E6425" i="9"/>
  <c r="E6424" i="9"/>
  <c r="E6423" i="9"/>
  <c r="E6422" i="9"/>
  <c r="E6421" i="9"/>
  <c r="E6420" i="9"/>
  <c r="E6419" i="9"/>
  <c r="E6418" i="9"/>
  <c r="E6417" i="9"/>
  <c r="E6416" i="9"/>
  <c r="E6415" i="9"/>
  <c r="E6414" i="9"/>
  <c r="E6413" i="9"/>
  <c r="E6412" i="9"/>
  <c r="E6411" i="9"/>
  <c r="E6410" i="9"/>
  <c r="E6409" i="9"/>
  <c r="E6408" i="9"/>
  <c r="E6407" i="9"/>
  <c r="E6406" i="9"/>
  <c r="E6405" i="9"/>
  <c r="E6404" i="9"/>
  <c r="E6403" i="9"/>
  <c r="E6402" i="9"/>
  <c r="E6401" i="9"/>
  <c r="E6400" i="9"/>
  <c r="E6399" i="9"/>
  <c r="E6398" i="9"/>
  <c r="E6397" i="9"/>
  <c r="E6396" i="9"/>
  <c r="E6395" i="9"/>
  <c r="E6394" i="9"/>
  <c r="E6393" i="9"/>
  <c r="E6392" i="9"/>
  <c r="E6391" i="9"/>
  <c r="E6390" i="9"/>
  <c r="E6389" i="9"/>
  <c r="E6388" i="9"/>
  <c r="E6387" i="9"/>
  <c r="E6386" i="9"/>
  <c r="E6385" i="9"/>
  <c r="E6384" i="9"/>
  <c r="E6383" i="9"/>
  <c r="E6382" i="9"/>
  <c r="E6381" i="9"/>
  <c r="E6380" i="9"/>
  <c r="E6379" i="9"/>
  <c r="E6378" i="9"/>
  <c r="E6377" i="9"/>
  <c r="E6376" i="9"/>
  <c r="E6375" i="9"/>
  <c r="E6374" i="9"/>
  <c r="E6373" i="9"/>
  <c r="E6372" i="9"/>
  <c r="E6371" i="9"/>
  <c r="E6370" i="9"/>
  <c r="E6369" i="9"/>
  <c r="E6368" i="9"/>
  <c r="E6367" i="9"/>
  <c r="E6366" i="9"/>
  <c r="E6365" i="9"/>
  <c r="E6364" i="9"/>
  <c r="E6363" i="9"/>
  <c r="E6362" i="9"/>
  <c r="E6361" i="9"/>
  <c r="E6360" i="9"/>
  <c r="E6359" i="9"/>
  <c r="E6358" i="9"/>
  <c r="E6357" i="9"/>
  <c r="E6356" i="9"/>
  <c r="E6355" i="9"/>
  <c r="E6354" i="9"/>
  <c r="E6353" i="9"/>
  <c r="E6352" i="9"/>
  <c r="E6351" i="9"/>
  <c r="E6350" i="9"/>
  <c r="E6349" i="9"/>
  <c r="E6348" i="9"/>
  <c r="E6347" i="9"/>
  <c r="E6346" i="9"/>
  <c r="E6345" i="9"/>
  <c r="E6344" i="9"/>
  <c r="E6343" i="9"/>
  <c r="E6342" i="9"/>
  <c r="E6341" i="9"/>
  <c r="E6340" i="9"/>
  <c r="E6339" i="9"/>
  <c r="E6338" i="9"/>
  <c r="E6337" i="9"/>
  <c r="E6336" i="9"/>
  <c r="E6335" i="9"/>
  <c r="E6334" i="9"/>
  <c r="E6333" i="9"/>
  <c r="E6332" i="9"/>
  <c r="E6331" i="9"/>
  <c r="E6330" i="9"/>
  <c r="E6329" i="9"/>
  <c r="E6328" i="9"/>
  <c r="E6327" i="9"/>
  <c r="E6326" i="9"/>
  <c r="E6325" i="9"/>
  <c r="E6324" i="9"/>
  <c r="E6323" i="9"/>
  <c r="E6322" i="9"/>
  <c r="E6321" i="9"/>
  <c r="E6320" i="9"/>
  <c r="E6319" i="9"/>
  <c r="E6318" i="9"/>
  <c r="E6317" i="9"/>
  <c r="E6316" i="9"/>
  <c r="E6315" i="9"/>
  <c r="E6314" i="9"/>
  <c r="E6313" i="9"/>
  <c r="E6312" i="9"/>
  <c r="E6311" i="9"/>
  <c r="E6310" i="9"/>
  <c r="E6309" i="9"/>
  <c r="E6308" i="9"/>
  <c r="E6307" i="9"/>
  <c r="E6306" i="9"/>
  <c r="E6305" i="9"/>
  <c r="E6304" i="9"/>
  <c r="E6303" i="9"/>
  <c r="E6302" i="9"/>
  <c r="E6301" i="9"/>
  <c r="E6300" i="9"/>
  <c r="E6299" i="9"/>
  <c r="E6298" i="9"/>
  <c r="E6297" i="9"/>
  <c r="E6296" i="9"/>
  <c r="E6295" i="9"/>
  <c r="E6294" i="9"/>
  <c r="E6293" i="9"/>
  <c r="E6292" i="9"/>
  <c r="E6291" i="9"/>
  <c r="E6290" i="9"/>
  <c r="E6289" i="9"/>
  <c r="E6288" i="9"/>
  <c r="E6287" i="9"/>
  <c r="E6286" i="9"/>
  <c r="E6285" i="9"/>
  <c r="E6284" i="9"/>
  <c r="E6283" i="9"/>
  <c r="E6282" i="9"/>
  <c r="E6281" i="9"/>
  <c r="E6280" i="9"/>
  <c r="E6279" i="9"/>
  <c r="E6278" i="9"/>
  <c r="E6277" i="9"/>
  <c r="E6276" i="9"/>
  <c r="E6275" i="9"/>
  <c r="E6274" i="9"/>
  <c r="E6273" i="9"/>
  <c r="E6272" i="9"/>
  <c r="E6271" i="9"/>
  <c r="E6270" i="9"/>
  <c r="E6269" i="9"/>
  <c r="E6268" i="9"/>
  <c r="E6267" i="9"/>
  <c r="E6266" i="9"/>
  <c r="E6265" i="9"/>
  <c r="E6264" i="9"/>
  <c r="E6263" i="9"/>
  <c r="E6262" i="9"/>
  <c r="E6261" i="9"/>
  <c r="E6260" i="9"/>
  <c r="E6259" i="9"/>
  <c r="E6258" i="9"/>
  <c r="E6257" i="9"/>
  <c r="E6256" i="9"/>
  <c r="E6255" i="9"/>
  <c r="E6254" i="9"/>
  <c r="E6253" i="9"/>
  <c r="E6252" i="9"/>
  <c r="E6251" i="9"/>
  <c r="E6250" i="9"/>
  <c r="E6249" i="9"/>
  <c r="E6248" i="9"/>
  <c r="E6247" i="9"/>
  <c r="E6246" i="9"/>
  <c r="E6245" i="9"/>
  <c r="E6244" i="9"/>
  <c r="E6243" i="9"/>
  <c r="E6242" i="9"/>
  <c r="E6241" i="9"/>
  <c r="E6240" i="9"/>
  <c r="E6239" i="9"/>
  <c r="E6238" i="9"/>
  <c r="E6237" i="9"/>
  <c r="E6236" i="9"/>
  <c r="E6235" i="9"/>
  <c r="E6234" i="9"/>
  <c r="E6233" i="9"/>
  <c r="E6232" i="9"/>
  <c r="E6231" i="9"/>
  <c r="E6230" i="9"/>
  <c r="E6229" i="9"/>
  <c r="E6228" i="9"/>
  <c r="E6227" i="9"/>
  <c r="E6226" i="9"/>
  <c r="E6225" i="9"/>
  <c r="E6224" i="9"/>
  <c r="E6223" i="9"/>
  <c r="E6222" i="9"/>
  <c r="E6221" i="9"/>
  <c r="E6220" i="9"/>
  <c r="E6219" i="9"/>
  <c r="E6218" i="9"/>
  <c r="E6217" i="9"/>
  <c r="E6216" i="9"/>
  <c r="E6215" i="9"/>
  <c r="E6214" i="9"/>
  <c r="E6213" i="9"/>
  <c r="E6212" i="9"/>
  <c r="E6211" i="9"/>
  <c r="E6210" i="9"/>
  <c r="E6209" i="9"/>
  <c r="E6208" i="9"/>
  <c r="E6207" i="9"/>
  <c r="E6206" i="9"/>
  <c r="E6205" i="9"/>
  <c r="E6204" i="9"/>
  <c r="E6203" i="9"/>
  <c r="E6202" i="9"/>
  <c r="E6201" i="9"/>
  <c r="E6200" i="9"/>
  <c r="E6199" i="9"/>
  <c r="E6198" i="9"/>
  <c r="E6197" i="9"/>
  <c r="E6196" i="9"/>
  <c r="E6195" i="9"/>
  <c r="E6194" i="9"/>
  <c r="E6193" i="9"/>
  <c r="E6192" i="9"/>
  <c r="E6191" i="9"/>
  <c r="E6190" i="9"/>
  <c r="E6189" i="9"/>
  <c r="E6188" i="9"/>
  <c r="E6187" i="9"/>
  <c r="E6186" i="9"/>
  <c r="E6185" i="9"/>
  <c r="E6184" i="9"/>
  <c r="E6183" i="9"/>
  <c r="E6182" i="9"/>
  <c r="E6181" i="9"/>
  <c r="E6180" i="9"/>
  <c r="E6179" i="9"/>
  <c r="E6178" i="9"/>
  <c r="E6177" i="9"/>
  <c r="E6176" i="9"/>
  <c r="E6175" i="9"/>
  <c r="E6174" i="9"/>
  <c r="E6173" i="9"/>
  <c r="E6172" i="9"/>
  <c r="E6171" i="9"/>
  <c r="E6170" i="9"/>
  <c r="E6169" i="9"/>
  <c r="E6168" i="9"/>
  <c r="E6167" i="9"/>
  <c r="E6166" i="9"/>
  <c r="E6165" i="9"/>
  <c r="E6164" i="9"/>
  <c r="E6163" i="9"/>
  <c r="E6162" i="9"/>
  <c r="E6161" i="9"/>
  <c r="E6160" i="9"/>
  <c r="E6159" i="9"/>
  <c r="E6158" i="9"/>
  <c r="E6157" i="9"/>
  <c r="E6156" i="9"/>
  <c r="E6155" i="9"/>
  <c r="E6154" i="9"/>
  <c r="E6153" i="9"/>
  <c r="E6152" i="9"/>
  <c r="E6151" i="9"/>
  <c r="E6150" i="9"/>
  <c r="E6149" i="9"/>
  <c r="E6148" i="9"/>
  <c r="E6147" i="9"/>
  <c r="E6146" i="9"/>
  <c r="E6145" i="9"/>
  <c r="E6144" i="9"/>
  <c r="E6143" i="9"/>
  <c r="E6142" i="9"/>
  <c r="E6141" i="9"/>
  <c r="E6140" i="9"/>
  <c r="E6139" i="9"/>
  <c r="E6138" i="9"/>
  <c r="E6137" i="9"/>
  <c r="E6136" i="9"/>
  <c r="E6135" i="9"/>
  <c r="E6134" i="9"/>
  <c r="E6133" i="9"/>
  <c r="E6132" i="9"/>
  <c r="E6131" i="9"/>
  <c r="E6130" i="9"/>
  <c r="E6129" i="9"/>
  <c r="E6128" i="9"/>
  <c r="E6127" i="9"/>
  <c r="E6126" i="9"/>
  <c r="E6125" i="9"/>
  <c r="E6124" i="9"/>
  <c r="E6123" i="9"/>
  <c r="E6122" i="9"/>
  <c r="E6121" i="9"/>
  <c r="E6120" i="9"/>
  <c r="E6119" i="9"/>
  <c r="E6118" i="9"/>
  <c r="E6117" i="9"/>
  <c r="E6116" i="9"/>
  <c r="E6115" i="9"/>
  <c r="E6114" i="9"/>
  <c r="E6113" i="9"/>
  <c r="E6112" i="9"/>
  <c r="E6111" i="9"/>
  <c r="E6110" i="9"/>
  <c r="E6109" i="9"/>
  <c r="E6108" i="9"/>
  <c r="E6107" i="9"/>
  <c r="E6106" i="9"/>
  <c r="E6105" i="9"/>
  <c r="E6104" i="9"/>
  <c r="E6103" i="9"/>
  <c r="E6102" i="9"/>
  <c r="E6101" i="9"/>
  <c r="E6100" i="9"/>
  <c r="E6099" i="9"/>
  <c r="E6098" i="9"/>
  <c r="E6097" i="9"/>
  <c r="E6096" i="9"/>
  <c r="E6095" i="9"/>
  <c r="E6094" i="9"/>
  <c r="E6093" i="9"/>
  <c r="E6092" i="9"/>
  <c r="E6091" i="9"/>
  <c r="E6090" i="9"/>
  <c r="E6089" i="9"/>
  <c r="E6088" i="9"/>
  <c r="E6087" i="9"/>
  <c r="E6086" i="9"/>
  <c r="E6085" i="9"/>
  <c r="E6084" i="9"/>
  <c r="E6083" i="9"/>
  <c r="E6082" i="9"/>
  <c r="E6081" i="9"/>
  <c r="E6080" i="9"/>
  <c r="E6079" i="9"/>
  <c r="E6078" i="9"/>
  <c r="E6077" i="9"/>
  <c r="E6076" i="9"/>
  <c r="E6075" i="9"/>
  <c r="E6074" i="9"/>
  <c r="E6073" i="9"/>
  <c r="E6072" i="9"/>
  <c r="E6071" i="9"/>
  <c r="E6070" i="9"/>
  <c r="E6069" i="9"/>
  <c r="E6068" i="9"/>
  <c r="E6067" i="9"/>
  <c r="E6066" i="9"/>
  <c r="E6065" i="9"/>
  <c r="E6064" i="9"/>
  <c r="E6063" i="9"/>
  <c r="E6062" i="9"/>
  <c r="E6061" i="9"/>
  <c r="E6060" i="9"/>
  <c r="E6059" i="9"/>
  <c r="E6058" i="9"/>
  <c r="E6057" i="9"/>
  <c r="E6056" i="9"/>
  <c r="E6055" i="9"/>
  <c r="E6054" i="9"/>
  <c r="E6053" i="9"/>
  <c r="E6052" i="9"/>
  <c r="E6051" i="9"/>
  <c r="E6050" i="9"/>
  <c r="E6049" i="9"/>
  <c r="E6048" i="9"/>
  <c r="E6047" i="9"/>
  <c r="E6046" i="9"/>
  <c r="E6045" i="9"/>
  <c r="E6044" i="9"/>
  <c r="E6043" i="9"/>
  <c r="E6042" i="9"/>
  <c r="E6041" i="9"/>
  <c r="E6040" i="9"/>
  <c r="E6039" i="9"/>
  <c r="E6038" i="9"/>
  <c r="E6037" i="9"/>
  <c r="E6036" i="9"/>
  <c r="E6035" i="9"/>
  <c r="E6034" i="9"/>
  <c r="E6033" i="9"/>
  <c r="E6032" i="9"/>
  <c r="E6031" i="9"/>
  <c r="E6030" i="9"/>
  <c r="E6029" i="9"/>
  <c r="E6028" i="9"/>
  <c r="E6027" i="9"/>
  <c r="E6026" i="9"/>
  <c r="E6025" i="9"/>
  <c r="E6024" i="9"/>
  <c r="E6023" i="9"/>
  <c r="E6022" i="9"/>
  <c r="E6021" i="9"/>
  <c r="E6020" i="9"/>
  <c r="E6019" i="9"/>
  <c r="E6018" i="9"/>
  <c r="E6017" i="9"/>
  <c r="E6016" i="9"/>
  <c r="E6015" i="9"/>
  <c r="E6014" i="9"/>
  <c r="E6013" i="9"/>
  <c r="E6012" i="9"/>
  <c r="E6011" i="9"/>
  <c r="E6010" i="9"/>
  <c r="E6009" i="9"/>
  <c r="E6008" i="9"/>
  <c r="E6007" i="9"/>
  <c r="E6006" i="9"/>
  <c r="E6005" i="9"/>
  <c r="E6004" i="9"/>
  <c r="E6003" i="9"/>
  <c r="E6002" i="9"/>
  <c r="E6001" i="9"/>
  <c r="E6000" i="9"/>
  <c r="E5999" i="9"/>
  <c r="E5998" i="9"/>
  <c r="E5997" i="9"/>
  <c r="E5996" i="9"/>
  <c r="E5995" i="9"/>
  <c r="E5994" i="9"/>
  <c r="E5993" i="9"/>
  <c r="E5992" i="9"/>
  <c r="E5991" i="9"/>
  <c r="E5990" i="9"/>
  <c r="E5989" i="9"/>
  <c r="E5988" i="9"/>
  <c r="E5987" i="9"/>
  <c r="E5986" i="9"/>
  <c r="E5985" i="9"/>
  <c r="E5984" i="9"/>
  <c r="E5983" i="9"/>
  <c r="E5982" i="9"/>
  <c r="E5981" i="9"/>
  <c r="E5980" i="9"/>
  <c r="E5979" i="9"/>
  <c r="E5978" i="9"/>
  <c r="E5977" i="9"/>
  <c r="E5976" i="9"/>
  <c r="E5975" i="9"/>
  <c r="E5974" i="9"/>
  <c r="E5973" i="9"/>
  <c r="E5972" i="9"/>
  <c r="E5971" i="9"/>
  <c r="E5970" i="9"/>
  <c r="E5969" i="9"/>
  <c r="E5968" i="9"/>
  <c r="E5967" i="9"/>
  <c r="E5966" i="9"/>
  <c r="E5965" i="9"/>
  <c r="E5964" i="9"/>
  <c r="E5963" i="9"/>
  <c r="E5962" i="9"/>
  <c r="E5961" i="9"/>
  <c r="E5960" i="9"/>
  <c r="E5959" i="9"/>
  <c r="E5958" i="9"/>
  <c r="E5957" i="9"/>
  <c r="E5956" i="9"/>
  <c r="E5955" i="9"/>
  <c r="E5954" i="9"/>
  <c r="E5953" i="9"/>
  <c r="E5952" i="9"/>
  <c r="E5951" i="9"/>
  <c r="E5950" i="9"/>
  <c r="E5949" i="9"/>
  <c r="E5948" i="9"/>
  <c r="E5947" i="9"/>
  <c r="E5946" i="9"/>
  <c r="E5945" i="9"/>
  <c r="E5944" i="9"/>
  <c r="E5943" i="9"/>
  <c r="E5942" i="9"/>
  <c r="E5941" i="9"/>
  <c r="E5940" i="9"/>
  <c r="E5939" i="9"/>
  <c r="E5938" i="9"/>
  <c r="E5937" i="9"/>
  <c r="E5936" i="9"/>
  <c r="E5935" i="9"/>
  <c r="E5934" i="9"/>
  <c r="E5933" i="9"/>
  <c r="E5932" i="9"/>
  <c r="E5931" i="9"/>
  <c r="E5930" i="9"/>
  <c r="E5929" i="9"/>
  <c r="E5928" i="9"/>
  <c r="E5927" i="9"/>
  <c r="E5926" i="9"/>
  <c r="E5925" i="9"/>
  <c r="E5924" i="9"/>
  <c r="E5923" i="9"/>
  <c r="E5922" i="9"/>
  <c r="E5921" i="9"/>
  <c r="E5920" i="9"/>
  <c r="E5919" i="9"/>
  <c r="E5918" i="9"/>
  <c r="E5917" i="9"/>
  <c r="E5916" i="9"/>
  <c r="E5915" i="9"/>
  <c r="E5914" i="9"/>
  <c r="E5913" i="9"/>
  <c r="E5912" i="9"/>
  <c r="E5911" i="9"/>
  <c r="E5910" i="9"/>
  <c r="E5909" i="9"/>
  <c r="E5908" i="9"/>
  <c r="E5907" i="9"/>
  <c r="E5906" i="9"/>
  <c r="E5905" i="9"/>
  <c r="E5904" i="9"/>
  <c r="E5903" i="9"/>
  <c r="E5902" i="9"/>
  <c r="E5901" i="9"/>
  <c r="E5900" i="9"/>
  <c r="E5899" i="9"/>
  <c r="E5898" i="9"/>
  <c r="E5897" i="9"/>
  <c r="E5896" i="9"/>
  <c r="E5895" i="9"/>
  <c r="E5894" i="9"/>
  <c r="E5893" i="9"/>
  <c r="E5892" i="9"/>
  <c r="E5891" i="9"/>
  <c r="E5890" i="9"/>
  <c r="E5889" i="9"/>
  <c r="E5888" i="9"/>
  <c r="E5887" i="9"/>
  <c r="E5886" i="9"/>
  <c r="E5885" i="9"/>
  <c r="E5884" i="9"/>
  <c r="E5883" i="9"/>
  <c r="E5882" i="9"/>
  <c r="E5881" i="9"/>
  <c r="E5880" i="9"/>
  <c r="E5879" i="9"/>
  <c r="E5878" i="9"/>
  <c r="E5877" i="9"/>
  <c r="E5876" i="9"/>
  <c r="E5875" i="9"/>
  <c r="E5874" i="9"/>
  <c r="E5873" i="9"/>
  <c r="E5872" i="9"/>
  <c r="E5871" i="9"/>
  <c r="E5870" i="9"/>
  <c r="E5869" i="9"/>
  <c r="E5868" i="9"/>
  <c r="E5867" i="9"/>
  <c r="E5866" i="9"/>
  <c r="E5865" i="9"/>
  <c r="E5864" i="9"/>
  <c r="E5863" i="9"/>
  <c r="E5862" i="9"/>
  <c r="E5861" i="9"/>
  <c r="E5860" i="9"/>
  <c r="E5859" i="9"/>
  <c r="E5858" i="9"/>
  <c r="E5857" i="9"/>
  <c r="E5856" i="9"/>
  <c r="E5855" i="9"/>
  <c r="E5854" i="9"/>
  <c r="E5853" i="9"/>
  <c r="E5852" i="9"/>
  <c r="E5851" i="9"/>
  <c r="E5850" i="9"/>
  <c r="E5849" i="9"/>
  <c r="E5848" i="9"/>
  <c r="E5847" i="9"/>
  <c r="E5846" i="9"/>
  <c r="E5845" i="9"/>
  <c r="E5844" i="9"/>
  <c r="E5843" i="9"/>
  <c r="E5842" i="9"/>
  <c r="E5841" i="9"/>
  <c r="E5840" i="9"/>
  <c r="E5839" i="9"/>
  <c r="E5838" i="9"/>
  <c r="E5837" i="9"/>
  <c r="E5836" i="9"/>
  <c r="E5835" i="9"/>
  <c r="E5834" i="9"/>
  <c r="E5833" i="9"/>
  <c r="E5832" i="9"/>
  <c r="E5831" i="9"/>
  <c r="E5830" i="9"/>
  <c r="E5829" i="9"/>
  <c r="E5828" i="9"/>
  <c r="E5827" i="9"/>
  <c r="E5826" i="9"/>
  <c r="E5825" i="9"/>
  <c r="E5824" i="9"/>
  <c r="E5823" i="9"/>
  <c r="E5822" i="9"/>
  <c r="E5821" i="9"/>
  <c r="E5820" i="9"/>
  <c r="E5819" i="9"/>
  <c r="E5818" i="9"/>
  <c r="E5817" i="9"/>
  <c r="E5816" i="9"/>
  <c r="E5815" i="9"/>
  <c r="E5814" i="9"/>
  <c r="E5813" i="9"/>
  <c r="E5812" i="9"/>
  <c r="E5811" i="9"/>
  <c r="E5810" i="9"/>
  <c r="E5809" i="9"/>
  <c r="E5808" i="9"/>
  <c r="E5807" i="9"/>
  <c r="E5806" i="9"/>
  <c r="E5805" i="9"/>
  <c r="E5804" i="9"/>
  <c r="E5803" i="9"/>
  <c r="E5802" i="9"/>
  <c r="E5801" i="9"/>
  <c r="E5800" i="9"/>
  <c r="E5799" i="9"/>
  <c r="E5798" i="9"/>
  <c r="E5797" i="9"/>
  <c r="E5796" i="9"/>
  <c r="E5795" i="9"/>
  <c r="E5794" i="9"/>
  <c r="E5793" i="9"/>
  <c r="E5792" i="9"/>
  <c r="E5791" i="9"/>
  <c r="E5790" i="9"/>
  <c r="E5789" i="9"/>
  <c r="E5788" i="9"/>
  <c r="E5787" i="9"/>
  <c r="E5786" i="9"/>
  <c r="E5785" i="9"/>
  <c r="E5784" i="9"/>
  <c r="E5783" i="9"/>
  <c r="E5782" i="9"/>
  <c r="E5781" i="9"/>
  <c r="E5780" i="9"/>
  <c r="E5779" i="9"/>
  <c r="E5778" i="9"/>
  <c r="E5777" i="9"/>
  <c r="E5776" i="9"/>
  <c r="E5775" i="9"/>
  <c r="E5774" i="9"/>
  <c r="E5773" i="9"/>
  <c r="E5772" i="9"/>
  <c r="E5771" i="9"/>
  <c r="E5770" i="9"/>
  <c r="E5769" i="9"/>
  <c r="E5768" i="9"/>
  <c r="E5767" i="9"/>
  <c r="E5766" i="9"/>
  <c r="E5765" i="9"/>
  <c r="E5764" i="9"/>
  <c r="E5763" i="9"/>
  <c r="E5762" i="9"/>
  <c r="E5761" i="9"/>
  <c r="E5760" i="9"/>
  <c r="E5759" i="9"/>
  <c r="E5758" i="9"/>
  <c r="E5757" i="9"/>
  <c r="E5756" i="9"/>
  <c r="E5755" i="9"/>
  <c r="E5754" i="9"/>
  <c r="E5753" i="9"/>
  <c r="E5752" i="9"/>
  <c r="E5751" i="9"/>
  <c r="E5750" i="9"/>
  <c r="E5749" i="9"/>
  <c r="E5748" i="9"/>
  <c r="E5747" i="9"/>
  <c r="E5746" i="9"/>
  <c r="E5745" i="9"/>
  <c r="E5744" i="9"/>
  <c r="E5743" i="9"/>
  <c r="E5742" i="9"/>
  <c r="E5741" i="9"/>
  <c r="E5740" i="9"/>
  <c r="E5739" i="9"/>
  <c r="E5738" i="9"/>
  <c r="E5737" i="9"/>
  <c r="E5736" i="9"/>
  <c r="E5735" i="9"/>
  <c r="E5734" i="9"/>
  <c r="E5733" i="9"/>
  <c r="E5732" i="9"/>
  <c r="E5731" i="9"/>
  <c r="E5730" i="9"/>
  <c r="E5729" i="9"/>
  <c r="E5728" i="9"/>
  <c r="E5727" i="9"/>
  <c r="E5726" i="9"/>
  <c r="E5725" i="9"/>
  <c r="E5724" i="9"/>
  <c r="E5723" i="9"/>
  <c r="E5722" i="9"/>
  <c r="E5721" i="9"/>
  <c r="E5720" i="9"/>
  <c r="E5719" i="9"/>
  <c r="E5718" i="9"/>
  <c r="E5717" i="9"/>
  <c r="E5716" i="9"/>
  <c r="E5715" i="9"/>
  <c r="E5714" i="9"/>
  <c r="E5713" i="9"/>
  <c r="E5712" i="9"/>
  <c r="E5711" i="9"/>
  <c r="E5710" i="9"/>
  <c r="E5709" i="9"/>
  <c r="E5708" i="9"/>
  <c r="E5707" i="9"/>
  <c r="E5706" i="9"/>
  <c r="E5705" i="9"/>
  <c r="E5704" i="9"/>
  <c r="E5703" i="9"/>
  <c r="E5702" i="9"/>
  <c r="E5701" i="9"/>
  <c r="E5700" i="9"/>
  <c r="E5699" i="9"/>
  <c r="E5698" i="9"/>
  <c r="E5697" i="9"/>
  <c r="E5696" i="9"/>
  <c r="E5695" i="9"/>
  <c r="E5694" i="9"/>
  <c r="E5693" i="9"/>
  <c r="E5692" i="9"/>
  <c r="E5691" i="9"/>
  <c r="E5690" i="9"/>
  <c r="E5689" i="9"/>
  <c r="E5688" i="9"/>
  <c r="E5687" i="9"/>
  <c r="E5686" i="9"/>
  <c r="E5685" i="9"/>
  <c r="E5684" i="9"/>
  <c r="E5683" i="9"/>
  <c r="E5682" i="9"/>
  <c r="E5681" i="9"/>
  <c r="E5680" i="9"/>
  <c r="E5679" i="9"/>
  <c r="E5678" i="9"/>
  <c r="E5677" i="9"/>
  <c r="E5676" i="9"/>
  <c r="E5675" i="9"/>
  <c r="E5674" i="9"/>
  <c r="E5673" i="9"/>
  <c r="E5672" i="9"/>
  <c r="E5671" i="9"/>
  <c r="E5670" i="9"/>
  <c r="E5669" i="9"/>
  <c r="E5668" i="9"/>
  <c r="E5667" i="9"/>
  <c r="E5666" i="9"/>
  <c r="E5665" i="9"/>
  <c r="E5664" i="9"/>
  <c r="E5663" i="9"/>
  <c r="E5662" i="9"/>
  <c r="E5661" i="9"/>
  <c r="E5660" i="9"/>
  <c r="E5659" i="9"/>
  <c r="E5658" i="9"/>
  <c r="E5657" i="9"/>
  <c r="E5656" i="9"/>
  <c r="E5655" i="9"/>
  <c r="E5654" i="9"/>
  <c r="E5653" i="9"/>
  <c r="E5652" i="9"/>
  <c r="E5651" i="9"/>
  <c r="E5650" i="9"/>
  <c r="E5649" i="9"/>
  <c r="E5648" i="9"/>
  <c r="E5647" i="9"/>
  <c r="E5646" i="9"/>
  <c r="E5645" i="9"/>
  <c r="E5644" i="9"/>
  <c r="E5643" i="9"/>
  <c r="E5642" i="9"/>
  <c r="E5641" i="9"/>
  <c r="E5640" i="9"/>
  <c r="E5639" i="9"/>
  <c r="E5638" i="9"/>
  <c r="E5637" i="9"/>
  <c r="E5636" i="9"/>
  <c r="E5635" i="9"/>
  <c r="E5634" i="9"/>
  <c r="E5633" i="9"/>
  <c r="E5632" i="9"/>
  <c r="E5631" i="9"/>
  <c r="E5630" i="9"/>
  <c r="E5629" i="9"/>
  <c r="E5628" i="9"/>
  <c r="E5627" i="9"/>
  <c r="E5626" i="9"/>
  <c r="E5625" i="9"/>
  <c r="E5624" i="9"/>
  <c r="E5623" i="9"/>
  <c r="E5622" i="9"/>
  <c r="E5621" i="9"/>
  <c r="E5620" i="9"/>
  <c r="E5619" i="9"/>
  <c r="E5618" i="9"/>
  <c r="E5617" i="9"/>
  <c r="E5616" i="9"/>
  <c r="E5615" i="9"/>
  <c r="E5614" i="9"/>
  <c r="E5613" i="9"/>
  <c r="E5612" i="9"/>
  <c r="E5611" i="9"/>
  <c r="E5610" i="9"/>
  <c r="E5609" i="9"/>
  <c r="E5608" i="9"/>
  <c r="E5607" i="9"/>
  <c r="E5606" i="9"/>
  <c r="E5605" i="9"/>
  <c r="E5604" i="9"/>
  <c r="E5603" i="9"/>
  <c r="E5602" i="9"/>
  <c r="E5601" i="9"/>
  <c r="E5600" i="9"/>
  <c r="E5599" i="9"/>
  <c r="E5598" i="9"/>
  <c r="E5597" i="9"/>
  <c r="E5596" i="9"/>
  <c r="E5595" i="9"/>
  <c r="E5594" i="9"/>
  <c r="E5593" i="9"/>
  <c r="E5592" i="9"/>
  <c r="E5591" i="9"/>
  <c r="E5590" i="9"/>
  <c r="E5589" i="9"/>
  <c r="E5588" i="9"/>
  <c r="E5587" i="9"/>
  <c r="E5586" i="9"/>
  <c r="E5585" i="9"/>
  <c r="E5584" i="9"/>
  <c r="E5583" i="9"/>
  <c r="E5582" i="9"/>
  <c r="E5581" i="9"/>
  <c r="E5580" i="9"/>
  <c r="E5579" i="9"/>
  <c r="E5578" i="9"/>
  <c r="E5577" i="9"/>
  <c r="E5576" i="9"/>
  <c r="E5575" i="9"/>
  <c r="E5574" i="9"/>
  <c r="E5573" i="9"/>
  <c r="E5572" i="9"/>
  <c r="E5571" i="9"/>
  <c r="E5570" i="9"/>
  <c r="E5569" i="9"/>
  <c r="E5568" i="9"/>
  <c r="E5567" i="9"/>
  <c r="E5566" i="9"/>
  <c r="E5565" i="9"/>
  <c r="E5564" i="9"/>
  <c r="E5563" i="9"/>
  <c r="E5562" i="9"/>
  <c r="E5561" i="9"/>
  <c r="E5560" i="9"/>
  <c r="E5559" i="9"/>
  <c r="E5558" i="9"/>
  <c r="E5557" i="9"/>
  <c r="E5556" i="9"/>
  <c r="E5555" i="9"/>
  <c r="E5554" i="9"/>
  <c r="E5553" i="9"/>
  <c r="E5552" i="9"/>
  <c r="E5551" i="9"/>
  <c r="E5550" i="9"/>
  <c r="E5549" i="9"/>
  <c r="E5548" i="9"/>
  <c r="E5547" i="9"/>
  <c r="E5546" i="9"/>
  <c r="E5545" i="9"/>
  <c r="E5544" i="9"/>
  <c r="E5543" i="9"/>
  <c r="E5542" i="9"/>
  <c r="E5541" i="9"/>
  <c r="E5540" i="9"/>
  <c r="E5539" i="9"/>
  <c r="E5538" i="9"/>
  <c r="E5537" i="9"/>
  <c r="E5536" i="9"/>
  <c r="E5535" i="9"/>
  <c r="E5534" i="9"/>
  <c r="E5533" i="9"/>
  <c r="E5532" i="9"/>
  <c r="E5531" i="9"/>
  <c r="E5530" i="9"/>
  <c r="E5529" i="9"/>
  <c r="E5528" i="9"/>
  <c r="E5527" i="9"/>
  <c r="E5526" i="9"/>
  <c r="E5525" i="9"/>
  <c r="E5524" i="9"/>
  <c r="E5523" i="9"/>
  <c r="E5522" i="9"/>
  <c r="E5521" i="9"/>
  <c r="E5520" i="9"/>
  <c r="E5519" i="9"/>
  <c r="E5518" i="9"/>
  <c r="E5517" i="9"/>
  <c r="E5516" i="9"/>
  <c r="E5515" i="9"/>
  <c r="E5514" i="9"/>
  <c r="E5513" i="9"/>
  <c r="E5512" i="9"/>
  <c r="E5511" i="9"/>
  <c r="E5510" i="9"/>
  <c r="E5509" i="9"/>
  <c r="E5508" i="9"/>
  <c r="E5507" i="9"/>
  <c r="E5506" i="9"/>
  <c r="E5505" i="9"/>
  <c r="E5504" i="9"/>
  <c r="E5503" i="9"/>
  <c r="E5502" i="9"/>
  <c r="E5501" i="9"/>
  <c r="E5500" i="9"/>
  <c r="E5499" i="9"/>
  <c r="E5498" i="9"/>
  <c r="E5497" i="9"/>
  <c r="E5496" i="9"/>
  <c r="E5495" i="9"/>
  <c r="E5494" i="9"/>
  <c r="E5493" i="9"/>
  <c r="E5492" i="9"/>
  <c r="E5491" i="9"/>
  <c r="E5490" i="9"/>
  <c r="E5489" i="9"/>
  <c r="E5488" i="9"/>
  <c r="E5487" i="9"/>
  <c r="E5486" i="9"/>
  <c r="E5485" i="9"/>
  <c r="E5484" i="9"/>
  <c r="E5483" i="9"/>
  <c r="E5482" i="9"/>
  <c r="E5481" i="9"/>
  <c r="E5480" i="9"/>
  <c r="E5479" i="9"/>
  <c r="E5478" i="9"/>
  <c r="E5477" i="9"/>
  <c r="E5476" i="9"/>
  <c r="E5475" i="9"/>
  <c r="E5474" i="9"/>
  <c r="E5473" i="9"/>
  <c r="E5472" i="9"/>
  <c r="E5471" i="9"/>
  <c r="E5470" i="9"/>
  <c r="E5469" i="9"/>
  <c r="E5468" i="9"/>
  <c r="E5467" i="9"/>
  <c r="E5466" i="9"/>
  <c r="E5465" i="9"/>
  <c r="E5464" i="9"/>
  <c r="E5463" i="9"/>
  <c r="E5462" i="9"/>
  <c r="E5461" i="9"/>
  <c r="E5460" i="9"/>
  <c r="E5459" i="9"/>
  <c r="E5458" i="9"/>
  <c r="E5457" i="9"/>
  <c r="E5456" i="9"/>
  <c r="E5455" i="9"/>
  <c r="E5454" i="9"/>
  <c r="E5453" i="9"/>
  <c r="E5452" i="9"/>
  <c r="E5451" i="9"/>
  <c r="E5450" i="9"/>
  <c r="E5449" i="9"/>
  <c r="E5448" i="9"/>
  <c r="E5447" i="9"/>
  <c r="E5446" i="9"/>
  <c r="E5445" i="9"/>
  <c r="E5444" i="9"/>
  <c r="E5443" i="9"/>
  <c r="E5442" i="9"/>
  <c r="E5441" i="9"/>
  <c r="E5440" i="9"/>
  <c r="E5439" i="9"/>
  <c r="E5438" i="9"/>
  <c r="E5437" i="9"/>
  <c r="E5436" i="9"/>
  <c r="E5435" i="9"/>
  <c r="E5434" i="9"/>
  <c r="E5433" i="9"/>
  <c r="E5432" i="9"/>
  <c r="E5431" i="9"/>
  <c r="E5430" i="9"/>
  <c r="E5429" i="9"/>
  <c r="E5428" i="9"/>
  <c r="E5427" i="9"/>
  <c r="E5426" i="9"/>
  <c r="E5425" i="9"/>
  <c r="E5424" i="9"/>
  <c r="E5423" i="9"/>
  <c r="E5422" i="9"/>
  <c r="E5421" i="9"/>
  <c r="E5420" i="9"/>
  <c r="E5419" i="9"/>
  <c r="E5418" i="9"/>
  <c r="E5417" i="9"/>
  <c r="E5416" i="9"/>
  <c r="E5415" i="9"/>
  <c r="E5414" i="9"/>
  <c r="E5413" i="9"/>
  <c r="E5412" i="9"/>
  <c r="E5411" i="9"/>
  <c r="E5410" i="9"/>
  <c r="E5409" i="9"/>
  <c r="E5408" i="9"/>
  <c r="E5407" i="9"/>
  <c r="E5406" i="9"/>
  <c r="E5405" i="9"/>
  <c r="E5404" i="9"/>
  <c r="E5403" i="9"/>
  <c r="E5402" i="9"/>
  <c r="E5401" i="9"/>
  <c r="E5400" i="9"/>
  <c r="E5399" i="9"/>
  <c r="E5398" i="9"/>
  <c r="E5397" i="9"/>
  <c r="E5396" i="9"/>
  <c r="E5395" i="9"/>
  <c r="E5394" i="9"/>
  <c r="E5393" i="9"/>
  <c r="E5392" i="9"/>
  <c r="E5391" i="9"/>
  <c r="E5390" i="9"/>
  <c r="E5389" i="9"/>
  <c r="E5388" i="9"/>
  <c r="E5387" i="9"/>
  <c r="E5386" i="9"/>
  <c r="E5385" i="9"/>
  <c r="E5384" i="9"/>
  <c r="E5383" i="9"/>
  <c r="E5382" i="9"/>
  <c r="E5381" i="9"/>
  <c r="E5380" i="9"/>
  <c r="E5379" i="9"/>
  <c r="E5378" i="9"/>
  <c r="E5377" i="9"/>
  <c r="E5376" i="9"/>
  <c r="E5375" i="9"/>
  <c r="E5374" i="9"/>
  <c r="E5373" i="9"/>
  <c r="E5372" i="9"/>
  <c r="E5371" i="9"/>
  <c r="E5370" i="9"/>
  <c r="E5369" i="9"/>
  <c r="E5368" i="9"/>
  <c r="E5367" i="9"/>
  <c r="E5366" i="9"/>
  <c r="E5365" i="9"/>
  <c r="E5364" i="9"/>
  <c r="E5363" i="9"/>
  <c r="E5362" i="9"/>
  <c r="E5361" i="9"/>
  <c r="E5360" i="9"/>
  <c r="E5359" i="9"/>
  <c r="E5358" i="9"/>
  <c r="E5357" i="9"/>
  <c r="E5356" i="9"/>
  <c r="E5355" i="9"/>
  <c r="E5354" i="9"/>
  <c r="E5353" i="9"/>
  <c r="E5352" i="9"/>
  <c r="E5351" i="9"/>
  <c r="E5350" i="9"/>
  <c r="E5349" i="9"/>
  <c r="E5348" i="9"/>
  <c r="E5347" i="9"/>
  <c r="E5346" i="9"/>
  <c r="E5345" i="9"/>
  <c r="E5344" i="9"/>
  <c r="E5343" i="9"/>
  <c r="E5342" i="9"/>
  <c r="E5341" i="9"/>
  <c r="E5340" i="9"/>
  <c r="E5339" i="9"/>
  <c r="E5338" i="9"/>
  <c r="E5337" i="9"/>
  <c r="E5336" i="9"/>
  <c r="E5335" i="9"/>
  <c r="E5334" i="9"/>
  <c r="E5333" i="9"/>
  <c r="E5332" i="9"/>
  <c r="E5331" i="9"/>
  <c r="E5330" i="9"/>
  <c r="E5329" i="9"/>
  <c r="E5328" i="9"/>
  <c r="E5327" i="9"/>
  <c r="E5326" i="9"/>
  <c r="E5325" i="9"/>
  <c r="E5324" i="9"/>
  <c r="E5323" i="9"/>
  <c r="E5322" i="9"/>
  <c r="E5321" i="9"/>
  <c r="E5320" i="9"/>
  <c r="E5319" i="9"/>
  <c r="E5318" i="9"/>
  <c r="E5317" i="9"/>
  <c r="E5316" i="9"/>
  <c r="E5315" i="9"/>
  <c r="E5314" i="9"/>
  <c r="E5313" i="9"/>
  <c r="E5312" i="9"/>
  <c r="E5311" i="9"/>
  <c r="E5310" i="9"/>
  <c r="E5309" i="9"/>
  <c r="E5308" i="9"/>
  <c r="E5307" i="9"/>
  <c r="E5306" i="9"/>
  <c r="E5305" i="9"/>
  <c r="E5304" i="9"/>
  <c r="E5303" i="9"/>
  <c r="E5302" i="9"/>
  <c r="E5301" i="9"/>
  <c r="E5300" i="9"/>
  <c r="E5299" i="9"/>
  <c r="E5298" i="9"/>
  <c r="E5297" i="9"/>
  <c r="E5296" i="9"/>
  <c r="E5295" i="9"/>
  <c r="E5294" i="9"/>
  <c r="E5293" i="9"/>
  <c r="E5292" i="9"/>
  <c r="E5291" i="9"/>
  <c r="E5290" i="9"/>
  <c r="E5289" i="9"/>
  <c r="E5288" i="9"/>
  <c r="E5287" i="9"/>
  <c r="E5286" i="9"/>
  <c r="E5285" i="9"/>
  <c r="E5284" i="9"/>
  <c r="E5283" i="9"/>
  <c r="E5282" i="9"/>
  <c r="E5281" i="9"/>
  <c r="E5280" i="9"/>
  <c r="E5279" i="9"/>
  <c r="E5278" i="9"/>
  <c r="E5277" i="9"/>
  <c r="E5276" i="9"/>
  <c r="E5275" i="9"/>
  <c r="E5274" i="9"/>
  <c r="E5273" i="9"/>
  <c r="E5272" i="9"/>
  <c r="E5271" i="9"/>
  <c r="E5270" i="9"/>
  <c r="E5269" i="9"/>
  <c r="E5268" i="9"/>
  <c r="E5267" i="9"/>
  <c r="E5266" i="9"/>
  <c r="E5265" i="9"/>
  <c r="E5264" i="9"/>
  <c r="E5263" i="9"/>
  <c r="E5262" i="9"/>
  <c r="E5261" i="9"/>
  <c r="E5260" i="9"/>
  <c r="E5259" i="9"/>
  <c r="E5258" i="9"/>
  <c r="E5257" i="9"/>
  <c r="E5256" i="9"/>
  <c r="E5255" i="9"/>
  <c r="E5254" i="9"/>
  <c r="E5253" i="9"/>
  <c r="E5252" i="9"/>
  <c r="E5251" i="9"/>
  <c r="E5250" i="9"/>
  <c r="E5249" i="9"/>
  <c r="E5248" i="9"/>
  <c r="E5247" i="9"/>
  <c r="E5246" i="9"/>
  <c r="E5245" i="9"/>
  <c r="E5244" i="9"/>
  <c r="E5243" i="9"/>
  <c r="E5242" i="9"/>
  <c r="E5241" i="9"/>
  <c r="E5240" i="9"/>
  <c r="E5239" i="9"/>
  <c r="E5238" i="9"/>
  <c r="E5237" i="9"/>
  <c r="E5236" i="9"/>
  <c r="E5235" i="9"/>
  <c r="E5234" i="9"/>
  <c r="E5233" i="9"/>
  <c r="E5232" i="9"/>
  <c r="E5231" i="9"/>
  <c r="E5230" i="9"/>
  <c r="E5229" i="9"/>
  <c r="E5228" i="9"/>
  <c r="E5227" i="9"/>
  <c r="E5226" i="9"/>
  <c r="E5225" i="9"/>
  <c r="E5224" i="9"/>
  <c r="E5223" i="9"/>
  <c r="E5222" i="9"/>
  <c r="E5221" i="9"/>
  <c r="E5220" i="9"/>
  <c r="E5219" i="9"/>
  <c r="E5218" i="9"/>
  <c r="E5217" i="9"/>
  <c r="E5216" i="9"/>
  <c r="E5215" i="9"/>
  <c r="E5214" i="9"/>
  <c r="E5213" i="9"/>
  <c r="E5212" i="9"/>
  <c r="E5211" i="9"/>
  <c r="E5210" i="9"/>
  <c r="E5209" i="9"/>
  <c r="E5208" i="9"/>
  <c r="E5207" i="9"/>
  <c r="E5206" i="9"/>
  <c r="E5205" i="9"/>
  <c r="E5204" i="9"/>
  <c r="E5203" i="9"/>
  <c r="E5202" i="9"/>
  <c r="E5201" i="9"/>
  <c r="E5200" i="9"/>
  <c r="E5199" i="9"/>
  <c r="E5198" i="9"/>
  <c r="E5197" i="9"/>
  <c r="E5196" i="9"/>
  <c r="E5195" i="9"/>
  <c r="E5194" i="9"/>
  <c r="E5193" i="9"/>
  <c r="E5192" i="9"/>
  <c r="E5191" i="9"/>
  <c r="E5190" i="9"/>
  <c r="E5189" i="9"/>
  <c r="E5188" i="9"/>
  <c r="E5187" i="9"/>
  <c r="E5186" i="9"/>
  <c r="E5185" i="9"/>
  <c r="E5184" i="9"/>
  <c r="E5183" i="9"/>
  <c r="E5182" i="9"/>
  <c r="E5181" i="9"/>
  <c r="E5180" i="9"/>
  <c r="E5179" i="9"/>
  <c r="E5178" i="9"/>
  <c r="E5177" i="9"/>
  <c r="E5176" i="9"/>
  <c r="E5175" i="9"/>
  <c r="E5174" i="9"/>
  <c r="E5173" i="9"/>
  <c r="E5172" i="9"/>
  <c r="E5171" i="9"/>
  <c r="E5170" i="9"/>
  <c r="E5169" i="9"/>
  <c r="E5168" i="9"/>
  <c r="E5167" i="9"/>
  <c r="E5166" i="9"/>
  <c r="E5165" i="9"/>
  <c r="E5164" i="9"/>
  <c r="E5163" i="9"/>
  <c r="E5162" i="9"/>
  <c r="E5161" i="9"/>
  <c r="E5160" i="9"/>
  <c r="E5159" i="9"/>
  <c r="E5158" i="9"/>
  <c r="E5157" i="9"/>
  <c r="E5156" i="9"/>
  <c r="E5155" i="9"/>
  <c r="E5154" i="9"/>
  <c r="E5153" i="9"/>
  <c r="E5152" i="9"/>
  <c r="E5151" i="9"/>
  <c r="E5150" i="9"/>
  <c r="E5149" i="9"/>
  <c r="E5148" i="9"/>
  <c r="E5147" i="9"/>
  <c r="E5146" i="9"/>
  <c r="E5145" i="9"/>
  <c r="E5144" i="9"/>
  <c r="E5143" i="9"/>
  <c r="E5142" i="9"/>
  <c r="E5141" i="9"/>
  <c r="E5140" i="9"/>
  <c r="E5139" i="9"/>
  <c r="E5138" i="9"/>
  <c r="E5137" i="9"/>
  <c r="E5136" i="9"/>
  <c r="E5135" i="9"/>
  <c r="E5134" i="9"/>
  <c r="E5133" i="9"/>
  <c r="E5132" i="9"/>
  <c r="E5131" i="9"/>
  <c r="E5130" i="9"/>
  <c r="E5129" i="9"/>
  <c r="E5128" i="9"/>
  <c r="E5127" i="9"/>
  <c r="E5126" i="9"/>
  <c r="E5125" i="9"/>
  <c r="E5124" i="9"/>
  <c r="E5123" i="9"/>
  <c r="E5122" i="9"/>
  <c r="E5121" i="9"/>
  <c r="E5120" i="9"/>
  <c r="E5119" i="9"/>
  <c r="E5118" i="9"/>
  <c r="E5117" i="9"/>
  <c r="E5116" i="9"/>
  <c r="E5115" i="9"/>
  <c r="E5114" i="9"/>
  <c r="E5113" i="9"/>
  <c r="E5112" i="9"/>
  <c r="E5111" i="9"/>
  <c r="E5110" i="9"/>
  <c r="E5109" i="9"/>
  <c r="E5108" i="9"/>
  <c r="E5107" i="9"/>
  <c r="E5106" i="9"/>
  <c r="E5105" i="9"/>
  <c r="E5104" i="9"/>
  <c r="E5103" i="9"/>
  <c r="E5102" i="9"/>
  <c r="E5101" i="9"/>
  <c r="E5100" i="9"/>
  <c r="E5099" i="9"/>
  <c r="E5098" i="9"/>
  <c r="E5097" i="9"/>
  <c r="E5096" i="9"/>
  <c r="E5095" i="9"/>
  <c r="E5094" i="9"/>
  <c r="E5093" i="9"/>
  <c r="E5092" i="9"/>
  <c r="E5091" i="9"/>
  <c r="E5090" i="9"/>
  <c r="E5089" i="9"/>
  <c r="E5088" i="9"/>
  <c r="E5087" i="9"/>
  <c r="E5086" i="9"/>
  <c r="E5085" i="9"/>
  <c r="E5084" i="9"/>
  <c r="E5083" i="9"/>
  <c r="E5082" i="9"/>
  <c r="E5081" i="9"/>
  <c r="E5080" i="9"/>
  <c r="E5079" i="9"/>
  <c r="E5078" i="9"/>
  <c r="E5077" i="9"/>
  <c r="E5076" i="9"/>
  <c r="E5075" i="9"/>
  <c r="E5074" i="9"/>
  <c r="E5073" i="9"/>
  <c r="E5072" i="9"/>
  <c r="E5071" i="9"/>
  <c r="E5070" i="9"/>
  <c r="E5069" i="9"/>
  <c r="E5068" i="9"/>
  <c r="E5067" i="9"/>
  <c r="E5066" i="9"/>
  <c r="E5065" i="9"/>
  <c r="E5064" i="9"/>
  <c r="E5063" i="9"/>
  <c r="E5062" i="9"/>
  <c r="E5061" i="9"/>
  <c r="E5060" i="9"/>
  <c r="E5059" i="9"/>
  <c r="E5058" i="9"/>
  <c r="E5057" i="9"/>
  <c r="E5056" i="9"/>
  <c r="E5055" i="9"/>
  <c r="E5054" i="9"/>
  <c r="E5053" i="9"/>
  <c r="E5052" i="9"/>
  <c r="E5051" i="9"/>
  <c r="E5050" i="9"/>
  <c r="E5049" i="9"/>
  <c r="E5048" i="9"/>
  <c r="E5047" i="9"/>
  <c r="E5046" i="9"/>
  <c r="E5045" i="9"/>
  <c r="E5044" i="9"/>
  <c r="E5043" i="9"/>
  <c r="E5042" i="9"/>
  <c r="E5041" i="9"/>
  <c r="E5040" i="9"/>
  <c r="E5039" i="9"/>
  <c r="E5038" i="9"/>
  <c r="E5037" i="9"/>
  <c r="E5036" i="9"/>
  <c r="E5035" i="9"/>
  <c r="E5034" i="9"/>
  <c r="E5033" i="9"/>
  <c r="E5032" i="9"/>
  <c r="E5031" i="9"/>
  <c r="E5030" i="9"/>
  <c r="E5029" i="9"/>
  <c r="E5028" i="9"/>
  <c r="E5027" i="9"/>
  <c r="E5026" i="9"/>
  <c r="E5025" i="9"/>
  <c r="E5024" i="9"/>
  <c r="E5023" i="9"/>
  <c r="E5022" i="9"/>
  <c r="E5021" i="9"/>
  <c r="E5020" i="9"/>
  <c r="E5019" i="9"/>
  <c r="E5018" i="9"/>
  <c r="E5017" i="9"/>
  <c r="E5016" i="9"/>
  <c r="E5015" i="9"/>
  <c r="E5014" i="9"/>
  <c r="E5013" i="9"/>
  <c r="E5012" i="9"/>
  <c r="E5011" i="9"/>
  <c r="E5010" i="9"/>
  <c r="E5009" i="9"/>
  <c r="E5008" i="9"/>
  <c r="E5007" i="9"/>
  <c r="E5006" i="9"/>
  <c r="E5005" i="9"/>
  <c r="E5004" i="9"/>
  <c r="E5003" i="9"/>
  <c r="E5002" i="9"/>
  <c r="E5001" i="9"/>
  <c r="E5000" i="9"/>
  <c r="E4999" i="9"/>
  <c r="E4998" i="9"/>
  <c r="E4997" i="9"/>
  <c r="E4996" i="9"/>
  <c r="E4995" i="9"/>
  <c r="E4994" i="9"/>
  <c r="E4993" i="9"/>
  <c r="E4992" i="9"/>
  <c r="E4991" i="9"/>
  <c r="E4990" i="9"/>
  <c r="E4989" i="9"/>
  <c r="E4988" i="9"/>
  <c r="E4987" i="9"/>
  <c r="E4986" i="9"/>
  <c r="E4985" i="9"/>
  <c r="E4984" i="9"/>
  <c r="E4983" i="9"/>
  <c r="E4982" i="9"/>
  <c r="E4981" i="9"/>
  <c r="E4980" i="9"/>
  <c r="E4979" i="9"/>
  <c r="E4978" i="9"/>
  <c r="E4977" i="9"/>
  <c r="E4976" i="9"/>
  <c r="E4975" i="9"/>
  <c r="E4974" i="9"/>
  <c r="E4973" i="9"/>
  <c r="E4972" i="9"/>
  <c r="E4971" i="9"/>
  <c r="E4970" i="9"/>
  <c r="E4969" i="9"/>
  <c r="E4968" i="9"/>
  <c r="E4967" i="9"/>
  <c r="E4966" i="9"/>
  <c r="E4965" i="9"/>
  <c r="E4964" i="9"/>
  <c r="E4963" i="9"/>
  <c r="E4962" i="9"/>
  <c r="E4961" i="9"/>
  <c r="E4960" i="9"/>
  <c r="E4959" i="9"/>
  <c r="E4958" i="9"/>
  <c r="E4957" i="9"/>
  <c r="E4956" i="9"/>
  <c r="E4955" i="9"/>
  <c r="E4954" i="9"/>
  <c r="E4953" i="9"/>
  <c r="E4952" i="9"/>
  <c r="E4951" i="9"/>
  <c r="E4950" i="9"/>
  <c r="E4949" i="9"/>
  <c r="E4948" i="9"/>
  <c r="E4947" i="9"/>
  <c r="E4946" i="9"/>
  <c r="E4945" i="9"/>
  <c r="E4944" i="9"/>
  <c r="E4943" i="9"/>
  <c r="E4942" i="9"/>
  <c r="E4941" i="9"/>
  <c r="E4940" i="9"/>
  <c r="E4939" i="9"/>
  <c r="E4938" i="9"/>
  <c r="E4937" i="9"/>
  <c r="E4936" i="9"/>
  <c r="E4935" i="9"/>
  <c r="E4934" i="9"/>
  <c r="E4933" i="9"/>
  <c r="E4932" i="9"/>
  <c r="E4931" i="9"/>
  <c r="E4930" i="9"/>
  <c r="E4929" i="9"/>
  <c r="E4928" i="9"/>
  <c r="E4927" i="9"/>
  <c r="E4926" i="9"/>
  <c r="E4925" i="9"/>
  <c r="E4924" i="9"/>
  <c r="E4923" i="9"/>
  <c r="E4922" i="9"/>
  <c r="E4921" i="9"/>
  <c r="E4920" i="9"/>
  <c r="E4919" i="9"/>
  <c r="E4918" i="9"/>
  <c r="E4917" i="9"/>
  <c r="E4916" i="9"/>
  <c r="E4915" i="9"/>
  <c r="E4914" i="9"/>
  <c r="E4913" i="9"/>
  <c r="E4912" i="9"/>
  <c r="E4911" i="9"/>
  <c r="E4910" i="9"/>
  <c r="E4909" i="9"/>
  <c r="E4908" i="9"/>
  <c r="E4907" i="9"/>
  <c r="E4906" i="9"/>
  <c r="E4905" i="9"/>
  <c r="E4904" i="9"/>
  <c r="E4903" i="9"/>
  <c r="E4902" i="9"/>
  <c r="E4901" i="9"/>
  <c r="E4900" i="9"/>
  <c r="E4899" i="9"/>
  <c r="E4898" i="9"/>
  <c r="E4897" i="9"/>
  <c r="E4896" i="9"/>
  <c r="E4895" i="9"/>
  <c r="E4894" i="9"/>
  <c r="E4893" i="9"/>
  <c r="E4892" i="9"/>
  <c r="E4891" i="9"/>
  <c r="E4890" i="9"/>
  <c r="E4889" i="9"/>
  <c r="E4888" i="9"/>
  <c r="E4887" i="9"/>
  <c r="E4886" i="9"/>
  <c r="E4885" i="9"/>
  <c r="E4884" i="9"/>
  <c r="E4883" i="9"/>
  <c r="E4882" i="9"/>
  <c r="E4881" i="9"/>
  <c r="E4880" i="9"/>
  <c r="E4879" i="9"/>
  <c r="E4878" i="9"/>
  <c r="E4877" i="9"/>
  <c r="E4876" i="9"/>
  <c r="E4875" i="9"/>
  <c r="E4874" i="9"/>
  <c r="E4873" i="9"/>
  <c r="E4872" i="9"/>
  <c r="E4871" i="9"/>
  <c r="E4870" i="9"/>
  <c r="E4869" i="9"/>
  <c r="E4868" i="9"/>
  <c r="E4867" i="9"/>
  <c r="E4866" i="9"/>
  <c r="E4865" i="9"/>
  <c r="E4864" i="9"/>
  <c r="E4863" i="9"/>
  <c r="E4862" i="9"/>
  <c r="E4861" i="9"/>
  <c r="E4860" i="9"/>
  <c r="E4859" i="9"/>
  <c r="E4858" i="9"/>
  <c r="E4857" i="9"/>
  <c r="E4856" i="9"/>
  <c r="E4855" i="9"/>
  <c r="E4854" i="9"/>
  <c r="E4853" i="9"/>
  <c r="E4852" i="9"/>
  <c r="E4851" i="9"/>
  <c r="E4850" i="9"/>
  <c r="E4849" i="9"/>
  <c r="E4848" i="9"/>
  <c r="E4847" i="9"/>
  <c r="E4846" i="9"/>
  <c r="E4845" i="9"/>
  <c r="E4844" i="9"/>
  <c r="E4843" i="9"/>
  <c r="E4842" i="9"/>
  <c r="E4841" i="9"/>
  <c r="E4840" i="9"/>
  <c r="E4839" i="9"/>
  <c r="E4838" i="9"/>
  <c r="E4837" i="9"/>
  <c r="E4836" i="9"/>
  <c r="E4835" i="9"/>
  <c r="E4834" i="9"/>
  <c r="E4833" i="9"/>
  <c r="E4832" i="9"/>
  <c r="E4831" i="9"/>
  <c r="E4830" i="9"/>
  <c r="E4829" i="9"/>
  <c r="E4828" i="9"/>
  <c r="E4827" i="9"/>
  <c r="E4826" i="9"/>
  <c r="E4825" i="9"/>
  <c r="E4824" i="9"/>
  <c r="E4823" i="9"/>
  <c r="E4822" i="9"/>
  <c r="E4821" i="9"/>
  <c r="E4820" i="9"/>
  <c r="E4819" i="9"/>
  <c r="E4818" i="9"/>
  <c r="E4817" i="9"/>
  <c r="E4816" i="9"/>
  <c r="E4815" i="9"/>
  <c r="E4814" i="9"/>
  <c r="E4813" i="9"/>
  <c r="E4812" i="9"/>
  <c r="E4811" i="9"/>
  <c r="E4810" i="9"/>
  <c r="E4809" i="9"/>
  <c r="E4808" i="9"/>
  <c r="E4807" i="9"/>
  <c r="E4806" i="9"/>
  <c r="E4805" i="9"/>
  <c r="E4804" i="9"/>
  <c r="E4803" i="9"/>
  <c r="E4802" i="9"/>
  <c r="E4801" i="9"/>
  <c r="E4800" i="9"/>
  <c r="E4799" i="9"/>
  <c r="E4798" i="9"/>
  <c r="E4797" i="9"/>
  <c r="E4796" i="9"/>
  <c r="E4795" i="9"/>
  <c r="E4794" i="9"/>
  <c r="E4793" i="9"/>
  <c r="E4792" i="9"/>
  <c r="E4791" i="9"/>
  <c r="E4790" i="9"/>
  <c r="E4789" i="9"/>
  <c r="E4788" i="9"/>
  <c r="E4787" i="9"/>
  <c r="E4786" i="9"/>
  <c r="E4785" i="9"/>
  <c r="E4784" i="9"/>
  <c r="E4783" i="9"/>
  <c r="E4782" i="9"/>
  <c r="E4781" i="9"/>
  <c r="E4780" i="9"/>
  <c r="E4779" i="9"/>
  <c r="E4778" i="9"/>
  <c r="E4777" i="9"/>
  <c r="E4776" i="9"/>
  <c r="E4775" i="9"/>
  <c r="E4774" i="9"/>
  <c r="E4773" i="9"/>
  <c r="E4772" i="9"/>
  <c r="E4771" i="9"/>
  <c r="E4770" i="9"/>
  <c r="E4769" i="9"/>
  <c r="E4768" i="9"/>
  <c r="E4767" i="9"/>
  <c r="E4766" i="9"/>
  <c r="E4765" i="9"/>
  <c r="E4764" i="9"/>
  <c r="E4763" i="9"/>
  <c r="E4762" i="9"/>
  <c r="E4761" i="9"/>
  <c r="E4760" i="9"/>
  <c r="E4759" i="9"/>
  <c r="E4758" i="9"/>
  <c r="E4757" i="9"/>
  <c r="E4756" i="9"/>
  <c r="E4755" i="9"/>
  <c r="E4754" i="9"/>
  <c r="E4753" i="9"/>
  <c r="E4752" i="9"/>
  <c r="E4751" i="9"/>
  <c r="E4750" i="9"/>
  <c r="E4749" i="9"/>
  <c r="E4748" i="9"/>
  <c r="E4747" i="9"/>
  <c r="E4746" i="9"/>
  <c r="E4745" i="9"/>
  <c r="E4744" i="9"/>
  <c r="E4743" i="9"/>
  <c r="E4742" i="9"/>
  <c r="E4741" i="9"/>
  <c r="E4740" i="9"/>
  <c r="E4739" i="9"/>
  <c r="E4738" i="9"/>
  <c r="E4737" i="9"/>
  <c r="E4736" i="9"/>
  <c r="E4735" i="9"/>
  <c r="E4734" i="9"/>
  <c r="E4733" i="9"/>
  <c r="E4732" i="9"/>
  <c r="E4731" i="9"/>
  <c r="E4730" i="9"/>
  <c r="E4729" i="9"/>
  <c r="E4728" i="9"/>
  <c r="E4727" i="9"/>
  <c r="E4726" i="9"/>
  <c r="E4725" i="9"/>
  <c r="E4724" i="9"/>
  <c r="E4723" i="9"/>
  <c r="E4722" i="9"/>
  <c r="E4721" i="9"/>
  <c r="E4720" i="9"/>
  <c r="E4719" i="9"/>
  <c r="E4718" i="9"/>
  <c r="E4717" i="9"/>
  <c r="E4716" i="9"/>
  <c r="E4715" i="9"/>
  <c r="E4714" i="9"/>
  <c r="E4713" i="9"/>
  <c r="E4712" i="9"/>
  <c r="E4711" i="9"/>
  <c r="E4710" i="9"/>
  <c r="E4709" i="9"/>
  <c r="E4708" i="9"/>
  <c r="E4707" i="9"/>
  <c r="E4706" i="9"/>
  <c r="E4705" i="9"/>
  <c r="E4704" i="9"/>
  <c r="E4703" i="9"/>
  <c r="E4702" i="9"/>
  <c r="E4701" i="9"/>
  <c r="E4700" i="9"/>
  <c r="E4699" i="9"/>
  <c r="E4698" i="9"/>
  <c r="E4697" i="9"/>
  <c r="E4696" i="9"/>
  <c r="E4695" i="9"/>
  <c r="E4694" i="9"/>
  <c r="E4693" i="9"/>
  <c r="E4692" i="9"/>
  <c r="E4691" i="9"/>
  <c r="E4690" i="9"/>
  <c r="E4689" i="9"/>
  <c r="E4688" i="9"/>
  <c r="E4687" i="9"/>
  <c r="E4686" i="9"/>
  <c r="E4685" i="9"/>
  <c r="E4684" i="9"/>
  <c r="E4683" i="9"/>
  <c r="E4682" i="9"/>
  <c r="E4681" i="9"/>
  <c r="E4680" i="9"/>
  <c r="E4679" i="9"/>
  <c r="E4678" i="9"/>
  <c r="E4677" i="9"/>
  <c r="E4676" i="9"/>
  <c r="E4675" i="9"/>
  <c r="E4674" i="9"/>
  <c r="E4673" i="9"/>
  <c r="E4672" i="9"/>
  <c r="E4671" i="9"/>
  <c r="E4670" i="9"/>
  <c r="E4669" i="9"/>
  <c r="E4668" i="9"/>
  <c r="E4667" i="9"/>
  <c r="E4666" i="9"/>
  <c r="E4665" i="9"/>
  <c r="E4664" i="9"/>
  <c r="E4663" i="9"/>
  <c r="E4662" i="9"/>
  <c r="E4661" i="9"/>
  <c r="E4660" i="9"/>
  <c r="E4659" i="9"/>
  <c r="E4658" i="9"/>
  <c r="E4657" i="9"/>
  <c r="E4656" i="9"/>
  <c r="E4655" i="9"/>
  <c r="E4654" i="9"/>
  <c r="E4653" i="9"/>
  <c r="E4652" i="9"/>
  <c r="E4651" i="9"/>
  <c r="E4650" i="9"/>
  <c r="E4649" i="9"/>
  <c r="E4648" i="9"/>
  <c r="E4647" i="9"/>
  <c r="E4646" i="9"/>
  <c r="E4645" i="9"/>
  <c r="E4644" i="9"/>
  <c r="E4643" i="9"/>
  <c r="E4642" i="9"/>
  <c r="E4641" i="9"/>
  <c r="E4640" i="9"/>
  <c r="E4639" i="9"/>
  <c r="E4638" i="9"/>
  <c r="E4637" i="9"/>
  <c r="E4636" i="9"/>
  <c r="E4635" i="9"/>
  <c r="E4634" i="9"/>
  <c r="E4633" i="9"/>
  <c r="E4632" i="9"/>
  <c r="E4631" i="9"/>
  <c r="E4630" i="9"/>
  <c r="E4629" i="9"/>
  <c r="E4628" i="9"/>
  <c r="E4627" i="9"/>
  <c r="E4626" i="9"/>
  <c r="E4625" i="9"/>
  <c r="E4624" i="9"/>
  <c r="E4623" i="9"/>
  <c r="E4622" i="9"/>
  <c r="E4621" i="9"/>
  <c r="E4620" i="9"/>
  <c r="E4619" i="9"/>
  <c r="E4618" i="9"/>
  <c r="E4617" i="9"/>
  <c r="E4616" i="9"/>
  <c r="E4615" i="9"/>
  <c r="E4614" i="9"/>
  <c r="E4613" i="9"/>
  <c r="E4612" i="9"/>
  <c r="E4611" i="9"/>
  <c r="E4610" i="9"/>
  <c r="E4609" i="9"/>
  <c r="E4608" i="9"/>
  <c r="E4607" i="9"/>
  <c r="E4606" i="9"/>
  <c r="E4605" i="9"/>
  <c r="E4604" i="9"/>
  <c r="E4603" i="9"/>
  <c r="E4602" i="9"/>
  <c r="E4601" i="9"/>
  <c r="E4600" i="9"/>
  <c r="E4599" i="9"/>
  <c r="E4598" i="9"/>
  <c r="E4597" i="9"/>
  <c r="E4596" i="9"/>
  <c r="E4595" i="9"/>
  <c r="E4594" i="9"/>
  <c r="E4593" i="9"/>
  <c r="E4592" i="9"/>
  <c r="E4591" i="9"/>
  <c r="E4590" i="9"/>
  <c r="E4589" i="9"/>
  <c r="E4588" i="9"/>
  <c r="E4587" i="9"/>
  <c r="E4586" i="9"/>
  <c r="E4585" i="9"/>
  <c r="E4584" i="9"/>
  <c r="E4583" i="9"/>
  <c r="E4582" i="9"/>
  <c r="E4581" i="9"/>
  <c r="E4580" i="9"/>
  <c r="E4579" i="9"/>
  <c r="E4578" i="9"/>
  <c r="E4577" i="9"/>
  <c r="E4576" i="9"/>
  <c r="E4575" i="9"/>
  <c r="E4574" i="9"/>
  <c r="E4573" i="9"/>
  <c r="E4572" i="9"/>
  <c r="E4571" i="9"/>
  <c r="E4570" i="9"/>
  <c r="E4569" i="9"/>
  <c r="E4568" i="9"/>
  <c r="E4567" i="9"/>
  <c r="E4566" i="9"/>
  <c r="E4565" i="9"/>
  <c r="E4564" i="9"/>
  <c r="E4563" i="9"/>
  <c r="E4562" i="9"/>
  <c r="E4561" i="9"/>
  <c r="E4560" i="9"/>
  <c r="E4559" i="9"/>
  <c r="E4558" i="9"/>
  <c r="E4557" i="9"/>
  <c r="E4556" i="9"/>
  <c r="E4555" i="9"/>
  <c r="E4554" i="9"/>
  <c r="E4553" i="9"/>
  <c r="E4552" i="9"/>
  <c r="E4551" i="9"/>
  <c r="E4550" i="9"/>
  <c r="E4549" i="9"/>
  <c r="E4548" i="9"/>
  <c r="E4547" i="9"/>
  <c r="E4546" i="9"/>
  <c r="E4545" i="9"/>
  <c r="E4544" i="9"/>
  <c r="E4543" i="9"/>
  <c r="E4542" i="9"/>
  <c r="E4541" i="9"/>
  <c r="E4540" i="9"/>
  <c r="E4539" i="9"/>
  <c r="E4538" i="9"/>
  <c r="E4537" i="9"/>
  <c r="E4536" i="9"/>
  <c r="E4535" i="9"/>
  <c r="E4534" i="9"/>
  <c r="E4533" i="9"/>
  <c r="E4532" i="9"/>
  <c r="E4531" i="9"/>
  <c r="E4530" i="9"/>
  <c r="E4529" i="9"/>
  <c r="E4528" i="9"/>
  <c r="E4527" i="9"/>
  <c r="E4526" i="9"/>
  <c r="E4525" i="9"/>
  <c r="E4524" i="9"/>
  <c r="E4523" i="9"/>
  <c r="E4522" i="9"/>
  <c r="E4521" i="9"/>
  <c r="E4520" i="9"/>
  <c r="E4519" i="9"/>
  <c r="E4518" i="9"/>
  <c r="E4517" i="9"/>
  <c r="E4516" i="9"/>
  <c r="E4515" i="9"/>
  <c r="E4514" i="9"/>
  <c r="E4513" i="9"/>
  <c r="E4512" i="9"/>
  <c r="E4511" i="9"/>
  <c r="E4510" i="9"/>
  <c r="E4509" i="9"/>
  <c r="E4508" i="9"/>
  <c r="E4507" i="9"/>
  <c r="E4506" i="9"/>
  <c r="E4505" i="9"/>
  <c r="E4504" i="9"/>
  <c r="E4503" i="9"/>
  <c r="E4502" i="9"/>
  <c r="E4501" i="9"/>
  <c r="E4500" i="9"/>
  <c r="E4499" i="9"/>
  <c r="E4498" i="9"/>
  <c r="E4497" i="9"/>
  <c r="E4496" i="9"/>
  <c r="E4495" i="9"/>
  <c r="E4494" i="9"/>
  <c r="E4493" i="9"/>
  <c r="E4492" i="9"/>
  <c r="E4491" i="9"/>
  <c r="E4490" i="9"/>
  <c r="E4489" i="9"/>
  <c r="E4488" i="9"/>
  <c r="E4487" i="9"/>
  <c r="E4486" i="9"/>
  <c r="E4485" i="9"/>
  <c r="E4484" i="9"/>
  <c r="E4483" i="9"/>
  <c r="E4482" i="9"/>
  <c r="E4481" i="9"/>
  <c r="E4480" i="9"/>
  <c r="E4479" i="9"/>
  <c r="E4478" i="9"/>
  <c r="E4477" i="9"/>
  <c r="E4476" i="9"/>
  <c r="E4475" i="9"/>
  <c r="E4474" i="9"/>
  <c r="E4473" i="9"/>
  <c r="E4472" i="9"/>
  <c r="E4471" i="9"/>
  <c r="E4470" i="9"/>
  <c r="E4469" i="9"/>
  <c r="E4468" i="9"/>
  <c r="E4467" i="9"/>
  <c r="E4466" i="9"/>
  <c r="E4465" i="9"/>
  <c r="E4464" i="9"/>
  <c r="E4463" i="9"/>
  <c r="E4462" i="9"/>
  <c r="E4461" i="9"/>
  <c r="E4460" i="9"/>
  <c r="E4459" i="9"/>
  <c r="E4458" i="9"/>
  <c r="E4457" i="9"/>
  <c r="E4456" i="9"/>
  <c r="E4455" i="9"/>
  <c r="E4454" i="9"/>
  <c r="E4453" i="9"/>
  <c r="E4452" i="9"/>
  <c r="E4451" i="9"/>
  <c r="E4450" i="9"/>
  <c r="E4449" i="9"/>
  <c r="E4448" i="9"/>
  <c r="E4447" i="9"/>
  <c r="E4446" i="9"/>
  <c r="E4445" i="9"/>
  <c r="E4444" i="9"/>
  <c r="E4443" i="9"/>
  <c r="E4442" i="9"/>
  <c r="E4441" i="9"/>
  <c r="E4440" i="9"/>
  <c r="E4439" i="9"/>
  <c r="E4438" i="9"/>
  <c r="E4437" i="9"/>
  <c r="E4436" i="9"/>
  <c r="E4435" i="9"/>
  <c r="E4434" i="9"/>
  <c r="E4433" i="9"/>
  <c r="E4432" i="9"/>
  <c r="E4431" i="9"/>
  <c r="E4430" i="9"/>
  <c r="E4429" i="9"/>
  <c r="E4428" i="9"/>
  <c r="E4427" i="9"/>
  <c r="E4426" i="9"/>
  <c r="E4425" i="9"/>
  <c r="E4424" i="9"/>
  <c r="E4423" i="9"/>
  <c r="E4422" i="9"/>
  <c r="E4421" i="9"/>
  <c r="E4420" i="9"/>
  <c r="E4419" i="9"/>
  <c r="E4418" i="9"/>
  <c r="E4417" i="9"/>
  <c r="E4416" i="9"/>
  <c r="E4415" i="9"/>
  <c r="E4414" i="9"/>
  <c r="E4413" i="9"/>
  <c r="E4412" i="9"/>
  <c r="E4411" i="9"/>
  <c r="E4410" i="9"/>
  <c r="E4409" i="9"/>
  <c r="E4408" i="9"/>
  <c r="E4407" i="9"/>
  <c r="E4406" i="9"/>
  <c r="E4405" i="9"/>
  <c r="E4404" i="9"/>
  <c r="E4403" i="9"/>
  <c r="E4402" i="9"/>
  <c r="E4401" i="9"/>
  <c r="E4400" i="9"/>
  <c r="E4399" i="9"/>
  <c r="E4398" i="9"/>
  <c r="E4397" i="9"/>
  <c r="E4396" i="9"/>
  <c r="E4395" i="9"/>
  <c r="E4394" i="9"/>
  <c r="E4393" i="9"/>
  <c r="E4392" i="9"/>
  <c r="E4391" i="9"/>
  <c r="E4390" i="9"/>
  <c r="E4389" i="9"/>
  <c r="E4388" i="9"/>
  <c r="E4387" i="9"/>
  <c r="E4386" i="9"/>
  <c r="E4385" i="9"/>
  <c r="E4384" i="9"/>
  <c r="E4383" i="9"/>
  <c r="E4382" i="9"/>
  <c r="E4381" i="9"/>
  <c r="E4380" i="9"/>
  <c r="E4379" i="9"/>
  <c r="E4378" i="9"/>
  <c r="E4377" i="9"/>
  <c r="E4376" i="9"/>
  <c r="E4375" i="9"/>
  <c r="E4374" i="9"/>
  <c r="E4373" i="9"/>
  <c r="E4372" i="9"/>
  <c r="E4371" i="9"/>
  <c r="E4370" i="9"/>
  <c r="E4369" i="9"/>
  <c r="E4368" i="9"/>
  <c r="E4367" i="9"/>
  <c r="E4366" i="9"/>
  <c r="E4365" i="9"/>
  <c r="E4364" i="9"/>
  <c r="E4363" i="9"/>
  <c r="E4362" i="9"/>
  <c r="E4361" i="9"/>
  <c r="E4360" i="9"/>
  <c r="E4359" i="9"/>
  <c r="E4358" i="9"/>
  <c r="E4357" i="9"/>
  <c r="E4356" i="9"/>
  <c r="E4355" i="9"/>
  <c r="E4354" i="9"/>
  <c r="E4353" i="9"/>
  <c r="E4352" i="9"/>
  <c r="E4351" i="9"/>
  <c r="E4350" i="9"/>
  <c r="E4349" i="9"/>
  <c r="E4348" i="9"/>
  <c r="E4347" i="9"/>
  <c r="E4346" i="9"/>
  <c r="E4345" i="9"/>
  <c r="E4344" i="9"/>
  <c r="E4343" i="9"/>
  <c r="E4342" i="9"/>
  <c r="E4341" i="9"/>
  <c r="E4340" i="9"/>
  <c r="E4339" i="9"/>
  <c r="E4338" i="9"/>
  <c r="E4337" i="9"/>
  <c r="E4336" i="9"/>
  <c r="E4335" i="9"/>
  <c r="E4334" i="9"/>
  <c r="E4333" i="9"/>
  <c r="E4332" i="9"/>
  <c r="E4331" i="9"/>
  <c r="E4330" i="9"/>
  <c r="E4329" i="9"/>
  <c r="E4328" i="9"/>
  <c r="E4327" i="9"/>
  <c r="E4326" i="9"/>
  <c r="E4325" i="9"/>
  <c r="E4324" i="9"/>
  <c r="E4323" i="9"/>
  <c r="E4322" i="9"/>
  <c r="E4321" i="9"/>
  <c r="E4320" i="9"/>
  <c r="E4319" i="9"/>
  <c r="E4318" i="9"/>
  <c r="E4317" i="9"/>
  <c r="E4316" i="9"/>
  <c r="E4315" i="9"/>
  <c r="E4314" i="9"/>
  <c r="E4313" i="9"/>
  <c r="E4312" i="9"/>
  <c r="E4311" i="9"/>
  <c r="E4310" i="9"/>
  <c r="E4309" i="9"/>
  <c r="E4308" i="9"/>
  <c r="E4307" i="9"/>
  <c r="E4306" i="9"/>
  <c r="E4305" i="9"/>
  <c r="E4304" i="9"/>
  <c r="E4303" i="9"/>
  <c r="E4302" i="9"/>
  <c r="E4301" i="9"/>
  <c r="E4300" i="9"/>
  <c r="E4299" i="9"/>
  <c r="E4298" i="9"/>
  <c r="E4297" i="9"/>
  <c r="E4296" i="9"/>
  <c r="E4295" i="9"/>
  <c r="E4294" i="9"/>
  <c r="E4293" i="9"/>
  <c r="E4292" i="9"/>
  <c r="E4291" i="9"/>
  <c r="E4290" i="9"/>
  <c r="E4289" i="9"/>
  <c r="E4288" i="9"/>
  <c r="E4287" i="9"/>
  <c r="E4286" i="9"/>
  <c r="E4285" i="9"/>
  <c r="E4284" i="9"/>
  <c r="E4283" i="9"/>
  <c r="E4282" i="9"/>
  <c r="E4281" i="9"/>
  <c r="E4280" i="9"/>
  <c r="E4279" i="9"/>
  <c r="E4278" i="9"/>
  <c r="E4277" i="9"/>
  <c r="E4276" i="9"/>
  <c r="E4275" i="9"/>
  <c r="E4274" i="9"/>
  <c r="E4273" i="9"/>
  <c r="E4272" i="9"/>
  <c r="E4271" i="9"/>
  <c r="E4270" i="9"/>
  <c r="E4269" i="9"/>
  <c r="E4268" i="9"/>
  <c r="E4267" i="9"/>
  <c r="E4266" i="9"/>
  <c r="E4265" i="9"/>
  <c r="E4264" i="9"/>
  <c r="E4263" i="9"/>
  <c r="E4262" i="9"/>
  <c r="E4261" i="9"/>
  <c r="E4260" i="9"/>
  <c r="E4259" i="9"/>
  <c r="E4258" i="9"/>
  <c r="E4257" i="9"/>
  <c r="E4256" i="9"/>
  <c r="E4255" i="9"/>
  <c r="E4254" i="9"/>
  <c r="E4253" i="9"/>
  <c r="E4252" i="9"/>
  <c r="E4251" i="9"/>
  <c r="E4250" i="9"/>
  <c r="E4249" i="9"/>
  <c r="E4248" i="9"/>
  <c r="E4247" i="9"/>
  <c r="E4246" i="9"/>
  <c r="E4245" i="9"/>
  <c r="E4244" i="9"/>
  <c r="E4243" i="9"/>
  <c r="E4242" i="9"/>
  <c r="E4241" i="9"/>
  <c r="E4240" i="9"/>
  <c r="E4239" i="9"/>
  <c r="E4238" i="9"/>
  <c r="E4237" i="9"/>
  <c r="E4236" i="9"/>
  <c r="E4235" i="9"/>
  <c r="E4234" i="9"/>
  <c r="E4233" i="9"/>
  <c r="E4232" i="9"/>
  <c r="E4231" i="9"/>
  <c r="E4230" i="9"/>
  <c r="E4229" i="9"/>
  <c r="E4228" i="9"/>
  <c r="E4227" i="9"/>
  <c r="E4226" i="9"/>
  <c r="E4225" i="9"/>
  <c r="E4224" i="9"/>
  <c r="E4223" i="9"/>
  <c r="E4222" i="9"/>
  <c r="E4221" i="9"/>
  <c r="E4220" i="9"/>
  <c r="E4219" i="9"/>
  <c r="E4218" i="9"/>
  <c r="E4217" i="9"/>
  <c r="E4216" i="9"/>
  <c r="E4215" i="9"/>
  <c r="E4214" i="9"/>
  <c r="E4213" i="9"/>
  <c r="E4212" i="9"/>
  <c r="E4211" i="9"/>
  <c r="E4210" i="9"/>
  <c r="E4209" i="9"/>
  <c r="E4208" i="9"/>
  <c r="E4207" i="9"/>
  <c r="E4206" i="9"/>
  <c r="E4205" i="9"/>
  <c r="E4204" i="9"/>
  <c r="E4203" i="9"/>
  <c r="E4202" i="9"/>
  <c r="E4201" i="9"/>
  <c r="E4200" i="9"/>
  <c r="E4199" i="9"/>
  <c r="E4198" i="9"/>
  <c r="E4197" i="9"/>
  <c r="E4196" i="9"/>
  <c r="E4195" i="9"/>
  <c r="E4194" i="9"/>
  <c r="E4193" i="9"/>
  <c r="E4192" i="9"/>
  <c r="E4191" i="9"/>
  <c r="E4190" i="9"/>
  <c r="E4189" i="9"/>
  <c r="E4188" i="9"/>
  <c r="E4187" i="9"/>
  <c r="E4186" i="9"/>
  <c r="E4185" i="9"/>
  <c r="E4184" i="9"/>
  <c r="E4183" i="9"/>
  <c r="E4182" i="9"/>
  <c r="E4181" i="9"/>
  <c r="E4180" i="9"/>
  <c r="E4179" i="9"/>
  <c r="E4178" i="9"/>
  <c r="E4177" i="9"/>
  <c r="E4176" i="9"/>
  <c r="E4175" i="9"/>
  <c r="E4174" i="9"/>
  <c r="E4173" i="9"/>
  <c r="E4172" i="9"/>
  <c r="E4171" i="9"/>
  <c r="E4170" i="9"/>
  <c r="E4169" i="9"/>
  <c r="E4168" i="9"/>
  <c r="E4167" i="9"/>
  <c r="E4166" i="9"/>
  <c r="E4165" i="9"/>
  <c r="E4164" i="9"/>
  <c r="E4163" i="9"/>
  <c r="E4162" i="9"/>
  <c r="E4161" i="9"/>
  <c r="E4160" i="9"/>
  <c r="E4159" i="9"/>
  <c r="E4158" i="9"/>
  <c r="E4157" i="9"/>
  <c r="E4156" i="9"/>
  <c r="E4155" i="9"/>
  <c r="E4154" i="9"/>
  <c r="E4153" i="9"/>
  <c r="E4152" i="9"/>
  <c r="E4151" i="9"/>
  <c r="E4150" i="9"/>
  <c r="E4149" i="9"/>
  <c r="E4148" i="9"/>
  <c r="E4147" i="9"/>
  <c r="E4146" i="9"/>
  <c r="E4145" i="9"/>
  <c r="E4144" i="9"/>
  <c r="E4143" i="9"/>
  <c r="E4142" i="9"/>
  <c r="E4141" i="9"/>
  <c r="E4140" i="9"/>
  <c r="E4139" i="9"/>
  <c r="E4138" i="9"/>
  <c r="E4137" i="9"/>
  <c r="E4136" i="9"/>
  <c r="E4135" i="9"/>
  <c r="E4134" i="9"/>
  <c r="E4133" i="9"/>
  <c r="E4132" i="9"/>
  <c r="E4131" i="9"/>
  <c r="E4130" i="9"/>
  <c r="E4129" i="9"/>
  <c r="E4128" i="9"/>
  <c r="E4127" i="9"/>
  <c r="E4126" i="9"/>
  <c r="E4125" i="9"/>
  <c r="E4124" i="9"/>
  <c r="E4123" i="9"/>
  <c r="E4122" i="9"/>
  <c r="E4121" i="9"/>
  <c r="E4120" i="9"/>
  <c r="E4119" i="9"/>
  <c r="E4118" i="9"/>
  <c r="E4117" i="9"/>
  <c r="E4116" i="9"/>
  <c r="E4115" i="9"/>
  <c r="E4114" i="9"/>
  <c r="E4113" i="9"/>
  <c r="E4112" i="9"/>
  <c r="E4111" i="9"/>
  <c r="E4110" i="9"/>
  <c r="E4109" i="9"/>
  <c r="E4108" i="9"/>
  <c r="E4107" i="9"/>
  <c r="E4106" i="9"/>
  <c r="E4105" i="9"/>
  <c r="E4104" i="9"/>
  <c r="E4103" i="9"/>
  <c r="E4102" i="9"/>
  <c r="E4101" i="9"/>
  <c r="E4100" i="9"/>
  <c r="E4099" i="9"/>
  <c r="E4098" i="9"/>
  <c r="E4097" i="9"/>
  <c r="E4096" i="9"/>
  <c r="E4095" i="9"/>
  <c r="E4094" i="9"/>
  <c r="E4093" i="9"/>
  <c r="E4092" i="9"/>
  <c r="E4091" i="9"/>
  <c r="E4090" i="9"/>
  <c r="E4089" i="9"/>
  <c r="E4088" i="9"/>
  <c r="E4087" i="9"/>
  <c r="E4086" i="9"/>
  <c r="E4085" i="9"/>
  <c r="E4084" i="9"/>
  <c r="E4083" i="9"/>
  <c r="E4082" i="9"/>
  <c r="E4081" i="9"/>
  <c r="E4080" i="9"/>
  <c r="E4079" i="9"/>
  <c r="E4078" i="9"/>
  <c r="E4077" i="9"/>
  <c r="E4076" i="9"/>
  <c r="E4075" i="9"/>
  <c r="E4074" i="9"/>
  <c r="E4073" i="9"/>
  <c r="E4072" i="9"/>
  <c r="E4071" i="9"/>
  <c r="E4070" i="9"/>
  <c r="E4069" i="9"/>
  <c r="E4068" i="9"/>
  <c r="E4067" i="9"/>
  <c r="E4066" i="9"/>
  <c r="E4065" i="9"/>
  <c r="E4064" i="9"/>
  <c r="E4063" i="9"/>
  <c r="E4062" i="9"/>
  <c r="E4061" i="9"/>
  <c r="E4060" i="9"/>
  <c r="E4059" i="9"/>
  <c r="E4058" i="9"/>
  <c r="E4057" i="9"/>
  <c r="E4056" i="9"/>
  <c r="E4055" i="9"/>
  <c r="E4054" i="9"/>
  <c r="E4053" i="9"/>
  <c r="E4052" i="9"/>
  <c r="E4051" i="9"/>
  <c r="E4050" i="9"/>
  <c r="E4049" i="9"/>
  <c r="E4048" i="9"/>
  <c r="E4047" i="9"/>
  <c r="E4046" i="9"/>
  <c r="E4045" i="9"/>
  <c r="E4044" i="9"/>
  <c r="E4043" i="9"/>
  <c r="E4042" i="9"/>
  <c r="E4041" i="9"/>
  <c r="E4040" i="9"/>
  <c r="E4039" i="9"/>
  <c r="E4038" i="9"/>
  <c r="E4037" i="9"/>
  <c r="E4036" i="9"/>
  <c r="E4035" i="9"/>
  <c r="E4034" i="9"/>
  <c r="E4033" i="9"/>
  <c r="E4032" i="9"/>
  <c r="E4031" i="9"/>
  <c r="E4030" i="9"/>
  <c r="E4029" i="9"/>
  <c r="E4028" i="9"/>
  <c r="E4027" i="9"/>
  <c r="E4026" i="9"/>
  <c r="E4025" i="9"/>
  <c r="E4024" i="9"/>
  <c r="E4023" i="9"/>
  <c r="E4022" i="9"/>
  <c r="E4021" i="9"/>
  <c r="E4020" i="9"/>
  <c r="E4019" i="9"/>
  <c r="E4018" i="9"/>
  <c r="E4017" i="9"/>
  <c r="E4016" i="9"/>
  <c r="E4015" i="9"/>
  <c r="E4014" i="9"/>
  <c r="E4013" i="9"/>
  <c r="E4012" i="9"/>
  <c r="E4011" i="9"/>
  <c r="E4010" i="9"/>
  <c r="E4009" i="9"/>
  <c r="E4008" i="9"/>
  <c r="E4007" i="9"/>
  <c r="E4006" i="9"/>
  <c r="E4005" i="9"/>
  <c r="E4004" i="9"/>
  <c r="E4003" i="9"/>
  <c r="E4002" i="9"/>
  <c r="E4001" i="9"/>
  <c r="E4000" i="9"/>
  <c r="E3999" i="9"/>
  <c r="E3998" i="9"/>
  <c r="E3997" i="9"/>
  <c r="E3996" i="9"/>
  <c r="E3995" i="9"/>
  <c r="E3994" i="9"/>
  <c r="E3993" i="9"/>
  <c r="E3992" i="9"/>
  <c r="E3991" i="9"/>
  <c r="E3990" i="9"/>
  <c r="E3989" i="9"/>
  <c r="E3988" i="9"/>
  <c r="E3987" i="9"/>
  <c r="E3986" i="9"/>
  <c r="E3985" i="9"/>
  <c r="E3984" i="9"/>
  <c r="E3983" i="9"/>
  <c r="E3982" i="9"/>
  <c r="E3981" i="9"/>
  <c r="E3980" i="9"/>
  <c r="E3979" i="9"/>
  <c r="E3978" i="9"/>
  <c r="E3977" i="9"/>
  <c r="E3976" i="9"/>
  <c r="E3975" i="9"/>
  <c r="E3974" i="9"/>
  <c r="E3973" i="9"/>
  <c r="E3972" i="9"/>
  <c r="E3971" i="9"/>
  <c r="E3970" i="9"/>
  <c r="E3969" i="9"/>
  <c r="E3968" i="9"/>
  <c r="E3967" i="9"/>
  <c r="E3966" i="9"/>
  <c r="E3965" i="9"/>
  <c r="E3964" i="9"/>
  <c r="E3963" i="9"/>
  <c r="E3962" i="9"/>
  <c r="E3961" i="9"/>
  <c r="E3960" i="9"/>
  <c r="E3959" i="9"/>
  <c r="E3958" i="9"/>
  <c r="E3957" i="9"/>
  <c r="E3956" i="9"/>
  <c r="E3955" i="9"/>
  <c r="E3954" i="9"/>
  <c r="E3953" i="9"/>
  <c r="E3952" i="9"/>
  <c r="E3951" i="9"/>
  <c r="E3950" i="9"/>
  <c r="E3949" i="9"/>
  <c r="E3948" i="9"/>
  <c r="E3947" i="9"/>
  <c r="E3946" i="9"/>
  <c r="E3945" i="9"/>
  <c r="E3944" i="9"/>
  <c r="E3943" i="9"/>
  <c r="E3942" i="9"/>
  <c r="E3941" i="9"/>
  <c r="E3940" i="9"/>
  <c r="E3939" i="9"/>
  <c r="E3938" i="9"/>
  <c r="E3937" i="9"/>
  <c r="E3936" i="9"/>
  <c r="E3935" i="9"/>
  <c r="E3934" i="9"/>
  <c r="E3933" i="9"/>
  <c r="E3932" i="9"/>
  <c r="E3931" i="9"/>
  <c r="E3930" i="9"/>
  <c r="E3929" i="9"/>
  <c r="E3928" i="9"/>
  <c r="E3927" i="9"/>
  <c r="E3926" i="9"/>
  <c r="E3925" i="9"/>
  <c r="E3924" i="9"/>
  <c r="E3923" i="9"/>
  <c r="E3922" i="9"/>
  <c r="E3921" i="9"/>
  <c r="E3920" i="9"/>
  <c r="E3919" i="9"/>
  <c r="E3918" i="9"/>
  <c r="E3917" i="9"/>
  <c r="E3916" i="9"/>
  <c r="E3915" i="9"/>
  <c r="E3914" i="9"/>
  <c r="E3913" i="9"/>
  <c r="E3912" i="9"/>
  <c r="E3911" i="9"/>
  <c r="E3910" i="9"/>
  <c r="E3909" i="9"/>
  <c r="E3908" i="9"/>
  <c r="E3907" i="9"/>
  <c r="E3906" i="9"/>
  <c r="E3905" i="9"/>
  <c r="E3904" i="9"/>
  <c r="E3903" i="9"/>
  <c r="E3902" i="9"/>
  <c r="E3901" i="9"/>
  <c r="E3900" i="9"/>
  <c r="E3899" i="9"/>
  <c r="E3898" i="9"/>
  <c r="E3897" i="9"/>
  <c r="E3896" i="9"/>
  <c r="E3895" i="9"/>
  <c r="E3894" i="9"/>
  <c r="E3893" i="9"/>
  <c r="E3892" i="9"/>
  <c r="E3891" i="9"/>
  <c r="E3890" i="9"/>
  <c r="E3889" i="9"/>
  <c r="E3888" i="9"/>
  <c r="E3887" i="9"/>
  <c r="E3886" i="9"/>
  <c r="E3885" i="9"/>
  <c r="E3884" i="9"/>
  <c r="E3883" i="9"/>
  <c r="E3882" i="9"/>
  <c r="E3881" i="9"/>
  <c r="E3880" i="9"/>
  <c r="E3879" i="9"/>
  <c r="E3878" i="9"/>
  <c r="E3877" i="9"/>
  <c r="E3876" i="9"/>
  <c r="E3875" i="9"/>
  <c r="E3874" i="9"/>
  <c r="E3873" i="9"/>
  <c r="E3872" i="9"/>
  <c r="E3871" i="9"/>
  <c r="E3870" i="9"/>
  <c r="E3869" i="9"/>
  <c r="E3868" i="9"/>
  <c r="E3867" i="9"/>
  <c r="E3866" i="9"/>
  <c r="E3865" i="9"/>
  <c r="E3864" i="9"/>
  <c r="E3863" i="9"/>
  <c r="E3862" i="9"/>
  <c r="E3861" i="9"/>
  <c r="E3860" i="9"/>
  <c r="E3859" i="9"/>
  <c r="E3858" i="9"/>
  <c r="E3857" i="9"/>
  <c r="E3856" i="9"/>
  <c r="E3855" i="9"/>
  <c r="E3854" i="9"/>
  <c r="E3853" i="9"/>
  <c r="E3852" i="9"/>
  <c r="E3851" i="9"/>
  <c r="E3850" i="9"/>
  <c r="E3849" i="9"/>
  <c r="E3848" i="9"/>
  <c r="E3847" i="9"/>
  <c r="E3846" i="9"/>
  <c r="E3845" i="9"/>
  <c r="E3844" i="9"/>
  <c r="E3843" i="9"/>
  <c r="E3842" i="9"/>
  <c r="E3841" i="9"/>
  <c r="E3840" i="9"/>
  <c r="E3839" i="9"/>
  <c r="E3838" i="9"/>
  <c r="E3837" i="9"/>
  <c r="E3836" i="9"/>
  <c r="E3835" i="9"/>
  <c r="E3834" i="9"/>
  <c r="E3833" i="9"/>
  <c r="E3832" i="9"/>
  <c r="E3831" i="9"/>
  <c r="E3830" i="9"/>
  <c r="E3829" i="9"/>
  <c r="E3828" i="9"/>
  <c r="E3827" i="9"/>
  <c r="E3826" i="9"/>
  <c r="E3825" i="9"/>
  <c r="E3824" i="9"/>
  <c r="E3823" i="9"/>
  <c r="E3822" i="9"/>
  <c r="E3821" i="9"/>
  <c r="E3820" i="9"/>
  <c r="E3819" i="9"/>
  <c r="E3818" i="9"/>
  <c r="E3817" i="9"/>
  <c r="E3816" i="9"/>
  <c r="E3815" i="9"/>
  <c r="E3814" i="9"/>
  <c r="E3813" i="9"/>
  <c r="E3812" i="9"/>
  <c r="E3811" i="9"/>
  <c r="E3810" i="9"/>
  <c r="E3809" i="9"/>
  <c r="E3808" i="9"/>
  <c r="E3807" i="9"/>
  <c r="E3806" i="9"/>
  <c r="E3805" i="9"/>
  <c r="E3804" i="9"/>
  <c r="E3803" i="9"/>
  <c r="E3802" i="9"/>
  <c r="E3801" i="9"/>
  <c r="E3800" i="9"/>
  <c r="E3799" i="9"/>
  <c r="E3798" i="9"/>
  <c r="E3797" i="9"/>
  <c r="E3796" i="9"/>
  <c r="E3795" i="9"/>
  <c r="E3794" i="9"/>
  <c r="E3793" i="9"/>
  <c r="E3792" i="9"/>
  <c r="E3791" i="9"/>
  <c r="E3790" i="9"/>
  <c r="E3789" i="9"/>
  <c r="E3788" i="9"/>
  <c r="E3787" i="9"/>
  <c r="E3786" i="9"/>
  <c r="E3785" i="9"/>
  <c r="E3784" i="9"/>
  <c r="E3783" i="9"/>
  <c r="E3782" i="9"/>
  <c r="E3781" i="9"/>
  <c r="E3780" i="9"/>
  <c r="E3779" i="9"/>
  <c r="E3778" i="9"/>
  <c r="E3777" i="9"/>
  <c r="E3776" i="9"/>
  <c r="E3775" i="9"/>
  <c r="E3774" i="9"/>
  <c r="E3773" i="9"/>
  <c r="E3772" i="9"/>
  <c r="E3771" i="9"/>
  <c r="E3770" i="9"/>
  <c r="E3769" i="9"/>
  <c r="E3768" i="9"/>
  <c r="E3767" i="9"/>
  <c r="E3766" i="9"/>
  <c r="E3765" i="9"/>
  <c r="E3764" i="9"/>
  <c r="E3763" i="9"/>
  <c r="E3762" i="9"/>
  <c r="E3761" i="9"/>
  <c r="E3760" i="9"/>
  <c r="E3759" i="9"/>
  <c r="E3758" i="9"/>
  <c r="E3757" i="9"/>
  <c r="E3756" i="9"/>
  <c r="E3755" i="9"/>
  <c r="E3754" i="9"/>
  <c r="E3753" i="9"/>
  <c r="E3752" i="9"/>
  <c r="E3751" i="9"/>
  <c r="E3750" i="9"/>
  <c r="E3749" i="9"/>
  <c r="E3748" i="9"/>
  <c r="E3747" i="9"/>
  <c r="E3746" i="9"/>
  <c r="E3745" i="9"/>
  <c r="E3744" i="9"/>
  <c r="E3743" i="9"/>
  <c r="E3742" i="9"/>
  <c r="E3741" i="9"/>
  <c r="E3740" i="9"/>
  <c r="E3739" i="9"/>
  <c r="E3738" i="9"/>
  <c r="E3737" i="9"/>
  <c r="E3736" i="9"/>
  <c r="E3735" i="9"/>
  <c r="E3734" i="9"/>
  <c r="E3733" i="9"/>
  <c r="E3732" i="9"/>
  <c r="E3731" i="9"/>
  <c r="E3730" i="9"/>
  <c r="E3729" i="9"/>
  <c r="E3728" i="9"/>
  <c r="E3727" i="9"/>
  <c r="E3726" i="9"/>
  <c r="E3725" i="9"/>
  <c r="E3724" i="9"/>
  <c r="E3723" i="9"/>
  <c r="E3722" i="9"/>
  <c r="E3721" i="9"/>
  <c r="E3720" i="9"/>
  <c r="E3719" i="9"/>
  <c r="E3718" i="9"/>
  <c r="E3717" i="9"/>
  <c r="E3716" i="9"/>
  <c r="E3715" i="9"/>
  <c r="E3714" i="9"/>
  <c r="E3713" i="9"/>
  <c r="E3712" i="9"/>
  <c r="E3711" i="9"/>
  <c r="E3710" i="9"/>
  <c r="E3709" i="9"/>
  <c r="E3708" i="9"/>
  <c r="E3707" i="9"/>
  <c r="E3706" i="9"/>
  <c r="E3705" i="9"/>
  <c r="E3704" i="9"/>
  <c r="E3703" i="9"/>
  <c r="E3702" i="9"/>
  <c r="E3701" i="9"/>
  <c r="E3700" i="9"/>
  <c r="E3699" i="9"/>
  <c r="E3698" i="9"/>
  <c r="E3697" i="9"/>
  <c r="E3696" i="9"/>
  <c r="E3695" i="9"/>
  <c r="E3694" i="9"/>
  <c r="E3693" i="9"/>
  <c r="E3692" i="9"/>
  <c r="E3691" i="9"/>
  <c r="E3690" i="9"/>
  <c r="E3689" i="9"/>
  <c r="E3688" i="9"/>
  <c r="E3687" i="9"/>
  <c r="E3686" i="9"/>
  <c r="E3685" i="9"/>
  <c r="E3684" i="9"/>
  <c r="E3683" i="9"/>
  <c r="E3682" i="9"/>
  <c r="E3681" i="9"/>
  <c r="E3680" i="9"/>
  <c r="E3679" i="9"/>
  <c r="E3678" i="9"/>
  <c r="E3677" i="9"/>
  <c r="E3676" i="9"/>
  <c r="E3675" i="9"/>
  <c r="E3674" i="9"/>
  <c r="E3673" i="9"/>
  <c r="E3672" i="9"/>
  <c r="E3671" i="9"/>
  <c r="E3670" i="9"/>
  <c r="E3669" i="9"/>
  <c r="E3668" i="9"/>
  <c r="E3667" i="9"/>
  <c r="E3666" i="9"/>
  <c r="E3665" i="9"/>
  <c r="E3664" i="9"/>
  <c r="E3663" i="9"/>
  <c r="E3662" i="9"/>
  <c r="E3661" i="9"/>
  <c r="E3660" i="9"/>
  <c r="E3659" i="9"/>
  <c r="E3658" i="9"/>
  <c r="E3657" i="9"/>
  <c r="E3656" i="9"/>
  <c r="E3655" i="9"/>
  <c r="E3654" i="9"/>
  <c r="E3653" i="9"/>
  <c r="E3652" i="9"/>
  <c r="E3651" i="9"/>
  <c r="E3650" i="9"/>
  <c r="E3649" i="9"/>
  <c r="E3648" i="9"/>
  <c r="E3647" i="9"/>
  <c r="E3646" i="9"/>
  <c r="E3645" i="9"/>
  <c r="E3644" i="9"/>
  <c r="E3643" i="9"/>
  <c r="E3642" i="9"/>
  <c r="E3641" i="9"/>
  <c r="E3640" i="9"/>
  <c r="E3639" i="9"/>
  <c r="E3638" i="9"/>
  <c r="E3637" i="9"/>
  <c r="E3636" i="9"/>
  <c r="E3635" i="9"/>
  <c r="E3634" i="9"/>
  <c r="E3633" i="9"/>
  <c r="E3632" i="9"/>
  <c r="E3631" i="9"/>
  <c r="E3630" i="9"/>
  <c r="E3629" i="9"/>
  <c r="E3628" i="9"/>
  <c r="E3627" i="9"/>
  <c r="E3626" i="9"/>
  <c r="E3625" i="9"/>
  <c r="E3624" i="9"/>
  <c r="E3623" i="9"/>
  <c r="E3622" i="9"/>
  <c r="E3621" i="9"/>
  <c r="E3620" i="9"/>
  <c r="E3619" i="9"/>
  <c r="E3618" i="9"/>
  <c r="E3617" i="9"/>
  <c r="E3616" i="9"/>
  <c r="E3615" i="9"/>
  <c r="E3614" i="9"/>
  <c r="E3613" i="9"/>
  <c r="E3612" i="9"/>
  <c r="E3611" i="9"/>
  <c r="E3610" i="9"/>
  <c r="E3609" i="9"/>
  <c r="E3608" i="9"/>
  <c r="E3607" i="9"/>
  <c r="E3606" i="9"/>
  <c r="E3605" i="9"/>
  <c r="E3604" i="9"/>
  <c r="E3603" i="9"/>
  <c r="E3602" i="9"/>
  <c r="E3601" i="9"/>
  <c r="E3600" i="9"/>
  <c r="E3599" i="9"/>
  <c r="E3598" i="9"/>
  <c r="E3597" i="9"/>
  <c r="E3596" i="9"/>
  <c r="E3595" i="9"/>
  <c r="E3594" i="9"/>
  <c r="E3593" i="9"/>
  <c r="E3592" i="9"/>
  <c r="E3591" i="9"/>
  <c r="E3590" i="9"/>
  <c r="E3589" i="9"/>
  <c r="E3588" i="9"/>
  <c r="E3587" i="9"/>
  <c r="E3586" i="9"/>
  <c r="E3585" i="9"/>
  <c r="E3584" i="9"/>
  <c r="E3583" i="9"/>
  <c r="E3582" i="9"/>
  <c r="E3581" i="9"/>
  <c r="E3580" i="9"/>
  <c r="E3579" i="9"/>
  <c r="E3578" i="9"/>
  <c r="E3577" i="9"/>
  <c r="E3576" i="9"/>
  <c r="E3575" i="9"/>
  <c r="E3574" i="9"/>
  <c r="E3573" i="9"/>
  <c r="E3572" i="9"/>
  <c r="E3571" i="9"/>
  <c r="E3570" i="9"/>
  <c r="E3569" i="9"/>
  <c r="E3568" i="9"/>
  <c r="E3567" i="9"/>
  <c r="E3566" i="9"/>
  <c r="E3565" i="9"/>
  <c r="E3564" i="9"/>
  <c r="E3563" i="9"/>
  <c r="E3562" i="9"/>
  <c r="E3561" i="9"/>
  <c r="E3560" i="9"/>
  <c r="E3559" i="9"/>
  <c r="E3558" i="9"/>
  <c r="E3557" i="9"/>
  <c r="E3556" i="9"/>
  <c r="E3555" i="9"/>
  <c r="E3554" i="9"/>
  <c r="E3553" i="9"/>
  <c r="E3552" i="9"/>
  <c r="E3551" i="9"/>
  <c r="E3550" i="9"/>
  <c r="E3549" i="9"/>
  <c r="E3548" i="9"/>
  <c r="E3547" i="9"/>
  <c r="E3546" i="9"/>
  <c r="E3545" i="9"/>
  <c r="E3544" i="9"/>
  <c r="E3543" i="9"/>
  <c r="E3542" i="9"/>
  <c r="E3541" i="9"/>
  <c r="E3540" i="9"/>
  <c r="E3539" i="9"/>
  <c r="E3538" i="9"/>
  <c r="E3537" i="9"/>
  <c r="E3536" i="9"/>
  <c r="E3535" i="9"/>
  <c r="E3534" i="9"/>
  <c r="E3533" i="9"/>
  <c r="E3532" i="9"/>
  <c r="E3531" i="9"/>
  <c r="E3530" i="9"/>
  <c r="E3529" i="9"/>
  <c r="E3528" i="9"/>
  <c r="E3527" i="9"/>
  <c r="E3526" i="9"/>
  <c r="E3525" i="9"/>
  <c r="E3524" i="9"/>
  <c r="E3523" i="9"/>
  <c r="E3522" i="9"/>
  <c r="E3521" i="9"/>
  <c r="E3520" i="9"/>
  <c r="E3519" i="9"/>
  <c r="E3518" i="9"/>
  <c r="E3517" i="9"/>
  <c r="E3516" i="9"/>
  <c r="E3515" i="9"/>
  <c r="E3514" i="9"/>
  <c r="E3513" i="9"/>
  <c r="E3512" i="9"/>
  <c r="E3511" i="9"/>
  <c r="E3510" i="9"/>
  <c r="E3509" i="9"/>
  <c r="E3508" i="9"/>
  <c r="E3507" i="9"/>
  <c r="E3506" i="9"/>
  <c r="E3505" i="9"/>
  <c r="E3504" i="9"/>
  <c r="E3503" i="9"/>
  <c r="E3502" i="9"/>
  <c r="E3501" i="9"/>
  <c r="E3500" i="9"/>
  <c r="E3499" i="9"/>
  <c r="E3498" i="9"/>
  <c r="E3497" i="9"/>
  <c r="E3496" i="9"/>
  <c r="E3495" i="9"/>
  <c r="E3494" i="9"/>
  <c r="E3493" i="9"/>
  <c r="E3492" i="9"/>
  <c r="E3491" i="9"/>
  <c r="E3490" i="9"/>
  <c r="E3489" i="9"/>
  <c r="E3488" i="9"/>
  <c r="E3487" i="9"/>
  <c r="E3486" i="9"/>
  <c r="E3485" i="9"/>
  <c r="E3484" i="9"/>
  <c r="E3483" i="9"/>
  <c r="E3482" i="9"/>
  <c r="E3481" i="9"/>
  <c r="E3480" i="9"/>
  <c r="E3479" i="9"/>
  <c r="E3478" i="9"/>
  <c r="E3477" i="9"/>
  <c r="E3476" i="9"/>
  <c r="E3475" i="9"/>
  <c r="E3474" i="9"/>
  <c r="E3473" i="9"/>
  <c r="E3472" i="9"/>
  <c r="E3471" i="9"/>
  <c r="E3470" i="9"/>
  <c r="E3469" i="9"/>
  <c r="E3468" i="9"/>
  <c r="E3467" i="9"/>
  <c r="E3466" i="9"/>
  <c r="E3465" i="9"/>
  <c r="E3464" i="9"/>
  <c r="E3463" i="9"/>
  <c r="E3462" i="9"/>
  <c r="E3461" i="9"/>
  <c r="E3460" i="9"/>
  <c r="E3459" i="9"/>
  <c r="E3458" i="9"/>
  <c r="E3457" i="9"/>
  <c r="E3456" i="9"/>
  <c r="E3455" i="9"/>
  <c r="E3454" i="9"/>
  <c r="E3453" i="9"/>
  <c r="E3452" i="9"/>
  <c r="E3451" i="9"/>
  <c r="E3450" i="9"/>
  <c r="E3449" i="9"/>
  <c r="E3448" i="9"/>
  <c r="E3447" i="9"/>
  <c r="E3446" i="9"/>
  <c r="E3445" i="9"/>
  <c r="E3444" i="9"/>
  <c r="E3443" i="9"/>
  <c r="E3442" i="9"/>
  <c r="E3441" i="9"/>
  <c r="E3440" i="9"/>
  <c r="E3439" i="9"/>
  <c r="E3438" i="9"/>
  <c r="E3437" i="9"/>
  <c r="E3436" i="9"/>
  <c r="E3435" i="9"/>
  <c r="E3434" i="9"/>
  <c r="E3433" i="9"/>
  <c r="E3432" i="9"/>
  <c r="E3431" i="9"/>
  <c r="E3430" i="9"/>
  <c r="E3429" i="9"/>
  <c r="E3428" i="9"/>
  <c r="E3427" i="9"/>
  <c r="E3426" i="9"/>
  <c r="E3425" i="9"/>
  <c r="E3424" i="9"/>
  <c r="E3423" i="9"/>
  <c r="E3422" i="9"/>
  <c r="E3421" i="9"/>
  <c r="E3420" i="9"/>
  <c r="E3419" i="9"/>
  <c r="E3418" i="9"/>
  <c r="E3417" i="9"/>
  <c r="E3416" i="9"/>
  <c r="E3415" i="9"/>
  <c r="E3414" i="9"/>
  <c r="E3413" i="9"/>
  <c r="E3412" i="9"/>
  <c r="E3411" i="9"/>
  <c r="E3410" i="9"/>
  <c r="E3409" i="9"/>
  <c r="E3408" i="9"/>
  <c r="E3407" i="9"/>
  <c r="E3406" i="9"/>
  <c r="E3405" i="9"/>
  <c r="E3404" i="9"/>
  <c r="E3403" i="9"/>
  <c r="E3402" i="9"/>
  <c r="E3401" i="9"/>
  <c r="E3400" i="9"/>
  <c r="E3399" i="9"/>
  <c r="E3398" i="9"/>
  <c r="E3397" i="9"/>
  <c r="E3396" i="9"/>
  <c r="E3395" i="9"/>
  <c r="E3394" i="9"/>
  <c r="E3393" i="9"/>
  <c r="E3392" i="9"/>
  <c r="E3391" i="9"/>
  <c r="E3390" i="9"/>
  <c r="E3389" i="9"/>
  <c r="E3388" i="9"/>
  <c r="E3387" i="9"/>
  <c r="E3386" i="9"/>
  <c r="E3385" i="9"/>
  <c r="E3384" i="9"/>
  <c r="E3383" i="9"/>
  <c r="E3382" i="9"/>
  <c r="E3381" i="9"/>
  <c r="E3380" i="9"/>
  <c r="E3379" i="9"/>
  <c r="E3378" i="9"/>
  <c r="E3377" i="9"/>
  <c r="E3376" i="9"/>
  <c r="E3375" i="9"/>
  <c r="E3374" i="9"/>
  <c r="E3373" i="9"/>
  <c r="E3372" i="9"/>
  <c r="E3371" i="9"/>
  <c r="E3370" i="9"/>
  <c r="E3369" i="9"/>
  <c r="E3368" i="9"/>
  <c r="E3367" i="9"/>
  <c r="E3366" i="9"/>
  <c r="E3365" i="9"/>
  <c r="E3364" i="9"/>
  <c r="E3363" i="9"/>
  <c r="E3362" i="9"/>
  <c r="E3361" i="9"/>
  <c r="E3360" i="9"/>
  <c r="E3359" i="9"/>
  <c r="E3358" i="9"/>
  <c r="E3357" i="9"/>
  <c r="E3356" i="9"/>
  <c r="E3355" i="9"/>
  <c r="E3354" i="9"/>
  <c r="E3353" i="9"/>
  <c r="E3352" i="9"/>
  <c r="E3351" i="9"/>
  <c r="E3350" i="9"/>
  <c r="E3349" i="9"/>
  <c r="E3348" i="9"/>
  <c r="E3347" i="9"/>
  <c r="E3346" i="9"/>
  <c r="E3345" i="9"/>
  <c r="E3344" i="9"/>
  <c r="E3343" i="9"/>
  <c r="E3342" i="9"/>
  <c r="E3341" i="9"/>
  <c r="E3340" i="9"/>
  <c r="E3339" i="9"/>
  <c r="E3338" i="9"/>
  <c r="E3337" i="9"/>
  <c r="E3336" i="9"/>
  <c r="E3335" i="9"/>
  <c r="E3334" i="9"/>
  <c r="E3333" i="9"/>
  <c r="E3332" i="9"/>
  <c r="E3331" i="9"/>
  <c r="E3330" i="9"/>
  <c r="E3329" i="9"/>
  <c r="E3328" i="9"/>
  <c r="E3327" i="9"/>
  <c r="E3326" i="9"/>
  <c r="E3325" i="9"/>
  <c r="E3324" i="9"/>
  <c r="E3323" i="9"/>
  <c r="E3322" i="9"/>
  <c r="E3321" i="9"/>
  <c r="E3320" i="9"/>
  <c r="E3319" i="9"/>
  <c r="E3318" i="9"/>
  <c r="E3317" i="9"/>
  <c r="E3316" i="9"/>
  <c r="E3315" i="9"/>
  <c r="E3314" i="9"/>
  <c r="E3313" i="9"/>
  <c r="E3312" i="9"/>
  <c r="E3311" i="9"/>
  <c r="E3310" i="9"/>
  <c r="E3309" i="9"/>
  <c r="E3308" i="9"/>
  <c r="E3307" i="9"/>
  <c r="E3306" i="9"/>
  <c r="E3305" i="9"/>
  <c r="E3304" i="9"/>
  <c r="E3303" i="9"/>
  <c r="E3302" i="9"/>
  <c r="E3301" i="9"/>
  <c r="E3300" i="9"/>
  <c r="E3299" i="9"/>
  <c r="E3298" i="9"/>
  <c r="E3297" i="9"/>
  <c r="E3296" i="9"/>
  <c r="E3295" i="9"/>
  <c r="E3294" i="9"/>
  <c r="E3293" i="9"/>
  <c r="E3292" i="9"/>
  <c r="E3291" i="9"/>
  <c r="E3290" i="9"/>
  <c r="E3289" i="9"/>
  <c r="E3288" i="9"/>
  <c r="E3287" i="9"/>
  <c r="E3286" i="9"/>
  <c r="E3285" i="9"/>
  <c r="E3284" i="9"/>
  <c r="E3283" i="9"/>
  <c r="E3282" i="9"/>
  <c r="E3281" i="9"/>
  <c r="E3280" i="9"/>
  <c r="E3279" i="9"/>
  <c r="E3278" i="9"/>
  <c r="E3277" i="9"/>
  <c r="E3276" i="9"/>
  <c r="E3275" i="9"/>
  <c r="E3274" i="9"/>
  <c r="E3273" i="9"/>
  <c r="E3272" i="9"/>
  <c r="E3271" i="9"/>
  <c r="E3270" i="9"/>
  <c r="E3269" i="9"/>
  <c r="E3268" i="9"/>
  <c r="E3267" i="9"/>
  <c r="E3266" i="9"/>
  <c r="E3265" i="9"/>
  <c r="E3264" i="9"/>
  <c r="E3263" i="9"/>
  <c r="E3262" i="9"/>
  <c r="E3261" i="9"/>
  <c r="E3260" i="9"/>
  <c r="E3259" i="9"/>
  <c r="E3258" i="9"/>
  <c r="E3257" i="9"/>
  <c r="E3256" i="9"/>
  <c r="E3255" i="9"/>
  <c r="E3254" i="9"/>
  <c r="E3253" i="9"/>
  <c r="E3252" i="9"/>
  <c r="E3251" i="9"/>
  <c r="E3250" i="9"/>
  <c r="E3249" i="9"/>
  <c r="E3248" i="9"/>
  <c r="E3247" i="9"/>
  <c r="E3246" i="9"/>
  <c r="E3245" i="9"/>
  <c r="E3244" i="9"/>
  <c r="E3243" i="9"/>
  <c r="E3242" i="9"/>
  <c r="E3241" i="9"/>
  <c r="E3240" i="9"/>
  <c r="E3239" i="9"/>
  <c r="E3238" i="9"/>
  <c r="E3237" i="9"/>
  <c r="E3236" i="9"/>
  <c r="E3235" i="9"/>
  <c r="E3234" i="9"/>
  <c r="E3233" i="9"/>
  <c r="E3232" i="9"/>
  <c r="E3231" i="9"/>
  <c r="E3230" i="9"/>
  <c r="E3229" i="9"/>
  <c r="E3228" i="9"/>
  <c r="E3227" i="9"/>
  <c r="E3226" i="9"/>
  <c r="E3225" i="9"/>
  <c r="E3224" i="9"/>
  <c r="E3223" i="9"/>
  <c r="E3222" i="9"/>
  <c r="E3221" i="9"/>
  <c r="E3220" i="9"/>
  <c r="E3219" i="9"/>
  <c r="E3218" i="9"/>
  <c r="E3217" i="9"/>
  <c r="E3216" i="9"/>
  <c r="E3215" i="9"/>
  <c r="E3214" i="9"/>
  <c r="E3213" i="9"/>
  <c r="E3212" i="9"/>
  <c r="E3211" i="9"/>
  <c r="E3210" i="9"/>
  <c r="E3209" i="9"/>
  <c r="E3208" i="9"/>
  <c r="E3207" i="9"/>
  <c r="E3206" i="9"/>
  <c r="E3205" i="9"/>
  <c r="E3204" i="9"/>
  <c r="E3203" i="9"/>
  <c r="E3202" i="9"/>
  <c r="E3201" i="9"/>
  <c r="E3200" i="9"/>
  <c r="E3199" i="9"/>
  <c r="E3198" i="9"/>
  <c r="E3197" i="9"/>
  <c r="E3196" i="9"/>
  <c r="E3195" i="9"/>
  <c r="E3194" i="9"/>
  <c r="E3193" i="9"/>
  <c r="E3192" i="9"/>
  <c r="E3191" i="9"/>
  <c r="E3190" i="9"/>
  <c r="E3189" i="9"/>
  <c r="E3188" i="9"/>
  <c r="E3187" i="9"/>
  <c r="E3186" i="9"/>
  <c r="E3185" i="9"/>
  <c r="E3184" i="9"/>
  <c r="E3183" i="9"/>
  <c r="E3182" i="9"/>
  <c r="E3181" i="9"/>
  <c r="E3180" i="9"/>
  <c r="E3179" i="9"/>
  <c r="E3178" i="9"/>
  <c r="E3177" i="9"/>
  <c r="E3176" i="9"/>
  <c r="E3175" i="9"/>
  <c r="E3174" i="9"/>
  <c r="E3173" i="9"/>
  <c r="E3172" i="9"/>
  <c r="E3171" i="9"/>
  <c r="E3170" i="9"/>
  <c r="E3169" i="9"/>
  <c r="E3168" i="9"/>
  <c r="E3167" i="9"/>
  <c r="E3166" i="9"/>
  <c r="E3165" i="9"/>
  <c r="E3164" i="9"/>
  <c r="E3163" i="9"/>
  <c r="E3162" i="9"/>
  <c r="E3161" i="9"/>
  <c r="E3160" i="9"/>
  <c r="E3159" i="9"/>
  <c r="E3158" i="9"/>
  <c r="E3157" i="9"/>
  <c r="E3156" i="9"/>
  <c r="E3155" i="9"/>
  <c r="E3154" i="9"/>
  <c r="E3153" i="9"/>
  <c r="E3152" i="9"/>
  <c r="E3151" i="9"/>
  <c r="E3150" i="9"/>
  <c r="E3149" i="9"/>
  <c r="E3148" i="9"/>
  <c r="E3147" i="9"/>
  <c r="E3146" i="9"/>
  <c r="E3145" i="9"/>
  <c r="E3144" i="9"/>
  <c r="E3143" i="9"/>
  <c r="E3142" i="9"/>
  <c r="E3141" i="9"/>
  <c r="E3140" i="9"/>
  <c r="E3139" i="9"/>
  <c r="E3138" i="9"/>
  <c r="E3137" i="9"/>
  <c r="E3136" i="9"/>
  <c r="E3135" i="9"/>
  <c r="E3134" i="9"/>
  <c r="E3133" i="9"/>
  <c r="E3132" i="9"/>
  <c r="E3131" i="9"/>
  <c r="E3130" i="9"/>
  <c r="E3129" i="9"/>
  <c r="E3128" i="9"/>
  <c r="E3127" i="9"/>
  <c r="E3126" i="9"/>
  <c r="E3125" i="9"/>
  <c r="E3124" i="9"/>
  <c r="E3123" i="9"/>
  <c r="E3122" i="9"/>
  <c r="E3121" i="9"/>
  <c r="E3120" i="9"/>
  <c r="E3119" i="9"/>
  <c r="E3118" i="9"/>
  <c r="E3117" i="9"/>
  <c r="E3116" i="9"/>
  <c r="E3115" i="9"/>
  <c r="E3114" i="9"/>
  <c r="E3113" i="9"/>
  <c r="E3112" i="9"/>
  <c r="E3111" i="9"/>
  <c r="E3110" i="9"/>
  <c r="E3109" i="9"/>
  <c r="E3108" i="9"/>
  <c r="E3107" i="9"/>
  <c r="E3106" i="9"/>
  <c r="E3105" i="9"/>
  <c r="E3104" i="9"/>
  <c r="E3103" i="9"/>
  <c r="E3102" i="9"/>
  <c r="E3101" i="9"/>
  <c r="E3100" i="9"/>
  <c r="E3099" i="9"/>
  <c r="E3098" i="9"/>
  <c r="E3097" i="9"/>
  <c r="E3096" i="9"/>
  <c r="E3095" i="9"/>
  <c r="E3094" i="9"/>
  <c r="E3093" i="9"/>
  <c r="E3092" i="9"/>
  <c r="E3091" i="9"/>
  <c r="E3090" i="9"/>
  <c r="E3089" i="9"/>
  <c r="E3088" i="9"/>
  <c r="E3087" i="9"/>
  <c r="E3086" i="9"/>
  <c r="E3085" i="9"/>
  <c r="E3084" i="9"/>
  <c r="E3083" i="9"/>
  <c r="E3082" i="9"/>
  <c r="E3081" i="9"/>
  <c r="E3080" i="9"/>
  <c r="E3079" i="9"/>
  <c r="E3078" i="9"/>
  <c r="E3077" i="9"/>
  <c r="E3076" i="9"/>
  <c r="E3075" i="9"/>
  <c r="E3074" i="9"/>
  <c r="E3073" i="9"/>
  <c r="E3072" i="9"/>
  <c r="E3071" i="9"/>
  <c r="E3070" i="9"/>
  <c r="E3069" i="9"/>
  <c r="E3068" i="9"/>
  <c r="E3067" i="9"/>
  <c r="E3066" i="9"/>
  <c r="E3065" i="9"/>
  <c r="E3064" i="9"/>
  <c r="E3063" i="9"/>
  <c r="E3062" i="9"/>
  <c r="E3061" i="9"/>
  <c r="E3060" i="9"/>
  <c r="E3059" i="9"/>
  <c r="E3058" i="9"/>
  <c r="E3057" i="9"/>
  <c r="E3056" i="9"/>
  <c r="E3055" i="9"/>
  <c r="E3054" i="9"/>
  <c r="E3053" i="9"/>
  <c r="E3052" i="9"/>
  <c r="E3051" i="9"/>
  <c r="E3050" i="9"/>
  <c r="E3049" i="9"/>
  <c r="E3048" i="9"/>
  <c r="E3047" i="9"/>
  <c r="E3046" i="9"/>
  <c r="E3045" i="9"/>
  <c r="E3044" i="9"/>
  <c r="E3043" i="9"/>
  <c r="E3042" i="9"/>
  <c r="E3041" i="9"/>
  <c r="E3040" i="9"/>
  <c r="E3039" i="9"/>
  <c r="E3038" i="9"/>
  <c r="E3037" i="9"/>
  <c r="E3036" i="9"/>
  <c r="E3035" i="9"/>
  <c r="E3034" i="9"/>
  <c r="E3033" i="9"/>
  <c r="E3032" i="9"/>
  <c r="E3031" i="9"/>
  <c r="E3030" i="9"/>
  <c r="E3029" i="9"/>
  <c r="E3028" i="9"/>
  <c r="E3027" i="9"/>
  <c r="E3026" i="9"/>
  <c r="E3025" i="9"/>
  <c r="E3024" i="9"/>
  <c r="E3023" i="9"/>
  <c r="E3022" i="9"/>
  <c r="E3021" i="9"/>
  <c r="E3020" i="9"/>
  <c r="E3019" i="9"/>
  <c r="E3018" i="9"/>
  <c r="E3017" i="9"/>
  <c r="E3016" i="9"/>
  <c r="E3015" i="9"/>
  <c r="E3014" i="9"/>
  <c r="E3013" i="9"/>
  <c r="E3012" i="9"/>
  <c r="E3011" i="9"/>
  <c r="E3010" i="9"/>
  <c r="E3009" i="9"/>
  <c r="E3008" i="9"/>
  <c r="E3007" i="9"/>
  <c r="E3006" i="9"/>
  <c r="E3005" i="9"/>
  <c r="E3004" i="9"/>
  <c r="E3003" i="9"/>
  <c r="E3002" i="9"/>
  <c r="E3001" i="9"/>
  <c r="E3000" i="9"/>
  <c r="E2999" i="9"/>
  <c r="E2998" i="9"/>
  <c r="E2997" i="9"/>
  <c r="E2996" i="9"/>
  <c r="E2995" i="9"/>
  <c r="E2994" i="9"/>
  <c r="E2993" i="9"/>
  <c r="E2992" i="9"/>
  <c r="E2991" i="9"/>
  <c r="E2990" i="9"/>
  <c r="E2989" i="9"/>
  <c r="E2988" i="9"/>
  <c r="E2987" i="9"/>
  <c r="E2986" i="9"/>
  <c r="E2985" i="9"/>
  <c r="E2984" i="9"/>
  <c r="E2983" i="9"/>
  <c r="E2982" i="9"/>
  <c r="E2981" i="9"/>
  <c r="E2980" i="9"/>
  <c r="E2979" i="9"/>
  <c r="E2978" i="9"/>
  <c r="E2977" i="9"/>
  <c r="E2976" i="9"/>
  <c r="E2975" i="9"/>
  <c r="E2974" i="9"/>
  <c r="E2973" i="9"/>
  <c r="E2972" i="9"/>
  <c r="E2971" i="9"/>
  <c r="E2970" i="9"/>
  <c r="E2969" i="9"/>
  <c r="E2968" i="9"/>
  <c r="E2967" i="9"/>
  <c r="E2966" i="9"/>
  <c r="E2965" i="9"/>
  <c r="E2964" i="9"/>
  <c r="E2963" i="9"/>
  <c r="E2962" i="9"/>
  <c r="E2961" i="9"/>
  <c r="E2960" i="9"/>
  <c r="E2959" i="9"/>
  <c r="E2958" i="9"/>
  <c r="E2957" i="9"/>
  <c r="E2956" i="9"/>
  <c r="E2955" i="9"/>
  <c r="E2954" i="9"/>
  <c r="E2953" i="9"/>
  <c r="E2952" i="9"/>
  <c r="E2951" i="9"/>
  <c r="E2950" i="9"/>
  <c r="E2949" i="9"/>
  <c r="E2948" i="9"/>
  <c r="E2947" i="9"/>
  <c r="E2946" i="9"/>
  <c r="E2945" i="9"/>
  <c r="E2944" i="9"/>
  <c r="E2943" i="9"/>
  <c r="E2942" i="9"/>
  <c r="E2941" i="9"/>
  <c r="E2940" i="9"/>
  <c r="E2939" i="9"/>
  <c r="E2938" i="9"/>
  <c r="E2937" i="9"/>
  <c r="E2936" i="9"/>
  <c r="E2935" i="9"/>
  <c r="E2934" i="9"/>
  <c r="E2933" i="9"/>
  <c r="E2932" i="9"/>
  <c r="E2931" i="9"/>
  <c r="E2930" i="9"/>
  <c r="E2929" i="9"/>
  <c r="E2928" i="9"/>
  <c r="E2927" i="9"/>
  <c r="E2926" i="9"/>
  <c r="E2925" i="9"/>
  <c r="E2924" i="9"/>
  <c r="E2923" i="9"/>
  <c r="E2922" i="9"/>
  <c r="E2921" i="9"/>
  <c r="E2920" i="9"/>
  <c r="E2919" i="9"/>
  <c r="E2918" i="9"/>
  <c r="E2917" i="9"/>
  <c r="E2916" i="9"/>
  <c r="E2915" i="9"/>
  <c r="E2914" i="9"/>
  <c r="E2913" i="9"/>
  <c r="E2912" i="9"/>
  <c r="E2911" i="9"/>
  <c r="E2910" i="9"/>
  <c r="E2909" i="9"/>
  <c r="E2908" i="9"/>
  <c r="E2907" i="9"/>
  <c r="E2906" i="9"/>
  <c r="E2905" i="9"/>
  <c r="E2904" i="9"/>
  <c r="E2903" i="9"/>
  <c r="E2902" i="9"/>
  <c r="E2901" i="9"/>
  <c r="E2900" i="9"/>
  <c r="E2899" i="9"/>
  <c r="E2898" i="9"/>
  <c r="E2897" i="9"/>
  <c r="E2896" i="9"/>
  <c r="E2895" i="9"/>
  <c r="E2894" i="9"/>
  <c r="E2893" i="9"/>
  <c r="E2892" i="9"/>
  <c r="E2891" i="9"/>
  <c r="E2890" i="9"/>
  <c r="E2889" i="9"/>
  <c r="E2888" i="9"/>
  <c r="E2887" i="9"/>
  <c r="E2886" i="9"/>
  <c r="E2885" i="9"/>
  <c r="E2884" i="9"/>
  <c r="E2883" i="9"/>
  <c r="E2882" i="9"/>
  <c r="E2881" i="9"/>
  <c r="E2880" i="9"/>
  <c r="E2879" i="9"/>
  <c r="E2878" i="9"/>
  <c r="E2877" i="9"/>
  <c r="E2876" i="9"/>
  <c r="E2875" i="9"/>
  <c r="E2874" i="9"/>
  <c r="E2873" i="9"/>
  <c r="E2872" i="9"/>
  <c r="E2871" i="9"/>
  <c r="E2870" i="9"/>
  <c r="E2869" i="9"/>
  <c r="E2868" i="9"/>
  <c r="E2867" i="9"/>
  <c r="E2866" i="9"/>
  <c r="E2865" i="9"/>
  <c r="E2864" i="9"/>
  <c r="E2863" i="9"/>
  <c r="E2862" i="9"/>
  <c r="E2861" i="9"/>
  <c r="E2860" i="9"/>
  <c r="E2859" i="9"/>
  <c r="E2858" i="9"/>
  <c r="E2857" i="9"/>
  <c r="E2856" i="9"/>
  <c r="E2855" i="9"/>
  <c r="E2854" i="9"/>
  <c r="E2853" i="9"/>
  <c r="E2852" i="9"/>
  <c r="E2851" i="9"/>
  <c r="E2850" i="9"/>
  <c r="E2849" i="9"/>
  <c r="E2848" i="9"/>
  <c r="E2847" i="9"/>
  <c r="E2846" i="9"/>
  <c r="E2845" i="9"/>
  <c r="E2844" i="9"/>
  <c r="E2843" i="9"/>
  <c r="E2842" i="9"/>
  <c r="E2841" i="9"/>
  <c r="E2840" i="9"/>
  <c r="E2839" i="9"/>
  <c r="E2838" i="9"/>
  <c r="E2837" i="9"/>
  <c r="E2836" i="9"/>
  <c r="E2835" i="9"/>
  <c r="E2834" i="9"/>
  <c r="E2833" i="9"/>
  <c r="E2832" i="9"/>
  <c r="E2831" i="9"/>
  <c r="E2830" i="9"/>
  <c r="E2829" i="9"/>
  <c r="E2828" i="9"/>
  <c r="E2827" i="9"/>
  <c r="E2826" i="9"/>
  <c r="E2825" i="9"/>
  <c r="E2824" i="9"/>
  <c r="E2823" i="9"/>
  <c r="E2822" i="9"/>
  <c r="E2821" i="9"/>
  <c r="E2820" i="9"/>
  <c r="E2819" i="9"/>
  <c r="E2818" i="9"/>
  <c r="E2817" i="9"/>
  <c r="E2816" i="9"/>
  <c r="E2815" i="9"/>
  <c r="E2814" i="9"/>
  <c r="E2813" i="9"/>
  <c r="E2812" i="9"/>
  <c r="E2811" i="9"/>
  <c r="E2810" i="9"/>
  <c r="E2809" i="9"/>
  <c r="E2808" i="9"/>
  <c r="E2807" i="9"/>
  <c r="E2806" i="9"/>
  <c r="E2805" i="9"/>
  <c r="E2804" i="9"/>
  <c r="E2803" i="9"/>
  <c r="E2802" i="9"/>
  <c r="E2801" i="9"/>
  <c r="E2800" i="9"/>
  <c r="E2799" i="9"/>
  <c r="E2798" i="9"/>
  <c r="E2797" i="9"/>
  <c r="E2796" i="9"/>
  <c r="E2795" i="9"/>
  <c r="E2794" i="9"/>
  <c r="E2793" i="9"/>
  <c r="E2792" i="9"/>
  <c r="E2791" i="9"/>
  <c r="E2790" i="9"/>
  <c r="E2789" i="9"/>
  <c r="E2788" i="9"/>
  <c r="E2787" i="9"/>
  <c r="E2786" i="9"/>
  <c r="E2785" i="9"/>
  <c r="E2784" i="9"/>
  <c r="E2783" i="9"/>
  <c r="E2782" i="9"/>
  <c r="E2781" i="9"/>
  <c r="E2780" i="9"/>
  <c r="E2779" i="9"/>
  <c r="E2778" i="9"/>
  <c r="E2777" i="9"/>
  <c r="E2776" i="9"/>
  <c r="E2775" i="9"/>
  <c r="E2774" i="9"/>
  <c r="E2773" i="9"/>
  <c r="E2772" i="9"/>
  <c r="E2771" i="9"/>
  <c r="E2770" i="9"/>
  <c r="E2769" i="9"/>
  <c r="E2768" i="9"/>
  <c r="E2767" i="9"/>
  <c r="E2766" i="9"/>
  <c r="E2765" i="9"/>
  <c r="E2764" i="9"/>
  <c r="E2763" i="9"/>
  <c r="E2762" i="9"/>
  <c r="E2761" i="9"/>
  <c r="E2760" i="9"/>
  <c r="E2759" i="9"/>
  <c r="E2758" i="9"/>
  <c r="E2757" i="9"/>
  <c r="E2756" i="9"/>
  <c r="E2755" i="9"/>
  <c r="E2754" i="9"/>
  <c r="E2753" i="9"/>
  <c r="E2752" i="9"/>
  <c r="E2751" i="9"/>
  <c r="E2750" i="9"/>
  <c r="E2749" i="9"/>
  <c r="E2748" i="9"/>
  <c r="E2747" i="9"/>
  <c r="E2746" i="9"/>
  <c r="E2745" i="9"/>
  <c r="E2744" i="9"/>
  <c r="E2743" i="9"/>
  <c r="E2742" i="9"/>
  <c r="E2741" i="9"/>
  <c r="E2740" i="9"/>
  <c r="E2739" i="9"/>
  <c r="E2738" i="9"/>
  <c r="E2737" i="9"/>
  <c r="E2736" i="9"/>
  <c r="E2735" i="9"/>
  <c r="E2734" i="9"/>
  <c r="E2733" i="9"/>
  <c r="E2732" i="9"/>
  <c r="E2731" i="9"/>
  <c r="E2730" i="9"/>
  <c r="E2729" i="9"/>
  <c r="E2728" i="9"/>
  <c r="E2727" i="9"/>
  <c r="E2726" i="9"/>
  <c r="E2725" i="9"/>
  <c r="E2724" i="9"/>
  <c r="E2723" i="9"/>
  <c r="E2722" i="9"/>
  <c r="E2721" i="9"/>
  <c r="E2720" i="9"/>
  <c r="E2719" i="9"/>
  <c r="E2718" i="9"/>
  <c r="E2717" i="9"/>
  <c r="E2716" i="9"/>
  <c r="E2715" i="9"/>
  <c r="E2714" i="9"/>
  <c r="E2713" i="9"/>
  <c r="E2712" i="9"/>
  <c r="E2711" i="9"/>
  <c r="E2710" i="9"/>
  <c r="E2709" i="9"/>
  <c r="E2708" i="9"/>
  <c r="E2707" i="9"/>
  <c r="E2706" i="9"/>
  <c r="E2705" i="9"/>
  <c r="E2704" i="9"/>
  <c r="E2703" i="9"/>
  <c r="E2702" i="9"/>
  <c r="E2701" i="9"/>
  <c r="E2700" i="9"/>
  <c r="E2699" i="9"/>
  <c r="E2698" i="9"/>
  <c r="E2697" i="9"/>
  <c r="E2696" i="9"/>
  <c r="E2695" i="9"/>
  <c r="E2694" i="9"/>
  <c r="E2693" i="9"/>
  <c r="E2692" i="9"/>
  <c r="E2691" i="9"/>
  <c r="E2690" i="9"/>
  <c r="E2689" i="9"/>
  <c r="E2688" i="9"/>
  <c r="E2687" i="9"/>
  <c r="E2686" i="9"/>
  <c r="E2685" i="9"/>
  <c r="E2684" i="9"/>
  <c r="E2683" i="9"/>
  <c r="E2682" i="9"/>
  <c r="E2681" i="9"/>
  <c r="E2680" i="9"/>
  <c r="E2679" i="9"/>
  <c r="E2678" i="9"/>
  <c r="E2677" i="9"/>
  <c r="E2676" i="9"/>
  <c r="E2675" i="9"/>
  <c r="E2674" i="9"/>
  <c r="E2673" i="9"/>
  <c r="E2672" i="9"/>
  <c r="E2671" i="9"/>
  <c r="E2670" i="9"/>
  <c r="E2669" i="9"/>
  <c r="E2668" i="9"/>
  <c r="E2667" i="9"/>
  <c r="E2666" i="9"/>
  <c r="E2665" i="9"/>
  <c r="E2664" i="9"/>
  <c r="E2663" i="9"/>
  <c r="E2662" i="9"/>
  <c r="E2661" i="9"/>
  <c r="E2660" i="9"/>
  <c r="E2659" i="9"/>
  <c r="E2658" i="9"/>
  <c r="E2657" i="9"/>
  <c r="E2656" i="9"/>
  <c r="E2655" i="9"/>
  <c r="E2654" i="9"/>
  <c r="E2653" i="9"/>
  <c r="E2652" i="9"/>
  <c r="E2651" i="9"/>
  <c r="E2650" i="9"/>
  <c r="E2649" i="9"/>
  <c r="E2648" i="9"/>
  <c r="E2647" i="9"/>
  <c r="E2646" i="9"/>
  <c r="E2645" i="9"/>
  <c r="E2644" i="9"/>
  <c r="E2643" i="9"/>
  <c r="E2642" i="9"/>
  <c r="E2641" i="9"/>
  <c r="E2640" i="9"/>
  <c r="E2639" i="9"/>
  <c r="E2638" i="9"/>
  <c r="E2637" i="9"/>
  <c r="E2636" i="9"/>
  <c r="E2635" i="9"/>
  <c r="E2634" i="9"/>
  <c r="E2633" i="9"/>
  <c r="E2632" i="9"/>
  <c r="E2631" i="9"/>
  <c r="E2630" i="9"/>
  <c r="E2629" i="9"/>
  <c r="E2628" i="9"/>
  <c r="E2627" i="9"/>
  <c r="E2626" i="9"/>
  <c r="E2625" i="9"/>
  <c r="E2624" i="9"/>
  <c r="E2623" i="9"/>
  <c r="E2622" i="9"/>
  <c r="E2621" i="9"/>
  <c r="E2620" i="9"/>
  <c r="E2619" i="9"/>
  <c r="E2618" i="9"/>
  <c r="E2617" i="9"/>
  <c r="E2616" i="9"/>
  <c r="E2615" i="9"/>
  <c r="E2614" i="9"/>
  <c r="E2613" i="9"/>
  <c r="E2612" i="9"/>
  <c r="E2611" i="9"/>
  <c r="E2610" i="9"/>
  <c r="E2609" i="9"/>
  <c r="E2608" i="9"/>
  <c r="E2607" i="9"/>
  <c r="E2606" i="9"/>
  <c r="E2605" i="9"/>
  <c r="E2604" i="9"/>
  <c r="E2603" i="9"/>
  <c r="E2602" i="9"/>
  <c r="E2601" i="9"/>
  <c r="E2600" i="9"/>
  <c r="E2599" i="9"/>
  <c r="E2598" i="9"/>
  <c r="E2597" i="9"/>
  <c r="E2596" i="9"/>
  <c r="E2595" i="9"/>
  <c r="E2594" i="9"/>
  <c r="E2593" i="9"/>
  <c r="E2592" i="9"/>
  <c r="E2591" i="9"/>
  <c r="E2590" i="9"/>
  <c r="E2589" i="9"/>
  <c r="E2588" i="9"/>
  <c r="E2587" i="9"/>
  <c r="E2586" i="9"/>
  <c r="E2585" i="9"/>
  <c r="E2584" i="9"/>
  <c r="E2583" i="9"/>
  <c r="E2582" i="9"/>
  <c r="E2581" i="9"/>
  <c r="E2580" i="9"/>
  <c r="E2579" i="9"/>
  <c r="E2578" i="9"/>
  <c r="E2577" i="9"/>
  <c r="E2576" i="9"/>
  <c r="E2575" i="9"/>
  <c r="E2574" i="9"/>
  <c r="E2573" i="9"/>
  <c r="E2572" i="9"/>
  <c r="E2571" i="9"/>
  <c r="E2570" i="9"/>
  <c r="E2569" i="9"/>
  <c r="E2568" i="9"/>
  <c r="E2567" i="9"/>
  <c r="E2566" i="9"/>
  <c r="E2565" i="9"/>
  <c r="E2564" i="9"/>
  <c r="E2563" i="9"/>
  <c r="E2562" i="9"/>
  <c r="E2561" i="9"/>
  <c r="E2560" i="9"/>
  <c r="E2559" i="9"/>
  <c r="E2558" i="9"/>
  <c r="E2557" i="9"/>
  <c r="E2556" i="9"/>
  <c r="E2555" i="9"/>
  <c r="E2554" i="9"/>
  <c r="E2553" i="9"/>
  <c r="E2552" i="9"/>
  <c r="E2551" i="9"/>
  <c r="E2550" i="9"/>
  <c r="E2549" i="9"/>
  <c r="E2548" i="9"/>
  <c r="E2547" i="9"/>
  <c r="E2546" i="9"/>
  <c r="E2545" i="9"/>
  <c r="E2544" i="9"/>
  <c r="E2543" i="9"/>
  <c r="E2542" i="9"/>
  <c r="E2541" i="9"/>
  <c r="E2540" i="9"/>
  <c r="E2539" i="9"/>
  <c r="E2538" i="9"/>
  <c r="E2537" i="9"/>
  <c r="E2536" i="9"/>
  <c r="E2535" i="9"/>
  <c r="E2534" i="9"/>
  <c r="E2533" i="9"/>
  <c r="E2532" i="9"/>
  <c r="E2531" i="9"/>
  <c r="E2530" i="9"/>
  <c r="E2529" i="9"/>
  <c r="E2528" i="9"/>
  <c r="E2527" i="9"/>
  <c r="E2526" i="9"/>
  <c r="E2525" i="9"/>
  <c r="E2524" i="9"/>
  <c r="E2523" i="9"/>
  <c r="E2522" i="9"/>
  <c r="E2521" i="9"/>
  <c r="E2520" i="9"/>
  <c r="E2519" i="9"/>
  <c r="E2518" i="9"/>
  <c r="E2517" i="9"/>
  <c r="E2516" i="9"/>
  <c r="E2515" i="9"/>
  <c r="E2514" i="9"/>
  <c r="E2513" i="9"/>
  <c r="E2512" i="9"/>
  <c r="E2511" i="9"/>
  <c r="E2510" i="9"/>
  <c r="E2509" i="9"/>
  <c r="E2508" i="9"/>
  <c r="E2507" i="9"/>
  <c r="E2506" i="9"/>
  <c r="E2505" i="9"/>
  <c r="E2504" i="9"/>
  <c r="E2503" i="9"/>
  <c r="E2502" i="9"/>
  <c r="E2501" i="9"/>
  <c r="E2500" i="9"/>
  <c r="E2499" i="9"/>
  <c r="E2498" i="9"/>
  <c r="E2497" i="9"/>
  <c r="E2496" i="9"/>
  <c r="E2495" i="9"/>
  <c r="E2494" i="9"/>
  <c r="E2493" i="9"/>
  <c r="E2492" i="9"/>
  <c r="E2491" i="9"/>
  <c r="E2490" i="9"/>
  <c r="E2489" i="9"/>
  <c r="E2488" i="9"/>
  <c r="E2487" i="9"/>
  <c r="E2486" i="9"/>
  <c r="E2485" i="9"/>
  <c r="E2484" i="9"/>
  <c r="E2483" i="9"/>
  <c r="E2482" i="9"/>
  <c r="E2481" i="9"/>
  <c r="E2480" i="9"/>
  <c r="E2479" i="9"/>
  <c r="E2478" i="9"/>
  <c r="E2477" i="9"/>
  <c r="E2476" i="9"/>
  <c r="E2475" i="9"/>
  <c r="E2474" i="9"/>
  <c r="E2473" i="9"/>
  <c r="E2472" i="9"/>
  <c r="E2471" i="9"/>
  <c r="E2470" i="9"/>
  <c r="E2469" i="9"/>
  <c r="E2468" i="9"/>
  <c r="E2467" i="9"/>
  <c r="E2466" i="9"/>
  <c r="E2465" i="9"/>
  <c r="E2464" i="9"/>
  <c r="E2463" i="9"/>
  <c r="E2462" i="9"/>
  <c r="E2461" i="9"/>
  <c r="E2460" i="9"/>
  <c r="E2459" i="9"/>
  <c r="E2458" i="9"/>
  <c r="E2457" i="9"/>
  <c r="E2456" i="9"/>
  <c r="E2455" i="9"/>
  <c r="E2454" i="9"/>
  <c r="E2453" i="9"/>
  <c r="E2452" i="9"/>
  <c r="E2451" i="9"/>
  <c r="E2450" i="9"/>
  <c r="E2449" i="9"/>
  <c r="E2448" i="9"/>
  <c r="E2447" i="9"/>
  <c r="E2446" i="9"/>
  <c r="E2445" i="9"/>
  <c r="E2444" i="9"/>
  <c r="E2443" i="9"/>
  <c r="E2442" i="9"/>
  <c r="E2441" i="9"/>
  <c r="E2440" i="9"/>
  <c r="E2439" i="9"/>
  <c r="E2438" i="9"/>
  <c r="E2437" i="9"/>
  <c r="E2436" i="9"/>
  <c r="E2435" i="9"/>
  <c r="E2434" i="9"/>
  <c r="E2433" i="9"/>
  <c r="E2432" i="9"/>
  <c r="E2431" i="9"/>
  <c r="E2430" i="9"/>
  <c r="E2429" i="9"/>
  <c r="E2428" i="9"/>
  <c r="E2427" i="9"/>
  <c r="E2426" i="9"/>
  <c r="E2425" i="9"/>
  <c r="E2424" i="9"/>
  <c r="E2423" i="9"/>
  <c r="E2422" i="9"/>
  <c r="E2421" i="9"/>
  <c r="E2420" i="9"/>
  <c r="E2419" i="9"/>
  <c r="E2418" i="9"/>
  <c r="E2417" i="9"/>
  <c r="E2416" i="9"/>
  <c r="E2415" i="9"/>
  <c r="E2414" i="9"/>
  <c r="E2413" i="9"/>
  <c r="E2412" i="9"/>
  <c r="E2411" i="9"/>
  <c r="E2410" i="9"/>
  <c r="E2409" i="9"/>
  <c r="E2408" i="9"/>
  <c r="E2407" i="9"/>
  <c r="E2406" i="9"/>
  <c r="E2405" i="9"/>
  <c r="E2404" i="9"/>
  <c r="E2403" i="9"/>
  <c r="E2402" i="9"/>
  <c r="E2401" i="9"/>
  <c r="E2400" i="9"/>
  <c r="E2399" i="9"/>
  <c r="E2398" i="9"/>
  <c r="E2397" i="9"/>
  <c r="E2396" i="9"/>
  <c r="E2395" i="9"/>
  <c r="E2394" i="9"/>
  <c r="E2393" i="9"/>
  <c r="E2392" i="9"/>
  <c r="E2391" i="9"/>
  <c r="E2390" i="9"/>
  <c r="E2389" i="9"/>
  <c r="E2388" i="9"/>
  <c r="E2387" i="9"/>
  <c r="E2386" i="9"/>
  <c r="E2385" i="9"/>
  <c r="E2384" i="9"/>
  <c r="E2383" i="9"/>
  <c r="E2382" i="9"/>
  <c r="E2381" i="9"/>
  <c r="E2380" i="9"/>
  <c r="E2379" i="9"/>
  <c r="E2378" i="9"/>
  <c r="E2377" i="9"/>
  <c r="E2376" i="9"/>
  <c r="E2375" i="9"/>
  <c r="E2374" i="9"/>
  <c r="E2373" i="9"/>
  <c r="E2372" i="9"/>
  <c r="E2371" i="9"/>
  <c r="E2370" i="9"/>
  <c r="E2369" i="9"/>
  <c r="E2368" i="9"/>
  <c r="E2367" i="9"/>
  <c r="E2366" i="9"/>
  <c r="E2365" i="9"/>
  <c r="E2364" i="9"/>
  <c r="E2363" i="9"/>
  <c r="E2362" i="9"/>
  <c r="E2361" i="9"/>
  <c r="E2360" i="9"/>
  <c r="E2359" i="9"/>
  <c r="E2358" i="9"/>
  <c r="E2357" i="9"/>
  <c r="E2356" i="9"/>
  <c r="E2355" i="9"/>
  <c r="E2354" i="9"/>
  <c r="E2353" i="9"/>
  <c r="E2352" i="9"/>
  <c r="E2351" i="9"/>
  <c r="E2350" i="9"/>
  <c r="E2349" i="9"/>
  <c r="E2348" i="9"/>
  <c r="E2347" i="9"/>
  <c r="E2346" i="9"/>
  <c r="E2345" i="9"/>
  <c r="E2344" i="9"/>
  <c r="E2343" i="9"/>
  <c r="E2342" i="9"/>
  <c r="E2341" i="9"/>
  <c r="E2340" i="9"/>
  <c r="E2339" i="9"/>
  <c r="E2338" i="9"/>
  <c r="E2337" i="9"/>
  <c r="E2336" i="9"/>
  <c r="E2335" i="9"/>
  <c r="E2334" i="9"/>
  <c r="E2333" i="9"/>
  <c r="E2332" i="9"/>
  <c r="E2331" i="9"/>
  <c r="E2330" i="9"/>
  <c r="E2329" i="9"/>
  <c r="E2328" i="9"/>
  <c r="E2327" i="9"/>
  <c r="E2326" i="9"/>
  <c r="E2325" i="9"/>
  <c r="E2324" i="9"/>
  <c r="E2323" i="9"/>
  <c r="E2322" i="9"/>
  <c r="E2321" i="9"/>
  <c r="E2320" i="9"/>
  <c r="E2319" i="9"/>
  <c r="E2318" i="9"/>
  <c r="E2317" i="9"/>
  <c r="E2316" i="9"/>
  <c r="E2315" i="9"/>
  <c r="E2314" i="9"/>
  <c r="E2313" i="9"/>
  <c r="E2312" i="9"/>
  <c r="E2311" i="9"/>
  <c r="E2310" i="9"/>
  <c r="E2309" i="9"/>
  <c r="E2308" i="9"/>
  <c r="E2307" i="9"/>
  <c r="E2306" i="9"/>
  <c r="E2305" i="9"/>
  <c r="E2304" i="9"/>
  <c r="E2303" i="9"/>
  <c r="E2302" i="9"/>
  <c r="E2301" i="9"/>
  <c r="E2300" i="9"/>
  <c r="E2299" i="9"/>
  <c r="E2298" i="9"/>
  <c r="E2297" i="9"/>
  <c r="E2296" i="9"/>
  <c r="E2295" i="9"/>
  <c r="E2294" i="9"/>
  <c r="E2293" i="9"/>
  <c r="E2292" i="9"/>
  <c r="E2291" i="9"/>
  <c r="E2290" i="9"/>
  <c r="E2289" i="9"/>
  <c r="E2288" i="9"/>
  <c r="E2287" i="9"/>
  <c r="E2286" i="9"/>
  <c r="E2285" i="9"/>
  <c r="E2284" i="9"/>
  <c r="E2283" i="9"/>
  <c r="E2282" i="9"/>
  <c r="E2281" i="9"/>
  <c r="E2280" i="9"/>
  <c r="E2279" i="9"/>
  <c r="E2278" i="9"/>
  <c r="E2277" i="9"/>
  <c r="E2276" i="9"/>
  <c r="E2275" i="9"/>
  <c r="E2274" i="9"/>
  <c r="E2273" i="9"/>
  <c r="E2272" i="9"/>
  <c r="E2271" i="9"/>
  <c r="E2270" i="9"/>
  <c r="E2269" i="9"/>
  <c r="E2268" i="9"/>
  <c r="E2267" i="9"/>
  <c r="E2266" i="9"/>
  <c r="E2265" i="9"/>
  <c r="E2264" i="9"/>
  <c r="E2263" i="9"/>
  <c r="E2262" i="9"/>
  <c r="E2261" i="9"/>
  <c r="E2260" i="9"/>
  <c r="E2259" i="9"/>
  <c r="E2258" i="9"/>
  <c r="E2257" i="9"/>
  <c r="E2256" i="9"/>
  <c r="E2255" i="9"/>
  <c r="E2254" i="9"/>
  <c r="E2253" i="9"/>
  <c r="E2252" i="9"/>
  <c r="E2251" i="9"/>
  <c r="E2250" i="9"/>
  <c r="E2249" i="9"/>
  <c r="E2248" i="9"/>
  <c r="E2247" i="9"/>
  <c r="E2246" i="9"/>
  <c r="E2245" i="9"/>
  <c r="E2244" i="9"/>
  <c r="E2243" i="9"/>
  <c r="E2242" i="9"/>
  <c r="E2241" i="9"/>
  <c r="E2240" i="9"/>
  <c r="E2239" i="9"/>
  <c r="E2238" i="9"/>
  <c r="E2237" i="9"/>
  <c r="E2236" i="9"/>
  <c r="E2235" i="9"/>
  <c r="E2234" i="9"/>
  <c r="E2233" i="9"/>
  <c r="E2232" i="9"/>
  <c r="E2231" i="9"/>
  <c r="E2230" i="9"/>
  <c r="E2229" i="9"/>
  <c r="E2228" i="9"/>
  <c r="E2227" i="9"/>
  <c r="E2226" i="9"/>
  <c r="E2225" i="9"/>
  <c r="E2224" i="9"/>
  <c r="E2223" i="9"/>
  <c r="E2222" i="9"/>
  <c r="E2221" i="9"/>
  <c r="E2220" i="9"/>
  <c r="E2219" i="9"/>
  <c r="E2218" i="9"/>
  <c r="E2217" i="9"/>
  <c r="E2216" i="9"/>
  <c r="E2215" i="9"/>
  <c r="E2214" i="9"/>
  <c r="E2213" i="9"/>
  <c r="E2212" i="9"/>
  <c r="E2211" i="9"/>
  <c r="E2210" i="9"/>
  <c r="E2209" i="9"/>
  <c r="E2208" i="9"/>
  <c r="E2207" i="9"/>
  <c r="E2206" i="9"/>
  <c r="E2205" i="9"/>
  <c r="E2204" i="9"/>
  <c r="E2203" i="9"/>
  <c r="E2202" i="9"/>
  <c r="E2201" i="9"/>
  <c r="E2200" i="9"/>
  <c r="E2199" i="9"/>
  <c r="E2198" i="9"/>
  <c r="E2197" i="9"/>
  <c r="E2196" i="9"/>
  <c r="E2195" i="9"/>
  <c r="E2194" i="9"/>
  <c r="E2193" i="9"/>
  <c r="E2192" i="9"/>
  <c r="E2191" i="9"/>
  <c r="E2190" i="9"/>
  <c r="E2189" i="9"/>
  <c r="E2188" i="9"/>
  <c r="E2187" i="9"/>
  <c r="E2186" i="9"/>
  <c r="E2185" i="9"/>
  <c r="E2184" i="9"/>
  <c r="E2183" i="9"/>
  <c r="E2182" i="9"/>
  <c r="E2181" i="9"/>
  <c r="E2180" i="9"/>
  <c r="E2179" i="9"/>
  <c r="E2178" i="9"/>
  <c r="E2177" i="9"/>
  <c r="E2176" i="9"/>
  <c r="E2175" i="9"/>
  <c r="E2174" i="9"/>
  <c r="E2173" i="9"/>
  <c r="E2172" i="9"/>
  <c r="E2171" i="9"/>
  <c r="E2170" i="9"/>
  <c r="E2169" i="9"/>
  <c r="E2168" i="9"/>
  <c r="E2167" i="9"/>
  <c r="E2166" i="9"/>
  <c r="E2165" i="9"/>
  <c r="E2164" i="9"/>
  <c r="E2163" i="9"/>
  <c r="E2162" i="9"/>
  <c r="E2161" i="9"/>
  <c r="E2160" i="9"/>
  <c r="E2159" i="9"/>
  <c r="E2158" i="9"/>
  <c r="E2157" i="9"/>
  <c r="E2156" i="9"/>
  <c r="E2155" i="9"/>
  <c r="E2154" i="9"/>
  <c r="E2153" i="9"/>
  <c r="E2152" i="9"/>
  <c r="E2151" i="9"/>
  <c r="E2150" i="9"/>
  <c r="E2149" i="9"/>
  <c r="E2148" i="9"/>
  <c r="E2147" i="9"/>
  <c r="E2146" i="9"/>
  <c r="E2145" i="9"/>
  <c r="E2144" i="9"/>
  <c r="E2143" i="9"/>
  <c r="E2142" i="9"/>
  <c r="E2141" i="9"/>
  <c r="E2140" i="9"/>
  <c r="E2139" i="9"/>
  <c r="E2138" i="9"/>
  <c r="E2137" i="9"/>
  <c r="E2136" i="9"/>
  <c r="E2135" i="9"/>
  <c r="E2134" i="9"/>
  <c r="E2133" i="9"/>
  <c r="E2132" i="9"/>
  <c r="E2131" i="9"/>
  <c r="E2130" i="9"/>
  <c r="E2129" i="9"/>
  <c r="E2128" i="9"/>
  <c r="E2127" i="9"/>
  <c r="E2126" i="9"/>
  <c r="E2125" i="9"/>
  <c r="E2124" i="9"/>
  <c r="E2123" i="9"/>
  <c r="E2122" i="9"/>
  <c r="E2121" i="9"/>
  <c r="E2120" i="9"/>
  <c r="E2119" i="9"/>
  <c r="E2118" i="9"/>
  <c r="E2117" i="9"/>
  <c r="E2116" i="9"/>
  <c r="E2115" i="9"/>
  <c r="E2114" i="9"/>
  <c r="E2113" i="9"/>
  <c r="E2112" i="9"/>
  <c r="E2111" i="9"/>
  <c r="E2110" i="9"/>
  <c r="E2109" i="9"/>
  <c r="E2108" i="9"/>
  <c r="E2107" i="9"/>
  <c r="E2106" i="9"/>
  <c r="E2105" i="9"/>
  <c r="E2104" i="9"/>
  <c r="E2103" i="9"/>
  <c r="E2102" i="9"/>
  <c r="E2101" i="9"/>
  <c r="E2100" i="9"/>
  <c r="E2099" i="9"/>
  <c r="E2098" i="9"/>
  <c r="E2097" i="9"/>
  <c r="E2096" i="9"/>
  <c r="E2095" i="9"/>
  <c r="E2094" i="9"/>
  <c r="E2093" i="9"/>
  <c r="E2092" i="9"/>
  <c r="E2091" i="9"/>
  <c r="E2090" i="9"/>
  <c r="E2089" i="9"/>
  <c r="E2088" i="9"/>
  <c r="E2087" i="9"/>
  <c r="E2086" i="9"/>
  <c r="E2085" i="9"/>
  <c r="E2084" i="9"/>
  <c r="E2083" i="9"/>
  <c r="E2082" i="9"/>
  <c r="E2081" i="9"/>
  <c r="E2080" i="9"/>
  <c r="E2079" i="9"/>
  <c r="E2078" i="9"/>
  <c r="E2077" i="9"/>
  <c r="E2076" i="9"/>
  <c r="E2075" i="9"/>
  <c r="E2074" i="9"/>
  <c r="E2073" i="9"/>
  <c r="E2072" i="9"/>
  <c r="E2071" i="9"/>
  <c r="E2070" i="9"/>
  <c r="E2069" i="9"/>
  <c r="E2068" i="9"/>
  <c r="E2067" i="9"/>
  <c r="E2066" i="9"/>
  <c r="E2065" i="9"/>
  <c r="E2064" i="9"/>
  <c r="E2063" i="9"/>
  <c r="E2062" i="9"/>
  <c r="E2061" i="9"/>
  <c r="E2060" i="9"/>
  <c r="E2059" i="9"/>
  <c r="E2058" i="9"/>
  <c r="E2057" i="9"/>
  <c r="E2056" i="9"/>
  <c r="E2055" i="9"/>
  <c r="E2054" i="9"/>
  <c r="E2053" i="9"/>
  <c r="E2052" i="9"/>
  <c r="E2051" i="9"/>
  <c r="E2050" i="9"/>
  <c r="E2049" i="9"/>
  <c r="E2048" i="9"/>
  <c r="E2047" i="9"/>
  <c r="E2046" i="9"/>
  <c r="E2045" i="9"/>
  <c r="E2044" i="9"/>
  <c r="E2043" i="9"/>
  <c r="E2042" i="9"/>
  <c r="E2041" i="9"/>
  <c r="E2040" i="9"/>
  <c r="E2039" i="9"/>
  <c r="E2038" i="9"/>
  <c r="E2037" i="9"/>
  <c r="E2036" i="9"/>
  <c r="E2035" i="9"/>
  <c r="E2034" i="9"/>
  <c r="E2033" i="9"/>
  <c r="E2032" i="9"/>
  <c r="E2031" i="9"/>
  <c r="E2030" i="9"/>
  <c r="E2029" i="9"/>
  <c r="E2028" i="9"/>
  <c r="E2027" i="9"/>
  <c r="E2026" i="9"/>
  <c r="E2025" i="9"/>
  <c r="E2024" i="9"/>
  <c r="E2023" i="9"/>
  <c r="E2022" i="9"/>
  <c r="E2021" i="9"/>
  <c r="E2020" i="9"/>
  <c r="E2019" i="9"/>
  <c r="E2018" i="9"/>
  <c r="E2017" i="9"/>
  <c r="E2016" i="9"/>
  <c r="E2015" i="9"/>
  <c r="E2014" i="9"/>
  <c r="E2013" i="9"/>
  <c r="E2012" i="9"/>
  <c r="E2011" i="9"/>
  <c r="E2010" i="9"/>
  <c r="E2009" i="9"/>
  <c r="E2008" i="9"/>
  <c r="E2007" i="9"/>
  <c r="E2006" i="9"/>
  <c r="E2005" i="9"/>
  <c r="E2004" i="9"/>
  <c r="E2003" i="9"/>
  <c r="E2002" i="9"/>
  <c r="E2001" i="9"/>
  <c r="E2000" i="9"/>
  <c r="E1999" i="9"/>
  <c r="E1998" i="9"/>
  <c r="E1997" i="9"/>
  <c r="E1996" i="9"/>
  <c r="E1995" i="9"/>
  <c r="E1994" i="9"/>
  <c r="E1993" i="9"/>
  <c r="E1992" i="9"/>
  <c r="E1991" i="9"/>
  <c r="E1990" i="9"/>
  <c r="E1989" i="9"/>
  <c r="E1988" i="9"/>
  <c r="E1987" i="9"/>
  <c r="E1986" i="9"/>
  <c r="E1985" i="9"/>
  <c r="E1984" i="9"/>
  <c r="E1983" i="9"/>
  <c r="E1982" i="9"/>
  <c r="E1981" i="9"/>
  <c r="E1980" i="9"/>
  <c r="E1979" i="9"/>
  <c r="E1978" i="9"/>
  <c r="E1977" i="9"/>
  <c r="E1976" i="9"/>
  <c r="E1975" i="9"/>
  <c r="E1974" i="9"/>
  <c r="E1973" i="9"/>
  <c r="E1972" i="9"/>
  <c r="E1971" i="9"/>
  <c r="E1970" i="9"/>
  <c r="E1969" i="9"/>
  <c r="E1968" i="9"/>
  <c r="E1967" i="9"/>
  <c r="E1966" i="9"/>
  <c r="E1965" i="9"/>
  <c r="E1964" i="9"/>
  <c r="E1963" i="9"/>
  <c r="E1962" i="9"/>
  <c r="E1961" i="9"/>
  <c r="E1960" i="9"/>
  <c r="E1959" i="9"/>
  <c r="E1958" i="9"/>
  <c r="E1957" i="9"/>
  <c r="E1956" i="9"/>
  <c r="E1955" i="9"/>
  <c r="E1954" i="9"/>
  <c r="E1953" i="9"/>
  <c r="E1952" i="9"/>
  <c r="E1951" i="9"/>
  <c r="E1950" i="9"/>
  <c r="E1949" i="9"/>
  <c r="E1948" i="9"/>
  <c r="E1947" i="9"/>
  <c r="E1946" i="9"/>
  <c r="E1945" i="9"/>
  <c r="E1944" i="9"/>
  <c r="E1943" i="9"/>
  <c r="E1942" i="9"/>
  <c r="E1941" i="9"/>
  <c r="E1940" i="9"/>
  <c r="E1939" i="9"/>
  <c r="E1938" i="9"/>
  <c r="E1937" i="9"/>
  <c r="E1936" i="9"/>
  <c r="E1935" i="9"/>
  <c r="E1934" i="9"/>
  <c r="E1933" i="9"/>
  <c r="E1932" i="9"/>
  <c r="E1931" i="9"/>
  <c r="E1930" i="9"/>
  <c r="E1929" i="9"/>
  <c r="E1928" i="9"/>
  <c r="E1927" i="9"/>
  <c r="E1926" i="9"/>
  <c r="E1925" i="9"/>
  <c r="E1924" i="9"/>
  <c r="E1923" i="9"/>
  <c r="E1922" i="9"/>
  <c r="E1921" i="9"/>
  <c r="E1920" i="9"/>
  <c r="E1919" i="9"/>
  <c r="E1918" i="9"/>
  <c r="E1917" i="9"/>
  <c r="E1916" i="9"/>
  <c r="E1915" i="9"/>
  <c r="E1914" i="9"/>
  <c r="E1913" i="9"/>
  <c r="E1912" i="9"/>
  <c r="E1911" i="9"/>
  <c r="E1910" i="9"/>
  <c r="E1909" i="9"/>
  <c r="E1908" i="9"/>
  <c r="E1907" i="9"/>
  <c r="E1906" i="9"/>
  <c r="E1905" i="9"/>
  <c r="E1904" i="9"/>
  <c r="E1903" i="9"/>
  <c r="E1902" i="9"/>
  <c r="E1901" i="9"/>
  <c r="E1900" i="9"/>
  <c r="E1899" i="9"/>
  <c r="E1898" i="9"/>
  <c r="E1897" i="9"/>
  <c r="E1896" i="9"/>
  <c r="E1895" i="9"/>
  <c r="E1894" i="9"/>
  <c r="E1893" i="9"/>
  <c r="E1892" i="9"/>
  <c r="E1891" i="9"/>
  <c r="E1890" i="9"/>
  <c r="E1889" i="9"/>
  <c r="E1888" i="9"/>
  <c r="E1887" i="9"/>
  <c r="E1886" i="9"/>
  <c r="E1885" i="9"/>
  <c r="E1884" i="9"/>
  <c r="E1883" i="9"/>
  <c r="E1882" i="9"/>
  <c r="E1881" i="9"/>
  <c r="E1880" i="9"/>
  <c r="E1879" i="9"/>
  <c r="E1878" i="9"/>
  <c r="E1877" i="9"/>
  <c r="E1876" i="9"/>
  <c r="E1875" i="9"/>
  <c r="E1874" i="9"/>
  <c r="E1873" i="9"/>
  <c r="E1872" i="9"/>
  <c r="E1871" i="9"/>
  <c r="E1870" i="9"/>
  <c r="E1869" i="9"/>
  <c r="E1868" i="9"/>
  <c r="E1867" i="9"/>
  <c r="E1866" i="9"/>
  <c r="E1865" i="9"/>
  <c r="E1864" i="9"/>
  <c r="E1863" i="9"/>
  <c r="E1862" i="9"/>
  <c r="E1861" i="9"/>
  <c r="E1860" i="9"/>
  <c r="E1859" i="9"/>
  <c r="E1858" i="9"/>
  <c r="E1857" i="9"/>
  <c r="E1856" i="9"/>
  <c r="E1855" i="9"/>
  <c r="E1854" i="9"/>
  <c r="E1853" i="9"/>
  <c r="E1852" i="9"/>
  <c r="E1851" i="9"/>
  <c r="E1850" i="9"/>
  <c r="E1849" i="9"/>
  <c r="E1848" i="9"/>
  <c r="E1847" i="9"/>
  <c r="E1846" i="9"/>
  <c r="E1845" i="9"/>
  <c r="E1844" i="9"/>
  <c r="E1843" i="9"/>
  <c r="E1842" i="9"/>
  <c r="E1841" i="9"/>
  <c r="E1840" i="9"/>
  <c r="E1839" i="9"/>
  <c r="E1838" i="9"/>
  <c r="E1837" i="9"/>
  <c r="E1836" i="9"/>
  <c r="E1835" i="9"/>
  <c r="E1834" i="9"/>
  <c r="E1833" i="9"/>
  <c r="E1832" i="9"/>
  <c r="E1831" i="9"/>
  <c r="E1830" i="9"/>
  <c r="E1829" i="9"/>
  <c r="E1828" i="9"/>
  <c r="E1827" i="9"/>
  <c r="E1826" i="9"/>
  <c r="E1825" i="9"/>
  <c r="E1824" i="9"/>
  <c r="E1823" i="9"/>
  <c r="E1822" i="9"/>
  <c r="E1821" i="9"/>
  <c r="E1820" i="9"/>
  <c r="E1819" i="9"/>
  <c r="E1818" i="9"/>
  <c r="E1817" i="9"/>
  <c r="E1816" i="9"/>
  <c r="E1815" i="9"/>
  <c r="E1814" i="9"/>
  <c r="E1813" i="9"/>
  <c r="E1812" i="9"/>
  <c r="E1811" i="9"/>
  <c r="E1810" i="9"/>
  <c r="E1809" i="9"/>
  <c r="E1808" i="9"/>
  <c r="E1807" i="9"/>
  <c r="E1806" i="9"/>
  <c r="E1805" i="9"/>
  <c r="E1804" i="9"/>
  <c r="E1803" i="9"/>
  <c r="E1802" i="9"/>
  <c r="E1801" i="9"/>
  <c r="E1800" i="9"/>
  <c r="E1799" i="9"/>
  <c r="E1798" i="9"/>
  <c r="E1797" i="9"/>
  <c r="E1796" i="9"/>
  <c r="E1795" i="9"/>
  <c r="E1794" i="9"/>
  <c r="E1793" i="9"/>
  <c r="E1792" i="9"/>
  <c r="E1791" i="9"/>
  <c r="E1790" i="9"/>
  <c r="E1789" i="9"/>
  <c r="E1788" i="9"/>
  <c r="E1787" i="9"/>
  <c r="E1786" i="9"/>
  <c r="E1785" i="9"/>
  <c r="E1784" i="9"/>
  <c r="E1783" i="9"/>
  <c r="E1782" i="9"/>
  <c r="E1781" i="9"/>
  <c r="E1780" i="9"/>
  <c r="E1779" i="9"/>
  <c r="E1778" i="9"/>
  <c r="E1777" i="9"/>
  <c r="E1776" i="9"/>
  <c r="E1775" i="9"/>
  <c r="E1774" i="9"/>
  <c r="E1773" i="9"/>
  <c r="E1772" i="9"/>
  <c r="E1771" i="9"/>
  <c r="E1770" i="9"/>
  <c r="E1769" i="9"/>
  <c r="E1768" i="9"/>
  <c r="E1767" i="9"/>
  <c r="E1766" i="9"/>
  <c r="E1765" i="9"/>
  <c r="E1764" i="9"/>
  <c r="E1763" i="9"/>
  <c r="E1762" i="9"/>
  <c r="E1761" i="9"/>
  <c r="E1760" i="9"/>
  <c r="E1759" i="9"/>
  <c r="E1758" i="9"/>
  <c r="E1757" i="9"/>
  <c r="E1756" i="9"/>
  <c r="E1755" i="9"/>
  <c r="E1754" i="9"/>
  <c r="E1753" i="9"/>
  <c r="E1752" i="9"/>
  <c r="E1751" i="9"/>
  <c r="E1750" i="9"/>
  <c r="E1749" i="9"/>
  <c r="E1748" i="9"/>
  <c r="E1747" i="9"/>
  <c r="E1746" i="9"/>
  <c r="E1745" i="9"/>
  <c r="E1744" i="9"/>
  <c r="E1743" i="9"/>
  <c r="E1742" i="9"/>
  <c r="E1741" i="9"/>
  <c r="E1740" i="9"/>
  <c r="E1739" i="9"/>
  <c r="E1738" i="9"/>
  <c r="E1737" i="9"/>
  <c r="E1736" i="9"/>
  <c r="E1735" i="9"/>
  <c r="E1734" i="9"/>
  <c r="E1733" i="9"/>
  <c r="E1732" i="9"/>
  <c r="E1731" i="9"/>
  <c r="E1730" i="9"/>
  <c r="E1729" i="9"/>
  <c r="E1728" i="9"/>
  <c r="E1727" i="9"/>
  <c r="E1726" i="9"/>
  <c r="E1725" i="9"/>
  <c r="E1724" i="9"/>
  <c r="E1723" i="9"/>
  <c r="E1722" i="9"/>
  <c r="E1721" i="9"/>
  <c r="E1720" i="9"/>
  <c r="E1719" i="9"/>
  <c r="E1718" i="9"/>
  <c r="E1717" i="9"/>
  <c r="E1716" i="9"/>
  <c r="E1715" i="9"/>
  <c r="E1714" i="9"/>
  <c r="E1713" i="9"/>
  <c r="E1712" i="9"/>
  <c r="E1711" i="9"/>
  <c r="E1710" i="9"/>
  <c r="E1709" i="9"/>
  <c r="E1708" i="9"/>
  <c r="E1707" i="9"/>
  <c r="E1706" i="9"/>
  <c r="E1705" i="9"/>
  <c r="E1704" i="9"/>
  <c r="E1703" i="9"/>
  <c r="E1702" i="9"/>
  <c r="E1701" i="9"/>
  <c r="E1700" i="9"/>
  <c r="E1699" i="9"/>
  <c r="E1698" i="9"/>
  <c r="E1697" i="9"/>
  <c r="E1696" i="9"/>
  <c r="E1695" i="9"/>
  <c r="E1694" i="9"/>
  <c r="E1693" i="9"/>
  <c r="E1692" i="9"/>
  <c r="E1691" i="9"/>
  <c r="E1690" i="9"/>
  <c r="E1689" i="9"/>
  <c r="E1688" i="9"/>
  <c r="E1687" i="9"/>
  <c r="E1686" i="9"/>
  <c r="E1685" i="9"/>
  <c r="E1684" i="9"/>
  <c r="E1683" i="9"/>
  <c r="E1682" i="9"/>
  <c r="E1681" i="9"/>
  <c r="E1680" i="9"/>
  <c r="E1679" i="9"/>
  <c r="E1678" i="9"/>
  <c r="E1677" i="9"/>
  <c r="E1676" i="9"/>
  <c r="E1675" i="9"/>
  <c r="E1674" i="9"/>
  <c r="E1673" i="9"/>
  <c r="E1672" i="9"/>
  <c r="E1671" i="9"/>
  <c r="E1670" i="9"/>
  <c r="E1669" i="9"/>
  <c r="E1668" i="9"/>
  <c r="E1667" i="9"/>
  <c r="E1666" i="9"/>
  <c r="E1665" i="9"/>
  <c r="E1664" i="9"/>
  <c r="E1663" i="9"/>
  <c r="E1662" i="9"/>
  <c r="E1661" i="9"/>
  <c r="E1660" i="9"/>
  <c r="E1659" i="9"/>
  <c r="E1658" i="9"/>
  <c r="E1657" i="9"/>
  <c r="E1656" i="9"/>
  <c r="E1655" i="9"/>
  <c r="E1654" i="9"/>
  <c r="E1653" i="9"/>
  <c r="E1652" i="9"/>
  <c r="E1651" i="9"/>
  <c r="E1650" i="9"/>
  <c r="E1649" i="9"/>
  <c r="E1648" i="9"/>
  <c r="E1647" i="9"/>
  <c r="E1646" i="9"/>
  <c r="E1645" i="9"/>
  <c r="E1644" i="9"/>
  <c r="E1643" i="9"/>
  <c r="E1642" i="9"/>
  <c r="E1641" i="9"/>
  <c r="E1640" i="9"/>
  <c r="E1639" i="9"/>
  <c r="E1638" i="9"/>
  <c r="E1637" i="9"/>
  <c r="E1636" i="9"/>
  <c r="E1635" i="9"/>
  <c r="E1634" i="9"/>
  <c r="E1633" i="9"/>
  <c r="E1632" i="9"/>
  <c r="E1631" i="9"/>
  <c r="E1630" i="9"/>
  <c r="E1629" i="9"/>
  <c r="E1628" i="9"/>
  <c r="E1627" i="9"/>
  <c r="E1626" i="9"/>
  <c r="E1625" i="9"/>
  <c r="E1624" i="9"/>
  <c r="E1623" i="9"/>
  <c r="E1622" i="9"/>
  <c r="E1621" i="9"/>
  <c r="E1620" i="9"/>
  <c r="E1619" i="9"/>
  <c r="E1618" i="9"/>
  <c r="E1617" i="9"/>
  <c r="E1616" i="9"/>
  <c r="E1615" i="9"/>
  <c r="E1614" i="9"/>
  <c r="E1613" i="9"/>
  <c r="E1612" i="9"/>
  <c r="E1611" i="9"/>
  <c r="E1610" i="9"/>
  <c r="E1609" i="9"/>
  <c r="E1608" i="9"/>
  <c r="E1607" i="9"/>
  <c r="E1606" i="9"/>
  <c r="E1605" i="9"/>
  <c r="E1604" i="9"/>
  <c r="E1603" i="9"/>
  <c r="E1602" i="9"/>
  <c r="E1601" i="9"/>
  <c r="E1600" i="9"/>
  <c r="E1599" i="9"/>
  <c r="E1598" i="9"/>
  <c r="E1597" i="9"/>
  <c r="E1596" i="9"/>
  <c r="E1595" i="9"/>
  <c r="E1594" i="9"/>
  <c r="E1593" i="9"/>
  <c r="E1592" i="9"/>
  <c r="E1591" i="9"/>
  <c r="E1590" i="9"/>
  <c r="E1589" i="9"/>
  <c r="E1588" i="9"/>
  <c r="E1587" i="9"/>
  <c r="E1586" i="9"/>
  <c r="E1585" i="9"/>
  <c r="E1584" i="9"/>
  <c r="E1583" i="9"/>
  <c r="E1582" i="9"/>
  <c r="E1581" i="9"/>
  <c r="E1580" i="9"/>
  <c r="E1579" i="9"/>
  <c r="E1578" i="9"/>
  <c r="E1577" i="9"/>
  <c r="E1576" i="9"/>
  <c r="E1575" i="9"/>
  <c r="E1574" i="9"/>
  <c r="E1573" i="9"/>
  <c r="E1572" i="9"/>
  <c r="E1571" i="9"/>
  <c r="E1570" i="9"/>
  <c r="E1569" i="9"/>
  <c r="E1568" i="9"/>
  <c r="E1567" i="9"/>
  <c r="E1566" i="9"/>
  <c r="E1565" i="9"/>
  <c r="E1564" i="9"/>
  <c r="E1563" i="9"/>
  <c r="E1562" i="9"/>
  <c r="E1561" i="9"/>
  <c r="E1560" i="9"/>
  <c r="E1559" i="9"/>
  <c r="E1558" i="9"/>
  <c r="E1557" i="9"/>
  <c r="E1556" i="9"/>
  <c r="E1555" i="9"/>
  <c r="E1554" i="9"/>
  <c r="E1553" i="9"/>
  <c r="E1552" i="9"/>
  <c r="E1551" i="9"/>
  <c r="E1550" i="9"/>
  <c r="E1549" i="9"/>
  <c r="E1548" i="9"/>
  <c r="E1547" i="9"/>
  <c r="E1546" i="9"/>
  <c r="E1545" i="9"/>
  <c r="E1544" i="9"/>
  <c r="E1543" i="9"/>
  <c r="E1542" i="9"/>
  <c r="E1541" i="9"/>
  <c r="E1540" i="9"/>
  <c r="E1539" i="9"/>
  <c r="E1538" i="9"/>
  <c r="E1537" i="9"/>
  <c r="E1536" i="9"/>
  <c r="E1535" i="9"/>
  <c r="E1534" i="9"/>
  <c r="E1533" i="9"/>
  <c r="E1532" i="9"/>
  <c r="E1531" i="9"/>
  <c r="E1530" i="9"/>
  <c r="E1529" i="9"/>
  <c r="E1528" i="9"/>
  <c r="E1527" i="9"/>
  <c r="E1526" i="9"/>
  <c r="E1525" i="9"/>
  <c r="E1524" i="9"/>
  <c r="E1523" i="9"/>
  <c r="E1522" i="9"/>
  <c r="E1521" i="9"/>
  <c r="E1520" i="9"/>
  <c r="E1519" i="9"/>
  <c r="E1518" i="9"/>
  <c r="E1517" i="9"/>
  <c r="E1516" i="9"/>
  <c r="E1515" i="9"/>
  <c r="E1514" i="9"/>
  <c r="E1513" i="9"/>
  <c r="E1512" i="9"/>
  <c r="E1511" i="9"/>
  <c r="E1510" i="9"/>
  <c r="E1509" i="9"/>
  <c r="E1508" i="9"/>
  <c r="E1507" i="9"/>
  <c r="E1506" i="9"/>
  <c r="E1505" i="9"/>
  <c r="E1504" i="9"/>
  <c r="E1503" i="9"/>
  <c r="E1502" i="9"/>
  <c r="E1501" i="9"/>
  <c r="E1500" i="9"/>
  <c r="E1499" i="9"/>
  <c r="E1498" i="9"/>
  <c r="E1497" i="9"/>
  <c r="E1496" i="9"/>
  <c r="E1495" i="9"/>
  <c r="E1494" i="9"/>
  <c r="E1493" i="9"/>
  <c r="E1492" i="9"/>
  <c r="E1491" i="9"/>
  <c r="E1490" i="9"/>
  <c r="E1489" i="9"/>
  <c r="E1488" i="9"/>
  <c r="E1487" i="9"/>
  <c r="E1486" i="9"/>
  <c r="E1485" i="9"/>
  <c r="E1484" i="9"/>
  <c r="E1483" i="9"/>
  <c r="E1482" i="9"/>
  <c r="E1481" i="9"/>
  <c r="E1480" i="9"/>
  <c r="E1479" i="9"/>
  <c r="E1478" i="9"/>
  <c r="E1477" i="9"/>
  <c r="E1476" i="9"/>
  <c r="E1475" i="9"/>
  <c r="E1474" i="9"/>
  <c r="E1473" i="9"/>
  <c r="E1472" i="9"/>
  <c r="E1471" i="9"/>
  <c r="E1470" i="9"/>
  <c r="E1469" i="9"/>
  <c r="E1468" i="9"/>
  <c r="E1467" i="9"/>
  <c r="E1466" i="9"/>
  <c r="E1465" i="9"/>
  <c r="E1464" i="9"/>
  <c r="E1463" i="9"/>
  <c r="E1462" i="9"/>
  <c r="E1461" i="9"/>
  <c r="E1460" i="9"/>
  <c r="E1459" i="9"/>
  <c r="E1458" i="9"/>
  <c r="E1457" i="9"/>
  <c r="E1456" i="9"/>
  <c r="E1455" i="9"/>
  <c r="E1454" i="9"/>
  <c r="E1453" i="9"/>
  <c r="E1452" i="9"/>
  <c r="E1451" i="9"/>
  <c r="E1450" i="9"/>
  <c r="E1449" i="9"/>
  <c r="E1448" i="9"/>
  <c r="E1447" i="9"/>
  <c r="E1446" i="9"/>
  <c r="E1445" i="9"/>
  <c r="E1444" i="9"/>
  <c r="E1443" i="9"/>
  <c r="E1442" i="9"/>
  <c r="E1441" i="9"/>
  <c r="E1440" i="9"/>
  <c r="E1439" i="9"/>
  <c r="E1438" i="9"/>
  <c r="E1437" i="9"/>
  <c r="E1436" i="9"/>
  <c r="E1435" i="9"/>
  <c r="E1434" i="9"/>
  <c r="E1433" i="9"/>
  <c r="E1432" i="9"/>
  <c r="E1431" i="9"/>
  <c r="E1430" i="9"/>
  <c r="E1429" i="9"/>
  <c r="E1428" i="9"/>
  <c r="E1427" i="9"/>
  <c r="E1426" i="9"/>
  <c r="E1425" i="9"/>
  <c r="E1424" i="9"/>
  <c r="E1423" i="9"/>
  <c r="E1422" i="9"/>
  <c r="E1421" i="9"/>
  <c r="E1420" i="9"/>
  <c r="E1419" i="9"/>
  <c r="E1418" i="9"/>
  <c r="E1417" i="9"/>
  <c r="E1416" i="9"/>
  <c r="E1415" i="9"/>
  <c r="E1414" i="9"/>
  <c r="E1413" i="9"/>
  <c r="E1412" i="9"/>
  <c r="E1411" i="9"/>
  <c r="E1410" i="9"/>
  <c r="E1409" i="9"/>
  <c r="E1408" i="9"/>
  <c r="E1407" i="9"/>
  <c r="E1406" i="9"/>
  <c r="E1405" i="9"/>
  <c r="E1404" i="9"/>
  <c r="E1403" i="9"/>
  <c r="E1402" i="9"/>
  <c r="E1401" i="9"/>
  <c r="E1400" i="9"/>
  <c r="E1399" i="9"/>
  <c r="E1398" i="9"/>
  <c r="E1397" i="9"/>
  <c r="E1396" i="9"/>
  <c r="E1395" i="9"/>
  <c r="E1394" i="9"/>
  <c r="E1393" i="9"/>
  <c r="E1392" i="9"/>
  <c r="E1391" i="9"/>
  <c r="E1390" i="9"/>
  <c r="E1389" i="9"/>
  <c r="E1388" i="9"/>
  <c r="E1387" i="9"/>
  <c r="E1386" i="9"/>
  <c r="E1385" i="9"/>
  <c r="E1384" i="9"/>
  <c r="E1383" i="9"/>
  <c r="E1382" i="9"/>
  <c r="E1381" i="9"/>
  <c r="E1380" i="9"/>
  <c r="E1379" i="9"/>
  <c r="E1378" i="9"/>
  <c r="E1377" i="9"/>
  <c r="E1376" i="9"/>
  <c r="E1375" i="9"/>
  <c r="E1374" i="9"/>
  <c r="E1373" i="9"/>
  <c r="E1372" i="9"/>
  <c r="E1371" i="9"/>
  <c r="E1370" i="9"/>
  <c r="E1369" i="9"/>
  <c r="E1368" i="9"/>
  <c r="E1367" i="9"/>
  <c r="E1366" i="9"/>
  <c r="E1365" i="9"/>
  <c r="E1364" i="9"/>
  <c r="E1363" i="9"/>
  <c r="E1362" i="9"/>
  <c r="E1361" i="9"/>
  <c r="E1360" i="9"/>
  <c r="E1359" i="9"/>
  <c r="E1358" i="9"/>
  <c r="E1357" i="9"/>
  <c r="E1356" i="9"/>
  <c r="E1355" i="9"/>
  <c r="E1354" i="9"/>
  <c r="E1353" i="9"/>
  <c r="E1352" i="9"/>
  <c r="E1351" i="9"/>
  <c r="E1350" i="9"/>
  <c r="E1349" i="9"/>
  <c r="E1348" i="9"/>
  <c r="E1347" i="9"/>
  <c r="E1346" i="9"/>
  <c r="E1345" i="9"/>
  <c r="E1344" i="9"/>
  <c r="E1343" i="9"/>
  <c r="E1342" i="9"/>
  <c r="E1341" i="9"/>
  <c r="E1340" i="9"/>
  <c r="E1339" i="9"/>
  <c r="E1338" i="9"/>
  <c r="E1337" i="9"/>
  <c r="E1336" i="9"/>
  <c r="E1335" i="9"/>
  <c r="E1334" i="9"/>
  <c r="E1333" i="9"/>
  <c r="E1332" i="9"/>
  <c r="E1331" i="9"/>
  <c r="E1330" i="9"/>
  <c r="E1329" i="9"/>
  <c r="E1328" i="9"/>
  <c r="E1327" i="9"/>
  <c r="E1326" i="9"/>
  <c r="E1325" i="9"/>
  <c r="E1324" i="9"/>
  <c r="E1323" i="9"/>
  <c r="E1322" i="9"/>
  <c r="E1321" i="9"/>
  <c r="E1320" i="9"/>
  <c r="E1319" i="9"/>
  <c r="E1318" i="9"/>
  <c r="E1317" i="9"/>
  <c r="E1316" i="9"/>
  <c r="E1315" i="9"/>
  <c r="E1314" i="9"/>
  <c r="E1313" i="9"/>
  <c r="E1312" i="9"/>
  <c r="E1311" i="9"/>
  <c r="E1310" i="9"/>
  <c r="E1309" i="9"/>
  <c r="E1308" i="9"/>
  <c r="E1307" i="9"/>
  <c r="E1306" i="9"/>
  <c r="E1305" i="9"/>
  <c r="E1304" i="9"/>
  <c r="E1303" i="9"/>
  <c r="E1302" i="9"/>
  <c r="E1301" i="9"/>
  <c r="E1300" i="9"/>
  <c r="E1299" i="9"/>
  <c r="E1298" i="9"/>
  <c r="E1297" i="9"/>
  <c r="E1296" i="9"/>
  <c r="E1295" i="9"/>
  <c r="E1294" i="9"/>
  <c r="E1293" i="9"/>
  <c r="E1292" i="9"/>
  <c r="E1291" i="9"/>
  <c r="E1290" i="9"/>
  <c r="E1289" i="9"/>
  <c r="E1288" i="9"/>
  <c r="E1287" i="9"/>
  <c r="E1286" i="9"/>
  <c r="E1285" i="9"/>
  <c r="E1284" i="9"/>
  <c r="E1283" i="9"/>
  <c r="E1282" i="9"/>
  <c r="E1281" i="9"/>
  <c r="E1280" i="9"/>
  <c r="E1279" i="9"/>
  <c r="E1278" i="9"/>
  <c r="E1277" i="9"/>
  <c r="E1276" i="9"/>
  <c r="E1275" i="9"/>
  <c r="E1274" i="9"/>
  <c r="E1273" i="9"/>
  <c r="E1272" i="9"/>
  <c r="E1271" i="9"/>
  <c r="E1270" i="9"/>
  <c r="E1269" i="9"/>
  <c r="E1268" i="9"/>
  <c r="E1267" i="9"/>
  <c r="E1266" i="9"/>
  <c r="E1265" i="9"/>
  <c r="E1264" i="9"/>
  <c r="E1263" i="9"/>
  <c r="E1262" i="9"/>
  <c r="E1261" i="9"/>
  <c r="E1260" i="9"/>
  <c r="E1259" i="9"/>
  <c r="E1258" i="9"/>
  <c r="E1257" i="9"/>
  <c r="E1256" i="9"/>
  <c r="E1255" i="9"/>
  <c r="E1254" i="9"/>
  <c r="E1253" i="9"/>
  <c r="E1252" i="9"/>
  <c r="E1251" i="9"/>
  <c r="E1250" i="9"/>
  <c r="E1249" i="9"/>
  <c r="E1248" i="9"/>
  <c r="E1247" i="9"/>
  <c r="E1246" i="9"/>
  <c r="E1245" i="9"/>
  <c r="E1244" i="9"/>
  <c r="E1243" i="9"/>
  <c r="E1242" i="9"/>
  <c r="E1241" i="9"/>
  <c r="E1240" i="9"/>
  <c r="E1239" i="9"/>
  <c r="E1238" i="9"/>
  <c r="E1237" i="9"/>
  <c r="E1236" i="9"/>
  <c r="E1235" i="9"/>
  <c r="E1234" i="9"/>
  <c r="E1233" i="9"/>
  <c r="E1232" i="9"/>
  <c r="E1231" i="9"/>
  <c r="E1230" i="9"/>
  <c r="E1229" i="9"/>
  <c r="E1228" i="9"/>
  <c r="E1227" i="9"/>
  <c r="E1226" i="9"/>
  <c r="E1225" i="9"/>
  <c r="E1224" i="9"/>
  <c r="E1223" i="9"/>
  <c r="E1222" i="9"/>
  <c r="E1221" i="9"/>
  <c r="E1220" i="9"/>
  <c r="E1219" i="9"/>
  <c r="E1218" i="9"/>
  <c r="E1217" i="9"/>
  <c r="E1216" i="9"/>
  <c r="E1215" i="9"/>
  <c r="E1214" i="9"/>
  <c r="E1213" i="9"/>
  <c r="E1212" i="9"/>
  <c r="E1211" i="9"/>
  <c r="E1210" i="9"/>
  <c r="E1209" i="9"/>
  <c r="E1208" i="9"/>
  <c r="E1207" i="9"/>
  <c r="E1206" i="9"/>
  <c r="E1205" i="9"/>
  <c r="E1204" i="9"/>
  <c r="E1203" i="9"/>
  <c r="E1202" i="9"/>
  <c r="E1201" i="9"/>
  <c r="E1200" i="9"/>
  <c r="E1199" i="9"/>
  <c r="E1198" i="9"/>
  <c r="E1197" i="9"/>
  <c r="E1196" i="9"/>
  <c r="E1195" i="9"/>
  <c r="E1194" i="9"/>
  <c r="E1193" i="9"/>
  <c r="E1192" i="9"/>
  <c r="E1191" i="9"/>
  <c r="E1190" i="9"/>
  <c r="E1189" i="9"/>
  <c r="E1188" i="9"/>
  <c r="E1187" i="9"/>
  <c r="E1186" i="9"/>
  <c r="E1185" i="9"/>
  <c r="E1184" i="9"/>
  <c r="E1183" i="9"/>
  <c r="E1182" i="9"/>
  <c r="E1181" i="9"/>
  <c r="E1180" i="9"/>
  <c r="E1179" i="9"/>
  <c r="E1178" i="9"/>
  <c r="E1177" i="9"/>
  <c r="E1176" i="9"/>
  <c r="E1175" i="9"/>
  <c r="E1174" i="9"/>
  <c r="E1173" i="9"/>
  <c r="E1172" i="9"/>
  <c r="E1171" i="9"/>
  <c r="E1170" i="9"/>
  <c r="E1169" i="9"/>
  <c r="E1168" i="9"/>
  <c r="E1167" i="9"/>
  <c r="E1166" i="9"/>
  <c r="E1165" i="9"/>
  <c r="E1164" i="9"/>
  <c r="E1163" i="9"/>
  <c r="E1162" i="9"/>
  <c r="E1161" i="9"/>
  <c r="E1160" i="9"/>
  <c r="E1159" i="9"/>
  <c r="E1158" i="9"/>
  <c r="E1157" i="9"/>
  <c r="E1156" i="9"/>
  <c r="E1155" i="9"/>
  <c r="E1154" i="9"/>
  <c r="E1153" i="9"/>
  <c r="E1152" i="9"/>
  <c r="E1151" i="9"/>
  <c r="E1150" i="9"/>
  <c r="E1149" i="9"/>
  <c r="E1148" i="9"/>
  <c r="E1147" i="9"/>
  <c r="E1146" i="9"/>
  <c r="E1145" i="9"/>
  <c r="E1144" i="9"/>
  <c r="E1143" i="9"/>
  <c r="E1142" i="9"/>
  <c r="E1141" i="9"/>
  <c r="E1140" i="9"/>
  <c r="E1139" i="9"/>
  <c r="E1138" i="9"/>
  <c r="E1137" i="9"/>
  <c r="E1136" i="9"/>
  <c r="E1135" i="9"/>
  <c r="E1134" i="9"/>
  <c r="E1133" i="9"/>
  <c r="E1132" i="9"/>
  <c r="E1131" i="9"/>
  <c r="E1130" i="9"/>
  <c r="E1129" i="9"/>
  <c r="E1128" i="9"/>
  <c r="E1127" i="9"/>
  <c r="E1126" i="9"/>
  <c r="E1125" i="9"/>
  <c r="E1124" i="9"/>
  <c r="E1123" i="9"/>
  <c r="E1122" i="9"/>
  <c r="E1121" i="9"/>
  <c r="E1120" i="9"/>
  <c r="E1119" i="9"/>
  <c r="E1118" i="9"/>
  <c r="E1117" i="9"/>
  <c r="E1116" i="9"/>
  <c r="E1115" i="9"/>
  <c r="E1114" i="9"/>
  <c r="E1113" i="9"/>
  <c r="E1112" i="9"/>
  <c r="E1111" i="9"/>
  <c r="E1110" i="9"/>
  <c r="E1109" i="9"/>
  <c r="E1108" i="9"/>
  <c r="E1107" i="9"/>
  <c r="E1106" i="9"/>
  <c r="E1105" i="9"/>
  <c r="E1104" i="9"/>
  <c r="E1103" i="9"/>
  <c r="E1102" i="9"/>
  <c r="E1101" i="9"/>
  <c r="E1100" i="9"/>
  <c r="E1099" i="9"/>
  <c r="E1098" i="9"/>
  <c r="E1097" i="9"/>
  <c r="E1096" i="9"/>
  <c r="E1095" i="9"/>
  <c r="E1094" i="9"/>
  <c r="E1093" i="9"/>
  <c r="E1092" i="9"/>
  <c r="E1091" i="9"/>
  <c r="E1090" i="9"/>
  <c r="E1089" i="9"/>
  <c r="E1088" i="9"/>
  <c r="E1087" i="9"/>
  <c r="E1086" i="9"/>
  <c r="E1085" i="9"/>
  <c r="E1084" i="9"/>
  <c r="E1083" i="9"/>
  <c r="E1082" i="9"/>
  <c r="E1081" i="9"/>
  <c r="E1080" i="9"/>
  <c r="E1079" i="9"/>
  <c r="E1078" i="9"/>
  <c r="E1077" i="9"/>
  <c r="E1076" i="9"/>
  <c r="E1075" i="9"/>
  <c r="E1074" i="9"/>
  <c r="E1073" i="9"/>
  <c r="E1072" i="9"/>
  <c r="E1071" i="9"/>
  <c r="E1070" i="9"/>
  <c r="E1069" i="9"/>
  <c r="E1068" i="9"/>
  <c r="E1067" i="9"/>
  <c r="E1066" i="9"/>
  <c r="E1065" i="9"/>
  <c r="E1064" i="9"/>
  <c r="E1063" i="9"/>
  <c r="E1062" i="9"/>
  <c r="E1061" i="9"/>
  <c r="E1060" i="9"/>
  <c r="E1059" i="9"/>
  <c r="E1058" i="9"/>
  <c r="E1057" i="9"/>
  <c r="E1056" i="9"/>
  <c r="E1055" i="9"/>
  <c r="E1054" i="9"/>
  <c r="E1053" i="9"/>
  <c r="E1052" i="9"/>
  <c r="E1051" i="9"/>
  <c r="E1050" i="9"/>
  <c r="E1049" i="9"/>
  <c r="E1048" i="9"/>
  <c r="E1047" i="9"/>
  <c r="E1046" i="9"/>
  <c r="E1045" i="9"/>
  <c r="E1044" i="9"/>
  <c r="E1043" i="9"/>
  <c r="E1042" i="9"/>
  <c r="E1041" i="9"/>
  <c r="E1040" i="9"/>
  <c r="E1039" i="9"/>
  <c r="E1038" i="9"/>
  <c r="E1037" i="9"/>
  <c r="E1036" i="9"/>
  <c r="E1035" i="9"/>
  <c r="E1034" i="9"/>
  <c r="E1033" i="9"/>
  <c r="E1032" i="9"/>
  <c r="E1031" i="9"/>
  <c r="E1030" i="9"/>
  <c r="E1029" i="9"/>
  <c r="E1028" i="9"/>
  <c r="E1027" i="9"/>
  <c r="E1026" i="9"/>
  <c r="E1025" i="9"/>
  <c r="E1024" i="9"/>
  <c r="E1023" i="9"/>
  <c r="E1022" i="9"/>
  <c r="E1021" i="9"/>
  <c r="E1020" i="9"/>
  <c r="E1019" i="9"/>
  <c r="E1018" i="9"/>
  <c r="E1017" i="9"/>
  <c r="E1016" i="9"/>
  <c r="E1015" i="9"/>
  <c r="E1014" i="9"/>
  <c r="E1013" i="9"/>
  <c r="E1012" i="9"/>
  <c r="E1011" i="9"/>
  <c r="E1010" i="9"/>
  <c r="E1009" i="9"/>
  <c r="E1008" i="9"/>
  <c r="E1007" i="9"/>
  <c r="E1006" i="9"/>
  <c r="E1005" i="9"/>
  <c r="E1004" i="9"/>
  <c r="E1003" i="9"/>
  <c r="E1002" i="9"/>
  <c r="E1001" i="9"/>
  <c r="E1000" i="9"/>
  <c r="E999" i="9"/>
  <c r="E998" i="9"/>
  <c r="E997" i="9"/>
  <c r="E996" i="9"/>
  <c r="E995" i="9"/>
  <c r="E994" i="9"/>
  <c r="E993" i="9"/>
  <c r="E992" i="9"/>
  <c r="E991" i="9"/>
  <c r="E990" i="9"/>
  <c r="E989" i="9"/>
  <c r="E988" i="9"/>
  <c r="E987" i="9"/>
  <c r="E986" i="9"/>
  <c r="E985" i="9"/>
  <c r="E984" i="9"/>
  <c r="E983" i="9"/>
  <c r="E982" i="9"/>
  <c r="E981" i="9"/>
  <c r="E980" i="9"/>
  <c r="E979" i="9"/>
  <c r="E978" i="9"/>
  <c r="E977" i="9"/>
  <c r="E976" i="9"/>
  <c r="E975" i="9"/>
  <c r="E974" i="9"/>
  <c r="E973" i="9"/>
  <c r="E972" i="9"/>
  <c r="E971" i="9"/>
  <c r="E970" i="9"/>
  <c r="E969" i="9"/>
  <c r="E968" i="9"/>
  <c r="E967" i="9"/>
  <c r="E966" i="9"/>
  <c r="E965" i="9"/>
  <c r="E964" i="9"/>
  <c r="E963" i="9"/>
  <c r="E962" i="9"/>
  <c r="E961" i="9"/>
  <c r="E960" i="9"/>
  <c r="E959" i="9"/>
  <c r="E958" i="9"/>
  <c r="E957" i="9"/>
  <c r="E956" i="9"/>
  <c r="E955" i="9"/>
  <c r="E954" i="9"/>
  <c r="E953" i="9"/>
  <c r="E952" i="9"/>
  <c r="E951" i="9"/>
  <c r="E950" i="9"/>
  <c r="E949" i="9"/>
  <c r="E948" i="9"/>
  <c r="E947" i="9"/>
  <c r="E946" i="9"/>
  <c r="E945" i="9"/>
  <c r="E944" i="9"/>
  <c r="E943" i="9"/>
  <c r="E942" i="9"/>
  <c r="E941" i="9"/>
  <c r="E940" i="9"/>
  <c r="E939" i="9"/>
  <c r="E938" i="9"/>
  <c r="E937" i="9"/>
  <c r="E936" i="9"/>
  <c r="E935" i="9"/>
  <c r="E934" i="9"/>
  <c r="E933" i="9"/>
  <c r="E932" i="9"/>
  <c r="E931" i="9"/>
  <c r="E930" i="9"/>
  <c r="E929" i="9"/>
  <c r="E928" i="9"/>
  <c r="E927" i="9"/>
  <c r="E926" i="9"/>
  <c r="E925" i="9"/>
  <c r="E924" i="9"/>
  <c r="E923" i="9"/>
  <c r="E922" i="9"/>
  <c r="E921" i="9"/>
  <c r="E920" i="9"/>
  <c r="E919" i="9"/>
  <c r="E918" i="9"/>
  <c r="E917" i="9"/>
  <c r="E916" i="9"/>
  <c r="E915" i="9"/>
  <c r="E914" i="9"/>
  <c r="E913" i="9"/>
  <c r="E912" i="9"/>
  <c r="E911" i="9"/>
  <c r="E910" i="9"/>
  <c r="E909" i="9"/>
  <c r="E908" i="9"/>
  <c r="E907" i="9"/>
  <c r="E906" i="9"/>
  <c r="E905" i="9"/>
  <c r="E904" i="9"/>
  <c r="E903" i="9"/>
  <c r="E902" i="9"/>
  <c r="E901" i="9"/>
  <c r="E900" i="9"/>
  <c r="E899" i="9"/>
  <c r="E898" i="9"/>
  <c r="E897" i="9"/>
  <c r="E896" i="9"/>
  <c r="E895" i="9"/>
  <c r="E894" i="9"/>
  <c r="E893" i="9"/>
  <c r="E892" i="9"/>
  <c r="E891" i="9"/>
  <c r="E890" i="9"/>
  <c r="E889" i="9"/>
  <c r="E888" i="9"/>
  <c r="E887" i="9"/>
  <c r="E886" i="9"/>
  <c r="E885" i="9"/>
  <c r="E884" i="9"/>
  <c r="E883" i="9"/>
  <c r="E882" i="9"/>
  <c r="E881" i="9"/>
  <c r="E880" i="9"/>
  <c r="E879" i="9"/>
  <c r="E878" i="9"/>
  <c r="E877" i="9"/>
  <c r="E876" i="9"/>
  <c r="E875" i="9"/>
  <c r="E874" i="9"/>
  <c r="E873" i="9"/>
  <c r="E872" i="9"/>
  <c r="E871" i="9"/>
  <c r="E870" i="9"/>
  <c r="E869" i="9"/>
  <c r="E868" i="9"/>
  <c r="E867" i="9"/>
  <c r="E866" i="9"/>
  <c r="E865" i="9"/>
  <c r="E864" i="9"/>
  <c r="E863" i="9"/>
  <c r="E862" i="9"/>
  <c r="E861" i="9"/>
  <c r="E860" i="9"/>
  <c r="E859" i="9"/>
  <c r="E858" i="9"/>
  <c r="E857" i="9"/>
  <c r="E856" i="9"/>
  <c r="E855" i="9"/>
  <c r="E854" i="9"/>
  <c r="E853" i="9"/>
  <c r="E852" i="9"/>
  <c r="E851" i="9"/>
  <c r="E850" i="9"/>
  <c r="E849" i="9"/>
  <c r="E848" i="9"/>
  <c r="E847" i="9"/>
  <c r="E846" i="9"/>
  <c r="E845" i="9"/>
  <c r="E844" i="9"/>
  <c r="E843" i="9"/>
  <c r="E842" i="9"/>
  <c r="E841" i="9"/>
  <c r="E840" i="9"/>
  <c r="E839" i="9"/>
  <c r="E838" i="9"/>
  <c r="E837" i="9"/>
  <c r="E836" i="9"/>
  <c r="E835" i="9"/>
  <c r="E834" i="9"/>
  <c r="E833" i="9"/>
  <c r="E832" i="9"/>
  <c r="E831" i="9"/>
  <c r="E830" i="9"/>
  <c r="E829" i="9"/>
  <c r="E828" i="9"/>
  <c r="E827" i="9"/>
  <c r="E826" i="9"/>
  <c r="E825" i="9"/>
  <c r="E824" i="9"/>
  <c r="E823" i="9"/>
  <c r="E822" i="9"/>
  <c r="E821" i="9"/>
  <c r="E820" i="9"/>
  <c r="E819" i="9"/>
  <c r="E818" i="9"/>
  <c r="E817" i="9"/>
  <c r="E816" i="9"/>
  <c r="E815" i="9"/>
  <c r="E814" i="9"/>
  <c r="E813" i="9"/>
  <c r="E812" i="9"/>
  <c r="E811" i="9"/>
  <c r="E810" i="9"/>
  <c r="E809" i="9"/>
  <c r="E808" i="9"/>
  <c r="E807" i="9"/>
  <c r="E806" i="9"/>
  <c r="E805" i="9"/>
  <c r="E804" i="9"/>
  <c r="E803" i="9"/>
  <c r="E802" i="9"/>
  <c r="E801" i="9"/>
  <c r="E800" i="9"/>
  <c r="E799" i="9"/>
  <c r="E798" i="9"/>
  <c r="E797" i="9"/>
  <c r="E796" i="9"/>
  <c r="E795" i="9"/>
  <c r="E794" i="9"/>
  <c r="E793" i="9"/>
  <c r="E792" i="9"/>
  <c r="E791" i="9"/>
  <c r="E790" i="9"/>
  <c r="E789" i="9"/>
  <c r="E788" i="9"/>
  <c r="E787" i="9"/>
  <c r="E786" i="9"/>
  <c r="E785" i="9"/>
  <c r="E784" i="9"/>
  <c r="E783" i="9"/>
  <c r="E782" i="9"/>
  <c r="E781" i="9"/>
  <c r="E780" i="9"/>
  <c r="E779" i="9"/>
  <c r="E778" i="9"/>
  <c r="E777" i="9"/>
  <c r="E776" i="9"/>
  <c r="E775" i="9"/>
  <c r="E774" i="9"/>
  <c r="E773" i="9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I8" i="12"/>
  <c r="D24" i="11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D23" i="11"/>
  <c r="D22" i="11"/>
  <c r="D21" i="11"/>
  <c r="D20" i="11"/>
  <c r="D19" i="11"/>
  <c r="D18" i="11"/>
  <c r="K12" i="17"/>
  <c r="K11" i="17"/>
  <c r="K9" i="17"/>
  <c r="K8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38" i="17"/>
  <c r="H39" i="17"/>
  <c r="H40" i="17"/>
  <c r="H41" i="17"/>
  <c r="H42" i="17"/>
  <c r="H43" i="17"/>
  <c r="H44" i="17"/>
  <c r="H45" i="17"/>
  <c r="H46" i="17"/>
  <c r="H47" i="17"/>
  <c r="H48" i="17"/>
  <c r="H49" i="17"/>
  <c r="H50" i="17"/>
  <c r="H51" i="17"/>
  <c r="H52" i="17"/>
  <c r="H53" i="17"/>
  <c r="H54" i="17"/>
  <c r="H55" i="17"/>
  <c r="H56" i="17"/>
  <c r="H57" i="17"/>
  <c r="H58" i="17"/>
  <c r="H59" i="17"/>
  <c r="H60" i="17"/>
  <c r="H61" i="17"/>
  <c r="H62" i="17"/>
  <c r="H63" i="17"/>
  <c r="H64" i="17"/>
  <c r="H65" i="17"/>
  <c r="H66" i="17"/>
  <c r="H67" i="17"/>
  <c r="H68" i="17"/>
  <c r="H69" i="17"/>
  <c r="H70" i="17"/>
  <c r="H11" i="17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" i="17"/>
  <c r="H1" i="17" s="1"/>
  <c r="I1" i="17" s="1"/>
  <c r="J1" i="17" s="1"/>
  <c r="K1" i="17" s="1"/>
  <c r="L1" i="17" s="1"/>
  <c r="M1" i="17" s="1"/>
  <c r="N1" i="17" s="1"/>
  <c r="O1" i="17" s="1"/>
  <c r="P1" i="17" s="1"/>
  <c r="Q1" i="17" s="1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AC1" i="17" s="1"/>
  <c r="AD1" i="17" s="1"/>
  <c r="AE1" i="17" s="1"/>
  <c r="AF1" i="17" s="1"/>
  <c r="AG1" i="17" s="1"/>
  <c r="AH1" i="17" s="1"/>
  <c r="AI1" i="17" s="1"/>
  <c r="AJ1" i="17" s="1"/>
  <c r="AK1" i="17" s="1"/>
  <c r="AL1" i="17" s="1"/>
  <c r="AM1" i="17" s="1"/>
  <c r="AN1" i="17" s="1"/>
  <c r="AO1" i="17" s="1"/>
  <c r="AP1" i="17" s="1"/>
  <c r="AQ1" i="17" s="1"/>
  <c r="AR1" i="17" s="1"/>
  <c r="AS1" i="17" s="1"/>
  <c r="AT1" i="17" s="1"/>
  <c r="AU1" i="17" s="1"/>
  <c r="AV1" i="17" s="1"/>
  <c r="AW1" i="17" s="1"/>
  <c r="AX1" i="17" s="1"/>
  <c r="AY1" i="17" s="1"/>
  <c r="AZ1" i="17" s="1"/>
  <c r="BA1" i="17" s="1"/>
  <c r="BB1" i="17" s="1"/>
  <c r="BC1" i="17" s="1"/>
  <c r="BD1" i="17" s="1"/>
  <c r="BE1" i="17" s="1"/>
  <c r="BF1" i="17" s="1"/>
  <c r="BG1" i="17" s="1"/>
  <c r="BH1" i="17" s="1"/>
  <c r="BI1" i="17" s="1"/>
  <c r="BJ1" i="17" s="1"/>
  <c r="BK1" i="17" s="1"/>
  <c r="BL1" i="17" s="1"/>
  <c r="BM1" i="17" s="1"/>
  <c r="BN1" i="17" s="1"/>
  <c r="BO1" i="17" s="1"/>
  <c r="BP1" i="17" s="1"/>
  <c r="BQ1" i="17" s="1"/>
  <c r="F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11" i="17"/>
  <c r="E12" i="17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D4" i="11"/>
  <c r="D17" i="11" s="1"/>
  <c r="J9" i="16"/>
  <c r="J8" i="16"/>
  <c r="K15" i="16"/>
  <c r="L15" i="16"/>
  <c r="K16" i="16"/>
  <c r="L16" i="16"/>
  <c r="K17" i="16"/>
  <c r="L17" i="16"/>
  <c r="K18" i="16"/>
  <c r="L18" i="16"/>
  <c r="K19" i="16"/>
  <c r="L19" i="16"/>
  <c r="K20" i="16"/>
  <c r="L20" i="16"/>
  <c r="K21" i="16"/>
  <c r="L21" i="16"/>
  <c r="K22" i="16"/>
  <c r="L22" i="16"/>
  <c r="K23" i="16"/>
  <c r="L23" i="16"/>
  <c r="K24" i="16"/>
  <c r="L24" i="16"/>
  <c r="K25" i="16"/>
  <c r="L25" i="16"/>
  <c r="K26" i="16"/>
  <c r="L26" i="16"/>
  <c r="K27" i="16"/>
  <c r="L27" i="16"/>
  <c r="K28" i="16"/>
  <c r="L28" i="16"/>
  <c r="K29" i="16"/>
  <c r="L29" i="16"/>
  <c r="K30" i="16"/>
  <c r="L30" i="16"/>
  <c r="K31" i="16"/>
  <c r="L31" i="16"/>
  <c r="K32" i="16"/>
  <c r="L32" i="16"/>
  <c r="K33" i="16"/>
  <c r="L33" i="16"/>
  <c r="K34" i="16"/>
  <c r="L34" i="16"/>
  <c r="K35" i="16"/>
  <c r="L35" i="16"/>
  <c r="K36" i="16"/>
  <c r="L36" i="16"/>
  <c r="K37" i="16"/>
  <c r="L37" i="16"/>
  <c r="K38" i="16"/>
  <c r="L38" i="16"/>
  <c r="K39" i="16"/>
  <c r="L39" i="16"/>
  <c r="K40" i="16"/>
  <c r="L40" i="16"/>
  <c r="K41" i="16"/>
  <c r="L41" i="16"/>
  <c r="K42" i="16"/>
  <c r="L42" i="16"/>
  <c r="K43" i="16"/>
  <c r="L43" i="16"/>
  <c r="K44" i="16"/>
  <c r="L44" i="16"/>
  <c r="K45" i="16"/>
  <c r="L45" i="16"/>
  <c r="K46" i="16"/>
  <c r="L46" i="16"/>
  <c r="K47" i="16"/>
  <c r="L47" i="16"/>
  <c r="K48" i="16"/>
  <c r="L48" i="16"/>
  <c r="K49" i="16"/>
  <c r="L49" i="16"/>
  <c r="K50" i="16"/>
  <c r="L50" i="16"/>
  <c r="K51" i="16"/>
  <c r="L51" i="16"/>
  <c r="K52" i="16"/>
  <c r="L52" i="16"/>
  <c r="K53" i="16"/>
  <c r="L53" i="16"/>
  <c r="K54" i="16"/>
  <c r="L54" i="16"/>
  <c r="K55" i="16"/>
  <c r="L55" i="16"/>
  <c r="K56" i="16"/>
  <c r="L56" i="16"/>
  <c r="K57" i="16"/>
  <c r="L57" i="16"/>
  <c r="K58" i="16"/>
  <c r="L58" i="16"/>
  <c r="K59" i="16"/>
  <c r="L59" i="16"/>
  <c r="K60" i="16"/>
  <c r="L60" i="16"/>
  <c r="K61" i="16"/>
  <c r="L61" i="16"/>
  <c r="K62" i="16"/>
  <c r="L62" i="16"/>
  <c r="K63" i="16"/>
  <c r="L63" i="16"/>
  <c r="K64" i="16"/>
  <c r="L64" i="16"/>
  <c r="K65" i="16"/>
  <c r="L65" i="16"/>
  <c r="K66" i="16"/>
  <c r="L66" i="16"/>
  <c r="K67" i="16"/>
  <c r="L67" i="16"/>
  <c r="K68" i="16"/>
  <c r="L68" i="16"/>
  <c r="K69" i="16"/>
  <c r="L69" i="16"/>
  <c r="K70" i="16"/>
  <c r="L70" i="16"/>
  <c r="K71" i="16"/>
  <c r="L71" i="16"/>
  <c r="K72" i="16"/>
  <c r="L72" i="16"/>
  <c r="K73" i="16"/>
  <c r="L73" i="16"/>
  <c r="L14" i="16"/>
  <c r="K14" i="16"/>
  <c r="G15" i="16"/>
  <c r="H15" i="16"/>
  <c r="G16" i="16"/>
  <c r="H16" i="16"/>
  <c r="G17" i="16"/>
  <c r="H17" i="16"/>
  <c r="G18" i="16"/>
  <c r="H18" i="16"/>
  <c r="G19" i="16"/>
  <c r="H19" i="16"/>
  <c r="G20" i="16"/>
  <c r="H20" i="16"/>
  <c r="G21" i="16"/>
  <c r="H21" i="16"/>
  <c r="G22" i="16"/>
  <c r="H22" i="16"/>
  <c r="G23" i="16"/>
  <c r="H23" i="16"/>
  <c r="G24" i="16"/>
  <c r="H24" i="16"/>
  <c r="G25" i="16"/>
  <c r="H25" i="16"/>
  <c r="G26" i="16"/>
  <c r="H26" i="16"/>
  <c r="G27" i="16"/>
  <c r="H27" i="16"/>
  <c r="G28" i="16"/>
  <c r="H28" i="16"/>
  <c r="G29" i="16"/>
  <c r="H29" i="16"/>
  <c r="G30" i="16"/>
  <c r="H30" i="16"/>
  <c r="G31" i="16"/>
  <c r="H31" i="16"/>
  <c r="G32" i="16"/>
  <c r="H32" i="16"/>
  <c r="G33" i="16"/>
  <c r="H33" i="16"/>
  <c r="G34" i="16"/>
  <c r="H34" i="16"/>
  <c r="G35" i="16"/>
  <c r="H35" i="16"/>
  <c r="G36" i="16"/>
  <c r="H36" i="16"/>
  <c r="G37" i="16"/>
  <c r="H37" i="16"/>
  <c r="G38" i="16"/>
  <c r="H38" i="16"/>
  <c r="G39" i="16"/>
  <c r="H39" i="16"/>
  <c r="G40" i="16"/>
  <c r="H40" i="16"/>
  <c r="G41" i="16"/>
  <c r="H41" i="16"/>
  <c r="G42" i="16"/>
  <c r="H42" i="16"/>
  <c r="G43" i="16"/>
  <c r="H43" i="16"/>
  <c r="G44" i="16"/>
  <c r="H44" i="16"/>
  <c r="G45" i="16"/>
  <c r="H45" i="16"/>
  <c r="G46" i="16"/>
  <c r="H46" i="16"/>
  <c r="G47" i="16"/>
  <c r="H47" i="16"/>
  <c r="G48" i="16"/>
  <c r="H48" i="16"/>
  <c r="G49" i="16"/>
  <c r="H49" i="16"/>
  <c r="G50" i="16"/>
  <c r="H50" i="16"/>
  <c r="G51" i="16"/>
  <c r="H51" i="16"/>
  <c r="G52" i="16"/>
  <c r="H52" i="16"/>
  <c r="G53" i="16"/>
  <c r="H53" i="16"/>
  <c r="G54" i="16"/>
  <c r="H54" i="16"/>
  <c r="G55" i="16"/>
  <c r="H55" i="16"/>
  <c r="G56" i="16"/>
  <c r="H56" i="16"/>
  <c r="G57" i="16"/>
  <c r="H57" i="16"/>
  <c r="G58" i="16"/>
  <c r="H58" i="16"/>
  <c r="G59" i="16"/>
  <c r="H59" i="16"/>
  <c r="G60" i="16"/>
  <c r="H60" i="16"/>
  <c r="G61" i="16"/>
  <c r="H61" i="16"/>
  <c r="G62" i="16"/>
  <c r="H62" i="16"/>
  <c r="G63" i="16"/>
  <c r="H63" i="16"/>
  <c r="G64" i="16"/>
  <c r="H64" i="16"/>
  <c r="G65" i="16"/>
  <c r="H65" i="16"/>
  <c r="G66" i="16"/>
  <c r="H66" i="16"/>
  <c r="G67" i="16"/>
  <c r="H67" i="16"/>
  <c r="G68" i="16"/>
  <c r="H68" i="16"/>
  <c r="G69" i="16"/>
  <c r="H69" i="16"/>
  <c r="G70" i="16"/>
  <c r="H70" i="16"/>
  <c r="G71" i="16"/>
  <c r="H71" i="16"/>
  <c r="G72" i="16"/>
  <c r="H72" i="16"/>
  <c r="G73" i="16"/>
  <c r="H73" i="16"/>
  <c r="H14" i="16"/>
  <c r="G14" i="16"/>
  <c r="E15" i="16"/>
  <c r="F15" i="16"/>
  <c r="E16" i="16"/>
  <c r="F16" i="16"/>
  <c r="E17" i="16"/>
  <c r="F17" i="16"/>
  <c r="E18" i="16"/>
  <c r="F18" i="16"/>
  <c r="E19" i="16"/>
  <c r="F19" i="16"/>
  <c r="E20" i="16"/>
  <c r="F20" i="16"/>
  <c r="E21" i="16"/>
  <c r="F21" i="16"/>
  <c r="E22" i="16"/>
  <c r="F22" i="16"/>
  <c r="E23" i="16"/>
  <c r="F23" i="16"/>
  <c r="E24" i="16"/>
  <c r="F24" i="16"/>
  <c r="E25" i="16"/>
  <c r="F25" i="16"/>
  <c r="E26" i="16"/>
  <c r="F26" i="16"/>
  <c r="E27" i="16"/>
  <c r="F27" i="16"/>
  <c r="E28" i="16"/>
  <c r="F28" i="16"/>
  <c r="E29" i="16"/>
  <c r="F29" i="16"/>
  <c r="E30" i="16"/>
  <c r="F30" i="16"/>
  <c r="E31" i="16"/>
  <c r="F31" i="16"/>
  <c r="E32" i="16"/>
  <c r="F32" i="16"/>
  <c r="E33" i="16"/>
  <c r="F33" i="16"/>
  <c r="E34" i="16"/>
  <c r="F34" i="16"/>
  <c r="E35" i="16"/>
  <c r="F35" i="16"/>
  <c r="E36" i="16"/>
  <c r="F36" i="16"/>
  <c r="E37" i="16"/>
  <c r="F37" i="16"/>
  <c r="E38" i="16"/>
  <c r="F38" i="16"/>
  <c r="E39" i="16"/>
  <c r="F39" i="16"/>
  <c r="E40" i="16"/>
  <c r="F40" i="16"/>
  <c r="E41" i="16"/>
  <c r="F41" i="16"/>
  <c r="E42" i="16"/>
  <c r="F42" i="16"/>
  <c r="E43" i="16"/>
  <c r="F43" i="16"/>
  <c r="E44" i="16"/>
  <c r="F44" i="16"/>
  <c r="E45" i="16"/>
  <c r="F45" i="16"/>
  <c r="E46" i="16"/>
  <c r="F46" i="16"/>
  <c r="E47" i="16"/>
  <c r="F47" i="16"/>
  <c r="E48" i="16"/>
  <c r="F48" i="16"/>
  <c r="E49" i="16"/>
  <c r="F49" i="16"/>
  <c r="E50" i="16"/>
  <c r="F50" i="16"/>
  <c r="E51" i="16"/>
  <c r="F51" i="16"/>
  <c r="E52" i="16"/>
  <c r="F52" i="16"/>
  <c r="E53" i="16"/>
  <c r="F53" i="16"/>
  <c r="E54" i="16"/>
  <c r="F54" i="16"/>
  <c r="E55" i="16"/>
  <c r="F55" i="16"/>
  <c r="E56" i="16"/>
  <c r="F56" i="16"/>
  <c r="E57" i="16"/>
  <c r="F57" i="16"/>
  <c r="E58" i="16"/>
  <c r="F58" i="16"/>
  <c r="E59" i="16"/>
  <c r="F59" i="16"/>
  <c r="E60" i="16"/>
  <c r="F60" i="16"/>
  <c r="E61" i="16"/>
  <c r="F61" i="16"/>
  <c r="E62" i="16"/>
  <c r="F62" i="16"/>
  <c r="E63" i="16"/>
  <c r="F63" i="16"/>
  <c r="E64" i="16"/>
  <c r="F64" i="16"/>
  <c r="E65" i="16"/>
  <c r="F65" i="16"/>
  <c r="E66" i="16"/>
  <c r="F66" i="16"/>
  <c r="E67" i="16"/>
  <c r="F67" i="16"/>
  <c r="E68" i="16"/>
  <c r="F68" i="16"/>
  <c r="E69" i="16"/>
  <c r="F69" i="16"/>
  <c r="E70" i="16"/>
  <c r="F70" i="16"/>
  <c r="E71" i="16"/>
  <c r="F71" i="16"/>
  <c r="E72" i="16"/>
  <c r="F72" i="16"/>
  <c r="E73" i="16"/>
  <c r="F73" i="16"/>
  <c r="F14" i="16"/>
  <c r="E14" i="16"/>
  <c r="D65" i="16"/>
  <c r="D66" i="16" s="1"/>
  <c r="D67" i="16" s="1"/>
  <c r="D68" i="16" s="1"/>
  <c r="D69" i="16" s="1"/>
  <c r="D70" i="16" s="1"/>
  <c r="D71" i="16" s="1"/>
  <c r="D72" i="16" s="1"/>
  <c r="D73" i="16" s="1"/>
  <c r="D44" i="16"/>
  <c r="D45" i="16" s="1"/>
  <c r="D46" i="16" s="1"/>
  <c r="D47" i="16" s="1"/>
  <c r="D48" i="16" s="1"/>
  <c r="D49" i="16" s="1"/>
  <c r="D50" i="16" s="1"/>
  <c r="D51" i="16" s="1"/>
  <c r="D52" i="16" s="1"/>
  <c r="D53" i="16" s="1"/>
  <c r="D54" i="16" s="1"/>
  <c r="D55" i="16" s="1"/>
  <c r="D56" i="16" s="1"/>
  <c r="D57" i="16" s="1"/>
  <c r="D58" i="16" s="1"/>
  <c r="D59" i="16" s="1"/>
  <c r="D60" i="16" s="1"/>
  <c r="D61" i="16" s="1"/>
  <c r="D62" i="16" s="1"/>
  <c r="D63" i="16" s="1"/>
  <c r="D64" i="16" s="1"/>
  <c r="D16" i="16"/>
  <c r="D17" i="16" s="1"/>
  <c r="D18" i="16" s="1"/>
  <c r="D19" i="16" s="1"/>
  <c r="D20" i="16" s="1"/>
  <c r="D21" i="16" s="1"/>
  <c r="D22" i="16" s="1"/>
  <c r="D23" i="16" s="1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35" i="16" s="1"/>
  <c r="D36" i="16" s="1"/>
  <c r="D37" i="16" s="1"/>
  <c r="D38" i="16" s="1"/>
  <c r="D39" i="16" s="1"/>
  <c r="D40" i="16" s="1"/>
  <c r="D41" i="16" s="1"/>
  <c r="D42" i="16" s="1"/>
  <c r="D43" i="16" s="1"/>
  <c r="D15" i="16"/>
  <c r="G1" i="16"/>
  <c r="H1" i="16" s="1"/>
  <c r="I1" i="16" s="1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AC1" i="16" s="1"/>
  <c r="AD1" i="16" s="1"/>
  <c r="AE1" i="16" s="1"/>
  <c r="AF1" i="16" s="1"/>
  <c r="AG1" i="16" s="1"/>
  <c r="AH1" i="16" s="1"/>
  <c r="AI1" i="16" s="1"/>
  <c r="AJ1" i="16" s="1"/>
  <c r="AK1" i="16" s="1"/>
  <c r="AL1" i="16" s="1"/>
  <c r="AM1" i="16" s="1"/>
  <c r="AN1" i="16" s="1"/>
  <c r="AO1" i="16" s="1"/>
  <c r="AP1" i="16" s="1"/>
  <c r="AQ1" i="16" s="1"/>
  <c r="AR1" i="16" s="1"/>
  <c r="AS1" i="16" s="1"/>
  <c r="AT1" i="16" s="1"/>
  <c r="AU1" i="16" s="1"/>
  <c r="AV1" i="16" s="1"/>
  <c r="AW1" i="16" s="1"/>
  <c r="AX1" i="16" s="1"/>
  <c r="AY1" i="16" s="1"/>
  <c r="AZ1" i="16" s="1"/>
  <c r="BA1" i="16" s="1"/>
  <c r="BB1" i="16" s="1"/>
  <c r="BC1" i="16" s="1"/>
  <c r="BD1" i="16" s="1"/>
  <c r="BE1" i="16" s="1"/>
  <c r="BF1" i="16" s="1"/>
  <c r="BG1" i="16" s="1"/>
  <c r="BH1" i="16" s="1"/>
  <c r="BI1" i="16" s="1"/>
  <c r="BJ1" i="16" s="1"/>
  <c r="BK1" i="16" s="1"/>
  <c r="BL1" i="16" s="1"/>
  <c r="BM1" i="16" s="1"/>
  <c r="BN1" i="16" s="1"/>
  <c r="BO1" i="16" s="1"/>
  <c r="BP1" i="16" s="1"/>
  <c r="BQ1" i="16" s="1"/>
  <c r="F1" i="16"/>
  <c r="D14" i="11"/>
  <c r="I7" i="15"/>
  <c r="BP4" i="15"/>
  <c r="BO4" i="15"/>
  <c r="BN4" i="15"/>
  <c r="BM4" i="15"/>
  <c r="BL4" i="15"/>
  <c r="BK4" i="15"/>
  <c r="BJ4" i="15"/>
  <c r="BI4" i="15"/>
  <c r="BH4" i="15"/>
  <c r="BG4" i="15"/>
  <c r="BF4" i="15"/>
  <c r="BE4" i="15"/>
  <c r="BD4" i="15"/>
  <c r="BC4" i="15"/>
  <c r="BB4" i="15"/>
  <c r="BA4" i="15"/>
  <c r="AZ4" i="15"/>
  <c r="AY4" i="15"/>
  <c r="AX4" i="15"/>
  <c r="AW4" i="15"/>
  <c r="AV4" i="15"/>
  <c r="AU4" i="15"/>
  <c r="AT4" i="15"/>
  <c r="AS4" i="15"/>
  <c r="AR4" i="15"/>
  <c r="AQ4" i="15"/>
  <c r="AP4" i="15"/>
  <c r="AO4" i="15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AA4" i="15"/>
  <c r="Z4" i="15"/>
  <c r="Y4" i="15"/>
  <c r="X4" i="15"/>
  <c r="W4" i="15"/>
  <c r="V4" i="15"/>
  <c r="U4" i="15"/>
  <c r="T4" i="15"/>
  <c r="S4" i="15"/>
  <c r="R4" i="15"/>
  <c r="Q4" i="15"/>
  <c r="P4" i="15"/>
  <c r="O4" i="15"/>
  <c r="D16" i="11" l="1"/>
  <c r="D13" i="11"/>
  <c r="D13" i="13"/>
  <c r="D12" i="13"/>
  <c r="HE138" i="14"/>
  <c r="HD138" i="14"/>
  <c r="EK138" i="14"/>
  <c r="EJ138" i="14"/>
  <c r="BQ138" i="14"/>
  <c r="BP138" i="14"/>
  <c r="HI137" i="14"/>
  <c r="HH137" i="14"/>
  <c r="HG137" i="14"/>
  <c r="HF137" i="14"/>
  <c r="HE137" i="14"/>
  <c r="HD137" i="14"/>
  <c r="HC137" i="14"/>
  <c r="HB137" i="14"/>
  <c r="HA137" i="14"/>
  <c r="GZ137" i="14"/>
  <c r="GY137" i="14"/>
  <c r="GX137" i="14"/>
  <c r="GW137" i="14"/>
  <c r="GV137" i="14"/>
  <c r="GU137" i="14"/>
  <c r="GT137" i="14"/>
  <c r="GS137" i="14"/>
  <c r="GR137" i="14"/>
  <c r="GQ137" i="14"/>
  <c r="GP137" i="14"/>
  <c r="GO137" i="14"/>
  <c r="GN137" i="14"/>
  <c r="GM137" i="14"/>
  <c r="GL137" i="14"/>
  <c r="GK137" i="14"/>
  <c r="GJ137" i="14"/>
  <c r="GI137" i="14"/>
  <c r="GH137" i="14"/>
  <c r="GG137" i="14"/>
  <c r="GF137" i="14"/>
  <c r="GE137" i="14"/>
  <c r="GD137" i="14"/>
  <c r="GC137" i="14"/>
  <c r="GB137" i="14"/>
  <c r="GA137" i="14"/>
  <c r="FZ137" i="14"/>
  <c r="FY137" i="14"/>
  <c r="FX137" i="14"/>
  <c r="FW137" i="14"/>
  <c r="FV137" i="14"/>
  <c r="FU137" i="14"/>
  <c r="FT137" i="14"/>
  <c r="FS137" i="14"/>
  <c r="FR137" i="14"/>
  <c r="FQ137" i="14"/>
  <c r="FP137" i="14"/>
  <c r="FO137" i="14"/>
  <c r="FN137" i="14"/>
  <c r="FM137" i="14"/>
  <c r="FL137" i="14"/>
  <c r="FK137" i="14"/>
  <c r="FJ137" i="14"/>
  <c r="FI137" i="14"/>
  <c r="FH137" i="14"/>
  <c r="FG137" i="14"/>
  <c r="FF137" i="14"/>
  <c r="FE137" i="14"/>
  <c r="FD137" i="14"/>
  <c r="FC137" i="14"/>
  <c r="FB137" i="14"/>
  <c r="FA137" i="14"/>
  <c r="EZ137" i="14"/>
  <c r="EY137" i="14"/>
  <c r="EX137" i="14"/>
  <c r="EW137" i="14"/>
  <c r="EV137" i="14"/>
  <c r="EU137" i="14"/>
  <c r="ET137" i="14"/>
  <c r="ES137" i="14"/>
  <c r="ER137" i="14"/>
  <c r="EQ137" i="14"/>
  <c r="EP137" i="14"/>
  <c r="EO137" i="14"/>
  <c r="EN137" i="14"/>
  <c r="EM137" i="14"/>
  <c r="EL137" i="14"/>
  <c r="EK137" i="14"/>
  <c r="EJ137" i="14"/>
  <c r="EI137" i="14"/>
  <c r="EH137" i="14"/>
  <c r="EG137" i="14"/>
  <c r="EF137" i="14"/>
  <c r="EE137" i="14"/>
  <c r="ED137" i="14"/>
  <c r="EC137" i="14"/>
  <c r="EB137" i="14"/>
  <c r="EA137" i="14"/>
  <c r="DZ137" i="14"/>
  <c r="DY137" i="14"/>
  <c r="DX137" i="14"/>
  <c r="DW137" i="14"/>
  <c r="DV137" i="14"/>
  <c r="DU137" i="14"/>
  <c r="DT137" i="14"/>
  <c r="DS137" i="14"/>
  <c r="DR137" i="14"/>
  <c r="DQ137" i="14"/>
  <c r="DP137" i="14"/>
  <c r="DO137" i="14"/>
  <c r="DN137" i="14"/>
  <c r="DM137" i="14"/>
  <c r="DL137" i="14"/>
  <c r="DK137" i="14"/>
  <c r="DJ137" i="14"/>
  <c r="DI137" i="14"/>
  <c r="DH137" i="14"/>
  <c r="DG137" i="14"/>
  <c r="DF137" i="14"/>
  <c r="DE137" i="14"/>
  <c r="DD137" i="14"/>
  <c r="DC137" i="14"/>
  <c r="DB137" i="14"/>
  <c r="DA137" i="14"/>
  <c r="CZ137" i="14"/>
  <c r="CY137" i="14"/>
  <c r="CX137" i="14"/>
  <c r="CW137" i="14"/>
  <c r="CV137" i="14"/>
  <c r="CU137" i="14"/>
  <c r="CT137" i="14"/>
  <c r="CS137" i="14"/>
  <c r="CR137" i="14"/>
  <c r="CQ137" i="14"/>
  <c r="CP137" i="14"/>
  <c r="CO137" i="14"/>
  <c r="CN137" i="14"/>
  <c r="CM137" i="14"/>
  <c r="CL137" i="14"/>
  <c r="CK137" i="14"/>
  <c r="CJ137" i="14"/>
  <c r="CI137" i="14"/>
  <c r="CH137" i="14"/>
  <c r="CG137" i="14"/>
  <c r="CF137" i="14"/>
  <c r="CE137" i="14"/>
  <c r="CD137" i="14"/>
  <c r="CC137" i="14"/>
  <c r="CB137" i="14"/>
  <c r="CA137" i="14"/>
  <c r="BZ137" i="14"/>
  <c r="BY137" i="14"/>
  <c r="BX137" i="14"/>
  <c r="BW137" i="14"/>
  <c r="BV137" i="14"/>
  <c r="BU137" i="14"/>
  <c r="BT137" i="14"/>
  <c r="BS137" i="14"/>
  <c r="BR137" i="14"/>
  <c r="BQ137" i="14"/>
  <c r="BP137" i="14"/>
  <c r="BO137" i="14"/>
  <c r="BN137" i="14"/>
  <c r="BM137" i="14"/>
  <c r="BL137" i="14"/>
  <c r="BK137" i="14"/>
  <c r="BJ137" i="14"/>
  <c r="BI137" i="14"/>
  <c r="BH137" i="14"/>
  <c r="BG137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HL136" i="14"/>
  <c r="HM136" i="14" s="1"/>
  <c r="HK136" i="14"/>
  <c r="HL135" i="14"/>
  <c r="HM135" i="14" s="1"/>
  <c r="HK135" i="14"/>
  <c r="HM134" i="14"/>
  <c r="HL134" i="14"/>
  <c r="HK134" i="14"/>
  <c r="HL133" i="14"/>
  <c r="HM133" i="14" s="1"/>
  <c r="HK133" i="14"/>
  <c r="HL132" i="14"/>
  <c r="HM132" i="14" s="1"/>
  <c r="HK132" i="14"/>
  <c r="HL131" i="14"/>
  <c r="HM131" i="14" s="1"/>
  <c r="HK131" i="14"/>
  <c r="HM130" i="14"/>
  <c r="HL130" i="14"/>
  <c r="HK130" i="14"/>
  <c r="HL129" i="14"/>
  <c r="HM129" i="14" s="1"/>
  <c r="HK129" i="14"/>
  <c r="HL128" i="14"/>
  <c r="HM128" i="14" s="1"/>
  <c r="HK128" i="14"/>
  <c r="HL127" i="14"/>
  <c r="HM127" i="14" s="1"/>
  <c r="HK127" i="14"/>
  <c r="HL126" i="14"/>
  <c r="HM126" i="14" s="1"/>
  <c r="HK126" i="14"/>
  <c r="HL125" i="14"/>
  <c r="HM125" i="14" s="1"/>
  <c r="HK125" i="14"/>
  <c r="HL124" i="14"/>
  <c r="HM124" i="14" s="1"/>
  <c r="HK124" i="14"/>
  <c r="HL123" i="14"/>
  <c r="HM123" i="14" s="1"/>
  <c r="HK123" i="14"/>
  <c r="HM122" i="14"/>
  <c r="HL122" i="14"/>
  <c r="HK122" i="14"/>
  <c r="HL121" i="14"/>
  <c r="HM121" i="14" s="1"/>
  <c r="HK121" i="14"/>
  <c r="HL120" i="14"/>
  <c r="HM120" i="14" s="1"/>
  <c r="HK120" i="14"/>
  <c r="HL119" i="14"/>
  <c r="HM119" i="14" s="1"/>
  <c r="HK119" i="14"/>
  <c r="HM118" i="14"/>
  <c r="HL118" i="14"/>
  <c r="HK118" i="14"/>
  <c r="HL117" i="14"/>
  <c r="HM117" i="14" s="1"/>
  <c r="HK117" i="14"/>
  <c r="HL116" i="14"/>
  <c r="HM116" i="14" s="1"/>
  <c r="HK116" i="14"/>
  <c r="HL115" i="14"/>
  <c r="HM115" i="14" s="1"/>
  <c r="HK115" i="14"/>
  <c r="HM114" i="14"/>
  <c r="HL114" i="14"/>
  <c r="HK114" i="14"/>
  <c r="HL113" i="14"/>
  <c r="HM113" i="14" s="1"/>
  <c r="HK113" i="14"/>
  <c r="HL112" i="14"/>
  <c r="HM112" i="14" s="1"/>
  <c r="HK112" i="14"/>
  <c r="HL111" i="14"/>
  <c r="HM111" i="14" s="1"/>
  <c r="HK111" i="14"/>
  <c r="HL110" i="14"/>
  <c r="HM110" i="14" s="1"/>
  <c r="HK110" i="14"/>
  <c r="HL109" i="14"/>
  <c r="HM109" i="14" s="1"/>
  <c r="HK109" i="14"/>
  <c r="HL108" i="14"/>
  <c r="HM108" i="14" s="1"/>
  <c r="HK108" i="14"/>
  <c r="HL107" i="14"/>
  <c r="HM107" i="14" s="1"/>
  <c r="HK107" i="14"/>
  <c r="HM106" i="14"/>
  <c r="HL106" i="14"/>
  <c r="HK106" i="14"/>
  <c r="HL105" i="14"/>
  <c r="HM105" i="14" s="1"/>
  <c r="HK105" i="14"/>
  <c r="HL104" i="14"/>
  <c r="HM104" i="14" s="1"/>
  <c r="HK104" i="14"/>
  <c r="HL103" i="14"/>
  <c r="HM103" i="14" s="1"/>
  <c r="HK103" i="14"/>
  <c r="HM102" i="14"/>
  <c r="HL102" i="14"/>
  <c r="HK102" i="14"/>
  <c r="HL101" i="14"/>
  <c r="HM101" i="14" s="1"/>
  <c r="HK101" i="14"/>
  <c r="HL100" i="14"/>
  <c r="HM100" i="14" s="1"/>
  <c r="HK100" i="14"/>
  <c r="HL99" i="14"/>
  <c r="HM99" i="14" s="1"/>
  <c r="HK99" i="14"/>
  <c r="HM98" i="14"/>
  <c r="HL98" i="14"/>
  <c r="HK98" i="14"/>
  <c r="HL97" i="14"/>
  <c r="HM97" i="14" s="1"/>
  <c r="HK97" i="14"/>
  <c r="HL96" i="14"/>
  <c r="HM96" i="14" s="1"/>
  <c r="HK96" i="14"/>
  <c r="HL95" i="14"/>
  <c r="HM95" i="14" s="1"/>
  <c r="HK95" i="14"/>
  <c r="HL94" i="14"/>
  <c r="HM94" i="14" s="1"/>
  <c r="HK94" i="14"/>
  <c r="HM93" i="14"/>
  <c r="HL92" i="14"/>
  <c r="HM92" i="14" s="1"/>
  <c r="HK92" i="14"/>
  <c r="HL91" i="14"/>
  <c r="HM91" i="14" s="1"/>
  <c r="HK91" i="14"/>
  <c r="HM90" i="14"/>
  <c r="HL90" i="14"/>
  <c r="HK90" i="14"/>
  <c r="HL89" i="14"/>
  <c r="HK89" i="14"/>
  <c r="HL88" i="14"/>
  <c r="HM88" i="14" s="1"/>
  <c r="HK88" i="14"/>
  <c r="HL87" i="14"/>
  <c r="HM87" i="14" s="1"/>
  <c r="HK87" i="14"/>
  <c r="HL86" i="14"/>
  <c r="HK86" i="14"/>
  <c r="HM86" i="14" s="1"/>
  <c r="HL85" i="14"/>
  <c r="HM85" i="14" s="1"/>
  <c r="HK85" i="14"/>
  <c r="HL84" i="14"/>
  <c r="HM84" i="14" s="1"/>
  <c r="HK84" i="14"/>
  <c r="HL83" i="14"/>
  <c r="HM83" i="14" s="1"/>
  <c r="HK83" i="14"/>
  <c r="HM82" i="14"/>
  <c r="HL82" i="14"/>
  <c r="HK82" i="14"/>
  <c r="HL81" i="14"/>
  <c r="HM81" i="14" s="1"/>
  <c r="HK81" i="14"/>
  <c r="HL80" i="14"/>
  <c r="HM80" i="14" s="1"/>
  <c r="HK80" i="14"/>
  <c r="HL79" i="14"/>
  <c r="HM79" i="14" s="1"/>
  <c r="HK79" i="14"/>
  <c r="HL78" i="14"/>
  <c r="HM78" i="14" s="1"/>
  <c r="HK78" i="14"/>
  <c r="HL77" i="14"/>
  <c r="HM77" i="14" s="1"/>
  <c r="HK77" i="14"/>
  <c r="HL76" i="14"/>
  <c r="HK76" i="14"/>
  <c r="HL75" i="14"/>
  <c r="HM75" i="14" s="1"/>
  <c r="HK75" i="14"/>
  <c r="HQ71" i="14"/>
  <c r="HP71" i="14"/>
  <c r="HO71" i="14"/>
  <c r="HI71" i="14"/>
  <c r="HI138" i="14" s="1"/>
  <c r="HH71" i="14"/>
  <c r="HH138" i="14" s="1"/>
  <c r="HG71" i="14"/>
  <c r="HG138" i="14" s="1"/>
  <c r="HF71" i="14"/>
  <c r="HE71" i="14"/>
  <c r="HD71" i="14"/>
  <c r="HC71" i="14"/>
  <c r="HB71" i="14"/>
  <c r="HB138" i="14" s="1"/>
  <c r="HA71" i="14"/>
  <c r="HA138" i="14" s="1"/>
  <c r="GZ71" i="14"/>
  <c r="GY71" i="14"/>
  <c r="GY138" i="14" s="1"/>
  <c r="GX71" i="14"/>
  <c r="GX138" i="14" s="1"/>
  <c r="GW71" i="14"/>
  <c r="GW138" i="14" s="1"/>
  <c r="GV71" i="14"/>
  <c r="GV138" i="14" s="1"/>
  <c r="GU71" i="14"/>
  <c r="GU138" i="14" s="1"/>
  <c r="GT71" i="14"/>
  <c r="GS71" i="14"/>
  <c r="GS138" i="14" s="1"/>
  <c r="GR71" i="14"/>
  <c r="GR138" i="14" s="1"/>
  <c r="GQ71" i="14"/>
  <c r="GP71" i="14"/>
  <c r="GP138" i="14" s="1"/>
  <c r="GO71" i="14"/>
  <c r="GO138" i="14" s="1"/>
  <c r="GN71" i="14"/>
  <c r="GM71" i="14"/>
  <c r="GM138" i="14" s="1"/>
  <c r="GL71" i="14"/>
  <c r="GL138" i="14" s="1"/>
  <c r="GK71" i="14"/>
  <c r="GK138" i="14" s="1"/>
  <c r="GJ71" i="14"/>
  <c r="GJ138" i="14" s="1"/>
  <c r="GI71" i="14"/>
  <c r="GI138" i="14" s="1"/>
  <c r="GH71" i="14"/>
  <c r="GG71" i="14"/>
  <c r="GF71" i="14"/>
  <c r="GE71" i="14"/>
  <c r="GD71" i="14"/>
  <c r="GD138" i="14" s="1"/>
  <c r="GC71" i="14"/>
  <c r="GC138" i="14" s="1"/>
  <c r="GB71" i="14"/>
  <c r="GA71" i="14"/>
  <c r="GA138" i="14" s="1"/>
  <c r="FZ71" i="14"/>
  <c r="FZ138" i="14" s="1"/>
  <c r="FY71" i="14"/>
  <c r="FY138" i="14" s="1"/>
  <c r="FX71" i="14"/>
  <c r="FX138" i="14" s="1"/>
  <c r="FW71" i="14"/>
  <c r="FW138" i="14" s="1"/>
  <c r="FV71" i="14"/>
  <c r="FU71" i="14"/>
  <c r="FU138" i="14" s="1"/>
  <c r="FT71" i="14"/>
  <c r="FT138" i="14" s="1"/>
  <c r="FS71" i="14"/>
  <c r="FR71" i="14"/>
  <c r="FR138" i="14" s="1"/>
  <c r="FQ71" i="14"/>
  <c r="FQ138" i="14" s="1"/>
  <c r="FP71" i="14"/>
  <c r="FO71" i="14"/>
  <c r="FO138" i="14" s="1"/>
  <c r="FN71" i="14"/>
  <c r="FN138" i="14" s="1"/>
  <c r="FM71" i="14"/>
  <c r="FM138" i="14" s="1"/>
  <c r="FL71" i="14"/>
  <c r="FL138" i="14" s="1"/>
  <c r="FK71" i="14"/>
  <c r="FK138" i="14" s="1"/>
  <c r="FJ71" i="14"/>
  <c r="FI71" i="14"/>
  <c r="FI138" i="14" s="1"/>
  <c r="FH71" i="14"/>
  <c r="FH138" i="14" s="1"/>
  <c r="FG71" i="14"/>
  <c r="FF71" i="14"/>
  <c r="FF138" i="14" s="1"/>
  <c r="FE71" i="14"/>
  <c r="FE138" i="14" s="1"/>
  <c r="FD71" i="14"/>
  <c r="FC71" i="14"/>
  <c r="FC138" i="14" s="1"/>
  <c r="FB71" i="14"/>
  <c r="FB138" i="14" s="1"/>
  <c r="FA71" i="14"/>
  <c r="FA138" i="14" s="1"/>
  <c r="EZ71" i="14"/>
  <c r="EZ138" i="14" s="1"/>
  <c r="EY71" i="14"/>
  <c r="EY138" i="14" s="1"/>
  <c r="EX71" i="14"/>
  <c r="EW71" i="14"/>
  <c r="EV71" i="14"/>
  <c r="EU71" i="14"/>
  <c r="ET71" i="14"/>
  <c r="ET138" i="14" s="1"/>
  <c r="ES71" i="14"/>
  <c r="ES138" i="14" s="1"/>
  <c r="ER71" i="14"/>
  <c r="EQ71" i="14"/>
  <c r="EQ138" i="14" s="1"/>
  <c r="EP71" i="14"/>
  <c r="EP138" i="14" s="1"/>
  <c r="EO71" i="14"/>
  <c r="EO138" i="14" s="1"/>
  <c r="EN71" i="14"/>
  <c r="EN138" i="14" s="1"/>
  <c r="EM71" i="14"/>
  <c r="EM138" i="14" s="1"/>
  <c r="EL71" i="14"/>
  <c r="EK71" i="14"/>
  <c r="EJ71" i="14"/>
  <c r="EI71" i="14"/>
  <c r="EH71" i="14"/>
  <c r="EH138" i="14" s="1"/>
  <c r="EG71" i="14"/>
  <c r="EG138" i="14" s="1"/>
  <c r="EF71" i="14"/>
  <c r="EE71" i="14"/>
  <c r="EE138" i="14" s="1"/>
  <c r="ED71" i="14"/>
  <c r="ED138" i="14" s="1"/>
  <c r="EC71" i="14"/>
  <c r="EC138" i="14" s="1"/>
  <c r="EB71" i="14"/>
  <c r="EB138" i="14" s="1"/>
  <c r="EA71" i="14"/>
  <c r="EA138" i="14" s="1"/>
  <c r="DZ71" i="14"/>
  <c r="DY71" i="14"/>
  <c r="DY138" i="14" s="1"/>
  <c r="DX71" i="14"/>
  <c r="DX138" i="14" s="1"/>
  <c r="DW71" i="14"/>
  <c r="DV71" i="14"/>
  <c r="DV138" i="14" s="1"/>
  <c r="DU71" i="14"/>
  <c r="DU138" i="14" s="1"/>
  <c r="DT71" i="14"/>
  <c r="DS71" i="14"/>
  <c r="DS138" i="14" s="1"/>
  <c r="DR71" i="14"/>
  <c r="DR138" i="14" s="1"/>
  <c r="DQ71" i="14"/>
  <c r="DQ138" i="14" s="1"/>
  <c r="DP71" i="14"/>
  <c r="DP138" i="14" s="1"/>
  <c r="DO71" i="14"/>
  <c r="DO138" i="14" s="1"/>
  <c r="DN71" i="14"/>
  <c r="DM71" i="14"/>
  <c r="DM138" i="14" s="1"/>
  <c r="DL71" i="14"/>
  <c r="DL138" i="14" s="1"/>
  <c r="DK71" i="14"/>
  <c r="DJ71" i="14"/>
  <c r="DJ138" i="14" s="1"/>
  <c r="DI71" i="14"/>
  <c r="DI138" i="14" s="1"/>
  <c r="DH71" i="14"/>
  <c r="DG71" i="14"/>
  <c r="DG138" i="14" s="1"/>
  <c r="DF71" i="14"/>
  <c r="DF138" i="14" s="1"/>
  <c r="DE71" i="14"/>
  <c r="DE138" i="14" s="1"/>
  <c r="DD71" i="14"/>
  <c r="DD138" i="14" s="1"/>
  <c r="DC71" i="14"/>
  <c r="DC138" i="14" s="1"/>
  <c r="DB71" i="14"/>
  <c r="DA71" i="14"/>
  <c r="DA138" i="14" s="1"/>
  <c r="CZ71" i="14"/>
  <c r="CZ138" i="14" s="1"/>
  <c r="CY71" i="14"/>
  <c r="CX71" i="14"/>
  <c r="CX138" i="14" s="1"/>
  <c r="CW71" i="14"/>
  <c r="CW138" i="14" s="1"/>
  <c r="CV71" i="14"/>
  <c r="CU71" i="14"/>
  <c r="CU138" i="14" s="1"/>
  <c r="CT71" i="14"/>
  <c r="CT138" i="14" s="1"/>
  <c r="CS71" i="14"/>
  <c r="CS138" i="14" s="1"/>
  <c r="CR71" i="14"/>
  <c r="CR138" i="14" s="1"/>
  <c r="CQ71" i="14"/>
  <c r="CQ138" i="14" s="1"/>
  <c r="CP71" i="14"/>
  <c r="CO71" i="14"/>
  <c r="CN71" i="14"/>
  <c r="CM71" i="14"/>
  <c r="CL71" i="14"/>
  <c r="CL138" i="14" s="1"/>
  <c r="CK71" i="14"/>
  <c r="CK138" i="14" s="1"/>
  <c r="CJ71" i="14"/>
  <c r="CI71" i="14"/>
  <c r="CI138" i="14" s="1"/>
  <c r="CH71" i="14"/>
  <c r="CH138" i="14" s="1"/>
  <c r="CG71" i="14"/>
  <c r="CG138" i="14" s="1"/>
  <c r="CF71" i="14"/>
  <c r="CF138" i="14" s="1"/>
  <c r="CE71" i="14"/>
  <c r="CE138" i="14" s="1"/>
  <c r="CD71" i="14"/>
  <c r="CC71" i="14"/>
  <c r="CC138" i="14" s="1"/>
  <c r="CB71" i="14"/>
  <c r="CB138" i="14" s="1"/>
  <c r="CA71" i="14"/>
  <c r="BZ71" i="14"/>
  <c r="BZ138" i="14" s="1"/>
  <c r="BY71" i="14"/>
  <c r="BY138" i="14" s="1"/>
  <c r="BX71" i="14"/>
  <c r="BW71" i="14"/>
  <c r="BW138" i="14" s="1"/>
  <c r="BV71" i="14"/>
  <c r="BV138" i="14" s="1"/>
  <c r="BU71" i="14"/>
  <c r="BU138" i="14" s="1"/>
  <c r="BT71" i="14"/>
  <c r="BT138" i="14" s="1"/>
  <c r="BS71" i="14"/>
  <c r="BS138" i="14" s="1"/>
  <c r="BR71" i="14"/>
  <c r="BQ71" i="14"/>
  <c r="BP71" i="14"/>
  <c r="BO71" i="14"/>
  <c r="BN71" i="14"/>
  <c r="BN138" i="14" s="1"/>
  <c r="BM71" i="14"/>
  <c r="BM138" i="14" s="1"/>
  <c r="BL71" i="14"/>
  <c r="BK71" i="14"/>
  <c r="BK138" i="14" s="1"/>
  <c r="BJ71" i="14"/>
  <c r="BJ138" i="14" s="1"/>
  <c r="BI71" i="14"/>
  <c r="BI138" i="14" s="1"/>
  <c r="BH71" i="14"/>
  <c r="BH138" i="14" s="1"/>
  <c r="BG71" i="14"/>
  <c r="BG138" i="14" s="1"/>
  <c r="BF71" i="14"/>
  <c r="BE71" i="14"/>
  <c r="BE138" i="14" s="1"/>
  <c r="BD71" i="14"/>
  <c r="BD138" i="14" s="1"/>
  <c r="BC71" i="14"/>
  <c r="BB71" i="14"/>
  <c r="BB138" i="14" s="1"/>
  <c r="BA71" i="14"/>
  <c r="BA138" i="14" s="1"/>
  <c r="AZ71" i="14"/>
  <c r="AY71" i="14"/>
  <c r="AY138" i="14" s="1"/>
  <c r="AX71" i="14"/>
  <c r="AX138" i="14" s="1"/>
  <c r="AW71" i="14"/>
  <c r="AW138" i="14" s="1"/>
  <c r="AV71" i="14"/>
  <c r="AV138" i="14" s="1"/>
  <c r="AU71" i="14"/>
  <c r="AU138" i="14" s="1"/>
  <c r="AT71" i="14"/>
  <c r="AS71" i="14"/>
  <c r="AR71" i="14"/>
  <c r="AQ71" i="14"/>
  <c r="AP71" i="14"/>
  <c r="AP138" i="14" s="1"/>
  <c r="AO71" i="14"/>
  <c r="AO138" i="14" s="1"/>
  <c r="AN71" i="14"/>
  <c r="AM71" i="14"/>
  <c r="AM138" i="14" s="1"/>
  <c r="AL71" i="14"/>
  <c r="AL138" i="14" s="1"/>
  <c r="AK71" i="14"/>
  <c r="AK138" i="14" s="1"/>
  <c r="AJ71" i="14"/>
  <c r="AJ138" i="14" s="1"/>
  <c r="AI71" i="14"/>
  <c r="AI138" i="14" s="1"/>
  <c r="AH71" i="14"/>
  <c r="AG71" i="14"/>
  <c r="AG138" i="14" s="1"/>
  <c r="AF71" i="14"/>
  <c r="AF138" i="14" s="1"/>
  <c r="AE71" i="14"/>
  <c r="AE138" i="14" s="1"/>
  <c r="AD71" i="14"/>
  <c r="AD138" i="14" s="1"/>
  <c r="AC71" i="14"/>
  <c r="AC138" i="14" s="1"/>
  <c r="AB71" i="14"/>
  <c r="AA71" i="14"/>
  <c r="AA138" i="14" s="1"/>
  <c r="Z71" i="14"/>
  <c r="Z138" i="14" s="1"/>
  <c r="Y71" i="14"/>
  <c r="Y138" i="14" s="1"/>
  <c r="X71" i="14"/>
  <c r="X138" i="14" s="1"/>
  <c r="W71" i="14"/>
  <c r="W138" i="14" s="1"/>
  <c r="V71" i="14"/>
  <c r="V138" i="14" s="1"/>
  <c r="U71" i="14"/>
  <c r="U138" i="14" s="1"/>
  <c r="T71" i="14"/>
  <c r="T138" i="14" s="1"/>
  <c r="S71" i="14"/>
  <c r="S138" i="14" s="1"/>
  <c r="R71" i="14"/>
  <c r="R138" i="14" s="1"/>
  <c r="Q71" i="14"/>
  <c r="Q138" i="14" s="1"/>
  <c r="P71" i="14"/>
  <c r="P138" i="14" s="1"/>
  <c r="O71" i="14"/>
  <c r="O138" i="14" s="1"/>
  <c r="N71" i="14"/>
  <c r="N138" i="14" s="1"/>
  <c r="M71" i="14"/>
  <c r="M138" i="14" s="1"/>
  <c r="L71" i="14"/>
  <c r="L138" i="14" s="1"/>
  <c r="K71" i="14"/>
  <c r="K138" i="14" s="1"/>
  <c r="J71" i="14"/>
  <c r="J138" i="14" s="1"/>
  <c r="I71" i="14"/>
  <c r="I138" i="14" s="1"/>
  <c r="H71" i="14"/>
  <c r="H138" i="14" s="1"/>
  <c r="G71" i="14"/>
  <c r="G138" i="14" s="1"/>
  <c r="F71" i="14"/>
  <c r="F138" i="14" s="1"/>
  <c r="E71" i="14"/>
  <c r="E138" i="14" s="1"/>
  <c r="D71" i="14"/>
  <c r="D138" i="14" s="1"/>
  <c r="C71" i="14"/>
  <c r="C138" i="14" s="1"/>
  <c r="HL70" i="14"/>
  <c r="HM70" i="14" s="1"/>
  <c r="HK70" i="14"/>
  <c r="HL69" i="14"/>
  <c r="HM69" i="14" s="1"/>
  <c r="HK69" i="14"/>
  <c r="HL68" i="14"/>
  <c r="HM68" i="14" s="1"/>
  <c r="HK68" i="14"/>
  <c r="HM67" i="14"/>
  <c r="HL67" i="14"/>
  <c r="HK67" i="14"/>
  <c r="HL66" i="14"/>
  <c r="HM66" i="14" s="1"/>
  <c r="HK66" i="14"/>
  <c r="HL65" i="14"/>
  <c r="HM65" i="14" s="1"/>
  <c r="HK65" i="14"/>
  <c r="HL64" i="14"/>
  <c r="HM64" i="14" s="1"/>
  <c r="HK64" i="14"/>
  <c r="HM63" i="14"/>
  <c r="HL63" i="14"/>
  <c r="HK63" i="14"/>
  <c r="HL62" i="14"/>
  <c r="HM62" i="14" s="1"/>
  <c r="HK62" i="14"/>
  <c r="HL61" i="14"/>
  <c r="HM61" i="14" s="1"/>
  <c r="HK61" i="14"/>
  <c r="HL60" i="14"/>
  <c r="HM60" i="14" s="1"/>
  <c r="HK60" i="14"/>
  <c r="HM59" i="14"/>
  <c r="HL59" i="14"/>
  <c r="HK59" i="14"/>
  <c r="HL58" i="14"/>
  <c r="HM58" i="14" s="1"/>
  <c r="HK58" i="14"/>
  <c r="HL57" i="14"/>
  <c r="HM57" i="14" s="1"/>
  <c r="HK57" i="14"/>
  <c r="HL56" i="14"/>
  <c r="HM56" i="14" s="1"/>
  <c r="HK56" i="14"/>
  <c r="HL55" i="14"/>
  <c r="HM55" i="14" s="1"/>
  <c r="HK55" i="14"/>
  <c r="HL54" i="14"/>
  <c r="HM54" i="14" s="1"/>
  <c r="HK54" i="14"/>
  <c r="HL53" i="14"/>
  <c r="HM53" i="14" s="1"/>
  <c r="HK53" i="14"/>
  <c r="HL52" i="14"/>
  <c r="HM52" i="14" s="1"/>
  <c r="HK52" i="14"/>
  <c r="HL51" i="14"/>
  <c r="HM51" i="14" s="1"/>
  <c r="HK51" i="14"/>
  <c r="HL50" i="14"/>
  <c r="HM50" i="14" s="1"/>
  <c r="HK50" i="14"/>
  <c r="HL49" i="14"/>
  <c r="HM49" i="14" s="1"/>
  <c r="HK49" i="14"/>
  <c r="HL48" i="14"/>
  <c r="HM48" i="14" s="1"/>
  <c r="HK48" i="14"/>
  <c r="HL47" i="14"/>
  <c r="HM47" i="14" s="1"/>
  <c r="HK47" i="14"/>
  <c r="HL46" i="14"/>
  <c r="HM46" i="14" s="1"/>
  <c r="HK46" i="14"/>
  <c r="HL45" i="14"/>
  <c r="HM45" i="14" s="1"/>
  <c r="HK45" i="14"/>
  <c r="HL44" i="14"/>
  <c r="HM44" i="14" s="1"/>
  <c r="HK44" i="14"/>
  <c r="HL43" i="14"/>
  <c r="HM43" i="14" s="1"/>
  <c r="HK43" i="14"/>
  <c r="HL42" i="14"/>
  <c r="HM42" i="14" s="1"/>
  <c r="HK42" i="14"/>
  <c r="HL41" i="14"/>
  <c r="HM41" i="14" s="1"/>
  <c r="HK41" i="14"/>
  <c r="HL40" i="14"/>
  <c r="HM40" i="14" s="1"/>
  <c r="HK40" i="14"/>
  <c r="HL39" i="14"/>
  <c r="HM39" i="14" s="1"/>
  <c r="HK39" i="14"/>
  <c r="HL38" i="14"/>
  <c r="HM38" i="14" s="1"/>
  <c r="HK38" i="14"/>
  <c r="HL37" i="14"/>
  <c r="HM37" i="14" s="1"/>
  <c r="HK37" i="14"/>
  <c r="HL36" i="14"/>
  <c r="HM36" i="14" s="1"/>
  <c r="HK36" i="14"/>
  <c r="HL35" i="14"/>
  <c r="HM35" i="14" s="1"/>
  <c r="HK35" i="14"/>
  <c r="HL34" i="14"/>
  <c r="HM34" i="14" s="1"/>
  <c r="HK34" i="14"/>
  <c r="HL33" i="14"/>
  <c r="HM33" i="14" s="1"/>
  <c r="HK33" i="14"/>
  <c r="HL32" i="14"/>
  <c r="HM32" i="14" s="1"/>
  <c r="HK32" i="14"/>
  <c r="HL31" i="14"/>
  <c r="HM31" i="14" s="1"/>
  <c r="HK31" i="14"/>
  <c r="HL30" i="14"/>
  <c r="HM30" i="14" s="1"/>
  <c r="HK30" i="14"/>
  <c r="HL29" i="14"/>
  <c r="HM29" i="14" s="1"/>
  <c r="HK29" i="14"/>
  <c r="HL28" i="14"/>
  <c r="HM28" i="14" s="1"/>
  <c r="HK28" i="14"/>
  <c r="HL27" i="14"/>
  <c r="HM27" i="14" s="1"/>
  <c r="HK27" i="14"/>
  <c r="HL26" i="14"/>
  <c r="HM26" i="14" s="1"/>
  <c r="HK26" i="14"/>
  <c r="HL25" i="14"/>
  <c r="HM25" i="14" s="1"/>
  <c r="HK25" i="14"/>
  <c r="HL24" i="14"/>
  <c r="HM24" i="14" s="1"/>
  <c r="HK24" i="14"/>
  <c r="HL23" i="14"/>
  <c r="HM23" i="14" s="1"/>
  <c r="HK23" i="14"/>
  <c r="HL22" i="14"/>
  <c r="HM22" i="14" s="1"/>
  <c r="HK22" i="14"/>
  <c r="HL21" i="14"/>
  <c r="HM21" i="14" s="1"/>
  <c r="HK21" i="14"/>
  <c r="HM20" i="14"/>
  <c r="HL20" i="14"/>
  <c r="HK20" i="14"/>
  <c r="HL19" i="14"/>
  <c r="HM19" i="14" s="1"/>
  <c r="HK19" i="14"/>
  <c r="HL18" i="14"/>
  <c r="HM18" i="14" s="1"/>
  <c r="HK18" i="14"/>
  <c r="HL17" i="14"/>
  <c r="HM17" i="14" s="1"/>
  <c r="HK17" i="14"/>
  <c r="HM16" i="14"/>
  <c r="HL16" i="14"/>
  <c r="HK16" i="14"/>
  <c r="HL15" i="14"/>
  <c r="HM15" i="14" s="1"/>
  <c r="HK15" i="14"/>
  <c r="HL14" i="14"/>
  <c r="HM14" i="14" s="1"/>
  <c r="HK14" i="14"/>
  <c r="HL13" i="14"/>
  <c r="HM13" i="14" s="1"/>
  <c r="HK13" i="14"/>
  <c r="HM12" i="14"/>
  <c r="HL12" i="14"/>
  <c r="HK12" i="14"/>
  <c r="HL11" i="14"/>
  <c r="HM11" i="14" s="1"/>
  <c r="HK11" i="14"/>
  <c r="HL10" i="14"/>
  <c r="HM10" i="14" s="1"/>
  <c r="HK10" i="14"/>
  <c r="HL9" i="14"/>
  <c r="HM9" i="14" s="1"/>
  <c r="HK9" i="14"/>
  <c r="HM8" i="14"/>
  <c r="HL8" i="14"/>
  <c r="HK8" i="14"/>
  <c r="HL7" i="14"/>
  <c r="HM7" i="14" s="1"/>
  <c r="HK7" i="14"/>
  <c r="HL6" i="14"/>
  <c r="HM6" i="14" s="1"/>
  <c r="HK6" i="14"/>
  <c r="HL5" i="14"/>
  <c r="HM5" i="14" s="1"/>
  <c r="HK5" i="14"/>
  <c r="HK4" i="14"/>
  <c r="E2" i="14"/>
  <c r="F2" i="14" s="1"/>
  <c r="G2" i="14" s="1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D2" i="14"/>
  <c r="BR138" i="14" l="1"/>
  <c r="FV138" i="14"/>
  <c r="EV138" i="14"/>
  <c r="CP138" i="14"/>
  <c r="HF138" i="14"/>
  <c r="EW138" i="14"/>
  <c r="AH138" i="14"/>
  <c r="DZ138" i="14"/>
  <c r="HM89" i="14"/>
  <c r="CN138" i="14"/>
  <c r="GH138" i="14"/>
  <c r="CO138" i="14"/>
  <c r="DB138" i="14"/>
  <c r="FJ138" i="14"/>
  <c r="AB138" i="14"/>
  <c r="AN138" i="14"/>
  <c r="AZ138" i="14"/>
  <c r="BL138" i="14"/>
  <c r="BX138" i="14"/>
  <c r="CJ138" i="14"/>
  <c r="CV138" i="14"/>
  <c r="DH138" i="14"/>
  <c r="DT138" i="14"/>
  <c r="EF138" i="14"/>
  <c r="ER138" i="14"/>
  <c r="FD138" i="14"/>
  <c r="FP138" i="14"/>
  <c r="GB138" i="14"/>
  <c r="GN138" i="14"/>
  <c r="GZ138" i="14"/>
  <c r="AT138" i="14"/>
  <c r="EL138" i="14"/>
  <c r="AR138" i="14"/>
  <c r="GF138" i="14"/>
  <c r="BF138" i="14"/>
  <c r="EX138" i="14"/>
  <c r="AS138" i="14"/>
  <c r="GG138" i="14"/>
  <c r="CD138" i="14"/>
  <c r="GT138" i="14"/>
  <c r="AQ138" i="14"/>
  <c r="BC138" i="14"/>
  <c r="BO138" i="14"/>
  <c r="CA138" i="14"/>
  <c r="CM138" i="14"/>
  <c r="CY138" i="14"/>
  <c r="DK138" i="14"/>
  <c r="DW138" i="14"/>
  <c r="EI138" i="14"/>
  <c r="EU138" i="14"/>
  <c r="FG138" i="14"/>
  <c r="FS138" i="14"/>
  <c r="GE138" i="14"/>
  <c r="GQ138" i="14"/>
  <c r="HC138" i="14"/>
  <c r="DN138" i="14"/>
  <c r="HM76" i="14"/>
  <c r="D6" i="11" l="1"/>
  <c r="D5" i="11"/>
  <c r="K11" i="12"/>
  <c r="K11" i="4"/>
  <c r="I17" i="12"/>
  <c r="F1" i="12"/>
  <c r="G1" i="12" s="1"/>
  <c r="H1" i="12" s="1"/>
  <c r="I1" i="12" s="1"/>
  <c r="J1" i="12" s="1"/>
  <c r="K1" i="12" s="1"/>
  <c r="L1" i="12" s="1"/>
  <c r="M1" i="12" s="1"/>
  <c r="N1" i="12" s="1"/>
  <c r="O1" i="12" s="1"/>
  <c r="P1" i="12" s="1"/>
  <c r="Q1" i="12" s="1"/>
  <c r="R1" i="12" s="1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AC1" i="12" s="1"/>
  <c r="AD1" i="12" s="1"/>
  <c r="AE1" i="12" s="1"/>
  <c r="AF1" i="12" s="1"/>
  <c r="AG1" i="12" s="1"/>
  <c r="AH1" i="12" s="1"/>
  <c r="AI1" i="12" s="1"/>
  <c r="AJ1" i="12" s="1"/>
  <c r="AK1" i="12" s="1"/>
  <c r="AL1" i="12" s="1"/>
  <c r="AM1" i="12" s="1"/>
  <c r="AN1" i="12" s="1"/>
  <c r="AO1" i="12" s="1"/>
  <c r="AP1" i="12" s="1"/>
  <c r="AQ1" i="12" s="1"/>
  <c r="AR1" i="12" s="1"/>
  <c r="AS1" i="12" s="1"/>
  <c r="AT1" i="12" s="1"/>
  <c r="AU1" i="12" s="1"/>
  <c r="AV1" i="12" s="1"/>
  <c r="AW1" i="12" s="1"/>
  <c r="AX1" i="12" s="1"/>
  <c r="AY1" i="12" s="1"/>
  <c r="AZ1" i="12" s="1"/>
  <c r="BA1" i="12" s="1"/>
  <c r="BB1" i="12" s="1"/>
  <c r="BC1" i="12" s="1"/>
  <c r="BD1" i="12" s="1"/>
  <c r="BE1" i="12" s="1"/>
  <c r="BF1" i="12" s="1"/>
  <c r="BG1" i="12" s="1"/>
  <c r="BH1" i="12" s="1"/>
  <c r="BI1" i="12" s="1"/>
  <c r="BJ1" i="12" s="1"/>
  <c r="BK1" i="12" s="1"/>
  <c r="BL1" i="12" s="1"/>
  <c r="BM1" i="12" s="1"/>
  <c r="BN1" i="12" s="1"/>
  <c r="BO1" i="12" s="1"/>
  <c r="BP1" i="12" s="1"/>
  <c r="BQ1" i="12" s="1"/>
  <c r="D18" i="12"/>
  <c r="I18" i="12" s="1"/>
  <c r="E17" i="12"/>
  <c r="F17" i="12" s="1"/>
  <c r="H17" i="12" s="1"/>
  <c r="I19" i="4"/>
  <c r="I17" i="4"/>
  <c r="E17" i="4"/>
  <c r="F17" i="4" s="1"/>
  <c r="H17" i="4" s="1"/>
  <c r="D18" i="4"/>
  <c r="D19" i="4" s="1"/>
  <c r="L3" i="9"/>
  <c r="D15" i="11" s="1"/>
  <c r="L2" i="9"/>
  <c r="D7066" i="9"/>
  <c r="D7065" i="9"/>
  <c r="D7064" i="9"/>
  <c r="D7063" i="9"/>
  <c r="D7062" i="9"/>
  <c r="D7061" i="9"/>
  <c r="D7060" i="9"/>
  <c r="D7059" i="9"/>
  <c r="D7058" i="9"/>
  <c r="D7057" i="9"/>
  <c r="D7056" i="9"/>
  <c r="D7055" i="9"/>
  <c r="D7054" i="9"/>
  <c r="D7053" i="9"/>
  <c r="D7052" i="9"/>
  <c r="D7051" i="9"/>
  <c r="D7050" i="9"/>
  <c r="D7049" i="9"/>
  <c r="D7048" i="9"/>
  <c r="D7047" i="9"/>
  <c r="D7046" i="9"/>
  <c r="D7045" i="9"/>
  <c r="D7044" i="9"/>
  <c r="D7043" i="9"/>
  <c r="D7042" i="9"/>
  <c r="D7041" i="9"/>
  <c r="D7040" i="9"/>
  <c r="D7039" i="9"/>
  <c r="D7038" i="9"/>
  <c r="D7037" i="9"/>
  <c r="D7036" i="9"/>
  <c r="D7035" i="9"/>
  <c r="D7034" i="9"/>
  <c r="D7033" i="9"/>
  <c r="D7032" i="9"/>
  <c r="D7031" i="9"/>
  <c r="D7030" i="9"/>
  <c r="D7029" i="9"/>
  <c r="D7028" i="9"/>
  <c r="D7027" i="9"/>
  <c r="D7026" i="9"/>
  <c r="D7025" i="9"/>
  <c r="D7024" i="9"/>
  <c r="D7023" i="9"/>
  <c r="D7022" i="9"/>
  <c r="D7021" i="9"/>
  <c r="D7020" i="9"/>
  <c r="D7019" i="9"/>
  <c r="D7018" i="9"/>
  <c r="D7017" i="9"/>
  <c r="D7016" i="9"/>
  <c r="D7015" i="9"/>
  <c r="D7014" i="9"/>
  <c r="D7013" i="9"/>
  <c r="D7012" i="9"/>
  <c r="D7011" i="9"/>
  <c r="D7010" i="9"/>
  <c r="D7009" i="9"/>
  <c r="D7008" i="9"/>
  <c r="D7007" i="9"/>
  <c r="D7006" i="9"/>
  <c r="D7005" i="9"/>
  <c r="D7004" i="9"/>
  <c r="D7003" i="9"/>
  <c r="D7002" i="9"/>
  <c r="D7001" i="9"/>
  <c r="D7000" i="9"/>
  <c r="D6999" i="9"/>
  <c r="D6998" i="9"/>
  <c r="D6997" i="9"/>
  <c r="D6996" i="9"/>
  <c r="D6995" i="9"/>
  <c r="D6994" i="9"/>
  <c r="D6993" i="9"/>
  <c r="D6992" i="9"/>
  <c r="D6991" i="9"/>
  <c r="D6990" i="9"/>
  <c r="D6989" i="9"/>
  <c r="D6988" i="9"/>
  <c r="D6987" i="9"/>
  <c r="D6986" i="9"/>
  <c r="D6985" i="9"/>
  <c r="D6984" i="9"/>
  <c r="D6983" i="9"/>
  <c r="D6982" i="9"/>
  <c r="D6981" i="9"/>
  <c r="D6980" i="9"/>
  <c r="D6979" i="9"/>
  <c r="D6978" i="9"/>
  <c r="D6977" i="9"/>
  <c r="D6976" i="9"/>
  <c r="D6975" i="9"/>
  <c r="D6974" i="9"/>
  <c r="D6973" i="9"/>
  <c r="D6972" i="9"/>
  <c r="D6971" i="9"/>
  <c r="D6970" i="9"/>
  <c r="D6969" i="9"/>
  <c r="D6968" i="9"/>
  <c r="D6967" i="9"/>
  <c r="D6966" i="9"/>
  <c r="D6965" i="9"/>
  <c r="D6964" i="9"/>
  <c r="D6963" i="9"/>
  <c r="D6962" i="9"/>
  <c r="D6961" i="9"/>
  <c r="D6960" i="9"/>
  <c r="D6959" i="9"/>
  <c r="D6958" i="9"/>
  <c r="D6957" i="9"/>
  <c r="D6956" i="9"/>
  <c r="D6955" i="9"/>
  <c r="D6954" i="9"/>
  <c r="D6953" i="9"/>
  <c r="D6952" i="9"/>
  <c r="D6951" i="9"/>
  <c r="D6950" i="9"/>
  <c r="D6949" i="9"/>
  <c r="D6948" i="9"/>
  <c r="D6947" i="9"/>
  <c r="D6946" i="9"/>
  <c r="D6945" i="9"/>
  <c r="D6944" i="9"/>
  <c r="D6943" i="9"/>
  <c r="D6942" i="9"/>
  <c r="D6941" i="9"/>
  <c r="D6940" i="9"/>
  <c r="D6939" i="9"/>
  <c r="D6938" i="9"/>
  <c r="D6937" i="9"/>
  <c r="D6936" i="9"/>
  <c r="D6935" i="9"/>
  <c r="D6934" i="9"/>
  <c r="D6933" i="9"/>
  <c r="D6932" i="9"/>
  <c r="D6931" i="9"/>
  <c r="D6930" i="9"/>
  <c r="D6929" i="9"/>
  <c r="D6928" i="9"/>
  <c r="D6927" i="9"/>
  <c r="D6926" i="9"/>
  <c r="D6925" i="9"/>
  <c r="D6924" i="9"/>
  <c r="D6923" i="9"/>
  <c r="D6922" i="9"/>
  <c r="D6921" i="9"/>
  <c r="D6920" i="9"/>
  <c r="D6919" i="9"/>
  <c r="D6918" i="9"/>
  <c r="D6917" i="9"/>
  <c r="D6916" i="9"/>
  <c r="D6915" i="9"/>
  <c r="D6914" i="9"/>
  <c r="D6913" i="9"/>
  <c r="D6912" i="9"/>
  <c r="D6911" i="9"/>
  <c r="D6910" i="9"/>
  <c r="D6909" i="9"/>
  <c r="D6908" i="9"/>
  <c r="D6907" i="9"/>
  <c r="D6906" i="9"/>
  <c r="D6905" i="9"/>
  <c r="D6904" i="9"/>
  <c r="D6903" i="9"/>
  <c r="D6902" i="9"/>
  <c r="D6901" i="9"/>
  <c r="D6900" i="9"/>
  <c r="D6899" i="9"/>
  <c r="D6898" i="9"/>
  <c r="D6897" i="9"/>
  <c r="D6896" i="9"/>
  <c r="D6895" i="9"/>
  <c r="D6894" i="9"/>
  <c r="D6893" i="9"/>
  <c r="D6892" i="9"/>
  <c r="D6891" i="9"/>
  <c r="D6890" i="9"/>
  <c r="D6889" i="9"/>
  <c r="D6888" i="9"/>
  <c r="D6887" i="9"/>
  <c r="D6886" i="9"/>
  <c r="D6885" i="9"/>
  <c r="D6884" i="9"/>
  <c r="D6883" i="9"/>
  <c r="D6882" i="9"/>
  <c r="D6881" i="9"/>
  <c r="D6880" i="9"/>
  <c r="D6879" i="9"/>
  <c r="D6878" i="9"/>
  <c r="D6877" i="9"/>
  <c r="D6876" i="9"/>
  <c r="D6875" i="9"/>
  <c r="D6874" i="9"/>
  <c r="D6873" i="9"/>
  <c r="D6872" i="9"/>
  <c r="D6871" i="9"/>
  <c r="D6870" i="9"/>
  <c r="D6869" i="9"/>
  <c r="D6868" i="9"/>
  <c r="D6867" i="9"/>
  <c r="D6866" i="9"/>
  <c r="D6865" i="9"/>
  <c r="D6864" i="9"/>
  <c r="D6863" i="9"/>
  <c r="D6862" i="9"/>
  <c r="D6861" i="9"/>
  <c r="D6860" i="9"/>
  <c r="D6859" i="9"/>
  <c r="D6858" i="9"/>
  <c r="D6857" i="9"/>
  <c r="D6856" i="9"/>
  <c r="D6855" i="9"/>
  <c r="D6854" i="9"/>
  <c r="D6853" i="9"/>
  <c r="D6852" i="9"/>
  <c r="D6851" i="9"/>
  <c r="D6850" i="9"/>
  <c r="D6849" i="9"/>
  <c r="D6848" i="9"/>
  <c r="D6847" i="9"/>
  <c r="D6846" i="9"/>
  <c r="D6845" i="9"/>
  <c r="D6844" i="9"/>
  <c r="D6843" i="9"/>
  <c r="D6842" i="9"/>
  <c r="D6841" i="9"/>
  <c r="D6840" i="9"/>
  <c r="D6839" i="9"/>
  <c r="D6838" i="9"/>
  <c r="D6837" i="9"/>
  <c r="D6836" i="9"/>
  <c r="D6835" i="9"/>
  <c r="D6834" i="9"/>
  <c r="D6833" i="9"/>
  <c r="D6832" i="9"/>
  <c r="D6831" i="9"/>
  <c r="D6830" i="9"/>
  <c r="D6829" i="9"/>
  <c r="D6828" i="9"/>
  <c r="D6827" i="9"/>
  <c r="D6826" i="9"/>
  <c r="D6825" i="9"/>
  <c r="D6824" i="9"/>
  <c r="D6823" i="9"/>
  <c r="D6822" i="9"/>
  <c r="D6821" i="9"/>
  <c r="D6820" i="9"/>
  <c r="D6819" i="9"/>
  <c r="D6818" i="9"/>
  <c r="D6817" i="9"/>
  <c r="D6816" i="9"/>
  <c r="D6815" i="9"/>
  <c r="D6814" i="9"/>
  <c r="D6813" i="9"/>
  <c r="D6812" i="9"/>
  <c r="D6811" i="9"/>
  <c r="D6810" i="9"/>
  <c r="D6809" i="9"/>
  <c r="D6808" i="9"/>
  <c r="D6807" i="9"/>
  <c r="D6806" i="9"/>
  <c r="D6805" i="9"/>
  <c r="D6804" i="9"/>
  <c r="D6803" i="9"/>
  <c r="D6802" i="9"/>
  <c r="D6801" i="9"/>
  <c r="D6800" i="9"/>
  <c r="D6799" i="9"/>
  <c r="D6798" i="9"/>
  <c r="D6797" i="9"/>
  <c r="D6796" i="9"/>
  <c r="D6795" i="9"/>
  <c r="D6794" i="9"/>
  <c r="D6793" i="9"/>
  <c r="D6792" i="9"/>
  <c r="D6791" i="9"/>
  <c r="D6790" i="9"/>
  <c r="D6789" i="9"/>
  <c r="D6788" i="9"/>
  <c r="D6787" i="9"/>
  <c r="D6786" i="9"/>
  <c r="D6785" i="9"/>
  <c r="D6784" i="9"/>
  <c r="D6783" i="9"/>
  <c r="D6782" i="9"/>
  <c r="D6781" i="9"/>
  <c r="D6780" i="9"/>
  <c r="D6779" i="9"/>
  <c r="D6778" i="9"/>
  <c r="D6777" i="9"/>
  <c r="D6776" i="9"/>
  <c r="D6775" i="9"/>
  <c r="D6774" i="9"/>
  <c r="D6773" i="9"/>
  <c r="D6772" i="9"/>
  <c r="D6771" i="9"/>
  <c r="D6770" i="9"/>
  <c r="D6769" i="9"/>
  <c r="D6768" i="9"/>
  <c r="D6767" i="9"/>
  <c r="D6766" i="9"/>
  <c r="D6765" i="9"/>
  <c r="D6764" i="9"/>
  <c r="D6763" i="9"/>
  <c r="D6762" i="9"/>
  <c r="D6761" i="9"/>
  <c r="D6760" i="9"/>
  <c r="D6759" i="9"/>
  <c r="D6758" i="9"/>
  <c r="D6757" i="9"/>
  <c r="D6756" i="9"/>
  <c r="D6755" i="9"/>
  <c r="D6754" i="9"/>
  <c r="D6753" i="9"/>
  <c r="D6752" i="9"/>
  <c r="D6751" i="9"/>
  <c r="D6750" i="9"/>
  <c r="D6749" i="9"/>
  <c r="D6748" i="9"/>
  <c r="D6747" i="9"/>
  <c r="D6746" i="9"/>
  <c r="D6745" i="9"/>
  <c r="D6744" i="9"/>
  <c r="D6743" i="9"/>
  <c r="D6742" i="9"/>
  <c r="D6741" i="9"/>
  <c r="D6740" i="9"/>
  <c r="D6739" i="9"/>
  <c r="D6738" i="9"/>
  <c r="D6737" i="9"/>
  <c r="D6736" i="9"/>
  <c r="D6735" i="9"/>
  <c r="D6734" i="9"/>
  <c r="D6733" i="9"/>
  <c r="D6732" i="9"/>
  <c r="D6731" i="9"/>
  <c r="D6730" i="9"/>
  <c r="D6729" i="9"/>
  <c r="D6728" i="9"/>
  <c r="D6727" i="9"/>
  <c r="D6726" i="9"/>
  <c r="D6725" i="9"/>
  <c r="D6724" i="9"/>
  <c r="D6723" i="9"/>
  <c r="D6722" i="9"/>
  <c r="D6721" i="9"/>
  <c r="D6720" i="9"/>
  <c r="D6719" i="9"/>
  <c r="D6718" i="9"/>
  <c r="D6717" i="9"/>
  <c r="D6716" i="9"/>
  <c r="D6715" i="9"/>
  <c r="D6714" i="9"/>
  <c r="D6713" i="9"/>
  <c r="D6712" i="9"/>
  <c r="D6711" i="9"/>
  <c r="D6710" i="9"/>
  <c r="D6709" i="9"/>
  <c r="D6708" i="9"/>
  <c r="D6707" i="9"/>
  <c r="D6706" i="9"/>
  <c r="D6705" i="9"/>
  <c r="D6704" i="9"/>
  <c r="D6703" i="9"/>
  <c r="D6702" i="9"/>
  <c r="D6701" i="9"/>
  <c r="D6700" i="9"/>
  <c r="D6699" i="9"/>
  <c r="D6698" i="9"/>
  <c r="D6697" i="9"/>
  <c r="D6696" i="9"/>
  <c r="D6695" i="9"/>
  <c r="D6694" i="9"/>
  <c r="D6693" i="9"/>
  <c r="D6692" i="9"/>
  <c r="D6691" i="9"/>
  <c r="D6690" i="9"/>
  <c r="D6689" i="9"/>
  <c r="D6688" i="9"/>
  <c r="D6687" i="9"/>
  <c r="D6686" i="9"/>
  <c r="D6685" i="9"/>
  <c r="D6684" i="9"/>
  <c r="D6683" i="9"/>
  <c r="D6682" i="9"/>
  <c r="D6681" i="9"/>
  <c r="D6680" i="9"/>
  <c r="D6679" i="9"/>
  <c r="D6678" i="9"/>
  <c r="D6677" i="9"/>
  <c r="D6676" i="9"/>
  <c r="D6675" i="9"/>
  <c r="D6674" i="9"/>
  <c r="D6673" i="9"/>
  <c r="D6672" i="9"/>
  <c r="D6671" i="9"/>
  <c r="D6670" i="9"/>
  <c r="D6669" i="9"/>
  <c r="D6668" i="9"/>
  <c r="D6667" i="9"/>
  <c r="D6666" i="9"/>
  <c r="D6665" i="9"/>
  <c r="D6664" i="9"/>
  <c r="D6663" i="9"/>
  <c r="D6662" i="9"/>
  <c r="D6661" i="9"/>
  <c r="D6660" i="9"/>
  <c r="D6659" i="9"/>
  <c r="D6658" i="9"/>
  <c r="D6657" i="9"/>
  <c r="D6656" i="9"/>
  <c r="D6655" i="9"/>
  <c r="D6654" i="9"/>
  <c r="D6653" i="9"/>
  <c r="D6652" i="9"/>
  <c r="D6651" i="9"/>
  <c r="D6650" i="9"/>
  <c r="D6649" i="9"/>
  <c r="D6648" i="9"/>
  <c r="D6647" i="9"/>
  <c r="D6646" i="9"/>
  <c r="D6645" i="9"/>
  <c r="D6644" i="9"/>
  <c r="D6643" i="9"/>
  <c r="D6642" i="9"/>
  <c r="D6641" i="9"/>
  <c r="D6640" i="9"/>
  <c r="D6639" i="9"/>
  <c r="D6638" i="9"/>
  <c r="D6637" i="9"/>
  <c r="D6636" i="9"/>
  <c r="D6635" i="9"/>
  <c r="D6634" i="9"/>
  <c r="D6633" i="9"/>
  <c r="D6632" i="9"/>
  <c r="D6631" i="9"/>
  <c r="D6630" i="9"/>
  <c r="D6629" i="9"/>
  <c r="D6628" i="9"/>
  <c r="D6627" i="9"/>
  <c r="D6626" i="9"/>
  <c r="D6625" i="9"/>
  <c r="D6624" i="9"/>
  <c r="D6623" i="9"/>
  <c r="D6622" i="9"/>
  <c r="D6621" i="9"/>
  <c r="D6620" i="9"/>
  <c r="D6619" i="9"/>
  <c r="D6618" i="9"/>
  <c r="D6617" i="9"/>
  <c r="D6616" i="9"/>
  <c r="D6615" i="9"/>
  <c r="D6614" i="9"/>
  <c r="D6613" i="9"/>
  <c r="D6612" i="9"/>
  <c r="D6611" i="9"/>
  <c r="D6610" i="9"/>
  <c r="D6609" i="9"/>
  <c r="D6608" i="9"/>
  <c r="D6607" i="9"/>
  <c r="D6606" i="9"/>
  <c r="D6605" i="9"/>
  <c r="D6604" i="9"/>
  <c r="D6603" i="9"/>
  <c r="D6602" i="9"/>
  <c r="D6601" i="9"/>
  <c r="D6600" i="9"/>
  <c r="D6599" i="9"/>
  <c r="D6598" i="9"/>
  <c r="D6597" i="9"/>
  <c r="D6596" i="9"/>
  <c r="D6595" i="9"/>
  <c r="D6594" i="9"/>
  <c r="D6593" i="9"/>
  <c r="D6592" i="9"/>
  <c r="D6591" i="9"/>
  <c r="D6590" i="9"/>
  <c r="D6589" i="9"/>
  <c r="D6588" i="9"/>
  <c r="D6587" i="9"/>
  <c r="D6586" i="9"/>
  <c r="D6585" i="9"/>
  <c r="D6584" i="9"/>
  <c r="D6583" i="9"/>
  <c r="D6582" i="9"/>
  <c r="D6581" i="9"/>
  <c r="D6580" i="9"/>
  <c r="D6579" i="9"/>
  <c r="D6578" i="9"/>
  <c r="D6577" i="9"/>
  <c r="D6576" i="9"/>
  <c r="D6575" i="9"/>
  <c r="D6574" i="9"/>
  <c r="D6573" i="9"/>
  <c r="D6572" i="9"/>
  <c r="D6571" i="9"/>
  <c r="D6570" i="9"/>
  <c r="D6569" i="9"/>
  <c r="D6568" i="9"/>
  <c r="D6567" i="9"/>
  <c r="D6566" i="9"/>
  <c r="D6565" i="9"/>
  <c r="D6564" i="9"/>
  <c r="D6563" i="9"/>
  <c r="D6562" i="9"/>
  <c r="D6561" i="9"/>
  <c r="D6560" i="9"/>
  <c r="D6559" i="9"/>
  <c r="D6558" i="9"/>
  <c r="D6557" i="9"/>
  <c r="D6556" i="9"/>
  <c r="D6555" i="9"/>
  <c r="D6554" i="9"/>
  <c r="D6553" i="9"/>
  <c r="D6552" i="9"/>
  <c r="D6551" i="9"/>
  <c r="D6550" i="9"/>
  <c r="D6549" i="9"/>
  <c r="D6548" i="9"/>
  <c r="D6547" i="9"/>
  <c r="D6546" i="9"/>
  <c r="D6545" i="9"/>
  <c r="D6544" i="9"/>
  <c r="D6543" i="9"/>
  <c r="D6542" i="9"/>
  <c r="D6541" i="9"/>
  <c r="D6540" i="9"/>
  <c r="D6539" i="9"/>
  <c r="D6538" i="9"/>
  <c r="D6537" i="9"/>
  <c r="D6536" i="9"/>
  <c r="D6535" i="9"/>
  <c r="D6534" i="9"/>
  <c r="D6533" i="9"/>
  <c r="D6532" i="9"/>
  <c r="D6531" i="9"/>
  <c r="D6530" i="9"/>
  <c r="D6529" i="9"/>
  <c r="D6528" i="9"/>
  <c r="D6527" i="9"/>
  <c r="D6526" i="9"/>
  <c r="D6525" i="9"/>
  <c r="D6524" i="9"/>
  <c r="D6523" i="9"/>
  <c r="D6522" i="9"/>
  <c r="D6521" i="9"/>
  <c r="D6520" i="9"/>
  <c r="D6519" i="9"/>
  <c r="D6518" i="9"/>
  <c r="D6517" i="9"/>
  <c r="D6516" i="9"/>
  <c r="D6515" i="9"/>
  <c r="D6514" i="9"/>
  <c r="D6513" i="9"/>
  <c r="D6512" i="9"/>
  <c r="D6511" i="9"/>
  <c r="D6510" i="9"/>
  <c r="D6509" i="9"/>
  <c r="D6508" i="9"/>
  <c r="D6507" i="9"/>
  <c r="D6506" i="9"/>
  <c r="D6505" i="9"/>
  <c r="D6504" i="9"/>
  <c r="D6503" i="9"/>
  <c r="D6502" i="9"/>
  <c r="D6501" i="9"/>
  <c r="D6500" i="9"/>
  <c r="D6499" i="9"/>
  <c r="D6498" i="9"/>
  <c r="D6497" i="9"/>
  <c r="D6496" i="9"/>
  <c r="D6495" i="9"/>
  <c r="D6494" i="9"/>
  <c r="D6493" i="9"/>
  <c r="D6492" i="9"/>
  <c r="D6491" i="9"/>
  <c r="D6490" i="9"/>
  <c r="D6489" i="9"/>
  <c r="D6488" i="9"/>
  <c r="D6487" i="9"/>
  <c r="D6486" i="9"/>
  <c r="D6485" i="9"/>
  <c r="D6484" i="9"/>
  <c r="D6483" i="9"/>
  <c r="D6482" i="9"/>
  <c r="D6481" i="9"/>
  <c r="D6480" i="9"/>
  <c r="D6479" i="9"/>
  <c r="D6478" i="9"/>
  <c r="D6477" i="9"/>
  <c r="D6476" i="9"/>
  <c r="D6475" i="9"/>
  <c r="D6474" i="9"/>
  <c r="D6473" i="9"/>
  <c r="D6472" i="9"/>
  <c r="D6471" i="9"/>
  <c r="D6470" i="9"/>
  <c r="D6469" i="9"/>
  <c r="D6468" i="9"/>
  <c r="D6467" i="9"/>
  <c r="D6466" i="9"/>
  <c r="D6465" i="9"/>
  <c r="D6464" i="9"/>
  <c r="D6463" i="9"/>
  <c r="D6462" i="9"/>
  <c r="D6461" i="9"/>
  <c r="D6460" i="9"/>
  <c r="D6459" i="9"/>
  <c r="D6458" i="9"/>
  <c r="D6457" i="9"/>
  <c r="D6456" i="9"/>
  <c r="D6455" i="9"/>
  <c r="D6454" i="9"/>
  <c r="D6453" i="9"/>
  <c r="D6452" i="9"/>
  <c r="D6451" i="9"/>
  <c r="D6450" i="9"/>
  <c r="D6449" i="9"/>
  <c r="D6448" i="9"/>
  <c r="D6447" i="9"/>
  <c r="D6446" i="9"/>
  <c r="D6445" i="9"/>
  <c r="D6444" i="9"/>
  <c r="D6443" i="9"/>
  <c r="D6442" i="9"/>
  <c r="D6441" i="9"/>
  <c r="D6440" i="9"/>
  <c r="D6439" i="9"/>
  <c r="D6438" i="9"/>
  <c r="D6437" i="9"/>
  <c r="D6436" i="9"/>
  <c r="D6435" i="9"/>
  <c r="D6434" i="9"/>
  <c r="D6433" i="9"/>
  <c r="D6432" i="9"/>
  <c r="D6431" i="9"/>
  <c r="D6430" i="9"/>
  <c r="D6429" i="9"/>
  <c r="D6428" i="9"/>
  <c r="D6427" i="9"/>
  <c r="D6426" i="9"/>
  <c r="D6425" i="9"/>
  <c r="D6424" i="9"/>
  <c r="D6423" i="9"/>
  <c r="D6422" i="9"/>
  <c r="D6421" i="9"/>
  <c r="D6420" i="9"/>
  <c r="D6419" i="9"/>
  <c r="D6418" i="9"/>
  <c r="D6417" i="9"/>
  <c r="D6416" i="9"/>
  <c r="D6415" i="9"/>
  <c r="D6414" i="9"/>
  <c r="D6413" i="9"/>
  <c r="D6412" i="9"/>
  <c r="D6411" i="9"/>
  <c r="D6410" i="9"/>
  <c r="D6409" i="9"/>
  <c r="D6408" i="9"/>
  <c r="D6407" i="9"/>
  <c r="D6406" i="9"/>
  <c r="D6405" i="9"/>
  <c r="D6404" i="9"/>
  <c r="D6403" i="9"/>
  <c r="D6402" i="9"/>
  <c r="D6401" i="9"/>
  <c r="D6400" i="9"/>
  <c r="D6399" i="9"/>
  <c r="D6398" i="9"/>
  <c r="D6397" i="9"/>
  <c r="D6396" i="9"/>
  <c r="D6395" i="9"/>
  <c r="D6394" i="9"/>
  <c r="D6393" i="9"/>
  <c r="D6392" i="9"/>
  <c r="D6391" i="9"/>
  <c r="D6390" i="9"/>
  <c r="D6389" i="9"/>
  <c r="D6388" i="9"/>
  <c r="D6387" i="9"/>
  <c r="D6386" i="9"/>
  <c r="D6385" i="9"/>
  <c r="D6384" i="9"/>
  <c r="D6383" i="9"/>
  <c r="D6382" i="9"/>
  <c r="D6381" i="9"/>
  <c r="D6380" i="9"/>
  <c r="D6379" i="9"/>
  <c r="D6378" i="9"/>
  <c r="D6377" i="9"/>
  <c r="D6376" i="9"/>
  <c r="D6375" i="9"/>
  <c r="D6374" i="9"/>
  <c r="D6373" i="9"/>
  <c r="D6372" i="9"/>
  <c r="D6371" i="9"/>
  <c r="D6370" i="9"/>
  <c r="D6369" i="9"/>
  <c r="D6368" i="9"/>
  <c r="D6367" i="9"/>
  <c r="D6366" i="9"/>
  <c r="D6365" i="9"/>
  <c r="D6364" i="9"/>
  <c r="D6363" i="9"/>
  <c r="D6362" i="9"/>
  <c r="D6361" i="9"/>
  <c r="D6360" i="9"/>
  <c r="D6359" i="9"/>
  <c r="D6358" i="9"/>
  <c r="D6357" i="9"/>
  <c r="D6356" i="9"/>
  <c r="D6355" i="9"/>
  <c r="D6354" i="9"/>
  <c r="D6353" i="9"/>
  <c r="D6352" i="9"/>
  <c r="D6351" i="9"/>
  <c r="D6350" i="9"/>
  <c r="D6349" i="9"/>
  <c r="D6348" i="9"/>
  <c r="D6347" i="9"/>
  <c r="D6346" i="9"/>
  <c r="D6345" i="9"/>
  <c r="D6344" i="9"/>
  <c r="D6343" i="9"/>
  <c r="D6342" i="9"/>
  <c r="D6341" i="9"/>
  <c r="D6340" i="9"/>
  <c r="D6339" i="9"/>
  <c r="D6338" i="9"/>
  <c r="D6337" i="9"/>
  <c r="D6336" i="9"/>
  <c r="D6335" i="9"/>
  <c r="D6334" i="9"/>
  <c r="D6333" i="9"/>
  <c r="D6332" i="9"/>
  <c r="D6331" i="9"/>
  <c r="D6330" i="9"/>
  <c r="D6329" i="9"/>
  <c r="D6328" i="9"/>
  <c r="D6327" i="9"/>
  <c r="D6326" i="9"/>
  <c r="D6325" i="9"/>
  <c r="D6324" i="9"/>
  <c r="D6323" i="9"/>
  <c r="D6322" i="9"/>
  <c r="D6321" i="9"/>
  <c r="D6320" i="9"/>
  <c r="D6319" i="9"/>
  <c r="D6318" i="9"/>
  <c r="D6317" i="9"/>
  <c r="D6316" i="9"/>
  <c r="D6315" i="9"/>
  <c r="D6314" i="9"/>
  <c r="D6313" i="9"/>
  <c r="D6312" i="9"/>
  <c r="D6311" i="9"/>
  <c r="D6310" i="9"/>
  <c r="D6309" i="9"/>
  <c r="D6308" i="9"/>
  <c r="D6307" i="9"/>
  <c r="D6306" i="9"/>
  <c r="D6305" i="9"/>
  <c r="D6304" i="9"/>
  <c r="D6303" i="9"/>
  <c r="D6302" i="9"/>
  <c r="D6301" i="9"/>
  <c r="D6300" i="9"/>
  <c r="D6299" i="9"/>
  <c r="D6298" i="9"/>
  <c r="D6297" i="9"/>
  <c r="D6296" i="9"/>
  <c r="D6295" i="9"/>
  <c r="D6294" i="9"/>
  <c r="D6293" i="9"/>
  <c r="D6292" i="9"/>
  <c r="D6291" i="9"/>
  <c r="D6290" i="9"/>
  <c r="D6289" i="9"/>
  <c r="D6288" i="9"/>
  <c r="D6287" i="9"/>
  <c r="D6286" i="9"/>
  <c r="D6285" i="9"/>
  <c r="D6284" i="9"/>
  <c r="D6283" i="9"/>
  <c r="D6282" i="9"/>
  <c r="D6281" i="9"/>
  <c r="D6280" i="9"/>
  <c r="D6279" i="9"/>
  <c r="D6278" i="9"/>
  <c r="D6277" i="9"/>
  <c r="D6276" i="9"/>
  <c r="D6275" i="9"/>
  <c r="D6274" i="9"/>
  <c r="D6273" i="9"/>
  <c r="D6272" i="9"/>
  <c r="D6271" i="9"/>
  <c r="D6270" i="9"/>
  <c r="D6269" i="9"/>
  <c r="D6268" i="9"/>
  <c r="D6267" i="9"/>
  <c r="D6266" i="9"/>
  <c r="D6265" i="9"/>
  <c r="D6264" i="9"/>
  <c r="D6263" i="9"/>
  <c r="D6262" i="9"/>
  <c r="D6261" i="9"/>
  <c r="D6260" i="9"/>
  <c r="D6259" i="9"/>
  <c r="D6258" i="9"/>
  <c r="D6257" i="9"/>
  <c r="D6256" i="9"/>
  <c r="D6255" i="9"/>
  <c r="D6254" i="9"/>
  <c r="D6253" i="9"/>
  <c r="D6252" i="9"/>
  <c r="D6251" i="9"/>
  <c r="D6250" i="9"/>
  <c r="D6249" i="9"/>
  <c r="D6248" i="9"/>
  <c r="D6247" i="9"/>
  <c r="D6246" i="9"/>
  <c r="D6245" i="9"/>
  <c r="D6244" i="9"/>
  <c r="D6243" i="9"/>
  <c r="D6242" i="9"/>
  <c r="D6241" i="9"/>
  <c r="D6240" i="9"/>
  <c r="D6239" i="9"/>
  <c r="D6238" i="9"/>
  <c r="D6237" i="9"/>
  <c r="D6236" i="9"/>
  <c r="D6235" i="9"/>
  <c r="D6234" i="9"/>
  <c r="D6233" i="9"/>
  <c r="D6232" i="9"/>
  <c r="D6231" i="9"/>
  <c r="D6230" i="9"/>
  <c r="D6229" i="9"/>
  <c r="D6228" i="9"/>
  <c r="D6227" i="9"/>
  <c r="D6226" i="9"/>
  <c r="D6225" i="9"/>
  <c r="D6224" i="9"/>
  <c r="D6223" i="9"/>
  <c r="D6222" i="9"/>
  <c r="D6221" i="9"/>
  <c r="D6220" i="9"/>
  <c r="D6219" i="9"/>
  <c r="D6218" i="9"/>
  <c r="D6217" i="9"/>
  <c r="D6216" i="9"/>
  <c r="D6215" i="9"/>
  <c r="D6214" i="9"/>
  <c r="D6213" i="9"/>
  <c r="D6212" i="9"/>
  <c r="D6211" i="9"/>
  <c r="D6210" i="9"/>
  <c r="D6209" i="9"/>
  <c r="D6208" i="9"/>
  <c r="D6207" i="9"/>
  <c r="D6206" i="9"/>
  <c r="D6205" i="9"/>
  <c r="D6204" i="9"/>
  <c r="D6203" i="9"/>
  <c r="D6202" i="9"/>
  <c r="D6201" i="9"/>
  <c r="D6200" i="9"/>
  <c r="D6199" i="9"/>
  <c r="D6198" i="9"/>
  <c r="D6197" i="9"/>
  <c r="D6196" i="9"/>
  <c r="D6195" i="9"/>
  <c r="D6194" i="9"/>
  <c r="D6193" i="9"/>
  <c r="D6192" i="9"/>
  <c r="D6191" i="9"/>
  <c r="D6190" i="9"/>
  <c r="D6189" i="9"/>
  <c r="D6188" i="9"/>
  <c r="D6187" i="9"/>
  <c r="D6186" i="9"/>
  <c r="D6185" i="9"/>
  <c r="D6184" i="9"/>
  <c r="D6183" i="9"/>
  <c r="D6182" i="9"/>
  <c r="D6181" i="9"/>
  <c r="D6180" i="9"/>
  <c r="D6179" i="9"/>
  <c r="D6178" i="9"/>
  <c r="D6177" i="9"/>
  <c r="D6176" i="9"/>
  <c r="D6175" i="9"/>
  <c r="D6174" i="9"/>
  <c r="D6173" i="9"/>
  <c r="D6172" i="9"/>
  <c r="D6171" i="9"/>
  <c r="D6170" i="9"/>
  <c r="D6169" i="9"/>
  <c r="D6168" i="9"/>
  <c r="D6167" i="9"/>
  <c r="D6166" i="9"/>
  <c r="D6165" i="9"/>
  <c r="D6164" i="9"/>
  <c r="D6163" i="9"/>
  <c r="D6162" i="9"/>
  <c r="D6161" i="9"/>
  <c r="D6160" i="9"/>
  <c r="D6159" i="9"/>
  <c r="D6158" i="9"/>
  <c r="D6157" i="9"/>
  <c r="D6156" i="9"/>
  <c r="D6155" i="9"/>
  <c r="D6154" i="9"/>
  <c r="D6153" i="9"/>
  <c r="D6152" i="9"/>
  <c r="D6151" i="9"/>
  <c r="D6150" i="9"/>
  <c r="D6149" i="9"/>
  <c r="D6148" i="9"/>
  <c r="D6147" i="9"/>
  <c r="D6146" i="9"/>
  <c r="D6145" i="9"/>
  <c r="D6144" i="9"/>
  <c r="D6143" i="9"/>
  <c r="D6142" i="9"/>
  <c r="D6141" i="9"/>
  <c r="D6140" i="9"/>
  <c r="D6139" i="9"/>
  <c r="D6138" i="9"/>
  <c r="D6137" i="9"/>
  <c r="D6136" i="9"/>
  <c r="D6135" i="9"/>
  <c r="D6134" i="9"/>
  <c r="D6133" i="9"/>
  <c r="D6132" i="9"/>
  <c r="D6131" i="9"/>
  <c r="D6130" i="9"/>
  <c r="D6129" i="9"/>
  <c r="D6128" i="9"/>
  <c r="D6127" i="9"/>
  <c r="D6126" i="9"/>
  <c r="D6125" i="9"/>
  <c r="D6124" i="9"/>
  <c r="D6123" i="9"/>
  <c r="D6122" i="9"/>
  <c r="D6121" i="9"/>
  <c r="D6120" i="9"/>
  <c r="D6119" i="9"/>
  <c r="D6118" i="9"/>
  <c r="D6117" i="9"/>
  <c r="D6116" i="9"/>
  <c r="D6115" i="9"/>
  <c r="D6114" i="9"/>
  <c r="D6113" i="9"/>
  <c r="D6112" i="9"/>
  <c r="D6111" i="9"/>
  <c r="D6110" i="9"/>
  <c r="D6109" i="9"/>
  <c r="D6108" i="9"/>
  <c r="D6107" i="9"/>
  <c r="D6106" i="9"/>
  <c r="D6105" i="9"/>
  <c r="D6104" i="9"/>
  <c r="D6103" i="9"/>
  <c r="D6102" i="9"/>
  <c r="D6101" i="9"/>
  <c r="D6100" i="9"/>
  <c r="D6099" i="9"/>
  <c r="D6098" i="9"/>
  <c r="D6097" i="9"/>
  <c r="D6096" i="9"/>
  <c r="D6095" i="9"/>
  <c r="D6094" i="9"/>
  <c r="D6093" i="9"/>
  <c r="D6092" i="9"/>
  <c r="D6091" i="9"/>
  <c r="D6090" i="9"/>
  <c r="D6089" i="9"/>
  <c r="D6088" i="9"/>
  <c r="D6087" i="9"/>
  <c r="D6086" i="9"/>
  <c r="D6085" i="9"/>
  <c r="D6084" i="9"/>
  <c r="D6083" i="9"/>
  <c r="D6082" i="9"/>
  <c r="D6081" i="9"/>
  <c r="D6080" i="9"/>
  <c r="D6079" i="9"/>
  <c r="D6078" i="9"/>
  <c r="D6077" i="9"/>
  <c r="D6076" i="9"/>
  <c r="D6075" i="9"/>
  <c r="D6074" i="9"/>
  <c r="D6073" i="9"/>
  <c r="D6072" i="9"/>
  <c r="D6071" i="9"/>
  <c r="D6070" i="9"/>
  <c r="D6069" i="9"/>
  <c r="D6068" i="9"/>
  <c r="D6067" i="9"/>
  <c r="D6066" i="9"/>
  <c r="D6065" i="9"/>
  <c r="D6064" i="9"/>
  <c r="D6063" i="9"/>
  <c r="D6062" i="9"/>
  <c r="D6061" i="9"/>
  <c r="D6060" i="9"/>
  <c r="D6059" i="9"/>
  <c r="D6058" i="9"/>
  <c r="D6057" i="9"/>
  <c r="D6056" i="9"/>
  <c r="D6055" i="9"/>
  <c r="D6054" i="9"/>
  <c r="D6053" i="9"/>
  <c r="D6052" i="9"/>
  <c r="D6051" i="9"/>
  <c r="D6050" i="9"/>
  <c r="D6049" i="9"/>
  <c r="D6048" i="9"/>
  <c r="D6047" i="9"/>
  <c r="D6046" i="9"/>
  <c r="D6045" i="9"/>
  <c r="D6044" i="9"/>
  <c r="D6043" i="9"/>
  <c r="D6042" i="9"/>
  <c r="D6041" i="9"/>
  <c r="D6040" i="9"/>
  <c r="D6039" i="9"/>
  <c r="D6038" i="9"/>
  <c r="D6037" i="9"/>
  <c r="D6036" i="9"/>
  <c r="D6035" i="9"/>
  <c r="D6034" i="9"/>
  <c r="D6033" i="9"/>
  <c r="D6032" i="9"/>
  <c r="D6031" i="9"/>
  <c r="D6030" i="9"/>
  <c r="D6029" i="9"/>
  <c r="D6028" i="9"/>
  <c r="D6027" i="9"/>
  <c r="D6026" i="9"/>
  <c r="D6025" i="9"/>
  <c r="D6024" i="9"/>
  <c r="D6023" i="9"/>
  <c r="D6022" i="9"/>
  <c r="D6021" i="9"/>
  <c r="D6020" i="9"/>
  <c r="D6019" i="9"/>
  <c r="D6018" i="9"/>
  <c r="D6017" i="9"/>
  <c r="D6016" i="9"/>
  <c r="D6015" i="9"/>
  <c r="D6014" i="9"/>
  <c r="D6013" i="9"/>
  <c r="D6012" i="9"/>
  <c r="D6011" i="9"/>
  <c r="D6010" i="9"/>
  <c r="D6009" i="9"/>
  <c r="D6008" i="9"/>
  <c r="D6007" i="9"/>
  <c r="D6006" i="9"/>
  <c r="D6005" i="9"/>
  <c r="D6004" i="9"/>
  <c r="D6003" i="9"/>
  <c r="D6002" i="9"/>
  <c r="D6001" i="9"/>
  <c r="D6000" i="9"/>
  <c r="D5999" i="9"/>
  <c r="D5998" i="9"/>
  <c r="D5997" i="9"/>
  <c r="D5996" i="9"/>
  <c r="D5995" i="9"/>
  <c r="D5994" i="9"/>
  <c r="D5993" i="9"/>
  <c r="D5992" i="9"/>
  <c r="D5991" i="9"/>
  <c r="D5990" i="9"/>
  <c r="D5989" i="9"/>
  <c r="D5988" i="9"/>
  <c r="D5987" i="9"/>
  <c r="D5986" i="9"/>
  <c r="D5985" i="9"/>
  <c r="D5984" i="9"/>
  <c r="D5983" i="9"/>
  <c r="D5982" i="9"/>
  <c r="D5981" i="9"/>
  <c r="D5980" i="9"/>
  <c r="D5979" i="9"/>
  <c r="D5978" i="9"/>
  <c r="D5977" i="9"/>
  <c r="D5976" i="9"/>
  <c r="D5975" i="9"/>
  <c r="D5974" i="9"/>
  <c r="D5973" i="9"/>
  <c r="D5972" i="9"/>
  <c r="D5971" i="9"/>
  <c r="D5970" i="9"/>
  <c r="D5969" i="9"/>
  <c r="D5968" i="9"/>
  <c r="D5967" i="9"/>
  <c r="D5966" i="9"/>
  <c r="D5965" i="9"/>
  <c r="D5964" i="9"/>
  <c r="D5963" i="9"/>
  <c r="D5962" i="9"/>
  <c r="D5961" i="9"/>
  <c r="D5960" i="9"/>
  <c r="D5959" i="9"/>
  <c r="D5958" i="9"/>
  <c r="D5957" i="9"/>
  <c r="D5956" i="9"/>
  <c r="D5955" i="9"/>
  <c r="D5954" i="9"/>
  <c r="D5953" i="9"/>
  <c r="D5952" i="9"/>
  <c r="D5951" i="9"/>
  <c r="D5950" i="9"/>
  <c r="D5949" i="9"/>
  <c r="D5948" i="9"/>
  <c r="D5947" i="9"/>
  <c r="D5946" i="9"/>
  <c r="D5945" i="9"/>
  <c r="D5944" i="9"/>
  <c r="D5943" i="9"/>
  <c r="D5942" i="9"/>
  <c r="D5941" i="9"/>
  <c r="D5940" i="9"/>
  <c r="D5939" i="9"/>
  <c r="D5938" i="9"/>
  <c r="D5937" i="9"/>
  <c r="D5936" i="9"/>
  <c r="D5935" i="9"/>
  <c r="D5934" i="9"/>
  <c r="D5933" i="9"/>
  <c r="D5932" i="9"/>
  <c r="D5931" i="9"/>
  <c r="D5930" i="9"/>
  <c r="D5929" i="9"/>
  <c r="D5928" i="9"/>
  <c r="D5927" i="9"/>
  <c r="D5926" i="9"/>
  <c r="D5925" i="9"/>
  <c r="D5924" i="9"/>
  <c r="D5923" i="9"/>
  <c r="D5922" i="9"/>
  <c r="D5921" i="9"/>
  <c r="D5920" i="9"/>
  <c r="D5919" i="9"/>
  <c r="D5918" i="9"/>
  <c r="D5917" i="9"/>
  <c r="D5916" i="9"/>
  <c r="D5915" i="9"/>
  <c r="D5914" i="9"/>
  <c r="D5913" i="9"/>
  <c r="D5912" i="9"/>
  <c r="D5911" i="9"/>
  <c r="D5910" i="9"/>
  <c r="D5909" i="9"/>
  <c r="D5908" i="9"/>
  <c r="D5907" i="9"/>
  <c r="D5906" i="9"/>
  <c r="D5905" i="9"/>
  <c r="D5904" i="9"/>
  <c r="D5903" i="9"/>
  <c r="D5902" i="9"/>
  <c r="D5901" i="9"/>
  <c r="D5900" i="9"/>
  <c r="D5899" i="9"/>
  <c r="D5898" i="9"/>
  <c r="D5897" i="9"/>
  <c r="D5896" i="9"/>
  <c r="D5895" i="9"/>
  <c r="D5894" i="9"/>
  <c r="D5893" i="9"/>
  <c r="D5892" i="9"/>
  <c r="D5891" i="9"/>
  <c r="D5890" i="9"/>
  <c r="D5889" i="9"/>
  <c r="D5888" i="9"/>
  <c r="D5887" i="9"/>
  <c r="D5886" i="9"/>
  <c r="D5885" i="9"/>
  <c r="D5884" i="9"/>
  <c r="D5883" i="9"/>
  <c r="D5882" i="9"/>
  <c r="D5881" i="9"/>
  <c r="D5880" i="9"/>
  <c r="D5879" i="9"/>
  <c r="D5878" i="9"/>
  <c r="D5877" i="9"/>
  <c r="D5876" i="9"/>
  <c r="D5875" i="9"/>
  <c r="D5874" i="9"/>
  <c r="D5873" i="9"/>
  <c r="D5872" i="9"/>
  <c r="D5871" i="9"/>
  <c r="D5870" i="9"/>
  <c r="D5869" i="9"/>
  <c r="D5868" i="9"/>
  <c r="D5867" i="9"/>
  <c r="D5866" i="9"/>
  <c r="D5865" i="9"/>
  <c r="D5864" i="9"/>
  <c r="D5863" i="9"/>
  <c r="D5862" i="9"/>
  <c r="D5861" i="9"/>
  <c r="D5860" i="9"/>
  <c r="D5859" i="9"/>
  <c r="D5858" i="9"/>
  <c r="D5857" i="9"/>
  <c r="D5856" i="9"/>
  <c r="D5855" i="9"/>
  <c r="D5854" i="9"/>
  <c r="D5853" i="9"/>
  <c r="D5852" i="9"/>
  <c r="D5851" i="9"/>
  <c r="D5850" i="9"/>
  <c r="D5849" i="9"/>
  <c r="D5848" i="9"/>
  <c r="D5847" i="9"/>
  <c r="D5846" i="9"/>
  <c r="D5845" i="9"/>
  <c r="D5844" i="9"/>
  <c r="D5843" i="9"/>
  <c r="D5842" i="9"/>
  <c r="D5841" i="9"/>
  <c r="D5840" i="9"/>
  <c r="D5839" i="9"/>
  <c r="D5838" i="9"/>
  <c r="D5837" i="9"/>
  <c r="D5836" i="9"/>
  <c r="D5835" i="9"/>
  <c r="D5834" i="9"/>
  <c r="D5833" i="9"/>
  <c r="D5832" i="9"/>
  <c r="D5831" i="9"/>
  <c r="D5830" i="9"/>
  <c r="D5829" i="9"/>
  <c r="D5828" i="9"/>
  <c r="D5827" i="9"/>
  <c r="D5826" i="9"/>
  <c r="D5825" i="9"/>
  <c r="D5824" i="9"/>
  <c r="D5823" i="9"/>
  <c r="D5822" i="9"/>
  <c r="D5821" i="9"/>
  <c r="D5820" i="9"/>
  <c r="D5819" i="9"/>
  <c r="D5818" i="9"/>
  <c r="D5817" i="9"/>
  <c r="D5816" i="9"/>
  <c r="D5815" i="9"/>
  <c r="D5814" i="9"/>
  <c r="D5813" i="9"/>
  <c r="D5812" i="9"/>
  <c r="D5811" i="9"/>
  <c r="D5810" i="9"/>
  <c r="D5809" i="9"/>
  <c r="D5808" i="9"/>
  <c r="D5807" i="9"/>
  <c r="D5806" i="9"/>
  <c r="D5805" i="9"/>
  <c r="D5804" i="9"/>
  <c r="D5803" i="9"/>
  <c r="D5802" i="9"/>
  <c r="D5801" i="9"/>
  <c r="D5800" i="9"/>
  <c r="D5799" i="9"/>
  <c r="D5798" i="9"/>
  <c r="D5797" i="9"/>
  <c r="D5796" i="9"/>
  <c r="D5795" i="9"/>
  <c r="D5794" i="9"/>
  <c r="D5793" i="9"/>
  <c r="D5792" i="9"/>
  <c r="D5791" i="9"/>
  <c r="D5790" i="9"/>
  <c r="D5789" i="9"/>
  <c r="D5788" i="9"/>
  <c r="D5787" i="9"/>
  <c r="D5786" i="9"/>
  <c r="D5785" i="9"/>
  <c r="D5784" i="9"/>
  <c r="D5783" i="9"/>
  <c r="D5782" i="9"/>
  <c r="D5781" i="9"/>
  <c r="D5780" i="9"/>
  <c r="D5779" i="9"/>
  <c r="D5778" i="9"/>
  <c r="D5777" i="9"/>
  <c r="D5776" i="9"/>
  <c r="D5775" i="9"/>
  <c r="D5774" i="9"/>
  <c r="D5773" i="9"/>
  <c r="D5772" i="9"/>
  <c r="D5771" i="9"/>
  <c r="D5770" i="9"/>
  <c r="D5769" i="9"/>
  <c r="D5768" i="9"/>
  <c r="D5767" i="9"/>
  <c r="D5766" i="9"/>
  <c r="D5765" i="9"/>
  <c r="D5764" i="9"/>
  <c r="D5763" i="9"/>
  <c r="D5762" i="9"/>
  <c r="D5761" i="9"/>
  <c r="D5760" i="9"/>
  <c r="D5759" i="9"/>
  <c r="D5758" i="9"/>
  <c r="D5757" i="9"/>
  <c r="D5756" i="9"/>
  <c r="D5755" i="9"/>
  <c r="D5754" i="9"/>
  <c r="D5753" i="9"/>
  <c r="D5752" i="9"/>
  <c r="D5751" i="9"/>
  <c r="D5750" i="9"/>
  <c r="D5749" i="9"/>
  <c r="D5748" i="9"/>
  <c r="D5747" i="9"/>
  <c r="D5746" i="9"/>
  <c r="D5745" i="9"/>
  <c r="D5744" i="9"/>
  <c r="D5743" i="9"/>
  <c r="D5742" i="9"/>
  <c r="D5741" i="9"/>
  <c r="D5740" i="9"/>
  <c r="D5739" i="9"/>
  <c r="D5738" i="9"/>
  <c r="D5737" i="9"/>
  <c r="D5736" i="9"/>
  <c r="D5735" i="9"/>
  <c r="D5734" i="9"/>
  <c r="D5733" i="9"/>
  <c r="D5732" i="9"/>
  <c r="D5731" i="9"/>
  <c r="D5730" i="9"/>
  <c r="D5729" i="9"/>
  <c r="D5728" i="9"/>
  <c r="D5727" i="9"/>
  <c r="D5726" i="9"/>
  <c r="D5725" i="9"/>
  <c r="D5724" i="9"/>
  <c r="D5723" i="9"/>
  <c r="D5722" i="9"/>
  <c r="D5721" i="9"/>
  <c r="D5720" i="9"/>
  <c r="D5719" i="9"/>
  <c r="D5718" i="9"/>
  <c r="D5717" i="9"/>
  <c r="D5716" i="9"/>
  <c r="D5715" i="9"/>
  <c r="D5714" i="9"/>
  <c r="D5713" i="9"/>
  <c r="D5712" i="9"/>
  <c r="D5711" i="9"/>
  <c r="D5710" i="9"/>
  <c r="D5709" i="9"/>
  <c r="D5708" i="9"/>
  <c r="D5707" i="9"/>
  <c r="D5706" i="9"/>
  <c r="D5705" i="9"/>
  <c r="D5704" i="9"/>
  <c r="D5703" i="9"/>
  <c r="D5702" i="9"/>
  <c r="D5701" i="9"/>
  <c r="D5700" i="9"/>
  <c r="D5699" i="9"/>
  <c r="D5698" i="9"/>
  <c r="D5697" i="9"/>
  <c r="D5696" i="9"/>
  <c r="D5695" i="9"/>
  <c r="D5694" i="9"/>
  <c r="D5693" i="9"/>
  <c r="D5692" i="9"/>
  <c r="D5691" i="9"/>
  <c r="D5690" i="9"/>
  <c r="D5689" i="9"/>
  <c r="D5688" i="9"/>
  <c r="D5687" i="9"/>
  <c r="D5686" i="9"/>
  <c r="D5685" i="9"/>
  <c r="D5684" i="9"/>
  <c r="D5683" i="9"/>
  <c r="D5682" i="9"/>
  <c r="D5681" i="9"/>
  <c r="D5680" i="9"/>
  <c r="D5679" i="9"/>
  <c r="D5678" i="9"/>
  <c r="D5677" i="9"/>
  <c r="D5676" i="9"/>
  <c r="D5675" i="9"/>
  <c r="D5674" i="9"/>
  <c r="D5673" i="9"/>
  <c r="D5672" i="9"/>
  <c r="D5671" i="9"/>
  <c r="D5670" i="9"/>
  <c r="D5669" i="9"/>
  <c r="D5668" i="9"/>
  <c r="D5667" i="9"/>
  <c r="D5666" i="9"/>
  <c r="D5665" i="9"/>
  <c r="D5664" i="9"/>
  <c r="D5663" i="9"/>
  <c r="D5662" i="9"/>
  <c r="D5661" i="9"/>
  <c r="D5660" i="9"/>
  <c r="D5659" i="9"/>
  <c r="D5658" i="9"/>
  <c r="D5657" i="9"/>
  <c r="D5656" i="9"/>
  <c r="D5655" i="9"/>
  <c r="D5654" i="9"/>
  <c r="D5653" i="9"/>
  <c r="D5652" i="9"/>
  <c r="D5651" i="9"/>
  <c r="D5650" i="9"/>
  <c r="D5649" i="9"/>
  <c r="D5648" i="9"/>
  <c r="D5647" i="9"/>
  <c r="D5646" i="9"/>
  <c r="D5645" i="9"/>
  <c r="D5644" i="9"/>
  <c r="D5643" i="9"/>
  <c r="D5642" i="9"/>
  <c r="D5641" i="9"/>
  <c r="D5640" i="9"/>
  <c r="D5639" i="9"/>
  <c r="D5638" i="9"/>
  <c r="D5637" i="9"/>
  <c r="D5636" i="9"/>
  <c r="D5635" i="9"/>
  <c r="D5634" i="9"/>
  <c r="D5633" i="9"/>
  <c r="D5632" i="9"/>
  <c r="D5631" i="9"/>
  <c r="D5630" i="9"/>
  <c r="D5629" i="9"/>
  <c r="D5628" i="9"/>
  <c r="D5627" i="9"/>
  <c r="D5626" i="9"/>
  <c r="D5625" i="9"/>
  <c r="D5624" i="9"/>
  <c r="D5623" i="9"/>
  <c r="D5622" i="9"/>
  <c r="D5621" i="9"/>
  <c r="D5620" i="9"/>
  <c r="D5619" i="9"/>
  <c r="D5618" i="9"/>
  <c r="D5617" i="9"/>
  <c r="D5616" i="9"/>
  <c r="D5615" i="9"/>
  <c r="D5614" i="9"/>
  <c r="D5613" i="9"/>
  <c r="D5612" i="9"/>
  <c r="D5611" i="9"/>
  <c r="D5610" i="9"/>
  <c r="D5609" i="9"/>
  <c r="D5608" i="9"/>
  <c r="D5607" i="9"/>
  <c r="D5606" i="9"/>
  <c r="D5605" i="9"/>
  <c r="D5604" i="9"/>
  <c r="D5603" i="9"/>
  <c r="D5602" i="9"/>
  <c r="D5601" i="9"/>
  <c r="D5600" i="9"/>
  <c r="D5599" i="9"/>
  <c r="D5598" i="9"/>
  <c r="D5597" i="9"/>
  <c r="D5596" i="9"/>
  <c r="D5595" i="9"/>
  <c r="D5594" i="9"/>
  <c r="D5593" i="9"/>
  <c r="D5592" i="9"/>
  <c r="D5591" i="9"/>
  <c r="D5590" i="9"/>
  <c r="D5589" i="9"/>
  <c r="D5588" i="9"/>
  <c r="D5587" i="9"/>
  <c r="D5586" i="9"/>
  <c r="D5585" i="9"/>
  <c r="D5584" i="9"/>
  <c r="D5583" i="9"/>
  <c r="D5582" i="9"/>
  <c r="D5581" i="9"/>
  <c r="D5580" i="9"/>
  <c r="D5579" i="9"/>
  <c r="D5578" i="9"/>
  <c r="D5577" i="9"/>
  <c r="D5576" i="9"/>
  <c r="D5575" i="9"/>
  <c r="D5574" i="9"/>
  <c r="D5573" i="9"/>
  <c r="D5572" i="9"/>
  <c r="D5571" i="9"/>
  <c r="D5570" i="9"/>
  <c r="D5569" i="9"/>
  <c r="D5568" i="9"/>
  <c r="D5567" i="9"/>
  <c r="D5566" i="9"/>
  <c r="D5565" i="9"/>
  <c r="D5564" i="9"/>
  <c r="D5563" i="9"/>
  <c r="D5562" i="9"/>
  <c r="D5561" i="9"/>
  <c r="D5560" i="9"/>
  <c r="D5559" i="9"/>
  <c r="D5558" i="9"/>
  <c r="D5557" i="9"/>
  <c r="D5556" i="9"/>
  <c r="D5555" i="9"/>
  <c r="D5554" i="9"/>
  <c r="D5553" i="9"/>
  <c r="D5552" i="9"/>
  <c r="D5551" i="9"/>
  <c r="D5550" i="9"/>
  <c r="D5549" i="9"/>
  <c r="D5548" i="9"/>
  <c r="D5547" i="9"/>
  <c r="D5546" i="9"/>
  <c r="D5545" i="9"/>
  <c r="D5544" i="9"/>
  <c r="D5543" i="9"/>
  <c r="D5542" i="9"/>
  <c r="D5541" i="9"/>
  <c r="D5540" i="9"/>
  <c r="D5539" i="9"/>
  <c r="D5538" i="9"/>
  <c r="D5537" i="9"/>
  <c r="D5536" i="9"/>
  <c r="D5535" i="9"/>
  <c r="D5534" i="9"/>
  <c r="D5533" i="9"/>
  <c r="D5532" i="9"/>
  <c r="D5531" i="9"/>
  <c r="D5530" i="9"/>
  <c r="D5529" i="9"/>
  <c r="D5528" i="9"/>
  <c r="D5527" i="9"/>
  <c r="D5526" i="9"/>
  <c r="D5525" i="9"/>
  <c r="D5524" i="9"/>
  <c r="D5523" i="9"/>
  <c r="D5522" i="9"/>
  <c r="D5521" i="9"/>
  <c r="D5520" i="9"/>
  <c r="D5519" i="9"/>
  <c r="D5518" i="9"/>
  <c r="D5517" i="9"/>
  <c r="D5516" i="9"/>
  <c r="D5515" i="9"/>
  <c r="D5514" i="9"/>
  <c r="D5513" i="9"/>
  <c r="D5512" i="9"/>
  <c r="D5511" i="9"/>
  <c r="D5510" i="9"/>
  <c r="D5509" i="9"/>
  <c r="D5508" i="9"/>
  <c r="D5507" i="9"/>
  <c r="D5506" i="9"/>
  <c r="D5505" i="9"/>
  <c r="D5504" i="9"/>
  <c r="D5503" i="9"/>
  <c r="D5502" i="9"/>
  <c r="D5501" i="9"/>
  <c r="D5500" i="9"/>
  <c r="D5499" i="9"/>
  <c r="D5498" i="9"/>
  <c r="D5497" i="9"/>
  <c r="D5496" i="9"/>
  <c r="D5495" i="9"/>
  <c r="D5494" i="9"/>
  <c r="D5493" i="9"/>
  <c r="D5492" i="9"/>
  <c r="D5491" i="9"/>
  <c r="D5490" i="9"/>
  <c r="D5489" i="9"/>
  <c r="D5488" i="9"/>
  <c r="D5487" i="9"/>
  <c r="D5486" i="9"/>
  <c r="D5485" i="9"/>
  <c r="D5484" i="9"/>
  <c r="D5483" i="9"/>
  <c r="D5482" i="9"/>
  <c r="D5481" i="9"/>
  <c r="D5480" i="9"/>
  <c r="D5479" i="9"/>
  <c r="D5478" i="9"/>
  <c r="D5477" i="9"/>
  <c r="D5476" i="9"/>
  <c r="D5475" i="9"/>
  <c r="D5474" i="9"/>
  <c r="D5473" i="9"/>
  <c r="D5472" i="9"/>
  <c r="D5471" i="9"/>
  <c r="D5470" i="9"/>
  <c r="D5469" i="9"/>
  <c r="D5468" i="9"/>
  <c r="D5467" i="9"/>
  <c r="D5466" i="9"/>
  <c r="D5465" i="9"/>
  <c r="D5464" i="9"/>
  <c r="D5463" i="9"/>
  <c r="D5462" i="9"/>
  <c r="D5461" i="9"/>
  <c r="D5460" i="9"/>
  <c r="D5459" i="9"/>
  <c r="D5458" i="9"/>
  <c r="D5457" i="9"/>
  <c r="D5456" i="9"/>
  <c r="D5455" i="9"/>
  <c r="D5454" i="9"/>
  <c r="D5453" i="9"/>
  <c r="D5452" i="9"/>
  <c r="D5451" i="9"/>
  <c r="D5450" i="9"/>
  <c r="D5449" i="9"/>
  <c r="D5448" i="9"/>
  <c r="D5447" i="9"/>
  <c r="D5446" i="9"/>
  <c r="D5445" i="9"/>
  <c r="D5444" i="9"/>
  <c r="D5443" i="9"/>
  <c r="D5442" i="9"/>
  <c r="D5441" i="9"/>
  <c r="D5440" i="9"/>
  <c r="D5439" i="9"/>
  <c r="D5438" i="9"/>
  <c r="D5437" i="9"/>
  <c r="D5436" i="9"/>
  <c r="D5435" i="9"/>
  <c r="D5434" i="9"/>
  <c r="D5433" i="9"/>
  <c r="D5432" i="9"/>
  <c r="D5431" i="9"/>
  <c r="D5430" i="9"/>
  <c r="D5429" i="9"/>
  <c r="D5428" i="9"/>
  <c r="D5427" i="9"/>
  <c r="D5426" i="9"/>
  <c r="D5425" i="9"/>
  <c r="D5424" i="9"/>
  <c r="D5423" i="9"/>
  <c r="D5422" i="9"/>
  <c r="D5421" i="9"/>
  <c r="D5420" i="9"/>
  <c r="D5419" i="9"/>
  <c r="D5418" i="9"/>
  <c r="D5417" i="9"/>
  <c r="D5416" i="9"/>
  <c r="D5415" i="9"/>
  <c r="D5414" i="9"/>
  <c r="D5413" i="9"/>
  <c r="D5412" i="9"/>
  <c r="D5411" i="9"/>
  <c r="D5410" i="9"/>
  <c r="D5409" i="9"/>
  <c r="D5408" i="9"/>
  <c r="D5407" i="9"/>
  <c r="D5406" i="9"/>
  <c r="D5405" i="9"/>
  <c r="D5404" i="9"/>
  <c r="D5403" i="9"/>
  <c r="D5402" i="9"/>
  <c r="D5401" i="9"/>
  <c r="D5400" i="9"/>
  <c r="D5399" i="9"/>
  <c r="D5398" i="9"/>
  <c r="D5397" i="9"/>
  <c r="D5396" i="9"/>
  <c r="D5395" i="9"/>
  <c r="D5394" i="9"/>
  <c r="D5393" i="9"/>
  <c r="D5392" i="9"/>
  <c r="D5391" i="9"/>
  <c r="D5390" i="9"/>
  <c r="D5389" i="9"/>
  <c r="D5388" i="9"/>
  <c r="D5387" i="9"/>
  <c r="D5386" i="9"/>
  <c r="D5385" i="9"/>
  <c r="D5384" i="9"/>
  <c r="D5383" i="9"/>
  <c r="D5382" i="9"/>
  <c r="D5381" i="9"/>
  <c r="D5380" i="9"/>
  <c r="D5379" i="9"/>
  <c r="D5378" i="9"/>
  <c r="D5377" i="9"/>
  <c r="D5376" i="9"/>
  <c r="D5375" i="9"/>
  <c r="D5374" i="9"/>
  <c r="D5373" i="9"/>
  <c r="D5372" i="9"/>
  <c r="D5371" i="9"/>
  <c r="D5370" i="9"/>
  <c r="D5369" i="9"/>
  <c r="D5368" i="9"/>
  <c r="D5367" i="9"/>
  <c r="D5366" i="9"/>
  <c r="D5365" i="9"/>
  <c r="D5364" i="9"/>
  <c r="D5363" i="9"/>
  <c r="D5362" i="9"/>
  <c r="D5361" i="9"/>
  <c r="D5360" i="9"/>
  <c r="D5359" i="9"/>
  <c r="D5358" i="9"/>
  <c r="D5357" i="9"/>
  <c r="D5356" i="9"/>
  <c r="D5355" i="9"/>
  <c r="D5354" i="9"/>
  <c r="D5353" i="9"/>
  <c r="D5352" i="9"/>
  <c r="D5351" i="9"/>
  <c r="D5350" i="9"/>
  <c r="D5349" i="9"/>
  <c r="D5348" i="9"/>
  <c r="D5347" i="9"/>
  <c r="D5346" i="9"/>
  <c r="D5345" i="9"/>
  <c r="D5344" i="9"/>
  <c r="D5343" i="9"/>
  <c r="D5342" i="9"/>
  <c r="D5341" i="9"/>
  <c r="D5340" i="9"/>
  <c r="D5339" i="9"/>
  <c r="D5338" i="9"/>
  <c r="D5337" i="9"/>
  <c r="D5336" i="9"/>
  <c r="D5335" i="9"/>
  <c r="D5334" i="9"/>
  <c r="D5333" i="9"/>
  <c r="D5332" i="9"/>
  <c r="D5331" i="9"/>
  <c r="D5330" i="9"/>
  <c r="D5329" i="9"/>
  <c r="D5328" i="9"/>
  <c r="D5327" i="9"/>
  <c r="D5326" i="9"/>
  <c r="D5325" i="9"/>
  <c r="D5324" i="9"/>
  <c r="D5323" i="9"/>
  <c r="D5322" i="9"/>
  <c r="D5321" i="9"/>
  <c r="D5320" i="9"/>
  <c r="D5319" i="9"/>
  <c r="D5318" i="9"/>
  <c r="D5317" i="9"/>
  <c r="D5316" i="9"/>
  <c r="D5315" i="9"/>
  <c r="D5314" i="9"/>
  <c r="D5313" i="9"/>
  <c r="D5312" i="9"/>
  <c r="D5311" i="9"/>
  <c r="D5310" i="9"/>
  <c r="D5309" i="9"/>
  <c r="D5308" i="9"/>
  <c r="D5307" i="9"/>
  <c r="D5306" i="9"/>
  <c r="D5305" i="9"/>
  <c r="D5304" i="9"/>
  <c r="D5303" i="9"/>
  <c r="D5302" i="9"/>
  <c r="D5301" i="9"/>
  <c r="D5300" i="9"/>
  <c r="D5299" i="9"/>
  <c r="D5298" i="9"/>
  <c r="D5297" i="9"/>
  <c r="D5296" i="9"/>
  <c r="D5295" i="9"/>
  <c r="D5294" i="9"/>
  <c r="D5293" i="9"/>
  <c r="D5292" i="9"/>
  <c r="D5291" i="9"/>
  <c r="D5290" i="9"/>
  <c r="D5289" i="9"/>
  <c r="D5288" i="9"/>
  <c r="D5287" i="9"/>
  <c r="D5286" i="9"/>
  <c r="D5285" i="9"/>
  <c r="D5284" i="9"/>
  <c r="D5283" i="9"/>
  <c r="D5282" i="9"/>
  <c r="D5281" i="9"/>
  <c r="D5280" i="9"/>
  <c r="D5279" i="9"/>
  <c r="D5278" i="9"/>
  <c r="D5277" i="9"/>
  <c r="D5276" i="9"/>
  <c r="D5275" i="9"/>
  <c r="D5274" i="9"/>
  <c r="D5273" i="9"/>
  <c r="D5272" i="9"/>
  <c r="D5271" i="9"/>
  <c r="D5270" i="9"/>
  <c r="D5269" i="9"/>
  <c r="D5268" i="9"/>
  <c r="D5267" i="9"/>
  <c r="D5266" i="9"/>
  <c r="D5265" i="9"/>
  <c r="D5264" i="9"/>
  <c r="D5263" i="9"/>
  <c r="D5262" i="9"/>
  <c r="D5261" i="9"/>
  <c r="D5260" i="9"/>
  <c r="D5259" i="9"/>
  <c r="D5258" i="9"/>
  <c r="D5257" i="9"/>
  <c r="D5256" i="9"/>
  <c r="D5255" i="9"/>
  <c r="D5254" i="9"/>
  <c r="D5253" i="9"/>
  <c r="D5252" i="9"/>
  <c r="D5251" i="9"/>
  <c r="D5250" i="9"/>
  <c r="D5249" i="9"/>
  <c r="D5248" i="9"/>
  <c r="D5247" i="9"/>
  <c r="D5246" i="9"/>
  <c r="D5245" i="9"/>
  <c r="D5244" i="9"/>
  <c r="D5243" i="9"/>
  <c r="D5242" i="9"/>
  <c r="D5241" i="9"/>
  <c r="D5240" i="9"/>
  <c r="D5239" i="9"/>
  <c r="D5238" i="9"/>
  <c r="D5237" i="9"/>
  <c r="D5236" i="9"/>
  <c r="D5235" i="9"/>
  <c r="D5234" i="9"/>
  <c r="D5233" i="9"/>
  <c r="D5232" i="9"/>
  <c r="D5231" i="9"/>
  <c r="D5230" i="9"/>
  <c r="D5229" i="9"/>
  <c r="D5228" i="9"/>
  <c r="D5227" i="9"/>
  <c r="D5226" i="9"/>
  <c r="D5225" i="9"/>
  <c r="D5224" i="9"/>
  <c r="D5223" i="9"/>
  <c r="D5222" i="9"/>
  <c r="D5221" i="9"/>
  <c r="D5220" i="9"/>
  <c r="D5219" i="9"/>
  <c r="D5218" i="9"/>
  <c r="D5217" i="9"/>
  <c r="D5216" i="9"/>
  <c r="D5215" i="9"/>
  <c r="D5214" i="9"/>
  <c r="D5213" i="9"/>
  <c r="D5212" i="9"/>
  <c r="D5211" i="9"/>
  <c r="D5210" i="9"/>
  <c r="D5209" i="9"/>
  <c r="D5208" i="9"/>
  <c r="D5207" i="9"/>
  <c r="D5206" i="9"/>
  <c r="D5205" i="9"/>
  <c r="D5204" i="9"/>
  <c r="D5203" i="9"/>
  <c r="D5202" i="9"/>
  <c r="D5201" i="9"/>
  <c r="D5200" i="9"/>
  <c r="D5199" i="9"/>
  <c r="D5198" i="9"/>
  <c r="D5197" i="9"/>
  <c r="D5196" i="9"/>
  <c r="D5195" i="9"/>
  <c r="D5194" i="9"/>
  <c r="D5193" i="9"/>
  <c r="D5192" i="9"/>
  <c r="D5191" i="9"/>
  <c r="D5190" i="9"/>
  <c r="D5189" i="9"/>
  <c r="D5188" i="9"/>
  <c r="D5187" i="9"/>
  <c r="D5186" i="9"/>
  <c r="D5185" i="9"/>
  <c r="D5184" i="9"/>
  <c r="D5183" i="9"/>
  <c r="D5182" i="9"/>
  <c r="D5181" i="9"/>
  <c r="D5180" i="9"/>
  <c r="D5179" i="9"/>
  <c r="D5178" i="9"/>
  <c r="D5177" i="9"/>
  <c r="D5176" i="9"/>
  <c r="D5175" i="9"/>
  <c r="D5174" i="9"/>
  <c r="D5173" i="9"/>
  <c r="D5172" i="9"/>
  <c r="D5171" i="9"/>
  <c r="D5170" i="9"/>
  <c r="D5169" i="9"/>
  <c r="D5168" i="9"/>
  <c r="D5167" i="9"/>
  <c r="D5166" i="9"/>
  <c r="D5165" i="9"/>
  <c r="D5164" i="9"/>
  <c r="D5163" i="9"/>
  <c r="D5162" i="9"/>
  <c r="D5161" i="9"/>
  <c r="D5160" i="9"/>
  <c r="D5159" i="9"/>
  <c r="D5158" i="9"/>
  <c r="D5157" i="9"/>
  <c r="D5156" i="9"/>
  <c r="D5155" i="9"/>
  <c r="D5154" i="9"/>
  <c r="D5153" i="9"/>
  <c r="D5152" i="9"/>
  <c r="D5151" i="9"/>
  <c r="D5150" i="9"/>
  <c r="D5149" i="9"/>
  <c r="D5148" i="9"/>
  <c r="D5147" i="9"/>
  <c r="D5146" i="9"/>
  <c r="D5145" i="9"/>
  <c r="D5144" i="9"/>
  <c r="D5143" i="9"/>
  <c r="D5142" i="9"/>
  <c r="D5141" i="9"/>
  <c r="D5140" i="9"/>
  <c r="D5139" i="9"/>
  <c r="D5138" i="9"/>
  <c r="D5137" i="9"/>
  <c r="D5136" i="9"/>
  <c r="D5135" i="9"/>
  <c r="D5134" i="9"/>
  <c r="D5133" i="9"/>
  <c r="D5132" i="9"/>
  <c r="D5131" i="9"/>
  <c r="D5130" i="9"/>
  <c r="D5129" i="9"/>
  <c r="D5128" i="9"/>
  <c r="D5127" i="9"/>
  <c r="D5126" i="9"/>
  <c r="D5125" i="9"/>
  <c r="D5124" i="9"/>
  <c r="D5123" i="9"/>
  <c r="D5122" i="9"/>
  <c r="D5121" i="9"/>
  <c r="D5120" i="9"/>
  <c r="D5119" i="9"/>
  <c r="D5118" i="9"/>
  <c r="D5117" i="9"/>
  <c r="D5116" i="9"/>
  <c r="D5115" i="9"/>
  <c r="D5114" i="9"/>
  <c r="D5113" i="9"/>
  <c r="D5112" i="9"/>
  <c r="D5111" i="9"/>
  <c r="D5110" i="9"/>
  <c r="D5109" i="9"/>
  <c r="D5108" i="9"/>
  <c r="D5107" i="9"/>
  <c r="D5106" i="9"/>
  <c r="D5105" i="9"/>
  <c r="D5104" i="9"/>
  <c r="D5103" i="9"/>
  <c r="D5102" i="9"/>
  <c r="D5101" i="9"/>
  <c r="D5100" i="9"/>
  <c r="D5099" i="9"/>
  <c r="D5098" i="9"/>
  <c r="D5097" i="9"/>
  <c r="D5096" i="9"/>
  <c r="D5095" i="9"/>
  <c r="D5094" i="9"/>
  <c r="D5093" i="9"/>
  <c r="D5092" i="9"/>
  <c r="D5091" i="9"/>
  <c r="D5090" i="9"/>
  <c r="D5089" i="9"/>
  <c r="D5088" i="9"/>
  <c r="D5087" i="9"/>
  <c r="D5086" i="9"/>
  <c r="D5085" i="9"/>
  <c r="D5084" i="9"/>
  <c r="D5083" i="9"/>
  <c r="D5082" i="9"/>
  <c r="D5081" i="9"/>
  <c r="D5080" i="9"/>
  <c r="D5079" i="9"/>
  <c r="D5078" i="9"/>
  <c r="D5077" i="9"/>
  <c r="D5076" i="9"/>
  <c r="D5075" i="9"/>
  <c r="D5074" i="9"/>
  <c r="D5073" i="9"/>
  <c r="D5072" i="9"/>
  <c r="D5071" i="9"/>
  <c r="D5070" i="9"/>
  <c r="D5069" i="9"/>
  <c r="D5068" i="9"/>
  <c r="D5067" i="9"/>
  <c r="D5066" i="9"/>
  <c r="D5065" i="9"/>
  <c r="D5064" i="9"/>
  <c r="D5063" i="9"/>
  <c r="D5062" i="9"/>
  <c r="D5061" i="9"/>
  <c r="D5060" i="9"/>
  <c r="D5059" i="9"/>
  <c r="D5058" i="9"/>
  <c r="D5057" i="9"/>
  <c r="D5056" i="9"/>
  <c r="D5055" i="9"/>
  <c r="D5054" i="9"/>
  <c r="D5053" i="9"/>
  <c r="D5052" i="9"/>
  <c r="D5051" i="9"/>
  <c r="D5050" i="9"/>
  <c r="D5049" i="9"/>
  <c r="D5048" i="9"/>
  <c r="D5047" i="9"/>
  <c r="D5046" i="9"/>
  <c r="D5045" i="9"/>
  <c r="D5044" i="9"/>
  <c r="D5043" i="9"/>
  <c r="D5042" i="9"/>
  <c r="D5041" i="9"/>
  <c r="D5040" i="9"/>
  <c r="D5039" i="9"/>
  <c r="D5038" i="9"/>
  <c r="D5037" i="9"/>
  <c r="D5036" i="9"/>
  <c r="D5035" i="9"/>
  <c r="D5034" i="9"/>
  <c r="D5033" i="9"/>
  <c r="D5032" i="9"/>
  <c r="D5031" i="9"/>
  <c r="D5030" i="9"/>
  <c r="D5029" i="9"/>
  <c r="D5028" i="9"/>
  <c r="D5027" i="9"/>
  <c r="D5026" i="9"/>
  <c r="D5025" i="9"/>
  <c r="D5024" i="9"/>
  <c r="D5023" i="9"/>
  <c r="D5022" i="9"/>
  <c r="D5021" i="9"/>
  <c r="D5020" i="9"/>
  <c r="D5019" i="9"/>
  <c r="D5018" i="9"/>
  <c r="D5017" i="9"/>
  <c r="D5016" i="9"/>
  <c r="D5015" i="9"/>
  <c r="D5014" i="9"/>
  <c r="D5013" i="9"/>
  <c r="D5012" i="9"/>
  <c r="D5011" i="9"/>
  <c r="D5010" i="9"/>
  <c r="D5009" i="9"/>
  <c r="D5008" i="9"/>
  <c r="D5007" i="9"/>
  <c r="D5006" i="9"/>
  <c r="D5005" i="9"/>
  <c r="D5004" i="9"/>
  <c r="D5003" i="9"/>
  <c r="D5002" i="9"/>
  <c r="D5001" i="9"/>
  <c r="D5000" i="9"/>
  <c r="D4999" i="9"/>
  <c r="D4998" i="9"/>
  <c r="D4997" i="9"/>
  <c r="D4996" i="9"/>
  <c r="D4995" i="9"/>
  <c r="D4994" i="9"/>
  <c r="D4993" i="9"/>
  <c r="D4992" i="9"/>
  <c r="D4991" i="9"/>
  <c r="D4990" i="9"/>
  <c r="D4989" i="9"/>
  <c r="D4988" i="9"/>
  <c r="D4987" i="9"/>
  <c r="D4986" i="9"/>
  <c r="D4985" i="9"/>
  <c r="D4984" i="9"/>
  <c r="D4983" i="9"/>
  <c r="D4982" i="9"/>
  <c r="D4981" i="9"/>
  <c r="D4980" i="9"/>
  <c r="D4979" i="9"/>
  <c r="D4978" i="9"/>
  <c r="D4977" i="9"/>
  <c r="D4976" i="9"/>
  <c r="D4975" i="9"/>
  <c r="D4974" i="9"/>
  <c r="D4973" i="9"/>
  <c r="D4972" i="9"/>
  <c r="D4971" i="9"/>
  <c r="D4970" i="9"/>
  <c r="D4969" i="9"/>
  <c r="D4968" i="9"/>
  <c r="D4967" i="9"/>
  <c r="D4966" i="9"/>
  <c r="D4965" i="9"/>
  <c r="D4964" i="9"/>
  <c r="D4963" i="9"/>
  <c r="D4962" i="9"/>
  <c r="D4961" i="9"/>
  <c r="D4960" i="9"/>
  <c r="D4959" i="9"/>
  <c r="D4958" i="9"/>
  <c r="D4957" i="9"/>
  <c r="D4956" i="9"/>
  <c r="D4955" i="9"/>
  <c r="D4954" i="9"/>
  <c r="D4953" i="9"/>
  <c r="D4952" i="9"/>
  <c r="D4951" i="9"/>
  <c r="D4950" i="9"/>
  <c r="D4949" i="9"/>
  <c r="D4948" i="9"/>
  <c r="D4947" i="9"/>
  <c r="D4946" i="9"/>
  <c r="D4945" i="9"/>
  <c r="D4944" i="9"/>
  <c r="D4943" i="9"/>
  <c r="D4942" i="9"/>
  <c r="D4941" i="9"/>
  <c r="D4940" i="9"/>
  <c r="D4939" i="9"/>
  <c r="D4938" i="9"/>
  <c r="D4937" i="9"/>
  <c r="D4936" i="9"/>
  <c r="D4935" i="9"/>
  <c r="D4934" i="9"/>
  <c r="D4933" i="9"/>
  <c r="D4932" i="9"/>
  <c r="D4931" i="9"/>
  <c r="D4930" i="9"/>
  <c r="D4929" i="9"/>
  <c r="D4928" i="9"/>
  <c r="D4927" i="9"/>
  <c r="D4926" i="9"/>
  <c r="D4925" i="9"/>
  <c r="D4924" i="9"/>
  <c r="D4923" i="9"/>
  <c r="D4922" i="9"/>
  <c r="D4921" i="9"/>
  <c r="D4920" i="9"/>
  <c r="D4919" i="9"/>
  <c r="D4918" i="9"/>
  <c r="D4917" i="9"/>
  <c r="D4916" i="9"/>
  <c r="D4915" i="9"/>
  <c r="D4914" i="9"/>
  <c r="D4913" i="9"/>
  <c r="D4912" i="9"/>
  <c r="D4911" i="9"/>
  <c r="D4910" i="9"/>
  <c r="D4909" i="9"/>
  <c r="D4908" i="9"/>
  <c r="D4907" i="9"/>
  <c r="D4906" i="9"/>
  <c r="D4905" i="9"/>
  <c r="D4904" i="9"/>
  <c r="D4903" i="9"/>
  <c r="D4902" i="9"/>
  <c r="D4901" i="9"/>
  <c r="D4900" i="9"/>
  <c r="D4899" i="9"/>
  <c r="D4898" i="9"/>
  <c r="D4897" i="9"/>
  <c r="D4896" i="9"/>
  <c r="D4895" i="9"/>
  <c r="D4894" i="9"/>
  <c r="D4893" i="9"/>
  <c r="D4892" i="9"/>
  <c r="D4891" i="9"/>
  <c r="D4890" i="9"/>
  <c r="D4889" i="9"/>
  <c r="D4888" i="9"/>
  <c r="D4887" i="9"/>
  <c r="D4886" i="9"/>
  <c r="D4885" i="9"/>
  <c r="D4884" i="9"/>
  <c r="D4883" i="9"/>
  <c r="D4882" i="9"/>
  <c r="D4881" i="9"/>
  <c r="D4880" i="9"/>
  <c r="D4879" i="9"/>
  <c r="D4878" i="9"/>
  <c r="D4877" i="9"/>
  <c r="D4876" i="9"/>
  <c r="D4875" i="9"/>
  <c r="D4874" i="9"/>
  <c r="D4873" i="9"/>
  <c r="D4872" i="9"/>
  <c r="D4871" i="9"/>
  <c r="D4870" i="9"/>
  <c r="D4869" i="9"/>
  <c r="D4868" i="9"/>
  <c r="D4867" i="9"/>
  <c r="D4866" i="9"/>
  <c r="D4865" i="9"/>
  <c r="D4864" i="9"/>
  <c r="D4863" i="9"/>
  <c r="D4862" i="9"/>
  <c r="D4861" i="9"/>
  <c r="D4860" i="9"/>
  <c r="D4859" i="9"/>
  <c r="D4858" i="9"/>
  <c r="D4857" i="9"/>
  <c r="D4856" i="9"/>
  <c r="D4855" i="9"/>
  <c r="D4854" i="9"/>
  <c r="D4853" i="9"/>
  <c r="D4852" i="9"/>
  <c r="D4851" i="9"/>
  <c r="D4850" i="9"/>
  <c r="D4849" i="9"/>
  <c r="D4848" i="9"/>
  <c r="D4847" i="9"/>
  <c r="D4846" i="9"/>
  <c r="D4845" i="9"/>
  <c r="D4844" i="9"/>
  <c r="D4843" i="9"/>
  <c r="D4842" i="9"/>
  <c r="D4841" i="9"/>
  <c r="D4840" i="9"/>
  <c r="D4839" i="9"/>
  <c r="D4838" i="9"/>
  <c r="D4837" i="9"/>
  <c r="D4836" i="9"/>
  <c r="D4835" i="9"/>
  <c r="D4834" i="9"/>
  <c r="D4833" i="9"/>
  <c r="D4832" i="9"/>
  <c r="D4831" i="9"/>
  <c r="D4830" i="9"/>
  <c r="D4829" i="9"/>
  <c r="D4828" i="9"/>
  <c r="D4827" i="9"/>
  <c r="D4826" i="9"/>
  <c r="D4825" i="9"/>
  <c r="D4824" i="9"/>
  <c r="D4823" i="9"/>
  <c r="D4822" i="9"/>
  <c r="D4821" i="9"/>
  <c r="D4820" i="9"/>
  <c r="D4819" i="9"/>
  <c r="D4818" i="9"/>
  <c r="D4817" i="9"/>
  <c r="D4816" i="9"/>
  <c r="D4815" i="9"/>
  <c r="D4814" i="9"/>
  <c r="D4813" i="9"/>
  <c r="D4812" i="9"/>
  <c r="D4811" i="9"/>
  <c r="D4810" i="9"/>
  <c r="D4809" i="9"/>
  <c r="D4808" i="9"/>
  <c r="D4807" i="9"/>
  <c r="D4806" i="9"/>
  <c r="D4805" i="9"/>
  <c r="D4804" i="9"/>
  <c r="D4803" i="9"/>
  <c r="D4802" i="9"/>
  <c r="D4801" i="9"/>
  <c r="D4800" i="9"/>
  <c r="D4799" i="9"/>
  <c r="D4798" i="9"/>
  <c r="D4797" i="9"/>
  <c r="D4796" i="9"/>
  <c r="D4795" i="9"/>
  <c r="D4794" i="9"/>
  <c r="D4793" i="9"/>
  <c r="D4792" i="9"/>
  <c r="D4791" i="9"/>
  <c r="D4790" i="9"/>
  <c r="D4789" i="9"/>
  <c r="D4788" i="9"/>
  <c r="D4787" i="9"/>
  <c r="D4786" i="9"/>
  <c r="D4785" i="9"/>
  <c r="D4784" i="9"/>
  <c r="D4783" i="9"/>
  <c r="D4782" i="9"/>
  <c r="D4781" i="9"/>
  <c r="D4780" i="9"/>
  <c r="D4779" i="9"/>
  <c r="D4778" i="9"/>
  <c r="D4777" i="9"/>
  <c r="D4776" i="9"/>
  <c r="D4775" i="9"/>
  <c r="D4774" i="9"/>
  <c r="D4773" i="9"/>
  <c r="D4772" i="9"/>
  <c r="D4771" i="9"/>
  <c r="D4770" i="9"/>
  <c r="D4769" i="9"/>
  <c r="D4768" i="9"/>
  <c r="D4767" i="9"/>
  <c r="D4766" i="9"/>
  <c r="D4765" i="9"/>
  <c r="D4764" i="9"/>
  <c r="D4763" i="9"/>
  <c r="D4762" i="9"/>
  <c r="D4761" i="9"/>
  <c r="D4760" i="9"/>
  <c r="D4759" i="9"/>
  <c r="D4758" i="9"/>
  <c r="D4757" i="9"/>
  <c r="D4756" i="9"/>
  <c r="D4755" i="9"/>
  <c r="D4754" i="9"/>
  <c r="D4753" i="9"/>
  <c r="D4752" i="9"/>
  <c r="D4751" i="9"/>
  <c r="D4750" i="9"/>
  <c r="D4749" i="9"/>
  <c r="D4748" i="9"/>
  <c r="D4747" i="9"/>
  <c r="D4746" i="9"/>
  <c r="D4745" i="9"/>
  <c r="D4744" i="9"/>
  <c r="D4743" i="9"/>
  <c r="D4742" i="9"/>
  <c r="D4741" i="9"/>
  <c r="D4740" i="9"/>
  <c r="D4739" i="9"/>
  <c r="D4738" i="9"/>
  <c r="D4737" i="9"/>
  <c r="D4736" i="9"/>
  <c r="D4735" i="9"/>
  <c r="D4734" i="9"/>
  <c r="D4733" i="9"/>
  <c r="D4732" i="9"/>
  <c r="D4731" i="9"/>
  <c r="D4730" i="9"/>
  <c r="D4729" i="9"/>
  <c r="D4728" i="9"/>
  <c r="D4727" i="9"/>
  <c r="D4726" i="9"/>
  <c r="D4725" i="9"/>
  <c r="D4724" i="9"/>
  <c r="D4723" i="9"/>
  <c r="D4722" i="9"/>
  <c r="D4721" i="9"/>
  <c r="D4720" i="9"/>
  <c r="D4719" i="9"/>
  <c r="D4718" i="9"/>
  <c r="D4717" i="9"/>
  <c r="D4716" i="9"/>
  <c r="D4715" i="9"/>
  <c r="D4714" i="9"/>
  <c r="D4713" i="9"/>
  <c r="D4712" i="9"/>
  <c r="D4711" i="9"/>
  <c r="D4710" i="9"/>
  <c r="D4709" i="9"/>
  <c r="D4708" i="9"/>
  <c r="D4707" i="9"/>
  <c r="D4706" i="9"/>
  <c r="D4705" i="9"/>
  <c r="D4704" i="9"/>
  <c r="D4703" i="9"/>
  <c r="D4702" i="9"/>
  <c r="D4701" i="9"/>
  <c r="D4700" i="9"/>
  <c r="D4699" i="9"/>
  <c r="D4698" i="9"/>
  <c r="D4697" i="9"/>
  <c r="D4696" i="9"/>
  <c r="D4695" i="9"/>
  <c r="D4694" i="9"/>
  <c r="D4693" i="9"/>
  <c r="D4692" i="9"/>
  <c r="D4691" i="9"/>
  <c r="D4690" i="9"/>
  <c r="D4689" i="9"/>
  <c r="D4688" i="9"/>
  <c r="D4687" i="9"/>
  <c r="D4686" i="9"/>
  <c r="D4685" i="9"/>
  <c r="D4684" i="9"/>
  <c r="D4683" i="9"/>
  <c r="D4682" i="9"/>
  <c r="D4681" i="9"/>
  <c r="D4680" i="9"/>
  <c r="D4679" i="9"/>
  <c r="D4678" i="9"/>
  <c r="D4677" i="9"/>
  <c r="D4676" i="9"/>
  <c r="D4675" i="9"/>
  <c r="D4674" i="9"/>
  <c r="D4673" i="9"/>
  <c r="D4672" i="9"/>
  <c r="D4671" i="9"/>
  <c r="D4670" i="9"/>
  <c r="D4669" i="9"/>
  <c r="D4668" i="9"/>
  <c r="D4667" i="9"/>
  <c r="D4666" i="9"/>
  <c r="D4665" i="9"/>
  <c r="D4664" i="9"/>
  <c r="D4663" i="9"/>
  <c r="D4662" i="9"/>
  <c r="D4661" i="9"/>
  <c r="D4660" i="9"/>
  <c r="D4659" i="9"/>
  <c r="D4658" i="9"/>
  <c r="D4657" i="9"/>
  <c r="D4656" i="9"/>
  <c r="D4655" i="9"/>
  <c r="D4654" i="9"/>
  <c r="D4653" i="9"/>
  <c r="D4652" i="9"/>
  <c r="D4651" i="9"/>
  <c r="D4650" i="9"/>
  <c r="D4649" i="9"/>
  <c r="D4648" i="9"/>
  <c r="D4647" i="9"/>
  <c r="D4646" i="9"/>
  <c r="D4645" i="9"/>
  <c r="D4644" i="9"/>
  <c r="D4643" i="9"/>
  <c r="D4642" i="9"/>
  <c r="D4641" i="9"/>
  <c r="D4640" i="9"/>
  <c r="D4639" i="9"/>
  <c r="D4638" i="9"/>
  <c r="D4637" i="9"/>
  <c r="D4636" i="9"/>
  <c r="D4635" i="9"/>
  <c r="D4634" i="9"/>
  <c r="D4633" i="9"/>
  <c r="D4632" i="9"/>
  <c r="D4631" i="9"/>
  <c r="D4630" i="9"/>
  <c r="D4629" i="9"/>
  <c r="D4628" i="9"/>
  <c r="D4627" i="9"/>
  <c r="D4626" i="9"/>
  <c r="D4625" i="9"/>
  <c r="D4624" i="9"/>
  <c r="D4623" i="9"/>
  <c r="D4622" i="9"/>
  <c r="D4621" i="9"/>
  <c r="D4620" i="9"/>
  <c r="D4619" i="9"/>
  <c r="D4618" i="9"/>
  <c r="D4617" i="9"/>
  <c r="D4616" i="9"/>
  <c r="D4615" i="9"/>
  <c r="D4614" i="9"/>
  <c r="D4613" i="9"/>
  <c r="D4612" i="9"/>
  <c r="D4611" i="9"/>
  <c r="D4610" i="9"/>
  <c r="D4609" i="9"/>
  <c r="D4608" i="9"/>
  <c r="D4607" i="9"/>
  <c r="D4606" i="9"/>
  <c r="D4605" i="9"/>
  <c r="D4604" i="9"/>
  <c r="D4603" i="9"/>
  <c r="D4602" i="9"/>
  <c r="D4601" i="9"/>
  <c r="D4600" i="9"/>
  <c r="D4599" i="9"/>
  <c r="D4598" i="9"/>
  <c r="D4597" i="9"/>
  <c r="D4596" i="9"/>
  <c r="D4595" i="9"/>
  <c r="D4594" i="9"/>
  <c r="D4593" i="9"/>
  <c r="D4592" i="9"/>
  <c r="D4591" i="9"/>
  <c r="D4590" i="9"/>
  <c r="D4589" i="9"/>
  <c r="D4588" i="9"/>
  <c r="D4587" i="9"/>
  <c r="D4586" i="9"/>
  <c r="D4585" i="9"/>
  <c r="D4584" i="9"/>
  <c r="D4583" i="9"/>
  <c r="D4582" i="9"/>
  <c r="D4581" i="9"/>
  <c r="D4580" i="9"/>
  <c r="D4579" i="9"/>
  <c r="D4578" i="9"/>
  <c r="D4577" i="9"/>
  <c r="D4576" i="9"/>
  <c r="D4575" i="9"/>
  <c r="D4574" i="9"/>
  <c r="D4573" i="9"/>
  <c r="D4572" i="9"/>
  <c r="D4571" i="9"/>
  <c r="D4570" i="9"/>
  <c r="D4569" i="9"/>
  <c r="D4568" i="9"/>
  <c r="D4567" i="9"/>
  <c r="D4566" i="9"/>
  <c r="D4565" i="9"/>
  <c r="D4564" i="9"/>
  <c r="D4563" i="9"/>
  <c r="D4562" i="9"/>
  <c r="D4561" i="9"/>
  <c r="D4560" i="9"/>
  <c r="D4559" i="9"/>
  <c r="D4558" i="9"/>
  <c r="D4557" i="9"/>
  <c r="D4556" i="9"/>
  <c r="D4555" i="9"/>
  <c r="D4554" i="9"/>
  <c r="D4553" i="9"/>
  <c r="D4552" i="9"/>
  <c r="D4551" i="9"/>
  <c r="D4550" i="9"/>
  <c r="D4549" i="9"/>
  <c r="D4548" i="9"/>
  <c r="D4547" i="9"/>
  <c r="D4546" i="9"/>
  <c r="D4545" i="9"/>
  <c r="D4544" i="9"/>
  <c r="D4543" i="9"/>
  <c r="D4542" i="9"/>
  <c r="D4541" i="9"/>
  <c r="D4540" i="9"/>
  <c r="D4539" i="9"/>
  <c r="D4538" i="9"/>
  <c r="D4537" i="9"/>
  <c r="D4536" i="9"/>
  <c r="D4535" i="9"/>
  <c r="D4534" i="9"/>
  <c r="D4533" i="9"/>
  <c r="D4532" i="9"/>
  <c r="D4531" i="9"/>
  <c r="D4530" i="9"/>
  <c r="D4529" i="9"/>
  <c r="D4528" i="9"/>
  <c r="D4527" i="9"/>
  <c r="D4526" i="9"/>
  <c r="D4525" i="9"/>
  <c r="D4524" i="9"/>
  <c r="D4523" i="9"/>
  <c r="D4522" i="9"/>
  <c r="D4521" i="9"/>
  <c r="D4520" i="9"/>
  <c r="D4519" i="9"/>
  <c r="D4518" i="9"/>
  <c r="D4517" i="9"/>
  <c r="D4516" i="9"/>
  <c r="D4515" i="9"/>
  <c r="D4514" i="9"/>
  <c r="D4513" i="9"/>
  <c r="D4512" i="9"/>
  <c r="D4511" i="9"/>
  <c r="D4510" i="9"/>
  <c r="D4509" i="9"/>
  <c r="D4508" i="9"/>
  <c r="D4507" i="9"/>
  <c r="D4506" i="9"/>
  <c r="D4505" i="9"/>
  <c r="D4504" i="9"/>
  <c r="D4503" i="9"/>
  <c r="D4502" i="9"/>
  <c r="D4501" i="9"/>
  <c r="D4500" i="9"/>
  <c r="D4499" i="9"/>
  <c r="D4498" i="9"/>
  <c r="D4497" i="9"/>
  <c r="D4496" i="9"/>
  <c r="D4495" i="9"/>
  <c r="D4494" i="9"/>
  <c r="D4493" i="9"/>
  <c r="D4492" i="9"/>
  <c r="D4491" i="9"/>
  <c r="D4490" i="9"/>
  <c r="D4489" i="9"/>
  <c r="D4488" i="9"/>
  <c r="D4487" i="9"/>
  <c r="D4486" i="9"/>
  <c r="D4485" i="9"/>
  <c r="D4484" i="9"/>
  <c r="D4483" i="9"/>
  <c r="D4482" i="9"/>
  <c r="D4481" i="9"/>
  <c r="D4480" i="9"/>
  <c r="D4479" i="9"/>
  <c r="D4478" i="9"/>
  <c r="D4477" i="9"/>
  <c r="D4476" i="9"/>
  <c r="D4475" i="9"/>
  <c r="D4474" i="9"/>
  <c r="D4473" i="9"/>
  <c r="D4472" i="9"/>
  <c r="D4471" i="9"/>
  <c r="D4470" i="9"/>
  <c r="D4469" i="9"/>
  <c r="D4468" i="9"/>
  <c r="D4467" i="9"/>
  <c r="D4466" i="9"/>
  <c r="D4465" i="9"/>
  <c r="D4464" i="9"/>
  <c r="D4463" i="9"/>
  <c r="D4462" i="9"/>
  <c r="D4461" i="9"/>
  <c r="D4460" i="9"/>
  <c r="D4459" i="9"/>
  <c r="D4458" i="9"/>
  <c r="D4457" i="9"/>
  <c r="D4456" i="9"/>
  <c r="D4455" i="9"/>
  <c r="D4454" i="9"/>
  <c r="D4453" i="9"/>
  <c r="D4452" i="9"/>
  <c r="D4451" i="9"/>
  <c r="D4450" i="9"/>
  <c r="D4449" i="9"/>
  <c r="D4448" i="9"/>
  <c r="D4447" i="9"/>
  <c r="D4446" i="9"/>
  <c r="D4445" i="9"/>
  <c r="D4444" i="9"/>
  <c r="D4443" i="9"/>
  <c r="D4442" i="9"/>
  <c r="D4441" i="9"/>
  <c r="D4440" i="9"/>
  <c r="D4439" i="9"/>
  <c r="D4438" i="9"/>
  <c r="D4437" i="9"/>
  <c r="D4436" i="9"/>
  <c r="D4435" i="9"/>
  <c r="D4434" i="9"/>
  <c r="D4433" i="9"/>
  <c r="D4432" i="9"/>
  <c r="D4431" i="9"/>
  <c r="D4430" i="9"/>
  <c r="D4429" i="9"/>
  <c r="D4428" i="9"/>
  <c r="D4427" i="9"/>
  <c r="D4426" i="9"/>
  <c r="D4425" i="9"/>
  <c r="D4424" i="9"/>
  <c r="D4423" i="9"/>
  <c r="D4422" i="9"/>
  <c r="D4421" i="9"/>
  <c r="D4420" i="9"/>
  <c r="D4419" i="9"/>
  <c r="D4418" i="9"/>
  <c r="D4417" i="9"/>
  <c r="D4416" i="9"/>
  <c r="D4415" i="9"/>
  <c r="D4414" i="9"/>
  <c r="D4413" i="9"/>
  <c r="D4412" i="9"/>
  <c r="D4411" i="9"/>
  <c r="D4410" i="9"/>
  <c r="D4409" i="9"/>
  <c r="D4408" i="9"/>
  <c r="D4407" i="9"/>
  <c r="D4406" i="9"/>
  <c r="D4405" i="9"/>
  <c r="D4404" i="9"/>
  <c r="D4403" i="9"/>
  <c r="D4402" i="9"/>
  <c r="D4401" i="9"/>
  <c r="D4400" i="9"/>
  <c r="D4399" i="9"/>
  <c r="D4398" i="9"/>
  <c r="D4397" i="9"/>
  <c r="D4396" i="9"/>
  <c r="D4395" i="9"/>
  <c r="D4394" i="9"/>
  <c r="D4393" i="9"/>
  <c r="D4392" i="9"/>
  <c r="D4391" i="9"/>
  <c r="D4390" i="9"/>
  <c r="D4389" i="9"/>
  <c r="D4388" i="9"/>
  <c r="D4387" i="9"/>
  <c r="D4386" i="9"/>
  <c r="D4385" i="9"/>
  <c r="D4384" i="9"/>
  <c r="D4383" i="9"/>
  <c r="D4382" i="9"/>
  <c r="D4381" i="9"/>
  <c r="D4380" i="9"/>
  <c r="D4379" i="9"/>
  <c r="D4378" i="9"/>
  <c r="D4377" i="9"/>
  <c r="D4376" i="9"/>
  <c r="D4375" i="9"/>
  <c r="D4374" i="9"/>
  <c r="D4373" i="9"/>
  <c r="D4372" i="9"/>
  <c r="D4371" i="9"/>
  <c r="D4370" i="9"/>
  <c r="D4369" i="9"/>
  <c r="D4368" i="9"/>
  <c r="D4367" i="9"/>
  <c r="D4366" i="9"/>
  <c r="D4365" i="9"/>
  <c r="D4364" i="9"/>
  <c r="D4363" i="9"/>
  <c r="D4362" i="9"/>
  <c r="D4361" i="9"/>
  <c r="D4360" i="9"/>
  <c r="D4359" i="9"/>
  <c r="D4358" i="9"/>
  <c r="D4357" i="9"/>
  <c r="D4356" i="9"/>
  <c r="D4355" i="9"/>
  <c r="D4354" i="9"/>
  <c r="D4353" i="9"/>
  <c r="D4352" i="9"/>
  <c r="D4351" i="9"/>
  <c r="D4350" i="9"/>
  <c r="D4349" i="9"/>
  <c r="D4348" i="9"/>
  <c r="D4347" i="9"/>
  <c r="D4346" i="9"/>
  <c r="D4345" i="9"/>
  <c r="D4344" i="9"/>
  <c r="D4343" i="9"/>
  <c r="D4342" i="9"/>
  <c r="D4341" i="9"/>
  <c r="D4340" i="9"/>
  <c r="D4339" i="9"/>
  <c r="D4338" i="9"/>
  <c r="D4337" i="9"/>
  <c r="D4336" i="9"/>
  <c r="D4335" i="9"/>
  <c r="D4334" i="9"/>
  <c r="D4333" i="9"/>
  <c r="D4332" i="9"/>
  <c r="D4331" i="9"/>
  <c r="D4330" i="9"/>
  <c r="D4329" i="9"/>
  <c r="D4328" i="9"/>
  <c r="D4327" i="9"/>
  <c r="D4326" i="9"/>
  <c r="D4325" i="9"/>
  <c r="D4324" i="9"/>
  <c r="D4323" i="9"/>
  <c r="D4322" i="9"/>
  <c r="D4321" i="9"/>
  <c r="D4320" i="9"/>
  <c r="D4319" i="9"/>
  <c r="D4318" i="9"/>
  <c r="D4317" i="9"/>
  <c r="D4316" i="9"/>
  <c r="D4315" i="9"/>
  <c r="D4314" i="9"/>
  <c r="D4313" i="9"/>
  <c r="D4312" i="9"/>
  <c r="D4311" i="9"/>
  <c r="D4310" i="9"/>
  <c r="D4309" i="9"/>
  <c r="D4308" i="9"/>
  <c r="D4307" i="9"/>
  <c r="D4306" i="9"/>
  <c r="D4305" i="9"/>
  <c r="D4304" i="9"/>
  <c r="D4303" i="9"/>
  <c r="D4302" i="9"/>
  <c r="D4301" i="9"/>
  <c r="D4300" i="9"/>
  <c r="D4299" i="9"/>
  <c r="D4298" i="9"/>
  <c r="D4297" i="9"/>
  <c r="D4296" i="9"/>
  <c r="D4295" i="9"/>
  <c r="D4294" i="9"/>
  <c r="D4293" i="9"/>
  <c r="D4292" i="9"/>
  <c r="D4291" i="9"/>
  <c r="D4290" i="9"/>
  <c r="D4289" i="9"/>
  <c r="D4288" i="9"/>
  <c r="D4287" i="9"/>
  <c r="D4286" i="9"/>
  <c r="D4285" i="9"/>
  <c r="D4284" i="9"/>
  <c r="D4283" i="9"/>
  <c r="D4282" i="9"/>
  <c r="D4281" i="9"/>
  <c r="D4280" i="9"/>
  <c r="D4279" i="9"/>
  <c r="D4278" i="9"/>
  <c r="D4277" i="9"/>
  <c r="D4276" i="9"/>
  <c r="D4275" i="9"/>
  <c r="D4274" i="9"/>
  <c r="D4273" i="9"/>
  <c r="D4272" i="9"/>
  <c r="D4271" i="9"/>
  <c r="D4270" i="9"/>
  <c r="D4269" i="9"/>
  <c r="D4268" i="9"/>
  <c r="D4267" i="9"/>
  <c r="D4266" i="9"/>
  <c r="D4265" i="9"/>
  <c r="D4264" i="9"/>
  <c r="D4263" i="9"/>
  <c r="D4262" i="9"/>
  <c r="D4261" i="9"/>
  <c r="D4260" i="9"/>
  <c r="D4259" i="9"/>
  <c r="D4258" i="9"/>
  <c r="D4257" i="9"/>
  <c r="D4256" i="9"/>
  <c r="D4255" i="9"/>
  <c r="D4254" i="9"/>
  <c r="D4253" i="9"/>
  <c r="D4252" i="9"/>
  <c r="D4251" i="9"/>
  <c r="D4250" i="9"/>
  <c r="D4249" i="9"/>
  <c r="D4248" i="9"/>
  <c r="D4247" i="9"/>
  <c r="D4246" i="9"/>
  <c r="D4245" i="9"/>
  <c r="D4244" i="9"/>
  <c r="D4243" i="9"/>
  <c r="D4242" i="9"/>
  <c r="D4241" i="9"/>
  <c r="D4240" i="9"/>
  <c r="D4239" i="9"/>
  <c r="D4238" i="9"/>
  <c r="D4237" i="9"/>
  <c r="D4236" i="9"/>
  <c r="D4235" i="9"/>
  <c r="D4234" i="9"/>
  <c r="D4233" i="9"/>
  <c r="D4232" i="9"/>
  <c r="D4231" i="9"/>
  <c r="D4230" i="9"/>
  <c r="D4229" i="9"/>
  <c r="D4228" i="9"/>
  <c r="D4227" i="9"/>
  <c r="D4226" i="9"/>
  <c r="D4225" i="9"/>
  <c r="D4224" i="9"/>
  <c r="D4223" i="9"/>
  <c r="D4222" i="9"/>
  <c r="D4221" i="9"/>
  <c r="D4220" i="9"/>
  <c r="D4219" i="9"/>
  <c r="D4218" i="9"/>
  <c r="D4217" i="9"/>
  <c r="D4216" i="9"/>
  <c r="D4215" i="9"/>
  <c r="D4214" i="9"/>
  <c r="D4213" i="9"/>
  <c r="D4212" i="9"/>
  <c r="D4211" i="9"/>
  <c r="D4210" i="9"/>
  <c r="D4209" i="9"/>
  <c r="D4208" i="9"/>
  <c r="D4207" i="9"/>
  <c r="D4206" i="9"/>
  <c r="D4205" i="9"/>
  <c r="D4204" i="9"/>
  <c r="D4203" i="9"/>
  <c r="D4202" i="9"/>
  <c r="D4201" i="9"/>
  <c r="D4200" i="9"/>
  <c r="D4199" i="9"/>
  <c r="D4198" i="9"/>
  <c r="D4197" i="9"/>
  <c r="D4196" i="9"/>
  <c r="D4195" i="9"/>
  <c r="D4194" i="9"/>
  <c r="D4193" i="9"/>
  <c r="D4192" i="9"/>
  <c r="D4191" i="9"/>
  <c r="D4190" i="9"/>
  <c r="D4189" i="9"/>
  <c r="D4188" i="9"/>
  <c r="D4187" i="9"/>
  <c r="D4186" i="9"/>
  <c r="D4185" i="9"/>
  <c r="D4184" i="9"/>
  <c r="D4183" i="9"/>
  <c r="D4182" i="9"/>
  <c r="D4181" i="9"/>
  <c r="D4180" i="9"/>
  <c r="D4179" i="9"/>
  <c r="D4178" i="9"/>
  <c r="D4177" i="9"/>
  <c r="D4176" i="9"/>
  <c r="D4175" i="9"/>
  <c r="D4174" i="9"/>
  <c r="D4173" i="9"/>
  <c r="D4172" i="9"/>
  <c r="D4171" i="9"/>
  <c r="D4170" i="9"/>
  <c r="D4169" i="9"/>
  <c r="D4168" i="9"/>
  <c r="D4167" i="9"/>
  <c r="D4166" i="9"/>
  <c r="D4165" i="9"/>
  <c r="D4164" i="9"/>
  <c r="D4163" i="9"/>
  <c r="D4162" i="9"/>
  <c r="D4161" i="9"/>
  <c r="D4160" i="9"/>
  <c r="D4159" i="9"/>
  <c r="D4158" i="9"/>
  <c r="D4157" i="9"/>
  <c r="D4156" i="9"/>
  <c r="D4155" i="9"/>
  <c r="D4154" i="9"/>
  <c r="D4153" i="9"/>
  <c r="D4152" i="9"/>
  <c r="D4151" i="9"/>
  <c r="D4150" i="9"/>
  <c r="D4149" i="9"/>
  <c r="D4148" i="9"/>
  <c r="D4147" i="9"/>
  <c r="D4146" i="9"/>
  <c r="D4145" i="9"/>
  <c r="D4144" i="9"/>
  <c r="D4143" i="9"/>
  <c r="D4142" i="9"/>
  <c r="D4141" i="9"/>
  <c r="D4140" i="9"/>
  <c r="D4139" i="9"/>
  <c r="D4138" i="9"/>
  <c r="D4137" i="9"/>
  <c r="D4136" i="9"/>
  <c r="D4135" i="9"/>
  <c r="D4134" i="9"/>
  <c r="D4133" i="9"/>
  <c r="D4132" i="9"/>
  <c r="D4131" i="9"/>
  <c r="D4130" i="9"/>
  <c r="D4129" i="9"/>
  <c r="D4128" i="9"/>
  <c r="D4127" i="9"/>
  <c r="D4126" i="9"/>
  <c r="D4125" i="9"/>
  <c r="D4124" i="9"/>
  <c r="D4123" i="9"/>
  <c r="D4122" i="9"/>
  <c r="D4121" i="9"/>
  <c r="D4120" i="9"/>
  <c r="D4119" i="9"/>
  <c r="D4118" i="9"/>
  <c r="D4117" i="9"/>
  <c r="D4116" i="9"/>
  <c r="D4115" i="9"/>
  <c r="D4114" i="9"/>
  <c r="D4113" i="9"/>
  <c r="D4112" i="9"/>
  <c r="D4111" i="9"/>
  <c r="D4110" i="9"/>
  <c r="D4109" i="9"/>
  <c r="D4108" i="9"/>
  <c r="D4107" i="9"/>
  <c r="D4106" i="9"/>
  <c r="D4105" i="9"/>
  <c r="D4104" i="9"/>
  <c r="D4103" i="9"/>
  <c r="D4102" i="9"/>
  <c r="D4101" i="9"/>
  <c r="D4100" i="9"/>
  <c r="D4099" i="9"/>
  <c r="D4098" i="9"/>
  <c r="D4097" i="9"/>
  <c r="D4096" i="9"/>
  <c r="D4095" i="9"/>
  <c r="D4094" i="9"/>
  <c r="D4093" i="9"/>
  <c r="D4092" i="9"/>
  <c r="D4091" i="9"/>
  <c r="D4090" i="9"/>
  <c r="D4089" i="9"/>
  <c r="D4088" i="9"/>
  <c r="D4087" i="9"/>
  <c r="D4086" i="9"/>
  <c r="D4085" i="9"/>
  <c r="D4084" i="9"/>
  <c r="D4083" i="9"/>
  <c r="D4082" i="9"/>
  <c r="D4081" i="9"/>
  <c r="D4080" i="9"/>
  <c r="D4079" i="9"/>
  <c r="D4078" i="9"/>
  <c r="D4077" i="9"/>
  <c r="D4076" i="9"/>
  <c r="D4075" i="9"/>
  <c r="D4074" i="9"/>
  <c r="D4073" i="9"/>
  <c r="D4072" i="9"/>
  <c r="D4071" i="9"/>
  <c r="D4070" i="9"/>
  <c r="D4069" i="9"/>
  <c r="D4068" i="9"/>
  <c r="D4067" i="9"/>
  <c r="D4066" i="9"/>
  <c r="D4065" i="9"/>
  <c r="D4064" i="9"/>
  <c r="D4063" i="9"/>
  <c r="D4062" i="9"/>
  <c r="D4061" i="9"/>
  <c r="D4060" i="9"/>
  <c r="D4059" i="9"/>
  <c r="D4058" i="9"/>
  <c r="D4057" i="9"/>
  <c r="D4056" i="9"/>
  <c r="D4055" i="9"/>
  <c r="D4054" i="9"/>
  <c r="D4053" i="9"/>
  <c r="D4052" i="9"/>
  <c r="D4051" i="9"/>
  <c r="D4050" i="9"/>
  <c r="D4049" i="9"/>
  <c r="D4048" i="9"/>
  <c r="D4047" i="9"/>
  <c r="D4046" i="9"/>
  <c r="D4045" i="9"/>
  <c r="D4044" i="9"/>
  <c r="D4043" i="9"/>
  <c r="D4042" i="9"/>
  <c r="D4041" i="9"/>
  <c r="D4040" i="9"/>
  <c r="D4039" i="9"/>
  <c r="D4038" i="9"/>
  <c r="D4037" i="9"/>
  <c r="D4036" i="9"/>
  <c r="D4035" i="9"/>
  <c r="D4034" i="9"/>
  <c r="D4033" i="9"/>
  <c r="D4032" i="9"/>
  <c r="D4031" i="9"/>
  <c r="D4030" i="9"/>
  <c r="D4029" i="9"/>
  <c r="D4028" i="9"/>
  <c r="D4027" i="9"/>
  <c r="D4026" i="9"/>
  <c r="D4025" i="9"/>
  <c r="D4024" i="9"/>
  <c r="D4023" i="9"/>
  <c r="D4022" i="9"/>
  <c r="D4021" i="9"/>
  <c r="D4020" i="9"/>
  <c r="D4019" i="9"/>
  <c r="D4018" i="9"/>
  <c r="D4017" i="9"/>
  <c r="D4016" i="9"/>
  <c r="D4015" i="9"/>
  <c r="D4014" i="9"/>
  <c r="D4013" i="9"/>
  <c r="D4012" i="9"/>
  <c r="D4011" i="9"/>
  <c r="D4010" i="9"/>
  <c r="D4009" i="9"/>
  <c r="D4008" i="9"/>
  <c r="D4007" i="9"/>
  <c r="D4006" i="9"/>
  <c r="D4005" i="9"/>
  <c r="D4004" i="9"/>
  <c r="D4003" i="9"/>
  <c r="D4002" i="9"/>
  <c r="D4001" i="9"/>
  <c r="D4000" i="9"/>
  <c r="D3999" i="9"/>
  <c r="D3998" i="9"/>
  <c r="D3997" i="9"/>
  <c r="D3996" i="9"/>
  <c r="D3995" i="9"/>
  <c r="D3994" i="9"/>
  <c r="D3993" i="9"/>
  <c r="D3992" i="9"/>
  <c r="D3991" i="9"/>
  <c r="D3990" i="9"/>
  <c r="D3989" i="9"/>
  <c r="D3988" i="9"/>
  <c r="D3987" i="9"/>
  <c r="D3986" i="9"/>
  <c r="D3985" i="9"/>
  <c r="D3984" i="9"/>
  <c r="D3983" i="9"/>
  <c r="D3982" i="9"/>
  <c r="D3981" i="9"/>
  <c r="D3980" i="9"/>
  <c r="D3979" i="9"/>
  <c r="D3978" i="9"/>
  <c r="D3977" i="9"/>
  <c r="D3976" i="9"/>
  <c r="D3975" i="9"/>
  <c r="D3974" i="9"/>
  <c r="D3973" i="9"/>
  <c r="D3972" i="9"/>
  <c r="D3971" i="9"/>
  <c r="D3970" i="9"/>
  <c r="D3969" i="9"/>
  <c r="D3968" i="9"/>
  <c r="D3967" i="9"/>
  <c r="D3966" i="9"/>
  <c r="D3965" i="9"/>
  <c r="D3964" i="9"/>
  <c r="D3963" i="9"/>
  <c r="D3962" i="9"/>
  <c r="D3961" i="9"/>
  <c r="D3960" i="9"/>
  <c r="D3959" i="9"/>
  <c r="D3958" i="9"/>
  <c r="D3957" i="9"/>
  <c r="D3956" i="9"/>
  <c r="D3955" i="9"/>
  <c r="D3954" i="9"/>
  <c r="D3953" i="9"/>
  <c r="D3952" i="9"/>
  <c r="D3951" i="9"/>
  <c r="D3950" i="9"/>
  <c r="D3949" i="9"/>
  <c r="D3948" i="9"/>
  <c r="D3947" i="9"/>
  <c r="D3946" i="9"/>
  <c r="D3945" i="9"/>
  <c r="D3944" i="9"/>
  <c r="D3943" i="9"/>
  <c r="D3942" i="9"/>
  <c r="D3941" i="9"/>
  <c r="D3940" i="9"/>
  <c r="D3939" i="9"/>
  <c r="D3938" i="9"/>
  <c r="D3937" i="9"/>
  <c r="D3936" i="9"/>
  <c r="D3935" i="9"/>
  <c r="D3934" i="9"/>
  <c r="D3933" i="9"/>
  <c r="D3932" i="9"/>
  <c r="D3931" i="9"/>
  <c r="D3930" i="9"/>
  <c r="D3929" i="9"/>
  <c r="D3928" i="9"/>
  <c r="D3927" i="9"/>
  <c r="D3926" i="9"/>
  <c r="D3925" i="9"/>
  <c r="D3924" i="9"/>
  <c r="D3923" i="9"/>
  <c r="D3922" i="9"/>
  <c r="D3921" i="9"/>
  <c r="D3920" i="9"/>
  <c r="D3919" i="9"/>
  <c r="D3918" i="9"/>
  <c r="D3917" i="9"/>
  <c r="D3916" i="9"/>
  <c r="D3915" i="9"/>
  <c r="D3914" i="9"/>
  <c r="D3913" i="9"/>
  <c r="D3912" i="9"/>
  <c r="D3911" i="9"/>
  <c r="D3910" i="9"/>
  <c r="D3909" i="9"/>
  <c r="D3908" i="9"/>
  <c r="D3907" i="9"/>
  <c r="D3906" i="9"/>
  <c r="D3905" i="9"/>
  <c r="D3904" i="9"/>
  <c r="D3903" i="9"/>
  <c r="D3902" i="9"/>
  <c r="D3901" i="9"/>
  <c r="D3900" i="9"/>
  <c r="D3899" i="9"/>
  <c r="D3898" i="9"/>
  <c r="D3897" i="9"/>
  <c r="D3896" i="9"/>
  <c r="D3895" i="9"/>
  <c r="D3894" i="9"/>
  <c r="D3893" i="9"/>
  <c r="D3892" i="9"/>
  <c r="D3891" i="9"/>
  <c r="D3890" i="9"/>
  <c r="D3889" i="9"/>
  <c r="D3888" i="9"/>
  <c r="D3887" i="9"/>
  <c r="D3886" i="9"/>
  <c r="D3885" i="9"/>
  <c r="D3884" i="9"/>
  <c r="D3883" i="9"/>
  <c r="D3882" i="9"/>
  <c r="D3881" i="9"/>
  <c r="D3880" i="9"/>
  <c r="D3879" i="9"/>
  <c r="D3878" i="9"/>
  <c r="D3877" i="9"/>
  <c r="D3876" i="9"/>
  <c r="D3875" i="9"/>
  <c r="D3874" i="9"/>
  <c r="D3873" i="9"/>
  <c r="D3872" i="9"/>
  <c r="D3871" i="9"/>
  <c r="D3870" i="9"/>
  <c r="D3869" i="9"/>
  <c r="D3868" i="9"/>
  <c r="D3867" i="9"/>
  <c r="D3866" i="9"/>
  <c r="D3865" i="9"/>
  <c r="D3864" i="9"/>
  <c r="D3863" i="9"/>
  <c r="D3862" i="9"/>
  <c r="D3861" i="9"/>
  <c r="D3860" i="9"/>
  <c r="D3859" i="9"/>
  <c r="D3858" i="9"/>
  <c r="D3857" i="9"/>
  <c r="D3856" i="9"/>
  <c r="D3855" i="9"/>
  <c r="D3854" i="9"/>
  <c r="D3853" i="9"/>
  <c r="D3852" i="9"/>
  <c r="D3851" i="9"/>
  <c r="D3850" i="9"/>
  <c r="D3849" i="9"/>
  <c r="D3848" i="9"/>
  <c r="D3847" i="9"/>
  <c r="D3846" i="9"/>
  <c r="D3845" i="9"/>
  <c r="D3844" i="9"/>
  <c r="D3843" i="9"/>
  <c r="D3842" i="9"/>
  <c r="D3841" i="9"/>
  <c r="D3840" i="9"/>
  <c r="D3839" i="9"/>
  <c r="D3838" i="9"/>
  <c r="D3837" i="9"/>
  <c r="D3836" i="9"/>
  <c r="D3835" i="9"/>
  <c r="D3834" i="9"/>
  <c r="D3833" i="9"/>
  <c r="D3832" i="9"/>
  <c r="D3831" i="9"/>
  <c r="D3830" i="9"/>
  <c r="D3829" i="9"/>
  <c r="D3828" i="9"/>
  <c r="D3827" i="9"/>
  <c r="D3826" i="9"/>
  <c r="D3825" i="9"/>
  <c r="D3824" i="9"/>
  <c r="D3823" i="9"/>
  <c r="D3822" i="9"/>
  <c r="D3821" i="9"/>
  <c r="D3820" i="9"/>
  <c r="D3819" i="9"/>
  <c r="D3818" i="9"/>
  <c r="D3817" i="9"/>
  <c r="D3816" i="9"/>
  <c r="D3815" i="9"/>
  <c r="D3814" i="9"/>
  <c r="D3813" i="9"/>
  <c r="D3812" i="9"/>
  <c r="D3811" i="9"/>
  <c r="D3810" i="9"/>
  <c r="D3809" i="9"/>
  <c r="D3808" i="9"/>
  <c r="D3807" i="9"/>
  <c r="D3806" i="9"/>
  <c r="D3805" i="9"/>
  <c r="D3804" i="9"/>
  <c r="D3803" i="9"/>
  <c r="D3802" i="9"/>
  <c r="D3801" i="9"/>
  <c r="D3800" i="9"/>
  <c r="D3799" i="9"/>
  <c r="D3798" i="9"/>
  <c r="D3797" i="9"/>
  <c r="D3796" i="9"/>
  <c r="D3795" i="9"/>
  <c r="D3794" i="9"/>
  <c r="D3793" i="9"/>
  <c r="D3792" i="9"/>
  <c r="D3791" i="9"/>
  <c r="D3790" i="9"/>
  <c r="D3789" i="9"/>
  <c r="D3788" i="9"/>
  <c r="D3787" i="9"/>
  <c r="D3786" i="9"/>
  <c r="D3785" i="9"/>
  <c r="D3784" i="9"/>
  <c r="D3783" i="9"/>
  <c r="D3782" i="9"/>
  <c r="D3781" i="9"/>
  <c r="D3780" i="9"/>
  <c r="D3779" i="9"/>
  <c r="D3778" i="9"/>
  <c r="D3777" i="9"/>
  <c r="D3776" i="9"/>
  <c r="D3775" i="9"/>
  <c r="D3774" i="9"/>
  <c r="D3773" i="9"/>
  <c r="D3772" i="9"/>
  <c r="D3771" i="9"/>
  <c r="D3770" i="9"/>
  <c r="D3769" i="9"/>
  <c r="D3768" i="9"/>
  <c r="D3767" i="9"/>
  <c r="D3766" i="9"/>
  <c r="D3765" i="9"/>
  <c r="D3764" i="9"/>
  <c r="D3763" i="9"/>
  <c r="D3762" i="9"/>
  <c r="D3761" i="9"/>
  <c r="D3760" i="9"/>
  <c r="D3759" i="9"/>
  <c r="D3758" i="9"/>
  <c r="D3757" i="9"/>
  <c r="D3756" i="9"/>
  <c r="D3755" i="9"/>
  <c r="D3754" i="9"/>
  <c r="D3753" i="9"/>
  <c r="D3752" i="9"/>
  <c r="D3751" i="9"/>
  <c r="D3750" i="9"/>
  <c r="D3749" i="9"/>
  <c r="D3748" i="9"/>
  <c r="D3747" i="9"/>
  <c r="D3746" i="9"/>
  <c r="D3745" i="9"/>
  <c r="D3744" i="9"/>
  <c r="D3743" i="9"/>
  <c r="D3742" i="9"/>
  <c r="D3741" i="9"/>
  <c r="D3740" i="9"/>
  <c r="D3739" i="9"/>
  <c r="D3738" i="9"/>
  <c r="D3737" i="9"/>
  <c r="D3736" i="9"/>
  <c r="D3735" i="9"/>
  <c r="D3734" i="9"/>
  <c r="D3733" i="9"/>
  <c r="D3732" i="9"/>
  <c r="D3731" i="9"/>
  <c r="D3730" i="9"/>
  <c r="D3729" i="9"/>
  <c r="D3728" i="9"/>
  <c r="D3727" i="9"/>
  <c r="D3726" i="9"/>
  <c r="D3725" i="9"/>
  <c r="D3724" i="9"/>
  <c r="D3723" i="9"/>
  <c r="D3722" i="9"/>
  <c r="D3721" i="9"/>
  <c r="D3720" i="9"/>
  <c r="D3719" i="9"/>
  <c r="D3718" i="9"/>
  <c r="D3717" i="9"/>
  <c r="D3716" i="9"/>
  <c r="D3715" i="9"/>
  <c r="D3714" i="9"/>
  <c r="D3713" i="9"/>
  <c r="D3712" i="9"/>
  <c r="D3711" i="9"/>
  <c r="D3710" i="9"/>
  <c r="D3709" i="9"/>
  <c r="D3708" i="9"/>
  <c r="D3707" i="9"/>
  <c r="D3706" i="9"/>
  <c r="D3705" i="9"/>
  <c r="D3704" i="9"/>
  <c r="D3703" i="9"/>
  <c r="D3702" i="9"/>
  <c r="D3701" i="9"/>
  <c r="D3700" i="9"/>
  <c r="D3699" i="9"/>
  <c r="D3698" i="9"/>
  <c r="D3697" i="9"/>
  <c r="D3696" i="9"/>
  <c r="D3695" i="9"/>
  <c r="D3694" i="9"/>
  <c r="D3693" i="9"/>
  <c r="D3692" i="9"/>
  <c r="D3691" i="9"/>
  <c r="D3690" i="9"/>
  <c r="D3689" i="9"/>
  <c r="D3688" i="9"/>
  <c r="D3687" i="9"/>
  <c r="D3686" i="9"/>
  <c r="D3685" i="9"/>
  <c r="D3684" i="9"/>
  <c r="D3683" i="9"/>
  <c r="D3682" i="9"/>
  <c r="D3681" i="9"/>
  <c r="D3680" i="9"/>
  <c r="D3679" i="9"/>
  <c r="D3678" i="9"/>
  <c r="D3677" i="9"/>
  <c r="D3676" i="9"/>
  <c r="D3675" i="9"/>
  <c r="D3674" i="9"/>
  <c r="D3673" i="9"/>
  <c r="D3672" i="9"/>
  <c r="D3671" i="9"/>
  <c r="D3670" i="9"/>
  <c r="D3669" i="9"/>
  <c r="D3668" i="9"/>
  <c r="D3667" i="9"/>
  <c r="D3666" i="9"/>
  <c r="D3665" i="9"/>
  <c r="D3664" i="9"/>
  <c r="D3663" i="9"/>
  <c r="D3662" i="9"/>
  <c r="D3661" i="9"/>
  <c r="D3660" i="9"/>
  <c r="D3659" i="9"/>
  <c r="D3658" i="9"/>
  <c r="D3657" i="9"/>
  <c r="D3656" i="9"/>
  <c r="D3655" i="9"/>
  <c r="D3654" i="9"/>
  <c r="D3653" i="9"/>
  <c r="D3652" i="9"/>
  <c r="D3651" i="9"/>
  <c r="D3650" i="9"/>
  <c r="D3649" i="9"/>
  <c r="D3648" i="9"/>
  <c r="D3647" i="9"/>
  <c r="D3646" i="9"/>
  <c r="D3645" i="9"/>
  <c r="D3644" i="9"/>
  <c r="D3643" i="9"/>
  <c r="D3642" i="9"/>
  <c r="D3641" i="9"/>
  <c r="D3640" i="9"/>
  <c r="D3639" i="9"/>
  <c r="D3638" i="9"/>
  <c r="D3637" i="9"/>
  <c r="D3636" i="9"/>
  <c r="D3635" i="9"/>
  <c r="D3634" i="9"/>
  <c r="D3633" i="9"/>
  <c r="D3632" i="9"/>
  <c r="D3631" i="9"/>
  <c r="D3630" i="9"/>
  <c r="D3629" i="9"/>
  <c r="D3628" i="9"/>
  <c r="D3627" i="9"/>
  <c r="D3626" i="9"/>
  <c r="D3625" i="9"/>
  <c r="D3624" i="9"/>
  <c r="D3623" i="9"/>
  <c r="D3622" i="9"/>
  <c r="D3621" i="9"/>
  <c r="D3620" i="9"/>
  <c r="D3619" i="9"/>
  <c r="D3618" i="9"/>
  <c r="D3617" i="9"/>
  <c r="D3616" i="9"/>
  <c r="D3615" i="9"/>
  <c r="D3614" i="9"/>
  <c r="D3613" i="9"/>
  <c r="D3612" i="9"/>
  <c r="D3611" i="9"/>
  <c r="D3610" i="9"/>
  <c r="D3609" i="9"/>
  <c r="D3608" i="9"/>
  <c r="D3607" i="9"/>
  <c r="D3606" i="9"/>
  <c r="D3605" i="9"/>
  <c r="D3604" i="9"/>
  <c r="D3603" i="9"/>
  <c r="D3602" i="9"/>
  <c r="D3601" i="9"/>
  <c r="D3600" i="9"/>
  <c r="D3599" i="9"/>
  <c r="D3598" i="9"/>
  <c r="D3597" i="9"/>
  <c r="D3596" i="9"/>
  <c r="D3595" i="9"/>
  <c r="D3594" i="9"/>
  <c r="D3593" i="9"/>
  <c r="D3592" i="9"/>
  <c r="D3591" i="9"/>
  <c r="D3590" i="9"/>
  <c r="D3589" i="9"/>
  <c r="D3588" i="9"/>
  <c r="D3587" i="9"/>
  <c r="D3586" i="9"/>
  <c r="D3585" i="9"/>
  <c r="D3584" i="9"/>
  <c r="D3583" i="9"/>
  <c r="D3582" i="9"/>
  <c r="D3581" i="9"/>
  <c r="D3580" i="9"/>
  <c r="D3579" i="9"/>
  <c r="D3578" i="9"/>
  <c r="D3577" i="9"/>
  <c r="D3576" i="9"/>
  <c r="D3575" i="9"/>
  <c r="D3574" i="9"/>
  <c r="D3573" i="9"/>
  <c r="D3572" i="9"/>
  <c r="D3571" i="9"/>
  <c r="D3570" i="9"/>
  <c r="D3569" i="9"/>
  <c r="D3568" i="9"/>
  <c r="D3567" i="9"/>
  <c r="D3566" i="9"/>
  <c r="D3565" i="9"/>
  <c r="D3564" i="9"/>
  <c r="D3563" i="9"/>
  <c r="D3562" i="9"/>
  <c r="D3561" i="9"/>
  <c r="D3560" i="9"/>
  <c r="D3559" i="9"/>
  <c r="D3558" i="9"/>
  <c r="D3557" i="9"/>
  <c r="D3556" i="9"/>
  <c r="D3555" i="9"/>
  <c r="D3554" i="9"/>
  <c r="D3553" i="9"/>
  <c r="D3552" i="9"/>
  <c r="D3551" i="9"/>
  <c r="D3550" i="9"/>
  <c r="D3549" i="9"/>
  <c r="D3548" i="9"/>
  <c r="D3547" i="9"/>
  <c r="D3546" i="9"/>
  <c r="D3545" i="9"/>
  <c r="D3544" i="9"/>
  <c r="D3543" i="9"/>
  <c r="D3542" i="9"/>
  <c r="D3541" i="9"/>
  <c r="D3540" i="9"/>
  <c r="D3539" i="9"/>
  <c r="D3538" i="9"/>
  <c r="D3537" i="9"/>
  <c r="D3536" i="9"/>
  <c r="D3535" i="9"/>
  <c r="D3534" i="9"/>
  <c r="D3533" i="9"/>
  <c r="D3532" i="9"/>
  <c r="D3531" i="9"/>
  <c r="D3530" i="9"/>
  <c r="D3529" i="9"/>
  <c r="D3528" i="9"/>
  <c r="D3527" i="9"/>
  <c r="D3526" i="9"/>
  <c r="D3525" i="9"/>
  <c r="D3524" i="9"/>
  <c r="D3523" i="9"/>
  <c r="D3522" i="9"/>
  <c r="D3521" i="9"/>
  <c r="D3520" i="9"/>
  <c r="D3519" i="9"/>
  <c r="D3518" i="9"/>
  <c r="D3517" i="9"/>
  <c r="D3516" i="9"/>
  <c r="D3515" i="9"/>
  <c r="D3514" i="9"/>
  <c r="D3513" i="9"/>
  <c r="D3512" i="9"/>
  <c r="D3511" i="9"/>
  <c r="D3510" i="9"/>
  <c r="D3509" i="9"/>
  <c r="D3508" i="9"/>
  <c r="D3507" i="9"/>
  <c r="D3506" i="9"/>
  <c r="D3505" i="9"/>
  <c r="D3504" i="9"/>
  <c r="D3503" i="9"/>
  <c r="D3502" i="9"/>
  <c r="D3501" i="9"/>
  <c r="D3500" i="9"/>
  <c r="D3499" i="9"/>
  <c r="D3498" i="9"/>
  <c r="D3497" i="9"/>
  <c r="D3496" i="9"/>
  <c r="D3495" i="9"/>
  <c r="D3494" i="9"/>
  <c r="D3493" i="9"/>
  <c r="D3492" i="9"/>
  <c r="D3491" i="9"/>
  <c r="D3490" i="9"/>
  <c r="D3489" i="9"/>
  <c r="D3488" i="9"/>
  <c r="D3487" i="9"/>
  <c r="D3486" i="9"/>
  <c r="D3485" i="9"/>
  <c r="D3484" i="9"/>
  <c r="D3483" i="9"/>
  <c r="D3482" i="9"/>
  <c r="D3481" i="9"/>
  <c r="D3480" i="9"/>
  <c r="D3479" i="9"/>
  <c r="D3478" i="9"/>
  <c r="D3477" i="9"/>
  <c r="D3476" i="9"/>
  <c r="D3475" i="9"/>
  <c r="D3474" i="9"/>
  <c r="D3473" i="9"/>
  <c r="D3472" i="9"/>
  <c r="D3471" i="9"/>
  <c r="D3470" i="9"/>
  <c r="D3469" i="9"/>
  <c r="D3468" i="9"/>
  <c r="D3467" i="9"/>
  <c r="D3466" i="9"/>
  <c r="D3465" i="9"/>
  <c r="D3464" i="9"/>
  <c r="D3463" i="9"/>
  <c r="D3462" i="9"/>
  <c r="D3461" i="9"/>
  <c r="D3460" i="9"/>
  <c r="D3459" i="9"/>
  <c r="D3458" i="9"/>
  <c r="D3457" i="9"/>
  <c r="D3456" i="9"/>
  <c r="D3455" i="9"/>
  <c r="D3454" i="9"/>
  <c r="D3453" i="9"/>
  <c r="D3452" i="9"/>
  <c r="D3451" i="9"/>
  <c r="D3450" i="9"/>
  <c r="D3449" i="9"/>
  <c r="D3448" i="9"/>
  <c r="D3447" i="9"/>
  <c r="D3446" i="9"/>
  <c r="D3445" i="9"/>
  <c r="D3444" i="9"/>
  <c r="D3443" i="9"/>
  <c r="D3442" i="9"/>
  <c r="D3441" i="9"/>
  <c r="D3440" i="9"/>
  <c r="D3439" i="9"/>
  <c r="D3438" i="9"/>
  <c r="D3437" i="9"/>
  <c r="D3436" i="9"/>
  <c r="D3435" i="9"/>
  <c r="D3434" i="9"/>
  <c r="D3433" i="9"/>
  <c r="D3432" i="9"/>
  <c r="D3431" i="9"/>
  <c r="D3430" i="9"/>
  <c r="D3429" i="9"/>
  <c r="D3428" i="9"/>
  <c r="D3427" i="9"/>
  <c r="D3426" i="9"/>
  <c r="D3425" i="9"/>
  <c r="D3424" i="9"/>
  <c r="D3423" i="9"/>
  <c r="D3422" i="9"/>
  <c r="D3421" i="9"/>
  <c r="D3420" i="9"/>
  <c r="D3419" i="9"/>
  <c r="D3418" i="9"/>
  <c r="D3417" i="9"/>
  <c r="D3416" i="9"/>
  <c r="D3415" i="9"/>
  <c r="D3414" i="9"/>
  <c r="D3413" i="9"/>
  <c r="D3412" i="9"/>
  <c r="D3411" i="9"/>
  <c r="D3410" i="9"/>
  <c r="D3409" i="9"/>
  <c r="D3408" i="9"/>
  <c r="D3407" i="9"/>
  <c r="D3406" i="9"/>
  <c r="D3405" i="9"/>
  <c r="D3404" i="9"/>
  <c r="D3403" i="9"/>
  <c r="D3402" i="9"/>
  <c r="D3401" i="9"/>
  <c r="D3400" i="9"/>
  <c r="D3399" i="9"/>
  <c r="D3398" i="9"/>
  <c r="D3397" i="9"/>
  <c r="D3396" i="9"/>
  <c r="D3395" i="9"/>
  <c r="D3394" i="9"/>
  <c r="D3393" i="9"/>
  <c r="D3392" i="9"/>
  <c r="D3391" i="9"/>
  <c r="D3390" i="9"/>
  <c r="D3389" i="9"/>
  <c r="D3388" i="9"/>
  <c r="D3387" i="9"/>
  <c r="D3386" i="9"/>
  <c r="D3385" i="9"/>
  <c r="D3384" i="9"/>
  <c r="D3383" i="9"/>
  <c r="D3382" i="9"/>
  <c r="D3381" i="9"/>
  <c r="D3380" i="9"/>
  <c r="D3379" i="9"/>
  <c r="D3378" i="9"/>
  <c r="D3377" i="9"/>
  <c r="D3376" i="9"/>
  <c r="D3375" i="9"/>
  <c r="D3374" i="9"/>
  <c r="D3373" i="9"/>
  <c r="D3372" i="9"/>
  <c r="D3371" i="9"/>
  <c r="D3370" i="9"/>
  <c r="D3369" i="9"/>
  <c r="D3368" i="9"/>
  <c r="D3367" i="9"/>
  <c r="D3366" i="9"/>
  <c r="D3365" i="9"/>
  <c r="D3364" i="9"/>
  <c r="D3363" i="9"/>
  <c r="D3362" i="9"/>
  <c r="D3361" i="9"/>
  <c r="D3360" i="9"/>
  <c r="D3359" i="9"/>
  <c r="D3358" i="9"/>
  <c r="D3357" i="9"/>
  <c r="D3356" i="9"/>
  <c r="D3355" i="9"/>
  <c r="D3354" i="9"/>
  <c r="D3353" i="9"/>
  <c r="D3352" i="9"/>
  <c r="D3351" i="9"/>
  <c r="D3350" i="9"/>
  <c r="D3349" i="9"/>
  <c r="D3348" i="9"/>
  <c r="D3347" i="9"/>
  <c r="D3346" i="9"/>
  <c r="D3345" i="9"/>
  <c r="D3344" i="9"/>
  <c r="D3343" i="9"/>
  <c r="D3342" i="9"/>
  <c r="D3341" i="9"/>
  <c r="D3340" i="9"/>
  <c r="D3339" i="9"/>
  <c r="D3338" i="9"/>
  <c r="D3337" i="9"/>
  <c r="D3336" i="9"/>
  <c r="D3335" i="9"/>
  <c r="D3334" i="9"/>
  <c r="D3333" i="9"/>
  <c r="D3332" i="9"/>
  <c r="D3331" i="9"/>
  <c r="D3330" i="9"/>
  <c r="D3329" i="9"/>
  <c r="D3328" i="9"/>
  <c r="D3327" i="9"/>
  <c r="D3326" i="9"/>
  <c r="D3325" i="9"/>
  <c r="D3324" i="9"/>
  <c r="D3323" i="9"/>
  <c r="D3322" i="9"/>
  <c r="D3321" i="9"/>
  <c r="D3320" i="9"/>
  <c r="D3319" i="9"/>
  <c r="D3318" i="9"/>
  <c r="D3317" i="9"/>
  <c r="D3316" i="9"/>
  <c r="D3315" i="9"/>
  <c r="D3314" i="9"/>
  <c r="D3313" i="9"/>
  <c r="D3312" i="9"/>
  <c r="D3311" i="9"/>
  <c r="D3310" i="9"/>
  <c r="D3309" i="9"/>
  <c r="D3308" i="9"/>
  <c r="D3307" i="9"/>
  <c r="D3306" i="9"/>
  <c r="D3305" i="9"/>
  <c r="D3304" i="9"/>
  <c r="D3303" i="9"/>
  <c r="D3302" i="9"/>
  <c r="D3301" i="9"/>
  <c r="D3300" i="9"/>
  <c r="D3299" i="9"/>
  <c r="D3298" i="9"/>
  <c r="D3297" i="9"/>
  <c r="D3296" i="9"/>
  <c r="D3295" i="9"/>
  <c r="D3294" i="9"/>
  <c r="D3293" i="9"/>
  <c r="D3292" i="9"/>
  <c r="D3291" i="9"/>
  <c r="D3290" i="9"/>
  <c r="D3289" i="9"/>
  <c r="D3288" i="9"/>
  <c r="D3287" i="9"/>
  <c r="D3286" i="9"/>
  <c r="D3285" i="9"/>
  <c r="D3284" i="9"/>
  <c r="D3283" i="9"/>
  <c r="D3282" i="9"/>
  <c r="D3281" i="9"/>
  <c r="D3280" i="9"/>
  <c r="D3279" i="9"/>
  <c r="D3278" i="9"/>
  <c r="D3277" i="9"/>
  <c r="D3276" i="9"/>
  <c r="D3275" i="9"/>
  <c r="D3274" i="9"/>
  <c r="D3273" i="9"/>
  <c r="D3272" i="9"/>
  <c r="D3271" i="9"/>
  <c r="D3270" i="9"/>
  <c r="D3269" i="9"/>
  <c r="D3268" i="9"/>
  <c r="D3267" i="9"/>
  <c r="D3266" i="9"/>
  <c r="D3265" i="9"/>
  <c r="D3264" i="9"/>
  <c r="D3263" i="9"/>
  <c r="D3262" i="9"/>
  <c r="D3261" i="9"/>
  <c r="D3260" i="9"/>
  <c r="D3259" i="9"/>
  <c r="D3258" i="9"/>
  <c r="D3257" i="9"/>
  <c r="D3256" i="9"/>
  <c r="D3255" i="9"/>
  <c r="D3254" i="9"/>
  <c r="D3253" i="9"/>
  <c r="D3252" i="9"/>
  <c r="D3251" i="9"/>
  <c r="D3250" i="9"/>
  <c r="D3249" i="9"/>
  <c r="D3248" i="9"/>
  <c r="D3247" i="9"/>
  <c r="D3246" i="9"/>
  <c r="D3245" i="9"/>
  <c r="D3244" i="9"/>
  <c r="D3243" i="9"/>
  <c r="D3242" i="9"/>
  <c r="D3241" i="9"/>
  <c r="D3240" i="9"/>
  <c r="D3239" i="9"/>
  <c r="D3238" i="9"/>
  <c r="D3237" i="9"/>
  <c r="D3236" i="9"/>
  <c r="D3235" i="9"/>
  <c r="D3234" i="9"/>
  <c r="D3233" i="9"/>
  <c r="D3232" i="9"/>
  <c r="D3231" i="9"/>
  <c r="D3230" i="9"/>
  <c r="D3229" i="9"/>
  <c r="D3228" i="9"/>
  <c r="D3227" i="9"/>
  <c r="D3226" i="9"/>
  <c r="D3225" i="9"/>
  <c r="D3224" i="9"/>
  <c r="D3223" i="9"/>
  <c r="D3222" i="9"/>
  <c r="D3221" i="9"/>
  <c r="D3220" i="9"/>
  <c r="D3219" i="9"/>
  <c r="D3218" i="9"/>
  <c r="D3217" i="9"/>
  <c r="D3216" i="9"/>
  <c r="D3215" i="9"/>
  <c r="D3214" i="9"/>
  <c r="D3213" i="9"/>
  <c r="D3212" i="9"/>
  <c r="D3211" i="9"/>
  <c r="D3210" i="9"/>
  <c r="D3209" i="9"/>
  <c r="D3208" i="9"/>
  <c r="D3207" i="9"/>
  <c r="D3206" i="9"/>
  <c r="D3205" i="9"/>
  <c r="D3204" i="9"/>
  <c r="D3203" i="9"/>
  <c r="D3202" i="9"/>
  <c r="D3201" i="9"/>
  <c r="D3200" i="9"/>
  <c r="D3199" i="9"/>
  <c r="D3198" i="9"/>
  <c r="D3197" i="9"/>
  <c r="D3196" i="9"/>
  <c r="D3195" i="9"/>
  <c r="D3194" i="9"/>
  <c r="D3193" i="9"/>
  <c r="D3192" i="9"/>
  <c r="D3191" i="9"/>
  <c r="D3190" i="9"/>
  <c r="D3189" i="9"/>
  <c r="D3188" i="9"/>
  <c r="D3187" i="9"/>
  <c r="D3186" i="9"/>
  <c r="D3185" i="9"/>
  <c r="D3184" i="9"/>
  <c r="D3183" i="9"/>
  <c r="D3182" i="9"/>
  <c r="D3181" i="9"/>
  <c r="D3180" i="9"/>
  <c r="D3179" i="9"/>
  <c r="D3178" i="9"/>
  <c r="D3177" i="9"/>
  <c r="D3176" i="9"/>
  <c r="D3175" i="9"/>
  <c r="D3174" i="9"/>
  <c r="D3173" i="9"/>
  <c r="D3172" i="9"/>
  <c r="D3171" i="9"/>
  <c r="D3170" i="9"/>
  <c r="D3169" i="9"/>
  <c r="D3168" i="9"/>
  <c r="D3167" i="9"/>
  <c r="D3166" i="9"/>
  <c r="D3165" i="9"/>
  <c r="D3164" i="9"/>
  <c r="D3163" i="9"/>
  <c r="D3162" i="9"/>
  <c r="D3161" i="9"/>
  <c r="D3160" i="9"/>
  <c r="D3159" i="9"/>
  <c r="D3158" i="9"/>
  <c r="D3157" i="9"/>
  <c r="D3156" i="9"/>
  <c r="D3155" i="9"/>
  <c r="D3154" i="9"/>
  <c r="D3153" i="9"/>
  <c r="D3152" i="9"/>
  <c r="D3151" i="9"/>
  <c r="D3150" i="9"/>
  <c r="D3149" i="9"/>
  <c r="D3148" i="9"/>
  <c r="D3147" i="9"/>
  <c r="D3146" i="9"/>
  <c r="D3145" i="9"/>
  <c r="D3144" i="9"/>
  <c r="D3143" i="9"/>
  <c r="D3142" i="9"/>
  <c r="D3141" i="9"/>
  <c r="D3140" i="9"/>
  <c r="D3139" i="9"/>
  <c r="D3138" i="9"/>
  <c r="D3137" i="9"/>
  <c r="D3136" i="9"/>
  <c r="D3135" i="9"/>
  <c r="D3134" i="9"/>
  <c r="D3133" i="9"/>
  <c r="D3132" i="9"/>
  <c r="D3131" i="9"/>
  <c r="D3130" i="9"/>
  <c r="D3129" i="9"/>
  <c r="D3128" i="9"/>
  <c r="D3127" i="9"/>
  <c r="D3126" i="9"/>
  <c r="D3125" i="9"/>
  <c r="D3124" i="9"/>
  <c r="D3123" i="9"/>
  <c r="D3122" i="9"/>
  <c r="D3121" i="9"/>
  <c r="D3120" i="9"/>
  <c r="D3119" i="9"/>
  <c r="D3118" i="9"/>
  <c r="D3117" i="9"/>
  <c r="D3116" i="9"/>
  <c r="D3115" i="9"/>
  <c r="D3114" i="9"/>
  <c r="D3113" i="9"/>
  <c r="D3112" i="9"/>
  <c r="D3111" i="9"/>
  <c r="D3110" i="9"/>
  <c r="D3109" i="9"/>
  <c r="D3108" i="9"/>
  <c r="D3107" i="9"/>
  <c r="D3106" i="9"/>
  <c r="D3105" i="9"/>
  <c r="D3104" i="9"/>
  <c r="D3103" i="9"/>
  <c r="D3102" i="9"/>
  <c r="D3101" i="9"/>
  <c r="D3100" i="9"/>
  <c r="D3099" i="9"/>
  <c r="D3098" i="9"/>
  <c r="D3097" i="9"/>
  <c r="D3096" i="9"/>
  <c r="D3095" i="9"/>
  <c r="D3094" i="9"/>
  <c r="D3093" i="9"/>
  <c r="D3092" i="9"/>
  <c r="D3091" i="9"/>
  <c r="D3090" i="9"/>
  <c r="D3089" i="9"/>
  <c r="D3088" i="9"/>
  <c r="D3087" i="9"/>
  <c r="D3086" i="9"/>
  <c r="D3085" i="9"/>
  <c r="D3084" i="9"/>
  <c r="D3083" i="9"/>
  <c r="D3082" i="9"/>
  <c r="D3081" i="9"/>
  <c r="D3080" i="9"/>
  <c r="D3079" i="9"/>
  <c r="D3078" i="9"/>
  <c r="D3077" i="9"/>
  <c r="D3076" i="9"/>
  <c r="D3075" i="9"/>
  <c r="D3074" i="9"/>
  <c r="D3073" i="9"/>
  <c r="D3072" i="9"/>
  <c r="D3071" i="9"/>
  <c r="D3070" i="9"/>
  <c r="D3069" i="9"/>
  <c r="D3068" i="9"/>
  <c r="D3067" i="9"/>
  <c r="D3066" i="9"/>
  <c r="D3065" i="9"/>
  <c r="D3064" i="9"/>
  <c r="D3063" i="9"/>
  <c r="D3062" i="9"/>
  <c r="D3061" i="9"/>
  <c r="D3060" i="9"/>
  <c r="D3059" i="9"/>
  <c r="D3058" i="9"/>
  <c r="D3057" i="9"/>
  <c r="D3056" i="9"/>
  <c r="D3055" i="9"/>
  <c r="D3054" i="9"/>
  <c r="D3053" i="9"/>
  <c r="D3052" i="9"/>
  <c r="D3051" i="9"/>
  <c r="D3050" i="9"/>
  <c r="D3049" i="9"/>
  <c r="D3048" i="9"/>
  <c r="D3047" i="9"/>
  <c r="D3046" i="9"/>
  <c r="D3045" i="9"/>
  <c r="D3044" i="9"/>
  <c r="D3043" i="9"/>
  <c r="D3042" i="9"/>
  <c r="D3041" i="9"/>
  <c r="D3040" i="9"/>
  <c r="D3039" i="9"/>
  <c r="D3038" i="9"/>
  <c r="D3037" i="9"/>
  <c r="D3036" i="9"/>
  <c r="D3035" i="9"/>
  <c r="D3034" i="9"/>
  <c r="D3033" i="9"/>
  <c r="D3032" i="9"/>
  <c r="D3031" i="9"/>
  <c r="D3030" i="9"/>
  <c r="D3029" i="9"/>
  <c r="D3028" i="9"/>
  <c r="D3027" i="9"/>
  <c r="D3026" i="9"/>
  <c r="D3025" i="9"/>
  <c r="D3024" i="9"/>
  <c r="D3023" i="9"/>
  <c r="D3022" i="9"/>
  <c r="D3021" i="9"/>
  <c r="D3020" i="9"/>
  <c r="D3019" i="9"/>
  <c r="D3018" i="9"/>
  <c r="D3017" i="9"/>
  <c r="D3016" i="9"/>
  <c r="D3015" i="9"/>
  <c r="D3014" i="9"/>
  <c r="D3013" i="9"/>
  <c r="D3012" i="9"/>
  <c r="D3011" i="9"/>
  <c r="D3010" i="9"/>
  <c r="D3009" i="9"/>
  <c r="D3008" i="9"/>
  <c r="D3007" i="9"/>
  <c r="D3006" i="9"/>
  <c r="D3005" i="9"/>
  <c r="D3004" i="9"/>
  <c r="D3003" i="9"/>
  <c r="D3002" i="9"/>
  <c r="D3001" i="9"/>
  <c r="D3000" i="9"/>
  <c r="D2999" i="9"/>
  <c r="D2998" i="9"/>
  <c r="D2997" i="9"/>
  <c r="D2996" i="9"/>
  <c r="D2995" i="9"/>
  <c r="D2994" i="9"/>
  <c r="D2993" i="9"/>
  <c r="D2992" i="9"/>
  <c r="D2991" i="9"/>
  <c r="D2990" i="9"/>
  <c r="D2989" i="9"/>
  <c r="D2988" i="9"/>
  <c r="D2987" i="9"/>
  <c r="D2986" i="9"/>
  <c r="D2985" i="9"/>
  <c r="D2984" i="9"/>
  <c r="D2983" i="9"/>
  <c r="D2982" i="9"/>
  <c r="D2981" i="9"/>
  <c r="D2980" i="9"/>
  <c r="D2979" i="9"/>
  <c r="D2978" i="9"/>
  <c r="D2977" i="9"/>
  <c r="D2976" i="9"/>
  <c r="D2975" i="9"/>
  <c r="D2974" i="9"/>
  <c r="D2973" i="9"/>
  <c r="D2972" i="9"/>
  <c r="D2971" i="9"/>
  <c r="D2970" i="9"/>
  <c r="D2969" i="9"/>
  <c r="D2968" i="9"/>
  <c r="D2967" i="9"/>
  <c r="D2966" i="9"/>
  <c r="D2965" i="9"/>
  <c r="D2964" i="9"/>
  <c r="D2963" i="9"/>
  <c r="D2962" i="9"/>
  <c r="D2961" i="9"/>
  <c r="D2960" i="9"/>
  <c r="D2959" i="9"/>
  <c r="D2958" i="9"/>
  <c r="D2957" i="9"/>
  <c r="D2956" i="9"/>
  <c r="D2955" i="9"/>
  <c r="D2954" i="9"/>
  <c r="D2953" i="9"/>
  <c r="D2952" i="9"/>
  <c r="D2951" i="9"/>
  <c r="D2950" i="9"/>
  <c r="D2949" i="9"/>
  <c r="D2948" i="9"/>
  <c r="D2947" i="9"/>
  <c r="D2946" i="9"/>
  <c r="D2945" i="9"/>
  <c r="D2944" i="9"/>
  <c r="D2943" i="9"/>
  <c r="D2942" i="9"/>
  <c r="D2941" i="9"/>
  <c r="D2940" i="9"/>
  <c r="D2939" i="9"/>
  <c r="D2938" i="9"/>
  <c r="D2937" i="9"/>
  <c r="D2936" i="9"/>
  <c r="D2935" i="9"/>
  <c r="D2934" i="9"/>
  <c r="D2933" i="9"/>
  <c r="D2932" i="9"/>
  <c r="D2931" i="9"/>
  <c r="D2930" i="9"/>
  <c r="D2929" i="9"/>
  <c r="D2928" i="9"/>
  <c r="D2927" i="9"/>
  <c r="D2926" i="9"/>
  <c r="D2925" i="9"/>
  <c r="D2924" i="9"/>
  <c r="D2923" i="9"/>
  <c r="D2922" i="9"/>
  <c r="D2921" i="9"/>
  <c r="D2920" i="9"/>
  <c r="D2919" i="9"/>
  <c r="D2918" i="9"/>
  <c r="D2917" i="9"/>
  <c r="D2916" i="9"/>
  <c r="D2915" i="9"/>
  <c r="D2914" i="9"/>
  <c r="D2913" i="9"/>
  <c r="D2912" i="9"/>
  <c r="D2911" i="9"/>
  <c r="D2910" i="9"/>
  <c r="D2909" i="9"/>
  <c r="D2908" i="9"/>
  <c r="D2907" i="9"/>
  <c r="D2906" i="9"/>
  <c r="D2905" i="9"/>
  <c r="D2904" i="9"/>
  <c r="D2903" i="9"/>
  <c r="D2902" i="9"/>
  <c r="D2901" i="9"/>
  <c r="D2900" i="9"/>
  <c r="D2899" i="9"/>
  <c r="D2898" i="9"/>
  <c r="D2897" i="9"/>
  <c r="D2896" i="9"/>
  <c r="D2895" i="9"/>
  <c r="D2894" i="9"/>
  <c r="D2893" i="9"/>
  <c r="D2892" i="9"/>
  <c r="D2891" i="9"/>
  <c r="D2890" i="9"/>
  <c r="D2889" i="9"/>
  <c r="D2888" i="9"/>
  <c r="D2887" i="9"/>
  <c r="D2886" i="9"/>
  <c r="D2885" i="9"/>
  <c r="D2884" i="9"/>
  <c r="D2883" i="9"/>
  <c r="D2882" i="9"/>
  <c r="D2881" i="9"/>
  <c r="D2880" i="9"/>
  <c r="D2879" i="9"/>
  <c r="D2878" i="9"/>
  <c r="D2877" i="9"/>
  <c r="D2876" i="9"/>
  <c r="D2875" i="9"/>
  <c r="D2874" i="9"/>
  <c r="D2873" i="9"/>
  <c r="D2872" i="9"/>
  <c r="D2871" i="9"/>
  <c r="D2870" i="9"/>
  <c r="D2869" i="9"/>
  <c r="D2868" i="9"/>
  <c r="D2867" i="9"/>
  <c r="D2866" i="9"/>
  <c r="D2865" i="9"/>
  <c r="D2864" i="9"/>
  <c r="D2863" i="9"/>
  <c r="D2862" i="9"/>
  <c r="D2861" i="9"/>
  <c r="D2860" i="9"/>
  <c r="D2859" i="9"/>
  <c r="D2858" i="9"/>
  <c r="D2857" i="9"/>
  <c r="D2856" i="9"/>
  <c r="D2855" i="9"/>
  <c r="D2854" i="9"/>
  <c r="D2853" i="9"/>
  <c r="D2852" i="9"/>
  <c r="D2851" i="9"/>
  <c r="D2850" i="9"/>
  <c r="D2849" i="9"/>
  <c r="D2848" i="9"/>
  <c r="D2847" i="9"/>
  <c r="D2846" i="9"/>
  <c r="D2845" i="9"/>
  <c r="D2844" i="9"/>
  <c r="D2843" i="9"/>
  <c r="D2842" i="9"/>
  <c r="D2841" i="9"/>
  <c r="D2840" i="9"/>
  <c r="D2839" i="9"/>
  <c r="D2838" i="9"/>
  <c r="D2837" i="9"/>
  <c r="D2836" i="9"/>
  <c r="D2835" i="9"/>
  <c r="D2834" i="9"/>
  <c r="D2833" i="9"/>
  <c r="D2832" i="9"/>
  <c r="D2831" i="9"/>
  <c r="D2830" i="9"/>
  <c r="D2829" i="9"/>
  <c r="D2828" i="9"/>
  <c r="D2827" i="9"/>
  <c r="D2826" i="9"/>
  <c r="D2825" i="9"/>
  <c r="D2824" i="9"/>
  <c r="D2823" i="9"/>
  <c r="D2822" i="9"/>
  <c r="D2821" i="9"/>
  <c r="D2820" i="9"/>
  <c r="D2819" i="9"/>
  <c r="D2818" i="9"/>
  <c r="D2817" i="9"/>
  <c r="D2816" i="9"/>
  <c r="D2815" i="9"/>
  <c r="D2814" i="9"/>
  <c r="D2813" i="9"/>
  <c r="D2812" i="9"/>
  <c r="D2811" i="9"/>
  <c r="D2810" i="9"/>
  <c r="D2809" i="9"/>
  <c r="D2808" i="9"/>
  <c r="D2807" i="9"/>
  <c r="D2806" i="9"/>
  <c r="D2805" i="9"/>
  <c r="D2804" i="9"/>
  <c r="D2803" i="9"/>
  <c r="D2802" i="9"/>
  <c r="D2801" i="9"/>
  <c r="D2800" i="9"/>
  <c r="D2799" i="9"/>
  <c r="D2798" i="9"/>
  <c r="D2797" i="9"/>
  <c r="D2796" i="9"/>
  <c r="D2795" i="9"/>
  <c r="D2794" i="9"/>
  <c r="D2793" i="9"/>
  <c r="D2792" i="9"/>
  <c r="D2791" i="9"/>
  <c r="D2790" i="9"/>
  <c r="D2789" i="9"/>
  <c r="D2788" i="9"/>
  <c r="D2787" i="9"/>
  <c r="D2786" i="9"/>
  <c r="D2785" i="9"/>
  <c r="D2784" i="9"/>
  <c r="D2783" i="9"/>
  <c r="D2782" i="9"/>
  <c r="D2781" i="9"/>
  <c r="D2780" i="9"/>
  <c r="D2779" i="9"/>
  <c r="D2778" i="9"/>
  <c r="D2777" i="9"/>
  <c r="D2776" i="9"/>
  <c r="D2775" i="9"/>
  <c r="D2774" i="9"/>
  <c r="D2773" i="9"/>
  <c r="D2772" i="9"/>
  <c r="D2771" i="9"/>
  <c r="D2770" i="9"/>
  <c r="D2769" i="9"/>
  <c r="D2768" i="9"/>
  <c r="D2767" i="9"/>
  <c r="D2766" i="9"/>
  <c r="D2765" i="9"/>
  <c r="D2764" i="9"/>
  <c r="D2763" i="9"/>
  <c r="D2762" i="9"/>
  <c r="D2761" i="9"/>
  <c r="D2760" i="9"/>
  <c r="D2759" i="9"/>
  <c r="D2758" i="9"/>
  <c r="D2757" i="9"/>
  <c r="D2756" i="9"/>
  <c r="D2755" i="9"/>
  <c r="D2754" i="9"/>
  <c r="D2753" i="9"/>
  <c r="D2752" i="9"/>
  <c r="D2751" i="9"/>
  <c r="D2750" i="9"/>
  <c r="D2749" i="9"/>
  <c r="D2748" i="9"/>
  <c r="D2747" i="9"/>
  <c r="D2746" i="9"/>
  <c r="D2745" i="9"/>
  <c r="D2744" i="9"/>
  <c r="D2743" i="9"/>
  <c r="D2742" i="9"/>
  <c r="D2741" i="9"/>
  <c r="D2740" i="9"/>
  <c r="D2739" i="9"/>
  <c r="D2738" i="9"/>
  <c r="D2737" i="9"/>
  <c r="D2736" i="9"/>
  <c r="D2735" i="9"/>
  <c r="D2734" i="9"/>
  <c r="D2733" i="9"/>
  <c r="D2732" i="9"/>
  <c r="D2731" i="9"/>
  <c r="D2730" i="9"/>
  <c r="D2729" i="9"/>
  <c r="D2728" i="9"/>
  <c r="D2727" i="9"/>
  <c r="D2726" i="9"/>
  <c r="D2725" i="9"/>
  <c r="D2724" i="9"/>
  <c r="D2723" i="9"/>
  <c r="D2722" i="9"/>
  <c r="D2721" i="9"/>
  <c r="D2720" i="9"/>
  <c r="D2719" i="9"/>
  <c r="D2718" i="9"/>
  <c r="D2717" i="9"/>
  <c r="D2716" i="9"/>
  <c r="D2715" i="9"/>
  <c r="D2714" i="9"/>
  <c r="D2713" i="9"/>
  <c r="D2712" i="9"/>
  <c r="D2711" i="9"/>
  <c r="D2710" i="9"/>
  <c r="D2709" i="9"/>
  <c r="D2708" i="9"/>
  <c r="D2707" i="9"/>
  <c r="D2706" i="9"/>
  <c r="D2705" i="9"/>
  <c r="D2704" i="9"/>
  <c r="D2703" i="9"/>
  <c r="D2702" i="9"/>
  <c r="D2701" i="9"/>
  <c r="D2700" i="9"/>
  <c r="D2699" i="9"/>
  <c r="D2698" i="9"/>
  <c r="D2697" i="9"/>
  <c r="D2696" i="9"/>
  <c r="D2695" i="9"/>
  <c r="D2694" i="9"/>
  <c r="D2693" i="9"/>
  <c r="D2692" i="9"/>
  <c r="D2691" i="9"/>
  <c r="D2690" i="9"/>
  <c r="D2689" i="9"/>
  <c r="D2688" i="9"/>
  <c r="D2687" i="9"/>
  <c r="D2686" i="9"/>
  <c r="D2685" i="9"/>
  <c r="D2684" i="9"/>
  <c r="D2683" i="9"/>
  <c r="D2682" i="9"/>
  <c r="D2681" i="9"/>
  <c r="D2680" i="9"/>
  <c r="D2679" i="9"/>
  <c r="D2678" i="9"/>
  <c r="D2677" i="9"/>
  <c r="D2676" i="9"/>
  <c r="D2675" i="9"/>
  <c r="D2674" i="9"/>
  <c r="D2673" i="9"/>
  <c r="D2672" i="9"/>
  <c r="D2671" i="9"/>
  <c r="D2670" i="9"/>
  <c r="D2669" i="9"/>
  <c r="D2668" i="9"/>
  <c r="D2667" i="9"/>
  <c r="D2666" i="9"/>
  <c r="D2665" i="9"/>
  <c r="D2664" i="9"/>
  <c r="D2663" i="9"/>
  <c r="D2662" i="9"/>
  <c r="D2661" i="9"/>
  <c r="D2660" i="9"/>
  <c r="D2659" i="9"/>
  <c r="D2658" i="9"/>
  <c r="D2657" i="9"/>
  <c r="D2656" i="9"/>
  <c r="D2655" i="9"/>
  <c r="D2654" i="9"/>
  <c r="D2653" i="9"/>
  <c r="D2652" i="9"/>
  <c r="D2651" i="9"/>
  <c r="D2650" i="9"/>
  <c r="D2649" i="9"/>
  <c r="D2648" i="9"/>
  <c r="D2647" i="9"/>
  <c r="D2646" i="9"/>
  <c r="D2645" i="9"/>
  <c r="D2644" i="9"/>
  <c r="D2643" i="9"/>
  <c r="D2642" i="9"/>
  <c r="D2641" i="9"/>
  <c r="D2640" i="9"/>
  <c r="D2639" i="9"/>
  <c r="D2638" i="9"/>
  <c r="D2637" i="9"/>
  <c r="D2636" i="9"/>
  <c r="D2635" i="9"/>
  <c r="D2634" i="9"/>
  <c r="D2633" i="9"/>
  <c r="D2632" i="9"/>
  <c r="D2631" i="9"/>
  <c r="D2630" i="9"/>
  <c r="D2629" i="9"/>
  <c r="D2628" i="9"/>
  <c r="D2627" i="9"/>
  <c r="D2626" i="9"/>
  <c r="D2625" i="9"/>
  <c r="D2624" i="9"/>
  <c r="D2623" i="9"/>
  <c r="D2622" i="9"/>
  <c r="D2621" i="9"/>
  <c r="D2620" i="9"/>
  <c r="D2619" i="9"/>
  <c r="D2618" i="9"/>
  <c r="D2617" i="9"/>
  <c r="D2616" i="9"/>
  <c r="D2615" i="9"/>
  <c r="D2614" i="9"/>
  <c r="D2613" i="9"/>
  <c r="D2612" i="9"/>
  <c r="D2611" i="9"/>
  <c r="D2610" i="9"/>
  <c r="D2609" i="9"/>
  <c r="D2608" i="9"/>
  <c r="D2607" i="9"/>
  <c r="D2606" i="9"/>
  <c r="D2605" i="9"/>
  <c r="D2604" i="9"/>
  <c r="D2603" i="9"/>
  <c r="D2602" i="9"/>
  <c r="D2601" i="9"/>
  <c r="D2600" i="9"/>
  <c r="D2599" i="9"/>
  <c r="D2598" i="9"/>
  <c r="D2597" i="9"/>
  <c r="D2596" i="9"/>
  <c r="D2595" i="9"/>
  <c r="D2594" i="9"/>
  <c r="D2593" i="9"/>
  <c r="D2592" i="9"/>
  <c r="D2591" i="9"/>
  <c r="D2590" i="9"/>
  <c r="D2589" i="9"/>
  <c r="D2588" i="9"/>
  <c r="D2587" i="9"/>
  <c r="D2586" i="9"/>
  <c r="D2585" i="9"/>
  <c r="D2584" i="9"/>
  <c r="D2583" i="9"/>
  <c r="D2582" i="9"/>
  <c r="D2581" i="9"/>
  <c r="D2580" i="9"/>
  <c r="D2579" i="9"/>
  <c r="D2578" i="9"/>
  <c r="D2577" i="9"/>
  <c r="D2576" i="9"/>
  <c r="D2575" i="9"/>
  <c r="D2574" i="9"/>
  <c r="D2573" i="9"/>
  <c r="D2572" i="9"/>
  <c r="D2571" i="9"/>
  <c r="D2570" i="9"/>
  <c r="D2569" i="9"/>
  <c r="D2568" i="9"/>
  <c r="D2567" i="9"/>
  <c r="D2566" i="9"/>
  <c r="D2565" i="9"/>
  <c r="D2564" i="9"/>
  <c r="D2563" i="9"/>
  <c r="D2562" i="9"/>
  <c r="D2561" i="9"/>
  <c r="D2560" i="9"/>
  <c r="D2559" i="9"/>
  <c r="D2558" i="9"/>
  <c r="D2557" i="9"/>
  <c r="D2556" i="9"/>
  <c r="D2555" i="9"/>
  <c r="D2554" i="9"/>
  <c r="D2553" i="9"/>
  <c r="D2552" i="9"/>
  <c r="D2551" i="9"/>
  <c r="D2550" i="9"/>
  <c r="D2549" i="9"/>
  <c r="D2548" i="9"/>
  <c r="D2547" i="9"/>
  <c r="D2546" i="9"/>
  <c r="D2545" i="9"/>
  <c r="D2544" i="9"/>
  <c r="D2543" i="9"/>
  <c r="D2542" i="9"/>
  <c r="D2541" i="9"/>
  <c r="D2540" i="9"/>
  <c r="D2539" i="9"/>
  <c r="D2538" i="9"/>
  <c r="D2537" i="9"/>
  <c r="D2536" i="9"/>
  <c r="D2535" i="9"/>
  <c r="D2534" i="9"/>
  <c r="D2533" i="9"/>
  <c r="D2532" i="9"/>
  <c r="D2531" i="9"/>
  <c r="D2530" i="9"/>
  <c r="D2529" i="9"/>
  <c r="D2528" i="9"/>
  <c r="D2527" i="9"/>
  <c r="D2526" i="9"/>
  <c r="D2525" i="9"/>
  <c r="D2524" i="9"/>
  <c r="D2523" i="9"/>
  <c r="D2522" i="9"/>
  <c r="D2521" i="9"/>
  <c r="D2520" i="9"/>
  <c r="D2519" i="9"/>
  <c r="D2518" i="9"/>
  <c r="D2517" i="9"/>
  <c r="D2516" i="9"/>
  <c r="D2515" i="9"/>
  <c r="D2514" i="9"/>
  <c r="D2513" i="9"/>
  <c r="D2512" i="9"/>
  <c r="D2511" i="9"/>
  <c r="D2510" i="9"/>
  <c r="D2509" i="9"/>
  <c r="D2508" i="9"/>
  <c r="D2507" i="9"/>
  <c r="D2506" i="9"/>
  <c r="D2505" i="9"/>
  <c r="D2504" i="9"/>
  <c r="D2503" i="9"/>
  <c r="D2502" i="9"/>
  <c r="D2501" i="9"/>
  <c r="D2500" i="9"/>
  <c r="D2499" i="9"/>
  <c r="D2498" i="9"/>
  <c r="D2497" i="9"/>
  <c r="D2496" i="9"/>
  <c r="D2495" i="9"/>
  <c r="D2494" i="9"/>
  <c r="D2493" i="9"/>
  <c r="D2492" i="9"/>
  <c r="D2491" i="9"/>
  <c r="D2490" i="9"/>
  <c r="D2489" i="9"/>
  <c r="D2488" i="9"/>
  <c r="D2487" i="9"/>
  <c r="D2486" i="9"/>
  <c r="D2485" i="9"/>
  <c r="D2484" i="9"/>
  <c r="D2483" i="9"/>
  <c r="D2482" i="9"/>
  <c r="D2481" i="9"/>
  <c r="D2480" i="9"/>
  <c r="D2479" i="9"/>
  <c r="D2478" i="9"/>
  <c r="D2477" i="9"/>
  <c r="D2476" i="9"/>
  <c r="D2475" i="9"/>
  <c r="D2474" i="9"/>
  <c r="D2473" i="9"/>
  <c r="D2472" i="9"/>
  <c r="D2471" i="9"/>
  <c r="D2470" i="9"/>
  <c r="D2469" i="9"/>
  <c r="D2468" i="9"/>
  <c r="D2467" i="9"/>
  <c r="D2466" i="9"/>
  <c r="D2465" i="9"/>
  <c r="D2464" i="9"/>
  <c r="D2463" i="9"/>
  <c r="D2462" i="9"/>
  <c r="D2461" i="9"/>
  <c r="D2460" i="9"/>
  <c r="D2459" i="9"/>
  <c r="D2458" i="9"/>
  <c r="D2457" i="9"/>
  <c r="D2456" i="9"/>
  <c r="D2455" i="9"/>
  <c r="D2454" i="9"/>
  <c r="D2453" i="9"/>
  <c r="D2452" i="9"/>
  <c r="D2451" i="9"/>
  <c r="D2450" i="9"/>
  <c r="D2449" i="9"/>
  <c r="D2448" i="9"/>
  <c r="D2447" i="9"/>
  <c r="D2446" i="9"/>
  <c r="D2445" i="9"/>
  <c r="D2444" i="9"/>
  <c r="D2443" i="9"/>
  <c r="D2442" i="9"/>
  <c r="D2441" i="9"/>
  <c r="D2440" i="9"/>
  <c r="D2439" i="9"/>
  <c r="D2438" i="9"/>
  <c r="D2437" i="9"/>
  <c r="D2436" i="9"/>
  <c r="D2435" i="9"/>
  <c r="D2434" i="9"/>
  <c r="D2433" i="9"/>
  <c r="D2432" i="9"/>
  <c r="D2431" i="9"/>
  <c r="D2430" i="9"/>
  <c r="D2429" i="9"/>
  <c r="D2428" i="9"/>
  <c r="D2427" i="9"/>
  <c r="D2426" i="9"/>
  <c r="D2425" i="9"/>
  <c r="D2424" i="9"/>
  <c r="D2423" i="9"/>
  <c r="D2422" i="9"/>
  <c r="D2421" i="9"/>
  <c r="D2420" i="9"/>
  <c r="D2419" i="9"/>
  <c r="D2418" i="9"/>
  <c r="D2417" i="9"/>
  <c r="D2416" i="9"/>
  <c r="D2415" i="9"/>
  <c r="D2414" i="9"/>
  <c r="D2413" i="9"/>
  <c r="D2412" i="9"/>
  <c r="D2411" i="9"/>
  <c r="D2410" i="9"/>
  <c r="D2409" i="9"/>
  <c r="D2408" i="9"/>
  <c r="D2407" i="9"/>
  <c r="D2406" i="9"/>
  <c r="D2405" i="9"/>
  <c r="D2404" i="9"/>
  <c r="D2403" i="9"/>
  <c r="D2402" i="9"/>
  <c r="D2401" i="9"/>
  <c r="D2400" i="9"/>
  <c r="D2399" i="9"/>
  <c r="D2398" i="9"/>
  <c r="D2397" i="9"/>
  <c r="D2396" i="9"/>
  <c r="D2395" i="9"/>
  <c r="D2394" i="9"/>
  <c r="D2393" i="9"/>
  <c r="D2392" i="9"/>
  <c r="D2391" i="9"/>
  <c r="D2390" i="9"/>
  <c r="D2389" i="9"/>
  <c r="D2388" i="9"/>
  <c r="D2387" i="9"/>
  <c r="D2386" i="9"/>
  <c r="D2385" i="9"/>
  <c r="D2384" i="9"/>
  <c r="D2383" i="9"/>
  <c r="D2382" i="9"/>
  <c r="D2381" i="9"/>
  <c r="D2380" i="9"/>
  <c r="D2379" i="9"/>
  <c r="D2378" i="9"/>
  <c r="D2377" i="9"/>
  <c r="D2376" i="9"/>
  <c r="D2375" i="9"/>
  <c r="D2374" i="9"/>
  <c r="D2373" i="9"/>
  <c r="D2372" i="9"/>
  <c r="D2371" i="9"/>
  <c r="D2370" i="9"/>
  <c r="D2369" i="9"/>
  <c r="D2368" i="9"/>
  <c r="D2367" i="9"/>
  <c r="D2366" i="9"/>
  <c r="D2365" i="9"/>
  <c r="D2364" i="9"/>
  <c r="D2363" i="9"/>
  <c r="D2362" i="9"/>
  <c r="D2361" i="9"/>
  <c r="D2360" i="9"/>
  <c r="D2359" i="9"/>
  <c r="D2358" i="9"/>
  <c r="D2357" i="9"/>
  <c r="D2356" i="9"/>
  <c r="D2355" i="9"/>
  <c r="D2354" i="9"/>
  <c r="D2353" i="9"/>
  <c r="D2352" i="9"/>
  <c r="D2351" i="9"/>
  <c r="D2350" i="9"/>
  <c r="D2349" i="9"/>
  <c r="D2348" i="9"/>
  <c r="D2347" i="9"/>
  <c r="D2346" i="9"/>
  <c r="D2345" i="9"/>
  <c r="D2344" i="9"/>
  <c r="D2343" i="9"/>
  <c r="D2342" i="9"/>
  <c r="D2341" i="9"/>
  <c r="D2340" i="9"/>
  <c r="D2339" i="9"/>
  <c r="D2338" i="9"/>
  <c r="D2337" i="9"/>
  <c r="D2336" i="9"/>
  <c r="D2335" i="9"/>
  <c r="D2334" i="9"/>
  <c r="D2333" i="9"/>
  <c r="D2332" i="9"/>
  <c r="D2331" i="9"/>
  <c r="D2330" i="9"/>
  <c r="D2329" i="9"/>
  <c r="D2328" i="9"/>
  <c r="D2327" i="9"/>
  <c r="D2326" i="9"/>
  <c r="D2325" i="9"/>
  <c r="D2324" i="9"/>
  <c r="D2323" i="9"/>
  <c r="D2322" i="9"/>
  <c r="D2321" i="9"/>
  <c r="D2320" i="9"/>
  <c r="D2319" i="9"/>
  <c r="D2318" i="9"/>
  <c r="D2317" i="9"/>
  <c r="D2316" i="9"/>
  <c r="D2315" i="9"/>
  <c r="D2314" i="9"/>
  <c r="D2313" i="9"/>
  <c r="D2312" i="9"/>
  <c r="D2311" i="9"/>
  <c r="D2310" i="9"/>
  <c r="D2309" i="9"/>
  <c r="D2308" i="9"/>
  <c r="D2307" i="9"/>
  <c r="D2306" i="9"/>
  <c r="D2305" i="9"/>
  <c r="D2304" i="9"/>
  <c r="D2303" i="9"/>
  <c r="D2302" i="9"/>
  <c r="D2301" i="9"/>
  <c r="D2300" i="9"/>
  <c r="D2299" i="9"/>
  <c r="D2298" i="9"/>
  <c r="D2297" i="9"/>
  <c r="D2296" i="9"/>
  <c r="D2295" i="9"/>
  <c r="D2294" i="9"/>
  <c r="D2293" i="9"/>
  <c r="D2292" i="9"/>
  <c r="D2291" i="9"/>
  <c r="D2290" i="9"/>
  <c r="D2289" i="9"/>
  <c r="D2288" i="9"/>
  <c r="D2287" i="9"/>
  <c r="D2286" i="9"/>
  <c r="D2285" i="9"/>
  <c r="D2284" i="9"/>
  <c r="D2283" i="9"/>
  <c r="D2282" i="9"/>
  <c r="D2281" i="9"/>
  <c r="D2280" i="9"/>
  <c r="D2279" i="9"/>
  <c r="D2278" i="9"/>
  <c r="D2277" i="9"/>
  <c r="D2276" i="9"/>
  <c r="D2275" i="9"/>
  <c r="D2274" i="9"/>
  <c r="D2273" i="9"/>
  <c r="D2272" i="9"/>
  <c r="D2271" i="9"/>
  <c r="D2270" i="9"/>
  <c r="D2269" i="9"/>
  <c r="D2268" i="9"/>
  <c r="D2267" i="9"/>
  <c r="D2266" i="9"/>
  <c r="D2265" i="9"/>
  <c r="D2264" i="9"/>
  <c r="D2263" i="9"/>
  <c r="D2262" i="9"/>
  <c r="D2261" i="9"/>
  <c r="D2260" i="9"/>
  <c r="D2259" i="9"/>
  <c r="D2258" i="9"/>
  <c r="D2257" i="9"/>
  <c r="D2256" i="9"/>
  <c r="D2255" i="9"/>
  <c r="D2254" i="9"/>
  <c r="D2253" i="9"/>
  <c r="D2252" i="9"/>
  <c r="D2251" i="9"/>
  <c r="D2250" i="9"/>
  <c r="D2249" i="9"/>
  <c r="D2248" i="9"/>
  <c r="D2247" i="9"/>
  <c r="D2246" i="9"/>
  <c r="D2245" i="9"/>
  <c r="D2244" i="9"/>
  <c r="D2243" i="9"/>
  <c r="D2242" i="9"/>
  <c r="D2241" i="9"/>
  <c r="D2240" i="9"/>
  <c r="D2239" i="9"/>
  <c r="D2238" i="9"/>
  <c r="D2237" i="9"/>
  <c r="D2236" i="9"/>
  <c r="D2235" i="9"/>
  <c r="D2234" i="9"/>
  <c r="D2233" i="9"/>
  <c r="D2232" i="9"/>
  <c r="D2231" i="9"/>
  <c r="D2230" i="9"/>
  <c r="D2229" i="9"/>
  <c r="D2228" i="9"/>
  <c r="D2227" i="9"/>
  <c r="D2226" i="9"/>
  <c r="D2225" i="9"/>
  <c r="D2224" i="9"/>
  <c r="D2223" i="9"/>
  <c r="D2222" i="9"/>
  <c r="D2221" i="9"/>
  <c r="D2220" i="9"/>
  <c r="D2219" i="9"/>
  <c r="D2218" i="9"/>
  <c r="D2217" i="9"/>
  <c r="D2216" i="9"/>
  <c r="D2215" i="9"/>
  <c r="D2214" i="9"/>
  <c r="D2213" i="9"/>
  <c r="D2212" i="9"/>
  <c r="D2211" i="9"/>
  <c r="D2210" i="9"/>
  <c r="D2209" i="9"/>
  <c r="D2208" i="9"/>
  <c r="D2207" i="9"/>
  <c r="D2206" i="9"/>
  <c r="D2205" i="9"/>
  <c r="D2204" i="9"/>
  <c r="D2203" i="9"/>
  <c r="D2202" i="9"/>
  <c r="D2201" i="9"/>
  <c r="D2200" i="9"/>
  <c r="D2199" i="9"/>
  <c r="D2198" i="9"/>
  <c r="D2197" i="9"/>
  <c r="D2196" i="9"/>
  <c r="D2195" i="9"/>
  <c r="D2194" i="9"/>
  <c r="D2193" i="9"/>
  <c r="D2192" i="9"/>
  <c r="D2191" i="9"/>
  <c r="D2190" i="9"/>
  <c r="D2189" i="9"/>
  <c r="D2188" i="9"/>
  <c r="D2187" i="9"/>
  <c r="D2186" i="9"/>
  <c r="D2185" i="9"/>
  <c r="D2184" i="9"/>
  <c r="D2183" i="9"/>
  <c r="D2182" i="9"/>
  <c r="D2181" i="9"/>
  <c r="D2180" i="9"/>
  <c r="D2179" i="9"/>
  <c r="D2178" i="9"/>
  <c r="D2177" i="9"/>
  <c r="D2176" i="9"/>
  <c r="D2175" i="9"/>
  <c r="D2174" i="9"/>
  <c r="D2173" i="9"/>
  <c r="D2172" i="9"/>
  <c r="D2171" i="9"/>
  <c r="D2170" i="9"/>
  <c r="D2169" i="9"/>
  <c r="D2168" i="9"/>
  <c r="D2167" i="9"/>
  <c r="D2166" i="9"/>
  <c r="D2165" i="9"/>
  <c r="D2164" i="9"/>
  <c r="D2163" i="9"/>
  <c r="D2162" i="9"/>
  <c r="D2161" i="9"/>
  <c r="D2160" i="9"/>
  <c r="D2159" i="9"/>
  <c r="D2158" i="9"/>
  <c r="D2157" i="9"/>
  <c r="D2156" i="9"/>
  <c r="D2155" i="9"/>
  <c r="D2154" i="9"/>
  <c r="D2153" i="9"/>
  <c r="D2152" i="9"/>
  <c r="D2151" i="9"/>
  <c r="D2150" i="9"/>
  <c r="D2149" i="9"/>
  <c r="D2148" i="9"/>
  <c r="D2147" i="9"/>
  <c r="D2146" i="9"/>
  <c r="D2145" i="9"/>
  <c r="D2144" i="9"/>
  <c r="D2143" i="9"/>
  <c r="D2142" i="9"/>
  <c r="D2141" i="9"/>
  <c r="D2140" i="9"/>
  <c r="D2139" i="9"/>
  <c r="D2138" i="9"/>
  <c r="D2137" i="9"/>
  <c r="D2136" i="9"/>
  <c r="D2135" i="9"/>
  <c r="D2134" i="9"/>
  <c r="D2133" i="9"/>
  <c r="D2132" i="9"/>
  <c r="D2131" i="9"/>
  <c r="D2130" i="9"/>
  <c r="D2129" i="9"/>
  <c r="D2128" i="9"/>
  <c r="D2127" i="9"/>
  <c r="D2126" i="9"/>
  <c r="D2125" i="9"/>
  <c r="D2124" i="9"/>
  <c r="D2123" i="9"/>
  <c r="D2122" i="9"/>
  <c r="D2121" i="9"/>
  <c r="D2120" i="9"/>
  <c r="D2119" i="9"/>
  <c r="D2118" i="9"/>
  <c r="D2117" i="9"/>
  <c r="D2116" i="9"/>
  <c r="D2115" i="9"/>
  <c r="D2114" i="9"/>
  <c r="D2113" i="9"/>
  <c r="D2112" i="9"/>
  <c r="D2111" i="9"/>
  <c r="D2110" i="9"/>
  <c r="D2109" i="9"/>
  <c r="D2108" i="9"/>
  <c r="D2107" i="9"/>
  <c r="D2106" i="9"/>
  <c r="D2105" i="9"/>
  <c r="D2104" i="9"/>
  <c r="D2103" i="9"/>
  <c r="D2102" i="9"/>
  <c r="D2101" i="9"/>
  <c r="D2100" i="9"/>
  <c r="D2099" i="9"/>
  <c r="D2098" i="9"/>
  <c r="D2097" i="9"/>
  <c r="D2096" i="9"/>
  <c r="D2095" i="9"/>
  <c r="D2094" i="9"/>
  <c r="D2093" i="9"/>
  <c r="D2092" i="9"/>
  <c r="D2091" i="9"/>
  <c r="D2090" i="9"/>
  <c r="D2089" i="9"/>
  <c r="D2088" i="9"/>
  <c r="D2087" i="9"/>
  <c r="D2086" i="9"/>
  <c r="D2085" i="9"/>
  <c r="D2084" i="9"/>
  <c r="D2083" i="9"/>
  <c r="D2082" i="9"/>
  <c r="D2081" i="9"/>
  <c r="D2080" i="9"/>
  <c r="D2079" i="9"/>
  <c r="D2078" i="9"/>
  <c r="D2077" i="9"/>
  <c r="D2076" i="9"/>
  <c r="D2075" i="9"/>
  <c r="D2074" i="9"/>
  <c r="D2073" i="9"/>
  <c r="D2072" i="9"/>
  <c r="D2071" i="9"/>
  <c r="D2070" i="9"/>
  <c r="D2069" i="9"/>
  <c r="D2068" i="9"/>
  <c r="D2067" i="9"/>
  <c r="D2066" i="9"/>
  <c r="D2065" i="9"/>
  <c r="D2064" i="9"/>
  <c r="D2063" i="9"/>
  <c r="D2062" i="9"/>
  <c r="D2061" i="9"/>
  <c r="D2060" i="9"/>
  <c r="D2059" i="9"/>
  <c r="D2058" i="9"/>
  <c r="D2057" i="9"/>
  <c r="D2056" i="9"/>
  <c r="D2055" i="9"/>
  <c r="D2054" i="9"/>
  <c r="D2053" i="9"/>
  <c r="D2052" i="9"/>
  <c r="D2051" i="9"/>
  <c r="D2050" i="9"/>
  <c r="D2049" i="9"/>
  <c r="D2048" i="9"/>
  <c r="D2047" i="9"/>
  <c r="D2046" i="9"/>
  <c r="D2045" i="9"/>
  <c r="D2044" i="9"/>
  <c r="D2043" i="9"/>
  <c r="D2042" i="9"/>
  <c r="D2041" i="9"/>
  <c r="D2040" i="9"/>
  <c r="D2039" i="9"/>
  <c r="D2038" i="9"/>
  <c r="D2037" i="9"/>
  <c r="D2036" i="9"/>
  <c r="D2035" i="9"/>
  <c r="D2034" i="9"/>
  <c r="D2033" i="9"/>
  <c r="D2032" i="9"/>
  <c r="D2031" i="9"/>
  <c r="D2030" i="9"/>
  <c r="D2029" i="9"/>
  <c r="D2028" i="9"/>
  <c r="D2027" i="9"/>
  <c r="D2026" i="9"/>
  <c r="D2025" i="9"/>
  <c r="D2024" i="9"/>
  <c r="D2023" i="9"/>
  <c r="D2022" i="9"/>
  <c r="D2021" i="9"/>
  <c r="D2020" i="9"/>
  <c r="D2019" i="9"/>
  <c r="D2018" i="9"/>
  <c r="D2017" i="9"/>
  <c r="D2016" i="9"/>
  <c r="D2015" i="9"/>
  <c r="D2014" i="9"/>
  <c r="D2013" i="9"/>
  <c r="D2012" i="9"/>
  <c r="D2011" i="9"/>
  <c r="D2010" i="9"/>
  <c r="D2009" i="9"/>
  <c r="D2008" i="9"/>
  <c r="D2007" i="9"/>
  <c r="D2006" i="9"/>
  <c r="D2005" i="9"/>
  <c r="D2004" i="9"/>
  <c r="D2003" i="9"/>
  <c r="D2002" i="9"/>
  <c r="D2001" i="9"/>
  <c r="D2000" i="9"/>
  <c r="D1999" i="9"/>
  <c r="D1998" i="9"/>
  <c r="D1997" i="9"/>
  <c r="D1996" i="9"/>
  <c r="D1995" i="9"/>
  <c r="D1994" i="9"/>
  <c r="D1993" i="9"/>
  <c r="D1992" i="9"/>
  <c r="D1991" i="9"/>
  <c r="D1990" i="9"/>
  <c r="D1989" i="9"/>
  <c r="D1988" i="9"/>
  <c r="D1987" i="9"/>
  <c r="D1986" i="9"/>
  <c r="D1985" i="9"/>
  <c r="D1984" i="9"/>
  <c r="D1983" i="9"/>
  <c r="D1982" i="9"/>
  <c r="D1981" i="9"/>
  <c r="D1980" i="9"/>
  <c r="D1979" i="9"/>
  <c r="D1978" i="9"/>
  <c r="D1977" i="9"/>
  <c r="D1976" i="9"/>
  <c r="D1975" i="9"/>
  <c r="D1974" i="9"/>
  <c r="D1973" i="9"/>
  <c r="D1972" i="9"/>
  <c r="D1971" i="9"/>
  <c r="D1970" i="9"/>
  <c r="D1969" i="9"/>
  <c r="D1968" i="9"/>
  <c r="D1967" i="9"/>
  <c r="D1966" i="9"/>
  <c r="D1965" i="9"/>
  <c r="D1964" i="9"/>
  <c r="D1963" i="9"/>
  <c r="D1962" i="9"/>
  <c r="D1961" i="9"/>
  <c r="D1960" i="9"/>
  <c r="D1959" i="9"/>
  <c r="D1958" i="9"/>
  <c r="D1957" i="9"/>
  <c r="D1956" i="9"/>
  <c r="D1955" i="9"/>
  <c r="D1954" i="9"/>
  <c r="D1953" i="9"/>
  <c r="D1952" i="9"/>
  <c r="D1951" i="9"/>
  <c r="D1950" i="9"/>
  <c r="D1949" i="9"/>
  <c r="D1948" i="9"/>
  <c r="D1947" i="9"/>
  <c r="D1946" i="9"/>
  <c r="D1945" i="9"/>
  <c r="D1944" i="9"/>
  <c r="D1943" i="9"/>
  <c r="D1942" i="9"/>
  <c r="D1941" i="9"/>
  <c r="D1940" i="9"/>
  <c r="D1939" i="9"/>
  <c r="D1938" i="9"/>
  <c r="D1937" i="9"/>
  <c r="D1936" i="9"/>
  <c r="D1935" i="9"/>
  <c r="D1934" i="9"/>
  <c r="D1933" i="9"/>
  <c r="D1932" i="9"/>
  <c r="D1931" i="9"/>
  <c r="D1930" i="9"/>
  <c r="D1929" i="9"/>
  <c r="D1928" i="9"/>
  <c r="D1927" i="9"/>
  <c r="D1926" i="9"/>
  <c r="D1925" i="9"/>
  <c r="D1924" i="9"/>
  <c r="D1923" i="9"/>
  <c r="D1922" i="9"/>
  <c r="D1921" i="9"/>
  <c r="D1920" i="9"/>
  <c r="D1919" i="9"/>
  <c r="D1918" i="9"/>
  <c r="D1917" i="9"/>
  <c r="D1916" i="9"/>
  <c r="D1915" i="9"/>
  <c r="D1914" i="9"/>
  <c r="D1913" i="9"/>
  <c r="D1912" i="9"/>
  <c r="D1911" i="9"/>
  <c r="D1910" i="9"/>
  <c r="D1909" i="9"/>
  <c r="D1908" i="9"/>
  <c r="D1907" i="9"/>
  <c r="D1906" i="9"/>
  <c r="D1905" i="9"/>
  <c r="D1904" i="9"/>
  <c r="D1903" i="9"/>
  <c r="D1902" i="9"/>
  <c r="D1901" i="9"/>
  <c r="D1900" i="9"/>
  <c r="D1899" i="9"/>
  <c r="D1898" i="9"/>
  <c r="D1897" i="9"/>
  <c r="D1896" i="9"/>
  <c r="D1895" i="9"/>
  <c r="D1894" i="9"/>
  <c r="D1893" i="9"/>
  <c r="D1892" i="9"/>
  <c r="D1891" i="9"/>
  <c r="D1890" i="9"/>
  <c r="D1889" i="9"/>
  <c r="D1888" i="9"/>
  <c r="D1887" i="9"/>
  <c r="D1886" i="9"/>
  <c r="D1885" i="9"/>
  <c r="D1884" i="9"/>
  <c r="D1883" i="9"/>
  <c r="D1882" i="9"/>
  <c r="D1881" i="9"/>
  <c r="D1880" i="9"/>
  <c r="D1879" i="9"/>
  <c r="D1878" i="9"/>
  <c r="D1877" i="9"/>
  <c r="D1876" i="9"/>
  <c r="D1875" i="9"/>
  <c r="D1874" i="9"/>
  <c r="D1873" i="9"/>
  <c r="D1872" i="9"/>
  <c r="D1871" i="9"/>
  <c r="D1870" i="9"/>
  <c r="D1869" i="9"/>
  <c r="D1868" i="9"/>
  <c r="D1867" i="9"/>
  <c r="D1866" i="9"/>
  <c r="D1865" i="9"/>
  <c r="D1864" i="9"/>
  <c r="D1863" i="9"/>
  <c r="D1862" i="9"/>
  <c r="D1861" i="9"/>
  <c r="D1860" i="9"/>
  <c r="D1859" i="9"/>
  <c r="D1858" i="9"/>
  <c r="D1857" i="9"/>
  <c r="D1856" i="9"/>
  <c r="D1855" i="9"/>
  <c r="D1854" i="9"/>
  <c r="D1853" i="9"/>
  <c r="D1852" i="9"/>
  <c r="D1851" i="9"/>
  <c r="D1850" i="9"/>
  <c r="D1849" i="9"/>
  <c r="D1848" i="9"/>
  <c r="D1847" i="9"/>
  <c r="D1846" i="9"/>
  <c r="D1845" i="9"/>
  <c r="D1844" i="9"/>
  <c r="D1843" i="9"/>
  <c r="D1842" i="9"/>
  <c r="D1841" i="9"/>
  <c r="D1840" i="9"/>
  <c r="D1839" i="9"/>
  <c r="D1838" i="9"/>
  <c r="D1837" i="9"/>
  <c r="D1836" i="9"/>
  <c r="D1835" i="9"/>
  <c r="D1834" i="9"/>
  <c r="D1833" i="9"/>
  <c r="D1832" i="9"/>
  <c r="D1831" i="9"/>
  <c r="D1830" i="9"/>
  <c r="D1829" i="9"/>
  <c r="D1828" i="9"/>
  <c r="D1827" i="9"/>
  <c r="D1826" i="9"/>
  <c r="D1825" i="9"/>
  <c r="D1824" i="9"/>
  <c r="D1823" i="9"/>
  <c r="D1822" i="9"/>
  <c r="D1821" i="9"/>
  <c r="D1820" i="9"/>
  <c r="D1819" i="9"/>
  <c r="D1818" i="9"/>
  <c r="D1817" i="9"/>
  <c r="D1816" i="9"/>
  <c r="D1815" i="9"/>
  <c r="D1814" i="9"/>
  <c r="D1813" i="9"/>
  <c r="D1812" i="9"/>
  <c r="D1811" i="9"/>
  <c r="D1810" i="9"/>
  <c r="D1809" i="9"/>
  <c r="D1808" i="9"/>
  <c r="D1807" i="9"/>
  <c r="D1806" i="9"/>
  <c r="D1805" i="9"/>
  <c r="D1804" i="9"/>
  <c r="D1803" i="9"/>
  <c r="D1802" i="9"/>
  <c r="D1801" i="9"/>
  <c r="D1800" i="9"/>
  <c r="D1799" i="9"/>
  <c r="D1798" i="9"/>
  <c r="D1797" i="9"/>
  <c r="D1796" i="9"/>
  <c r="D1795" i="9"/>
  <c r="D1794" i="9"/>
  <c r="D1793" i="9"/>
  <c r="D1792" i="9"/>
  <c r="D1791" i="9"/>
  <c r="D1790" i="9"/>
  <c r="D1789" i="9"/>
  <c r="D1788" i="9"/>
  <c r="D1787" i="9"/>
  <c r="D1786" i="9"/>
  <c r="D1785" i="9"/>
  <c r="D1784" i="9"/>
  <c r="D1783" i="9"/>
  <c r="D1782" i="9"/>
  <c r="D1781" i="9"/>
  <c r="D1780" i="9"/>
  <c r="D1779" i="9"/>
  <c r="D1778" i="9"/>
  <c r="D1777" i="9"/>
  <c r="D1776" i="9"/>
  <c r="D1775" i="9"/>
  <c r="D1774" i="9"/>
  <c r="D1773" i="9"/>
  <c r="D1772" i="9"/>
  <c r="D1771" i="9"/>
  <c r="D1770" i="9"/>
  <c r="D1769" i="9"/>
  <c r="D1768" i="9"/>
  <c r="D1767" i="9"/>
  <c r="D1766" i="9"/>
  <c r="D1765" i="9"/>
  <c r="D1764" i="9"/>
  <c r="D1763" i="9"/>
  <c r="D1762" i="9"/>
  <c r="D1761" i="9"/>
  <c r="D1760" i="9"/>
  <c r="D1759" i="9"/>
  <c r="D1758" i="9"/>
  <c r="D1757" i="9"/>
  <c r="D1756" i="9"/>
  <c r="D1755" i="9"/>
  <c r="D1754" i="9"/>
  <c r="D1753" i="9"/>
  <c r="D1752" i="9"/>
  <c r="D1751" i="9"/>
  <c r="D1750" i="9"/>
  <c r="D1749" i="9"/>
  <c r="D1748" i="9"/>
  <c r="D1747" i="9"/>
  <c r="D1746" i="9"/>
  <c r="D1745" i="9"/>
  <c r="D1744" i="9"/>
  <c r="D1743" i="9"/>
  <c r="D1742" i="9"/>
  <c r="D1741" i="9"/>
  <c r="D1740" i="9"/>
  <c r="D1739" i="9"/>
  <c r="D1738" i="9"/>
  <c r="D1737" i="9"/>
  <c r="D1736" i="9"/>
  <c r="D1735" i="9"/>
  <c r="D1734" i="9"/>
  <c r="D1733" i="9"/>
  <c r="D1732" i="9"/>
  <c r="D1731" i="9"/>
  <c r="D1730" i="9"/>
  <c r="D1729" i="9"/>
  <c r="D1728" i="9"/>
  <c r="D1727" i="9"/>
  <c r="D1726" i="9"/>
  <c r="D1725" i="9"/>
  <c r="D1724" i="9"/>
  <c r="D1723" i="9"/>
  <c r="D1722" i="9"/>
  <c r="D1721" i="9"/>
  <c r="D1720" i="9"/>
  <c r="D1719" i="9"/>
  <c r="D1718" i="9"/>
  <c r="D1717" i="9"/>
  <c r="D1716" i="9"/>
  <c r="D1715" i="9"/>
  <c r="D1714" i="9"/>
  <c r="D1713" i="9"/>
  <c r="D1712" i="9"/>
  <c r="D1711" i="9"/>
  <c r="D1710" i="9"/>
  <c r="D1709" i="9"/>
  <c r="D1708" i="9"/>
  <c r="D1707" i="9"/>
  <c r="D1706" i="9"/>
  <c r="D1705" i="9"/>
  <c r="D1704" i="9"/>
  <c r="D1703" i="9"/>
  <c r="D1702" i="9"/>
  <c r="D1701" i="9"/>
  <c r="D1700" i="9"/>
  <c r="D1699" i="9"/>
  <c r="D1698" i="9"/>
  <c r="D1697" i="9"/>
  <c r="D1696" i="9"/>
  <c r="D1695" i="9"/>
  <c r="D1694" i="9"/>
  <c r="D1693" i="9"/>
  <c r="D1692" i="9"/>
  <c r="D1691" i="9"/>
  <c r="D1690" i="9"/>
  <c r="D1689" i="9"/>
  <c r="D1688" i="9"/>
  <c r="D1687" i="9"/>
  <c r="D1686" i="9"/>
  <c r="D1685" i="9"/>
  <c r="D1684" i="9"/>
  <c r="D1683" i="9"/>
  <c r="D1682" i="9"/>
  <c r="D1681" i="9"/>
  <c r="D1680" i="9"/>
  <c r="D1679" i="9"/>
  <c r="D1678" i="9"/>
  <c r="D1677" i="9"/>
  <c r="D1676" i="9"/>
  <c r="D1675" i="9"/>
  <c r="D1674" i="9"/>
  <c r="D1673" i="9"/>
  <c r="D1672" i="9"/>
  <c r="D1671" i="9"/>
  <c r="D1670" i="9"/>
  <c r="D1669" i="9"/>
  <c r="D1668" i="9"/>
  <c r="D1667" i="9"/>
  <c r="D1666" i="9"/>
  <c r="D1665" i="9"/>
  <c r="D1664" i="9"/>
  <c r="D1663" i="9"/>
  <c r="D1662" i="9"/>
  <c r="D1661" i="9"/>
  <c r="D1660" i="9"/>
  <c r="D1659" i="9"/>
  <c r="D1658" i="9"/>
  <c r="D1657" i="9"/>
  <c r="D1656" i="9"/>
  <c r="D1655" i="9"/>
  <c r="D1654" i="9"/>
  <c r="D1653" i="9"/>
  <c r="D1652" i="9"/>
  <c r="D1651" i="9"/>
  <c r="D1650" i="9"/>
  <c r="D1649" i="9"/>
  <c r="D1648" i="9"/>
  <c r="D1647" i="9"/>
  <c r="D1646" i="9"/>
  <c r="D1645" i="9"/>
  <c r="D1644" i="9"/>
  <c r="D1643" i="9"/>
  <c r="D1642" i="9"/>
  <c r="D1641" i="9"/>
  <c r="D1640" i="9"/>
  <c r="D1639" i="9"/>
  <c r="D1638" i="9"/>
  <c r="D1637" i="9"/>
  <c r="D1636" i="9"/>
  <c r="D1635" i="9"/>
  <c r="D1634" i="9"/>
  <c r="D1633" i="9"/>
  <c r="D1632" i="9"/>
  <c r="D1631" i="9"/>
  <c r="D1630" i="9"/>
  <c r="D1629" i="9"/>
  <c r="D1628" i="9"/>
  <c r="D1627" i="9"/>
  <c r="D1626" i="9"/>
  <c r="D1625" i="9"/>
  <c r="D1624" i="9"/>
  <c r="D1623" i="9"/>
  <c r="D1622" i="9"/>
  <c r="D1621" i="9"/>
  <c r="D1620" i="9"/>
  <c r="D1619" i="9"/>
  <c r="D1618" i="9"/>
  <c r="D1617" i="9"/>
  <c r="D1616" i="9"/>
  <c r="D1615" i="9"/>
  <c r="D1614" i="9"/>
  <c r="D1613" i="9"/>
  <c r="D1612" i="9"/>
  <c r="D1611" i="9"/>
  <c r="D1610" i="9"/>
  <c r="D1609" i="9"/>
  <c r="D1608" i="9"/>
  <c r="D1607" i="9"/>
  <c r="D1606" i="9"/>
  <c r="D1605" i="9"/>
  <c r="D1604" i="9"/>
  <c r="D1603" i="9"/>
  <c r="D1602" i="9"/>
  <c r="D1601" i="9"/>
  <c r="D1600" i="9"/>
  <c r="D1599" i="9"/>
  <c r="D1598" i="9"/>
  <c r="D1597" i="9"/>
  <c r="D1596" i="9"/>
  <c r="D1595" i="9"/>
  <c r="D1594" i="9"/>
  <c r="D1593" i="9"/>
  <c r="D1592" i="9"/>
  <c r="D1591" i="9"/>
  <c r="D1590" i="9"/>
  <c r="D1589" i="9"/>
  <c r="D1588" i="9"/>
  <c r="D1587" i="9"/>
  <c r="D1586" i="9"/>
  <c r="D1585" i="9"/>
  <c r="D1584" i="9"/>
  <c r="D1583" i="9"/>
  <c r="D1582" i="9"/>
  <c r="D1581" i="9"/>
  <c r="D1580" i="9"/>
  <c r="D1579" i="9"/>
  <c r="D1578" i="9"/>
  <c r="D1577" i="9"/>
  <c r="D1576" i="9"/>
  <c r="D1575" i="9"/>
  <c r="D1574" i="9"/>
  <c r="D1573" i="9"/>
  <c r="D1572" i="9"/>
  <c r="D1571" i="9"/>
  <c r="D1570" i="9"/>
  <c r="D1569" i="9"/>
  <c r="D1568" i="9"/>
  <c r="D1567" i="9"/>
  <c r="D1566" i="9"/>
  <c r="D1565" i="9"/>
  <c r="D1564" i="9"/>
  <c r="D1563" i="9"/>
  <c r="D1562" i="9"/>
  <c r="D1561" i="9"/>
  <c r="D1560" i="9"/>
  <c r="D1559" i="9"/>
  <c r="D1558" i="9"/>
  <c r="D1557" i="9"/>
  <c r="D1556" i="9"/>
  <c r="D1555" i="9"/>
  <c r="D1554" i="9"/>
  <c r="D1553" i="9"/>
  <c r="D1552" i="9"/>
  <c r="D1551" i="9"/>
  <c r="D1550" i="9"/>
  <c r="D1549" i="9"/>
  <c r="D1548" i="9"/>
  <c r="D1547" i="9"/>
  <c r="D1546" i="9"/>
  <c r="D1545" i="9"/>
  <c r="D1544" i="9"/>
  <c r="D1543" i="9"/>
  <c r="D1542" i="9"/>
  <c r="D1541" i="9"/>
  <c r="D1540" i="9"/>
  <c r="D1539" i="9"/>
  <c r="D1538" i="9"/>
  <c r="D1537" i="9"/>
  <c r="D1536" i="9"/>
  <c r="D1535" i="9"/>
  <c r="D1534" i="9"/>
  <c r="D1533" i="9"/>
  <c r="D1532" i="9"/>
  <c r="D1531" i="9"/>
  <c r="D1530" i="9"/>
  <c r="D1529" i="9"/>
  <c r="D1528" i="9"/>
  <c r="D1527" i="9"/>
  <c r="D1526" i="9"/>
  <c r="D1525" i="9"/>
  <c r="D1524" i="9"/>
  <c r="D1523" i="9"/>
  <c r="D1522" i="9"/>
  <c r="D1521" i="9"/>
  <c r="D1520" i="9"/>
  <c r="D1519" i="9"/>
  <c r="D1518" i="9"/>
  <c r="D1517" i="9"/>
  <c r="D1516" i="9"/>
  <c r="D1515" i="9"/>
  <c r="D1514" i="9"/>
  <c r="D1513" i="9"/>
  <c r="D1512" i="9"/>
  <c r="D1511" i="9"/>
  <c r="D1510" i="9"/>
  <c r="D1509" i="9"/>
  <c r="D1508" i="9"/>
  <c r="D1507" i="9"/>
  <c r="D1506" i="9"/>
  <c r="D1505" i="9"/>
  <c r="D1504" i="9"/>
  <c r="D1503" i="9"/>
  <c r="D1502" i="9"/>
  <c r="D1501" i="9"/>
  <c r="D1500" i="9"/>
  <c r="D1499" i="9"/>
  <c r="D1498" i="9"/>
  <c r="D1497" i="9"/>
  <c r="D1496" i="9"/>
  <c r="D1495" i="9"/>
  <c r="D1494" i="9"/>
  <c r="D1493" i="9"/>
  <c r="D1492" i="9"/>
  <c r="D1491" i="9"/>
  <c r="D1490" i="9"/>
  <c r="D1489" i="9"/>
  <c r="D1488" i="9"/>
  <c r="D1487" i="9"/>
  <c r="D1486" i="9"/>
  <c r="D1485" i="9"/>
  <c r="D1484" i="9"/>
  <c r="D1483" i="9"/>
  <c r="D1482" i="9"/>
  <c r="D1481" i="9"/>
  <c r="D1480" i="9"/>
  <c r="D1479" i="9"/>
  <c r="D1478" i="9"/>
  <c r="D1477" i="9"/>
  <c r="D1476" i="9"/>
  <c r="D1475" i="9"/>
  <c r="D1474" i="9"/>
  <c r="D1473" i="9"/>
  <c r="D1472" i="9"/>
  <c r="D1471" i="9"/>
  <c r="D1470" i="9"/>
  <c r="D1469" i="9"/>
  <c r="D1468" i="9"/>
  <c r="D1467" i="9"/>
  <c r="D1466" i="9"/>
  <c r="D1465" i="9"/>
  <c r="D1464" i="9"/>
  <c r="D1463" i="9"/>
  <c r="D1462" i="9"/>
  <c r="D1461" i="9"/>
  <c r="D1460" i="9"/>
  <c r="D1459" i="9"/>
  <c r="D1458" i="9"/>
  <c r="D1457" i="9"/>
  <c r="D1456" i="9"/>
  <c r="D1455" i="9"/>
  <c r="D1454" i="9"/>
  <c r="D1453" i="9"/>
  <c r="D1452" i="9"/>
  <c r="D1451" i="9"/>
  <c r="D1450" i="9"/>
  <c r="D1449" i="9"/>
  <c r="D1448" i="9"/>
  <c r="D1447" i="9"/>
  <c r="D1446" i="9"/>
  <c r="D1445" i="9"/>
  <c r="D1444" i="9"/>
  <c r="D1443" i="9"/>
  <c r="D1442" i="9"/>
  <c r="D1441" i="9"/>
  <c r="D1440" i="9"/>
  <c r="D1439" i="9"/>
  <c r="D1438" i="9"/>
  <c r="D1437" i="9"/>
  <c r="D1436" i="9"/>
  <c r="D1435" i="9"/>
  <c r="D1434" i="9"/>
  <c r="D1433" i="9"/>
  <c r="D1432" i="9"/>
  <c r="D1431" i="9"/>
  <c r="D1430" i="9"/>
  <c r="D1429" i="9"/>
  <c r="D1428" i="9"/>
  <c r="D1427" i="9"/>
  <c r="D1426" i="9"/>
  <c r="D1425" i="9"/>
  <c r="D1424" i="9"/>
  <c r="D1423" i="9"/>
  <c r="D1422" i="9"/>
  <c r="D1421" i="9"/>
  <c r="D1420" i="9"/>
  <c r="D1419" i="9"/>
  <c r="D1418" i="9"/>
  <c r="D1417" i="9"/>
  <c r="D1416" i="9"/>
  <c r="D1415" i="9"/>
  <c r="D1414" i="9"/>
  <c r="D1413" i="9"/>
  <c r="D1412" i="9"/>
  <c r="D1411" i="9"/>
  <c r="D1410" i="9"/>
  <c r="D1409" i="9"/>
  <c r="D1408" i="9"/>
  <c r="D1407" i="9"/>
  <c r="D1406" i="9"/>
  <c r="D1405" i="9"/>
  <c r="D1404" i="9"/>
  <c r="D1403" i="9"/>
  <c r="D1402" i="9"/>
  <c r="D1401" i="9"/>
  <c r="D1400" i="9"/>
  <c r="D1399" i="9"/>
  <c r="D1398" i="9"/>
  <c r="D1397" i="9"/>
  <c r="D1396" i="9"/>
  <c r="D1395" i="9"/>
  <c r="D1394" i="9"/>
  <c r="D1393" i="9"/>
  <c r="D1392" i="9"/>
  <c r="D1391" i="9"/>
  <c r="D1390" i="9"/>
  <c r="D1389" i="9"/>
  <c r="D1388" i="9"/>
  <c r="D1387" i="9"/>
  <c r="D1386" i="9"/>
  <c r="D1385" i="9"/>
  <c r="D1384" i="9"/>
  <c r="D1383" i="9"/>
  <c r="D1382" i="9"/>
  <c r="D1381" i="9"/>
  <c r="D1380" i="9"/>
  <c r="D1379" i="9"/>
  <c r="D1378" i="9"/>
  <c r="D1377" i="9"/>
  <c r="D1376" i="9"/>
  <c r="D1375" i="9"/>
  <c r="D1374" i="9"/>
  <c r="D1373" i="9"/>
  <c r="D1372" i="9"/>
  <c r="D1371" i="9"/>
  <c r="D1370" i="9"/>
  <c r="D1369" i="9"/>
  <c r="D1368" i="9"/>
  <c r="D1367" i="9"/>
  <c r="D1366" i="9"/>
  <c r="D1365" i="9"/>
  <c r="D1364" i="9"/>
  <c r="D1363" i="9"/>
  <c r="D1362" i="9"/>
  <c r="D1361" i="9"/>
  <c r="D1360" i="9"/>
  <c r="D1359" i="9"/>
  <c r="D1358" i="9"/>
  <c r="D1357" i="9"/>
  <c r="D1356" i="9"/>
  <c r="D1355" i="9"/>
  <c r="D1354" i="9"/>
  <c r="D1353" i="9"/>
  <c r="D1352" i="9"/>
  <c r="D1351" i="9"/>
  <c r="D1350" i="9"/>
  <c r="D1349" i="9"/>
  <c r="D1348" i="9"/>
  <c r="D1347" i="9"/>
  <c r="D1346" i="9"/>
  <c r="D1345" i="9"/>
  <c r="D1344" i="9"/>
  <c r="D1343" i="9"/>
  <c r="D1342" i="9"/>
  <c r="D1341" i="9"/>
  <c r="D1340" i="9"/>
  <c r="D1339" i="9"/>
  <c r="D1338" i="9"/>
  <c r="D1337" i="9"/>
  <c r="D1336" i="9"/>
  <c r="D1335" i="9"/>
  <c r="D1334" i="9"/>
  <c r="D1333" i="9"/>
  <c r="D1332" i="9"/>
  <c r="D1331" i="9"/>
  <c r="D1330" i="9"/>
  <c r="D1329" i="9"/>
  <c r="D1328" i="9"/>
  <c r="D1327" i="9"/>
  <c r="D1326" i="9"/>
  <c r="D1325" i="9"/>
  <c r="D1324" i="9"/>
  <c r="D1323" i="9"/>
  <c r="D1322" i="9"/>
  <c r="D1321" i="9"/>
  <c r="D1320" i="9"/>
  <c r="D1319" i="9"/>
  <c r="D1318" i="9"/>
  <c r="D1317" i="9"/>
  <c r="D1316" i="9"/>
  <c r="D1315" i="9"/>
  <c r="D1314" i="9"/>
  <c r="D1313" i="9"/>
  <c r="D1312" i="9"/>
  <c r="D1311" i="9"/>
  <c r="D1310" i="9"/>
  <c r="D1309" i="9"/>
  <c r="D1308" i="9"/>
  <c r="D1307" i="9"/>
  <c r="D1306" i="9"/>
  <c r="D1305" i="9"/>
  <c r="D1304" i="9"/>
  <c r="D1303" i="9"/>
  <c r="D1302" i="9"/>
  <c r="D1301" i="9"/>
  <c r="D1300" i="9"/>
  <c r="D1299" i="9"/>
  <c r="D1298" i="9"/>
  <c r="D1297" i="9"/>
  <c r="D1296" i="9"/>
  <c r="D1295" i="9"/>
  <c r="D1294" i="9"/>
  <c r="D1293" i="9"/>
  <c r="D1292" i="9"/>
  <c r="D1291" i="9"/>
  <c r="D1290" i="9"/>
  <c r="D1289" i="9"/>
  <c r="D1288" i="9"/>
  <c r="D1287" i="9"/>
  <c r="D1286" i="9"/>
  <c r="D1285" i="9"/>
  <c r="D1284" i="9"/>
  <c r="D1283" i="9"/>
  <c r="D1282" i="9"/>
  <c r="D1281" i="9"/>
  <c r="D1280" i="9"/>
  <c r="D1279" i="9"/>
  <c r="D1278" i="9"/>
  <c r="D1277" i="9"/>
  <c r="D1276" i="9"/>
  <c r="D1275" i="9"/>
  <c r="D1274" i="9"/>
  <c r="D1273" i="9"/>
  <c r="D1272" i="9"/>
  <c r="D1271" i="9"/>
  <c r="D1270" i="9"/>
  <c r="D1269" i="9"/>
  <c r="D1268" i="9"/>
  <c r="D1267" i="9"/>
  <c r="D1266" i="9"/>
  <c r="D1265" i="9"/>
  <c r="D1264" i="9"/>
  <c r="D1263" i="9"/>
  <c r="D1262" i="9"/>
  <c r="D1261" i="9"/>
  <c r="D1260" i="9"/>
  <c r="D1259" i="9"/>
  <c r="D1258" i="9"/>
  <c r="D1257" i="9"/>
  <c r="D1256" i="9"/>
  <c r="D1255" i="9"/>
  <c r="D1254" i="9"/>
  <c r="D1253" i="9"/>
  <c r="D1252" i="9"/>
  <c r="D1251" i="9"/>
  <c r="D1250" i="9"/>
  <c r="D1249" i="9"/>
  <c r="D1248" i="9"/>
  <c r="D1247" i="9"/>
  <c r="D1246" i="9"/>
  <c r="D1245" i="9"/>
  <c r="D1244" i="9"/>
  <c r="D1243" i="9"/>
  <c r="D1242" i="9"/>
  <c r="D1241" i="9"/>
  <c r="D1240" i="9"/>
  <c r="D1239" i="9"/>
  <c r="D1238" i="9"/>
  <c r="D1237" i="9"/>
  <c r="D1236" i="9"/>
  <c r="D1235" i="9"/>
  <c r="D1234" i="9"/>
  <c r="D1233" i="9"/>
  <c r="D1232" i="9"/>
  <c r="D1231" i="9"/>
  <c r="D1230" i="9"/>
  <c r="D1229" i="9"/>
  <c r="D1228" i="9"/>
  <c r="D1227" i="9"/>
  <c r="D1226" i="9"/>
  <c r="D1225" i="9"/>
  <c r="D1224" i="9"/>
  <c r="D1223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4" i="9"/>
  <c r="D1203" i="9"/>
  <c r="D1202" i="9"/>
  <c r="D1201" i="9"/>
  <c r="D1200" i="9"/>
  <c r="D1199" i="9"/>
  <c r="D1198" i="9"/>
  <c r="D1197" i="9"/>
  <c r="D1196" i="9"/>
  <c r="D1195" i="9"/>
  <c r="D1194" i="9"/>
  <c r="D1193" i="9"/>
  <c r="D1192" i="9"/>
  <c r="D1191" i="9"/>
  <c r="D1190" i="9"/>
  <c r="D1189" i="9"/>
  <c r="D1188" i="9"/>
  <c r="D1187" i="9"/>
  <c r="D1186" i="9"/>
  <c r="D1185" i="9"/>
  <c r="D1184" i="9"/>
  <c r="D1183" i="9"/>
  <c r="D1182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8" i="9"/>
  <c r="D1157" i="9"/>
  <c r="D1156" i="9"/>
  <c r="D1155" i="9"/>
  <c r="D1154" i="9"/>
  <c r="D1153" i="9"/>
  <c r="D1152" i="9"/>
  <c r="D1151" i="9"/>
  <c r="D1150" i="9"/>
  <c r="D1149" i="9"/>
  <c r="D1148" i="9"/>
  <c r="D1147" i="9"/>
  <c r="D1146" i="9"/>
  <c r="D1145" i="9"/>
  <c r="D1144" i="9"/>
  <c r="D1143" i="9"/>
  <c r="D1142" i="9"/>
  <c r="D1141" i="9"/>
  <c r="D1140" i="9"/>
  <c r="D1139" i="9"/>
  <c r="D1138" i="9"/>
  <c r="D1137" i="9"/>
  <c r="D1136" i="9"/>
  <c r="D1135" i="9"/>
  <c r="D1134" i="9"/>
  <c r="D1133" i="9"/>
  <c r="D1132" i="9"/>
  <c r="D1131" i="9"/>
  <c r="D1130" i="9"/>
  <c r="D1129" i="9"/>
  <c r="D1128" i="9"/>
  <c r="D1127" i="9"/>
  <c r="D1126" i="9"/>
  <c r="D1125" i="9"/>
  <c r="D1124" i="9"/>
  <c r="D1123" i="9"/>
  <c r="D1122" i="9"/>
  <c r="D1121" i="9"/>
  <c r="D1120" i="9"/>
  <c r="D1119" i="9"/>
  <c r="D1118" i="9"/>
  <c r="D1117" i="9"/>
  <c r="D1116" i="9"/>
  <c r="D1115" i="9"/>
  <c r="D1114" i="9"/>
  <c r="D1113" i="9"/>
  <c r="D1112" i="9"/>
  <c r="D1111" i="9"/>
  <c r="D1110" i="9"/>
  <c r="D1109" i="9"/>
  <c r="D1108" i="9"/>
  <c r="D1107" i="9"/>
  <c r="D1106" i="9"/>
  <c r="D1105" i="9"/>
  <c r="D1104" i="9"/>
  <c r="D1103" i="9"/>
  <c r="D1102" i="9"/>
  <c r="D1101" i="9"/>
  <c r="D1100" i="9"/>
  <c r="D1099" i="9"/>
  <c r="D1098" i="9"/>
  <c r="D1097" i="9"/>
  <c r="D1096" i="9"/>
  <c r="D1095" i="9"/>
  <c r="D1094" i="9"/>
  <c r="D1093" i="9"/>
  <c r="D1092" i="9"/>
  <c r="D1091" i="9"/>
  <c r="D1090" i="9"/>
  <c r="D1089" i="9"/>
  <c r="D1088" i="9"/>
  <c r="D1087" i="9"/>
  <c r="D1086" i="9"/>
  <c r="D1085" i="9"/>
  <c r="D1084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4" i="9"/>
  <c r="D1063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4" i="9"/>
  <c r="D1043" i="9"/>
  <c r="D1042" i="9"/>
  <c r="D1041" i="9"/>
  <c r="D1040" i="9"/>
  <c r="D1039" i="9"/>
  <c r="D1038" i="9"/>
  <c r="D1037" i="9"/>
  <c r="D1036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2" i="9"/>
  <c r="D1021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G2" i="9" s="1"/>
  <c r="F4" i="9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G24" i="9" s="1"/>
  <c r="F3" i="9"/>
  <c r="G3" i="9" s="1"/>
  <c r="G5" i="9" l="1"/>
  <c r="G17" i="9"/>
  <c r="G16" i="9"/>
  <c r="G6" i="9"/>
  <c r="G18" i="9"/>
  <c r="G4" i="9"/>
  <c r="G7" i="9"/>
  <c r="G19" i="9"/>
  <c r="G8" i="9"/>
  <c r="G20" i="9"/>
  <c r="G9" i="9"/>
  <c r="G21" i="9"/>
  <c r="G10" i="9"/>
  <c r="G22" i="9"/>
  <c r="G11" i="9"/>
  <c r="G23" i="9"/>
  <c r="G12" i="9"/>
  <c r="G13" i="9"/>
  <c r="G14" i="9"/>
  <c r="G15" i="9"/>
  <c r="I18" i="4"/>
  <c r="J17" i="4"/>
  <c r="J17" i="12"/>
  <c r="D19" i="12"/>
  <c r="I19" i="12" s="1"/>
  <c r="E18" i="12"/>
  <c r="F18" i="12" s="1"/>
  <c r="H18" i="12" s="1"/>
  <c r="D20" i="4"/>
  <c r="I20" i="4" s="1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5" i="8"/>
  <c r="B6" i="8"/>
  <c r="B7" i="8"/>
  <c r="B8" i="8"/>
  <c r="B9" i="8"/>
  <c r="B10" i="8"/>
  <c r="B11" i="8"/>
  <c r="B12" i="8"/>
  <c r="B13" i="8"/>
  <c r="B14" i="8"/>
  <c r="B15" i="8"/>
  <c r="D15" i="8" s="1"/>
  <c r="E15" i="8" s="1"/>
  <c r="B16" i="8"/>
  <c r="D16" i="8" s="1"/>
  <c r="E16" i="8" s="1"/>
  <c r="B17" i="8"/>
  <c r="D17" i="8" s="1"/>
  <c r="B18" i="8"/>
  <c r="B19" i="8"/>
  <c r="B20" i="8"/>
  <c r="B21" i="8"/>
  <c r="B22" i="8"/>
  <c r="B23" i="8"/>
  <c r="B24" i="8"/>
  <c r="B25" i="8"/>
  <c r="B26" i="8"/>
  <c r="B27" i="8"/>
  <c r="D27" i="8" s="1"/>
  <c r="E27" i="8" s="1"/>
  <c r="B28" i="8"/>
  <c r="D28" i="8" s="1"/>
  <c r="E28" i="8" s="1"/>
  <c r="B29" i="8"/>
  <c r="D29" i="8" s="1"/>
  <c r="B30" i="8"/>
  <c r="B31" i="8"/>
  <c r="B32" i="8"/>
  <c r="B33" i="8"/>
  <c r="B34" i="8"/>
  <c r="B35" i="8"/>
  <c r="B36" i="8"/>
  <c r="B37" i="8"/>
  <c r="B38" i="8"/>
  <c r="B39" i="8"/>
  <c r="D39" i="8" s="1"/>
  <c r="E39" i="8" s="1"/>
  <c r="B40" i="8"/>
  <c r="D40" i="8" s="1"/>
  <c r="E40" i="8" s="1"/>
  <c r="B41" i="8"/>
  <c r="D41" i="8" s="1"/>
  <c r="B42" i="8"/>
  <c r="B43" i="8"/>
  <c r="B44" i="8"/>
  <c r="B45" i="8"/>
  <c r="B46" i="8"/>
  <c r="B47" i="8"/>
  <c r="B48" i="8"/>
  <c r="B49" i="8"/>
  <c r="B50" i="8"/>
  <c r="B51" i="8"/>
  <c r="D51" i="8" s="1"/>
  <c r="E51" i="8" s="1"/>
  <c r="B52" i="8"/>
  <c r="D52" i="8" s="1"/>
  <c r="E52" i="8" s="1"/>
  <c r="B53" i="8"/>
  <c r="D53" i="8" s="1"/>
  <c r="B54" i="8"/>
  <c r="B55" i="8"/>
  <c r="B56" i="8"/>
  <c r="B57" i="8"/>
  <c r="B58" i="8"/>
  <c r="B59" i="8"/>
  <c r="B60" i="8"/>
  <c r="B61" i="8"/>
  <c r="B62" i="8"/>
  <c r="B63" i="8"/>
  <c r="D63" i="8" s="1"/>
  <c r="E63" i="8" s="1"/>
  <c r="B64" i="8"/>
  <c r="D64" i="8" s="1"/>
  <c r="E64" i="8" s="1"/>
  <c r="B65" i="8"/>
  <c r="D65" i="8" s="1"/>
  <c r="B66" i="8"/>
  <c r="B67" i="8"/>
  <c r="B68" i="8"/>
  <c r="B69" i="8"/>
  <c r="B70" i="8"/>
  <c r="B71" i="8"/>
  <c r="B72" i="8"/>
  <c r="B73" i="8"/>
  <c r="B74" i="8"/>
  <c r="B75" i="8"/>
  <c r="D75" i="8" s="1"/>
  <c r="E75" i="8" s="1"/>
  <c r="B76" i="8"/>
  <c r="D76" i="8" s="1"/>
  <c r="E76" i="8" s="1"/>
  <c r="B77" i="8"/>
  <c r="D77" i="8" s="1"/>
  <c r="B78" i="8"/>
  <c r="B79" i="8"/>
  <c r="B80" i="8"/>
  <c r="B81" i="8"/>
  <c r="B82" i="8"/>
  <c r="B83" i="8"/>
  <c r="B84" i="8"/>
  <c r="B85" i="8"/>
  <c r="B86" i="8"/>
  <c r="B87" i="8"/>
  <c r="D87" i="8" s="1"/>
  <c r="E87" i="8" s="1"/>
  <c r="B88" i="8"/>
  <c r="D88" i="8" s="1"/>
  <c r="E88" i="8" s="1"/>
  <c r="B89" i="8"/>
  <c r="D89" i="8" s="1"/>
  <c r="B90" i="8"/>
  <c r="B91" i="8"/>
  <c r="B92" i="8"/>
  <c r="D92" i="8" s="1"/>
  <c r="E92" i="8" s="1"/>
  <c r="B93" i="8"/>
  <c r="B94" i="8"/>
  <c r="B95" i="8"/>
  <c r="B96" i="8"/>
  <c r="B97" i="8"/>
  <c r="B98" i="8"/>
  <c r="B99" i="8"/>
  <c r="D99" i="8" s="1"/>
  <c r="E99" i="8" s="1"/>
  <c r="B100" i="8"/>
  <c r="D100" i="8" s="1"/>
  <c r="E100" i="8" s="1"/>
  <c r="B101" i="8"/>
  <c r="D101" i="8" s="1"/>
  <c r="B5" i="8"/>
  <c r="D5" i="8" s="1"/>
  <c r="D98" i="8"/>
  <c r="E98" i="8" s="1"/>
  <c r="D97" i="8"/>
  <c r="E97" i="8" s="1"/>
  <c r="D96" i="8"/>
  <c r="E96" i="8" s="1"/>
  <c r="D95" i="8"/>
  <c r="E95" i="8" s="1"/>
  <c r="D94" i="8"/>
  <c r="E94" i="8" s="1"/>
  <c r="D93" i="8"/>
  <c r="E93" i="8" s="1"/>
  <c r="D91" i="8"/>
  <c r="E91" i="8" s="1"/>
  <c r="D90" i="8"/>
  <c r="E90" i="8" s="1"/>
  <c r="D86" i="8"/>
  <c r="E86" i="8" s="1"/>
  <c r="D85" i="8"/>
  <c r="E85" i="8" s="1"/>
  <c r="D84" i="8"/>
  <c r="E84" i="8" s="1"/>
  <c r="D83" i="8"/>
  <c r="E83" i="8" s="1"/>
  <c r="D82" i="8"/>
  <c r="E82" i="8" s="1"/>
  <c r="D81" i="8"/>
  <c r="E81" i="8" s="1"/>
  <c r="D80" i="8"/>
  <c r="E80" i="8" s="1"/>
  <c r="D79" i="8"/>
  <c r="E79" i="8" s="1"/>
  <c r="D78" i="8"/>
  <c r="E78" i="8" s="1"/>
  <c r="D74" i="8"/>
  <c r="E74" i="8" s="1"/>
  <c r="D73" i="8"/>
  <c r="E73" i="8" s="1"/>
  <c r="D72" i="8"/>
  <c r="E72" i="8" s="1"/>
  <c r="D71" i="8"/>
  <c r="E71" i="8" s="1"/>
  <c r="D70" i="8"/>
  <c r="E70" i="8" s="1"/>
  <c r="D69" i="8"/>
  <c r="E69" i="8" s="1"/>
  <c r="D68" i="8"/>
  <c r="E68" i="8" s="1"/>
  <c r="D67" i="8"/>
  <c r="E67" i="8" s="1"/>
  <c r="D66" i="8"/>
  <c r="E66" i="8" s="1"/>
  <c r="D62" i="8"/>
  <c r="E62" i="8" s="1"/>
  <c r="D61" i="8"/>
  <c r="E61" i="8" s="1"/>
  <c r="D60" i="8"/>
  <c r="E60" i="8" s="1"/>
  <c r="D59" i="8"/>
  <c r="E59" i="8" s="1"/>
  <c r="D58" i="8"/>
  <c r="E58" i="8" s="1"/>
  <c r="D57" i="8"/>
  <c r="E57" i="8" s="1"/>
  <c r="D56" i="8"/>
  <c r="E56" i="8" s="1"/>
  <c r="D55" i="8"/>
  <c r="E55" i="8" s="1"/>
  <c r="D54" i="8"/>
  <c r="E54" i="8" s="1"/>
  <c r="D50" i="8"/>
  <c r="E50" i="8" s="1"/>
  <c r="D49" i="8"/>
  <c r="E49" i="8" s="1"/>
  <c r="D48" i="8"/>
  <c r="E48" i="8" s="1"/>
  <c r="D47" i="8"/>
  <c r="E47" i="8" s="1"/>
  <c r="D46" i="8"/>
  <c r="E46" i="8" s="1"/>
  <c r="D45" i="8"/>
  <c r="E45" i="8" s="1"/>
  <c r="D44" i="8"/>
  <c r="E44" i="8" s="1"/>
  <c r="D43" i="8"/>
  <c r="E43" i="8" s="1"/>
  <c r="D42" i="8"/>
  <c r="E42" i="8" s="1"/>
  <c r="D38" i="8"/>
  <c r="E38" i="8" s="1"/>
  <c r="D37" i="8"/>
  <c r="E37" i="8" s="1"/>
  <c r="D36" i="8"/>
  <c r="E36" i="8" s="1"/>
  <c r="D35" i="8"/>
  <c r="E35" i="8" s="1"/>
  <c r="D34" i="8"/>
  <c r="E34" i="8" s="1"/>
  <c r="D33" i="8"/>
  <c r="E33" i="8" s="1"/>
  <c r="D32" i="8"/>
  <c r="E32" i="8" s="1"/>
  <c r="D31" i="8"/>
  <c r="E31" i="8" s="1"/>
  <c r="D30" i="8"/>
  <c r="E30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4" i="8"/>
  <c r="E14" i="8" s="1"/>
  <c r="D13" i="8"/>
  <c r="E13" i="8" s="1"/>
  <c r="D12" i="8"/>
  <c r="E12" i="8" s="1"/>
  <c r="D11" i="8"/>
  <c r="E11" i="8" s="1"/>
  <c r="D10" i="8"/>
  <c r="E10" i="8" s="1"/>
  <c r="D9" i="8"/>
  <c r="E9" i="8" s="1"/>
  <c r="D8" i="8"/>
  <c r="E8" i="8" s="1"/>
  <c r="D7" i="8"/>
  <c r="E7" i="8" s="1"/>
  <c r="D6" i="8"/>
  <c r="E6" i="8" s="1"/>
  <c r="C1" i="8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" i="4"/>
  <c r="G1" i="4" s="1"/>
  <c r="H1" i="4" s="1"/>
  <c r="I1" i="4" s="1"/>
  <c r="J1" i="4" s="1"/>
  <c r="K1" i="4" s="1"/>
  <c r="L1" i="4" s="1"/>
  <c r="M1" i="4" s="1"/>
  <c r="N1" i="4" s="1"/>
  <c r="O1" i="4" s="1"/>
  <c r="P1" i="4" s="1"/>
  <c r="Q1" i="4" s="1"/>
  <c r="R1" i="4" s="1"/>
  <c r="S1" i="4" s="1"/>
  <c r="T1" i="4" s="1"/>
  <c r="U1" i="4" s="1"/>
  <c r="V1" i="4" s="1"/>
  <c r="W1" i="4" s="1"/>
  <c r="X1" i="4" s="1"/>
  <c r="Y1" i="4" s="1"/>
  <c r="Z1" i="4" s="1"/>
  <c r="AA1" i="4" s="1"/>
  <c r="AB1" i="4" s="1"/>
  <c r="AC1" i="4" s="1"/>
  <c r="AD1" i="4" s="1"/>
  <c r="AE1" i="4" s="1"/>
  <c r="AF1" i="4" s="1"/>
  <c r="AG1" i="4" s="1"/>
  <c r="AH1" i="4" s="1"/>
  <c r="AI1" i="4" s="1"/>
  <c r="AJ1" i="4" s="1"/>
  <c r="AK1" i="4" s="1"/>
  <c r="AL1" i="4" s="1"/>
  <c r="AM1" i="4" s="1"/>
  <c r="AN1" i="4" s="1"/>
  <c r="AO1" i="4" s="1"/>
  <c r="AP1" i="4" s="1"/>
  <c r="AQ1" i="4" s="1"/>
  <c r="AR1" i="4" s="1"/>
  <c r="AS1" i="4" s="1"/>
  <c r="AT1" i="4" s="1"/>
  <c r="AU1" i="4" s="1"/>
  <c r="AV1" i="4" s="1"/>
  <c r="AW1" i="4" s="1"/>
  <c r="AX1" i="4" s="1"/>
  <c r="AY1" i="4" s="1"/>
  <c r="AZ1" i="4" s="1"/>
  <c r="BA1" i="4" s="1"/>
  <c r="BB1" i="4" s="1"/>
  <c r="BC1" i="4" s="1"/>
  <c r="BD1" i="4" s="1"/>
  <c r="BE1" i="4" s="1"/>
  <c r="BF1" i="4" s="1"/>
  <c r="BG1" i="4" s="1"/>
  <c r="BH1" i="4" s="1"/>
  <c r="BI1" i="4" s="1"/>
  <c r="BJ1" i="4" s="1"/>
  <c r="BK1" i="4" s="1"/>
  <c r="BL1" i="4" s="1"/>
  <c r="BM1" i="4" s="1"/>
  <c r="BN1" i="4" s="1"/>
  <c r="BO1" i="4" s="1"/>
  <c r="BP1" i="4" s="1"/>
  <c r="BQ1" i="4" s="1"/>
  <c r="J18" i="12" l="1"/>
  <c r="D20" i="12"/>
  <c r="E19" i="12"/>
  <c r="F19" i="12" s="1"/>
  <c r="E20" i="4"/>
  <c r="F20" i="4" s="1"/>
  <c r="H20" i="4" s="1"/>
  <c r="E19" i="4"/>
  <c r="F19" i="4" s="1"/>
  <c r="D21" i="4"/>
  <c r="E18" i="4"/>
  <c r="F18" i="4" s="1"/>
  <c r="J18" i="4" s="1"/>
  <c r="E101" i="8"/>
  <c r="E89" i="8"/>
  <c r="E77" i="8"/>
  <c r="E65" i="8"/>
  <c r="E53" i="8"/>
  <c r="E41" i="8"/>
  <c r="E29" i="8"/>
  <c r="E17" i="8"/>
  <c r="E5" i="8"/>
  <c r="E3" i="8" s="1"/>
  <c r="H19" i="4" l="1"/>
  <c r="J19" i="4"/>
  <c r="E21" i="4"/>
  <c r="F21" i="4" s="1"/>
  <c r="H21" i="4" s="1"/>
  <c r="I21" i="4"/>
  <c r="J20" i="4"/>
  <c r="J19" i="12"/>
  <c r="H19" i="12"/>
  <c r="I20" i="12"/>
  <c r="E20" i="12"/>
  <c r="F20" i="12" s="1"/>
  <c r="D21" i="12"/>
  <c r="H18" i="4"/>
  <c r="D22" i="4"/>
  <c r="E22" i="4" l="1"/>
  <c r="F22" i="4" s="1"/>
  <c r="H22" i="4" s="1"/>
  <c r="I22" i="4"/>
  <c r="J21" i="4"/>
  <c r="J20" i="12"/>
  <c r="H20" i="12"/>
  <c r="D22" i="12"/>
  <c r="I21" i="12"/>
  <c r="E21" i="12"/>
  <c r="F21" i="12" s="1"/>
  <c r="D23" i="4"/>
  <c r="K5" i="19" l="1"/>
  <c r="E23" i="4"/>
  <c r="F23" i="4" s="1"/>
  <c r="H23" i="4" s="1"/>
  <c r="I23" i="4"/>
  <c r="J22" i="4"/>
  <c r="J21" i="12"/>
  <c r="H21" i="12"/>
  <c r="I22" i="12"/>
  <c r="E22" i="12"/>
  <c r="F22" i="12" s="1"/>
  <c r="D23" i="12"/>
  <c r="D24" i="4"/>
  <c r="I24" i="4" s="1"/>
  <c r="E24" i="4"/>
  <c r="F24" i="4" s="1"/>
  <c r="H24" i="4" s="1"/>
  <c r="D25" i="4"/>
  <c r="I25" i="4" s="1"/>
  <c r="K6" i="19" l="1"/>
  <c r="J23" i="4"/>
  <c r="J24" i="4"/>
  <c r="J22" i="12"/>
  <c r="H22" i="12"/>
  <c r="D24" i="12"/>
  <c r="I23" i="12"/>
  <c r="E23" i="12"/>
  <c r="F23" i="12" s="1"/>
  <c r="D26" i="4"/>
  <c r="I26" i="4" s="1"/>
  <c r="E25" i="4"/>
  <c r="F25" i="4" s="1"/>
  <c r="H25" i="4" s="1"/>
  <c r="K7" i="19" l="1"/>
  <c r="F5" i="19"/>
  <c r="G4" i="19"/>
  <c r="L4" i="19" s="1"/>
  <c r="J25" i="4"/>
  <c r="J23" i="12"/>
  <c r="H23" i="12"/>
  <c r="I24" i="12"/>
  <c r="E24" i="12"/>
  <c r="F24" i="12" s="1"/>
  <c r="D25" i="12"/>
  <c r="E26" i="4"/>
  <c r="F26" i="4" s="1"/>
  <c r="H26" i="4" s="1"/>
  <c r="D27" i="4"/>
  <c r="I27" i="4" s="1"/>
  <c r="K8" i="19" l="1"/>
  <c r="F6" i="19"/>
  <c r="G5" i="19"/>
  <c r="L5" i="19" s="1"/>
  <c r="J26" i="4"/>
  <c r="J24" i="12"/>
  <c r="H24" i="12"/>
  <c r="E25" i="12"/>
  <c r="F25" i="12" s="1"/>
  <c r="D26" i="12"/>
  <c r="I25" i="12"/>
  <c r="E27" i="4"/>
  <c r="F27" i="4" s="1"/>
  <c r="H27" i="4" s="1"/>
  <c r="D28" i="4"/>
  <c r="I28" i="4" s="1"/>
  <c r="K9" i="19" l="1"/>
  <c r="F7" i="19"/>
  <c r="G6" i="19"/>
  <c r="L6" i="19" s="1"/>
  <c r="J27" i="4"/>
  <c r="I26" i="12"/>
  <c r="E26" i="12"/>
  <c r="F26" i="12" s="1"/>
  <c r="D27" i="12"/>
  <c r="J25" i="12"/>
  <c r="H25" i="12"/>
  <c r="D29" i="4"/>
  <c r="I29" i="4" s="1"/>
  <c r="E28" i="4"/>
  <c r="F28" i="4" s="1"/>
  <c r="H28" i="4" s="1"/>
  <c r="K10" i="19" l="1"/>
  <c r="F8" i="19"/>
  <c r="G7" i="19"/>
  <c r="L7" i="19" s="1"/>
  <c r="J28" i="4"/>
  <c r="D28" i="12"/>
  <c r="I27" i="12"/>
  <c r="E27" i="12"/>
  <c r="F27" i="12" s="1"/>
  <c r="J26" i="12"/>
  <c r="H26" i="12"/>
  <c r="E29" i="4"/>
  <c r="F29" i="4" s="1"/>
  <c r="H29" i="4" s="1"/>
  <c r="D30" i="4"/>
  <c r="I30" i="4" s="1"/>
  <c r="K11" i="19" l="1"/>
  <c r="G8" i="19"/>
  <c r="L8" i="19" s="1"/>
  <c r="F9" i="19"/>
  <c r="J27" i="12"/>
  <c r="H27" i="12"/>
  <c r="I28" i="12"/>
  <c r="E28" i="12"/>
  <c r="F28" i="12" s="1"/>
  <c r="D29" i="12"/>
  <c r="E30" i="4"/>
  <c r="F30" i="4" s="1"/>
  <c r="H30" i="4" s="1"/>
  <c r="D31" i="4"/>
  <c r="I31" i="4" s="1"/>
  <c r="K12" i="19" l="1"/>
  <c r="F10" i="19"/>
  <c r="G9" i="19"/>
  <c r="L9" i="19" s="1"/>
  <c r="E29" i="12"/>
  <c r="F29" i="12" s="1"/>
  <c r="D30" i="12"/>
  <c r="I29" i="12"/>
  <c r="J28" i="12"/>
  <c r="H28" i="12"/>
  <c r="D32" i="4"/>
  <c r="I32" i="4" s="1"/>
  <c r="E31" i="4"/>
  <c r="F31" i="4" s="1"/>
  <c r="H31" i="4" s="1"/>
  <c r="K13" i="19" l="1"/>
  <c r="F11" i="19"/>
  <c r="G10" i="19"/>
  <c r="L10" i="19" s="1"/>
  <c r="I30" i="12"/>
  <c r="E30" i="12"/>
  <c r="F30" i="12" s="1"/>
  <c r="D31" i="12"/>
  <c r="J29" i="12"/>
  <c r="H29" i="12"/>
  <c r="E32" i="4"/>
  <c r="F32" i="4" s="1"/>
  <c r="H32" i="4" s="1"/>
  <c r="D33" i="4"/>
  <c r="I33" i="4" s="1"/>
  <c r="K14" i="19" l="1"/>
  <c r="F12" i="19"/>
  <c r="G11" i="19"/>
  <c r="L11" i="19" s="1"/>
  <c r="E31" i="12"/>
  <c r="F31" i="12" s="1"/>
  <c r="D32" i="12"/>
  <c r="I31" i="12"/>
  <c r="J30" i="12"/>
  <c r="H30" i="12"/>
  <c r="E33" i="4"/>
  <c r="F33" i="4" s="1"/>
  <c r="H33" i="4" s="1"/>
  <c r="D34" i="4"/>
  <c r="I34" i="4" s="1"/>
  <c r="K15" i="19" l="1"/>
  <c r="G12" i="19"/>
  <c r="L12" i="19" s="1"/>
  <c r="F13" i="19"/>
  <c r="I32" i="12"/>
  <c r="E32" i="12"/>
  <c r="F32" i="12" s="1"/>
  <c r="D33" i="12"/>
  <c r="J31" i="12"/>
  <c r="H31" i="12"/>
  <c r="D35" i="4"/>
  <c r="I35" i="4" s="1"/>
  <c r="E34" i="4"/>
  <c r="F34" i="4" s="1"/>
  <c r="H34" i="4" s="1"/>
  <c r="K16" i="19" l="1"/>
  <c r="G13" i="19"/>
  <c r="L13" i="19" s="1"/>
  <c r="F14" i="19"/>
  <c r="D34" i="12"/>
  <c r="I33" i="12"/>
  <c r="E33" i="12"/>
  <c r="F33" i="12" s="1"/>
  <c r="J32" i="12"/>
  <c r="H32" i="12"/>
  <c r="E35" i="4"/>
  <c r="F35" i="4" s="1"/>
  <c r="H35" i="4" s="1"/>
  <c r="D36" i="4"/>
  <c r="I36" i="4" s="1"/>
  <c r="K17" i="19" l="1"/>
  <c r="F15" i="19"/>
  <c r="G14" i="19"/>
  <c r="L14" i="19" s="1"/>
  <c r="J33" i="12"/>
  <c r="H33" i="12"/>
  <c r="I34" i="12"/>
  <c r="E34" i="12"/>
  <c r="F34" i="12" s="1"/>
  <c r="D35" i="12"/>
  <c r="E36" i="4"/>
  <c r="F36" i="4" s="1"/>
  <c r="H36" i="4" s="1"/>
  <c r="D37" i="4"/>
  <c r="I37" i="4" s="1"/>
  <c r="K18" i="19" l="1"/>
  <c r="F16" i="19"/>
  <c r="G15" i="19"/>
  <c r="L15" i="19" s="1"/>
  <c r="D36" i="12"/>
  <c r="E35" i="12"/>
  <c r="F35" i="12" s="1"/>
  <c r="I35" i="12"/>
  <c r="J34" i="12"/>
  <c r="H34" i="12"/>
  <c r="D38" i="4"/>
  <c r="I38" i="4" s="1"/>
  <c r="E37" i="4"/>
  <c r="F37" i="4" s="1"/>
  <c r="H37" i="4" s="1"/>
  <c r="K19" i="19" l="1"/>
  <c r="F17" i="19"/>
  <c r="G16" i="19"/>
  <c r="L16" i="19" s="1"/>
  <c r="J35" i="12"/>
  <c r="H35" i="12"/>
  <c r="I36" i="12"/>
  <c r="E36" i="12"/>
  <c r="F36" i="12" s="1"/>
  <c r="D37" i="12"/>
  <c r="E38" i="4"/>
  <c r="F38" i="4" s="1"/>
  <c r="D39" i="4"/>
  <c r="I39" i="4" s="1"/>
  <c r="G17" i="19" l="1"/>
  <c r="L17" i="19" s="1"/>
  <c r="F18" i="19"/>
  <c r="J36" i="12"/>
  <c r="H36" i="12"/>
  <c r="E37" i="12"/>
  <c r="F37" i="12" s="1"/>
  <c r="D38" i="12"/>
  <c r="I37" i="12"/>
  <c r="H38" i="4"/>
  <c r="E39" i="4"/>
  <c r="D40" i="4"/>
  <c r="I40" i="4" s="1"/>
  <c r="G18" i="19" l="1"/>
  <c r="L18" i="19" s="1"/>
  <c r="F19" i="19"/>
  <c r="G19" i="19" s="1"/>
  <c r="L19" i="19" s="1"/>
  <c r="I38" i="12"/>
  <c r="E38" i="12"/>
  <c r="F38" i="12" s="1"/>
  <c r="D39" i="12"/>
  <c r="J37" i="12"/>
  <c r="H37" i="12"/>
  <c r="D41" i="4"/>
  <c r="E40" i="4"/>
  <c r="K8" i="4"/>
  <c r="F39" i="4"/>
  <c r="H39" i="4" s="1"/>
  <c r="D40" i="12" l="1"/>
  <c r="I39" i="12"/>
  <c r="E39" i="12"/>
  <c r="J38" i="12"/>
  <c r="H38" i="12"/>
  <c r="F40" i="4"/>
  <c r="H40" i="4" s="1"/>
  <c r="K9" i="4"/>
  <c r="E41" i="4"/>
  <c r="F41" i="4" s="1"/>
  <c r="H41" i="4" s="1"/>
  <c r="D42" i="4"/>
  <c r="K8" i="12" l="1"/>
  <c r="F39" i="12"/>
  <c r="I40" i="12"/>
  <c r="E40" i="12"/>
  <c r="D41" i="12"/>
  <c r="E42" i="4"/>
  <c r="F42" i="4" s="1"/>
  <c r="H42" i="4" s="1"/>
  <c r="D43" i="4"/>
  <c r="D42" i="12" l="1"/>
  <c r="E41" i="12"/>
  <c r="F41" i="12" s="1"/>
  <c r="H41" i="12" s="1"/>
  <c r="H39" i="12"/>
  <c r="K10" i="12"/>
  <c r="K9" i="12"/>
  <c r="F40" i="12"/>
  <c r="D44" i="4"/>
  <c r="E43" i="4"/>
  <c r="F43" i="4" s="1"/>
  <c r="H43" i="4" s="1"/>
  <c r="H40" i="12" l="1"/>
  <c r="D43" i="12"/>
  <c r="E42" i="12"/>
  <c r="F42" i="12" s="1"/>
  <c r="H42" i="12" s="1"/>
  <c r="E44" i="4"/>
  <c r="F44" i="4" s="1"/>
  <c r="H44" i="4" s="1"/>
  <c r="D45" i="4"/>
  <c r="E43" i="12" l="1"/>
  <c r="F43" i="12" s="1"/>
  <c r="H43" i="12" s="1"/>
  <c r="D44" i="12"/>
  <c r="E45" i="4"/>
  <c r="F45" i="4" s="1"/>
  <c r="H45" i="4" s="1"/>
  <c r="D46" i="4"/>
  <c r="E44" i="12" l="1"/>
  <c r="F44" i="12" s="1"/>
  <c r="H44" i="12" s="1"/>
  <c r="D45" i="12"/>
  <c r="E46" i="4"/>
  <c r="F46" i="4" s="1"/>
  <c r="H46" i="4" s="1"/>
  <c r="D47" i="4"/>
  <c r="D46" i="12" l="1"/>
  <c r="E45" i="12"/>
  <c r="F45" i="12" s="1"/>
  <c r="H45" i="12" s="1"/>
  <c r="E47" i="4"/>
  <c r="F47" i="4" s="1"/>
  <c r="H47" i="4" s="1"/>
  <c r="D48" i="4"/>
  <c r="E46" i="12" l="1"/>
  <c r="F46" i="12" s="1"/>
  <c r="H46" i="12" s="1"/>
  <c r="D47" i="12"/>
  <c r="E48" i="4"/>
  <c r="F48" i="4" s="1"/>
  <c r="H48" i="4" s="1"/>
  <c r="D49" i="4"/>
  <c r="D48" i="12" l="1"/>
  <c r="E47" i="12"/>
  <c r="F47" i="12" s="1"/>
  <c r="H47" i="12" s="1"/>
  <c r="E49" i="4"/>
  <c r="F49" i="4" s="1"/>
  <c r="H49" i="4" s="1"/>
  <c r="D50" i="4"/>
  <c r="D49" i="12" l="1"/>
  <c r="E48" i="12"/>
  <c r="F48" i="12" s="1"/>
  <c r="H48" i="12" s="1"/>
  <c r="E50" i="4"/>
  <c r="F50" i="4" s="1"/>
  <c r="H50" i="4" s="1"/>
  <c r="D51" i="4"/>
  <c r="E49" i="12" l="1"/>
  <c r="F49" i="12" s="1"/>
  <c r="H49" i="12" s="1"/>
  <c r="D50" i="12"/>
  <c r="J29" i="4"/>
  <c r="E51" i="4"/>
  <c r="F51" i="4" s="1"/>
  <c r="H51" i="4" s="1"/>
  <c r="D52" i="4"/>
  <c r="E50" i="12" l="1"/>
  <c r="F50" i="12" s="1"/>
  <c r="H50" i="12" s="1"/>
  <c r="D51" i="12"/>
  <c r="J30" i="4"/>
  <c r="D53" i="4"/>
  <c r="E52" i="4"/>
  <c r="F52" i="4" s="1"/>
  <c r="H52" i="4" s="1"/>
  <c r="D52" i="12" l="1"/>
  <c r="E51" i="12"/>
  <c r="F51" i="12" s="1"/>
  <c r="H51" i="12" s="1"/>
  <c r="J31" i="4"/>
  <c r="E53" i="4"/>
  <c r="F53" i="4" s="1"/>
  <c r="H53" i="4" s="1"/>
  <c r="D54" i="4"/>
  <c r="E52" i="12" l="1"/>
  <c r="F52" i="12" s="1"/>
  <c r="H52" i="12" s="1"/>
  <c r="D53" i="12"/>
  <c r="J32" i="4"/>
  <c r="E54" i="4"/>
  <c r="F54" i="4" s="1"/>
  <c r="H54" i="4" s="1"/>
  <c r="D55" i="4"/>
  <c r="E53" i="12" l="1"/>
  <c r="F53" i="12" s="1"/>
  <c r="H53" i="12" s="1"/>
  <c r="D54" i="12"/>
  <c r="J33" i="4"/>
  <c r="D56" i="4"/>
  <c r="E55" i="4"/>
  <c r="F55" i="4" s="1"/>
  <c r="H55" i="4" s="1"/>
  <c r="D55" i="12" l="1"/>
  <c r="E54" i="12"/>
  <c r="F54" i="12" s="1"/>
  <c r="H54" i="12" s="1"/>
  <c r="J34" i="4"/>
  <c r="E56" i="4"/>
  <c r="F56" i="4" s="1"/>
  <c r="H56" i="4" s="1"/>
  <c r="D57" i="4"/>
  <c r="E55" i="12" l="1"/>
  <c r="F55" i="12" s="1"/>
  <c r="H55" i="12" s="1"/>
  <c r="D56" i="12"/>
  <c r="J35" i="4"/>
  <c r="E57" i="4"/>
  <c r="F57" i="4" s="1"/>
  <c r="H57" i="4" s="1"/>
  <c r="D58" i="4"/>
  <c r="E56" i="12" l="1"/>
  <c r="F56" i="12" s="1"/>
  <c r="H56" i="12" s="1"/>
  <c r="D57" i="12"/>
  <c r="J36" i="4"/>
  <c r="D59" i="4"/>
  <c r="E58" i="4"/>
  <c r="F58" i="4" s="1"/>
  <c r="H58" i="4" s="1"/>
  <c r="D58" i="12" l="1"/>
  <c r="E57" i="12"/>
  <c r="F57" i="12" s="1"/>
  <c r="H57" i="12" s="1"/>
  <c r="J37" i="4"/>
  <c r="E59" i="4"/>
  <c r="F59" i="4" s="1"/>
  <c r="H59" i="4" s="1"/>
  <c r="D60" i="4"/>
  <c r="E58" i="12" l="1"/>
  <c r="F58" i="12" s="1"/>
  <c r="H58" i="12" s="1"/>
  <c r="D59" i="12"/>
  <c r="J38" i="4"/>
  <c r="E60" i="4"/>
  <c r="F60" i="4" s="1"/>
  <c r="H60" i="4" s="1"/>
  <c r="D61" i="4"/>
  <c r="E59" i="12" l="1"/>
  <c r="F59" i="12" s="1"/>
  <c r="H59" i="12" s="1"/>
  <c r="D60" i="12"/>
  <c r="J40" i="4"/>
  <c r="J39" i="4"/>
  <c r="D62" i="4"/>
  <c r="E61" i="4"/>
  <c r="F61" i="4" s="1"/>
  <c r="H61" i="4" s="1"/>
  <c r="D61" i="12" l="1"/>
  <c r="E60" i="12"/>
  <c r="F60" i="12" s="1"/>
  <c r="H60" i="12" s="1"/>
  <c r="E62" i="4"/>
  <c r="F62" i="4" s="1"/>
  <c r="H62" i="4" s="1"/>
  <c r="D63" i="4"/>
  <c r="E61" i="12" l="1"/>
  <c r="F61" i="12" s="1"/>
  <c r="H61" i="12" s="1"/>
  <c r="D62" i="12"/>
  <c r="E63" i="4"/>
  <c r="F63" i="4" s="1"/>
  <c r="H63" i="4" s="1"/>
  <c r="D64" i="4"/>
  <c r="E62" i="12" l="1"/>
  <c r="F62" i="12" s="1"/>
  <c r="H62" i="12" s="1"/>
  <c r="D63" i="12"/>
  <c r="D65" i="4"/>
  <c r="E64" i="4"/>
  <c r="F64" i="4" s="1"/>
  <c r="H64" i="4" s="1"/>
  <c r="D64" i="12" l="1"/>
  <c r="E63" i="12"/>
  <c r="F63" i="12" s="1"/>
  <c r="H63" i="12" s="1"/>
  <c r="E65" i="4"/>
  <c r="F65" i="4" s="1"/>
  <c r="H65" i="4" s="1"/>
  <c r="D66" i="4"/>
  <c r="E64" i="12" l="1"/>
  <c r="F64" i="12" s="1"/>
  <c r="H64" i="12" s="1"/>
  <c r="D65" i="12"/>
  <c r="E66" i="4"/>
  <c r="F66" i="4" s="1"/>
  <c r="H66" i="4" s="1"/>
  <c r="D67" i="4"/>
  <c r="E65" i="12" l="1"/>
  <c r="F65" i="12" s="1"/>
  <c r="H65" i="12" s="1"/>
  <c r="D66" i="12"/>
  <c r="D68" i="4"/>
  <c r="E67" i="4"/>
  <c r="F67" i="4" s="1"/>
  <c r="H67" i="4" s="1"/>
  <c r="D67" i="12" l="1"/>
  <c r="E66" i="12"/>
  <c r="F66" i="12" s="1"/>
  <c r="H66" i="12" s="1"/>
  <c r="E68" i="4"/>
  <c r="F68" i="4" s="1"/>
  <c r="H68" i="4" s="1"/>
  <c r="D69" i="4"/>
  <c r="E67" i="12" l="1"/>
  <c r="F67" i="12" s="1"/>
  <c r="H67" i="12" s="1"/>
  <c r="D68" i="12"/>
  <c r="E69" i="4"/>
  <c r="F69" i="4" s="1"/>
  <c r="H69" i="4" s="1"/>
  <c r="D70" i="4"/>
  <c r="D69" i="12" l="1"/>
  <c r="E68" i="12"/>
  <c r="F68" i="12" s="1"/>
  <c r="H68" i="12" s="1"/>
  <c r="D71" i="4"/>
  <c r="E70" i="4"/>
  <c r="F70" i="4" s="1"/>
  <c r="H70" i="4" s="1"/>
  <c r="D70" i="12" l="1"/>
  <c r="E69" i="12"/>
  <c r="F69" i="12" s="1"/>
  <c r="H69" i="12" s="1"/>
  <c r="E71" i="4"/>
  <c r="F71" i="4" s="1"/>
  <c r="H71" i="4" s="1"/>
  <c r="D72" i="4"/>
  <c r="E70" i="12" l="1"/>
  <c r="F70" i="12" s="1"/>
  <c r="H70" i="12" s="1"/>
  <c r="D71" i="12"/>
  <c r="E72" i="4"/>
  <c r="F72" i="4" s="1"/>
  <c r="H72" i="4" s="1"/>
  <c r="D73" i="4"/>
  <c r="D72" i="12" l="1"/>
  <c r="E71" i="12"/>
  <c r="F71" i="12" s="1"/>
  <c r="H71" i="12" s="1"/>
  <c r="D74" i="4"/>
  <c r="E73" i="4"/>
  <c r="F73" i="4" s="1"/>
  <c r="H73" i="4" s="1"/>
  <c r="D73" i="12" l="1"/>
  <c r="E72" i="12"/>
  <c r="F72" i="12" s="1"/>
  <c r="H72" i="12" s="1"/>
  <c r="E74" i="4"/>
  <c r="F74" i="4" s="1"/>
  <c r="H74" i="4" s="1"/>
  <c r="D75" i="4"/>
  <c r="E73" i="12" l="1"/>
  <c r="F73" i="12" s="1"/>
  <c r="H73" i="12" s="1"/>
  <c r="D74" i="12"/>
  <c r="E75" i="4"/>
  <c r="F75" i="4" s="1"/>
  <c r="H75" i="4" s="1"/>
  <c r="D76" i="4"/>
  <c r="E76" i="4" s="1"/>
  <c r="F76" i="4" s="1"/>
  <c r="H76" i="4" s="1"/>
  <c r="D75" i="12" l="1"/>
  <c r="E74" i="12"/>
  <c r="F74" i="12" s="1"/>
  <c r="H74" i="12" s="1"/>
  <c r="D76" i="12" l="1"/>
  <c r="E76" i="12" s="1"/>
  <c r="F76" i="12" s="1"/>
  <c r="H76" i="12" s="1"/>
  <c r="E75" i="12"/>
  <c r="F75" i="12" s="1"/>
  <c r="H7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Carmen</author>
  </authors>
  <commentList>
    <comment ref="HI24" authorId="0" shapeId="0" xr:uid="{76ABAACD-9118-4A97-BEBD-FF3247ACD51E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It is conceivable that effeorts to restructure were completed in in late 2013 (at the earliest, (see Hulova, 2013). In that case (low probability) 2014=0</t>
        </r>
      </text>
    </comment>
    <comment ref="AC71" authorId="0" shapeId="0" xr:uid="{7C3341C7-8A64-4DFA-9024-CF07C001A641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Prior to 1829 independence, it includes for 1826-1828 the default on Greek independence bonds.</t>
        </r>
      </text>
    </comment>
    <comment ref="DB71" authorId="0" shapeId="0" xr:uid="{BA0225CC-BAF8-4B7A-8321-3BDEAD3F2F00}">
      <text>
        <r>
          <rPr>
            <b/>
            <sz val="9"/>
            <color indexed="81"/>
            <rFont val="Tahoma"/>
            <family val="2"/>
          </rPr>
          <t>Carmen:</t>
        </r>
        <r>
          <rPr>
            <sz val="9"/>
            <color indexed="81"/>
            <rFont val="Tahoma"/>
            <family val="2"/>
          </rPr>
          <t xml:space="preserve">
Includes Morocco's 1903-1904, as France begins to take over the country (prior to "modern" independence date).
</t>
        </r>
      </text>
    </comment>
  </commentList>
</comments>
</file>

<file path=xl/sharedStrings.xml><?xml version="1.0" encoding="utf-8"?>
<sst xmlns="http://schemas.openxmlformats.org/spreadsheetml/2006/main" count="15014" uniqueCount="7498">
  <si>
    <t>Banco de México</t>
  </si>
  <si>
    <t>Producción</t>
  </si>
  <si>
    <t>Título</t>
  </si>
  <si>
    <t>Producto interno bruto, Producto interno bruto, a precios de mercado</t>
  </si>
  <si>
    <t>Periodo disponible</t>
  </si>
  <si>
    <t>Ene-Mar 1993 - Ene-Mar 2025</t>
  </si>
  <si>
    <t>Periodicidad</t>
  </si>
  <si>
    <t>Trimestral</t>
  </si>
  <si>
    <t>Cifra</t>
  </si>
  <si>
    <t>Flujos Constantes</t>
  </si>
  <si>
    <t>Unidad</t>
  </si>
  <si>
    <t>Millones de Pesos</t>
  </si>
  <si>
    <t>Base</t>
  </si>
  <si>
    <t>2018</t>
  </si>
  <si>
    <t>Aviso</t>
  </si>
  <si>
    <t>Tipo de información</t>
  </si>
  <si>
    <t>Niveles</t>
  </si>
  <si>
    <t>Fecha</t>
  </si>
  <si>
    <t>log</t>
  </si>
  <si>
    <t>year</t>
  </si>
  <si>
    <t>trend</t>
  </si>
  <si>
    <t>cycle</t>
  </si>
  <si>
    <t>rho</t>
  </si>
  <si>
    <t>sigma</t>
  </si>
  <si>
    <t>Country Name</t>
  </si>
  <si>
    <t>Country Code</t>
  </si>
  <si>
    <t>Series Name</t>
  </si>
  <si>
    <t>Series Code</t>
  </si>
  <si>
    <t>1960 [YR1960]</t>
  </si>
  <si>
    <t>1961 [YR1961]</t>
  </si>
  <si>
    <t>1962 [YR1962]</t>
  </si>
  <si>
    <t>1963 [YR1963]</t>
  </si>
  <si>
    <t>1964 [YR1964]</t>
  </si>
  <si>
    <t>1965 [YR1965]</t>
  </si>
  <si>
    <t>1966 [YR1966]</t>
  </si>
  <si>
    <t>1967 [YR1967]</t>
  </si>
  <si>
    <t>1968 [YR1968]</t>
  </si>
  <si>
    <t>1969 [YR1969]</t>
  </si>
  <si>
    <t>1970 [YR1970]</t>
  </si>
  <si>
    <t>1971 [YR1971]</t>
  </si>
  <si>
    <t>1972 [YR1972]</t>
  </si>
  <si>
    <t>1973 [YR1973]</t>
  </si>
  <si>
    <t>1974 [YR1974]</t>
  </si>
  <si>
    <t>1975 [YR1975]</t>
  </si>
  <si>
    <t>1976 [YR1976]</t>
  </si>
  <si>
    <t>1977 [YR1977]</t>
  </si>
  <si>
    <t>1978 [YR1978]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</si>
  <si>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</si>
  <si>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</si>
  <si>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</si>
  <si>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</si>
  <si>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</si>
  <si>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</si>
  <si>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</si>
  <si>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</si>
  <si>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</si>
  <si>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</si>
  <si>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</si>
  <si>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</si>
  <si>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</si>
  <si>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</si>
  <si>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</si>
  <si>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</si>
  <si>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</si>
  <si>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</si>
  <si>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</si>
  <si>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</si>
  <si>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</si>
  <si>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</si>
  <si>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</si>
  <si>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</si>
  <si>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</si>
  <si>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</si>
  <si>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</si>
  <si>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</si>
  <si>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</si>
  <si>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</si>
  <si>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</si>
  <si>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</si>
  <si>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</si>
  <si>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</si>
  <si>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</si>
  <si>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</si>
  <si>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</si>
  <si>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</si>
  <si>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</si>
  <si>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</si>
  <si>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</si>
  <si>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</si>
  <si>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</si>
  <si>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</si>
  <si>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</si>
  <si>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</si>
  <si>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Mexico</t>
  </si>
  <si>
    <t>MEX</t>
  </si>
  <si>
    <t>GDP (constant LCU)</t>
  </si>
  <si>
    <t>NY.GDP.MKTP.KN</t>
  </si>
  <si>
    <t>Data from database: World Development Indicators</t>
  </si>
  <si>
    <t>Last Updated: 07/01/2025</t>
  </si>
  <si>
    <t>gdp</t>
  </si>
  <si>
    <t>drop in 1982</t>
  </si>
  <si>
    <t>drop in 1983</t>
  </si>
  <si>
    <t>drop in 1983 from 1981</t>
  </si>
  <si>
    <t>GDP per capita (constant LCU)</t>
  </si>
  <si>
    <t>NY.GDP.PCAP.KN</t>
  </si>
  <si>
    <t>Agregados monetarios y activos financieros internos</t>
  </si>
  <si>
    <t>Agregados monetarios (metodología 2018)</t>
  </si>
  <si>
    <t>Fecha de consulta: 26/06/2025 08:51:08</t>
  </si>
  <si>
    <t>Agregados Monetarios, M1</t>
  </si>
  <si>
    <t>Dic 2000 - Abr 2025</t>
  </si>
  <si>
    <t>Mensual</t>
  </si>
  <si>
    <t>Saldos</t>
  </si>
  <si>
    <t>Miles de Pesos</t>
  </si>
  <si>
    <t>SF311408</t>
  </si>
  <si>
    <t>M1</t>
  </si>
  <si>
    <t>Producto Interno Bruto (Precios corrientes)</t>
  </si>
  <si>
    <t>Fecha de consulta: 26/06/2025 08:52:30</t>
  </si>
  <si>
    <t>SR17645</t>
  </si>
  <si>
    <t>Share M1 in firms</t>
  </si>
  <si>
    <t>M1 (million pesos)</t>
  </si>
  <si>
    <t>GDP (million pesos)</t>
  </si>
  <si>
    <t>M1 in firms' hands</t>
  </si>
  <si>
    <t>proxy for working capital /  GDP</t>
  </si>
  <si>
    <t>Date</t>
  </si>
  <si>
    <t>Ticker</t>
  </si>
  <si>
    <t>Close</t>
  </si>
  <si>
    <t>12/31/1997</t>
  </si>
  <si>
    <t>EMBPMEXD</t>
  </si>
  <si>
    <t>01/02/1998</t>
  </si>
  <si>
    <t>01/05/1998</t>
  </si>
  <si>
    <t>01/06/1998</t>
  </si>
  <si>
    <t>01/07/1998</t>
  </si>
  <si>
    <t>01/08/1998</t>
  </si>
  <si>
    <t>01/09/1998</t>
  </si>
  <si>
    <t>01/12/1998</t>
  </si>
  <si>
    <t>01/13/1998</t>
  </si>
  <si>
    <t>01/14/1998</t>
  </si>
  <si>
    <t>01/15/1998</t>
  </si>
  <si>
    <t>01/16/1998</t>
  </si>
  <si>
    <t>01/20/1998</t>
  </si>
  <si>
    <t>01/21/1998</t>
  </si>
  <si>
    <t>01/22/1998</t>
  </si>
  <si>
    <t>01/23/1998</t>
  </si>
  <si>
    <t>01/26/1998</t>
  </si>
  <si>
    <t>01/27/1998</t>
  </si>
  <si>
    <t>01/28/1998</t>
  </si>
  <si>
    <t>01/29/1998</t>
  </si>
  <si>
    <t>01/30/1998</t>
  </si>
  <si>
    <t>02/02/1998</t>
  </si>
  <si>
    <t>02/03/1998</t>
  </si>
  <si>
    <t>02/04/1998</t>
  </si>
  <si>
    <t>02/05/1998</t>
  </si>
  <si>
    <t>02/06/1998</t>
  </si>
  <si>
    <t>02/09/1998</t>
  </si>
  <si>
    <t>02/10/1998</t>
  </si>
  <si>
    <t>02/11/1998</t>
  </si>
  <si>
    <t>02/12/1998</t>
  </si>
  <si>
    <t>02/13/1998</t>
  </si>
  <si>
    <t>02/17/1998</t>
  </si>
  <si>
    <t>02/18/1998</t>
  </si>
  <si>
    <t>02/19/1998</t>
  </si>
  <si>
    <t>02/20/1998</t>
  </si>
  <si>
    <t>02/23/1998</t>
  </si>
  <si>
    <t>02/24/1998</t>
  </si>
  <si>
    <t>02/25/1998</t>
  </si>
  <si>
    <t>02/26/1998</t>
  </si>
  <si>
    <t>02/27/1998</t>
  </si>
  <si>
    <t>03/02/1998</t>
  </si>
  <si>
    <t>03/03/1998</t>
  </si>
  <si>
    <t>03/04/1998</t>
  </si>
  <si>
    <t>03/05/1998</t>
  </si>
  <si>
    <t>03/06/1998</t>
  </si>
  <si>
    <t>03/09/1998</t>
  </si>
  <si>
    <t>03/10/1998</t>
  </si>
  <si>
    <t>03/11/1998</t>
  </si>
  <si>
    <t>03/12/1998</t>
  </si>
  <si>
    <t>03/13/1998</t>
  </si>
  <si>
    <t>03/16/1998</t>
  </si>
  <si>
    <t>03/17/1998</t>
  </si>
  <si>
    <t>03/18/1998</t>
  </si>
  <si>
    <t>03/19/1998</t>
  </si>
  <si>
    <t>03/20/1998</t>
  </si>
  <si>
    <t>03/23/1998</t>
  </si>
  <si>
    <t>03/24/1998</t>
  </si>
  <si>
    <t>03/25/1998</t>
  </si>
  <si>
    <t>03/26/1998</t>
  </si>
  <si>
    <t>03/27/1998</t>
  </si>
  <si>
    <t>03/30/1998</t>
  </si>
  <si>
    <t>03/31/1998</t>
  </si>
  <si>
    <t>04/01/1998</t>
  </si>
  <si>
    <t>04/02/1998</t>
  </si>
  <si>
    <t>04/03/1998</t>
  </si>
  <si>
    <t>04/06/1998</t>
  </si>
  <si>
    <t>04/07/1998</t>
  </si>
  <si>
    <t>04/08/1998</t>
  </si>
  <si>
    <t>04/09/1998</t>
  </si>
  <si>
    <t>04/13/1998</t>
  </si>
  <si>
    <t>04/14/1998</t>
  </si>
  <si>
    <t>04/15/1998</t>
  </si>
  <si>
    <t>04/16/1998</t>
  </si>
  <si>
    <t>04/17/1998</t>
  </si>
  <si>
    <t>04/20/1998</t>
  </si>
  <si>
    <t>04/21/1998</t>
  </si>
  <si>
    <t>04/22/1998</t>
  </si>
  <si>
    <t>04/23/1998</t>
  </si>
  <si>
    <t>04/24/1998</t>
  </si>
  <si>
    <t>04/27/1998</t>
  </si>
  <si>
    <t>04/28/1998</t>
  </si>
  <si>
    <t>04/29/1998</t>
  </si>
  <si>
    <t>04/30/1998</t>
  </si>
  <si>
    <t>05/01/1998</t>
  </si>
  <si>
    <t>05/04/1998</t>
  </si>
  <si>
    <t>05/05/1998</t>
  </si>
  <si>
    <t>05/06/1998</t>
  </si>
  <si>
    <t>05/07/1998</t>
  </si>
  <si>
    <t>05/08/1998</t>
  </si>
  <si>
    <t>05/11/1998</t>
  </si>
  <si>
    <t>05/12/1998</t>
  </si>
  <si>
    <t>05/13/1998</t>
  </si>
  <si>
    <t>05/14/1998</t>
  </si>
  <si>
    <t>05/15/1998</t>
  </si>
  <si>
    <t>05/18/1998</t>
  </si>
  <si>
    <t>05/19/1998</t>
  </si>
  <si>
    <t>05/20/1998</t>
  </si>
  <si>
    <t>05/21/1998</t>
  </si>
  <si>
    <t>05/22/1998</t>
  </si>
  <si>
    <t>05/26/1998</t>
  </si>
  <si>
    <t>05/27/1998</t>
  </si>
  <si>
    <t>05/28/1998</t>
  </si>
  <si>
    <t>05/29/1998</t>
  </si>
  <si>
    <t>06/01/1998</t>
  </si>
  <si>
    <t>06/02/1998</t>
  </si>
  <si>
    <t>06/03/1998</t>
  </si>
  <si>
    <t>06/04/1998</t>
  </si>
  <si>
    <t>06/05/1998</t>
  </si>
  <si>
    <t>06/08/1998</t>
  </si>
  <si>
    <t>06/09/1998</t>
  </si>
  <si>
    <t>06/10/1998</t>
  </si>
  <si>
    <t>06/11/1998</t>
  </si>
  <si>
    <t>06/12/1998</t>
  </si>
  <si>
    <t>06/15/1998</t>
  </si>
  <si>
    <t>06/16/1998</t>
  </si>
  <si>
    <t>06/17/1998</t>
  </si>
  <si>
    <t>06/18/1998</t>
  </si>
  <si>
    <t>06/19/1998</t>
  </si>
  <si>
    <t>06/22/1998</t>
  </si>
  <si>
    <t>06/23/1998</t>
  </si>
  <si>
    <t>06/24/1998</t>
  </si>
  <si>
    <t>06/25/1998</t>
  </si>
  <si>
    <t>06/26/1998</t>
  </si>
  <si>
    <t>06/29/1998</t>
  </si>
  <si>
    <t>06/30/1998</t>
  </si>
  <si>
    <t>07/01/1998</t>
  </si>
  <si>
    <t>07/02/1998</t>
  </si>
  <si>
    <t>07/06/1998</t>
  </si>
  <si>
    <t>07/07/1998</t>
  </si>
  <si>
    <t>07/08/1998</t>
  </si>
  <si>
    <t>07/09/1998</t>
  </si>
  <si>
    <t>07/10/1998</t>
  </si>
  <si>
    <t>07/13/1998</t>
  </si>
  <si>
    <t>07/14/1998</t>
  </si>
  <si>
    <t>07/15/1998</t>
  </si>
  <si>
    <t>07/16/1998</t>
  </si>
  <si>
    <t>07/17/1998</t>
  </si>
  <si>
    <t>07/20/1998</t>
  </si>
  <si>
    <t>07/21/1998</t>
  </si>
  <si>
    <t>07/22/1998</t>
  </si>
  <si>
    <t>07/23/1998</t>
  </si>
  <si>
    <t>07/24/1998</t>
  </si>
  <si>
    <t>07/27/1998</t>
  </si>
  <si>
    <t>07/28/1998</t>
  </si>
  <si>
    <t>07/29/1998</t>
  </si>
  <si>
    <t>07/30/1998</t>
  </si>
  <si>
    <t>07/31/1998</t>
  </si>
  <si>
    <t>08/03/1998</t>
  </si>
  <si>
    <t>08/04/1998</t>
  </si>
  <si>
    <t>08/05/1998</t>
  </si>
  <si>
    <t>08/06/1998</t>
  </si>
  <si>
    <t>08/07/1998</t>
  </si>
  <si>
    <t>08/10/1998</t>
  </si>
  <si>
    <t>08/11/1998</t>
  </si>
  <si>
    <t>08/12/1998</t>
  </si>
  <si>
    <t>08/13/1998</t>
  </si>
  <si>
    <t>08/14/1998</t>
  </si>
  <si>
    <t>08/17/1998</t>
  </si>
  <si>
    <t>08/18/1998</t>
  </si>
  <si>
    <t>08/19/1998</t>
  </si>
  <si>
    <t>08/20/1998</t>
  </si>
  <si>
    <t>08/21/1998</t>
  </si>
  <si>
    <t>08/24/1998</t>
  </si>
  <si>
    <t>08/25/1998</t>
  </si>
  <si>
    <t>08/26/1998</t>
  </si>
  <si>
    <t>08/27/1998</t>
  </si>
  <si>
    <t>08/28/1998</t>
  </si>
  <si>
    <t>08/31/1998</t>
  </si>
  <si>
    <t>09/01/1998</t>
  </si>
  <si>
    <t>09/02/1998</t>
  </si>
  <si>
    <t>09/03/1998</t>
  </si>
  <si>
    <t>09/04/1998</t>
  </si>
  <si>
    <t>09/08/1998</t>
  </si>
  <si>
    <t>09/09/1998</t>
  </si>
  <si>
    <t>09/10/1998</t>
  </si>
  <si>
    <t>09/11/1998</t>
  </si>
  <si>
    <t>09/14/1998</t>
  </si>
  <si>
    <t>09/15/1998</t>
  </si>
  <si>
    <t>09/16/1998</t>
  </si>
  <si>
    <t>09/17/1998</t>
  </si>
  <si>
    <t>09/18/1998</t>
  </si>
  <si>
    <t>09/21/1998</t>
  </si>
  <si>
    <t>09/22/1998</t>
  </si>
  <si>
    <t>09/23/1998</t>
  </si>
  <si>
    <t>09/24/1998</t>
  </si>
  <si>
    <t>09/25/1998</t>
  </si>
  <si>
    <t>09/28/1998</t>
  </si>
  <si>
    <t>09/29/1998</t>
  </si>
  <si>
    <t>09/30/1998</t>
  </si>
  <si>
    <t>10/01/1998</t>
  </si>
  <si>
    <t>10/02/1998</t>
  </si>
  <si>
    <t>10/05/1998</t>
  </si>
  <si>
    <t>10/06/1998</t>
  </si>
  <si>
    <t>10/07/1998</t>
  </si>
  <si>
    <t>10/08/1998</t>
  </si>
  <si>
    <t>10/09/1998</t>
  </si>
  <si>
    <t>10/13/1998</t>
  </si>
  <si>
    <t>10/14/1998</t>
  </si>
  <si>
    <t>10/15/1998</t>
  </si>
  <si>
    <t>10/16/1998</t>
  </si>
  <si>
    <t>10/19/1998</t>
  </si>
  <si>
    <t>10/20/1998</t>
  </si>
  <si>
    <t>10/21/1998</t>
  </si>
  <si>
    <t>10/22/1998</t>
  </si>
  <si>
    <t>10/23/1998</t>
  </si>
  <si>
    <t>10/26/1998</t>
  </si>
  <si>
    <t>10/27/1998</t>
  </si>
  <si>
    <t>10/28/1998</t>
  </si>
  <si>
    <t>10/29/1998</t>
  </si>
  <si>
    <t>10/30/1998</t>
  </si>
  <si>
    <t>11/02/1998</t>
  </si>
  <si>
    <t>11/03/1998</t>
  </si>
  <si>
    <t>11/04/1998</t>
  </si>
  <si>
    <t>11/05/1998</t>
  </si>
  <si>
    <t>11/06/1998</t>
  </si>
  <si>
    <t>11/09/1998</t>
  </si>
  <si>
    <t>11/10/1998</t>
  </si>
  <si>
    <t>11/12/1998</t>
  </si>
  <si>
    <t>11/13/1998</t>
  </si>
  <si>
    <t>11/16/1998</t>
  </si>
  <si>
    <t>11/17/1998</t>
  </si>
  <si>
    <t>11/18/1998</t>
  </si>
  <si>
    <t>11/19/1998</t>
  </si>
  <si>
    <t>11/20/1998</t>
  </si>
  <si>
    <t>11/23/1998</t>
  </si>
  <si>
    <t>11/24/1998</t>
  </si>
  <si>
    <t>11/25/1998</t>
  </si>
  <si>
    <t>11/27/1998</t>
  </si>
  <si>
    <t>11/30/1998</t>
  </si>
  <si>
    <t>12/01/1998</t>
  </si>
  <si>
    <t>12/02/1998</t>
  </si>
  <si>
    <t>12/03/1998</t>
  </si>
  <si>
    <t>12/04/1998</t>
  </si>
  <si>
    <t>12/07/1998</t>
  </si>
  <si>
    <t>12/08/1998</t>
  </si>
  <si>
    <t>12/09/1998</t>
  </si>
  <si>
    <t>12/10/1998</t>
  </si>
  <si>
    <t>12/11/1998</t>
  </si>
  <si>
    <t>12/14/1998</t>
  </si>
  <si>
    <t>12/15/1998</t>
  </si>
  <si>
    <t>12/16/1998</t>
  </si>
  <si>
    <t>12/17/1998</t>
  </si>
  <si>
    <t>12/18/1998</t>
  </si>
  <si>
    <t>12/21/1998</t>
  </si>
  <si>
    <t>12/22/1998</t>
  </si>
  <si>
    <t>12/23/1998</t>
  </si>
  <si>
    <t>12/24/1998</t>
  </si>
  <si>
    <t>12/25/1998</t>
  </si>
  <si>
    <t>12/28/1998</t>
  </si>
  <si>
    <t>12/29/1998</t>
  </si>
  <si>
    <t>12/30/1998</t>
  </si>
  <si>
    <t>12/31/1998</t>
  </si>
  <si>
    <t>01/01/1999</t>
  </si>
  <si>
    <t>01/04/1999</t>
  </si>
  <si>
    <t>01/05/1999</t>
  </si>
  <si>
    <t>01/06/1999</t>
  </si>
  <si>
    <t>01/07/1999</t>
  </si>
  <si>
    <t>01/08/1999</t>
  </si>
  <si>
    <t>01/11/1999</t>
  </si>
  <si>
    <t>01/12/1999</t>
  </si>
  <si>
    <t>01/13/1999</t>
  </si>
  <si>
    <t>01/14/1999</t>
  </si>
  <si>
    <t>01/15/1999</t>
  </si>
  <si>
    <t>01/18/1999</t>
  </si>
  <si>
    <t>01/19/1999</t>
  </si>
  <si>
    <t>01/20/1999</t>
  </si>
  <si>
    <t>01/21/1999</t>
  </si>
  <si>
    <t>01/22/1999</t>
  </si>
  <si>
    <t>01/25/1999</t>
  </si>
  <si>
    <t>01/26/1999</t>
  </si>
  <si>
    <t>01/27/1999</t>
  </si>
  <si>
    <t>01/28/1999</t>
  </si>
  <si>
    <t>01/29/1999</t>
  </si>
  <si>
    <t>02/01/1999</t>
  </si>
  <si>
    <t>02/02/1999</t>
  </si>
  <si>
    <t>02/03/1999</t>
  </si>
  <si>
    <t>02/04/1999</t>
  </si>
  <si>
    <t>02/05/1999</t>
  </si>
  <si>
    <t>02/08/1999</t>
  </si>
  <si>
    <t>02/09/1999</t>
  </si>
  <si>
    <t>02/10/1999</t>
  </si>
  <si>
    <t>02/11/1999</t>
  </si>
  <si>
    <t>02/12/1999</t>
  </si>
  <si>
    <t>02/15/1999</t>
  </si>
  <si>
    <t>02/16/1999</t>
  </si>
  <si>
    <t>02/17/1999</t>
  </si>
  <si>
    <t>02/18/1999</t>
  </si>
  <si>
    <t>02/19/1999</t>
  </si>
  <si>
    <t>02/22/1999</t>
  </si>
  <si>
    <t>02/23/1999</t>
  </si>
  <si>
    <t>02/24/1999</t>
  </si>
  <si>
    <t>02/25/1999</t>
  </si>
  <si>
    <t>02/26/1999</t>
  </si>
  <si>
    <t>03/01/1999</t>
  </si>
  <si>
    <t>03/02/1999</t>
  </si>
  <si>
    <t>03/03/1999</t>
  </si>
  <si>
    <t>03/04/1999</t>
  </si>
  <si>
    <t>03/05/1999</t>
  </si>
  <si>
    <t>03/08/1999</t>
  </si>
  <si>
    <t>03/09/1999</t>
  </si>
  <si>
    <t>03/10/1999</t>
  </si>
  <si>
    <t>03/11/1999</t>
  </si>
  <si>
    <t>03/12/1999</t>
  </si>
  <si>
    <t>03/15/1999</t>
  </si>
  <si>
    <t>03/16/1999</t>
  </si>
  <si>
    <t>03/17/1999</t>
  </si>
  <si>
    <t>03/18/1999</t>
  </si>
  <si>
    <t>03/19/1999</t>
  </si>
  <si>
    <t>03/22/1999</t>
  </si>
  <si>
    <t>03/23/1999</t>
  </si>
  <si>
    <t>03/24/1999</t>
  </si>
  <si>
    <t>03/25/1999</t>
  </si>
  <si>
    <t>03/26/1999</t>
  </si>
  <si>
    <t>03/29/1999</t>
  </si>
  <si>
    <t>03/30/1999</t>
  </si>
  <si>
    <t>03/31/1999</t>
  </si>
  <si>
    <t>04/01/1999</t>
  </si>
  <si>
    <t>04/02/1999</t>
  </si>
  <si>
    <t>04/05/1999</t>
  </si>
  <si>
    <t>04/06/1999</t>
  </si>
  <si>
    <t>04/07/1999</t>
  </si>
  <si>
    <t>04/08/1999</t>
  </si>
  <si>
    <t>04/09/1999</t>
  </si>
  <si>
    <t>04/12/1999</t>
  </si>
  <si>
    <t>04/13/1999</t>
  </si>
  <si>
    <t>04/14/1999</t>
  </si>
  <si>
    <t>04/15/1999</t>
  </si>
  <si>
    <t>04/16/1999</t>
  </si>
  <si>
    <t>04/19/1999</t>
  </si>
  <si>
    <t>04/20/1999</t>
  </si>
  <si>
    <t>04/21/1999</t>
  </si>
  <si>
    <t>04/22/1999</t>
  </si>
  <si>
    <t>04/23/1999</t>
  </si>
  <si>
    <t>04/26/1999</t>
  </si>
  <si>
    <t>04/27/1999</t>
  </si>
  <si>
    <t>04/28/1999</t>
  </si>
  <si>
    <t>04/29/1999</t>
  </si>
  <si>
    <t>04/30/1999</t>
  </si>
  <si>
    <t>05/03/1999</t>
  </si>
  <si>
    <t>05/04/1999</t>
  </si>
  <si>
    <t>05/05/1999</t>
  </si>
  <si>
    <t>05/06/1999</t>
  </si>
  <si>
    <t>05/07/1999</t>
  </si>
  <si>
    <t>05/10/1999</t>
  </si>
  <si>
    <t>05/11/1999</t>
  </si>
  <si>
    <t>05/12/1999</t>
  </si>
  <si>
    <t>05/13/1999</t>
  </si>
  <si>
    <t>05/14/1999</t>
  </si>
  <si>
    <t>05/17/1999</t>
  </si>
  <si>
    <t>05/18/1999</t>
  </si>
  <si>
    <t>05/19/1999</t>
  </si>
  <si>
    <t>05/20/1999</t>
  </si>
  <si>
    <t>05/21/1999</t>
  </si>
  <si>
    <t>05/24/1999</t>
  </si>
  <si>
    <t>05/25/1999</t>
  </si>
  <si>
    <t>05/26/1999</t>
  </si>
  <si>
    <t>05/27/1999</t>
  </si>
  <si>
    <t>05/28/1999</t>
  </si>
  <si>
    <t>06/01/1999</t>
  </si>
  <si>
    <t>06/02/1999</t>
  </si>
  <si>
    <t>06/03/1999</t>
  </si>
  <si>
    <t>06/04/1999</t>
  </si>
  <si>
    <t>06/07/1999</t>
  </si>
  <si>
    <t>06/08/1999</t>
  </si>
  <si>
    <t>06/09/1999</t>
  </si>
  <si>
    <t>06/10/1999</t>
  </si>
  <si>
    <t>06/11/1999</t>
  </si>
  <si>
    <t>06/14/1999</t>
  </si>
  <si>
    <t>06/15/1999</t>
  </si>
  <si>
    <t>06/16/1999</t>
  </si>
  <si>
    <t>06/17/1999</t>
  </si>
  <si>
    <t>06/18/1999</t>
  </si>
  <si>
    <t>06/21/1999</t>
  </si>
  <si>
    <t>06/22/1999</t>
  </si>
  <si>
    <t>06/23/1999</t>
  </si>
  <si>
    <t>06/24/1999</t>
  </si>
  <si>
    <t>06/25/1999</t>
  </si>
  <si>
    <t>06/28/1999</t>
  </si>
  <si>
    <t>06/29/1999</t>
  </si>
  <si>
    <t>06/30/1999</t>
  </si>
  <si>
    <t>07/01/1999</t>
  </si>
  <si>
    <t>07/02/1999</t>
  </si>
  <si>
    <t>07/05/1999</t>
  </si>
  <si>
    <t>07/06/1999</t>
  </si>
  <si>
    <t>07/07/1999</t>
  </si>
  <si>
    <t>07/08/1999</t>
  </si>
  <si>
    <t>07/09/1999</t>
  </si>
  <si>
    <t>07/12/1999</t>
  </si>
  <si>
    <t>07/13/1999</t>
  </si>
  <si>
    <t>07/14/1999</t>
  </si>
  <si>
    <t>07/15/1999</t>
  </si>
  <si>
    <t>07/16/1999</t>
  </si>
  <si>
    <t>07/19/1999</t>
  </si>
  <si>
    <t>07/20/1999</t>
  </si>
  <si>
    <t>07/21/1999</t>
  </si>
  <si>
    <t>07/22/1999</t>
  </si>
  <si>
    <t>07/23/1999</t>
  </si>
  <si>
    <t>07/26/1999</t>
  </si>
  <si>
    <t>07/27/1999</t>
  </si>
  <si>
    <t>07/28/1999</t>
  </si>
  <si>
    <t>07/29/1999</t>
  </si>
  <si>
    <t>07/30/1999</t>
  </si>
  <si>
    <t>08/02/1999</t>
  </si>
  <si>
    <t>08/03/1999</t>
  </si>
  <si>
    <t>08/04/1999</t>
  </si>
  <si>
    <t>08/05/1999</t>
  </si>
  <si>
    <t>08/06/1999</t>
  </si>
  <si>
    <t>08/09/1999</t>
  </si>
  <si>
    <t>08/10/1999</t>
  </si>
  <si>
    <t>08/11/1999</t>
  </si>
  <si>
    <t>08/12/1999</t>
  </si>
  <si>
    <t>08/13/1999</t>
  </si>
  <si>
    <t>08/16/1999</t>
  </si>
  <si>
    <t>08/17/1999</t>
  </si>
  <si>
    <t>08/18/1999</t>
  </si>
  <si>
    <t>08/19/1999</t>
  </si>
  <si>
    <t>08/20/1999</t>
  </si>
  <si>
    <t>08/23/1999</t>
  </si>
  <si>
    <t>08/24/1999</t>
  </si>
  <si>
    <t>08/25/1999</t>
  </si>
  <si>
    <t>08/26/1999</t>
  </si>
  <si>
    <t>08/27/1999</t>
  </si>
  <si>
    <t>08/30/1999</t>
  </si>
  <si>
    <t>08/31/1999</t>
  </si>
  <si>
    <t>09/01/1999</t>
  </si>
  <si>
    <t>09/02/1999</t>
  </si>
  <si>
    <t>09/03/1999</t>
  </si>
  <si>
    <t>09/06/1999</t>
  </si>
  <si>
    <t>09/07/1999</t>
  </si>
  <si>
    <t>09/08/1999</t>
  </si>
  <si>
    <t>09/09/1999</t>
  </si>
  <si>
    <t>09/10/1999</t>
  </si>
  <si>
    <t>09/13/1999</t>
  </si>
  <si>
    <t>09/14/1999</t>
  </si>
  <si>
    <t>09/15/1999</t>
  </si>
  <si>
    <t>09/16/1999</t>
  </si>
  <si>
    <t>09/17/1999</t>
  </si>
  <si>
    <t>09/20/1999</t>
  </si>
  <si>
    <t>09/21/1999</t>
  </si>
  <si>
    <t>09/22/1999</t>
  </si>
  <si>
    <t>09/23/1999</t>
  </si>
  <si>
    <t>09/24/1999</t>
  </si>
  <si>
    <t>09/27/1999</t>
  </si>
  <si>
    <t>09/28/1999</t>
  </si>
  <si>
    <t>09/29/1999</t>
  </si>
  <si>
    <t>09/30/1999</t>
  </si>
  <si>
    <t>10/01/1999</t>
  </si>
  <si>
    <t>10/04/1999</t>
  </si>
  <si>
    <t>10/05/1999</t>
  </si>
  <si>
    <t>10/06/1999</t>
  </si>
  <si>
    <t>10/07/1999</t>
  </si>
  <si>
    <t>10/08/1999</t>
  </si>
  <si>
    <t>10/12/1999</t>
  </si>
  <si>
    <t>10/13/1999</t>
  </si>
  <si>
    <t>10/14/1999</t>
  </si>
  <si>
    <t>10/15/1999</t>
  </si>
  <si>
    <t>10/18/1999</t>
  </si>
  <si>
    <t>10/19/1999</t>
  </si>
  <si>
    <t>10/20/1999</t>
  </si>
  <si>
    <t>10/21/1999</t>
  </si>
  <si>
    <t>10/22/1999</t>
  </si>
  <si>
    <t>10/25/1999</t>
  </si>
  <si>
    <t>10/26/1999</t>
  </si>
  <si>
    <t>10/27/1999</t>
  </si>
  <si>
    <t>10/28/1999</t>
  </si>
  <si>
    <t>10/29/1999</t>
  </si>
  <si>
    <t>11/01/1999</t>
  </si>
  <si>
    <t>11/02/1999</t>
  </si>
  <si>
    <t>11/03/1999</t>
  </si>
  <si>
    <t>11/04/1999</t>
  </si>
  <si>
    <t>11/05/1999</t>
  </si>
  <si>
    <t>11/08/1999</t>
  </si>
  <si>
    <t>11/09/1999</t>
  </si>
  <si>
    <t>11/10/1999</t>
  </si>
  <si>
    <t>11/11/1999</t>
  </si>
  <si>
    <t>11/12/1999</t>
  </si>
  <si>
    <t>11/15/1999</t>
  </si>
  <si>
    <t>11/16/1999</t>
  </si>
  <si>
    <t>11/17/1999</t>
  </si>
  <si>
    <t>11/18/1999</t>
  </si>
  <si>
    <t>11/19/1999</t>
  </si>
  <si>
    <t>11/22/1999</t>
  </si>
  <si>
    <t>11/23/1999</t>
  </si>
  <si>
    <t>11/24/1999</t>
  </si>
  <si>
    <t>11/26/1999</t>
  </si>
  <si>
    <t>11/29/1999</t>
  </si>
  <si>
    <t>11/30/1999</t>
  </si>
  <si>
    <t>12/01/1999</t>
  </si>
  <si>
    <t>12/02/1999</t>
  </si>
  <si>
    <t>12/03/1999</t>
  </si>
  <si>
    <t>12/06/1999</t>
  </si>
  <si>
    <t>12/07/1999</t>
  </si>
  <si>
    <t>12/08/1999</t>
  </si>
  <si>
    <t>12/09/1999</t>
  </si>
  <si>
    <t>12/10/1999</t>
  </si>
  <si>
    <t>12/13/1999</t>
  </si>
  <si>
    <t>12/14/1999</t>
  </si>
  <si>
    <t>12/15/1999</t>
  </si>
  <si>
    <t>12/16/1999</t>
  </si>
  <si>
    <t>12/17/1999</t>
  </si>
  <si>
    <t>12/20/1999</t>
  </si>
  <si>
    <t>12/21/1999</t>
  </si>
  <si>
    <t>12/22/1999</t>
  </si>
  <si>
    <t>12/23/1999</t>
  </si>
  <si>
    <t>12/27/1999</t>
  </si>
  <si>
    <t>12/28/1999</t>
  </si>
  <si>
    <t>12/29/1999</t>
  </si>
  <si>
    <t>12/30/1999</t>
  </si>
  <si>
    <t>12/31/1999</t>
  </si>
  <si>
    <t>01/03/2000</t>
  </si>
  <si>
    <t>01/04/2000</t>
  </si>
  <si>
    <t>01/05/2000</t>
  </si>
  <si>
    <t>01/06/2000</t>
  </si>
  <si>
    <t>01/07/2000</t>
  </si>
  <si>
    <t>01/10/2000</t>
  </si>
  <si>
    <t>01/11/2000</t>
  </si>
  <si>
    <t>01/12/2000</t>
  </si>
  <si>
    <t>01/13/2000</t>
  </si>
  <si>
    <t>01/14/2000</t>
  </si>
  <si>
    <t>01/18/2000</t>
  </si>
  <si>
    <t>01/19/2000</t>
  </si>
  <si>
    <t>01/20/2000</t>
  </si>
  <si>
    <t>01/21/2000</t>
  </si>
  <si>
    <t>01/24/2000</t>
  </si>
  <si>
    <t>01/25/2000</t>
  </si>
  <si>
    <t>01/26/2000</t>
  </si>
  <si>
    <t>01/27/2000</t>
  </si>
  <si>
    <t>01/28/2000</t>
  </si>
  <si>
    <t>01/31/2000</t>
  </si>
  <si>
    <t>02/01/2000</t>
  </si>
  <si>
    <t>02/02/2000</t>
  </si>
  <si>
    <t>02/03/2000</t>
  </si>
  <si>
    <t>02/04/2000</t>
  </si>
  <si>
    <t>02/07/2000</t>
  </si>
  <si>
    <t>02/08/2000</t>
  </si>
  <si>
    <t>02/09/2000</t>
  </si>
  <si>
    <t>02/10/2000</t>
  </si>
  <si>
    <t>02/11/2000</t>
  </si>
  <si>
    <t>02/14/2000</t>
  </si>
  <si>
    <t>02/15/2000</t>
  </si>
  <si>
    <t>02/16/2000</t>
  </si>
  <si>
    <t>02/17/2000</t>
  </si>
  <si>
    <t>02/18/2000</t>
  </si>
  <si>
    <t>02/22/2000</t>
  </si>
  <si>
    <t>02/23/2000</t>
  </si>
  <si>
    <t>02/24/2000</t>
  </si>
  <si>
    <t>02/25/2000</t>
  </si>
  <si>
    <t>02/28/2000</t>
  </si>
  <si>
    <t>02/29/2000</t>
  </si>
  <si>
    <t>03/01/2000</t>
  </si>
  <si>
    <t>03/02/2000</t>
  </si>
  <si>
    <t>03/03/2000</t>
  </si>
  <si>
    <t>03/06/2000</t>
  </si>
  <si>
    <t>03/07/2000</t>
  </si>
  <si>
    <t>03/08/2000</t>
  </si>
  <si>
    <t>03/09/2000</t>
  </si>
  <si>
    <t>03/10/2000</t>
  </si>
  <si>
    <t>03/13/2000</t>
  </si>
  <si>
    <t>03/14/2000</t>
  </si>
  <si>
    <t>03/15/2000</t>
  </si>
  <si>
    <t>03/16/2000</t>
  </si>
  <si>
    <t>03/17/2000</t>
  </si>
  <si>
    <t>03/20/2000</t>
  </si>
  <si>
    <t>03/21/2000</t>
  </si>
  <si>
    <t>03/22/2000</t>
  </si>
  <si>
    <t>03/23/2000</t>
  </si>
  <si>
    <t>03/24/2000</t>
  </si>
  <si>
    <t>03/27/2000</t>
  </si>
  <si>
    <t>03/28/2000</t>
  </si>
  <si>
    <t>03/29/2000</t>
  </si>
  <si>
    <t>03/30/2000</t>
  </si>
  <si>
    <t>03/31/2000</t>
  </si>
  <si>
    <t>04/03/2000</t>
  </si>
  <si>
    <t>04/04/2000</t>
  </si>
  <si>
    <t>04/05/2000</t>
  </si>
  <si>
    <t>04/06/2000</t>
  </si>
  <si>
    <t>04/07/2000</t>
  </si>
  <si>
    <t>04/10/2000</t>
  </si>
  <si>
    <t>04/11/2000</t>
  </si>
  <si>
    <t>04/12/2000</t>
  </si>
  <si>
    <t>04/13/2000</t>
  </si>
  <si>
    <t>04/14/2000</t>
  </si>
  <si>
    <t>04/17/2000</t>
  </si>
  <si>
    <t>04/18/2000</t>
  </si>
  <si>
    <t>04/19/2000</t>
  </si>
  <si>
    <t>04/20/2000</t>
  </si>
  <si>
    <t>04/24/2000</t>
  </si>
  <si>
    <t>04/25/2000</t>
  </si>
  <si>
    <t>04/26/2000</t>
  </si>
  <si>
    <t>04/27/2000</t>
  </si>
  <si>
    <t>04/28/2000</t>
  </si>
  <si>
    <t>05/01/2000</t>
  </si>
  <si>
    <t>05/02/2000</t>
  </si>
  <si>
    <t>05/03/2000</t>
  </si>
  <si>
    <t>05/04/2000</t>
  </si>
  <si>
    <t>05/05/2000</t>
  </si>
  <si>
    <t>05/08/2000</t>
  </si>
  <si>
    <t>05/09/2000</t>
  </si>
  <si>
    <t>05/10/2000</t>
  </si>
  <si>
    <t>05/11/2000</t>
  </si>
  <si>
    <t>05/12/2000</t>
  </si>
  <si>
    <t>05/15/2000</t>
  </si>
  <si>
    <t>05/16/2000</t>
  </si>
  <si>
    <t>05/17/2000</t>
  </si>
  <si>
    <t>05/18/2000</t>
  </si>
  <si>
    <t>05/19/2000</t>
  </si>
  <si>
    <t>05/22/2000</t>
  </si>
  <si>
    <t>05/23/2000</t>
  </si>
  <si>
    <t>05/24/2000</t>
  </si>
  <si>
    <t>05/25/2000</t>
  </si>
  <si>
    <t>05/26/2000</t>
  </si>
  <si>
    <t>05/30/2000</t>
  </si>
  <si>
    <t>05/31/2000</t>
  </si>
  <si>
    <t>06/01/2000</t>
  </si>
  <si>
    <t>06/02/2000</t>
  </si>
  <si>
    <t>06/05/2000</t>
  </si>
  <si>
    <t>06/06/2000</t>
  </si>
  <si>
    <t>06/07/2000</t>
  </si>
  <si>
    <t>06/08/2000</t>
  </si>
  <si>
    <t>06/09/2000</t>
  </si>
  <si>
    <t>06/12/2000</t>
  </si>
  <si>
    <t>06/13/2000</t>
  </si>
  <si>
    <t>06/14/2000</t>
  </si>
  <si>
    <t>06/15/2000</t>
  </si>
  <si>
    <t>06/16/2000</t>
  </si>
  <si>
    <t>06/19/2000</t>
  </si>
  <si>
    <t>06/20/2000</t>
  </si>
  <si>
    <t>06/21/2000</t>
  </si>
  <si>
    <t>06/22/2000</t>
  </si>
  <si>
    <t>06/23/2000</t>
  </si>
  <si>
    <t>06/26/2000</t>
  </si>
  <si>
    <t>06/27/2000</t>
  </si>
  <si>
    <t>06/28/2000</t>
  </si>
  <si>
    <t>06/29/2000</t>
  </si>
  <si>
    <t>06/30/2000</t>
  </si>
  <si>
    <t>07/03/2000</t>
  </si>
  <si>
    <t>07/05/2000</t>
  </si>
  <si>
    <t>07/06/2000</t>
  </si>
  <si>
    <t>07/07/2000</t>
  </si>
  <si>
    <t>07/10/2000</t>
  </si>
  <si>
    <t>07/11/2000</t>
  </si>
  <si>
    <t>07/12/2000</t>
  </si>
  <si>
    <t>07/13/2000</t>
  </si>
  <si>
    <t>07/14/2000</t>
  </si>
  <si>
    <t>07/17/2000</t>
  </si>
  <si>
    <t>07/18/2000</t>
  </si>
  <si>
    <t>07/19/2000</t>
  </si>
  <si>
    <t>07/20/2000</t>
  </si>
  <si>
    <t>07/21/2000</t>
  </si>
  <si>
    <t>07/24/2000</t>
  </si>
  <si>
    <t>07/25/2000</t>
  </si>
  <si>
    <t>07/26/2000</t>
  </si>
  <si>
    <t>07/27/2000</t>
  </si>
  <si>
    <t>07/28/2000</t>
  </si>
  <si>
    <t>07/31/2000</t>
  </si>
  <si>
    <t>08/01/2000</t>
  </si>
  <si>
    <t>08/02/2000</t>
  </si>
  <si>
    <t>08/03/2000</t>
  </si>
  <si>
    <t>08/04/2000</t>
  </si>
  <si>
    <t>08/07/2000</t>
  </si>
  <si>
    <t>08/08/2000</t>
  </si>
  <si>
    <t>08/09/2000</t>
  </si>
  <si>
    <t>08/10/2000</t>
  </si>
  <si>
    <t>08/11/2000</t>
  </si>
  <si>
    <t>08/14/2000</t>
  </si>
  <si>
    <t>08/15/2000</t>
  </si>
  <si>
    <t>08/16/2000</t>
  </si>
  <si>
    <t>08/17/2000</t>
  </si>
  <si>
    <t>08/18/2000</t>
  </si>
  <si>
    <t>08/21/2000</t>
  </si>
  <si>
    <t>08/22/2000</t>
  </si>
  <si>
    <t>08/23/2000</t>
  </si>
  <si>
    <t>08/24/2000</t>
  </si>
  <si>
    <t>08/25/2000</t>
  </si>
  <si>
    <t>08/28/2000</t>
  </si>
  <si>
    <t>08/29/2000</t>
  </si>
  <si>
    <t>08/30/2000</t>
  </si>
  <si>
    <t>08/31/2000</t>
  </si>
  <si>
    <t>09/01/2000</t>
  </si>
  <si>
    <t>09/05/2000</t>
  </si>
  <si>
    <t>09/06/2000</t>
  </si>
  <si>
    <t>09/07/2000</t>
  </si>
  <si>
    <t>09/08/2000</t>
  </si>
  <si>
    <t>09/11/2000</t>
  </si>
  <si>
    <t>09/12/2000</t>
  </si>
  <si>
    <t>09/13/2000</t>
  </si>
  <si>
    <t>09/14/2000</t>
  </si>
  <si>
    <t>09/15/2000</t>
  </si>
  <si>
    <t>09/18/2000</t>
  </si>
  <si>
    <t>09/19/2000</t>
  </si>
  <si>
    <t>09/20/2000</t>
  </si>
  <si>
    <t>09/21/2000</t>
  </si>
  <si>
    <t>09/22/2000</t>
  </si>
  <si>
    <t>09/25/2000</t>
  </si>
  <si>
    <t>09/26/2000</t>
  </si>
  <si>
    <t>09/27/2000</t>
  </si>
  <si>
    <t>09/28/2000</t>
  </si>
  <si>
    <t>09/29/2000</t>
  </si>
  <si>
    <t>10/02/2000</t>
  </si>
  <si>
    <t>10/03/2000</t>
  </si>
  <si>
    <t>10/04/2000</t>
  </si>
  <si>
    <t>10/05/2000</t>
  </si>
  <si>
    <t>10/06/2000</t>
  </si>
  <si>
    <t>10/09/2000</t>
  </si>
  <si>
    <t>10/10/2000</t>
  </si>
  <si>
    <t>10/11/2000</t>
  </si>
  <si>
    <t>10/12/2000</t>
  </si>
  <si>
    <t>10/13/2000</t>
  </si>
  <si>
    <t>10/16/2000</t>
  </si>
  <si>
    <t>10/17/2000</t>
  </si>
  <si>
    <t>10/18/2000</t>
  </si>
  <si>
    <t>10/19/2000</t>
  </si>
  <si>
    <t>10/20/2000</t>
  </si>
  <si>
    <t>10/23/2000</t>
  </si>
  <si>
    <t>10/24/2000</t>
  </si>
  <si>
    <t>10/25/2000</t>
  </si>
  <si>
    <t>10/26/2000</t>
  </si>
  <si>
    <t>10/27/2000</t>
  </si>
  <si>
    <t>10/30/2000</t>
  </si>
  <si>
    <t>10/31/2000</t>
  </si>
  <si>
    <t>11/01/2000</t>
  </si>
  <si>
    <t>11/02/2000</t>
  </si>
  <si>
    <t>11/03/2000</t>
  </si>
  <si>
    <t>11/06/2000</t>
  </si>
  <si>
    <t>11/07/2000</t>
  </si>
  <si>
    <t>11/08/2000</t>
  </si>
  <si>
    <t>11/09/2000</t>
  </si>
  <si>
    <t>11/10/2000</t>
  </si>
  <si>
    <t>11/13/2000</t>
  </si>
  <si>
    <t>11/14/2000</t>
  </si>
  <si>
    <t>11/15/2000</t>
  </si>
  <si>
    <t>11/16/2000</t>
  </si>
  <si>
    <t>11/17/2000</t>
  </si>
  <si>
    <t>11/20/2000</t>
  </si>
  <si>
    <t>11/21/2000</t>
  </si>
  <si>
    <t>11/22/2000</t>
  </si>
  <si>
    <t>11/24/2000</t>
  </si>
  <si>
    <t>11/27/2000</t>
  </si>
  <si>
    <t>11/28/2000</t>
  </si>
  <si>
    <t>11/29/2000</t>
  </si>
  <si>
    <t>11/30/2000</t>
  </si>
  <si>
    <t>12/01/2000</t>
  </si>
  <si>
    <t>12/04/2000</t>
  </si>
  <si>
    <t>12/05/2000</t>
  </si>
  <si>
    <t>12/06/2000</t>
  </si>
  <si>
    <t>12/07/2000</t>
  </si>
  <si>
    <t>12/08/2000</t>
  </si>
  <si>
    <t>12/11/2000</t>
  </si>
  <si>
    <t>12/12/2000</t>
  </si>
  <si>
    <t>12/13/2000</t>
  </si>
  <si>
    <t>12/14/2000</t>
  </si>
  <si>
    <t>12/15/2000</t>
  </si>
  <si>
    <t>12/18/2000</t>
  </si>
  <si>
    <t>12/19/2000</t>
  </si>
  <si>
    <t>12/20/2000</t>
  </si>
  <si>
    <t>12/21/2000</t>
  </si>
  <si>
    <t>12/22/2000</t>
  </si>
  <si>
    <t>12/26/2000</t>
  </si>
  <si>
    <t>12/27/2000</t>
  </si>
  <si>
    <t>12/28/2000</t>
  </si>
  <si>
    <t>12/29/2000</t>
  </si>
  <si>
    <t>01/02/2001</t>
  </si>
  <si>
    <t>01/03/2001</t>
  </si>
  <si>
    <t>01/04/2001</t>
  </si>
  <si>
    <t>01/05/2001</t>
  </si>
  <si>
    <t>01/08/2001</t>
  </si>
  <si>
    <t>01/09/2001</t>
  </si>
  <si>
    <t>01/10/2001</t>
  </si>
  <si>
    <t>01/11/2001</t>
  </si>
  <si>
    <t>01/12/2001</t>
  </si>
  <si>
    <t>01/16/2001</t>
  </si>
  <si>
    <t>01/17/2001</t>
  </si>
  <si>
    <t>01/18/2001</t>
  </si>
  <si>
    <t>01/19/2001</t>
  </si>
  <si>
    <t>01/22/2001</t>
  </si>
  <si>
    <t>01/23/2001</t>
  </si>
  <si>
    <t>01/24/2001</t>
  </si>
  <si>
    <t>01/25/2001</t>
  </si>
  <si>
    <t>01/26/2001</t>
  </si>
  <si>
    <t>01/29/2001</t>
  </si>
  <si>
    <t>01/30/2001</t>
  </si>
  <si>
    <t>01/31/2001</t>
  </si>
  <si>
    <t>02/01/2001</t>
  </si>
  <si>
    <t>02/02/2001</t>
  </si>
  <si>
    <t>02/05/2001</t>
  </si>
  <si>
    <t>02/06/2001</t>
  </si>
  <si>
    <t>02/07/2001</t>
  </si>
  <si>
    <t>02/08/2001</t>
  </si>
  <si>
    <t>02/09/2001</t>
  </si>
  <si>
    <t>02/12/2001</t>
  </si>
  <si>
    <t>02/13/2001</t>
  </si>
  <si>
    <t>02/14/2001</t>
  </si>
  <si>
    <t>02/15/2001</t>
  </si>
  <si>
    <t>02/16/2001</t>
  </si>
  <si>
    <t>02/20/2001</t>
  </si>
  <si>
    <t>02/21/2001</t>
  </si>
  <si>
    <t>02/22/2001</t>
  </si>
  <si>
    <t>02/23/2001</t>
  </si>
  <si>
    <t>02/26/2001</t>
  </si>
  <si>
    <t>02/27/2001</t>
  </si>
  <si>
    <t>02/28/2001</t>
  </si>
  <si>
    <t>03/01/2001</t>
  </si>
  <si>
    <t>03/02/2001</t>
  </si>
  <si>
    <t>03/05/2001</t>
  </si>
  <si>
    <t>03/06/2001</t>
  </si>
  <si>
    <t>03/07/2001</t>
  </si>
  <si>
    <t>03/08/2001</t>
  </si>
  <si>
    <t>03/09/2001</t>
  </si>
  <si>
    <t>03/12/2001</t>
  </si>
  <si>
    <t>03/13/2001</t>
  </si>
  <si>
    <t>03/14/2001</t>
  </si>
  <si>
    <t>03/15/2001</t>
  </si>
  <si>
    <t>03/16/2001</t>
  </si>
  <si>
    <t>03/19/2001</t>
  </si>
  <si>
    <t>03/20/2001</t>
  </si>
  <si>
    <t>03/21/2001</t>
  </si>
  <si>
    <t>03/22/2001</t>
  </si>
  <si>
    <t>03/23/2001</t>
  </si>
  <si>
    <t>03/26/2001</t>
  </si>
  <si>
    <t>03/27/2001</t>
  </si>
  <si>
    <t>03/28/2001</t>
  </si>
  <si>
    <t>03/29/2001</t>
  </si>
  <si>
    <t>03/30/2001</t>
  </si>
  <si>
    <t>04/02/2001</t>
  </si>
  <si>
    <t>04/03/2001</t>
  </si>
  <si>
    <t>04/04/2001</t>
  </si>
  <si>
    <t>04/05/2001</t>
  </si>
  <si>
    <t>04/06/2001</t>
  </si>
  <si>
    <t>04/09/2001</t>
  </si>
  <si>
    <t>04/10/2001</t>
  </si>
  <si>
    <t>04/11/2001</t>
  </si>
  <si>
    <t>04/12/2001</t>
  </si>
  <si>
    <t>04/16/2001</t>
  </si>
  <si>
    <t>04/17/2001</t>
  </si>
  <si>
    <t>04/18/2001</t>
  </si>
  <si>
    <t>04/19/2001</t>
  </si>
  <si>
    <t>04/20/2001</t>
  </si>
  <si>
    <t>04/23/2001</t>
  </si>
  <si>
    <t>04/24/2001</t>
  </si>
  <si>
    <t>04/25/2001</t>
  </si>
  <si>
    <t>04/26/2001</t>
  </si>
  <si>
    <t>04/27/2001</t>
  </si>
  <si>
    <t>04/30/2001</t>
  </si>
  <si>
    <t>05/01/2001</t>
  </si>
  <si>
    <t>05/02/2001</t>
  </si>
  <si>
    <t>05/03/2001</t>
  </si>
  <si>
    <t>05/04/2001</t>
  </si>
  <si>
    <t>05/07/2001</t>
  </si>
  <si>
    <t>05/08/2001</t>
  </si>
  <si>
    <t>05/09/2001</t>
  </si>
  <si>
    <t>05/10/2001</t>
  </si>
  <si>
    <t>05/11/2001</t>
  </si>
  <si>
    <t>05/14/2001</t>
  </si>
  <si>
    <t>05/15/2001</t>
  </si>
  <si>
    <t>05/16/2001</t>
  </si>
  <si>
    <t>05/17/2001</t>
  </si>
  <si>
    <t>05/18/2001</t>
  </si>
  <si>
    <t>05/21/2001</t>
  </si>
  <si>
    <t>05/22/2001</t>
  </si>
  <si>
    <t>05/23/2001</t>
  </si>
  <si>
    <t>05/24/2001</t>
  </si>
  <si>
    <t>05/25/2001</t>
  </si>
  <si>
    <t>05/29/2001</t>
  </si>
  <si>
    <t>05/30/2001</t>
  </si>
  <si>
    <t>05/31/2001</t>
  </si>
  <si>
    <t>06/01/2001</t>
  </si>
  <si>
    <t>06/04/2001</t>
  </si>
  <si>
    <t>06/05/2001</t>
  </si>
  <si>
    <t>06/06/2001</t>
  </si>
  <si>
    <t>06/07/2001</t>
  </si>
  <si>
    <t>06/08/2001</t>
  </si>
  <si>
    <t>06/11/2001</t>
  </si>
  <si>
    <t>06/12/2001</t>
  </si>
  <si>
    <t>06/13/2001</t>
  </si>
  <si>
    <t>06/14/2001</t>
  </si>
  <si>
    <t>06/15/2001</t>
  </si>
  <si>
    <t>06/18/2001</t>
  </si>
  <si>
    <t>06/19/2001</t>
  </si>
  <si>
    <t>06/20/2001</t>
  </si>
  <si>
    <t>06/21/2001</t>
  </si>
  <si>
    <t>06/22/2001</t>
  </si>
  <si>
    <t>06/25/2001</t>
  </si>
  <si>
    <t>06/26/2001</t>
  </si>
  <si>
    <t>06/27/2001</t>
  </si>
  <si>
    <t>06/28/2001</t>
  </si>
  <si>
    <t>06/29/2001</t>
  </si>
  <si>
    <t>07/02/2001</t>
  </si>
  <si>
    <t>07/03/2001</t>
  </si>
  <si>
    <t>07/05/2001</t>
  </si>
  <si>
    <t>07/06/2001</t>
  </si>
  <si>
    <t>07/09/2001</t>
  </si>
  <si>
    <t>07/10/2001</t>
  </si>
  <si>
    <t>07/11/2001</t>
  </si>
  <si>
    <t>07/12/2001</t>
  </si>
  <si>
    <t>07/13/2001</t>
  </si>
  <si>
    <t>07/16/2001</t>
  </si>
  <si>
    <t>07/17/2001</t>
  </si>
  <si>
    <t>07/18/2001</t>
  </si>
  <si>
    <t>07/19/2001</t>
  </si>
  <si>
    <t>07/20/2001</t>
  </si>
  <si>
    <t>07/23/2001</t>
  </si>
  <si>
    <t>07/24/2001</t>
  </si>
  <si>
    <t>07/25/2001</t>
  </si>
  <si>
    <t>07/26/2001</t>
  </si>
  <si>
    <t>07/27/2001</t>
  </si>
  <si>
    <t>07/30/2001</t>
  </si>
  <si>
    <t>07/31/2001</t>
  </si>
  <si>
    <t>08/01/2001</t>
  </si>
  <si>
    <t>08/02/2001</t>
  </si>
  <si>
    <t>08/03/2001</t>
  </si>
  <si>
    <t>08/06/2001</t>
  </si>
  <si>
    <t>08/07/2001</t>
  </si>
  <si>
    <t>08/08/2001</t>
  </si>
  <si>
    <t>08/09/2001</t>
  </si>
  <si>
    <t>08/10/2001</t>
  </si>
  <si>
    <t>08/13/2001</t>
  </si>
  <si>
    <t>08/14/2001</t>
  </si>
  <si>
    <t>08/15/2001</t>
  </si>
  <si>
    <t>08/16/2001</t>
  </si>
  <si>
    <t>08/17/2001</t>
  </si>
  <si>
    <t>08/20/2001</t>
  </si>
  <si>
    <t>08/21/2001</t>
  </si>
  <si>
    <t>08/22/2001</t>
  </si>
  <si>
    <t>08/23/2001</t>
  </si>
  <si>
    <t>08/24/2001</t>
  </si>
  <si>
    <t>08/27/2001</t>
  </si>
  <si>
    <t>08/28/2001</t>
  </si>
  <si>
    <t>08/29/2001</t>
  </si>
  <si>
    <t>08/30/2001</t>
  </si>
  <si>
    <t>08/31/2001</t>
  </si>
  <si>
    <t>09/04/2001</t>
  </si>
  <si>
    <t>09/05/2001</t>
  </si>
  <si>
    <t>09/06/2001</t>
  </si>
  <si>
    <t>09/07/2001</t>
  </si>
  <si>
    <t>09/10/2001</t>
  </si>
  <si>
    <t>09/12/2001</t>
  </si>
  <si>
    <t>09/13/2001</t>
  </si>
  <si>
    <t>09/14/2001</t>
  </si>
  <si>
    <t>09/17/2001</t>
  </si>
  <si>
    <t>09/18/2001</t>
  </si>
  <si>
    <t>09/19/2001</t>
  </si>
  <si>
    <t>09/20/2001</t>
  </si>
  <si>
    <t>09/21/2001</t>
  </si>
  <si>
    <t>09/24/2001</t>
  </si>
  <si>
    <t>09/25/2001</t>
  </si>
  <si>
    <t>09/26/2001</t>
  </si>
  <si>
    <t>09/27/2001</t>
  </si>
  <si>
    <t>09/28/2001</t>
  </si>
  <si>
    <t>10/01/2001</t>
  </si>
  <si>
    <t>10/02/2001</t>
  </si>
  <si>
    <t>10/03/2001</t>
  </si>
  <si>
    <t>10/04/2001</t>
  </si>
  <si>
    <t>10/05/2001</t>
  </si>
  <si>
    <t>10/09/2001</t>
  </si>
  <si>
    <t>10/10/2001</t>
  </si>
  <si>
    <t>10/11/2001</t>
  </si>
  <si>
    <t>10/12/2001</t>
  </si>
  <si>
    <t>10/15/2001</t>
  </si>
  <si>
    <t>10/16/2001</t>
  </si>
  <si>
    <t>10/17/2001</t>
  </si>
  <si>
    <t>10/18/2001</t>
  </si>
  <si>
    <t>10/19/2001</t>
  </si>
  <si>
    <t>10/22/2001</t>
  </si>
  <si>
    <t>10/23/2001</t>
  </si>
  <si>
    <t>10/24/2001</t>
  </si>
  <si>
    <t>10/25/2001</t>
  </si>
  <si>
    <t>10/26/2001</t>
  </si>
  <si>
    <t>10/29/2001</t>
  </si>
  <si>
    <t>10/30/2001</t>
  </si>
  <si>
    <t>10/31/2001</t>
  </si>
  <si>
    <t>11/01/2001</t>
  </si>
  <si>
    <t>11/02/2001</t>
  </si>
  <si>
    <t>11/05/2001</t>
  </si>
  <si>
    <t>11/06/2001</t>
  </si>
  <si>
    <t>11/07/2001</t>
  </si>
  <si>
    <t>11/08/2001</t>
  </si>
  <si>
    <t>11/09/2001</t>
  </si>
  <si>
    <t>11/12/2001</t>
  </si>
  <si>
    <t>11/13/2001</t>
  </si>
  <si>
    <t>11/14/2001</t>
  </si>
  <si>
    <t>11/15/2001</t>
  </si>
  <si>
    <t>11/16/2001</t>
  </si>
  <si>
    <t>11/19/2001</t>
  </si>
  <si>
    <t>11/20/2001</t>
  </si>
  <si>
    <t>11/21/2001</t>
  </si>
  <si>
    <t>11/23/2001</t>
  </si>
  <si>
    <t>11/26/2001</t>
  </si>
  <si>
    <t>11/27/2001</t>
  </si>
  <si>
    <t>11/28/2001</t>
  </si>
  <si>
    <t>11/29/2001</t>
  </si>
  <si>
    <t>11/30/2001</t>
  </si>
  <si>
    <t>12/03/2001</t>
  </si>
  <si>
    <t>12/04/2001</t>
  </si>
  <si>
    <t>12/05/2001</t>
  </si>
  <si>
    <t>12/06/2001</t>
  </si>
  <si>
    <t>12/07/2001</t>
  </si>
  <si>
    <t>12/10/2001</t>
  </si>
  <si>
    <t>12/11/2001</t>
  </si>
  <si>
    <t>12/12/2001</t>
  </si>
  <si>
    <t>12/13/2001</t>
  </si>
  <si>
    <t>12/14/2001</t>
  </si>
  <si>
    <t>12/17/2001</t>
  </si>
  <si>
    <t>12/18/2001</t>
  </si>
  <si>
    <t>12/19/2001</t>
  </si>
  <si>
    <t>12/20/2001</t>
  </si>
  <si>
    <t>12/21/2001</t>
  </si>
  <si>
    <t>12/24/2001</t>
  </si>
  <si>
    <t>12/26/2001</t>
  </si>
  <si>
    <t>12/27/2001</t>
  </si>
  <si>
    <t>12/28/2001</t>
  </si>
  <si>
    <t>12/31/2001</t>
  </si>
  <si>
    <t>01/02/2002</t>
  </si>
  <si>
    <t>01/03/2002</t>
  </si>
  <si>
    <t>01/04/2002</t>
  </si>
  <si>
    <t>01/07/2002</t>
  </si>
  <si>
    <t>01/08/2002</t>
  </si>
  <si>
    <t>01/09/2002</t>
  </si>
  <si>
    <t>01/10/2002</t>
  </si>
  <si>
    <t>01/11/2002</t>
  </si>
  <si>
    <t>01/14/2002</t>
  </si>
  <si>
    <t>01/15/2002</t>
  </si>
  <si>
    <t>01/16/2002</t>
  </si>
  <si>
    <t>01/17/2002</t>
  </si>
  <si>
    <t>01/18/2002</t>
  </si>
  <si>
    <t>01/22/2002</t>
  </si>
  <si>
    <t>01/23/2002</t>
  </si>
  <si>
    <t>01/24/2002</t>
  </si>
  <si>
    <t>01/25/2002</t>
  </si>
  <si>
    <t>01/28/2002</t>
  </si>
  <si>
    <t>01/29/2002</t>
  </si>
  <si>
    <t>01/30/2002</t>
  </si>
  <si>
    <t>01/31/2002</t>
  </si>
  <si>
    <t>02/01/2002</t>
  </si>
  <si>
    <t>02/04/2002</t>
  </si>
  <si>
    <t>02/05/2002</t>
  </si>
  <si>
    <t>02/06/2002</t>
  </si>
  <si>
    <t>02/07/2002</t>
  </si>
  <si>
    <t>02/08/2002</t>
  </si>
  <si>
    <t>02/11/2002</t>
  </si>
  <si>
    <t>02/12/2002</t>
  </si>
  <si>
    <t>02/13/2002</t>
  </si>
  <si>
    <t>02/14/2002</t>
  </si>
  <si>
    <t>02/15/2002</t>
  </si>
  <si>
    <t>02/19/2002</t>
  </si>
  <si>
    <t>02/20/2002</t>
  </si>
  <si>
    <t>02/21/2002</t>
  </si>
  <si>
    <t>02/22/2002</t>
  </si>
  <si>
    <t>02/25/2002</t>
  </si>
  <si>
    <t>02/26/2002</t>
  </si>
  <si>
    <t>02/27/2002</t>
  </si>
  <si>
    <t>02/28/2002</t>
  </si>
  <si>
    <t>03/01/2002</t>
  </si>
  <si>
    <t>03/04/2002</t>
  </si>
  <si>
    <t>03/05/2002</t>
  </si>
  <si>
    <t>03/06/2002</t>
  </si>
  <si>
    <t>03/07/2002</t>
  </si>
  <si>
    <t>03/08/2002</t>
  </si>
  <si>
    <t>03/11/2002</t>
  </si>
  <si>
    <t>03/12/2002</t>
  </si>
  <si>
    <t>03/13/2002</t>
  </si>
  <si>
    <t>03/14/2002</t>
  </si>
  <si>
    <t>03/15/2002</t>
  </si>
  <si>
    <t>03/18/2002</t>
  </si>
  <si>
    <t>03/19/2002</t>
  </si>
  <si>
    <t>03/20/2002</t>
  </si>
  <si>
    <t>03/21/2002</t>
  </si>
  <si>
    <t>03/22/2002</t>
  </si>
  <si>
    <t>03/25/2002</t>
  </si>
  <si>
    <t>03/26/2002</t>
  </si>
  <si>
    <t>03/27/2002</t>
  </si>
  <si>
    <t>03/28/2002</t>
  </si>
  <si>
    <t>04/01/2002</t>
  </si>
  <si>
    <t>04/02/2002</t>
  </si>
  <si>
    <t>04/03/2002</t>
  </si>
  <si>
    <t>04/04/2002</t>
  </si>
  <si>
    <t>04/05/2002</t>
  </si>
  <si>
    <t>04/08/2002</t>
  </si>
  <si>
    <t>04/09/2002</t>
  </si>
  <si>
    <t>04/10/2002</t>
  </si>
  <si>
    <t>04/11/2002</t>
  </si>
  <si>
    <t>04/12/2002</t>
  </si>
  <si>
    <t>04/15/2002</t>
  </si>
  <si>
    <t>04/16/2002</t>
  </si>
  <si>
    <t>04/17/2002</t>
  </si>
  <si>
    <t>04/18/2002</t>
  </si>
  <si>
    <t>04/19/2002</t>
  </si>
  <si>
    <t>04/22/2002</t>
  </si>
  <si>
    <t>04/23/2002</t>
  </si>
  <si>
    <t>04/24/2002</t>
  </si>
  <si>
    <t>04/25/2002</t>
  </si>
  <si>
    <t>04/26/2002</t>
  </si>
  <si>
    <t>04/29/2002</t>
  </si>
  <si>
    <t>04/30/2002</t>
  </si>
  <si>
    <t>05/01/2002</t>
  </si>
  <si>
    <t>05/02/2002</t>
  </si>
  <si>
    <t>05/03/2002</t>
  </si>
  <si>
    <t>05/06/2002</t>
  </si>
  <si>
    <t>05/07/2002</t>
  </si>
  <si>
    <t>05/08/2002</t>
  </si>
  <si>
    <t>05/09/2002</t>
  </si>
  <si>
    <t>05/10/2002</t>
  </si>
  <si>
    <t>05/13/2002</t>
  </si>
  <si>
    <t>05/14/2002</t>
  </si>
  <si>
    <t>05/15/2002</t>
  </si>
  <si>
    <t>05/16/2002</t>
  </si>
  <si>
    <t>05/17/2002</t>
  </si>
  <si>
    <t>05/20/2002</t>
  </si>
  <si>
    <t>05/21/2002</t>
  </si>
  <si>
    <t>05/22/2002</t>
  </si>
  <si>
    <t>05/23/2002</t>
  </si>
  <si>
    <t>05/24/2002</t>
  </si>
  <si>
    <t>05/28/2002</t>
  </si>
  <si>
    <t>05/29/2002</t>
  </si>
  <si>
    <t>05/30/2002</t>
  </si>
  <si>
    <t>05/31/2002</t>
  </si>
  <si>
    <t>06/03/2002</t>
  </si>
  <si>
    <t>06/04/2002</t>
  </si>
  <si>
    <t>06/05/2002</t>
  </si>
  <si>
    <t>06/06/2002</t>
  </si>
  <si>
    <t>06/07/2002</t>
  </si>
  <si>
    <t>06/10/2002</t>
  </si>
  <si>
    <t>06/11/2002</t>
  </si>
  <si>
    <t>06/12/2002</t>
  </si>
  <si>
    <t>06/13/2002</t>
  </si>
  <si>
    <t>06/14/2002</t>
  </si>
  <si>
    <t>06/17/2002</t>
  </si>
  <si>
    <t>06/18/2002</t>
  </si>
  <si>
    <t>06/19/2002</t>
  </si>
  <si>
    <t>06/20/2002</t>
  </si>
  <si>
    <t>06/21/2002</t>
  </si>
  <si>
    <t>06/24/2002</t>
  </si>
  <si>
    <t>06/25/2002</t>
  </si>
  <si>
    <t>06/26/2002</t>
  </si>
  <si>
    <t>06/27/2002</t>
  </si>
  <si>
    <t>06/28/2002</t>
  </si>
  <si>
    <t>07/01/2002</t>
  </si>
  <si>
    <t>07/02/2002</t>
  </si>
  <si>
    <t>07/03/2002</t>
  </si>
  <si>
    <t>07/05/2002</t>
  </si>
  <si>
    <t>07/08/2002</t>
  </si>
  <si>
    <t>07/09/2002</t>
  </si>
  <si>
    <t>07/10/2002</t>
  </si>
  <si>
    <t>07/11/2002</t>
  </si>
  <si>
    <t>07/12/2002</t>
  </si>
  <si>
    <t>07/15/2002</t>
  </si>
  <si>
    <t>07/16/2002</t>
  </si>
  <si>
    <t>07/17/2002</t>
  </si>
  <si>
    <t>07/18/2002</t>
  </si>
  <si>
    <t>07/19/2002</t>
  </si>
  <si>
    <t>07/22/2002</t>
  </si>
  <si>
    <t>07/23/2002</t>
  </si>
  <si>
    <t>07/24/2002</t>
  </si>
  <si>
    <t>07/25/2002</t>
  </si>
  <si>
    <t>07/26/2002</t>
  </si>
  <si>
    <t>07/29/2002</t>
  </si>
  <si>
    <t>07/30/2002</t>
  </si>
  <si>
    <t>07/31/2002</t>
  </si>
  <si>
    <t>08/01/2002</t>
  </si>
  <si>
    <t>08/02/2002</t>
  </si>
  <si>
    <t>08/05/2002</t>
  </si>
  <si>
    <t>08/06/2002</t>
  </si>
  <si>
    <t>08/07/2002</t>
  </si>
  <si>
    <t>08/08/2002</t>
  </si>
  <si>
    <t>08/09/2002</t>
  </si>
  <si>
    <t>08/12/2002</t>
  </si>
  <si>
    <t>08/13/2002</t>
  </si>
  <si>
    <t>08/14/2002</t>
  </si>
  <si>
    <t>08/15/2002</t>
  </si>
  <si>
    <t>08/16/2002</t>
  </si>
  <si>
    <t>08/19/2002</t>
  </si>
  <si>
    <t>08/20/2002</t>
  </si>
  <si>
    <t>08/21/2002</t>
  </si>
  <si>
    <t>08/22/2002</t>
  </si>
  <si>
    <t>08/23/2002</t>
  </si>
  <si>
    <t>08/26/2002</t>
  </si>
  <si>
    <t>08/27/2002</t>
  </si>
  <si>
    <t>08/28/2002</t>
  </si>
  <si>
    <t>08/29/2002</t>
  </si>
  <si>
    <t>08/30/2002</t>
  </si>
  <si>
    <t>09/03/2002</t>
  </si>
  <si>
    <t>09/04/2002</t>
  </si>
  <si>
    <t>09/05/2002</t>
  </si>
  <si>
    <t>09/06/2002</t>
  </si>
  <si>
    <t>09/09/2002</t>
  </si>
  <si>
    <t>09/10/2002</t>
  </si>
  <si>
    <t>09/11/2002</t>
  </si>
  <si>
    <t>09/12/2002</t>
  </si>
  <si>
    <t>09/13/2002</t>
  </si>
  <si>
    <t>09/16/2002</t>
  </si>
  <si>
    <t>09/17/2002</t>
  </si>
  <si>
    <t>09/18/2002</t>
  </si>
  <si>
    <t>09/19/2002</t>
  </si>
  <si>
    <t>09/20/2002</t>
  </si>
  <si>
    <t>09/23/2002</t>
  </si>
  <si>
    <t>09/24/2002</t>
  </si>
  <si>
    <t>09/25/2002</t>
  </si>
  <si>
    <t>09/26/2002</t>
  </si>
  <si>
    <t>09/27/2002</t>
  </si>
  <si>
    <t>09/30/2002</t>
  </si>
  <si>
    <t>10/01/2002</t>
  </si>
  <si>
    <t>10/02/2002</t>
  </si>
  <si>
    <t>10/03/2002</t>
  </si>
  <si>
    <t>10/04/2002</t>
  </si>
  <si>
    <t>10/07/2002</t>
  </si>
  <si>
    <t>10/08/2002</t>
  </si>
  <si>
    <t>10/09/2002</t>
  </si>
  <si>
    <t>10/10/2002</t>
  </si>
  <si>
    <t>10/11/2002</t>
  </si>
  <si>
    <t>10/14/2002</t>
  </si>
  <si>
    <t>10/15/2002</t>
  </si>
  <si>
    <t>10/16/2002</t>
  </si>
  <si>
    <t>10/17/2002</t>
  </si>
  <si>
    <t>10/18/2002</t>
  </si>
  <si>
    <t>10/21/2002</t>
  </si>
  <si>
    <t>10/22/2002</t>
  </si>
  <si>
    <t>10/23/2002</t>
  </si>
  <si>
    <t>10/24/2002</t>
  </si>
  <si>
    <t>10/25/2002</t>
  </si>
  <si>
    <t>10/28/2002</t>
  </si>
  <si>
    <t>10/29/2002</t>
  </si>
  <si>
    <t>10/30/2002</t>
  </si>
  <si>
    <t>10/31/2002</t>
  </si>
  <si>
    <t>11/01/2002</t>
  </si>
  <si>
    <t>11/04/2002</t>
  </si>
  <si>
    <t>11/05/2002</t>
  </si>
  <si>
    <t>11/06/2002</t>
  </si>
  <si>
    <t>11/07/2002</t>
  </si>
  <si>
    <t>11/08/2002</t>
  </si>
  <si>
    <t>11/11/2002</t>
  </si>
  <si>
    <t>11/12/2002</t>
  </si>
  <si>
    <t>11/13/2002</t>
  </si>
  <si>
    <t>11/14/2002</t>
  </si>
  <si>
    <t>11/15/2002</t>
  </si>
  <si>
    <t>11/18/2002</t>
  </si>
  <si>
    <t>11/19/2002</t>
  </si>
  <si>
    <t>11/20/2002</t>
  </si>
  <si>
    <t>11/21/2002</t>
  </si>
  <si>
    <t>11/22/2002</t>
  </si>
  <si>
    <t>11/25/2002</t>
  </si>
  <si>
    <t>11/26/2002</t>
  </si>
  <si>
    <t>11/27/2002</t>
  </si>
  <si>
    <t>11/29/2002</t>
  </si>
  <si>
    <t>12/02/2002</t>
  </si>
  <si>
    <t>12/03/2002</t>
  </si>
  <si>
    <t>12/04/2002</t>
  </si>
  <si>
    <t>12/05/2002</t>
  </si>
  <si>
    <t>12/06/2002</t>
  </si>
  <si>
    <t>12/09/2002</t>
  </si>
  <si>
    <t>12/10/2002</t>
  </si>
  <si>
    <t>12/11/2002</t>
  </si>
  <si>
    <t>12/12/2002</t>
  </si>
  <si>
    <t>12/13/2002</t>
  </si>
  <si>
    <t>12/16/2002</t>
  </si>
  <si>
    <t>12/17/2002</t>
  </si>
  <si>
    <t>12/18/2002</t>
  </si>
  <si>
    <t>12/19/2002</t>
  </si>
  <si>
    <t>12/20/2002</t>
  </si>
  <si>
    <t>12/23/2002</t>
  </si>
  <si>
    <t>12/24/2002</t>
  </si>
  <si>
    <t>12/26/2002</t>
  </si>
  <si>
    <t>12/27/2002</t>
  </si>
  <si>
    <t>12/30/2002</t>
  </si>
  <si>
    <t>12/31/2002</t>
  </si>
  <si>
    <t>01/02/2003</t>
  </si>
  <si>
    <t>01/03/2003</t>
  </si>
  <si>
    <t>01/06/2003</t>
  </si>
  <si>
    <t>01/07/2003</t>
  </si>
  <si>
    <t>01/08/2003</t>
  </si>
  <si>
    <t>01/09/2003</t>
  </si>
  <si>
    <t>01/10/2003</t>
  </si>
  <si>
    <t>01/13/2003</t>
  </si>
  <si>
    <t>01/14/2003</t>
  </si>
  <si>
    <t>01/15/2003</t>
  </si>
  <si>
    <t>01/16/2003</t>
  </si>
  <si>
    <t>01/17/2003</t>
  </si>
  <si>
    <t>01/21/2003</t>
  </si>
  <si>
    <t>01/22/2003</t>
  </si>
  <si>
    <t>01/23/2003</t>
  </si>
  <si>
    <t>01/24/2003</t>
  </si>
  <si>
    <t>01/27/2003</t>
  </si>
  <si>
    <t>01/28/2003</t>
  </si>
  <si>
    <t>01/29/2003</t>
  </si>
  <si>
    <t>01/30/2003</t>
  </si>
  <si>
    <t>01/31/2003</t>
  </si>
  <si>
    <t>02/03/2003</t>
  </si>
  <si>
    <t>02/04/2003</t>
  </si>
  <si>
    <t>02/05/2003</t>
  </si>
  <si>
    <t>02/06/2003</t>
  </si>
  <si>
    <t>02/07/2003</t>
  </si>
  <si>
    <t>02/10/2003</t>
  </si>
  <si>
    <t>02/11/2003</t>
  </si>
  <si>
    <t>02/12/2003</t>
  </si>
  <si>
    <t>02/13/2003</t>
  </si>
  <si>
    <t>02/14/2003</t>
  </si>
  <si>
    <t>02/18/2003</t>
  </si>
  <si>
    <t>02/19/2003</t>
  </si>
  <si>
    <t>02/20/2003</t>
  </si>
  <si>
    <t>02/21/2003</t>
  </si>
  <si>
    <t>02/24/2003</t>
  </si>
  <si>
    <t>02/25/2003</t>
  </si>
  <si>
    <t>02/26/2003</t>
  </si>
  <si>
    <t>02/27/2003</t>
  </si>
  <si>
    <t>02/28/2003</t>
  </si>
  <si>
    <t>03/03/2003</t>
  </si>
  <si>
    <t>03/04/2003</t>
  </si>
  <si>
    <t>03/05/2003</t>
  </si>
  <si>
    <t>03/06/2003</t>
  </si>
  <si>
    <t>03/07/2003</t>
  </si>
  <si>
    <t>03/10/2003</t>
  </si>
  <si>
    <t>03/11/2003</t>
  </si>
  <si>
    <t>03/12/2003</t>
  </si>
  <si>
    <t>03/13/2003</t>
  </si>
  <si>
    <t>03/14/2003</t>
  </si>
  <si>
    <t>03/17/2003</t>
  </si>
  <si>
    <t>03/18/2003</t>
  </si>
  <si>
    <t>03/19/2003</t>
  </si>
  <si>
    <t>03/20/2003</t>
  </si>
  <si>
    <t>03/21/2003</t>
  </si>
  <si>
    <t>03/24/2003</t>
  </si>
  <si>
    <t>03/25/2003</t>
  </si>
  <si>
    <t>03/26/2003</t>
  </si>
  <si>
    <t>03/27/2003</t>
  </si>
  <si>
    <t>03/28/2003</t>
  </si>
  <si>
    <t>03/31/2003</t>
  </si>
  <si>
    <t>04/01/2003</t>
  </si>
  <si>
    <t>04/02/2003</t>
  </si>
  <si>
    <t>04/03/2003</t>
  </si>
  <si>
    <t>04/04/2003</t>
  </si>
  <si>
    <t>04/07/2003</t>
  </si>
  <si>
    <t>04/08/2003</t>
  </si>
  <si>
    <t>04/09/2003</t>
  </si>
  <si>
    <t>04/10/2003</t>
  </si>
  <si>
    <t>04/11/2003</t>
  </si>
  <si>
    <t>04/14/2003</t>
  </si>
  <si>
    <t>04/15/2003</t>
  </si>
  <si>
    <t>04/16/2003</t>
  </si>
  <si>
    <t>04/17/2003</t>
  </si>
  <si>
    <t>04/21/2003</t>
  </si>
  <si>
    <t>04/22/2003</t>
  </si>
  <si>
    <t>04/23/2003</t>
  </si>
  <si>
    <t>04/24/2003</t>
  </si>
  <si>
    <t>04/25/2003</t>
  </si>
  <si>
    <t>04/28/2003</t>
  </si>
  <si>
    <t>04/29/2003</t>
  </si>
  <si>
    <t>04/30/2003</t>
  </si>
  <si>
    <t>05/01/2003</t>
  </si>
  <si>
    <t>05/02/2003</t>
  </si>
  <si>
    <t>05/05/2003</t>
  </si>
  <si>
    <t>05/06/2003</t>
  </si>
  <si>
    <t>05/07/2003</t>
  </si>
  <si>
    <t>05/08/2003</t>
  </si>
  <si>
    <t>05/09/2003</t>
  </si>
  <si>
    <t>05/12/2003</t>
  </si>
  <si>
    <t>05/13/2003</t>
  </si>
  <si>
    <t>05/14/2003</t>
  </si>
  <si>
    <t>05/15/2003</t>
  </si>
  <si>
    <t>05/16/2003</t>
  </si>
  <si>
    <t>05/19/2003</t>
  </si>
  <si>
    <t>05/20/2003</t>
  </si>
  <si>
    <t>05/21/2003</t>
  </si>
  <si>
    <t>05/22/2003</t>
  </si>
  <si>
    <t>05/23/2003</t>
  </si>
  <si>
    <t>05/27/2003</t>
  </si>
  <si>
    <t>05/28/2003</t>
  </si>
  <si>
    <t>05/29/2003</t>
  </si>
  <si>
    <t>05/30/2003</t>
  </si>
  <si>
    <t>06/02/2003</t>
  </si>
  <si>
    <t>06/03/2003</t>
  </si>
  <si>
    <t>06/04/2003</t>
  </si>
  <si>
    <t>06/05/2003</t>
  </si>
  <si>
    <t>06/06/2003</t>
  </si>
  <si>
    <t>06/09/2003</t>
  </si>
  <si>
    <t>06/10/2003</t>
  </si>
  <si>
    <t>06/11/2003</t>
  </si>
  <si>
    <t>06/12/2003</t>
  </si>
  <si>
    <t>06/13/2003</t>
  </si>
  <si>
    <t>06/16/2003</t>
  </si>
  <si>
    <t>06/17/2003</t>
  </si>
  <si>
    <t>06/18/2003</t>
  </si>
  <si>
    <t>06/19/2003</t>
  </si>
  <si>
    <t>06/20/2003</t>
  </si>
  <si>
    <t>06/23/2003</t>
  </si>
  <si>
    <t>06/24/2003</t>
  </si>
  <si>
    <t>06/25/2003</t>
  </si>
  <si>
    <t>06/26/2003</t>
  </si>
  <si>
    <t>06/27/2003</t>
  </si>
  <si>
    <t>06/30/2003</t>
  </si>
  <si>
    <t>07/01/2003</t>
  </si>
  <si>
    <t>07/02/2003</t>
  </si>
  <si>
    <t>07/03/2003</t>
  </si>
  <si>
    <t>07/07/2003</t>
  </si>
  <si>
    <t>07/08/2003</t>
  </si>
  <si>
    <t>07/09/2003</t>
  </si>
  <si>
    <t>07/10/2003</t>
  </si>
  <si>
    <t>07/11/2003</t>
  </si>
  <si>
    <t>07/14/2003</t>
  </si>
  <si>
    <t>07/15/2003</t>
  </si>
  <si>
    <t>07/16/2003</t>
  </si>
  <si>
    <t>07/17/2003</t>
  </si>
  <si>
    <t>07/18/2003</t>
  </si>
  <si>
    <t>07/21/2003</t>
  </si>
  <si>
    <t>07/22/2003</t>
  </si>
  <si>
    <t>07/23/2003</t>
  </si>
  <si>
    <t>07/24/2003</t>
  </si>
  <si>
    <t>07/25/2003</t>
  </si>
  <si>
    <t>07/28/2003</t>
  </si>
  <si>
    <t>07/29/2003</t>
  </si>
  <si>
    <t>07/30/2003</t>
  </si>
  <si>
    <t>07/31/2003</t>
  </si>
  <si>
    <t>08/01/2003</t>
  </si>
  <si>
    <t>08/04/2003</t>
  </si>
  <si>
    <t>08/05/2003</t>
  </si>
  <si>
    <t>08/06/2003</t>
  </si>
  <si>
    <t>08/07/2003</t>
  </si>
  <si>
    <t>08/08/2003</t>
  </si>
  <si>
    <t>08/11/2003</t>
  </si>
  <si>
    <t>08/12/2003</t>
  </si>
  <si>
    <t>08/13/2003</t>
  </si>
  <si>
    <t>08/14/2003</t>
  </si>
  <si>
    <t>08/15/2003</t>
  </si>
  <si>
    <t>08/18/2003</t>
  </si>
  <si>
    <t>08/19/2003</t>
  </si>
  <si>
    <t>08/20/2003</t>
  </si>
  <si>
    <t>08/21/2003</t>
  </si>
  <si>
    <t>08/22/2003</t>
  </si>
  <si>
    <t>08/25/2003</t>
  </si>
  <si>
    <t>08/26/2003</t>
  </si>
  <si>
    <t>08/27/2003</t>
  </si>
  <si>
    <t>08/28/2003</t>
  </si>
  <si>
    <t>08/29/2003</t>
  </si>
  <si>
    <t>09/02/2003</t>
  </si>
  <si>
    <t>09/03/2003</t>
  </si>
  <si>
    <t>09/04/2003</t>
  </si>
  <si>
    <t>09/05/2003</t>
  </si>
  <si>
    <t>09/08/2003</t>
  </si>
  <si>
    <t>09/09/2003</t>
  </si>
  <si>
    <t>09/10/2003</t>
  </si>
  <si>
    <t>09/11/2003</t>
  </si>
  <si>
    <t>09/12/2003</t>
  </si>
  <si>
    <t>09/15/2003</t>
  </si>
  <si>
    <t>09/16/2003</t>
  </si>
  <si>
    <t>09/17/2003</t>
  </si>
  <si>
    <t>09/18/2003</t>
  </si>
  <si>
    <t>09/19/2003</t>
  </si>
  <si>
    <t>09/22/2003</t>
  </si>
  <si>
    <t>09/23/2003</t>
  </si>
  <si>
    <t>09/24/2003</t>
  </si>
  <si>
    <t>09/25/2003</t>
  </si>
  <si>
    <t>09/26/2003</t>
  </si>
  <si>
    <t>09/29/2003</t>
  </si>
  <si>
    <t>09/30/2003</t>
  </si>
  <si>
    <t>10/01/2003</t>
  </si>
  <si>
    <t>10/02/2003</t>
  </si>
  <si>
    <t>10/03/2003</t>
  </si>
  <si>
    <t>10/06/2003</t>
  </si>
  <si>
    <t>10/07/2003</t>
  </si>
  <si>
    <t>10/08/2003</t>
  </si>
  <si>
    <t>10/09/2003</t>
  </si>
  <si>
    <t>10/10/2003</t>
  </si>
  <si>
    <t>10/13/2003</t>
  </si>
  <si>
    <t>10/14/2003</t>
  </si>
  <si>
    <t>10/15/2003</t>
  </si>
  <si>
    <t>10/16/2003</t>
  </si>
  <si>
    <t>10/17/2003</t>
  </si>
  <si>
    <t>10/20/2003</t>
  </si>
  <si>
    <t>10/21/2003</t>
  </si>
  <si>
    <t>10/22/2003</t>
  </si>
  <si>
    <t>10/23/2003</t>
  </si>
  <si>
    <t>10/24/2003</t>
  </si>
  <si>
    <t>10/27/2003</t>
  </si>
  <si>
    <t>10/28/2003</t>
  </si>
  <si>
    <t>10/29/2003</t>
  </si>
  <si>
    <t>10/30/2003</t>
  </si>
  <si>
    <t>10/31/2003</t>
  </si>
  <si>
    <t>11/03/2003</t>
  </si>
  <si>
    <t>11/04/2003</t>
  </si>
  <si>
    <t>11/05/2003</t>
  </si>
  <si>
    <t>11/06/2003</t>
  </si>
  <si>
    <t>11/07/2003</t>
  </si>
  <si>
    <t>11/10/2003</t>
  </si>
  <si>
    <t>11/11/2003</t>
  </si>
  <si>
    <t>11/12/2003</t>
  </si>
  <si>
    <t>11/13/2003</t>
  </si>
  <si>
    <t>11/14/2003</t>
  </si>
  <si>
    <t>11/17/2003</t>
  </si>
  <si>
    <t>11/18/2003</t>
  </si>
  <si>
    <t>11/19/2003</t>
  </si>
  <si>
    <t>11/20/2003</t>
  </si>
  <si>
    <t>11/21/2003</t>
  </si>
  <si>
    <t>11/24/2003</t>
  </si>
  <si>
    <t>11/25/2003</t>
  </si>
  <si>
    <t>11/26/2003</t>
  </si>
  <si>
    <t>11/28/2003</t>
  </si>
  <si>
    <t>12/01/2003</t>
  </si>
  <si>
    <t>12/02/2003</t>
  </si>
  <si>
    <t>12/03/2003</t>
  </si>
  <si>
    <t>12/04/2003</t>
  </si>
  <si>
    <t>12/05/2003</t>
  </si>
  <si>
    <t>12/08/2003</t>
  </si>
  <si>
    <t>12/09/2003</t>
  </si>
  <si>
    <t>12/10/2003</t>
  </si>
  <si>
    <t>12/11/2003</t>
  </si>
  <si>
    <t>12/12/2003</t>
  </si>
  <si>
    <t>12/15/2003</t>
  </si>
  <si>
    <t>12/16/2003</t>
  </si>
  <si>
    <t>12/17/2003</t>
  </si>
  <si>
    <t>12/18/2003</t>
  </si>
  <si>
    <t>12/19/2003</t>
  </si>
  <si>
    <t>12/22/2003</t>
  </si>
  <si>
    <t>12/23/2003</t>
  </si>
  <si>
    <t>12/24/2003</t>
  </si>
  <si>
    <t>12/26/2003</t>
  </si>
  <si>
    <t>12/29/2003</t>
  </si>
  <si>
    <t>12/30/2003</t>
  </si>
  <si>
    <t>12/31/2003</t>
  </si>
  <si>
    <t>01/02/2004</t>
  </si>
  <si>
    <t>01/05/2004</t>
  </si>
  <si>
    <t>01/06/2004</t>
  </si>
  <si>
    <t>01/07/2004</t>
  </si>
  <si>
    <t>01/08/2004</t>
  </si>
  <si>
    <t>01/09/2004</t>
  </si>
  <si>
    <t>01/12/2004</t>
  </si>
  <si>
    <t>01/13/2004</t>
  </si>
  <si>
    <t>01/14/2004</t>
  </si>
  <si>
    <t>01/15/2004</t>
  </si>
  <si>
    <t>01/16/2004</t>
  </si>
  <si>
    <t>01/20/2004</t>
  </si>
  <si>
    <t>01/21/2004</t>
  </si>
  <si>
    <t>01/22/2004</t>
  </si>
  <si>
    <t>01/23/2004</t>
  </si>
  <si>
    <t>01/26/2004</t>
  </si>
  <si>
    <t>01/27/2004</t>
  </si>
  <si>
    <t>01/28/2004</t>
  </si>
  <si>
    <t>01/29/2004</t>
  </si>
  <si>
    <t>01/30/2004</t>
  </si>
  <si>
    <t>02/02/2004</t>
  </si>
  <si>
    <t>02/03/2004</t>
  </si>
  <si>
    <t>02/04/2004</t>
  </si>
  <si>
    <t>02/05/2004</t>
  </si>
  <si>
    <t>02/06/2004</t>
  </si>
  <si>
    <t>02/09/2004</t>
  </si>
  <si>
    <t>02/10/2004</t>
  </si>
  <si>
    <t>02/11/2004</t>
  </si>
  <si>
    <t>02/12/2004</t>
  </si>
  <si>
    <t>02/13/2004</t>
  </si>
  <si>
    <t>02/17/2004</t>
  </si>
  <si>
    <t>02/18/2004</t>
  </si>
  <si>
    <t>02/19/2004</t>
  </si>
  <si>
    <t>02/20/2004</t>
  </si>
  <si>
    <t>02/23/2004</t>
  </si>
  <si>
    <t>02/24/2004</t>
  </si>
  <si>
    <t>02/25/2004</t>
  </si>
  <si>
    <t>02/26/2004</t>
  </si>
  <si>
    <t>02/27/2004</t>
  </si>
  <si>
    <t>03/01/2004</t>
  </si>
  <si>
    <t>03/02/2004</t>
  </si>
  <si>
    <t>03/03/2004</t>
  </si>
  <si>
    <t>03/04/2004</t>
  </si>
  <si>
    <t>03/05/2004</t>
  </si>
  <si>
    <t>03/08/2004</t>
  </si>
  <si>
    <t>03/09/2004</t>
  </si>
  <si>
    <t>03/10/2004</t>
  </si>
  <si>
    <t>03/11/2004</t>
  </si>
  <si>
    <t>03/12/2004</t>
  </si>
  <si>
    <t>03/15/2004</t>
  </si>
  <si>
    <t>03/16/2004</t>
  </si>
  <si>
    <t>03/17/2004</t>
  </si>
  <si>
    <t>03/18/2004</t>
  </si>
  <si>
    <t>03/19/2004</t>
  </si>
  <si>
    <t>03/22/2004</t>
  </si>
  <si>
    <t>03/23/2004</t>
  </si>
  <si>
    <t>03/24/2004</t>
  </si>
  <si>
    <t>03/25/2004</t>
  </si>
  <si>
    <t>03/26/2004</t>
  </si>
  <si>
    <t>03/29/2004</t>
  </si>
  <si>
    <t>03/30/2004</t>
  </si>
  <si>
    <t>03/31/2004</t>
  </si>
  <si>
    <t>04/01/2004</t>
  </si>
  <si>
    <t>04/02/2004</t>
  </si>
  <si>
    <t>04/05/2004</t>
  </si>
  <si>
    <t>04/06/2004</t>
  </si>
  <si>
    <t>04/07/2004</t>
  </si>
  <si>
    <t>04/08/2004</t>
  </si>
  <si>
    <t>04/09/2004</t>
  </si>
  <si>
    <t>04/12/2004</t>
  </si>
  <si>
    <t>04/13/2004</t>
  </si>
  <si>
    <t>04/14/2004</t>
  </si>
  <si>
    <t>04/15/2004</t>
  </si>
  <si>
    <t>04/16/2004</t>
  </si>
  <si>
    <t>04/19/2004</t>
  </si>
  <si>
    <t>04/20/2004</t>
  </si>
  <si>
    <t>04/21/2004</t>
  </si>
  <si>
    <t>04/22/2004</t>
  </si>
  <si>
    <t>04/23/2004</t>
  </si>
  <si>
    <t>04/26/2004</t>
  </si>
  <si>
    <t>04/27/2004</t>
  </si>
  <si>
    <t>04/28/2004</t>
  </si>
  <si>
    <t>04/29/2004</t>
  </si>
  <si>
    <t>04/30/2004</t>
  </si>
  <si>
    <t>05/03/2004</t>
  </si>
  <si>
    <t>05/04/2004</t>
  </si>
  <si>
    <t>05/05/2004</t>
  </si>
  <si>
    <t>05/06/2004</t>
  </si>
  <si>
    <t>05/07/2004</t>
  </si>
  <si>
    <t>05/10/2004</t>
  </si>
  <si>
    <t>05/11/2004</t>
  </si>
  <si>
    <t>05/12/2004</t>
  </si>
  <si>
    <t>05/13/2004</t>
  </si>
  <si>
    <t>05/14/2004</t>
  </si>
  <si>
    <t>05/17/2004</t>
  </si>
  <si>
    <t>05/18/2004</t>
  </si>
  <si>
    <t>05/19/2004</t>
  </si>
  <si>
    <t>05/20/2004</t>
  </si>
  <si>
    <t>05/21/2004</t>
  </si>
  <si>
    <t>05/24/2004</t>
  </si>
  <si>
    <t>05/25/2004</t>
  </si>
  <si>
    <t>05/26/2004</t>
  </si>
  <si>
    <t>05/27/2004</t>
  </si>
  <si>
    <t>05/28/2004</t>
  </si>
  <si>
    <t>06/01/2004</t>
  </si>
  <si>
    <t>06/02/2004</t>
  </si>
  <si>
    <t>06/03/2004</t>
  </si>
  <si>
    <t>06/04/2004</t>
  </si>
  <si>
    <t>06/07/2004</t>
  </si>
  <si>
    <t>06/08/2004</t>
  </si>
  <si>
    <t>06/09/2004</t>
  </si>
  <si>
    <t>06/10/2004</t>
  </si>
  <si>
    <t>06/11/2004</t>
  </si>
  <si>
    <t>06/14/2004</t>
  </si>
  <si>
    <t>06/15/2004</t>
  </si>
  <si>
    <t>06/16/2004</t>
  </si>
  <si>
    <t>06/17/2004</t>
  </si>
  <si>
    <t>06/18/2004</t>
  </si>
  <si>
    <t>06/21/2004</t>
  </si>
  <si>
    <t>06/22/2004</t>
  </si>
  <si>
    <t>06/23/2004</t>
  </si>
  <si>
    <t>06/24/2004</t>
  </si>
  <si>
    <t>06/25/2004</t>
  </si>
  <si>
    <t>06/28/2004</t>
  </si>
  <si>
    <t>06/29/2004</t>
  </si>
  <si>
    <t>06/30/2004</t>
  </si>
  <si>
    <t>07/01/2004</t>
  </si>
  <si>
    <t>07/02/2004</t>
  </si>
  <si>
    <t>07/05/2004</t>
  </si>
  <si>
    <t>07/06/2004</t>
  </si>
  <si>
    <t>07/07/2004</t>
  </si>
  <si>
    <t>07/08/2004</t>
  </si>
  <si>
    <t>07/09/2004</t>
  </si>
  <si>
    <t>07/12/2004</t>
  </si>
  <si>
    <t>07/13/2004</t>
  </si>
  <si>
    <t>07/14/2004</t>
  </si>
  <si>
    <t>07/15/2004</t>
  </si>
  <si>
    <t>07/16/2004</t>
  </si>
  <si>
    <t>07/19/2004</t>
  </si>
  <si>
    <t>07/20/2004</t>
  </si>
  <si>
    <t>07/21/2004</t>
  </si>
  <si>
    <t>07/22/2004</t>
  </si>
  <si>
    <t>07/23/2004</t>
  </si>
  <si>
    <t>07/26/2004</t>
  </si>
  <si>
    <t>07/27/2004</t>
  </si>
  <si>
    <t>07/28/2004</t>
  </si>
  <si>
    <t>07/29/2004</t>
  </si>
  <si>
    <t>07/30/2004</t>
  </si>
  <si>
    <t>08/02/2004</t>
  </si>
  <si>
    <t>08/03/2004</t>
  </si>
  <si>
    <t>08/04/2004</t>
  </si>
  <si>
    <t>08/05/2004</t>
  </si>
  <si>
    <t>08/06/2004</t>
  </si>
  <si>
    <t>08/09/2004</t>
  </si>
  <si>
    <t>08/10/2004</t>
  </si>
  <si>
    <t>08/11/2004</t>
  </si>
  <si>
    <t>08/12/2004</t>
  </si>
  <si>
    <t>08/13/2004</t>
  </si>
  <si>
    <t>08/16/2004</t>
  </si>
  <si>
    <t>08/17/2004</t>
  </si>
  <si>
    <t>08/18/2004</t>
  </si>
  <si>
    <t>08/19/2004</t>
  </si>
  <si>
    <t>08/20/2004</t>
  </si>
  <si>
    <t>08/23/2004</t>
  </si>
  <si>
    <t>08/24/2004</t>
  </si>
  <si>
    <t>08/25/2004</t>
  </si>
  <si>
    <t>08/26/2004</t>
  </si>
  <si>
    <t>08/27/2004</t>
  </si>
  <si>
    <t>08/30/2004</t>
  </si>
  <si>
    <t>08/31/2004</t>
  </si>
  <si>
    <t>09/01/2004</t>
  </si>
  <si>
    <t>09/02/2004</t>
  </si>
  <si>
    <t>09/03/2004</t>
  </si>
  <si>
    <t>09/07/2004</t>
  </si>
  <si>
    <t>09/08/2004</t>
  </si>
  <si>
    <t>09/09/2004</t>
  </si>
  <si>
    <t>09/10/2004</t>
  </si>
  <si>
    <t>09/13/2004</t>
  </si>
  <si>
    <t>09/14/2004</t>
  </si>
  <si>
    <t>09/15/2004</t>
  </si>
  <si>
    <t>09/16/2004</t>
  </si>
  <si>
    <t>09/17/2004</t>
  </si>
  <si>
    <t>09/20/2004</t>
  </si>
  <si>
    <t>09/21/2004</t>
  </si>
  <si>
    <t>09/22/2004</t>
  </si>
  <si>
    <t>09/23/2004</t>
  </si>
  <si>
    <t>09/24/2004</t>
  </si>
  <si>
    <t>09/27/2004</t>
  </si>
  <si>
    <t>09/28/2004</t>
  </si>
  <si>
    <t>09/29/2004</t>
  </si>
  <si>
    <t>09/30/2004</t>
  </si>
  <si>
    <t>10/01/2004</t>
  </si>
  <si>
    <t>10/04/2004</t>
  </si>
  <si>
    <t>10/05/2004</t>
  </si>
  <si>
    <t>10/06/2004</t>
  </si>
  <si>
    <t>10/07/2004</t>
  </si>
  <si>
    <t>10/08/2004</t>
  </si>
  <si>
    <t>10/12/2004</t>
  </si>
  <si>
    <t>10/13/2004</t>
  </si>
  <si>
    <t>10/14/2004</t>
  </si>
  <si>
    <t>10/15/2004</t>
  </si>
  <si>
    <t>10/18/2004</t>
  </si>
  <si>
    <t>10/19/2004</t>
  </si>
  <si>
    <t>10/20/2004</t>
  </si>
  <si>
    <t>10/21/2004</t>
  </si>
  <si>
    <t>10/22/2004</t>
  </si>
  <si>
    <t>10/25/2004</t>
  </si>
  <si>
    <t>10/26/2004</t>
  </si>
  <si>
    <t>10/27/2004</t>
  </si>
  <si>
    <t>10/28/2004</t>
  </si>
  <si>
    <t>10/29/2004</t>
  </si>
  <si>
    <t>11/01/2004</t>
  </si>
  <si>
    <t>11/02/2004</t>
  </si>
  <si>
    <t>11/03/2004</t>
  </si>
  <si>
    <t>11/04/2004</t>
  </si>
  <si>
    <t>11/05/2004</t>
  </si>
  <si>
    <t>11/08/2004</t>
  </si>
  <si>
    <t>11/09/2004</t>
  </si>
  <si>
    <t>11/10/2004</t>
  </si>
  <si>
    <t>11/11/2004</t>
  </si>
  <si>
    <t>11/12/2004</t>
  </si>
  <si>
    <t>11/15/2004</t>
  </si>
  <si>
    <t>11/16/2004</t>
  </si>
  <si>
    <t>11/17/2004</t>
  </si>
  <si>
    <t>11/18/2004</t>
  </si>
  <si>
    <t>11/19/2004</t>
  </si>
  <si>
    <t>11/22/2004</t>
  </si>
  <si>
    <t>11/23/2004</t>
  </si>
  <si>
    <t>11/24/2004</t>
  </si>
  <si>
    <t>11/25/2004</t>
  </si>
  <si>
    <t>11/26/2004</t>
  </si>
  <si>
    <t>11/29/2004</t>
  </si>
  <si>
    <t>11/30/2004</t>
  </si>
  <si>
    <t>12/01/2004</t>
  </si>
  <si>
    <t>12/02/2004</t>
  </si>
  <si>
    <t>12/03/2004</t>
  </si>
  <si>
    <t>12/06/2004</t>
  </si>
  <si>
    <t>12/07/2004</t>
  </si>
  <si>
    <t>12/08/2004</t>
  </si>
  <si>
    <t>12/09/2004</t>
  </si>
  <si>
    <t>12/10/2004</t>
  </si>
  <si>
    <t>12/13/2004</t>
  </si>
  <si>
    <t>12/14/2004</t>
  </si>
  <si>
    <t>12/15/2004</t>
  </si>
  <si>
    <t>12/16/2004</t>
  </si>
  <si>
    <t>12/17/2004</t>
  </si>
  <si>
    <t>12/20/2004</t>
  </si>
  <si>
    <t>12/21/2004</t>
  </si>
  <si>
    <t>12/22/2004</t>
  </si>
  <si>
    <t>12/23/2004</t>
  </si>
  <si>
    <t>12/24/2004</t>
  </si>
  <si>
    <t>12/27/2004</t>
  </si>
  <si>
    <t>12/28/2004</t>
  </si>
  <si>
    <t>12/29/2004</t>
  </si>
  <si>
    <t>12/30/2004</t>
  </si>
  <si>
    <t>12/31/2004</t>
  </si>
  <si>
    <t>01/03/2005</t>
  </si>
  <si>
    <t>01/04/2005</t>
  </si>
  <si>
    <t>01/05/2005</t>
  </si>
  <si>
    <t>01/06/2005</t>
  </si>
  <si>
    <t>01/07/2005</t>
  </si>
  <si>
    <t>01/10/2005</t>
  </si>
  <si>
    <t>01/11/2005</t>
  </si>
  <si>
    <t>01/12/2005</t>
  </si>
  <si>
    <t>01/13/2005</t>
  </si>
  <si>
    <t>01/14/2005</t>
  </si>
  <si>
    <t>01/17/2005</t>
  </si>
  <si>
    <t>01/18/2005</t>
  </si>
  <si>
    <t>01/19/2005</t>
  </si>
  <si>
    <t>01/20/2005</t>
  </si>
  <si>
    <t>01/21/2005</t>
  </si>
  <si>
    <t>01/24/2005</t>
  </si>
  <si>
    <t>01/25/2005</t>
  </si>
  <si>
    <t>01/26/2005</t>
  </si>
  <si>
    <t>01/27/2005</t>
  </si>
  <si>
    <t>01/28/2005</t>
  </si>
  <si>
    <t>01/31/2005</t>
  </si>
  <si>
    <t>02/01/2005</t>
  </si>
  <si>
    <t>02/02/2005</t>
  </si>
  <si>
    <t>02/03/2005</t>
  </si>
  <si>
    <t>02/04/2005</t>
  </si>
  <si>
    <t>02/07/2005</t>
  </si>
  <si>
    <t>02/08/2005</t>
  </si>
  <si>
    <t>02/09/2005</t>
  </si>
  <si>
    <t>02/10/2005</t>
  </si>
  <si>
    <t>02/11/2005</t>
  </si>
  <si>
    <t>02/14/2005</t>
  </si>
  <si>
    <t>02/15/2005</t>
  </si>
  <si>
    <t>02/16/2005</t>
  </si>
  <si>
    <t>02/17/2005</t>
  </si>
  <si>
    <t>02/18/2005</t>
  </si>
  <si>
    <t>02/21/2005</t>
  </si>
  <si>
    <t>02/22/2005</t>
  </si>
  <si>
    <t>02/23/2005</t>
  </si>
  <si>
    <t>02/24/2005</t>
  </si>
  <si>
    <t>02/25/2005</t>
  </si>
  <si>
    <t>02/28/2005</t>
  </si>
  <si>
    <t>03/01/2005</t>
  </si>
  <si>
    <t>03/02/2005</t>
  </si>
  <si>
    <t>03/03/2005</t>
  </si>
  <si>
    <t>03/04/2005</t>
  </si>
  <si>
    <t>03/07/2005</t>
  </si>
  <si>
    <t>03/08/2005</t>
  </si>
  <si>
    <t>03/09/2005</t>
  </si>
  <si>
    <t>03/10/2005</t>
  </si>
  <si>
    <t>03/11/2005</t>
  </si>
  <si>
    <t>03/14/2005</t>
  </si>
  <si>
    <t>03/15/2005</t>
  </si>
  <si>
    <t>03/16/2005</t>
  </si>
  <si>
    <t>03/17/2005</t>
  </si>
  <si>
    <t>03/18/2005</t>
  </si>
  <si>
    <t>03/21/2005</t>
  </si>
  <si>
    <t>03/22/2005</t>
  </si>
  <si>
    <t>03/23/2005</t>
  </si>
  <si>
    <t>03/24/2005</t>
  </si>
  <si>
    <t>03/28/2005</t>
  </si>
  <si>
    <t>03/29/2005</t>
  </si>
  <si>
    <t>03/30/2005</t>
  </si>
  <si>
    <t>03/31/2005</t>
  </si>
  <si>
    <t>04/01/2005</t>
  </si>
  <si>
    <t>04/04/2005</t>
  </si>
  <si>
    <t>04/05/2005</t>
  </si>
  <si>
    <t>04/06/2005</t>
  </si>
  <si>
    <t>04/07/2005</t>
  </si>
  <si>
    <t>04/08/2005</t>
  </si>
  <si>
    <t>04/11/2005</t>
  </si>
  <si>
    <t>04/12/2005</t>
  </si>
  <si>
    <t>04/13/2005</t>
  </si>
  <si>
    <t>04/14/2005</t>
  </si>
  <si>
    <t>04/15/2005</t>
  </si>
  <si>
    <t>04/18/2005</t>
  </si>
  <si>
    <t>04/19/2005</t>
  </si>
  <si>
    <t>04/20/2005</t>
  </si>
  <si>
    <t>04/21/2005</t>
  </si>
  <si>
    <t>04/22/2005</t>
  </si>
  <si>
    <t>04/25/2005</t>
  </si>
  <si>
    <t>04/26/2005</t>
  </si>
  <si>
    <t>04/27/2005</t>
  </si>
  <si>
    <t>04/28/2005</t>
  </si>
  <si>
    <t>04/29/2005</t>
  </si>
  <si>
    <t>05/02/2005</t>
  </si>
  <si>
    <t>05/03/2005</t>
  </si>
  <si>
    <t>05/04/2005</t>
  </si>
  <si>
    <t>05/05/2005</t>
  </si>
  <si>
    <t>05/06/2005</t>
  </si>
  <si>
    <t>05/09/2005</t>
  </si>
  <si>
    <t>05/10/2005</t>
  </si>
  <si>
    <t>05/11/2005</t>
  </si>
  <si>
    <t>05/12/2005</t>
  </si>
  <si>
    <t>05/13/2005</t>
  </si>
  <si>
    <t>05/16/2005</t>
  </si>
  <si>
    <t>05/17/2005</t>
  </si>
  <si>
    <t>05/18/2005</t>
  </si>
  <si>
    <t>05/19/2005</t>
  </si>
  <si>
    <t>05/20/2005</t>
  </si>
  <si>
    <t>05/23/2005</t>
  </si>
  <si>
    <t>05/24/2005</t>
  </si>
  <si>
    <t>05/25/2005</t>
  </si>
  <si>
    <t>05/26/2005</t>
  </si>
  <si>
    <t>05/27/2005</t>
  </si>
  <si>
    <t>05/30/2005</t>
  </si>
  <si>
    <t>05/31/2005</t>
  </si>
  <si>
    <t>06/01/2005</t>
  </si>
  <si>
    <t>06/02/2005</t>
  </si>
  <si>
    <t>06/03/2005</t>
  </si>
  <si>
    <t>06/06/2005</t>
  </si>
  <si>
    <t>06/07/2005</t>
  </si>
  <si>
    <t>06/08/2005</t>
  </si>
  <si>
    <t>06/09/2005</t>
  </si>
  <si>
    <t>06/10/2005</t>
  </si>
  <si>
    <t>06/13/2005</t>
  </si>
  <si>
    <t>06/14/2005</t>
  </si>
  <si>
    <t>06/15/2005</t>
  </si>
  <si>
    <t>06/16/2005</t>
  </si>
  <si>
    <t>06/17/2005</t>
  </si>
  <si>
    <t>06/20/2005</t>
  </si>
  <si>
    <t>06/21/2005</t>
  </si>
  <si>
    <t>06/22/2005</t>
  </si>
  <si>
    <t>06/23/2005</t>
  </si>
  <si>
    <t>06/24/2005</t>
  </si>
  <si>
    <t>06/27/2005</t>
  </si>
  <si>
    <t>06/28/2005</t>
  </si>
  <si>
    <t>06/29/2005</t>
  </si>
  <si>
    <t>06/30/2005</t>
  </si>
  <si>
    <t>07/01/2005</t>
  </si>
  <si>
    <t>07/04/2005</t>
  </si>
  <si>
    <t>07/05/2005</t>
  </si>
  <si>
    <t>07/06/2005</t>
  </si>
  <si>
    <t>07/07/2005</t>
  </si>
  <si>
    <t>07/08/2005</t>
  </si>
  <si>
    <t>07/11/2005</t>
  </si>
  <si>
    <t>07/12/2005</t>
  </si>
  <si>
    <t>07/13/2005</t>
  </si>
  <si>
    <t>07/14/2005</t>
  </si>
  <si>
    <t>07/15/2005</t>
  </si>
  <si>
    <t>07/18/2005</t>
  </si>
  <si>
    <t>07/19/2005</t>
  </si>
  <si>
    <t>07/20/2005</t>
  </si>
  <si>
    <t>07/21/2005</t>
  </si>
  <si>
    <t>07/22/2005</t>
  </si>
  <si>
    <t>07/25/2005</t>
  </si>
  <si>
    <t>07/26/2005</t>
  </si>
  <si>
    <t>07/27/2005</t>
  </si>
  <si>
    <t>07/28/2005</t>
  </si>
  <si>
    <t>07/29/2005</t>
  </si>
  <si>
    <t>08/01/2005</t>
  </si>
  <si>
    <t>08/02/2005</t>
  </si>
  <si>
    <t>08/03/2005</t>
  </si>
  <si>
    <t>08/04/2005</t>
  </si>
  <si>
    <t>08/05/2005</t>
  </si>
  <si>
    <t>08/08/2005</t>
  </si>
  <si>
    <t>08/09/2005</t>
  </si>
  <si>
    <t>08/10/2005</t>
  </si>
  <si>
    <t>08/11/2005</t>
  </si>
  <si>
    <t>08/12/2005</t>
  </si>
  <si>
    <t>08/15/2005</t>
  </si>
  <si>
    <t>08/16/2005</t>
  </si>
  <si>
    <t>08/17/2005</t>
  </si>
  <si>
    <t>08/18/2005</t>
  </si>
  <si>
    <t>08/19/2005</t>
  </si>
  <si>
    <t>08/22/2005</t>
  </si>
  <si>
    <t>08/23/2005</t>
  </si>
  <si>
    <t>08/24/2005</t>
  </si>
  <si>
    <t>08/25/2005</t>
  </si>
  <si>
    <t>08/26/2005</t>
  </si>
  <si>
    <t>08/29/2005</t>
  </si>
  <si>
    <t>08/30/2005</t>
  </si>
  <si>
    <t>08/31/2005</t>
  </si>
  <si>
    <t>09/01/2005</t>
  </si>
  <si>
    <t>09/02/2005</t>
  </si>
  <si>
    <t>09/05/2005</t>
  </si>
  <si>
    <t>09/06/2005</t>
  </si>
  <si>
    <t>09/07/2005</t>
  </si>
  <si>
    <t>09/08/2005</t>
  </si>
  <si>
    <t>09/09/2005</t>
  </si>
  <si>
    <t>09/12/2005</t>
  </si>
  <si>
    <t>09/13/2005</t>
  </si>
  <si>
    <t>09/14/2005</t>
  </si>
  <si>
    <t>09/15/2005</t>
  </si>
  <si>
    <t>09/16/2005</t>
  </si>
  <si>
    <t>09/19/2005</t>
  </si>
  <si>
    <t>09/20/2005</t>
  </si>
  <si>
    <t>09/21/2005</t>
  </si>
  <si>
    <t>09/22/2005</t>
  </si>
  <si>
    <t>09/23/2005</t>
  </si>
  <si>
    <t>09/26/2005</t>
  </si>
  <si>
    <t>09/27/2005</t>
  </si>
  <si>
    <t>09/28/2005</t>
  </si>
  <si>
    <t>09/29/2005</t>
  </si>
  <si>
    <t>09/30/2005</t>
  </si>
  <si>
    <t>10/03/2005</t>
  </si>
  <si>
    <t>10/04/2005</t>
  </si>
  <si>
    <t>10/05/2005</t>
  </si>
  <si>
    <t>10/06/2005</t>
  </si>
  <si>
    <t>10/07/2005</t>
  </si>
  <si>
    <t>10/10/2005</t>
  </si>
  <si>
    <t>10/11/2005</t>
  </si>
  <si>
    <t>10/12/2005</t>
  </si>
  <si>
    <t>10/13/2005</t>
  </si>
  <si>
    <t>10/14/2005</t>
  </si>
  <si>
    <t>10/17/2005</t>
  </si>
  <si>
    <t>10/18/2005</t>
  </si>
  <si>
    <t>10/19/2005</t>
  </si>
  <si>
    <t>10/20/2005</t>
  </si>
  <si>
    <t>10/21/2005</t>
  </si>
  <si>
    <t>10/24/2005</t>
  </si>
  <si>
    <t>10/25/2005</t>
  </si>
  <si>
    <t>10/26/2005</t>
  </si>
  <si>
    <t>10/27/2005</t>
  </si>
  <si>
    <t>10/28/2005</t>
  </si>
  <si>
    <t>10/31/2005</t>
  </si>
  <si>
    <t>11/01/2005</t>
  </si>
  <si>
    <t>11/02/2005</t>
  </si>
  <si>
    <t>11/03/2005</t>
  </si>
  <si>
    <t>11/04/2005</t>
  </si>
  <si>
    <t>11/07/2005</t>
  </si>
  <si>
    <t>11/08/2005</t>
  </si>
  <si>
    <t>11/09/2005</t>
  </si>
  <si>
    <t>11/10/2005</t>
  </si>
  <si>
    <t>11/11/2005</t>
  </si>
  <si>
    <t>11/14/2005</t>
  </si>
  <si>
    <t>11/15/2005</t>
  </si>
  <si>
    <t>11/16/2005</t>
  </si>
  <si>
    <t>11/17/2005</t>
  </si>
  <si>
    <t>11/18/2005</t>
  </si>
  <si>
    <t>11/21/2005</t>
  </si>
  <si>
    <t>11/22/2005</t>
  </si>
  <si>
    <t>11/23/2005</t>
  </si>
  <si>
    <t>11/24/2005</t>
  </si>
  <si>
    <t>11/25/2005</t>
  </si>
  <si>
    <t>11/28/2005</t>
  </si>
  <si>
    <t>11/29/2005</t>
  </si>
  <si>
    <t>11/30/2005</t>
  </si>
  <si>
    <t>12/01/2005</t>
  </si>
  <si>
    <t>12/02/2005</t>
  </si>
  <si>
    <t>12/05/2005</t>
  </si>
  <si>
    <t>12/06/2005</t>
  </si>
  <si>
    <t>12/07/2005</t>
  </si>
  <si>
    <t>12/08/2005</t>
  </si>
  <si>
    <t>12/09/2005</t>
  </si>
  <si>
    <t>12/12/2005</t>
  </si>
  <si>
    <t>12/13/2005</t>
  </si>
  <si>
    <t>12/14/2005</t>
  </si>
  <si>
    <t>12/15/2005</t>
  </si>
  <si>
    <t>12/16/2005</t>
  </si>
  <si>
    <t>12/19/2005</t>
  </si>
  <si>
    <t>12/20/2005</t>
  </si>
  <si>
    <t>12/21/2005</t>
  </si>
  <si>
    <t>12/22/2005</t>
  </si>
  <si>
    <t>12/23/2005</t>
  </si>
  <si>
    <t>12/26/2005</t>
  </si>
  <si>
    <t>12/27/2005</t>
  </si>
  <si>
    <t>12/28/2005</t>
  </si>
  <si>
    <t>12/29/2005</t>
  </si>
  <si>
    <t>12/30/2005</t>
  </si>
  <si>
    <t>01/02/2006</t>
  </si>
  <si>
    <t>01/03/2006</t>
  </si>
  <si>
    <t>01/04/2006</t>
  </si>
  <si>
    <t>01/05/2006</t>
  </si>
  <si>
    <t>01/06/2006</t>
  </si>
  <si>
    <t>01/09/2006</t>
  </si>
  <si>
    <t>01/10/2006</t>
  </si>
  <si>
    <t>01/11/2006</t>
  </si>
  <si>
    <t>01/12/2006</t>
  </si>
  <si>
    <t>01/13/2006</t>
  </si>
  <si>
    <t>01/16/2006</t>
  </si>
  <si>
    <t>01/17/2006</t>
  </si>
  <si>
    <t>01/18/2006</t>
  </si>
  <si>
    <t>01/19/2006</t>
  </si>
  <si>
    <t>01/20/2006</t>
  </si>
  <si>
    <t>01/23/2006</t>
  </si>
  <si>
    <t>01/24/2006</t>
  </si>
  <si>
    <t>01/25/2006</t>
  </si>
  <si>
    <t>01/26/2006</t>
  </si>
  <si>
    <t>01/27/2006</t>
  </si>
  <si>
    <t>01/30/2006</t>
  </si>
  <si>
    <t>01/31/2006</t>
  </si>
  <si>
    <t>02/01/2006</t>
  </si>
  <si>
    <t>02/02/2006</t>
  </si>
  <si>
    <t>02/03/2006</t>
  </si>
  <si>
    <t>02/06/2006</t>
  </si>
  <si>
    <t>02/07/2006</t>
  </si>
  <si>
    <t>02/08/2006</t>
  </si>
  <si>
    <t>02/09/2006</t>
  </si>
  <si>
    <t>02/10/2006</t>
  </si>
  <si>
    <t>02/13/2006</t>
  </si>
  <si>
    <t>02/14/2006</t>
  </si>
  <si>
    <t>02/15/2006</t>
  </si>
  <si>
    <t>02/16/2006</t>
  </si>
  <si>
    <t>02/17/2006</t>
  </si>
  <si>
    <t>02/20/2006</t>
  </si>
  <si>
    <t>02/21/2006</t>
  </si>
  <si>
    <t>02/22/2006</t>
  </si>
  <si>
    <t>02/23/2006</t>
  </si>
  <si>
    <t>02/24/2006</t>
  </si>
  <si>
    <t>02/27/2006</t>
  </si>
  <si>
    <t>02/28/2006</t>
  </si>
  <si>
    <t>03/01/2006</t>
  </si>
  <si>
    <t>03/02/2006</t>
  </si>
  <si>
    <t>03/03/2006</t>
  </si>
  <si>
    <t>03/06/2006</t>
  </si>
  <si>
    <t>03/07/2006</t>
  </si>
  <si>
    <t>03/08/2006</t>
  </si>
  <si>
    <t>03/09/2006</t>
  </si>
  <si>
    <t>03/10/2006</t>
  </si>
  <si>
    <t>03/13/2006</t>
  </si>
  <si>
    <t>03/14/2006</t>
  </si>
  <si>
    <t>03/15/2006</t>
  </si>
  <si>
    <t>03/16/2006</t>
  </si>
  <si>
    <t>03/17/2006</t>
  </si>
  <si>
    <t>03/20/2006</t>
  </si>
  <si>
    <t>03/21/2006</t>
  </si>
  <si>
    <t>03/22/2006</t>
  </si>
  <si>
    <t>03/23/2006</t>
  </si>
  <si>
    <t>03/24/2006</t>
  </si>
  <si>
    <t>03/27/2006</t>
  </si>
  <si>
    <t>03/28/2006</t>
  </si>
  <si>
    <t>03/29/2006</t>
  </si>
  <si>
    <t>03/30/2006</t>
  </si>
  <si>
    <t>03/31/2006</t>
  </si>
  <si>
    <t>04/03/2006</t>
  </si>
  <si>
    <t>04/04/2006</t>
  </si>
  <si>
    <t>04/05/2006</t>
  </si>
  <si>
    <t>04/06/2006</t>
  </si>
  <si>
    <t>04/07/2006</t>
  </si>
  <si>
    <t>04/10/2006</t>
  </si>
  <si>
    <t>04/11/2006</t>
  </si>
  <si>
    <t>04/12/2006</t>
  </si>
  <si>
    <t>04/13/2006</t>
  </si>
  <si>
    <t>04/14/2006</t>
  </si>
  <si>
    <t>04/17/2006</t>
  </si>
  <si>
    <t>04/18/2006</t>
  </si>
  <si>
    <t>04/19/2006</t>
  </si>
  <si>
    <t>04/20/2006</t>
  </si>
  <si>
    <t>04/21/2006</t>
  </si>
  <si>
    <t>04/24/2006</t>
  </si>
  <si>
    <t>04/25/2006</t>
  </si>
  <si>
    <t>04/26/2006</t>
  </si>
  <si>
    <t>04/27/2006</t>
  </si>
  <si>
    <t>04/28/2006</t>
  </si>
  <si>
    <t>05/01/2006</t>
  </si>
  <si>
    <t>05/02/2006</t>
  </si>
  <si>
    <t>05/03/2006</t>
  </si>
  <si>
    <t>05/04/2006</t>
  </si>
  <si>
    <t>05/05/2006</t>
  </si>
  <si>
    <t>05/08/2006</t>
  </si>
  <si>
    <t>05/09/2006</t>
  </si>
  <si>
    <t>05/10/2006</t>
  </si>
  <si>
    <t>05/11/2006</t>
  </si>
  <si>
    <t>05/12/2006</t>
  </si>
  <si>
    <t>05/15/2006</t>
  </si>
  <si>
    <t>05/16/2006</t>
  </si>
  <si>
    <t>05/17/2006</t>
  </si>
  <si>
    <t>05/18/2006</t>
  </si>
  <si>
    <t>05/19/2006</t>
  </si>
  <si>
    <t>05/22/2006</t>
  </si>
  <si>
    <t>05/23/2006</t>
  </si>
  <si>
    <t>05/24/2006</t>
  </si>
  <si>
    <t>05/25/2006</t>
  </si>
  <si>
    <t>05/26/2006</t>
  </si>
  <si>
    <t>05/29/2006</t>
  </si>
  <si>
    <t>05/30/2006</t>
  </si>
  <si>
    <t>05/31/2006</t>
  </si>
  <si>
    <t>06/01/2006</t>
  </si>
  <si>
    <t>06/02/2006</t>
  </si>
  <si>
    <t>06/05/2006</t>
  </si>
  <si>
    <t>06/06/2006</t>
  </si>
  <si>
    <t>06/07/2006</t>
  </si>
  <si>
    <t>06/08/2006</t>
  </si>
  <si>
    <t>06/09/2006</t>
  </si>
  <si>
    <t>06/12/2006</t>
  </si>
  <si>
    <t>06/13/2006</t>
  </si>
  <si>
    <t>06/14/2006</t>
  </si>
  <si>
    <t>06/15/2006</t>
  </si>
  <si>
    <t>06/16/2006</t>
  </si>
  <si>
    <t>06/19/2006</t>
  </si>
  <si>
    <t>06/20/2006</t>
  </si>
  <si>
    <t>06/21/2006</t>
  </si>
  <si>
    <t>06/22/2006</t>
  </si>
  <si>
    <t>06/23/2006</t>
  </si>
  <si>
    <t>06/26/2006</t>
  </si>
  <si>
    <t>06/27/2006</t>
  </si>
  <si>
    <t>06/28/2006</t>
  </si>
  <si>
    <t>06/29/2006</t>
  </si>
  <si>
    <t>06/30/2006</t>
  </si>
  <si>
    <t>07/03/2006</t>
  </si>
  <si>
    <t>07/04/2006</t>
  </si>
  <si>
    <t>07/05/2006</t>
  </si>
  <si>
    <t>07/06/2006</t>
  </si>
  <si>
    <t>07/07/2006</t>
  </si>
  <si>
    <t>07/10/2006</t>
  </si>
  <si>
    <t>07/11/2006</t>
  </si>
  <si>
    <t>07/12/2006</t>
  </si>
  <si>
    <t>07/13/2006</t>
  </si>
  <si>
    <t>07/14/2006</t>
  </si>
  <si>
    <t>07/17/2006</t>
  </si>
  <si>
    <t>07/18/2006</t>
  </si>
  <si>
    <t>07/19/2006</t>
  </si>
  <si>
    <t>07/20/2006</t>
  </si>
  <si>
    <t>07/21/2006</t>
  </si>
  <si>
    <t>07/24/2006</t>
  </si>
  <si>
    <t>07/25/2006</t>
  </si>
  <si>
    <t>07/26/2006</t>
  </si>
  <si>
    <t>07/27/2006</t>
  </si>
  <si>
    <t>07/28/2006</t>
  </si>
  <si>
    <t>07/31/2006</t>
  </si>
  <si>
    <t>08/01/2006</t>
  </si>
  <si>
    <t>08/02/2006</t>
  </si>
  <si>
    <t>08/03/2006</t>
  </si>
  <si>
    <t>08/04/2006</t>
  </si>
  <si>
    <t>08/07/2006</t>
  </si>
  <si>
    <t>08/08/2006</t>
  </si>
  <si>
    <t>08/09/2006</t>
  </si>
  <si>
    <t>08/10/2006</t>
  </si>
  <si>
    <t>08/11/2006</t>
  </si>
  <si>
    <t>08/14/2006</t>
  </si>
  <si>
    <t>08/15/2006</t>
  </si>
  <si>
    <t>08/16/2006</t>
  </si>
  <si>
    <t>08/17/2006</t>
  </si>
  <si>
    <t>08/18/2006</t>
  </si>
  <si>
    <t>08/21/2006</t>
  </si>
  <si>
    <t>08/22/2006</t>
  </si>
  <si>
    <t>08/23/2006</t>
  </si>
  <si>
    <t>08/24/2006</t>
  </si>
  <si>
    <t>08/25/2006</t>
  </si>
  <si>
    <t>08/28/2006</t>
  </si>
  <si>
    <t>08/29/2006</t>
  </si>
  <si>
    <t>08/30/2006</t>
  </si>
  <si>
    <t>08/31/2006</t>
  </si>
  <si>
    <t>09/01/2006</t>
  </si>
  <si>
    <t>09/05/2006</t>
  </si>
  <si>
    <t>09/06/2006</t>
  </si>
  <si>
    <t>09/07/2006</t>
  </si>
  <si>
    <t>09/08/2006</t>
  </si>
  <si>
    <t>09/11/2006</t>
  </si>
  <si>
    <t>09/12/2006</t>
  </si>
  <si>
    <t>09/13/2006</t>
  </si>
  <si>
    <t>09/14/2006</t>
  </si>
  <si>
    <t>09/15/2006</t>
  </si>
  <si>
    <t>09/18/2006</t>
  </si>
  <si>
    <t>09/19/2006</t>
  </si>
  <si>
    <t>09/20/2006</t>
  </si>
  <si>
    <t>09/21/2006</t>
  </si>
  <si>
    <t>09/22/2006</t>
  </si>
  <si>
    <t>09/25/2006</t>
  </si>
  <si>
    <t>09/26/2006</t>
  </si>
  <si>
    <t>09/27/2006</t>
  </si>
  <si>
    <t>09/28/2006</t>
  </si>
  <si>
    <t>09/29/2006</t>
  </si>
  <si>
    <t>10/02/2006</t>
  </si>
  <si>
    <t>10/03/2006</t>
  </si>
  <si>
    <t>10/04/2006</t>
  </si>
  <si>
    <t>10/05/2006</t>
  </si>
  <si>
    <t>10/06/2006</t>
  </si>
  <si>
    <t>10/10/2006</t>
  </si>
  <si>
    <t>10/11/2006</t>
  </si>
  <si>
    <t>10/12/2006</t>
  </si>
  <si>
    <t>10/13/2006</t>
  </si>
  <si>
    <t>10/16/2006</t>
  </si>
  <si>
    <t>10/17/2006</t>
  </si>
  <si>
    <t>10/18/2006</t>
  </si>
  <si>
    <t>10/19/2006</t>
  </si>
  <si>
    <t>10/20/2006</t>
  </si>
  <si>
    <t>10/23/2006</t>
  </si>
  <si>
    <t>10/24/2006</t>
  </si>
  <si>
    <t>10/25/2006</t>
  </si>
  <si>
    <t>10/26/2006</t>
  </si>
  <si>
    <t>10/27/2006</t>
  </si>
  <si>
    <t>10/30/2006</t>
  </si>
  <si>
    <t>10/31/2006</t>
  </si>
  <si>
    <t>11/01/2006</t>
  </si>
  <si>
    <t>11/02/2006</t>
  </si>
  <si>
    <t>11/03/2006</t>
  </si>
  <si>
    <t>11/06/2006</t>
  </si>
  <si>
    <t>11/07/2006</t>
  </si>
  <si>
    <t>11/08/2006</t>
  </si>
  <si>
    <t>11/09/2006</t>
  </si>
  <si>
    <t>11/10/2006</t>
  </si>
  <si>
    <t>11/13/2006</t>
  </si>
  <si>
    <t>11/14/2006</t>
  </si>
  <si>
    <t>11/15/2006</t>
  </si>
  <si>
    <t>11/16/2006</t>
  </si>
  <si>
    <t>11/17/2006</t>
  </si>
  <si>
    <t>11/20/2006</t>
  </si>
  <si>
    <t>11/21/2006</t>
  </si>
  <si>
    <t>11/22/2006</t>
  </si>
  <si>
    <t>11/24/2006</t>
  </si>
  <si>
    <t>11/27/2006</t>
  </si>
  <si>
    <t>11/28/2006</t>
  </si>
  <si>
    <t>11/29/2006</t>
  </si>
  <si>
    <t>11/30/2006</t>
  </si>
  <si>
    <t>12/01/2006</t>
  </si>
  <si>
    <t>12/04/2006</t>
  </si>
  <si>
    <t>12/05/2006</t>
  </si>
  <si>
    <t>12/06/2006</t>
  </si>
  <si>
    <t>12/07/2006</t>
  </si>
  <si>
    <t>12/08/2006</t>
  </si>
  <si>
    <t>12/11/2006</t>
  </si>
  <si>
    <t>12/12/2006</t>
  </si>
  <si>
    <t>12/13/2006</t>
  </si>
  <si>
    <t>12/14/2006</t>
  </si>
  <si>
    <t>12/15/2006</t>
  </si>
  <si>
    <t>12/18/2006</t>
  </si>
  <si>
    <t>12/19/2006</t>
  </si>
  <si>
    <t>12/20/2006</t>
  </si>
  <si>
    <t>12/21/2006</t>
  </si>
  <si>
    <t>12/22/2006</t>
  </si>
  <si>
    <t>12/26/2006</t>
  </si>
  <si>
    <t>12/27/2006</t>
  </si>
  <si>
    <t>12/28/2006</t>
  </si>
  <si>
    <t>12/29/2006</t>
  </si>
  <si>
    <t>01/02/2007</t>
  </si>
  <si>
    <t>01/03/2007</t>
  </si>
  <si>
    <t>01/04/2007</t>
  </si>
  <si>
    <t>01/05/2007</t>
  </si>
  <si>
    <t>01/08/2007</t>
  </si>
  <si>
    <t>01/09/2007</t>
  </si>
  <si>
    <t>01/10/2007</t>
  </si>
  <si>
    <t>01/11/2007</t>
  </si>
  <si>
    <t>01/12/2007</t>
  </si>
  <si>
    <t>01/16/2007</t>
  </si>
  <si>
    <t>01/17/2007</t>
  </si>
  <si>
    <t>01/18/2007</t>
  </si>
  <si>
    <t>01/19/2007</t>
  </si>
  <si>
    <t>01/22/2007</t>
  </si>
  <si>
    <t>01/23/2007</t>
  </si>
  <si>
    <t>01/24/2007</t>
  </si>
  <si>
    <t>01/25/2007</t>
  </si>
  <si>
    <t>01/26/2007</t>
  </si>
  <si>
    <t>01/29/2007</t>
  </si>
  <si>
    <t>01/30/2007</t>
  </si>
  <si>
    <t>01/31/2007</t>
  </si>
  <si>
    <t>02/01/2007</t>
  </si>
  <si>
    <t>02/02/2007</t>
  </si>
  <si>
    <t>02/05/2007</t>
  </si>
  <si>
    <t>02/06/2007</t>
  </si>
  <si>
    <t>02/07/2007</t>
  </si>
  <si>
    <t>02/08/2007</t>
  </si>
  <si>
    <t>02/09/2007</t>
  </si>
  <si>
    <t>02/12/2007</t>
  </si>
  <si>
    <t>02/13/2007</t>
  </si>
  <si>
    <t>02/14/2007</t>
  </si>
  <si>
    <t>02/15/2007</t>
  </si>
  <si>
    <t>02/16/2007</t>
  </si>
  <si>
    <t>02/20/2007</t>
  </si>
  <si>
    <t>02/21/2007</t>
  </si>
  <si>
    <t>02/22/2007</t>
  </si>
  <si>
    <t>02/23/2007</t>
  </si>
  <si>
    <t>02/26/2007</t>
  </si>
  <si>
    <t>02/27/2007</t>
  </si>
  <si>
    <t>02/28/2007</t>
  </si>
  <si>
    <t>03/01/2007</t>
  </si>
  <si>
    <t>03/02/2007</t>
  </si>
  <si>
    <t>03/05/2007</t>
  </si>
  <si>
    <t>03/06/2007</t>
  </si>
  <si>
    <t>03/07/2007</t>
  </si>
  <si>
    <t>03/08/2007</t>
  </si>
  <si>
    <t>03/09/2007</t>
  </si>
  <si>
    <t>03/12/2007</t>
  </si>
  <si>
    <t>03/13/2007</t>
  </si>
  <si>
    <t>03/14/2007</t>
  </si>
  <si>
    <t>03/15/2007</t>
  </si>
  <si>
    <t>03/16/2007</t>
  </si>
  <si>
    <t>03/19/2007</t>
  </si>
  <si>
    <t>03/20/2007</t>
  </si>
  <si>
    <t>03/21/2007</t>
  </si>
  <si>
    <t>03/22/2007</t>
  </si>
  <si>
    <t>03/23/2007</t>
  </si>
  <si>
    <t>03/26/2007</t>
  </si>
  <si>
    <t>03/27/2007</t>
  </si>
  <si>
    <t>03/28/2007</t>
  </si>
  <si>
    <t>03/29/2007</t>
  </si>
  <si>
    <t>03/30/2007</t>
  </si>
  <si>
    <t>04/02/2007</t>
  </si>
  <si>
    <t>04/03/2007</t>
  </si>
  <si>
    <t>04/04/2007</t>
  </si>
  <si>
    <t>04/05/2007</t>
  </si>
  <si>
    <t>04/09/2007</t>
  </si>
  <si>
    <t>04/10/2007</t>
  </si>
  <si>
    <t>04/11/2007</t>
  </si>
  <si>
    <t>04/12/2007</t>
  </si>
  <si>
    <t>04/13/2007</t>
  </si>
  <si>
    <t>04/16/2007</t>
  </si>
  <si>
    <t>04/17/2007</t>
  </si>
  <si>
    <t>04/18/2007</t>
  </si>
  <si>
    <t>04/19/2007</t>
  </si>
  <si>
    <t>04/20/2007</t>
  </si>
  <si>
    <t>04/23/2007</t>
  </si>
  <si>
    <t>04/24/2007</t>
  </si>
  <si>
    <t>04/25/2007</t>
  </si>
  <si>
    <t>04/26/2007</t>
  </si>
  <si>
    <t>04/27/2007</t>
  </si>
  <si>
    <t>04/30/2007</t>
  </si>
  <si>
    <t>05/01/2007</t>
  </si>
  <si>
    <t>05/02/2007</t>
  </si>
  <si>
    <t>05/03/2007</t>
  </si>
  <si>
    <t>05/04/2007</t>
  </si>
  <si>
    <t>05/07/2007</t>
  </si>
  <si>
    <t>05/08/2007</t>
  </si>
  <si>
    <t>05/09/2007</t>
  </si>
  <si>
    <t>05/10/2007</t>
  </si>
  <si>
    <t>05/11/2007</t>
  </si>
  <si>
    <t>05/14/2007</t>
  </si>
  <si>
    <t>05/15/2007</t>
  </si>
  <si>
    <t>05/16/2007</t>
  </si>
  <si>
    <t>05/17/2007</t>
  </si>
  <si>
    <t>05/18/2007</t>
  </si>
  <si>
    <t>05/21/2007</t>
  </si>
  <si>
    <t>05/22/2007</t>
  </si>
  <si>
    <t>05/23/2007</t>
  </si>
  <si>
    <t>05/24/2007</t>
  </si>
  <si>
    <t>05/25/2007</t>
  </si>
  <si>
    <t>05/29/2007</t>
  </si>
  <si>
    <t>05/30/2007</t>
  </si>
  <si>
    <t>05/31/2007</t>
  </si>
  <si>
    <t>06/01/2007</t>
  </si>
  <si>
    <t>06/04/2007</t>
  </si>
  <si>
    <t>06/05/2007</t>
  </si>
  <si>
    <t>06/06/2007</t>
  </si>
  <si>
    <t>06/07/2007</t>
  </si>
  <si>
    <t>06/08/2007</t>
  </si>
  <si>
    <t>06/11/2007</t>
  </si>
  <si>
    <t>06/12/2007</t>
  </si>
  <si>
    <t>06/13/2007</t>
  </si>
  <si>
    <t>06/14/2007</t>
  </si>
  <si>
    <t>06/15/2007</t>
  </si>
  <si>
    <t>06/18/2007</t>
  </si>
  <si>
    <t>06/19/2007</t>
  </si>
  <si>
    <t>06/20/2007</t>
  </si>
  <si>
    <t>06/21/2007</t>
  </si>
  <si>
    <t>06/22/2007</t>
  </si>
  <si>
    <t>06/25/2007</t>
  </si>
  <si>
    <t>06/26/2007</t>
  </si>
  <si>
    <t>06/27/2007</t>
  </si>
  <si>
    <t>06/28/2007</t>
  </si>
  <si>
    <t>06/29/2007</t>
  </si>
  <si>
    <t>07/02/2007</t>
  </si>
  <si>
    <t>07/03/2007</t>
  </si>
  <si>
    <t>07/05/2007</t>
  </si>
  <si>
    <t>07/06/2007</t>
  </si>
  <si>
    <t>07/09/2007</t>
  </si>
  <si>
    <t>07/10/2007</t>
  </si>
  <si>
    <t>07/11/2007</t>
  </si>
  <si>
    <t>07/12/2007</t>
  </si>
  <si>
    <t>07/13/2007</t>
  </si>
  <si>
    <t>07/16/2007</t>
  </si>
  <si>
    <t>07/17/2007</t>
  </si>
  <si>
    <t>07/18/2007</t>
  </si>
  <si>
    <t>07/19/2007</t>
  </si>
  <si>
    <t>07/20/2007</t>
  </si>
  <si>
    <t>07/23/2007</t>
  </si>
  <si>
    <t>07/24/2007</t>
  </si>
  <si>
    <t>07/25/2007</t>
  </si>
  <si>
    <t>07/26/2007</t>
  </si>
  <si>
    <t>07/27/2007</t>
  </si>
  <si>
    <t>07/30/2007</t>
  </si>
  <si>
    <t>07/31/2007</t>
  </si>
  <si>
    <t>08/01/2007</t>
  </si>
  <si>
    <t>08/02/2007</t>
  </si>
  <si>
    <t>08/03/2007</t>
  </si>
  <si>
    <t>08/06/2007</t>
  </si>
  <si>
    <t>08/07/2007</t>
  </si>
  <si>
    <t>08/08/2007</t>
  </si>
  <si>
    <t>08/09/2007</t>
  </si>
  <si>
    <t>08/10/2007</t>
  </si>
  <si>
    <t>08/13/2007</t>
  </si>
  <si>
    <t>08/14/2007</t>
  </si>
  <si>
    <t>08/15/2007</t>
  </si>
  <si>
    <t>08/16/2007</t>
  </si>
  <si>
    <t>08/17/2007</t>
  </si>
  <si>
    <t>08/20/2007</t>
  </si>
  <si>
    <t>08/21/2007</t>
  </si>
  <si>
    <t>08/22/2007</t>
  </si>
  <si>
    <t>08/23/2007</t>
  </si>
  <si>
    <t>08/24/2007</t>
  </si>
  <si>
    <t>08/27/2007</t>
  </si>
  <si>
    <t>08/28/2007</t>
  </si>
  <si>
    <t>08/29/2007</t>
  </si>
  <si>
    <t>08/30/2007</t>
  </si>
  <si>
    <t>08/31/2007</t>
  </si>
  <si>
    <t>09/04/2007</t>
  </si>
  <si>
    <t>09/05/2007</t>
  </si>
  <si>
    <t>09/06/2007</t>
  </si>
  <si>
    <t>09/07/2007</t>
  </si>
  <si>
    <t>09/10/2007</t>
  </si>
  <si>
    <t>09/11/2007</t>
  </si>
  <si>
    <t>09/12/2007</t>
  </si>
  <si>
    <t>09/13/2007</t>
  </si>
  <si>
    <t>09/14/2007</t>
  </si>
  <si>
    <t>09/17/2007</t>
  </si>
  <si>
    <t>09/18/2007</t>
  </si>
  <si>
    <t>09/19/2007</t>
  </si>
  <si>
    <t>09/20/2007</t>
  </si>
  <si>
    <t>09/21/2007</t>
  </si>
  <si>
    <t>09/24/2007</t>
  </si>
  <si>
    <t>09/25/2007</t>
  </si>
  <si>
    <t>09/26/2007</t>
  </si>
  <si>
    <t>09/27/2007</t>
  </si>
  <si>
    <t>09/28/2007</t>
  </si>
  <si>
    <t>10/01/2007</t>
  </si>
  <si>
    <t>10/02/2007</t>
  </si>
  <si>
    <t>10/03/2007</t>
  </si>
  <si>
    <t>10/04/2007</t>
  </si>
  <si>
    <t>10/05/2007</t>
  </si>
  <si>
    <t>10/09/2007</t>
  </si>
  <si>
    <t>10/10/2007</t>
  </si>
  <si>
    <t>10/11/2007</t>
  </si>
  <si>
    <t>10/12/2007</t>
  </si>
  <si>
    <t>10/15/2007</t>
  </si>
  <si>
    <t>10/16/2007</t>
  </si>
  <si>
    <t>10/17/2007</t>
  </si>
  <si>
    <t>10/18/2007</t>
  </si>
  <si>
    <t>10/19/2007</t>
  </si>
  <si>
    <t>10/22/2007</t>
  </si>
  <si>
    <t>10/23/2007</t>
  </si>
  <si>
    <t>10/24/2007</t>
  </si>
  <si>
    <t>10/25/2007</t>
  </si>
  <si>
    <t>10/26/2007</t>
  </si>
  <si>
    <t>10/29/2007</t>
  </si>
  <si>
    <t>10/30/2007</t>
  </si>
  <si>
    <t>10/31/2007</t>
  </si>
  <si>
    <t>11/01/2007</t>
  </si>
  <si>
    <t>11/02/2007</t>
  </si>
  <si>
    <t>11/05/2007</t>
  </si>
  <si>
    <t>11/06/2007</t>
  </si>
  <si>
    <t>11/07/2007</t>
  </si>
  <si>
    <t>11/08/2007</t>
  </si>
  <si>
    <t>11/09/2007</t>
  </si>
  <si>
    <t>11/13/2007</t>
  </si>
  <si>
    <t>11/14/2007</t>
  </si>
  <si>
    <t>11/15/2007</t>
  </si>
  <si>
    <t>11/16/2007</t>
  </si>
  <si>
    <t>11/19/2007</t>
  </si>
  <si>
    <t>11/20/2007</t>
  </si>
  <si>
    <t>11/21/2007</t>
  </si>
  <si>
    <t>11/23/2007</t>
  </si>
  <si>
    <t>11/26/2007</t>
  </si>
  <si>
    <t>11/27/2007</t>
  </si>
  <si>
    <t>11/28/2007</t>
  </si>
  <si>
    <t>11/29/2007</t>
  </si>
  <si>
    <t>11/30/2007</t>
  </si>
  <si>
    <t>12/03/2007</t>
  </si>
  <si>
    <t>12/04/2007</t>
  </si>
  <si>
    <t>12/05/2007</t>
  </si>
  <si>
    <t>12/06/2007</t>
  </si>
  <si>
    <t>12/07/2007</t>
  </si>
  <si>
    <t>12/10/2007</t>
  </si>
  <si>
    <t>12/11/2007</t>
  </si>
  <si>
    <t>12/12/2007</t>
  </si>
  <si>
    <t>12/13/2007</t>
  </si>
  <si>
    <t>12/14/2007</t>
  </si>
  <si>
    <t>12/17/2007</t>
  </si>
  <si>
    <t>12/18/2007</t>
  </si>
  <si>
    <t>12/19/2007</t>
  </si>
  <si>
    <t>12/20/2007</t>
  </si>
  <si>
    <t>12/21/2007</t>
  </si>
  <si>
    <t>12/24/2007</t>
  </si>
  <si>
    <t>12/26/2007</t>
  </si>
  <si>
    <t>12/27/2007</t>
  </si>
  <si>
    <t>12/28/2007</t>
  </si>
  <si>
    <t>12/31/2007</t>
  </si>
  <si>
    <t>01/02/2008</t>
  </si>
  <si>
    <t>01/03/2008</t>
  </si>
  <si>
    <t>01/04/2008</t>
  </si>
  <si>
    <t>01/07/2008</t>
  </si>
  <si>
    <t>01/08/2008</t>
  </si>
  <si>
    <t>01/09/2008</t>
  </si>
  <si>
    <t>01/10/2008</t>
  </si>
  <si>
    <t>01/11/2008</t>
  </si>
  <si>
    <t>01/14/2008</t>
  </si>
  <si>
    <t>01/15/2008</t>
  </si>
  <si>
    <t>01/16/2008</t>
  </si>
  <si>
    <t>01/17/2008</t>
  </si>
  <si>
    <t>01/18/2008</t>
  </si>
  <si>
    <t>01/22/2008</t>
  </si>
  <si>
    <t>01/23/2008</t>
  </si>
  <si>
    <t>01/24/2008</t>
  </si>
  <si>
    <t>01/25/2008</t>
  </si>
  <si>
    <t>01/28/2008</t>
  </si>
  <si>
    <t>01/29/2008</t>
  </si>
  <si>
    <t>01/30/2008</t>
  </si>
  <si>
    <t>01/31/2008</t>
  </si>
  <si>
    <t>02/01/2008</t>
  </si>
  <si>
    <t>02/04/2008</t>
  </si>
  <si>
    <t>02/05/2008</t>
  </si>
  <si>
    <t>02/06/2008</t>
  </si>
  <si>
    <t>02/07/2008</t>
  </si>
  <si>
    <t>02/08/2008</t>
  </si>
  <si>
    <t>02/11/2008</t>
  </si>
  <si>
    <t>02/12/2008</t>
  </si>
  <si>
    <t>02/13/2008</t>
  </si>
  <si>
    <t>02/14/2008</t>
  </si>
  <si>
    <t>02/15/2008</t>
  </si>
  <si>
    <t>02/19/2008</t>
  </si>
  <si>
    <t>02/20/2008</t>
  </si>
  <si>
    <t>02/21/2008</t>
  </si>
  <si>
    <t>02/22/2008</t>
  </si>
  <si>
    <t>02/25/2008</t>
  </si>
  <si>
    <t>02/26/2008</t>
  </si>
  <si>
    <t>02/27/2008</t>
  </si>
  <si>
    <t>02/28/2008</t>
  </si>
  <si>
    <t>02/29/2008</t>
  </si>
  <si>
    <t>03/03/2008</t>
  </si>
  <si>
    <t>03/04/2008</t>
  </si>
  <si>
    <t>03/05/2008</t>
  </si>
  <si>
    <t>03/06/2008</t>
  </si>
  <si>
    <t>03/07/2008</t>
  </si>
  <si>
    <t>03/10/2008</t>
  </si>
  <si>
    <t>03/11/2008</t>
  </si>
  <si>
    <t>03/12/2008</t>
  </si>
  <si>
    <t>03/13/2008</t>
  </si>
  <si>
    <t>03/14/2008</t>
  </si>
  <si>
    <t>03/17/2008</t>
  </si>
  <si>
    <t>03/18/2008</t>
  </si>
  <si>
    <t>03/19/2008</t>
  </si>
  <si>
    <t>03/20/2008</t>
  </si>
  <si>
    <t>03/24/2008</t>
  </si>
  <si>
    <t>03/25/2008</t>
  </si>
  <si>
    <t>03/26/2008</t>
  </si>
  <si>
    <t>03/27/2008</t>
  </si>
  <si>
    <t>03/28/2008</t>
  </si>
  <si>
    <t>03/31/2008</t>
  </si>
  <si>
    <t>04/01/2008</t>
  </si>
  <si>
    <t>04/02/2008</t>
  </si>
  <si>
    <t>04/03/2008</t>
  </si>
  <si>
    <t>04/04/2008</t>
  </si>
  <si>
    <t>04/07/2008</t>
  </si>
  <si>
    <t>04/08/2008</t>
  </si>
  <si>
    <t>04/09/2008</t>
  </si>
  <si>
    <t>04/10/2008</t>
  </si>
  <si>
    <t>04/11/2008</t>
  </si>
  <si>
    <t>04/14/2008</t>
  </si>
  <si>
    <t>04/15/2008</t>
  </si>
  <si>
    <t>04/16/2008</t>
  </si>
  <si>
    <t>04/17/2008</t>
  </si>
  <si>
    <t>04/18/2008</t>
  </si>
  <si>
    <t>04/21/2008</t>
  </si>
  <si>
    <t>04/22/2008</t>
  </si>
  <si>
    <t>04/23/2008</t>
  </si>
  <si>
    <t>04/24/2008</t>
  </si>
  <si>
    <t>04/25/2008</t>
  </si>
  <si>
    <t>04/28/2008</t>
  </si>
  <si>
    <t>04/29/2008</t>
  </si>
  <si>
    <t>04/30/2008</t>
  </si>
  <si>
    <t>05/01/2008</t>
  </si>
  <si>
    <t>05/02/2008</t>
  </si>
  <si>
    <t>05/05/2008</t>
  </si>
  <si>
    <t>05/06/2008</t>
  </si>
  <si>
    <t>05/07/2008</t>
  </si>
  <si>
    <t>05/08/2008</t>
  </si>
  <si>
    <t>05/09/2008</t>
  </si>
  <si>
    <t>05/12/2008</t>
  </si>
  <si>
    <t>05/13/2008</t>
  </si>
  <si>
    <t>05/14/2008</t>
  </si>
  <si>
    <t>05/15/2008</t>
  </si>
  <si>
    <t>05/16/2008</t>
  </si>
  <si>
    <t>05/19/2008</t>
  </si>
  <si>
    <t>05/20/2008</t>
  </si>
  <si>
    <t>05/21/2008</t>
  </si>
  <si>
    <t>05/22/2008</t>
  </si>
  <si>
    <t>05/23/2008</t>
  </si>
  <si>
    <t>05/27/2008</t>
  </si>
  <si>
    <t>05/28/2008</t>
  </si>
  <si>
    <t>05/29/2008</t>
  </si>
  <si>
    <t>05/30/2008</t>
  </si>
  <si>
    <t>06/02/2008</t>
  </si>
  <si>
    <t>06/03/2008</t>
  </si>
  <si>
    <t>06/04/2008</t>
  </si>
  <si>
    <t>06/05/2008</t>
  </si>
  <si>
    <t>06/06/2008</t>
  </si>
  <si>
    <t>06/09/2008</t>
  </si>
  <si>
    <t>06/10/2008</t>
  </si>
  <si>
    <t>06/11/2008</t>
  </si>
  <si>
    <t>06/12/2008</t>
  </si>
  <si>
    <t>06/13/2008</t>
  </si>
  <si>
    <t>06/16/2008</t>
  </si>
  <si>
    <t>06/17/2008</t>
  </si>
  <si>
    <t>06/18/2008</t>
  </si>
  <si>
    <t>06/19/2008</t>
  </si>
  <si>
    <t>06/20/2008</t>
  </si>
  <si>
    <t>06/23/2008</t>
  </si>
  <si>
    <t>06/24/2008</t>
  </si>
  <si>
    <t>06/25/2008</t>
  </si>
  <si>
    <t>06/26/2008</t>
  </si>
  <si>
    <t>06/27/2008</t>
  </si>
  <si>
    <t>06/30/2008</t>
  </si>
  <si>
    <t>07/01/2008</t>
  </si>
  <si>
    <t>07/02/2008</t>
  </si>
  <si>
    <t>07/03/2008</t>
  </si>
  <si>
    <t>07/07/2008</t>
  </si>
  <si>
    <t>07/08/2008</t>
  </si>
  <si>
    <t>07/09/2008</t>
  </si>
  <si>
    <t>07/10/2008</t>
  </si>
  <si>
    <t>07/11/2008</t>
  </si>
  <si>
    <t>07/14/2008</t>
  </si>
  <si>
    <t>07/15/2008</t>
  </si>
  <si>
    <t>07/16/2008</t>
  </si>
  <si>
    <t>07/17/2008</t>
  </si>
  <si>
    <t>07/18/2008</t>
  </si>
  <si>
    <t>07/21/2008</t>
  </si>
  <si>
    <t>07/22/2008</t>
  </si>
  <si>
    <t>07/23/2008</t>
  </si>
  <si>
    <t>07/24/2008</t>
  </si>
  <si>
    <t>07/25/2008</t>
  </si>
  <si>
    <t>07/28/2008</t>
  </si>
  <si>
    <t>07/29/2008</t>
  </si>
  <si>
    <t>07/30/2008</t>
  </si>
  <si>
    <t>07/31/2008</t>
  </si>
  <si>
    <t>08/01/2008</t>
  </si>
  <si>
    <t>08/04/2008</t>
  </si>
  <si>
    <t>08/05/2008</t>
  </si>
  <si>
    <t>08/06/2008</t>
  </si>
  <si>
    <t>08/07/2008</t>
  </si>
  <si>
    <t>08/08/2008</t>
  </si>
  <si>
    <t>08/11/2008</t>
  </si>
  <si>
    <t>08/12/2008</t>
  </si>
  <si>
    <t>08/13/2008</t>
  </si>
  <si>
    <t>08/14/2008</t>
  </si>
  <si>
    <t>08/15/2008</t>
  </si>
  <si>
    <t>08/18/2008</t>
  </si>
  <si>
    <t>08/19/2008</t>
  </si>
  <si>
    <t>08/20/2008</t>
  </si>
  <si>
    <t>08/21/2008</t>
  </si>
  <si>
    <t>08/22/2008</t>
  </si>
  <si>
    <t>08/25/2008</t>
  </si>
  <si>
    <t>08/26/2008</t>
  </si>
  <si>
    <t>08/27/2008</t>
  </si>
  <si>
    <t>08/28/2008</t>
  </si>
  <si>
    <t>08/29/2008</t>
  </si>
  <si>
    <t>09/02/2008</t>
  </si>
  <si>
    <t>09/03/2008</t>
  </si>
  <si>
    <t>09/04/2008</t>
  </si>
  <si>
    <t>09/05/2008</t>
  </si>
  <si>
    <t>09/08/2008</t>
  </si>
  <si>
    <t>09/09/2008</t>
  </si>
  <si>
    <t>09/10/2008</t>
  </si>
  <si>
    <t>09/11/2008</t>
  </si>
  <si>
    <t>09/12/2008</t>
  </si>
  <si>
    <t>09/15/2008</t>
  </si>
  <si>
    <t>09/16/2008</t>
  </si>
  <si>
    <t>09/17/2008</t>
  </si>
  <si>
    <t>09/18/2008</t>
  </si>
  <si>
    <t>09/19/2008</t>
  </si>
  <si>
    <t>09/22/2008</t>
  </si>
  <si>
    <t>09/23/2008</t>
  </si>
  <si>
    <t>09/24/2008</t>
  </si>
  <si>
    <t>09/25/2008</t>
  </si>
  <si>
    <t>09/26/2008</t>
  </si>
  <si>
    <t>09/29/2008</t>
  </si>
  <si>
    <t>09/30/2008</t>
  </si>
  <si>
    <t>10/01/2008</t>
  </si>
  <si>
    <t>10/02/2008</t>
  </si>
  <si>
    <t>10/03/2008</t>
  </si>
  <si>
    <t>10/06/2008</t>
  </si>
  <si>
    <t>10/07/2008</t>
  </si>
  <si>
    <t>10/08/2008</t>
  </si>
  <si>
    <t>10/09/2008</t>
  </si>
  <si>
    <t>10/10/2008</t>
  </si>
  <si>
    <t>10/14/2008</t>
  </si>
  <si>
    <t>10/15/2008</t>
  </si>
  <si>
    <t>10/16/2008</t>
  </si>
  <si>
    <t>10/17/2008</t>
  </si>
  <si>
    <t>10/20/2008</t>
  </si>
  <si>
    <t>10/21/2008</t>
  </si>
  <si>
    <t>10/22/2008</t>
  </si>
  <si>
    <t>10/23/2008</t>
  </si>
  <si>
    <t>10/24/2008</t>
  </si>
  <si>
    <t>10/27/2008</t>
  </si>
  <si>
    <t>10/28/2008</t>
  </si>
  <si>
    <t>10/29/2008</t>
  </si>
  <si>
    <t>10/30/2008</t>
  </si>
  <si>
    <t>10/31/2008</t>
  </si>
  <si>
    <t>11/03/2008</t>
  </si>
  <si>
    <t>11/04/2008</t>
  </si>
  <si>
    <t>11/05/2008</t>
  </si>
  <si>
    <t>11/06/2008</t>
  </si>
  <si>
    <t>11/07/2008</t>
  </si>
  <si>
    <t>11/10/2008</t>
  </si>
  <si>
    <t>11/12/2008</t>
  </si>
  <si>
    <t>11/13/2008</t>
  </si>
  <si>
    <t>11/14/2008</t>
  </si>
  <si>
    <t>11/17/2008</t>
  </si>
  <si>
    <t>11/18/2008</t>
  </si>
  <si>
    <t>11/19/2008</t>
  </si>
  <si>
    <t>11/20/2008</t>
  </si>
  <si>
    <t>11/21/2008</t>
  </si>
  <si>
    <t>11/24/2008</t>
  </si>
  <si>
    <t>11/25/2008</t>
  </si>
  <si>
    <t>11/26/2008</t>
  </si>
  <si>
    <t>11/28/2008</t>
  </si>
  <si>
    <t>12/01/2008</t>
  </si>
  <si>
    <t>12/02/2008</t>
  </si>
  <si>
    <t>12/03/2008</t>
  </si>
  <si>
    <t>12/04/2008</t>
  </si>
  <si>
    <t>12/05/2008</t>
  </si>
  <si>
    <t>12/08/2008</t>
  </si>
  <si>
    <t>12/09/2008</t>
  </si>
  <si>
    <t>12/10/2008</t>
  </si>
  <si>
    <t>12/11/2008</t>
  </si>
  <si>
    <t>12/12/2008</t>
  </si>
  <si>
    <t>12/15/2008</t>
  </si>
  <si>
    <t>12/16/2008</t>
  </si>
  <si>
    <t>12/17/2008</t>
  </si>
  <si>
    <t>12/18/2008</t>
  </si>
  <si>
    <t>12/19/2008</t>
  </si>
  <si>
    <t>12/22/2008</t>
  </si>
  <si>
    <t>12/23/2008</t>
  </si>
  <si>
    <t>12/24/2008</t>
  </si>
  <si>
    <t>12/26/2008</t>
  </si>
  <si>
    <t>12/29/2008</t>
  </si>
  <si>
    <t>12/30/2008</t>
  </si>
  <si>
    <t>12/31/2008</t>
  </si>
  <si>
    <t>01/02/2009</t>
  </si>
  <si>
    <t>01/05/2009</t>
  </si>
  <si>
    <t>01/06/2009</t>
  </si>
  <si>
    <t>01/07/2009</t>
  </si>
  <si>
    <t>01/08/2009</t>
  </si>
  <si>
    <t>01/09/2009</t>
  </si>
  <si>
    <t>01/12/2009</t>
  </si>
  <si>
    <t>01/13/2009</t>
  </si>
  <si>
    <t>01/14/2009</t>
  </si>
  <si>
    <t>01/15/2009</t>
  </si>
  <si>
    <t>01/16/2009</t>
  </si>
  <si>
    <t>01/20/2009</t>
  </si>
  <si>
    <t>01/21/2009</t>
  </si>
  <si>
    <t>01/22/2009</t>
  </si>
  <si>
    <t>01/23/2009</t>
  </si>
  <si>
    <t>01/26/2009</t>
  </si>
  <si>
    <t>01/27/2009</t>
  </si>
  <si>
    <t>01/28/2009</t>
  </si>
  <si>
    <t>01/29/2009</t>
  </si>
  <si>
    <t>01/30/2009</t>
  </si>
  <si>
    <t>02/02/2009</t>
  </si>
  <si>
    <t>02/03/2009</t>
  </si>
  <si>
    <t>02/04/2009</t>
  </si>
  <si>
    <t>02/05/2009</t>
  </si>
  <si>
    <t>02/06/2009</t>
  </si>
  <si>
    <t>02/09/2009</t>
  </si>
  <si>
    <t>02/10/2009</t>
  </si>
  <si>
    <t>02/11/2009</t>
  </si>
  <si>
    <t>02/12/2009</t>
  </si>
  <si>
    <t>02/13/2009</t>
  </si>
  <si>
    <t>02/17/2009</t>
  </si>
  <si>
    <t>02/18/2009</t>
  </si>
  <si>
    <t>02/19/2009</t>
  </si>
  <si>
    <t>02/20/2009</t>
  </si>
  <si>
    <t>02/23/2009</t>
  </si>
  <si>
    <t>02/24/2009</t>
  </si>
  <si>
    <t>02/25/2009</t>
  </si>
  <si>
    <t>02/26/2009</t>
  </si>
  <si>
    <t>02/27/2009</t>
  </si>
  <si>
    <t>03/02/2009</t>
  </si>
  <si>
    <t>03/03/2009</t>
  </si>
  <si>
    <t>03/04/2009</t>
  </si>
  <si>
    <t>03/05/2009</t>
  </si>
  <si>
    <t>03/06/2009</t>
  </si>
  <si>
    <t>03/09/2009</t>
  </si>
  <si>
    <t>03/10/2009</t>
  </si>
  <si>
    <t>03/11/2009</t>
  </si>
  <si>
    <t>03/12/2009</t>
  </si>
  <si>
    <t>03/13/2009</t>
  </si>
  <si>
    <t>03/16/2009</t>
  </si>
  <si>
    <t>03/17/2009</t>
  </si>
  <si>
    <t>03/18/2009</t>
  </si>
  <si>
    <t>03/19/2009</t>
  </si>
  <si>
    <t>03/20/2009</t>
  </si>
  <si>
    <t>03/23/2009</t>
  </si>
  <si>
    <t>03/24/2009</t>
  </si>
  <si>
    <t>03/25/2009</t>
  </si>
  <si>
    <t>03/26/2009</t>
  </si>
  <si>
    <t>03/27/2009</t>
  </si>
  <si>
    <t>03/30/2009</t>
  </si>
  <si>
    <t>03/31/2009</t>
  </si>
  <si>
    <t>04/01/2009</t>
  </si>
  <si>
    <t>04/02/2009</t>
  </si>
  <si>
    <t>04/03/2009</t>
  </si>
  <si>
    <t>04/06/2009</t>
  </si>
  <si>
    <t>04/07/2009</t>
  </si>
  <si>
    <t>04/08/2009</t>
  </si>
  <si>
    <t>04/09/2009</t>
  </si>
  <si>
    <t>04/10/2009</t>
  </si>
  <si>
    <t>04/13/2009</t>
  </si>
  <si>
    <t>04/14/2009</t>
  </si>
  <si>
    <t>04/15/2009</t>
  </si>
  <si>
    <t>04/16/2009</t>
  </si>
  <si>
    <t>04/17/2009</t>
  </si>
  <si>
    <t>04/20/2009</t>
  </si>
  <si>
    <t>04/21/2009</t>
  </si>
  <si>
    <t>04/22/2009</t>
  </si>
  <si>
    <t>04/23/2009</t>
  </si>
  <si>
    <t>04/24/2009</t>
  </si>
  <si>
    <t>04/27/2009</t>
  </si>
  <si>
    <t>04/28/2009</t>
  </si>
  <si>
    <t>04/29/2009</t>
  </si>
  <si>
    <t>04/30/2009</t>
  </si>
  <si>
    <t>05/01/2009</t>
  </si>
  <si>
    <t>05/04/2009</t>
  </si>
  <si>
    <t>05/05/2009</t>
  </si>
  <si>
    <t>05/06/2009</t>
  </si>
  <si>
    <t>05/07/2009</t>
  </si>
  <si>
    <t>05/08/2009</t>
  </si>
  <si>
    <t>05/11/2009</t>
  </si>
  <si>
    <t>05/12/2009</t>
  </si>
  <si>
    <t>05/13/2009</t>
  </si>
  <si>
    <t>05/14/2009</t>
  </si>
  <si>
    <t>05/15/2009</t>
  </si>
  <si>
    <t>05/18/2009</t>
  </si>
  <si>
    <t>05/19/2009</t>
  </si>
  <si>
    <t>05/20/2009</t>
  </si>
  <si>
    <t>05/21/2009</t>
  </si>
  <si>
    <t>05/22/2009</t>
  </si>
  <si>
    <t>05/26/2009</t>
  </si>
  <si>
    <t>05/27/2009</t>
  </si>
  <si>
    <t>05/28/2009</t>
  </si>
  <si>
    <t>05/29/2009</t>
  </si>
  <si>
    <t>06/01/2009</t>
  </si>
  <si>
    <t>06/02/2009</t>
  </si>
  <si>
    <t>06/03/2009</t>
  </si>
  <si>
    <t>06/04/2009</t>
  </si>
  <si>
    <t>06/05/2009</t>
  </si>
  <si>
    <t>06/08/2009</t>
  </si>
  <si>
    <t>06/09/2009</t>
  </si>
  <si>
    <t>06/10/2009</t>
  </si>
  <si>
    <t>06/11/2009</t>
  </si>
  <si>
    <t>06/12/2009</t>
  </si>
  <si>
    <t>06/15/2009</t>
  </si>
  <si>
    <t>06/16/2009</t>
  </si>
  <si>
    <t>06/17/2009</t>
  </si>
  <si>
    <t>06/18/2009</t>
  </si>
  <si>
    <t>06/19/2009</t>
  </si>
  <si>
    <t>06/22/2009</t>
  </si>
  <si>
    <t>06/23/2009</t>
  </si>
  <si>
    <t>06/24/2009</t>
  </si>
  <si>
    <t>06/25/2009</t>
  </si>
  <si>
    <t>06/26/2009</t>
  </si>
  <si>
    <t>06/29/2009</t>
  </si>
  <si>
    <t>06/30/2009</t>
  </si>
  <si>
    <t>07/01/2009</t>
  </si>
  <si>
    <t>07/02/2009</t>
  </si>
  <si>
    <t>07/03/2009</t>
  </si>
  <si>
    <t>07/06/2009</t>
  </si>
  <si>
    <t>07/07/2009</t>
  </si>
  <si>
    <t>07/08/2009</t>
  </si>
  <si>
    <t>07/09/2009</t>
  </si>
  <si>
    <t>07/10/2009</t>
  </si>
  <si>
    <t>07/13/2009</t>
  </si>
  <si>
    <t>07/14/2009</t>
  </si>
  <si>
    <t>07/15/2009</t>
  </si>
  <si>
    <t>07/16/2009</t>
  </si>
  <si>
    <t>07/17/2009</t>
  </si>
  <si>
    <t>07/20/2009</t>
  </si>
  <si>
    <t>07/21/2009</t>
  </si>
  <si>
    <t>07/22/2009</t>
  </si>
  <si>
    <t>07/23/2009</t>
  </si>
  <si>
    <t>07/24/2009</t>
  </si>
  <si>
    <t>07/27/2009</t>
  </si>
  <si>
    <t>07/28/2009</t>
  </si>
  <si>
    <t>07/29/2009</t>
  </si>
  <si>
    <t>07/30/2009</t>
  </si>
  <si>
    <t>07/31/2009</t>
  </si>
  <si>
    <t>08/03/2009</t>
  </si>
  <si>
    <t>08/04/2009</t>
  </si>
  <si>
    <t>08/05/2009</t>
  </si>
  <si>
    <t>08/06/2009</t>
  </si>
  <si>
    <t>08/07/2009</t>
  </si>
  <si>
    <t>08/10/2009</t>
  </si>
  <si>
    <t>08/11/2009</t>
  </si>
  <si>
    <t>08/12/2009</t>
  </si>
  <si>
    <t>08/13/2009</t>
  </si>
  <si>
    <t>08/14/2009</t>
  </si>
  <si>
    <t>08/17/2009</t>
  </si>
  <si>
    <t>08/18/2009</t>
  </si>
  <si>
    <t>08/19/2009</t>
  </si>
  <si>
    <t>08/20/2009</t>
  </si>
  <si>
    <t>08/21/2009</t>
  </si>
  <si>
    <t>08/24/2009</t>
  </si>
  <si>
    <t>08/25/2009</t>
  </si>
  <si>
    <t>08/26/2009</t>
  </si>
  <si>
    <t>08/27/2009</t>
  </si>
  <si>
    <t>08/28/2009</t>
  </si>
  <si>
    <t>08/31/2009</t>
  </si>
  <si>
    <t>09/01/2009</t>
  </si>
  <si>
    <t>09/02/2009</t>
  </si>
  <si>
    <t>09/03/2009</t>
  </si>
  <si>
    <t>09/04/2009</t>
  </si>
  <si>
    <t>09/08/2009</t>
  </si>
  <si>
    <t>09/09/2009</t>
  </si>
  <si>
    <t>09/10/2009</t>
  </si>
  <si>
    <t>09/11/2009</t>
  </si>
  <si>
    <t>09/14/2009</t>
  </si>
  <si>
    <t>09/15/2009</t>
  </si>
  <si>
    <t>09/16/2009</t>
  </si>
  <si>
    <t>09/17/2009</t>
  </si>
  <si>
    <t>09/18/2009</t>
  </si>
  <si>
    <t>09/21/2009</t>
  </si>
  <si>
    <t>09/22/2009</t>
  </si>
  <si>
    <t>09/23/2009</t>
  </si>
  <si>
    <t>09/24/2009</t>
  </si>
  <si>
    <t>09/25/2009</t>
  </si>
  <si>
    <t>09/28/2009</t>
  </si>
  <si>
    <t>09/29/2009</t>
  </si>
  <si>
    <t>09/30/2009</t>
  </si>
  <si>
    <t>10/01/2009</t>
  </si>
  <si>
    <t>10/02/2009</t>
  </si>
  <si>
    <t>10/05/2009</t>
  </si>
  <si>
    <t>10/06/2009</t>
  </si>
  <si>
    <t>10/07/2009</t>
  </si>
  <si>
    <t>10/08/2009</t>
  </si>
  <si>
    <t>10/09/2009</t>
  </si>
  <si>
    <t>10/13/2009</t>
  </si>
  <si>
    <t>10/14/2009</t>
  </si>
  <si>
    <t>10/15/2009</t>
  </si>
  <si>
    <t>10/16/2009</t>
  </si>
  <si>
    <t>10/19/2009</t>
  </si>
  <si>
    <t>10/20/2009</t>
  </si>
  <si>
    <t>10/21/2009</t>
  </si>
  <si>
    <t>10/22/2009</t>
  </si>
  <si>
    <t>10/23/2009</t>
  </si>
  <si>
    <t>10/26/2009</t>
  </si>
  <si>
    <t>10/27/2009</t>
  </si>
  <si>
    <t>10/28/2009</t>
  </si>
  <si>
    <t>10/29/2009</t>
  </si>
  <si>
    <t>10/30/2009</t>
  </si>
  <si>
    <t>11/02/2009</t>
  </si>
  <si>
    <t>11/03/2009</t>
  </si>
  <si>
    <t>11/04/2009</t>
  </si>
  <si>
    <t>11/05/2009</t>
  </si>
  <si>
    <t>11/06/2009</t>
  </si>
  <si>
    <t>11/09/2009</t>
  </si>
  <si>
    <t>11/10/2009</t>
  </si>
  <si>
    <t>11/12/2009</t>
  </si>
  <si>
    <t>11/13/2009</t>
  </si>
  <si>
    <t>11/16/2009</t>
  </si>
  <si>
    <t>11/17/2009</t>
  </si>
  <si>
    <t>11/18/2009</t>
  </si>
  <si>
    <t>11/19/2009</t>
  </si>
  <si>
    <t>11/20/2009</t>
  </si>
  <si>
    <t>11/23/2009</t>
  </si>
  <si>
    <t>11/24/2009</t>
  </si>
  <si>
    <t>11/25/2009</t>
  </si>
  <si>
    <t>11/27/2009</t>
  </si>
  <si>
    <t>11/30/2009</t>
  </si>
  <si>
    <t>12/01/2009</t>
  </si>
  <si>
    <t>12/02/2009</t>
  </si>
  <si>
    <t>12/03/2009</t>
  </si>
  <si>
    <t>12/04/2009</t>
  </si>
  <si>
    <t>12/07/2009</t>
  </si>
  <si>
    <t>12/08/2009</t>
  </si>
  <si>
    <t>12/09/2009</t>
  </si>
  <si>
    <t>12/10/2009</t>
  </si>
  <si>
    <t>12/11/2009</t>
  </si>
  <si>
    <t>12/14/2009</t>
  </si>
  <si>
    <t>12/15/2009</t>
  </si>
  <si>
    <t>12/16/2009</t>
  </si>
  <si>
    <t>12/17/2009</t>
  </si>
  <si>
    <t>12/18/2009</t>
  </si>
  <si>
    <t>12/21/2009</t>
  </si>
  <si>
    <t>12/22/2009</t>
  </si>
  <si>
    <t>12/23/2009</t>
  </si>
  <si>
    <t>12/24/2009</t>
  </si>
  <si>
    <t>12/25/2009</t>
  </si>
  <si>
    <t>12/28/2009</t>
  </si>
  <si>
    <t>12/29/2009</t>
  </si>
  <si>
    <t>12/30/2009</t>
  </si>
  <si>
    <t>12/31/2009</t>
  </si>
  <si>
    <t>01/04/2010</t>
  </si>
  <si>
    <t>01/05/2010</t>
  </si>
  <si>
    <t>01/06/2010</t>
  </si>
  <si>
    <t>01/07/2010</t>
  </si>
  <si>
    <t>01/08/2010</t>
  </si>
  <si>
    <t>01/11/2010</t>
  </si>
  <si>
    <t>01/12/2010</t>
  </si>
  <si>
    <t>01/13/2010</t>
  </si>
  <si>
    <t>01/14/2010</t>
  </si>
  <si>
    <t>01/19/2010</t>
  </si>
  <si>
    <t>01/20/2010</t>
  </si>
  <si>
    <t>01/21/2010</t>
  </si>
  <si>
    <t>01/22/2010</t>
  </si>
  <si>
    <t>01/25/2010</t>
  </si>
  <si>
    <t>01/26/2010</t>
  </si>
  <si>
    <t>01/27/2010</t>
  </si>
  <si>
    <t>01/28/2010</t>
  </si>
  <si>
    <t>01/29/2010</t>
  </si>
  <si>
    <t>02/01/2010</t>
  </si>
  <si>
    <t>02/02/2010</t>
  </si>
  <si>
    <t>02/03/2010</t>
  </si>
  <si>
    <t>02/04/2010</t>
  </si>
  <si>
    <t>02/05/2010</t>
  </si>
  <si>
    <t>02/08/2010</t>
  </si>
  <si>
    <t>02/09/2010</t>
  </si>
  <si>
    <t>02/10/2010</t>
  </si>
  <si>
    <t>02/11/2010</t>
  </si>
  <si>
    <t>02/12/2010</t>
  </si>
  <si>
    <t>02/16/2010</t>
  </si>
  <si>
    <t>02/17/2010</t>
  </si>
  <si>
    <t>02/18/2010</t>
  </si>
  <si>
    <t>02/19/2010</t>
  </si>
  <si>
    <t>02/22/2010</t>
  </si>
  <si>
    <t>02/23/2010</t>
  </si>
  <si>
    <t>02/24/2010</t>
  </si>
  <si>
    <t>02/25/2010</t>
  </si>
  <si>
    <t>02/26/2010</t>
  </si>
  <si>
    <t>03/01/2010</t>
  </si>
  <si>
    <t>03/02/2010</t>
  </si>
  <si>
    <t>03/03/2010</t>
  </si>
  <si>
    <t>03/04/2010</t>
  </si>
  <si>
    <t>03/05/2010</t>
  </si>
  <si>
    <t>03/08/2010</t>
  </si>
  <si>
    <t>03/09/2010</t>
  </si>
  <si>
    <t>03/10/2010</t>
  </si>
  <si>
    <t>03/11/2010</t>
  </si>
  <si>
    <t>03/12/2010</t>
  </si>
  <si>
    <t>03/15/2010</t>
  </si>
  <si>
    <t>03/16/2010</t>
  </si>
  <si>
    <t>03/17/2010</t>
  </si>
  <si>
    <t>03/18/2010</t>
  </si>
  <si>
    <t>03/19/2010</t>
  </si>
  <si>
    <t>03/22/2010</t>
  </si>
  <si>
    <t>03/23/2010</t>
  </si>
  <si>
    <t>03/24/2010</t>
  </si>
  <si>
    <t>03/25/2010</t>
  </si>
  <si>
    <t>03/26/2010</t>
  </si>
  <si>
    <t>03/29/2010</t>
  </si>
  <si>
    <t>03/30/2010</t>
  </si>
  <si>
    <t>03/31/2010</t>
  </si>
  <si>
    <t>04/02/2010</t>
  </si>
  <si>
    <t>04/05/2010</t>
  </si>
  <si>
    <t>04/06/2010</t>
  </si>
  <si>
    <t>04/07/2010</t>
  </si>
  <si>
    <t>04/08/2010</t>
  </si>
  <si>
    <t>04/09/2010</t>
  </si>
  <si>
    <t>04/12/2010</t>
  </si>
  <si>
    <t>04/13/2010</t>
  </si>
  <si>
    <t>04/14/2010</t>
  </si>
  <si>
    <t>04/15/2010</t>
  </si>
  <si>
    <t>04/16/2010</t>
  </si>
  <si>
    <t>04/19/2010</t>
  </si>
  <si>
    <t>04/20/2010</t>
  </si>
  <si>
    <t>04/21/2010</t>
  </si>
  <si>
    <t>04/22/2010</t>
  </si>
  <si>
    <t>04/23/2010</t>
  </si>
  <si>
    <t>04/26/2010</t>
  </si>
  <si>
    <t>04/27/2010</t>
  </si>
  <si>
    <t>04/28/2010</t>
  </si>
  <si>
    <t>04/29/2010</t>
  </si>
  <si>
    <t>04/30/2010</t>
  </si>
  <si>
    <t>05/03/2010</t>
  </si>
  <si>
    <t>05/04/2010</t>
  </si>
  <si>
    <t>05/05/2010</t>
  </si>
  <si>
    <t>05/06/2010</t>
  </si>
  <si>
    <t>05/07/2010</t>
  </si>
  <si>
    <t>05/10/2010</t>
  </si>
  <si>
    <t>05/11/2010</t>
  </si>
  <si>
    <t>05/12/2010</t>
  </si>
  <si>
    <t>05/13/2010</t>
  </si>
  <si>
    <t>05/14/2010</t>
  </si>
  <si>
    <t>05/17/2010</t>
  </si>
  <si>
    <t>05/18/2010</t>
  </si>
  <si>
    <t>05/19/2010</t>
  </si>
  <si>
    <t>05/20/2010</t>
  </si>
  <si>
    <t>05/21/2010</t>
  </si>
  <si>
    <t>05/24/2010</t>
  </si>
  <si>
    <t>05/25/2010</t>
  </si>
  <si>
    <t>05/26/2010</t>
  </si>
  <si>
    <t>05/27/2010</t>
  </si>
  <si>
    <t>05/28/2010</t>
  </si>
  <si>
    <t>05/31/2010</t>
  </si>
  <si>
    <t>06/01/2010</t>
  </si>
  <si>
    <t>06/02/2010</t>
  </si>
  <si>
    <t>06/03/2010</t>
  </si>
  <si>
    <t>06/04/2010</t>
  </si>
  <si>
    <t>06/07/2010</t>
  </si>
  <si>
    <t>06/08/2010</t>
  </si>
  <si>
    <t>06/09/2010</t>
  </si>
  <si>
    <t>06/10/2010</t>
  </si>
  <si>
    <t>06/11/2010</t>
  </si>
  <si>
    <t>06/14/2010</t>
  </si>
  <si>
    <t>06/15/2010</t>
  </si>
  <si>
    <t>06/16/2010</t>
  </si>
  <si>
    <t>06/17/2010</t>
  </si>
  <si>
    <t>06/18/2010</t>
  </si>
  <si>
    <t>06/21/2010</t>
  </si>
  <si>
    <t>06/22/2010</t>
  </si>
  <si>
    <t>06/23/2010</t>
  </si>
  <si>
    <t>06/24/2010</t>
  </si>
  <si>
    <t>06/25/2010</t>
  </si>
  <si>
    <t>06/28/2010</t>
  </si>
  <si>
    <t>06/29/2010</t>
  </si>
  <si>
    <t>06/30/2010</t>
  </si>
  <si>
    <t>07/01/2010</t>
  </si>
  <si>
    <t>07/02/2010</t>
  </si>
  <si>
    <t>07/05/2010</t>
  </si>
  <si>
    <t>07/06/2010</t>
  </si>
  <si>
    <t>07/07/2010</t>
  </si>
  <si>
    <t>07/08/2010</t>
  </si>
  <si>
    <t>07/09/2010</t>
  </si>
  <si>
    <t>07/12/2010</t>
  </si>
  <si>
    <t>07/13/2010</t>
  </si>
  <si>
    <t>07/14/2010</t>
  </si>
  <si>
    <t>07/15/2010</t>
  </si>
  <si>
    <t>07/16/2010</t>
  </si>
  <si>
    <t>07/19/2010</t>
  </si>
  <si>
    <t>07/20/2010</t>
  </si>
  <si>
    <t>07/21/2010</t>
  </si>
  <si>
    <t>07/22/2010</t>
  </si>
  <si>
    <t>07/23/2010</t>
  </si>
  <si>
    <t>07/26/2010</t>
  </si>
  <si>
    <t>07/27/2010</t>
  </si>
  <si>
    <t>07/28/2010</t>
  </si>
  <si>
    <t>07/29/2010</t>
  </si>
  <si>
    <t>07/30/2010</t>
  </si>
  <si>
    <t>08/02/2010</t>
  </si>
  <si>
    <t>08/03/2010</t>
  </si>
  <si>
    <t>08/04/2010</t>
  </si>
  <si>
    <t>08/05/2010</t>
  </si>
  <si>
    <t>08/06/2010</t>
  </si>
  <si>
    <t>08/09/2010</t>
  </si>
  <si>
    <t>08/10/2010</t>
  </si>
  <si>
    <t>08/11/2010</t>
  </si>
  <si>
    <t>08/12/2010</t>
  </si>
  <si>
    <t>08/13/2010</t>
  </si>
  <si>
    <t>08/16/2010</t>
  </si>
  <si>
    <t>08/17/2010</t>
  </si>
  <si>
    <t>08/18/2010</t>
  </si>
  <si>
    <t>08/19/2010</t>
  </si>
  <si>
    <t>08/20/2010</t>
  </si>
  <si>
    <t>08/23/2010</t>
  </si>
  <si>
    <t>08/24/2010</t>
  </si>
  <si>
    <t>08/25/2010</t>
  </si>
  <si>
    <t>08/26/2010</t>
  </si>
  <si>
    <t>08/27/2010</t>
  </si>
  <si>
    <t>08/30/2010</t>
  </si>
  <si>
    <t>08/31/2010</t>
  </si>
  <si>
    <t>09/01/2010</t>
  </si>
  <si>
    <t>09/02/2010</t>
  </si>
  <si>
    <t>09/03/2010</t>
  </si>
  <si>
    <t>09/06/2010</t>
  </si>
  <si>
    <t>09/07/2010</t>
  </si>
  <si>
    <t>09/08/2010</t>
  </si>
  <si>
    <t>09/09/2010</t>
  </si>
  <si>
    <t>09/10/2010</t>
  </si>
  <si>
    <t>09/13/2010</t>
  </si>
  <si>
    <t>09/14/2010</t>
  </si>
  <si>
    <t>09/15/2010</t>
  </si>
  <si>
    <t>09/16/2010</t>
  </si>
  <si>
    <t>09/17/2010</t>
  </si>
  <si>
    <t>09/20/2010</t>
  </si>
  <si>
    <t>09/21/2010</t>
  </si>
  <si>
    <t>09/22/2010</t>
  </si>
  <si>
    <t>09/23/2010</t>
  </si>
  <si>
    <t>09/24/2010</t>
  </si>
  <si>
    <t>09/27/2010</t>
  </si>
  <si>
    <t>09/28/2010</t>
  </si>
  <si>
    <t>09/29/2010</t>
  </si>
  <si>
    <t>09/30/2010</t>
  </si>
  <si>
    <t>10/01/2010</t>
  </si>
  <si>
    <t>10/04/2010</t>
  </si>
  <si>
    <t>10/05/2010</t>
  </si>
  <si>
    <t>10/06/2010</t>
  </si>
  <si>
    <t>10/07/2010</t>
  </si>
  <si>
    <t>10/08/2010</t>
  </si>
  <si>
    <t>10/11/2010</t>
  </si>
  <si>
    <t>10/12/2010</t>
  </si>
  <si>
    <t>10/13/2010</t>
  </si>
  <si>
    <t>10/14/2010</t>
  </si>
  <si>
    <t>10/15/2010</t>
  </si>
  <si>
    <t>10/18/2010</t>
  </si>
  <si>
    <t>10/19/2010</t>
  </si>
  <si>
    <t>10/20/2010</t>
  </si>
  <si>
    <t>10/21/2010</t>
  </si>
  <si>
    <t>10/22/2010</t>
  </si>
  <si>
    <t>10/25/2010</t>
  </si>
  <si>
    <t>10/26/2010</t>
  </si>
  <si>
    <t>10/27/2010</t>
  </si>
  <si>
    <t>10/28/2010</t>
  </si>
  <si>
    <t>10/29/2010</t>
  </si>
  <si>
    <t>10/31/2010</t>
  </si>
  <si>
    <t>11/01/2010</t>
  </si>
  <si>
    <t>11/02/2010</t>
  </si>
  <si>
    <t>11/03/2010</t>
  </si>
  <si>
    <t>11/04/2010</t>
  </si>
  <si>
    <t>11/05/2010</t>
  </si>
  <si>
    <t>11/08/2010</t>
  </si>
  <si>
    <t>11/09/2010</t>
  </si>
  <si>
    <t>11/10/2010</t>
  </si>
  <si>
    <t>11/11/2010</t>
  </si>
  <si>
    <t>11/12/2010</t>
  </si>
  <si>
    <t>11/15/2010</t>
  </si>
  <si>
    <t>11/16/2010</t>
  </si>
  <si>
    <t>11/17/2010</t>
  </si>
  <si>
    <t>11/18/2010</t>
  </si>
  <si>
    <t>11/19/2010</t>
  </si>
  <si>
    <t>11/22/2010</t>
  </si>
  <si>
    <t>11/23/2010</t>
  </si>
  <si>
    <t>11/24/2010</t>
  </si>
  <si>
    <t>11/25/2010</t>
  </si>
  <si>
    <t>11/26/2010</t>
  </si>
  <si>
    <t>11/29/2010</t>
  </si>
  <si>
    <t>11/30/2010</t>
  </si>
  <si>
    <t>12/01/2010</t>
  </si>
  <si>
    <t>12/02/2010</t>
  </si>
  <si>
    <t>12/03/2010</t>
  </si>
  <si>
    <t>12/06/2010</t>
  </si>
  <si>
    <t>12/07/2010</t>
  </si>
  <si>
    <t>12/08/2010</t>
  </si>
  <si>
    <t>12/09/2010</t>
  </si>
  <si>
    <t>12/10/2010</t>
  </si>
  <si>
    <t>12/13/2010</t>
  </si>
  <si>
    <t>12/14/2010</t>
  </si>
  <si>
    <t>12/15/2010</t>
  </si>
  <si>
    <t>12/16/2010</t>
  </si>
  <si>
    <t>12/17/2010</t>
  </si>
  <si>
    <t>12/20/2010</t>
  </si>
  <si>
    <t>12/21/2010</t>
  </si>
  <si>
    <t>12/22/2010</t>
  </si>
  <si>
    <t>12/23/2010</t>
  </si>
  <si>
    <t>12/24/2010</t>
  </si>
  <si>
    <t>12/27/2010</t>
  </si>
  <si>
    <t>12/28/2010</t>
  </si>
  <si>
    <t>12/29/2010</t>
  </si>
  <si>
    <t>12/30/2010</t>
  </si>
  <si>
    <t>12/31/2010</t>
  </si>
  <si>
    <t>01/03/2011</t>
  </si>
  <si>
    <t>01/04/2011</t>
  </si>
  <si>
    <t>01/05/2011</t>
  </si>
  <si>
    <t>01/06/2011</t>
  </si>
  <si>
    <t>01/07/2011</t>
  </si>
  <si>
    <t>01/10/2011</t>
  </si>
  <si>
    <t>01/11/2011</t>
  </si>
  <si>
    <t>01/12/2011</t>
  </si>
  <si>
    <t>01/13/2011</t>
  </si>
  <si>
    <t>01/14/2011</t>
  </si>
  <si>
    <t>01/17/2011</t>
  </si>
  <si>
    <t>01/18/2011</t>
  </si>
  <si>
    <t>01/19/2011</t>
  </si>
  <si>
    <t>01/20/2011</t>
  </si>
  <si>
    <t>01/21/2011</t>
  </si>
  <si>
    <t>01/24/2011</t>
  </si>
  <si>
    <t>01/25/2011</t>
  </si>
  <si>
    <t>01/26/2011</t>
  </si>
  <si>
    <t>01/27/2011</t>
  </si>
  <si>
    <t>01/28/2011</t>
  </si>
  <si>
    <t>01/31/2011</t>
  </si>
  <si>
    <t>02/01/2011</t>
  </si>
  <si>
    <t>02/02/2011</t>
  </si>
  <si>
    <t>02/03/2011</t>
  </si>
  <si>
    <t>02/04/2011</t>
  </si>
  <si>
    <t>02/07/2011</t>
  </si>
  <si>
    <t>02/08/2011</t>
  </si>
  <si>
    <t>02/09/2011</t>
  </si>
  <si>
    <t>02/10/2011</t>
  </si>
  <si>
    <t>02/11/2011</t>
  </si>
  <si>
    <t>02/14/2011</t>
  </si>
  <si>
    <t>02/15/2011</t>
  </si>
  <si>
    <t>02/16/2011</t>
  </si>
  <si>
    <t>02/17/2011</t>
  </si>
  <si>
    <t>02/18/2011</t>
  </si>
  <si>
    <t>02/21/2011</t>
  </si>
  <si>
    <t>02/22/2011</t>
  </si>
  <si>
    <t>02/23/2011</t>
  </si>
  <si>
    <t>02/24/2011</t>
  </si>
  <si>
    <t>02/25/2011</t>
  </si>
  <si>
    <t>02/28/2011</t>
  </si>
  <si>
    <t>03/01/2011</t>
  </si>
  <si>
    <t>03/02/2011</t>
  </si>
  <si>
    <t>03/03/2011</t>
  </si>
  <si>
    <t>03/04/2011</t>
  </si>
  <si>
    <t>03/07/2011</t>
  </si>
  <si>
    <t>03/08/2011</t>
  </si>
  <si>
    <t>03/09/2011</t>
  </si>
  <si>
    <t>03/10/2011</t>
  </si>
  <si>
    <t>03/11/2011</t>
  </si>
  <si>
    <t>03/14/2011</t>
  </si>
  <si>
    <t>03/15/2011</t>
  </si>
  <si>
    <t>03/16/2011</t>
  </si>
  <si>
    <t>03/17/2011</t>
  </si>
  <si>
    <t>03/18/2011</t>
  </si>
  <si>
    <t>03/21/2011</t>
  </si>
  <si>
    <t>03/22/2011</t>
  </si>
  <si>
    <t>03/23/2011</t>
  </si>
  <si>
    <t>03/24/2011</t>
  </si>
  <si>
    <t>03/25/2011</t>
  </si>
  <si>
    <t>03/28/2011</t>
  </si>
  <si>
    <t>03/29/2011</t>
  </si>
  <si>
    <t>03/30/2011</t>
  </si>
  <si>
    <t>03/31/2011</t>
  </si>
  <si>
    <t>04/01/2011</t>
  </si>
  <si>
    <t>04/04/2011</t>
  </si>
  <si>
    <t>04/05/2011</t>
  </si>
  <si>
    <t>04/06/2011</t>
  </si>
  <si>
    <t>04/07/2011</t>
  </si>
  <si>
    <t>04/08/2011</t>
  </si>
  <si>
    <t>04/11/2011</t>
  </si>
  <si>
    <t>04/12/2011</t>
  </si>
  <si>
    <t>04/13/2011</t>
  </si>
  <si>
    <t>04/14/2011</t>
  </si>
  <si>
    <t>04/15/2011</t>
  </si>
  <si>
    <t>04/18/2011</t>
  </si>
  <si>
    <t>04/19/2011</t>
  </si>
  <si>
    <t>04/20/2011</t>
  </si>
  <si>
    <t>04/21/2011</t>
  </si>
  <si>
    <t>04/22/2011</t>
  </si>
  <si>
    <t>04/25/2011</t>
  </si>
  <si>
    <t>04/26/2011</t>
  </si>
  <si>
    <t>04/27/2011</t>
  </si>
  <si>
    <t>04/28/2011</t>
  </si>
  <si>
    <t>04/29/2011</t>
  </si>
  <si>
    <t>04/30/2011</t>
  </si>
  <si>
    <t>05/02/2011</t>
  </si>
  <si>
    <t>05/03/2011</t>
  </si>
  <si>
    <t>05/04/2011</t>
  </si>
  <si>
    <t>05/05/2011</t>
  </si>
  <si>
    <t>05/06/2011</t>
  </si>
  <si>
    <t>05/09/2011</t>
  </si>
  <si>
    <t>05/10/2011</t>
  </si>
  <si>
    <t>05/11/2011</t>
  </si>
  <si>
    <t>05/12/2011</t>
  </si>
  <si>
    <t>05/13/2011</t>
  </si>
  <si>
    <t>05/16/2011</t>
  </si>
  <si>
    <t>05/17/2011</t>
  </si>
  <si>
    <t>05/18/2011</t>
  </si>
  <si>
    <t>05/19/2011</t>
  </si>
  <si>
    <t>05/20/2011</t>
  </si>
  <si>
    <t>05/23/2011</t>
  </si>
  <si>
    <t>05/24/2011</t>
  </si>
  <si>
    <t>05/25/2011</t>
  </si>
  <si>
    <t>05/26/2011</t>
  </si>
  <si>
    <t>05/27/2011</t>
  </si>
  <si>
    <t>05/30/2011</t>
  </si>
  <si>
    <t>05/31/2011</t>
  </si>
  <si>
    <t>06/01/2011</t>
  </si>
  <si>
    <t>06/02/2011</t>
  </si>
  <si>
    <t>06/03/2011</t>
  </si>
  <si>
    <t>06/06/2011</t>
  </si>
  <si>
    <t>06/07/2011</t>
  </si>
  <si>
    <t>06/08/2011</t>
  </si>
  <si>
    <t>06/09/2011</t>
  </si>
  <si>
    <t>06/10/2011</t>
  </si>
  <si>
    <t>06/13/2011</t>
  </si>
  <si>
    <t>06/14/2011</t>
  </si>
  <si>
    <t>06/15/2011</t>
  </si>
  <si>
    <t>06/16/2011</t>
  </si>
  <si>
    <t>06/17/2011</t>
  </si>
  <si>
    <t>06/20/2011</t>
  </si>
  <si>
    <t>06/21/2011</t>
  </si>
  <si>
    <t>06/22/2011</t>
  </si>
  <si>
    <t>06/23/2011</t>
  </si>
  <si>
    <t>06/24/2011</t>
  </si>
  <si>
    <t>06/27/2011</t>
  </si>
  <si>
    <t>06/28/2011</t>
  </si>
  <si>
    <t>06/29/2011</t>
  </si>
  <si>
    <t>06/30/2011</t>
  </si>
  <si>
    <t>07/01/2011</t>
  </si>
  <si>
    <t>07/04/2011</t>
  </si>
  <si>
    <t>07/05/2011</t>
  </si>
  <si>
    <t>07/06/2011</t>
  </si>
  <si>
    <t>07/07/2011</t>
  </si>
  <si>
    <t>07/08/2011</t>
  </si>
  <si>
    <t>07/11/2011</t>
  </si>
  <si>
    <t>07/12/2011</t>
  </si>
  <si>
    <t>07/13/2011</t>
  </si>
  <si>
    <t>07/14/2011</t>
  </si>
  <si>
    <t>07/15/2011</t>
  </si>
  <si>
    <t>07/18/2011</t>
  </si>
  <si>
    <t>07/19/2011</t>
  </si>
  <si>
    <t>07/20/2011</t>
  </si>
  <si>
    <t>07/21/2011</t>
  </si>
  <si>
    <t>07/22/2011</t>
  </si>
  <si>
    <t>07/25/2011</t>
  </si>
  <si>
    <t>07/26/2011</t>
  </si>
  <si>
    <t>07/27/2011</t>
  </si>
  <si>
    <t>07/28/2011</t>
  </si>
  <si>
    <t>07/29/2011</t>
  </si>
  <si>
    <t>07/31/2011</t>
  </si>
  <si>
    <t>08/01/2011</t>
  </si>
  <si>
    <t>08/02/2011</t>
  </si>
  <si>
    <t>08/03/2011</t>
  </si>
  <si>
    <t>08/04/2011</t>
  </si>
  <si>
    <t>08/05/2011</t>
  </si>
  <si>
    <t>08/08/2011</t>
  </si>
  <si>
    <t>08/09/2011</t>
  </si>
  <si>
    <t>08/10/2011</t>
  </si>
  <si>
    <t>08/11/2011</t>
  </si>
  <si>
    <t>08/12/2011</t>
  </si>
  <si>
    <t>08/15/2011</t>
  </si>
  <si>
    <t>08/16/2011</t>
  </si>
  <si>
    <t>08/17/2011</t>
  </si>
  <si>
    <t>08/18/2011</t>
  </si>
  <si>
    <t>08/19/2011</t>
  </si>
  <si>
    <t>08/22/2011</t>
  </si>
  <si>
    <t>08/23/2011</t>
  </si>
  <si>
    <t>08/24/2011</t>
  </si>
  <si>
    <t>08/25/2011</t>
  </si>
  <si>
    <t>08/26/2011</t>
  </si>
  <si>
    <t>08/29/2011</t>
  </si>
  <si>
    <t>08/30/2011</t>
  </si>
  <si>
    <t>08/31/2011</t>
  </si>
  <si>
    <t>09/01/2011</t>
  </si>
  <si>
    <t>09/02/2011</t>
  </si>
  <si>
    <t>09/05/2011</t>
  </si>
  <si>
    <t>09/06/2011</t>
  </si>
  <si>
    <t>09/07/2011</t>
  </si>
  <si>
    <t>09/08/2011</t>
  </si>
  <si>
    <t>09/09/2011</t>
  </si>
  <si>
    <t>09/12/2011</t>
  </si>
  <si>
    <t>09/13/2011</t>
  </si>
  <si>
    <t>09/14/2011</t>
  </si>
  <si>
    <t>09/15/2011</t>
  </si>
  <si>
    <t>09/16/2011</t>
  </si>
  <si>
    <t>09/19/2011</t>
  </si>
  <si>
    <t>09/20/2011</t>
  </si>
  <si>
    <t>09/21/2011</t>
  </si>
  <si>
    <t>09/22/2011</t>
  </si>
  <si>
    <t>09/23/2011</t>
  </si>
  <si>
    <t>09/26/2011</t>
  </si>
  <si>
    <t>09/27/2011</t>
  </si>
  <si>
    <t>09/28/2011</t>
  </si>
  <si>
    <t>09/29/2011</t>
  </si>
  <si>
    <t>09/30/2011</t>
  </si>
  <si>
    <t>10/03/2011</t>
  </si>
  <si>
    <t>10/04/2011</t>
  </si>
  <si>
    <t>10/05/2011</t>
  </si>
  <si>
    <t>10/06/2011</t>
  </si>
  <si>
    <t>10/07/2011</t>
  </si>
  <si>
    <t>10/10/2011</t>
  </si>
  <si>
    <t>10/11/2011</t>
  </si>
  <si>
    <t>10/12/2011</t>
  </si>
  <si>
    <t>10/13/2011</t>
  </si>
  <si>
    <t>10/14/2011</t>
  </si>
  <si>
    <t>10/17/2011</t>
  </si>
  <si>
    <t>10/18/2011</t>
  </si>
  <si>
    <t>10/19/2011</t>
  </si>
  <si>
    <t>10/20/2011</t>
  </si>
  <si>
    <t>10/21/2011</t>
  </si>
  <si>
    <t>10/24/2011</t>
  </si>
  <si>
    <t>10/25/2011</t>
  </si>
  <si>
    <t>10/26/2011</t>
  </si>
  <si>
    <t>10/27/2011</t>
  </si>
  <si>
    <t>10/28/2011</t>
  </si>
  <si>
    <t>10/31/2011</t>
  </si>
  <si>
    <t>11/01/2011</t>
  </si>
  <si>
    <t>11/02/2011</t>
  </si>
  <si>
    <t>11/03/2011</t>
  </si>
  <si>
    <t>11/04/2011</t>
  </si>
  <si>
    <t>11/07/2011</t>
  </si>
  <si>
    <t>11/08/2011</t>
  </si>
  <si>
    <t>11/09/2011</t>
  </si>
  <si>
    <t>11/10/2011</t>
  </si>
  <si>
    <t>11/11/2011</t>
  </si>
  <si>
    <t>11/14/2011</t>
  </si>
  <si>
    <t>11/15/2011</t>
  </si>
  <si>
    <t>11/16/2011</t>
  </si>
  <si>
    <t>11/17/2011</t>
  </si>
  <si>
    <t>11/18/2011</t>
  </si>
  <si>
    <t>11/21/2011</t>
  </si>
  <si>
    <t>11/22/2011</t>
  </si>
  <si>
    <t>11/23/2011</t>
  </si>
  <si>
    <t>11/24/2011</t>
  </si>
  <si>
    <t>11/25/2011</t>
  </si>
  <si>
    <t>11/28/2011</t>
  </si>
  <si>
    <t>11/29/2011</t>
  </si>
  <si>
    <t>11/30/2011</t>
  </si>
  <si>
    <t>12/01/2011</t>
  </si>
  <si>
    <t>12/02/2011</t>
  </si>
  <si>
    <t>12/05/2011</t>
  </si>
  <si>
    <t>12/06/2011</t>
  </si>
  <si>
    <t>12/07/2011</t>
  </si>
  <si>
    <t>12/08/2011</t>
  </si>
  <si>
    <t>12/09/2011</t>
  </si>
  <si>
    <t>12/12/2011</t>
  </si>
  <si>
    <t>12/13/2011</t>
  </si>
  <si>
    <t>12/14/2011</t>
  </si>
  <si>
    <t>12/15/2011</t>
  </si>
  <si>
    <t>12/16/2011</t>
  </si>
  <si>
    <t>12/19/2011</t>
  </si>
  <si>
    <t>12/20/2011</t>
  </si>
  <si>
    <t>12/21/2011</t>
  </si>
  <si>
    <t>12/22/2011</t>
  </si>
  <si>
    <t>12/23/2011</t>
  </si>
  <si>
    <t>12/26/2011</t>
  </si>
  <si>
    <t>12/27/2011</t>
  </si>
  <si>
    <t>12/28/2011</t>
  </si>
  <si>
    <t>12/29/2011</t>
  </si>
  <si>
    <t>12/30/2011</t>
  </si>
  <si>
    <t>12/31/2011</t>
  </si>
  <si>
    <t>01/02/2012</t>
  </si>
  <si>
    <t>01/03/2012</t>
  </si>
  <si>
    <t>01/04/2012</t>
  </si>
  <si>
    <t>01/05/2012</t>
  </si>
  <si>
    <t>01/06/2012</t>
  </si>
  <si>
    <t>01/09/2012</t>
  </si>
  <si>
    <t>01/10/2012</t>
  </si>
  <si>
    <t>01/11/2012</t>
  </si>
  <si>
    <t>01/12/2012</t>
  </si>
  <si>
    <t>01/13/2012</t>
  </si>
  <si>
    <t>01/16/2012</t>
  </si>
  <si>
    <t>01/17/2012</t>
  </si>
  <si>
    <t>01/18/2012</t>
  </si>
  <si>
    <t>01/19/2012</t>
  </si>
  <si>
    <t>01/20/2012</t>
  </si>
  <si>
    <t>01/23/2012</t>
  </si>
  <si>
    <t>01/24/2012</t>
  </si>
  <si>
    <t>01/25/2012</t>
  </si>
  <si>
    <t>01/26/2012</t>
  </si>
  <si>
    <t>01/27/2012</t>
  </si>
  <si>
    <t>01/30/2012</t>
  </si>
  <si>
    <t>01/31/2012</t>
  </si>
  <si>
    <t>02/01/2012</t>
  </si>
  <si>
    <t>02/02/2012</t>
  </si>
  <si>
    <t>02/03/2012</t>
  </si>
  <si>
    <t>02/06/2012</t>
  </si>
  <si>
    <t>02/07/2012</t>
  </si>
  <si>
    <t>02/08/2012</t>
  </si>
  <si>
    <t>02/09/2012</t>
  </si>
  <si>
    <t>02/10/2012</t>
  </si>
  <si>
    <t>02/13/2012</t>
  </si>
  <si>
    <t>02/14/2012</t>
  </si>
  <si>
    <t>02/15/2012</t>
  </si>
  <si>
    <t>02/16/2012</t>
  </si>
  <si>
    <t>02/17/2012</t>
  </si>
  <si>
    <t>02/20/2012</t>
  </si>
  <si>
    <t>02/21/2012</t>
  </si>
  <si>
    <t>02/22/2012</t>
  </si>
  <si>
    <t>02/23/2012</t>
  </si>
  <si>
    <t>02/24/2012</t>
  </si>
  <si>
    <t>02/27/2012</t>
  </si>
  <si>
    <t>02/28/2012</t>
  </si>
  <si>
    <t>02/29/2012</t>
  </si>
  <si>
    <t>03/01/2012</t>
  </si>
  <si>
    <t>03/02/2012</t>
  </si>
  <si>
    <t>03/05/2012</t>
  </si>
  <si>
    <t>03/06/2012</t>
  </si>
  <si>
    <t>03/07/2012</t>
  </si>
  <si>
    <t>03/08/2012</t>
  </si>
  <si>
    <t>03/09/2012</t>
  </si>
  <si>
    <t>03/12/2012</t>
  </si>
  <si>
    <t>03/13/2012</t>
  </si>
  <si>
    <t>03/14/2012</t>
  </si>
  <si>
    <t>03/15/2012</t>
  </si>
  <si>
    <t>03/16/2012</t>
  </si>
  <si>
    <t>03/19/2012</t>
  </si>
  <si>
    <t>03/20/2012</t>
  </si>
  <si>
    <t>03/21/2012</t>
  </si>
  <si>
    <t>03/22/2012</t>
  </si>
  <si>
    <t>03/23/2012</t>
  </si>
  <si>
    <t>03/26/2012</t>
  </si>
  <si>
    <t>03/27/2012</t>
  </si>
  <si>
    <t>03/28/2012</t>
  </si>
  <si>
    <t>03/29/2012</t>
  </si>
  <si>
    <t>03/30/2012</t>
  </si>
  <si>
    <t>03/31/2012</t>
  </si>
  <si>
    <t>04/02/2012</t>
  </si>
  <si>
    <t>04/03/2012</t>
  </si>
  <si>
    <t>04/04/2012</t>
  </si>
  <si>
    <t>04/05/2012</t>
  </si>
  <si>
    <t>04/06/2012</t>
  </si>
  <si>
    <t>04/09/2012</t>
  </si>
  <si>
    <t>04/10/2012</t>
  </si>
  <si>
    <t>04/11/2012</t>
  </si>
  <si>
    <t>04/12/2012</t>
  </si>
  <si>
    <t>04/13/2012</t>
  </si>
  <si>
    <t>04/16/2012</t>
  </si>
  <si>
    <t>04/17/2012</t>
  </si>
  <si>
    <t>04/18/2012</t>
  </si>
  <si>
    <t>04/19/2012</t>
  </si>
  <si>
    <t>04/20/2012</t>
  </si>
  <si>
    <t>04/23/2012</t>
  </si>
  <si>
    <t>04/24/2012</t>
  </si>
  <si>
    <t>04/25/2012</t>
  </si>
  <si>
    <t>04/26/2012</t>
  </si>
  <si>
    <t>04/27/2012</t>
  </si>
  <si>
    <t>04/30/2012</t>
  </si>
  <si>
    <t>05/01/2012</t>
  </si>
  <si>
    <t>05/02/2012</t>
  </si>
  <si>
    <t>05/03/2012</t>
  </si>
  <si>
    <t>05/04/2012</t>
  </si>
  <si>
    <t>05/07/2012</t>
  </si>
  <si>
    <t>05/08/2012</t>
  </si>
  <si>
    <t>05/09/2012</t>
  </si>
  <si>
    <t>05/10/2012</t>
  </si>
  <si>
    <t>05/11/2012</t>
  </si>
  <si>
    <t>05/14/2012</t>
  </si>
  <si>
    <t>05/15/2012</t>
  </si>
  <si>
    <t>05/16/2012</t>
  </si>
  <si>
    <t>05/17/2012</t>
  </si>
  <si>
    <t>05/18/2012</t>
  </si>
  <si>
    <t>05/21/2012</t>
  </si>
  <si>
    <t>05/22/2012</t>
  </si>
  <si>
    <t>05/23/2012</t>
  </si>
  <si>
    <t>05/24/2012</t>
  </si>
  <si>
    <t>05/25/2012</t>
  </si>
  <si>
    <t>05/28/2012</t>
  </si>
  <si>
    <t>05/29/2012</t>
  </si>
  <si>
    <t>05/30/2012</t>
  </si>
  <si>
    <t>05/31/2012</t>
  </si>
  <si>
    <t>06/01/2012</t>
  </si>
  <si>
    <t>06/04/2012</t>
  </si>
  <si>
    <t>06/05/2012</t>
  </si>
  <si>
    <t>06/06/2012</t>
  </si>
  <si>
    <t>06/07/2012</t>
  </si>
  <si>
    <t>06/08/2012</t>
  </si>
  <si>
    <t>06/11/2012</t>
  </si>
  <si>
    <t>06/12/2012</t>
  </si>
  <si>
    <t>06/13/2012</t>
  </si>
  <si>
    <t>06/14/2012</t>
  </si>
  <si>
    <t>06/15/2012</t>
  </si>
  <si>
    <t>06/18/2012</t>
  </si>
  <si>
    <t>06/19/2012</t>
  </si>
  <si>
    <t>06/20/2012</t>
  </si>
  <si>
    <t>06/21/2012</t>
  </si>
  <si>
    <t>06/22/2012</t>
  </si>
  <si>
    <t>06/25/2012</t>
  </si>
  <si>
    <t>06/26/2012</t>
  </si>
  <si>
    <t>06/27/2012</t>
  </si>
  <si>
    <t>06/28/2012</t>
  </si>
  <si>
    <t>06/29/2012</t>
  </si>
  <si>
    <t>06/30/2012</t>
  </si>
  <si>
    <t>07/02/2012</t>
  </si>
  <si>
    <t>07/03/2012</t>
  </si>
  <si>
    <t>07/04/2012</t>
  </si>
  <si>
    <t>07/05/2012</t>
  </si>
  <si>
    <t>07/06/2012</t>
  </si>
  <si>
    <t>07/09/2012</t>
  </si>
  <si>
    <t>07/10/2012</t>
  </si>
  <si>
    <t>07/11/2012</t>
  </si>
  <si>
    <t>07/12/2012</t>
  </si>
  <si>
    <t>07/13/2012</t>
  </si>
  <si>
    <t>07/16/2012</t>
  </si>
  <si>
    <t>07/17/2012</t>
  </si>
  <si>
    <t>07/18/2012</t>
  </si>
  <si>
    <t>07/19/2012</t>
  </si>
  <si>
    <t>07/20/2012</t>
  </si>
  <si>
    <t>07/23/2012</t>
  </si>
  <si>
    <t>07/24/2012</t>
  </si>
  <si>
    <t>07/25/2012</t>
  </si>
  <si>
    <t>07/26/2012</t>
  </si>
  <si>
    <t>07/27/2012</t>
  </si>
  <si>
    <t>07/30/2012</t>
  </si>
  <si>
    <t>07/31/2012</t>
  </si>
  <si>
    <t>08/01/2012</t>
  </si>
  <si>
    <t>08/02/2012</t>
  </si>
  <si>
    <t>08/03/2012</t>
  </si>
  <si>
    <t>08/06/2012</t>
  </si>
  <si>
    <t>08/07/2012</t>
  </si>
  <si>
    <t>08/08/2012</t>
  </si>
  <si>
    <t>08/09/2012</t>
  </si>
  <si>
    <t>08/10/2012</t>
  </si>
  <si>
    <t>08/13/2012</t>
  </si>
  <si>
    <t>08/14/2012</t>
  </si>
  <si>
    <t>08/15/2012</t>
  </si>
  <si>
    <t>08/16/2012</t>
  </si>
  <si>
    <t>08/17/2012</t>
  </si>
  <si>
    <t>08/20/2012</t>
  </si>
  <si>
    <t>08/21/2012</t>
  </si>
  <si>
    <t>08/22/2012</t>
  </si>
  <si>
    <t>08/23/2012</t>
  </si>
  <si>
    <t>08/24/2012</t>
  </si>
  <si>
    <t>08/27/2012</t>
  </si>
  <si>
    <t>08/28/2012</t>
  </si>
  <si>
    <t>08/29/2012</t>
  </si>
  <si>
    <t>08/30/2012</t>
  </si>
  <si>
    <t>08/31/2012</t>
  </si>
  <si>
    <t>09/03/2012</t>
  </si>
  <si>
    <t>09/04/2012</t>
  </si>
  <si>
    <t>09/05/2012</t>
  </si>
  <si>
    <t>09/06/2012</t>
  </si>
  <si>
    <t>09/07/2012</t>
  </si>
  <si>
    <t>09/10/2012</t>
  </si>
  <si>
    <t>09/11/2012</t>
  </si>
  <si>
    <t>09/12/2012</t>
  </si>
  <si>
    <t>09/13/2012</t>
  </si>
  <si>
    <t>09/14/2012</t>
  </si>
  <si>
    <t>09/17/2012</t>
  </si>
  <si>
    <t>09/18/2012</t>
  </si>
  <si>
    <t>09/19/2012</t>
  </si>
  <si>
    <t>09/20/2012</t>
  </si>
  <si>
    <t>09/21/2012</t>
  </si>
  <si>
    <t>09/24/2012</t>
  </si>
  <si>
    <t>09/25/2012</t>
  </si>
  <si>
    <t>09/26/2012</t>
  </si>
  <si>
    <t>09/27/2012</t>
  </si>
  <si>
    <t>09/28/2012</t>
  </si>
  <si>
    <t>09/30/2012</t>
  </si>
  <si>
    <t>10/01/2012</t>
  </si>
  <si>
    <t>10/02/2012</t>
  </si>
  <si>
    <t>10/03/2012</t>
  </si>
  <si>
    <t>10/04/2012</t>
  </si>
  <si>
    <t>10/05/2012</t>
  </si>
  <si>
    <t>10/08/2012</t>
  </si>
  <si>
    <t>10/09/2012</t>
  </si>
  <si>
    <t>10/10/2012</t>
  </si>
  <si>
    <t>10/11/2012</t>
  </si>
  <si>
    <t>10/12/2012</t>
  </si>
  <si>
    <t>10/15/2012</t>
  </si>
  <si>
    <t>10/16/2012</t>
  </si>
  <si>
    <t>10/17/2012</t>
  </si>
  <si>
    <t>10/18/2012</t>
  </si>
  <si>
    <t>10/19/2012</t>
  </si>
  <si>
    <t>10/22/2012</t>
  </si>
  <si>
    <t>10/23/2012</t>
  </si>
  <si>
    <t>10/24/2012</t>
  </si>
  <si>
    <t>10/25/2012</t>
  </si>
  <si>
    <t>10/26/2012</t>
  </si>
  <si>
    <t>10/29/2012</t>
  </si>
  <si>
    <t>10/30/2012</t>
  </si>
  <si>
    <t>10/31/2012</t>
  </si>
  <si>
    <t>11/01/2012</t>
  </si>
  <si>
    <t>11/02/2012</t>
  </si>
  <si>
    <t>11/05/2012</t>
  </si>
  <si>
    <t>11/06/2012</t>
  </si>
  <si>
    <t>11/07/2012</t>
  </si>
  <si>
    <t>11/08/2012</t>
  </si>
  <si>
    <t>11/09/2012</t>
  </si>
  <si>
    <t>11/12/2012</t>
  </si>
  <si>
    <t>11/13/2012</t>
  </si>
  <si>
    <t>11/14/2012</t>
  </si>
  <si>
    <t>11/15/2012</t>
  </si>
  <si>
    <t>11/16/2012</t>
  </si>
  <si>
    <t>11/19/2012</t>
  </si>
  <si>
    <t>11/20/2012</t>
  </si>
  <si>
    <t>11/21/2012</t>
  </si>
  <si>
    <t>11/22/2012</t>
  </si>
  <si>
    <t>11/23/2012</t>
  </si>
  <si>
    <t>11/26/2012</t>
  </si>
  <si>
    <t>11/27/2012</t>
  </si>
  <si>
    <t>11/28/2012</t>
  </si>
  <si>
    <t>11/29/2012</t>
  </si>
  <si>
    <t>11/30/2012</t>
  </si>
  <si>
    <t>12/03/2012</t>
  </si>
  <si>
    <t>12/04/2012</t>
  </si>
  <si>
    <t>12/05/2012</t>
  </si>
  <si>
    <t>12/06/2012</t>
  </si>
  <si>
    <t>12/07/2012</t>
  </si>
  <si>
    <t>12/10/2012</t>
  </si>
  <si>
    <t>12/11/2012</t>
  </si>
  <si>
    <t>12/12/2012</t>
  </si>
  <si>
    <t>12/13/2012</t>
  </si>
  <si>
    <t>12/14/2012</t>
  </si>
  <si>
    <t>12/17/2012</t>
  </si>
  <si>
    <t>12/18/2012</t>
  </si>
  <si>
    <t>12/19/2012</t>
  </si>
  <si>
    <t>12/20/2012</t>
  </si>
  <si>
    <t>12/21/2012</t>
  </si>
  <si>
    <t>12/24/2012</t>
  </si>
  <si>
    <t>12/25/2012</t>
  </si>
  <si>
    <t>12/26/2012</t>
  </si>
  <si>
    <t>12/27/2012</t>
  </si>
  <si>
    <t>12/28/2012</t>
  </si>
  <si>
    <t>12/31/2012</t>
  </si>
  <si>
    <t>01/01/2013</t>
  </si>
  <si>
    <t>01/02/2013</t>
  </si>
  <si>
    <t>01/03/2013</t>
  </si>
  <si>
    <t>01/04/2013</t>
  </si>
  <si>
    <t>01/07/2013</t>
  </si>
  <si>
    <t>01/08/2013</t>
  </si>
  <si>
    <t>01/09/2013</t>
  </si>
  <si>
    <t>01/10/2013</t>
  </si>
  <si>
    <t>01/11/2013</t>
  </si>
  <si>
    <t>01/14/2013</t>
  </si>
  <si>
    <t>01/15/2013</t>
  </si>
  <si>
    <t>01/16/2013</t>
  </si>
  <si>
    <t>01/17/2013</t>
  </si>
  <si>
    <t>01/18/2013</t>
  </si>
  <si>
    <t>01/21/2013</t>
  </si>
  <si>
    <t>01/22/2013</t>
  </si>
  <si>
    <t>01/23/2013</t>
  </si>
  <si>
    <t>01/24/2013</t>
  </si>
  <si>
    <t>01/25/2013</t>
  </si>
  <si>
    <t>01/28/2013</t>
  </si>
  <si>
    <t>01/29/2013</t>
  </si>
  <si>
    <t>01/30/2013</t>
  </si>
  <si>
    <t>01/31/2013</t>
  </si>
  <si>
    <t>02/01/2013</t>
  </si>
  <si>
    <t>02/04/2013</t>
  </si>
  <si>
    <t>02/05/2013</t>
  </si>
  <si>
    <t>02/06/2013</t>
  </si>
  <si>
    <t>02/07/2013</t>
  </si>
  <si>
    <t>02/08/2013</t>
  </si>
  <si>
    <t>02/11/2013</t>
  </si>
  <si>
    <t>02/12/2013</t>
  </si>
  <si>
    <t>02/13/2013</t>
  </si>
  <si>
    <t>02/14/2013</t>
  </si>
  <si>
    <t>02/15/2013</t>
  </si>
  <si>
    <t>02/18/2013</t>
  </si>
  <si>
    <t>02/19/2013</t>
  </si>
  <si>
    <t>02/20/2013</t>
  </si>
  <si>
    <t>02/21/2013</t>
  </si>
  <si>
    <t>02/22/2013</t>
  </si>
  <si>
    <t>02/25/2013</t>
  </si>
  <si>
    <t>02/26/2013</t>
  </si>
  <si>
    <t>02/27/2013</t>
  </si>
  <si>
    <t>02/28/2013</t>
  </si>
  <si>
    <t>03/01/2013</t>
  </si>
  <si>
    <t>03/04/2013</t>
  </si>
  <si>
    <t>03/05/2013</t>
  </si>
  <si>
    <t>03/06/2013</t>
  </si>
  <si>
    <t>03/07/2013</t>
  </si>
  <si>
    <t>03/08/2013</t>
  </si>
  <si>
    <t>03/11/2013</t>
  </si>
  <si>
    <t>03/12/2013</t>
  </si>
  <si>
    <t>03/13/2013</t>
  </si>
  <si>
    <t>03/14/2013</t>
  </si>
  <si>
    <t>03/15/2013</t>
  </si>
  <si>
    <t>03/18/2013</t>
  </si>
  <si>
    <t>03/19/2013</t>
  </si>
  <si>
    <t>03/20/2013</t>
  </si>
  <si>
    <t>03/21/2013</t>
  </si>
  <si>
    <t>03/22/2013</t>
  </si>
  <si>
    <t>03/25/2013</t>
  </si>
  <si>
    <t>03/26/2013</t>
  </si>
  <si>
    <t>03/27/2013</t>
  </si>
  <si>
    <t>03/28/2013</t>
  </si>
  <si>
    <t>03/29/2013</t>
  </si>
  <si>
    <t>03/31/2013</t>
  </si>
  <si>
    <t>04/01/2013</t>
  </si>
  <si>
    <t>04/02/2013</t>
  </si>
  <si>
    <t>04/03/2013</t>
  </si>
  <si>
    <t>04/04/2013</t>
  </si>
  <si>
    <t>04/05/2013</t>
  </si>
  <si>
    <t>04/08/2013</t>
  </si>
  <si>
    <t>04/09/2013</t>
  </si>
  <si>
    <t>04/10/2013</t>
  </si>
  <si>
    <t>04/11/2013</t>
  </si>
  <si>
    <t>04/12/2013</t>
  </si>
  <si>
    <t>04/15/2013</t>
  </si>
  <si>
    <t>04/16/2013</t>
  </si>
  <si>
    <t>04/17/2013</t>
  </si>
  <si>
    <t>04/18/2013</t>
  </si>
  <si>
    <t>04/19/2013</t>
  </si>
  <si>
    <t>04/22/2013</t>
  </si>
  <si>
    <t>04/23/2013</t>
  </si>
  <si>
    <t>04/24/2013</t>
  </si>
  <si>
    <t>04/25/2013</t>
  </si>
  <si>
    <t>04/26/2013</t>
  </si>
  <si>
    <t>04/29/2013</t>
  </si>
  <si>
    <t>04/30/2013</t>
  </si>
  <si>
    <t>05/01/2013</t>
  </si>
  <si>
    <t>05/02/2013</t>
  </si>
  <si>
    <t>05/03/2013</t>
  </si>
  <si>
    <t>05/06/2013</t>
  </si>
  <si>
    <t>05/07/2013</t>
  </si>
  <si>
    <t>05/08/2013</t>
  </si>
  <si>
    <t>05/09/2013</t>
  </si>
  <si>
    <t>05/10/2013</t>
  </si>
  <si>
    <t>05/13/2013</t>
  </si>
  <si>
    <t>05/14/2013</t>
  </si>
  <si>
    <t>05/15/2013</t>
  </si>
  <si>
    <t>05/16/2013</t>
  </si>
  <si>
    <t>05/17/2013</t>
  </si>
  <si>
    <t>05/20/2013</t>
  </si>
  <si>
    <t>05/21/2013</t>
  </si>
  <si>
    <t>05/22/2013</t>
  </si>
  <si>
    <t>05/23/2013</t>
  </si>
  <si>
    <t>05/24/2013</t>
  </si>
  <si>
    <t>05/27/2013</t>
  </si>
  <si>
    <t>05/28/2013</t>
  </si>
  <si>
    <t>05/29/2013</t>
  </si>
  <si>
    <t>05/30/2013</t>
  </si>
  <si>
    <t>05/31/2013</t>
  </si>
  <si>
    <t>06/03/2013</t>
  </si>
  <si>
    <t>06/04/2013</t>
  </si>
  <si>
    <t>06/05/2013</t>
  </si>
  <si>
    <t>06/06/2013</t>
  </si>
  <si>
    <t>06/07/2013</t>
  </si>
  <si>
    <t>06/10/2013</t>
  </si>
  <si>
    <t>06/11/2013</t>
  </si>
  <si>
    <t>06/12/2013</t>
  </si>
  <si>
    <t>06/13/2013</t>
  </si>
  <si>
    <t>06/14/2013</t>
  </si>
  <si>
    <t>06/17/2013</t>
  </si>
  <si>
    <t>06/18/2013</t>
  </si>
  <si>
    <t>06/19/2013</t>
  </si>
  <si>
    <t>06/20/2013</t>
  </si>
  <si>
    <t>06/21/2013</t>
  </si>
  <si>
    <t>06/24/2013</t>
  </si>
  <si>
    <t>06/25/2013</t>
  </si>
  <si>
    <t>06/26/2013</t>
  </si>
  <si>
    <t>06/27/2013</t>
  </si>
  <si>
    <t>06/28/2013</t>
  </si>
  <si>
    <t>06/30/2013</t>
  </si>
  <si>
    <t>07/01/2013</t>
  </si>
  <si>
    <t>07/02/2013</t>
  </si>
  <si>
    <t>07/03/2013</t>
  </si>
  <si>
    <t>07/04/2013</t>
  </si>
  <si>
    <t>07/05/2013</t>
  </si>
  <si>
    <t>07/08/2013</t>
  </si>
  <si>
    <t>07/09/2013</t>
  </si>
  <si>
    <t>07/10/2013</t>
  </si>
  <si>
    <t>07/11/2013</t>
  </si>
  <si>
    <t>07/12/2013</t>
  </si>
  <si>
    <t>07/15/2013</t>
  </si>
  <si>
    <t>07/16/2013</t>
  </si>
  <si>
    <t>07/17/2013</t>
  </si>
  <si>
    <t>07/18/2013</t>
  </si>
  <si>
    <t>07/19/2013</t>
  </si>
  <si>
    <t>07/22/2013</t>
  </si>
  <si>
    <t>07/23/2013</t>
  </si>
  <si>
    <t>07/24/2013</t>
  </si>
  <si>
    <t>07/25/2013</t>
  </si>
  <si>
    <t>07/26/2013</t>
  </si>
  <si>
    <t>07/29/2013</t>
  </si>
  <si>
    <t>07/30/2013</t>
  </si>
  <si>
    <t>07/31/2013</t>
  </si>
  <si>
    <t>08/01/2013</t>
  </si>
  <si>
    <t>08/02/2013</t>
  </si>
  <si>
    <t>08/05/2013</t>
  </si>
  <si>
    <t>08/06/2013</t>
  </si>
  <si>
    <t>08/07/2013</t>
  </si>
  <si>
    <t>08/08/2013</t>
  </si>
  <si>
    <t>08/09/2013</t>
  </si>
  <si>
    <t>08/12/2013</t>
  </si>
  <si>
    <t>08/13/2013</t>
  </si>
  <si>
    <t>08/14/2013</t>
  </si>
  <si>
    <t>08/15/2013</t>
  </si>
  <si>
    <t>08/16/2013</t>
  </si>
  <si>
    <t>08/19/2013</t>
  </si>
  <si>
    <t>08/20/2013</t>
  </si>
  <si>
    <t>08/21/2013</t>
  </si>
  <si>
    <t>08/22/2013</t>
  </si>
  <si>
    <t>08/23/2013</t>
  </si>
  <si>
    <t>08/26/2013</t>
  </si>
  <si>
    <t>08/27/2013</t>
  </si>
  <si>
    <t>08/28/2013</t>
  </si>
  <si>
    <t>08/29/2013</t>
  </si>
  <si>
    <t>08/30/2013</t>
  </si>
  <si>
    <t>08/31/2013</t>
  </si>
  <si>
    <t>09/02/2013</t>
  </si>
  <si>
    <t>09/03/2013</t>
  </si>
  <si>
    <t>09/04/2013</t>
  </si>
  <si>
    <t>09/05/2013</t>
  </si>
  <si>
    <t>09/06/2013</t>
  </si>
  <si>
    <t>09/09/2013</t>
  </si>
  <si>
    <t>09/10/2013</t>
  </si>
  <si>
    <t>09/11/2013</t>
  </si>
  <si>
    <t>09/12/2013</t>
  </si>
  <si>
    <t>09/13/2013</t>
  </si>
  <si>
    <t>09/16/2013</t>
  </si>
  <si>
    <t>09/17/2013</t>
  </si>
  <si>
    <t>09/18/2013</t>
  </si>
  <si>
    <t>09/19/2013</t>
  </si>
  <si>
    <t>09/20/2013</t>
  </si>
  <si>
    <t>09/23/2013</t>
  </si>
  <si>
    <t>09/24/2013</t>
  </si>
  <si>
    <t>09/25/2013</t>
  </si>
  <si>
    <t>09/26/2013</t>
  </si>
  <si>
    <t>09/27/2013</t>
  </si>
  <si>
    <t>09/30/2013</t>
  </si>
  <si>
    <t>10/01/2013</t>
  </si>
  <si>
    <t>10/02/2013</t>
  </si>
  <si>
    <t>10/03/2013</t>
  </si>
  <si>
    <t>10/04/2013</t>
  </si>
  <si>
    <t>10/07/2013</t>
  </si>
  <si>
    <t>10/08/2013</t>
  </si>
  <si>
    <t>10/09/2013</t>
  </si>
  <si>
    <t>10/10/2013</t>
  </si>
  <si>
    <t>10/11/2013</t>
  </si>
  <si>
    <t>10/14/2013</t>
  </si>
  <si>
    <t>10/15/2013</t>
  </si>
  <si>
    <t>10/16/2013</t>
  </si>
  <si>
    <t>10/17/2013</t>
  </si>
  <si>
    <t>10/18/2013</t>
  </si>
  <si>
    <t>10/21/2013</t>
  </si>
  <si>
    <t>10/22/2013</t>
  </si>
  <si>
    <t>10/23/2013</t>
  </si>
  <si>
    <t>10/24/2013</t>
  </si>
  <si>
    <t>10/25/2013</t>
  </si>
  <si>
    <t>10/28/2013</t>
  </si>
  <si>
    <t>10/29/2013</t>
  </si>
  <si>
    <t>10/30/2013</t>
  </si>
  <si>
    <t>10/31/2013</t>
  </si>
  <si>
    <t>11/01/2013</t>
  </si>
  <si>
    <t>11/04/2013</t>
  </si>
  <si>
    <t>11/05/2013</t>
  </si>
  <si>
    <t>11/06/2013</t>
  </si>
  <si>
    <t>11/07/2013</t>
  </si>
  <si>
    <t>11/08/2013</t>
  </si>
  <si>
    <t>11/11/2013</t>
  </si>
  <si>
    <t>11/12/2013</t>
  </si>
  <si>
    <t>11/13/2013</t>
  </si>
  <si>
    <t>11/14/2013</t>
  </si>
  <si>
    <t>11/15/2013</t>
  </si>
  <si>
    <t>11/18/2013</t>
  </si>
  <si>
    <t>11/19/2013</t>
  </si>
  <si>
    <t>11/20/2013</t>
  </si>
  <si>
    <t>11/21/2013</t>
  </si>
  <si>
    <t>11/22/2013</t>
  </si>
  <si>
    <t>11/25/2013</t>
  </si>
  <si>
    <t>11/26/2013</t>
  </si>
  <si>
    <t>11/27/2013</t>
  </si>
  <si>
    <t>11/28/2013</t>
  </si>
  <si>
    <t>11/29/2013</t>
  </si>
  <si>
    <t>11/30/2013</t>
  </si>
  <si>
    <t>12/02/2013</t>
  </si>
  <si>
    <t>12/03/2013</t>
  </si>
  <si>
    <t>12/04/2013</t>
  </si>
  <si>
    <t>12/05/2013</t>
  </si>
  <si>
    <t>12/06/2013</t>
  </si>
  <si>
    <t>12/09/2013</t>
  </si>
  <si>
    <t>12/10/2013</t>
  </si>
  <si>
    <t>12/11/2013</t>
  </si>
  <si>
    <t>12/12/2013</t>
  </si>
  <si>
    <t>12/13/2013</t>
  </si>
  <si>
    <t>12/16/2013</t>
  </si>
  <si>
    <t>12/17/2013</t>
  </si>
  <si>
    <t>12/18/2013</t>
  </si>
  <si>
    <t>12/19/2013</t>
  </si>
  <si>
    <t>12/20/2013</t>
  </si>
  <si>
    <t>12/23/2013</t>
  </si>
  <si>
    <t>12/24/2013</t>
  </si>
  <si>
    <t>12/25/2013</t>
  </si>
  <si>
    <t>12/26/2013</t>
  </si>
  <si>
    <t>12/27/2013</t>
  </si>
  <si>
    <t>12/30/2013</t>
  </si>
  <si>
    <t>12/31/2013</t>
  </si>
  <si>
    <t>01/01/2014</t>
  </si>
  <si>
    <t>01/02/2014</t>
  </si>
  <si>
    <t>01/03/2014</t>
  </si>
  <si>
    <t>01/06/2014</t>
  </si>
  <si>
    <t>01/07/2014</t>
  </si>
  <si>
    <t>01/08/2014</t>
  </si>
  <si>
    <t>01/09/2014</t>
  </si>
  <si>
    <t>01/10/2014</t>
  </si>
  <si>
    <t>01/13/2014</t>
  </si>
  <si>
    <t>01/14/2014</t>
  </si>
  <si>
    <t>01/15/2014</t>
  </si>
  <si>
    <t>01/16/2014</t>
  </si>
  <si>
    <t>01/17/2014</t>
  </si>
  <si>
    <t>01/20/2014</t>
  </si>
  <si>
    <t>01/21/2014</t>
  </si>
  <si>
    <t>01/22/2014</t>
  </si>
  <si>
    <t>01/23/2014</t>
  </si>
  <si>
    <t>01/24/2014</t>
  </si>
  <si>
    <t>01/27/2014</t>
  </si>
  <si>
    <t>01/28/2014</t>
  </si>
  <si>
    <t>01/29/2014</t>
  </si>
  <si>
    <t>01/30/2014</t>
  </si>
  <si>
    <t>01/31/2014</t>
  </si>
  <si>
    <t>02/03/2014</t>
  </si>
  <si>
    <t>02/04/2014</t>
  </si>
  <si>
    <t>02/05/2014</t>
  </si>
  <si>
    <t>02/06/2014</t>
  </si>
  <si>
    <t>02/07/2014</t>
  </si>
  <si>
    <t>02/10/2014</t>
  </si>
  <si>
    <t>02/11/2014</t>
  </si>
  <si>
    <t>02/12/2014</t>
  </si>
  <si>
    <t>02/13/2014</t>
  </si>
  <si>
    <t>02/14/2014</t>
  </si>
  <si>
    <t>02/17/2014</t>
  </si>
  <si>
    <t>02/18/2014</t>
  </si>
  <si>
    <t>02/19/2014</t>
  </si>
  <si>
    <t>02/20/2014</t>
  </si>
  <si>
    <t>02/21/2014</t>
  </si>
  <si>
    <t>02/24/2014</t>
  </si>
  <si>
    <t>02/25/2014</t>
  </si>
  <si>
    <t>02/26/2014</t>
  </si>
  <si>
    <t>02/27/2014</t>
  </si>
  <si>
    <t>02/28/2014</t>
  </si>
  <si>
    <t>03/03/2014</t>
  </si>
  <si>
    <t>03/04/2014</t>
  </si>
  <si>
    <t>03/05/2014</t>
  </si>
  <si>
    <t>03/06/2014</t>
  </si>
  <si>
    <t>03/07/2014</t>
  </si>
  <si>
    <t>03/10/2014</t>
  </si>
  <si>
    <t>03/11/2014</t>
  </si>
  <si>
    <t>03/12/2014</t>
  </si>
  <si>
    <t>03/13/2014</t>
  </si>
  <si>
    <t>03/14/2014</t>
  </si>
  <si>
    <t>03/17/2014</t>
  </si>
  <si>
    <t>03/18/2014</t>
  </si>
  <si>
    <t>03/19/2014</t>
  </si>
  <si>
    <t>03/20/2014</t>
  </si>
  <si>
    <t>03/21/2014</t>
  </si>
  <si>
    <t>03/24/2014</t>
  </si>
  <si>
    <t>03/25/2014</t>
  </si>
  <si>
    <t>03/26/2014</t>
  </si>
  <si>
    <t>03/27/2014</t>
  </si>
  <si>
    <t>03/28/2014</t>
  </si>
  <si>
    <t>03/31/2014</t>
  </si>
  <si>
    <t>04/01/2014</t>
  </si>
  <si>
    <t>04/02/2014</t>
  </si>
  <si>
    <t>04/03/2014</t>
  </si>
  <si>
    <t>04/04/2014</t>
  </si>
  <si>
    <t>04/07/2014</t>
  </si>
  <si>
    <t>04/08/2014</t>
  </si>
  <si>
    <t>04/09/2014</t>
  </si>
  <si>
    <t>04/10/2014</t>
  </si>
  <si>
    <t>04/11/2014</t>
  </si>
  <si>
    <t>04/14/2014</t>
  </si>
  <si>
    <t>04/15/2014</t>
  </si>
  <si>
    <t>04/16/2014</t>
  </si>
  <si>
    <t>04/17/2014</t>
  </si>
  <si>
    <t>04/18/2014</t>
  </si>
  <si>
    <t>04/21/2014</t>
  </si>
  <si>
    <t>04/22/2014</t>
  </si>
  <si>
    <t>04/23/2014</t>
  </si>
  <si>
    <t>04/24/2014</t>
  </si>
  <si>
    <t>04/25/2014</t>
  </si>
  <si>
    <t>04/28/2014</t>
  </si>
  <si>
    <t>04/29/2014</t>
  </si>
  <si>
    <t>04/30/2014</t>
  </si>
  <si>
    <t>05/01/2014</t>
  </si>
  <si>
    <t>05/02/2014</t>
  </si>
  <si>
    <t>05/05/2014</t>
  </si>
  <si>
    <t>05/06/2014</t>
  </si>
  <si>
    <t>05/07/2014</t>
  </si>
  <si>
    <t>05/08/2014</t>
  </si>
  <si>
    <t>05/09/2014</t>
  </si>
  <si>
    <t>05/12/2014</t>
  </si>
  <si>
    <t>05/13/2014</t>
  </si>
  <si>
    <t>05/14/2014</t>
  </si>
  <si>
    <t>05/15/2014</t>
  </si>
  <si>
    <t>05/16/2014</t>
  </si>
  <si>
    <t>05/19/2014</t>
  </si>
  <si>
    <t>05/20/2014</t>
  </si>
  <si>
    <t>05/21/2014</t>
  </si>
  <si>
    <t>05/22/2014</t>
  </si>
  <si>
    <t>05/23/2014</t>
  </si>
  <si>
    <t>05/26/2014</t>
  </si>
  <si>
    <t>05/27/2014</t>
  </si>
  <si>
    <t>05/28/2014</t>
  </si>
  <si>
    <t>05/29/2014</t>
  </si>
  <si>
    <t>05/30/2014</t>
  </si>
  <si>
    <t>05/31/2014</t>
  </si>
  <si>
    <t>06/02/2014</t>
  </si>
  <si>
    <t>06/03/2014</t>
  </si>
  <si>
    <t>06/04/2014</t>
  </si>
  <si>
    <t>06/05/2014</t>
  </si>
  <si>
    <t>06/06/2014</t>
  </si>
  <si>
    <t>06/09/2014</t>
  </si>
  <si>
    <t>06/10/2014</t>
  </si>
  <si>
    <t>06/11/2014</t>
  </si>
  <si>
    <t>06/12/2014</t>
  </si>
  <si>
    <t>06/13/2014</t>
  </si>
  <si>
    <t>06/16/2014</t>
  </si>
  <si>
    <t>06/17/2014</t>
  </si>
  <si>
    <t>06/18/2014</t>
  </si>
  <si>
    <t>06/19/2014</t>
  </si>
  <si>
    <t>06/20/2014</t>
  </si>
  <si>
    <t>06/23/2014</t>
  </si>
  <si>
    <t>06/24/2014</t>
  </si>
  <si>
    <t>06/25/2014</t>
  </si>
  <si>
    <t>06/26/2014</t>
  </si>
  <si>
    <t>06/27/2014</t>
  </si>
  <si>
    <t>06/30/2014</t>
  </si>
  <si>
    <t>07/01/2014</t>
  </si>
  <si>
    <t>07/02/2014</t>
  </si>
  <si>
    <t>07/03/2014</t>
  </si>
  <si>
    <t>07/04/2014</t>
  </si>
  <si>
    <t>07/07/2014</t>
  </si>
  <si>
    <t>07/08/2014</t>
  </si>
  <si>
    <t>07/09/2014</t>
  </si>
  <si>
    <t>07/10/2014</t>
  </si>
  <si>
    <t>07/11/2014</t>
  </si>
  <si>
    <t>07/14/2014</t>
  </si>
  <si>
    <t>07/15/2014</t>
  </si>
  <si>
    <t>07/16/2014</t>
  </si>
  <si>
    <t>07/17/2014</t>
  </si>
  <si>
    <t>07/18/2014</t>
  </si>
  <si>
    <t>07/21/2014</t>
  </si>
  <si>
    <t>07/22/2014</t>
  </si>
  <si>
    <t>07/23/2014</t>
  </si>
  <si>
    <t>07/24/2014</t>
  </si>
  <si>
    <t>07/25/2014</t>
  </si>
  <si>
    <t>07/28/2014</t>
  </si>
  <si>
    <t>07/29/2014</t>
  </si>
  <si>
    <t>07/30/2014</t>
  </si>
  <si>
    <t>07/31/2014</t>
  </si>
  <si>
    <t>08/01/2014</t>
  </si>
  <si>
    <t>08/04/2014</t>
  </si>
  <si>
    <t>08/05/2014</t>
  </si>
  <si>
    <t>08/06/2014</t>
  </si>
  <si>
    <t>08/07/2014</t>
  </si>
  <si>
    <t>08/08/2014</t>
  </si>
  <si>
    <t>08/11/2014</t>
  </si>
  <si>
    <t>08/12/2014</t>
  </si>
  <si>
    <t>08/13/2014</t>
  </si>
  <si>
    <t>08/14/2014</t>
  </si>
  <si>
    <t>08/15/2014</t>
  </si>
  <si>
    <t>08/18/2014</t>
  </si>
  <si>
    <t>08/19/2014</t>
  </si>
  <si>
    <t>08/20/2014</t>
  </si>
  <si>
    <t>08/21/2014</t>
  </si>
  <si>
    <t>08/22/2014</t>
  </si>
  <si>
    <t>08/25/2014</t>
  </si>
  <si>
    <t>08/26/2014</t>
  </si>
  <si>
    <t>08/27/2014</t>
  </si>
  <si>
    <t>08/28/2014</t>
  </si>
  <si>
    <t>08/29/2014</t>
  </si>
  <si>
    <t>09/01/2014</t>
  </si>
  <si>
    <t>09/02/2014</t>
  </si>
  <si>
    <t>09/03/2014</t>
  </si>
  <si>
    <t>09/04/2014</t>
  </si>
  <si>
    <t>09/05/2014</t>
  </si>
  <si>
    <t>09/08/2014</t>
  </si>
  <si>
    <t>09/09/2014</t>
  </si>
  <si>
    <t>09/10/2014</t>
  </si>
  <si>
    <t>09/11/2014</t>
  </si>
  <si>
    <t>09/12/2014</t>
  </si>
  <si>
    <t>09/15/2014</t>
  </si>
  <si>
    <t>09/16/2014</t>
  </si>
  <si>
    <t>09/17/2014</t>
  </si>
  <si>
    <t>09/18/2014</t>
  </si>
  <si>
    <t>09/19/2014</t>
  </si>
  <si>
    <t>09/22/2014</t>
  </si>
  <si>
    <t>09/23/2014</t>
  </si>
  <si>
    <t>09/24/2014</t>
  </si>
  <si>
    <t>09/25/2014</t>
  </si>
  <si>
    <t>09/26/2014</t>
  </si>
  <si>
    <t>09/29/2014</t>
  </si>
  <si>
    <t>09/30/2014</t>
  </si>
  <si>
    <t>10/01/2014</t>
  </si>
  <si>
    <t>10/02/2014</t>
  </si>
  <si>
    <t>10/03/2014</t>
  </si>
  <si>
    <t>10/06/2014</t>
  </si>
  <si>
    <t>10/07/2014</t>
  </si>
  <si>
    <t>10/08/2014</t>
  </si>
  <si>
    <t>10/09/2014</t>
  </si>
  <si>
    <t>10/10/2014</t>
  </si>
  <si>
    <t>10/13/2014</t>
  </si>
  <si>
    <t>10/14/2014</t>
  </si>
  <si>
    <t>10/15/2014</t>
  </si>
  <si>
    <t>10/16/2014</t>
  </si>
  <si>
    <t>10/17/2014</t>
  </si>
  <si>
    <t>10/20/2014</t>
  </si>
  <si>
    <t>10/21/2014</t>
  </si>
  <si>
    <t>10/22/2014</t>
  </si>
  <si>
    <t>10/23/2014</t>
  </si>
  <si>
    <t>10/24/2014</t>
  </si>
  <si>
    <t>10/27/2014</t>
  </si>
  <si>
    <t>10/28/2014</t>
  </si>
  <si>
    <t>10/29/2014</t>
  </si>
  <si>
    <t>10/30/2014</t>
  </si>
  <si>
    <t>10/31/2014</t>
  </si>
  <si>
    <t>11/03/2014</t>
  </si>
  <si>
    <t>11/04/2014</t>
  </si>
  <si>
    <t>11/05/2014</t>
  </si>
  <si>
    <t>11/06/2014</t>
  </si>
  <si>
    <t>11/07/2014</t>
  </si>
  <si>
    <t>11/10/2014</t>
  </si>
  <si>
    <t>11/11/2014</t>
  </si>
  <si>
    <t>11/12/2014</t>
  </si>
  <si>
    <t>11/13/2014</t>
  </si>
  <si>
    <t>11/14/2014</t>
  </si>
  <si>
    <t>11/17/2014</t>
  </si>
  <si>
    <t>11/18/2014</t>
  </si>
  <si>
    <t>11/19/2014</t>
  </si>
  <si>
    <t>11/20/2014</t>
  </si>
  <si>
    <t>11/21/2014</t>
  </si>
  <si>
    <t>11/24/2014</t>
  </si>
  <si>
    <t>11/25/2014</t>
  </si>
  <si>
    <t>11/26/2014</t>
  </si>
  <si>
    <t>11/27/2014</t>
  </si>
  <si>
    <t>11/28/2014</t>
  </si>
  <si>
    <t>12/01/2014</t>
  </si>
  <si>
    <t>12/02/2014</t>
  </si>
  <si>
    <t>12/03/2014</t>
  </si>
  <si>
    <t>12/04/2014</t>
  </si>
  <si>
    <t>12/05/2014</t>
  </si>
  <si>
    <t>12/08/2014</t>
  </si>
  <si>
    <t>12/09/2014</t>
  </si>
  <si>
    <t>12/10/2014</t>
  </si>
  <si>
    <t>12/11/2014</t>
  </si>
  <si>
    <t>12/12/2014</t>
  </si>
  <si>
    <t>12/15/2014</t>
  </si>
  <si>
    <t>12/16/2014</t>
  </si>
  <si>
    <t>12/17/2014</t>
  </si>
  <si>
    <t>12/18/2014</t>
  </si>
  <si>
    <t>12/19/2014</t>
  </si>
  <si>
    <t>12/22/2014</t>
  </si>
  <si>
    <t>12/23/2014</t>
  </si>
  <si>
    <t>12/24/2014</t>
  </si>
  <si>
    <t>12/25/2014</t>
  </si>
  <si>
    <t>12/26/2014</t>
  </si>
  <si>
    <t>12/29/2014</t>
  </si>
  <si>
    <t>12/30/2014</t>
  </si>
  <si>
    <t>12/31/2014</t>
  </si>
  <si>
    <t>01/01/2015</t>
  </si>
  <si>
    <t>01/02/2015</t>
  </si>
  <si>
    <t>01/05/2015</t>
  </si>
  <si>
    <t>01/06/2015</t>
  </si>
  <si>
    <t>01/07/2015</t>
  </si>
  <si>
    <t>01/08/2015</t>
  </si>
  <si>
    <t>01/09/2015</t>
  </si>
  <si>
    <t>01/12/2015</t>
  </si>
  <si>
    <t>01/13/2015</t>
  </si>
  <si>
    <t>01/14/2015</t>
  </si>
  <si>
    <t>01/15/2015</t>
  </si>
  <si>
    <t>01/16/2015</t>
  </si>
  <si>
    <t>01/19/2015</t>
  </si>
  <si>
    <t>01/20/2015</t>
  </si>
  <si>
    <t>01/21/2015</t>
  </si>
  <si>
    <t>01/22/2015</t>
  </si>
  <si>
    <t>01/23/2015</t>
  </si>
  <si>
    <t>01/26/2015</t>
  </si>
  <si>
    <t>01/27/2015</t>
  </si>
  <si>
    <t>01/28/2015</t>
  </si>
  <si>
    <t>01/29/2015</t>
  </si>
  <si>
    <t>01/30/2015</t>
  </si>
  <si>
    <t>02/02/2015</t>
  </si>
  <si>
    <t>02/03/2015</t>
  </si>
  <si>
    <t>02/04/2015</t>
  </si>
  <si>
    <t>02/05/2015</t>
  </si>
  <si>
    <t>02/06/2015</t>
  </si>
  <si>
    <t>02/09/2015</t>
  </si>
  <si>
    <t>02/10/2015</t>
  </si>
  <si>
    <t>02/11/2015</t>
  </si>
  <si>
    <t>02/12/2015</t>
  </si>
  <si>
    <t>02/13/2015</t>
  </si>
  <si>
    <t>02/16/2015</t>
  </si>
  <si>
    <t>02/17/2015</t>
  </si>
  <si>
    <t>02/18/2015</t>
  </si>
  <si>
    <t>02/19/2015</t>
  </si>
  <si>
    <t>02/20/2015</t>
  </si>
  <si>
    <t>02/23/2015</t>
  </si>
  <si>
    <t>02/24/2015</t>
  </si>
  <si>
    <t>02/25/2015</t>
  </si>
  <si>
    <t>02/26/2015</t>
  </si>
  <si>
    <t>02/27/2015</t>
  </si>
  <si>
    <t>03/02/2015</t>
  </si>
  <si>
    <t>03/03/2015</t>
  </si>
  <si>
    <t>03/04/2015</t>
  </si>
  <si>
    <t>03/05/2015</t>
  </si>
  <si>
    <t>03/06/2015</t>
  </si>
  <si>
    <t>03/09/2015</t>
  </si>
  <si>
    <t>03/10/2015</t>
  </si>
  <si>
    <t>03/11/2015</t>
  </si>
  <si>
    <t>03/12/2015</t>
  </si>
  <si>
    <t>03/13/2015</t>
  </si>
  <si>
    <t>03/16/2015</t>
  </si>
  <si>
    <t>03/17/2015</t>
  </si>
  <si>
    <t>03/18/2015</t>
  </si>
  <si>
    <t>03/19/2015</t>
  </si>
  <si>
    <t>03/20/2015</t>
  </si>
  <si>
    <t>03/23/2015</t>
  </si>
  <si>
    <t>03/24/2015</t>
  </si>
  <si>
    <t>03/25/2015</t>
  </si>
  <si>
    <t>03/26/2015</t>
  </si>
  <si>
    <t>03/27/2015</t>
  </si>
  <si>
    <t>03/30/2015</t>
  </si>
  <si>
    <t>03/31/2015</t>
  </si>
  <si>
    <t>04/01/2015</t>
  </si>
  <si>
    <t>04/02/2015</t>
  </si>
  <si>
    <t>04/03/2015</t>
  </si>
  <si>
    <t>04/06/2015</t>
  </si>
  <si>
    <t>04/07/2015</t>
  </si>
  <si>
    <t>04/08/2015</t>
  </si>
  <si>
    <t>04/09/2015</t>
  </si>
  <si>
    <t>04/10/2015</t>
  </si>
  <si>
    <t>04/13/2015</t>
  </si>
  <si>
    <t>04/14/2015</t>
  </si>
  <si>
    <t>04/15/2015</t>
  </si>
  <si>
    <t>04/16/2015</t>
  </si>
  <si>
    <t>04/17/2015</t>
  </si>
  <si>
    <t>04/20/2015</t>
  </si>
  <si>
    <t>04/21/2015</t>
  </si>
  <si>
    <t>04/22/2015</t>
  </si>
  <si>
    <t>04/23/2015</t>
  </si>
  <si>
    <t>04/24/2015</t>
  </si>
  <si>
    <t>04/27/2015</t>
  </si>
  <si>
    <t>04/28/2015</t>
  </si>
  <si>
    <t>04/29/2015</t>
  </si>
  <si>
    <t>04/30/2015</t>
  </si>
  <si>
    <t>05/01/2015</t>
  </si>
  <si>
    <t>05/04/2015</t>
  </si>
  <si>
    <t>05/05/2015</t>
  </si>
  <si>
    <t>05/06/2015</t>
  </si>
  <si>
    <t>05/07/2015</t>
  </si>
  <si>
    <t>05/08/2015</t>
  </si>
  <si>
    <t>05/11/2015</t>
  </si>
  <si>
    <t>05/12/2015</t>
  </si>
  <si>
    <t>05/13/2015</t>
  </si>
  <si>
    <t>05/14/2015</t>
  </si>
  <si>
    <t>05/15/2015</t>
  </si>
  <si>
    <t>05/18/2015</t>
  </si>
  <si>
    <t>05/19/2015</t>
  </si>
  <si>
    <t>05/20/2015</t>
  </si>
  <si>
    <t>05/21/2015</t>
  </si>
  <si>
    <t>05/22/2015</t>
  </si>
  <si>
    <t>05/25/2015</t>
  </si>
  <si>
    <t>05/26/2015</t>
  </si>
  <si>
    <t>05/27/2015</t>
  </si>
  <si>
    <t>05/28/2015</t>
  </si>
  <si>
    <t>05/29/2015</t>
  </si>
  <si>
    <t>06/01/2015</t>
  </si>
  <si>
    <t>06/02/2015</t>
  </si>
  <si>
    <t>06/03/2015</t>
  </si>
  <si>
    <t>06/04/2015</t>
  </si>
  <si>
    <t>06/05/2015</t>
  </si>
  <si>
    <t>06/08/2015</t>
  </si>
  <si>
    <t>06/09/2015</t>
  </si>
  <si>
    <t>06/10/2015</t>
  </si>
  <si>
    <t>06/11/2015</t>
  </si>
  <si>
    <t>06/12/2015</t>
  </si>
  <si>
    <t>06/15/2015</t>
  </si>
  <si>
    <t>06/16/2015</t>
  </si>
  <si>
    <t>06/17/2015</t>
  </si>
  <si>
    <t>06/18/2015</t>
  </si>
  <si>
    <t>06/19/2015</t>
  </si>
  <si>
    <t>06/22/2015</t>
  </si>
  <si>
    <t>06/23/2015</t>
  </si>
  <si>
    <t>06/24/2015</t>
  </si>
  <si>
    <t>06/25/2015</t>
  </si>
  <si>
    <t>06/26/2015</t>
  </si>
  <si>
    <t>06/29/2015</t>
  </si>
  <si>
    <t>06/30/2015</t>
  </si>
  <si>
    <t>07/01/2015</t>
  </si>
  <si>
    <t>07/02/2015</t>
  </si>
  <si>
    <t>07/03/2015</t>
  </si>
  <si>
    <t>07/06/2015</t>
  </si>
  <si>
    <t>07/07/2015</t>
  </si>
  <si>
    <t>07/08/2015</t>
  </si>
  <si>
    <t>07/09/2015</t>
  </si>
  <si>
    <t>07/10/2015</t>
  </si>
  <si>
    <t>07/13/2015</t>
  </si>
  <si>
    <t>07/14/2015</t>
  </si>
  <si>
    <t>07/15/2015</t>
  </si>
  <si>
    <t>07/16/2015</t>
  </si>
  <si>
    <t>07/17/2015</t>
  </si>
  <si>
    <t>07/20/2015</t>
  </si>
  <si>
    <t>07/21/2015</t>
  </si>
  <si>
    <t>07/22/2015</t>
  </si>
  <si>
    <t>07/23/2015</t>
  </si>
  <si>
    <t>07/24/2015</t>
  </si>
  <si>
    <t>07/27/2015</t>
  </si>
  <si>
    <t>07/28/2015</t>
  </si>
  <si>
    <t>07/29/2015</t>
  </si>
  <si>
    <t>07/30/2015</t>
  </si>
  <si>
    <t>07/31/2015</t>
  </si>
  <si>
    <t>08/03/2015</t>
  </si>
  <si>
    <t>08/04/2015</t>
  </si>
  <si>
    <t>08/05/2015</t>
  </si>
  <si>
    <t>08/06/2015</t>
  </si>
  <si>
    <t>08/07/2015</t>
  </si>
  <si>
    <t>08/10/2015</t>
  </si>
  <si>
    <t>08/11/2015</t>
  </si>
  <si>
    <t>08/12/2015</t>
  </si>
  <si>
    <t>08/13/2015</t>
  </si>
  <si>
    <t>08/14/2015</t>
  </si>
  <si>
    <t>08/17/2015</t>
  </si>
  <si>
    <t>08/18/2015</t>
  </si>
  <si>
    <t>08/19/2015</t>
  </si>
  <si>
    <t>08/20/2015</t>
  </si>
  <si>
    <t>08/21/2015</t>
  </si>
  <si>
    <t>08/24/2015</t>
  </si>
  <si>
    <t>08/25/2015</t>
  </si>
  <si>
    <t>08/26/2015</t>
  </si>
  <si>
    <t>08/27/2015</t>
  </si>
  <si>
    <t>08/28/2015</t>
  </si>
  <si>
    <t>08/31/2015</t>
  </si>
  <si>
    <t>09/01/2015</t>
  </si>
  <si>
    <t>09/02/2015</t>
  </si>
  <si>
    <t>09/03/2015</t>
  </si>
  <si>
    <t>09/04/2015</t>
  </si>
  <si>
    <t>09/07/2015</t>
  </si>
  <si>
    <t>09/08/2015</t>
  </si>
  <si>
    <t>09/09/2015</t>
  </si>
  <si>
    <t>09/10/2015</t>
  </si>
  <si>
    <t>09/11/2015</t>
  </si>
  <si>
    <t>09/14/2015</t>
  </si>
  <si>
    <t>09/15/2015</t>
  </si>
  <si>
    <t>09/16/2015</t>
  </si>
  <si>
    <t>09/17/2015</t>
  </si>
  <si>
    <t>09/18/2015</t>
  </si>
  <si>
    <t>09/21/2015</t>
  </si>
  <si>
    <t>09/22/2015</t>
  </si>
  <si>
    <t>09/23/2015</t>
  </si>
  <si>
    <t>09/24/2015</t>
  </si>
  <si>
    <t>09/25/2015</t>
  </si>
  <si>
    <t>09/28/2015</t>
  </si>
  <si>
    <t>09/29/2015</t>
  </si>
  <si>
    <t>09/30/2015</t>
  </si>
  <si>
    <t>10/01/2015</t>
  </si>
  <si>
    <t>10/02/2015</t>
  </si>
  <si>
    <t>10/05/2015</t>
  </si>
  <si>
    <t>10/06/2015</t>
  </si>
  <si>
    <t>10/07/2015</t>
  </si>
  <si>
    <t>10/08/2015</t>
  </si>
  <si>
    <t>10/09/2015</t>
  </si>
  <si>
    <t>10/12/2015</t>
  </si>
  <si>
    <t>10/13/2015</t>
  </si>
  <si>
    <t>10/14/2015</t>
  </si>
  <si>
    <t>10/15/2015</t>
  </si>
  <si>
    <t>10/16/2015</t>
  </si>
  <si>
    <t>10/19/2015</t>
  </si>
  <si>
    <t>10/20/2015</t>
  </si>
  <si>
    <t>10/21/2015</t>
  </si>
  <si>
    <t>10/22/2015</t>
  </si>
  <si>
    <t>10/23/2015</t>
  </si>
  <si>
    <t>10/26/2015</t>
  </si>
  <si>
    <t>10/27/2015</t>
  </si>
  <si>
    <t>10/28/2015</t>
  </si>
  <si>
    <t>10/29/2015</t>
  </si>
  <si>
    <t>10/30/2015</t>
  </si>
  <si>
    <t>11/02/2015</t>
  </si>
  <si>
    <t>11/03/2015</t>
  </si>
  <si>
    <t>11/04/2015</t>
  </si>
  <si>
    <t>11/05/2015</t>
  </si>
  <si>
    <t>11/06/2015</t>
  </si>
  <si>
    <t>11/09/2015</t>
  </si>
  <si>
    <t>11/10/2015</t>
  </si>
  <si>
    <t>11/11/2015</t>
  </si>
  <si>
    <t>11/12/2015</t>
  </si>
  <si>
    <t>11/13/2015</t>
  </si>
  <si>
    <t>11/16/2015</t>
  </si>
  <si>
    <t>11/17/2015</t>
  </si>
  <si>
    <t>11/18/2015</t>
  </si>
  <si>
    <t>11/19/2015</t>
  </si>
  <si>
    <t>11/20/2015</t>
  </si>
  <si>
    <t>11/23/2015</t>
  </si>
  <si>
    <t>11/24/2015</t>
  </si>
  <si>
    <t>11/25/2015</t>
  </si>
  <si>
    <t>11/26/2015</t>
  </si>
  <si>
    <t>11/27/2015</t>
  </si>
  <si>
    <t>11/30/2015</t>
  </si>
  <si>
    <t>12/01/2015</t>
  </si>
  <si>
    <t>12/02/2015</t>
  </si>
  <si>
    <t>12/03/2015</t>
  </si>
  <si>
    <t>12/04/2015</t>
  </si>
  <si>
    <t>12/07/2015</t>
  </si>
  <si>
    <t>12/08/2015</t>
  </si>
  <si>
    <t>12/09/2015</t>
  </si>
  <si>
    <t>12/10/2015</t>
  </si>
  <si>
    <t>12/11/2015</t>
  </si>
  <si>
    <t>12/14/2015</t>
  </si>
  <si>
    <t>12/15/2015</t>
  </si>
  <si>
    <t>12/16/2015</t>
  </si>
  <si>
    <t>12/17/2015</t>
  </si>
  <si>
    <t>12/18/2015</t>
  </si>
  <si>
    <t>12/21/2015</t>
  </si>
  <si>
    <t>12/22/2015</t>
  </si>
  <si>
    <t>12/23/2015</t>
  </si>
  <si>
    <t>12/24/2015</t>
  </si>
  <si>
    <t>12/25/2015</t>
  </si>
  <si>
    <t>12/28/2015</t>
  </si>
  <si>
    <t>12/29/2015</t>
  </si>
  <si>
    <t>12/30/2015</t>
  </si>
  <si>
    <t>12/31/2015</t>
  </si>
  <si>
    <t>01/04/2016</t>
  </si>
  <si>
    <t>01/05/2016</t>
  </si>
  <si>
    <t>01/06/2016</t>
  </si>
  <si>
    <t>01/07/2016</t>
  </si>
  <si>
    <t>01/08/2016</t>
  </si>
  <si>
    <t>01/11/2016</t>
  </si>
  <si>
    <t>01/12/2016</t>
  </si>
  <si>
    <t>01/13/2016</t>
  </si>
  <si>
    <t>01/14/2016</t>
  </si>
  <si>
    <t>01/15/2016</t>
  </si>
  <si>
    <t>01/18/2016</t>
  </si>
  <si>
    <t>01/19/2016</t>
  </si>
  <si>
    <t>01/20/2016</t>
  </si>
  <si>
    <t>01/21/2016</t>
  </si>
  <si>
    <t>01/22/2016</t>
  </si>
  <si>
    <t>01/25/2016</t>
  </si>
  <si>
    <t>01/26/2016</t>
  </si>
  <si>
    <t>01/27/2016</t>
  </si>
  <si>
    <t>01/28/2016</t>
  </si>
  <si>
    <t>01/29/2016</t>
  </si>
  <si>
    <t>02/01/2016</t>
  </si>
  <si>
    <t>02/02/2016</t>
  </si>
  <si>
    <t>02/03/2016</t>
  </si>
  <si>
    <t>02/04/2016</t>
  </si>
  <si>
    <t>02/05/2016</t>
  </si>
  <si>
    <t>02/08/2016</t>
  </si>
  <si>
    <t>02/09/2016</t>
  </si>
  <si>
    <t>02/10/2016</t>
  </si>
  <si>
    <t>02/11/2016</t>
  </si>
  <si>
    <t>02/12/2016</t>
  </si>
  <si>
    <t>02/15/2016</t>
  </si>
  <si>
    <t>02/16/2016</t>
  </si>
  <si>
    <t>02/17/2016</t>
  </si>
  <si>
    <t>02/18/2016</t>
  </si>
  <si>
    <t>02/19/2016</t>
  </si>
  <si>
    <t>02/22/2016</t>
  </si>
  <si>
    <t>02/23/2016</t>
  </si>
  <si>
    <t>02/24/2016</t>
  </si>
  <si>
    <t>02/25/2016</t>
  </si>
  <si>
    <t>02/26/2016</t>
  </si>
  <si>
    <t>02/29/2016</t>
  </si>
  <si>
    <t>03/01/2016</t>
  </si>
  <si>
    <t>03/02/2016</t>
  </si>
  <si>
    <t>03/03/2016</t>
  </si>
  <si>
    <t>03/04/2016</t>
  </si>
  <si>
    <t>03/07/2016</t>
  </si>
  <si>
    <t>03/08/2016</t>
  </si>
  <si>
    <t>03/09/2016</t>
  </si>
  <si>
    <t>03/10/2016</t>
  </si>
  <si>
    <t>03/11/2016</t>
  </si>
  <si>
    <t>03/14/2016</t>
  </si>
  <si>
    <t>03/15/2016</t>
  </si>
  <si>
    <t>03/16/2016</t>
  </si>
  <si>
    <t>03/17/2016</t>
  </si>
  <si>
    <t>03/18/2016</t>
  </si>
  <si>
    <t>03/21/2016</t>
  </si>
  <si>
    <t>03/22/2016</t>
  </si>
  <si>
    <t>03/23/2016</t>
  </si>
  <si>
    <t>03/24/2016</t>
  </si>
  <si>
    <t>03/25/2016</t>
  </si>
  <si>
    <t>03/28/2016</t>
  </si>
  <si>
    <t>03/29/2016</t>
  </si>
  <si>
    <t>03/30/2016</t>
  </si>
  <si>
    <t>03/31/2016</t>
  </si>
  <si>
    <t>04/01/2016</t>
  </si>
  <si>
    <t>04/04/2016</t>
  </si>
  <si>
    <t>04/05/2016</t>
  </si>
  <si>
    <t>04/06/2016</t>
  </si>
  <si>
    <t>04/07/2016</t>
  </si>
  <si>
    <t>04/08/2016</t>
  </si>
  <si>
    <t>04/11/2016</t>
  </si>
  <si>
    <t>04/12/2016</t>
  </si>
  <si>
    <t>04/13/2016</t>
  </si>
  <si>
    <t>04/14/2016</t>
  </si>
  <si>
    <t>04/15/2016</t>
  </si>
  <si>
    <t>04/18/2016</t>
  </si>
  <si>
    <t>04/19/2016</t>
  </si>
  <si>
    <t>04/20/2016</t>
  </si>
  <si>
    <t>04/21/2016</t>
  </si>
  <si>
    <t>04/22/2016</t>
  </si>
  <si>
    <t>04/25/2016</t>
  </si>
  <si>
    <t>04/26/2016</t>
  </si>
  <si>
    <t>04/27/2016</t>
  </si>
  <si>
    <t>04/28/2016</t>
  </si>
  <si>
    <t>04/29/2016</t>
  </si>
  <si>
    <t>05/02/2016</t>
  </si>
  <si>
    <t>05/03/2016</t>
  </si>
  <si>
    <t>05/04/2016</t>
  </si>
  <si>
    <t>05/05/2016</t>
  </si>
  <si>
    <t>05/06/2016</t>
  </si>
  <si>
    <t>05/09/2016</t>
  </si>
  <si>
    <t>05/10/2016</t>
  </si>
  <si>
    <t>05/11/2016</t>
  </si>
  <si>
    <t>05/12/2016</t>
  </si>
  <si>
    <t>05/13/2016</t>
  </si>
  <si>
    <t>05/16/2016</t>
  </si>
  <si>
    <t>05/17/2016</t>
  </si>
  <si>
    <t>05/18/2016</t>
  </si>
  <si>
    <t>05/19/2016</t>
  </si>
  <si>
    <t>05/20/2016</t>
  </si>
  <si>
    <t>05/23/2016</t>
  </si>
  <si>
    <t>05/24/2016</t>
  </si>
  <si>
    <t>05/25/2016</t>
  </si>
  <si>
    <t>05/26/2016</t>
  </si>
  <si>
    <t>05/27/2016</t>
  </si>
  <si>
    <t>05/30/2016</t>
  </si>
  <si>
    <t>05/31/2016</t>
  </si>
  <si>
    <t>06/01/2016</t>
  </si>
  <si>
    <t>06/02/2016</t>
  </si>
  <si>
    <t>06/03/2016</t>
  </si>
  <si>
    <t>06/06/2016</t>
  </si>
  <si>
    <t>06/07/2016</t>
  </si>
  <si>
    <t>06/08/2016</t>
  </si>
  <si>
    <t>06/09/2016</t>
  </si>
  <si>
    <t>06/10/2016</t>
  </si>
  <si>
    <t>06/13/2016</t>
  </si>
  <si>
    <t>06/14/2016</t>
  </si>
  <si>
    <t>06/15/2016</t>
  </si>
  <si>
    <t>06/16/2016</t>
  </si>
  <si>
    <t>06/17/2016</t>
  </si>
  <si>
    <t>06/20/2016</t>
  </si>
  <si>
    <t>06/21/2016</t>
  </si>
  <si>
    <t>06/22/2016</t>
  </si>
  <si>
    <t>06/23/2016</t>
  </si>
  <si>
    <t>06/24/2016</t>
  </si>
  <si>
    <t>06/27/2016</t>
  </si>
  <si>
    <t>06/28/2016</t>
  </si>
  <si>
    <t>06/29/2016</t>
  </si>
  <si>
    <t>06/30/2016</t>
  </si>
  <si>
    <t>07/01/2016</t>
  </si>
  <si>
    <t>07/04/2016</t>
  </si>
  <si>
    <t>07/05/2016</t>
  </si>
  <si>
    <t>07/06/2016</t>
  </si>
  <si>
    <t>07/07/2016</t>
  </si>
  <si>
    <t>07/08/2016</t>
  </si>
  <si>
    <t>07/11/2016</t>
  </si>
  <si>
    <t>07/12/2016</t>
  </si>
  <si>
    <t>07/13/2016</t>
  </si>
  <si>
    <t>07/14/2016</t>
  </si>
  <si>
    <t>07/15/2016</t>
  </si>
  <si>
    <t>07/18/2016</t>
  </si>
  <si>
    <t>07/19/2016</t>
  </si>
  <si>
    <t>07/20/2016</t>
  </si>
  <si>
    <t>07/21/2016</t>
  </si>
  <si>
    <t>07/22/2016</t>
  </si>
  <si>
    <t>07/25/2016</t>
  </si>
  <si>
    <t>07/26/2016</t>
  </si>
  <si>
    <t>07/27/2016</t>
  </si>
  <si>
    <t>07/28/2016</t>
  </si>
  <si>
    <t>07/29/2016</t>
  </si>
  <si>
    <t>08/01/2016</t>
  </si>
  <si>
    <t>08/02/2016</t>
  </si>
  <si>
    <t>08/03/2016</t>
  </si>
  <si>
    <t>08/04/2016</t>
  </si>
  <si>
    <t>08/05/2016</t>
  </si>
  <si>
    <t>08/08/2016</t>
  </si>
  <si>
    <t>08/09/2016</t>
  </si>
  <si>
    <t>08/10/2016</t>
  </si>
  <si>
    <t>08/11/2016</t>
  </si>
  <si>
    <t>08/12/2016</t>
  </si>
  <si>
    <t>08/15/2016</t>
  </si>
  <si>
    <t>08/16/2016</t>
  </si>
  <si>
    <t>08/17/2016</t>
  </si>
  <si>
    <t>08/18/2016</t>
  </si>
  <si>
    <t>08/19/2016</t>
  </si>
  <si>
    <t>08/22/2016</t>
  </si>
  <si>
    <t>08/23/2016</t>
  </si>
  <si>
    <t>08/24/2016</t>
  </si>
  <si>
    <t>08/25/2016</t>
  </si>
  <si>
    <t>08/26/2016</t>
  </si>
  <si>
    <t>08/29/2016</t>
  </si>
  <si>
    <t>08/30/2016</t>
  </si>
  <si>
    <t>08/31/2016</t>
  </si>
  <si>
    <t>09/01/2016</t>
  </si>
  <si>
    <t>09/02/2016</t>
  </si>
  <si>
    <t>09/05/2016</t>
  </si>
  <si>
    <t>09/06/2016</t>
  </si>
  <si>
    <t>09/07/2016</t>
  </si>
  <si>
    <t>09/08/2016</t>
  </si>
  <si>
    <t>09/09/2016</t>
  </si>
  <si>
    <t>09/12/2016</t>
  </si>
  <si>
    <t>09/13/2016</t>
  </si>
  <si>
    <t>09/14/2016</t>
  </si>
  <si>
    <t>09/15/2016</t>
  </si>
  <si>
    <t>09/16/2016</t>
  </si>
  <si>
    <t>09/19/2016</t>
  </si>
  <si>
    <t>09/20/2016</t>
  </si>
  <si>
    <t>09/21/2016</t>
  </si>
  <si>
    <t>09/22/2016</t>
  </si>
  <si>
    <t>09/23/2016</t>
  </si>
  <si>
    <t>09/26/2016</t>
  </si>
  <si>
    <t>09/27/2016</t>
  </si>
  <si>
    <t>09/28/2016</t>
  </si>
  <si>
    <t>09/29/2016</t>
  </si>
  <si>
    <t>09/30/2016</t>
  </si>
  <si>
    <t>10/03/2016</t>
  </si>
  <si>
    <t>10/04/2016</t>
  </si>
  <si>
    <t>10/05/2016</t>
  </si>
  <si>
    <t>10/06/2016</t>
  </si>
  <si>
    <t>10/07/2016</t>
  </si>
  <si>
    <t>10/10/2016</t>
  </si>
  <si>
    <t>10/11/2016</t>
  </si>
  <si>
    <t>10/12/2016</t>
  </si>
  <si>
    <t>10/13/2016</t>
  </si>
  <si>
    <t>10/14/2016</t>
  </si>
  <si>
    <t>10/17/2016</t>
  </si>
  <si>
    <t>10/18/2016</t>
  </si>
  <si>
    <t>10/19/2016</t>
  </si>
  <si>
    <t>10/20/2016</t>
  </si>
  <si>
    <t>10/21/2016</t>
  </si>
  <si>
    <t>10/24/2016</t>
  </si>
  <si>
    <t>10/25/2016</t>
  </si>
  <si>
    <t>10/26/2016</t>
  </si>
  <si>
    <t>10/27/2016</t>
  </si>
  <si>
    <t>10/28/2016</t>
  </si>
  <si>
    <t>10/31/2016</t>
  </si>
  <si>
    <t>11/01/2016</t>
  </si>
  <si>
    <t>11/02/2016</t>
  </si>
  <si>
    <t>11/03/2016</t>
  </si>
  <si>
    <t>11/04/2016</t>
  </si>
  <si>
    <t>11/07/2016</t>
  </si>
  <si>
    <t>11/08/2016</t>
  </si>
  <si>
    <t>11/09/2016</t>
  </si>
  <si>
    <t>11/10/2016</t>
  </si>
  <si>
    <t>11/11/2016</t>
  </si>
  <si>
    <t>11/14/2016</t>
  </si>
  <si>
    <t>11/15/2016</t>
  </si>
  <si>
    <t>11/16/2016</t>
  </si>
  <si>
    <t>11/17/2016</t>
  </si>
  <si>
    <t>11/18/2016</t>
  </si>
  <si>
    <t>11/21/2016</t>
  </si>
  <si>
    <t>11/22/2016</t>
  </si>
  <si>
    <t>11/23/2016</t>
  </si>
  <si>
    <t>11/24/2016</t>
  </si>
  <si>
    <t>11/25/2016</t>
  </si>
  <si>
    <t>11/28/2016</t>
  </si>
  <si>
    <t>11/29/2016</t>
  </si>
  <si>
    <t>11/30/2016</t>
  </si>
  <si>
    <t>12/01/2016</t>
  </si>
  <si>
    <t>12/02/2016</t>
  </si>
  <si>
    <t>12/05/2016</t>
  </si>
  <si>
    <t>12/06/2016</t>
  </si>
  <si>
    <t>12/07/2016</t>
  </si>
  <si>
    <t>12/08/2016</t>
  </si>
  <si>
    <t>12/09/2016</t>
  </si>
  <si>
    <t>12/12/2016</t>
  </si>
  <si>
    <t>12/13/2016</t>
  </si>
  <si>
    <t>12/14/2016</t>
  </si>
  <si>
    <t>12/15/2016</t>
  </si>
  <si>
    <t>12/16/2016</t>
  </si>
  <si>
    <t>12/19/2016</t>
  </si>
  <si>
    <t>12/20/2016</t>
  </si>
  <si>
    <t>12/21/2016</t>
  </si>
  <si>
    <t>12/22/2016</t>
  </si>
  <si>
    <t>12/23/2016</t>
  </si>
  <si>
    <t>12/26/2016</t>
  </si>
  <si>
    <t>12/27/2016</t>
  </si>
  <si>
    <t>12/28/2016</t>
  </si>
  <si>
    <t>12/29/2016</t>
  </si>
  <si>
    <t>12/30/2016</t>
  </si>
  <si>
    <t>01/02/2017</t>
  </si>
  <si>
    <t>01/03/2017</t>
  </si>
  <si>
    <t>01/04/2017</t>
  </si>
  <si>
    <t>01/05/2017</t>
  </si>
  <si>
    <t>01/06/2017</t>
  </si>
  <si>
    <t>01/09/2017</t>
  </si>
  <si>
    <t>01/10/2017</t>
  </si>
  <si>
    <t>01/11/2017</t>
  </si>
  <si>
    <t>01/12/2017</t>
  </si>
  <si>
    <t>01/13/2017</t>
  </si>
  <si>
    <t>01/16/2017</t>
  </si>
  <si>
    <t>01/17/2017</t>
  </si>
  <si>
    <t>01/18/2017</t>
  </si>
  <si>
    <t>01/19/2017</t>
  </si>
  <si>
    <t>01/20/2017</t>
  </si>
  <si>
    <t>01/23/2017</t>
  </si>
  <si>
    <t>01/24/2017</t>
  </si>
  <si>
    <t>01/25/2017</t>
  </si>
  <si>
    <t>01/26/2017</t>
  </si>
  <si>
    <t>01/27/2017</t>
  </si>
  <si>
    <t>01/30/2017</t>
  </si>
  <si>
    <t>01/31/2017</t>
  </si>
  <si>
    <t>02/01/2017</t>
  </si>
  <si>
    <t>02/02/2017</t>
  </si>
  <si>
    <t>02/03/2017</t>
  </si>
  <si>
    <t>02/06/2017</t>
  </si>
  <si>
    <t>02/07/2017</t>
  </si>
  <si>
    <t>02/08/2017</t>
  </si>
  <si>
    <t>02/09/2017</t>
  </si>
  <si>
    <t>02/10/2017</t>
  </si>
  <si>
    <t>02/13/2017</t>
  </si>
  <si>
    <t>02/14/2017</t>
  </si>
  <si>
    <t>02/15/2017</t>
  </si>
  <si>
    <t>02/16/2017</t>
  </si>
  <si>
    <t>02/17/2017</t>
  </si>
  <si>
    <t>02/20/2017</t>
  </si>
  <si>
    <t>02/21/2017</t>
  </si>
  <si>
    <t>02/22/2017</t>
  </si>
  <si>
    <t>02/23/2017</t>
  </si>
  <si>
    <t>02/24/2017</t>
  </si>
  <si>
    <t>02/27/2017</t>
  </si>
  <si>
    <t>02/28/2017</t>
  </si>
  <si>
    <t>03/01/2017</t>
  </si>
  <si>
    <t>03/02/2017</t>
  </si>
  <si>
    <t>03/03/2017</t>
  </si>
  <si>
    <t>03/06/2017</t>
  </si>
  <si>
    <t>03/07/2017</t>
  </si>
  <si>
    <t>03/08/2017</t>
  </si>
  <si>
    <t>03/09/2017</t>
  </si>
  <si>
    <t>03/10/2017</t>
  </si>
  <si>
    <t>03/13/2017</t>
  </si>
  <si>
    <t>03/14/2017</t>
  </si>
  <si>
    <t>03/15/2017</t>
  </si>
  <si>
    <t>03/16/2017</t>
  </si>
  <si>
    <t>03/17/2017</t>
  </si>
  <si>
    <t>03/20/2017</t>
  </si>
  <si>
    <t>03/21/2017</t>
  </si>
  <si>
    <t>03/22/2017</t>
  </si>
  <si>
    <t>03/23/2017</t>
  </si>
  <si>
    <t>03/24/2017</t>
  </si>
  <si>
    <t>03/27/2017</t>
  </si>
  <si>
    <t>03/28/2017</t>
  </si>
  <si>
    <t>03/29/2017</t>
  </si>
  <si>
    <t>03/30/2017</t>
  </si>
  <si>
    <t>03/31/2017</t>
  </si>
  <si>
    <t>04/03/2017</t>
  </si>
  <si>
    <t>04/04/2017</t>
  </si>
  <si>
    <t>04/05/2017</t>
  </si>
  <si>
    <t>04/06/2017</t>
  </si>
  <si>
    <t>04/07/2017</t>
  </si>
  <si>
    <t>04/10/2017</t>
  </si>
  <si>
    <t>04/11/2017</t>
  </si>
  <si>
    <t>04/12/2017</t>
  </si>
  <si>
    <t>04/13/2017</t>
  </si>
  <si>
    <t>04/14/2017</t>
  </si>
  <si>
    <t>04/17/2017</t>
  </si>
  <si>
    <t>04/18/2017</t>
  </si>
  <si>
    <t>04/19/2017</t>
  </si>
  <si>
    <t>04/20/2017</t>
  </si>
  <si>
    <t>04/21/2017</t>
  </si>
  <si>
    <t>04/24/2017</t>
  </si>
  <si>
    <t>04/25/2017</t>
  </si>
  <si>
    <t>04/26/2017</t>
  </si>
  <si>
    <t>04/27/2017</t>
  </si>
  <si>
    <t>04/28/2017</t>
  </si>
  <si>
    <t>05/01/2017</t>
  </si>
  <si>
    <t>05/02/2017</t>
  </si>
  <si>
    <t>05/03/2017</t>
  </si>
  <si>
    <t>05/04/2017</t>
  </si>
  <si>
    <t>05/05/2017</t>
  </si>
  <si>
    <t>05/08/2017</t>
  </si>
  <si>
    <t>05/09/2017</t>
  </si>
  <si>
    <t>05/10/2017</t>
  </si>
  <si>
    <t>05/11/2017</t>
  </si>
  <si>
    <t>05/12/2017</t>
  </si>
  <si>
    <t>05/15/2017</t>
  </si>
  <si>
    <t>05/16/2017</t>
  </si>
  <si>
    <t>05/17/2017</t>
  </si>
  <si>
    <t>05/18/2017</t>
  </si>
  <si>
    <t>05/19/2017</t>
  </si>
  <si>
    <t>05/22/2017</t>
  </si>
  <si>
    <t>05/23/2017</t>
  </si>
  <si>
    <t>05/24/2017</t>
  </si>
  <si>
    <t>05/25/2017</t>
  </si>
  <si>
    <t>05/26/2017</t>
  </si>
  <si>
    <t>05/29/2017</t>
  </si>
  <si>
    <t>05/30/2017</t>
  </si>
  <si>
    <t>05/31/2017</t>
  </si>
  <si>
    <t>06/01/2017</t>
  </si>
  <si>
    <t>06/02/2017</t>
  </si>
  <si>
    <t>06/05/2017</t>
  </si>
  <si>
    <t>06/06/2017</t>
  </si>
  <si>
    <t>06/07/2017</t>
  </si>
  <si>
    <t>06/08/2017</t>
  </si>
  <si>
    <t>06/09/2017</t>
  </si>
  <si>
    <t>06/12/2017</t>
  </si>
  <si>
    <t>06/13/2017</t>
  </si>
  <si>
    <t>06/14/2017</t>
  </si>
  <si>
    <t>06/15/2017</t>
  </si>
  <si>
    <t>06/16/2017</t>
  </si>
  <si>
    <t>06/19/2017</t>
  </si>
  <si>
    <t>06/20/2017</t>
  </si>
  <si>
    <t>06/21/2017</t>
  </si>
  <si>
    <t>06/22/2017</t>
  </si>
  <si>
    <t>06/23/2017</t>
  </si>
  <si>
    <t>06/26/2017</t>
  </si>
  <si>
    <t>06/27/2017</t>
  </si>
  <si>
    <t>06/28/2017</t>
  </si>
  <si>
    <t>06/29/2017</t>
  </si>
  <si>
    <t>06/30/2017</t>
  </si>
  <si>
    <t>07/03/2017</t>
  </si>
  <si>
    <t>07/04/2017</t>
  </si>
  <si>
    <t>07/05/2017</t>
  </si>
  <si>
    <t>07/06/2017</t>
  </si>
  <si>
    <t>07/07/2017</t>
  </si>
  <si>
    <t>07/10/2017</t>
  </si>
  <si>
    <t>07/11/2017</t>
  </si>
  <si>
    <t>07/12/2017</t>
  </si>
  <si>
    <t>07/13/2017</t>
  </si>
  <si>
    <t>07/14/2017</t>
  </si>
  <si>
    <t>07/17/2017</t>
  </si>
  <si>
    <t>07/18/2017</t>
  </si>
  <si>
    <t>07/19/2017</t>
  </si>
  <si>
    <t>07/20/2017</t>
  </si>
  <si>
    <t>07/21/2017</t>
  </si>
  <si>
    <t>07/24/2017</t>
  </si>
  <si>
    <t>07/25/2017</t>
  </si>
  <si>
    <t>07/26/2017</t>
  </si>
  <si>
    <t>07/27/2017</t>
  </si>
  <si>
    <t>07/28/2017</t>
  </si>
  <si>
    <t>07/31/2017</t>
  </si>
  <si>
    <t>08/01/2017</t>
  </si>
  <si>
    <t>08/02/2017</t>
  </si>
  <si>
    <t>08/03/2017</t>
  </si>
  <si>
    <t>08/04/2017</t>
  </si>
  <si>
    <t>08/07/2017</t>
  </si>
  <si>
    <t>08/08/2017</t>
  </si>
  <si>
    <t>08/09/2017</t>
  </si>
  <si>
    <t>08/10/2017</t>
  </si>
  <si>
    <t>08/11/2017</t>
  </si>
  <si>
    <t>08/14/2017</t>
  </si>
  <si>
    <t>08/15/2017</t>
  </si>
  <si>
    <t>08/16/2017</t>
  </si>
  <si>
    <t>08/17/2017</t>
  </si>
  <si>
    <t>08/18/2017</t>
  </si>
  <si>
    <t>08/21/2017</t>
  </si>
  <si>
    <t>08/22/2017</t>
  </si>
  <si>
    <t>08/23/2017</t>
  </si>
  <si>
    <t>08/24/2017</t>
  </si>
  <si>
    <t>08/25/2017</t>
  </si>
  <si>
    <t>08/28/2017</t>
  </si>
  <si>
    <t>08/29/2017</t>
  </si>
  <si>
    <t>08/30/2017</t>
  </si>
  <si>
    <t>08/31/2017</t>
  </si>
  <si>
    <t>09/01/2017</t>
  </si>
  <si>
    <t>09/04/2017</t>
  </si>
  <si>
    <t>09/05/2017</t>
  </si>
  <si>
    <t>09/06/2017</t>
  </si>
  <si>
    <t>09/07/2017</t>
  </si>
  <si>
    <t>09/08/2017</t>
  </si>
  <si>
    <t>09/11/2017</t>
  </si>
  <si>
    <t>09/12/2017</t>
  </si>
  <si>
    <t>09/13/2017</t>
  </si>
  <si>
    <t>09/14/2017</t>
  </si>
  <si>
    <t>09/15/2017</t>
  </si>
  <si>
    <t>09/18/2017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</si>
  <si>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</si>
  <si>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</si>
  <si>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</si>
  <si>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</si>
  <si>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</si>
  <si>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</si>
  <si>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</si>
  <si>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</si>
  <si>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09/29/2017</t>
  </si>
  <si>
    <t>10/02/2017</t>
  </si>
  <si>
    <t>10/03/2017</t>
  </si>
  <si>
    <t>10/04/2017</t>
  </si>
  <si>
    <t>10/05/2017</t>
  </si>
  <si>
    <t>10/06/2017</t>
  </si>
  <si>
    <t>10/09/2017</t>
  </si>
  <si>
    <t>10/10/2017</t>
  </si>
  <si>
    <t>10/11/2017</t>
  </si>
  <si>
    <t>10/12/2017</t>
  </si>
  <si>
    <t>10/13/2017</t>
  </si>
  <si>
    <t>10/16/2017</t>
  </si>
  <si>
    <t>10/17/2017</t>
  </si>
  <si>
    <t>10/18/2017</t>
  </si>
  <si>
    <t>10/19/2017</t>
  </si>
  <si>
    <t>10/20/2017</t>
  </si>
  <si>
    <t>10/23/2017</t>
  </si>
  <si>
    <t>10/24/2017</t>
  </si>
  <si>
    <t>10/25/2017</t>
  </si>
  <si>
    <t>10/26/2017</t>
  </si>
  <si>
    <t>10/27/2017</t>
  </si>
  <si>
    <t>10/30/2017</t>
  </si>
  <si>
    <t>10/31/2017</t>
  </si>
  <si>
    <t>11/01/2017</t>
  </si>
  <si>
    <t>11/02/2017</t>
  </si>
  <si>
    <t>11/03/2017</t>
  </si>
  <si>
    <t>11/06/2017</t>
  </si>
  <si>
    <t>11/07/2017</t>
  </si>
  <si>
    <t>11/08/2017</t>
  </si>
  <si>
    <t>11/09/2017</t>
  </si>
  <si>
    <t>11/10/2017</t>
  </si>
  <si>
    <t>11/13/2017</t>
  </si>
  <si>
    <t>11/14/2017</t>
  </si>
  <si>
    <t>11/15/2017</t>
  </si>
  <si>
    <t>11/16/2017</t>
  </si>
  <si>
    <t>11/17/2017</t>
  </si>
  <si>
    <t>11/20/2017</t>
  </si>
  <si>
    <t>11/21/2017</t>
  </si>
  <si>
    <t>11/22/2017</t>
  </si>
  <si>
    <t>11/23/2017</t>
  </si>
  <si>
    <t>11/24/2017</t>
  </si>
  <si>
    <t>11/27/2017</t>
  </si>
  <si>
    <t>11/28/2017</t>
  </si>
  <si>
    <t>11/29/2017</t>
  </si>
  <si>
    <t>11/30/2017</t>
  </si>
  <si>
    <t>12/01/2017</t>
  </si>
  <si>
    <t>12/04/2017</t>
  </si>
  <si>
    <t>12/05/2017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</si>
  <si>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</si>
  <si>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</si>
  <si>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</si>
  <si>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</si>
  <si>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</si>
  <si>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</si>
  <si>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</si>
  <si>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12/15/2017</t>
  </si>
  <si>
    <t>12/18/2017</t>
  </si>
  <si>
    <t>12/19/2017</t>
  </si>
  <si>
    <t>12/20/2017</t>
  </si>
  <si>
    <t>12/21/2017</t>
  </si>
  <si>
    <t>12/22/2017</t>
  </si>
  <si>
    <t>12/25/2017</t>
  </si>
  <si>
    <t>12/26/2017</t>
  </si>
  <si>
    <t>12/27/2017</t>
  </si>
  <si>
    <t>12/28/2017</t>
  </si>
  <si>
    <t>12/29/2017</t>
  </si>
  <si>
    <t>01/01/2018</t>
  </si>
  <si>
    <t>01/02/2018</t>
  </si>
  <si>
    <t>01/03/2018</t>
  </si>
  <si>
    <t>01/04/2018</t>
  </si>
  <si>
    <t>01/05/2018</t>
  </si>
  <si>
    <t>01/08/2018</t>
  </si>
  <si>
    <t>01/09/2018</t>
  </si>
  <si>
    <t>01/10/2018</t>
  </si>
  <si>
    <t>01/11/2018</t>
  </si>
  <si>
    <t>01/12/2018</t>
  </si>
  <si>
    <t>01/15/2018</t>
  </si>
  <si>
    <t>01/16/2018</t>
  </si>
  <si>
    <t>01/17/2018</t>
  </si>
  <si>
    <t>01/18/2018</t>
  </si>
  <si>
    <t>01/19/2018</t>
  </si>
  <si>
    <t>01/22/2018</t>
  </si>
  <si>
    <t>01/23/2018</t>
  </si>
  <si>
    <t>01/24/2018</t>
  </si>
  <si>
    <t>01/25/2018</t>
  </si>
  <si>
    <t>01/26/2018</t>
  </si>
  <si>
    <t>01/29/2018</t>
  </si>
  <si>
    <t>01/30/2018</t>
  </si>
  <si>
    <t>01/31/2018</t>
  </si>
  <si>
    <t>02/01/2018</t>
  </si>
  <si>
    <t>02/02/2018</t>
  </si>
  <si>
    <t>02/05/2018</t>
  </si>
  <si>
    <t>02/06/2018</t>
  </si>
  <si>
    <t>02/07/2018</t>
  </si>
  <si>
    <t>02/08/2018</t>
  </si>
  <si>
    <t>02/09/2018</t>
  </si>
  <si>
    <t>02/12/2018</t>
  </si>
  <si>
    <t>02/13/2018</t>
  </si>
  <si>
    <t>02/14/2018</t>
  </si>
  <si>
    <t>02/15/2018</t>
  </si>
  <si>
    <t>02/16/2018</t>
  </si>
  <si>
    <t>02/19/2018</t>
  </si>
  <si>
    <t>02/20/2018</t>
  </si>
  <si>
    <t>02/21/2018</t>
  </si>
  <si>
    <t>02/22/2018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</si>
  <si>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</si>
  <si>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</si>
  <si>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</si>
  <si>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</si>
  <si>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</si>
  <si>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</si>
  <si>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</si>
  <si>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</si>
  <si>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</si>
  <si>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</si>
  <si>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</si>
  <si>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</si>
  <si>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</si>
  <si>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</si>
  <si>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</si>
  <si>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</si>
  <si>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</si>
  <si>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</si>
  <si>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</si>
  <si>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</si>
  <si>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</si>
  <si>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</si>
  <si>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</si>
  <si>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</si>
  <si>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</si>
  <si>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03/30/2018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</si>
  <si>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</si>
  <si>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</si>
  <si>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</si>
  <si>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</si>
  <si>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</si>
  <si>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</si>
  <si>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</si>
  <si>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</si>
  <si>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</si>
  <si>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</si>
  <si>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</si>
  <si>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</si>
  <si>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</si>
  <si>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</si>
  <si>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</si>
  <si>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04/23/2018</t>
  </si>
  <si>
    <t>04/24/2018</t>
  </si>
  <si>
    <t>04/25/2018</t>
  </si>
  <si>
    <t>04/26/2018</t>
  </si>
  <si>
    <t>04/27/2018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</si>
  <si>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</si>
  <si>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</si>
  <si>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</si>
  <si>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</si>
  <si>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</si>
  <si>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</si>
  <si>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</si>
  <si>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</si>
  <si>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</si>
  <si>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</si>
  <si>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</si>
  <si>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</si>
  <si>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</si>
  <si>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</si>
  <si>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</si>
  <si>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</si>
  <si>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05/22/2018</t>
  </si>
  <si>
    <t>05/23/2018</t>
  </si>
  <si>
    <t>05/24/2018</t>
  </si>
  <si>
    <t>05/25/2018</t>
  </si>
  <si>
    <t>05/28/2018</t>
  </si>
  <si>
    <t>05/29/2018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</si>
  <si>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</si>
  <si>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</si>
  <si>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</si>
  <si>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</si>
  <si>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</si>
  <si>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</si>
  <si>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</si>
  <si>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</si>
  <si>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</si>
  <si>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</si>
  <si>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</si>
  <si>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</si>
  <si>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</si>
  <si>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</si>
  <si>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06/19/2018</t>
  </si>
  <si>
    <t>06/20/2018</t>
  </si>
  <si>
    <t>06/21/2018</t>
  </si>
  <si>
    <t>06/22/2018</t>
  </si>
  <si>
    <t>06/25/2018</t>
  </si>
  <si>
    <t>06/26/2018</t>
  </si>
  <si>
    <t>06/27/2018</t>
  </si>
  <si>
    <t>06/28/2018</t>
  </si>
  <si>
    <t>06/29/2018</t>
  </si>
  <si>
    <t>07/02/2018</t>
  </si>
  <si>
    <t>07/03/2018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</si>
  <si>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</si>
  <si>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</si>
  <si>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</si>
  <si>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</si>
  <si>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</si>
  <si>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</si>
  <si>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</si>
  <si>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</si>
  <si>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</si>
  <si>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</si>
  <si>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</si>
  <si>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</si>
  <si>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07/20/2018</t>
  </si>
  <si>
    <t>07/23/2018</t>
  </si>
  <si>
    <t>07/24/2018</t>
  </si>
  <si>
    <t>07/25/2018</t>
  </si>
  <si>
    <t>07/26/2018</t>
  </si>
  <si>
    <t>07/27/2018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</si>
  <si>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</si>
  <si>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</si>
  <si>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</si>
  <si>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</si>
  <si>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</si>
  <si>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</si>
  <si>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</si>
  <si>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</si>
  <si>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</si>
  <si>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</si>
  <si>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</si>
  <si>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</si>
  <si>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08/15/2018</t>
  </si>
  <si>
    <t>08/16/2018</t>
  </si>
  <si>
    <t>08/17/2018</t>
  </si>
  <si>
    <t>08/20/2018</t>
  </si>
  <si>
    <t>08/21/2018</t>
  </si>
  <si>
    <t>08/22/2018</t>
  </si>
  <si>
    <t>08/23/2018</t>
  </si>
  <si>
    <t>08/24/2018</t>
  </si>
  <si>
    <t>08/27/2018</t>
  </si>
  <si>
    <t>08/28/2018</t>
  </si>
  <si>
    <t>08/29/2018</t>
  </si>
  <si>
    <t>08/30/2018</t>
  </si>
  <si>
    <t>08/31/2018</t>
  </si>
  <si>
    <t>09/03/2018</t>
  </si>
  <si>
    <t>09/04/2018</t>
  </si>
  <si>
    <t>09/05/2018</t>
  </si>
  <si>
    <t>09/06/2018</t>
  </si>
  <si>
    <t>09/07/2018</t>
  </si>
  <si>
    <t>09/10/2018</t>
  </si>
  <si>
    <t>09/11/2018</t>
  </si>
  <si>
    <t>09/12/2018</t>
  </si>
  <si>
    <t>09/13/2018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</si>
  <si>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</si>
  <si>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</si>
  <si>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</si>
  <si>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</si>
  <si>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</si>
  <si>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</si>
  <si>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</si>
  <si>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</si>
  <si>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</si>
  <si>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09/27/2018</t>
  </si>
  <si>
    <t>09/28/2018</t>
  </si>
  <si>
    <t>10/01/2018</t>
  </si>
  <si>
    <t>10/02/2018</t>
  </si>
  <si>
    <t>10/03/2018</t>
  </si>
  <si>
    <t>10/04/2018</t>
  </si>
  <si>
    <t>10/05/2018</t>
  </si>
  <si>
    <t>10/08/2018</t>
  </si>
  <si>
    <t>10/09/2018</t>
  </si>
  <si>
    <t>10/10/2018</t>
  </si>
  <si>
    <t>10/11/2018</t>
  </si>
  <si>
    <t>10/12/2018</t>
  </si>
  <si>
    <t>10/15/2018</t>
  </si>
  <si>
    <t>10/16/2018</t>
  </si>
  <si>
    <t>10/17/2018</t>
  </si>
  <si>
    <t>10/18/2018</t>
  </si>
  <si>
    <t>10/19/2018</t>
  </si>
  <si>
    <t>10/22/2018</t>
  </si>
  <si>
    <t>10/23/2018</t>
  </si>
  <si>
    <t>10/24/2018</t>
  </si>
  <si>
    <t>10/25/2018</t>
  </si>
  <si>
    <t>10/26/2018</t>
  </si>
  <si>
    <t>10/29/2018</t>
  </si>
  <si>
    <t>10/30/2018</t>
  </si>
  <si>
    <t>10/31/2018</t>
  </si>
  <si>
    <t>11/01/2018</t>
  </si>
  <si>
    <t>11/02/2018</t>
  </si>
  <si>
    <t>11/05/2018</t>
  </si>
  <si>
    <t>11/06/2018</t>
  </si>
  <si>
    <t>11/07/2018</t>
  </si>
  <si>
    <t>11/08/2018</t>
  </si>
  <si>
    <t>11/09/2018</t>
  </si>
  <si>
    <t>11/12/2018</t>
  </si>
  <si>
    <t>11/13/2018</t>
  </si>
  <si>
    <t>11/14/2018</t>
  </si>
  <si>
    <t>11/15/2018</t>
  </si>
  <si>
    <t>11/16/2018</t>
  </si>
  <si>
    <t>11/19/2018</t>
  </si>
  <si>
    <t>11/20/2018</t>
  </si>
  <si>
    <t>11/21/2018</t>
  </si>
  <si>
    <t>11/22/2018</t>
  </si>
  <si>
    <t>11/23/2018</t>
  </si>
  <si>
    <t>11/26/2018</t>
  </si>
  <si>
    <t>11/27/2018</t>
  </si>
  <si>
    <t>11/28/2018</t>
  </si>
  <si>
    <t>11/29/2018</t>
  </si>
  <si>
    <t>11/30/2018</t>
  </si>
  <si>
    <t>12/03/2018</t>
  </si>
  <si>
    <t>12/04/2018</t>
  </si>
  <si>
    <t>12/05/2018</t>
  </si>
  <si>
    <t>12/06/2018</t>
  </si>
  <si>
    <t>12/07/2018</t>
  </si>
  <si>
    <t>12/10/2018</t>
  </si>
  <si>
    <t>12/11/2018</t>
  </si>
  <si>
    <t>12/12/2018</t>
  </si>
  <si>
    <t>12/13/2018</t>
  </si>
  <si>
    <t>12/14/2018</t>
  </si>
  <si>
    <t>12/17/2018</t>
  </si>
  <si>
    <t>12/18/2018</t>
  </si>
  <si>
    <t>12/19/2018</t>
  </si>
  <si>
    <t>12/20/2018</t>
  </si>
  <si>
    <t>12/21/2018</t>
  </si>
  <si>
    <t>12/24/2018</t>
  </si>
  <si>
    <t>12/25/2018</t>
  </si>
  <si>
    <t>12/26/2018</t>
  </si>
  <si>
    <t>12/27/2018</t>
  </si>
  <si>
    <t>12/28/2018</t>
  </si>
  <si>
    <t>12/31/2018</t>
  </si>
  <si>
    <t>01/01/2019</t>
  </si>
  <si>
    <t>01/02/2019</t>
  </si>
  <si>
    <t>01/03/2019</t>
  </si>
  <si>
    <t>01/04/2019</t>
  </si>
  <si>
    <t>01/07/2019</t>
  </si>
  <si>
    <t>01/08/2019</t>
  </si>
  <si>
    <t>01/09/2019</t>
  </si>
  <si>
    <t>01/10/2019</t>
  </si>
  <si>
    <t>01/11/2019</t>
  </si>
  <si>
    <t>01/14/2019</t>
  </si>
  <si>
    <t>01/15/2019</t>
  </si>
  <si>
    <t>01/16/2019</t>
  </si>
  <si>
    <t>01/17/2019</t>
  </si>
  <si>
    <t>01/18/2019</t>
  </si>
  <si>
    <t>01/21/2019</t>
  </si>
  <si>
    <t>01/22/2019</t>
  </si>
  <si>
    <t>01/23/2019</t>
  </si>
  <si>
    <t>01/24/2019</t>
  </si>
  <si>
    <t>01/25/2019</t>
  </si>
  <si>
    <t>01/28/2019</t>
  </si>
  <si>
    <t>01/29/2019</t>
  </si>
  <si>
    <t>01/30/2019</t>
  </si>
  <si>
    <t>01/31/2019</t>
  </si>
  <si>
    <t>02/01/2019</t>
  </si>
  <si>
    <t>02/04/2019</t>
  </si>
  <si>
    <t>02/05/2019</t>
  </si>
  <si>
    <t>02/06/2019</t>
  </si>
  <si>
    <t>02/07/2019</t>
  </si>
  <si>
    <t>02/08/2019</t>
  </si>
  <si>
    <t>02/11/2019</t>
  </si>
  <si>
    <t>02/12/2019</t>
  </si>
  <si>
    <t>02/13/2019</t>
  </si>
  <si>
    <t>02/14/2019</t>
  </si>
  <si>
    <t>02/15/2019</t>
  </si>
  <si>
    <t>02/18/2019</t>
  </si>
  <si>
    <t>02/19/2019</t>
  </si>
  <si>
    <t>02/20/2019</t>
  </si>
  <si>
    <t>02/21/2019</t>
  </si>
  <si>
    <t>02/22/2019</t>
  </si>
  <si>
    <t>02/25/2019</t>
  </si>
  <si>
    <t>02/26/2019</t>
  </si>
  <si>
    <t>02/27/2019</t>
  </si>
  <si>
    <t>02/28/2019</t>
  </si>
  <si>
    <t>03/01/2019</t>
  </si>
  <si>
    <t>03/04/2019</t>
  </si>
  <si>
    <t>03/05/2019</t>
  </si>
  <si>
    <t>03/06/2019</t>
  </si>
  <si>
    <t>03/07/2019</t>
  </si>
  <si>
    <t>03/08/2019</t>
  </si>
  <si>
    <t>03/11/2019</t>
  </si>
  <si>
    <t>03/12/2019</t>
  </si>
  <si>
    <t>03/13/2019</t>
  </si>
  <si>
    <t>03/14/2019</t>
  </si>
  <si>
    <t>03/15/2019</t>
  </si>
  <si>
    <t>03/18/2019</t>
  </si>
  <si>
    <t>03/19/2019</t>
  </si>
  <si>
    <t>03/20/2019</t>
  </si>
  <si>
    <t>03/21/2019</t>
  </si>
  <si>
    <t>03/22/2019</t>
  </si>
  <si>
    <t>03/25/2019</t>
  </si>
  <si>
    <t>03/26/2019</t>
  </si>
  <si>
    <t>03/27/2019</t>
  </si>
  <si>
    <t>03/28/2019</t>
  </si>
  <si>
    <t>03/29/2019</t>
  </si>
  <si>
    <t>04/01/2019</t>
  </si>
  <si>
    <t>04/02/2019</t>
  </si>
  <si>
    <t>04/03/2019</t>
  </si>
  <si>
    <t>04/04/2019</t>
  </si>
  <si>
    <t>04/05/2019</t>
  </si>
  <si>
    <t>04/08/2019</t>
  </si>
  <si>
    <t>04/09/2019</t>
  </si>
  <si>
    <t>04/10/2019</t>
  </si>
  <si>
    <t>04/11/2019</t>
  </si>
  <si>
    <t>04/12/2019</t>
  </si>
  <si>
    <t>04/15/2019</t>
  </si>
  <si>
    <t>04/16/2019</t>
  </si>
  <si>
    <t>04/17/2019</t>
  </si>
  <si>
    <t>04/18/2019</t>
  </si>
  <si>
    <t>04/19/2019</t>
  </si>
  <si>
    <t>04/22/2019</t>
  </si>
  <si>
    <t>04/23/2019</t>
  </si>
  <si>
    <t>04/24/2019</t>
  </si>
  <si>
    <t>04/25/2019</t>
  </si>
  <si>
    <t>04/26/2019</t>
  </si>
  <si>
    <t>04/29/2019</t>
  </si>
  <si>
    <t>04/30/2019</t>
  </si>
  <si>
    <t>05/01/2019</t>
  </si>
  <si>
    <t>05/02/2019</t>
  </si>
  <si>
    <t>05/03/2019</t>
  </si>
  <si>
    <t>05/06/2019</t>
  </si>
  <si>
    <t>05/07/2019</t>
  </si>
  <si>
    <t>05/08/2019</t>
  </si>
  <si>
    <t>05/09/2019</t>
  </si>
  <si>
    <t>05/10/2019</t>
  </si>
  <si>
    <t>05/13/2019</t>
  </si>
  <si>
    <t>05/14/2019</t>
  </si>
  <si>
    <t>05/15/2019</t>
  </si>
  <si>
    <t>05/16/2019</t>
  </si>
  <si>
    <t>05/17/2019</t>
  </si>
  <si>
    <t>05/20/2019</t>
  </si>
  <si>
    <t>05/21/2019</t>
  </si>
  <si>
    <t>05/22/2019</t>
  </si>
  <si>
    <t>05/23/2019</t>
  </si>
  <si>
    <t>05/24/2019</t>
  </si>
  <si>
    <t>05/27/2019</t>
  </si>
  <si>
    <t>05/28/2019</t>
  </si>
  <si>
    <t>05/29/2019</t>
  </si>
  <si>
    <t>05/30/2019</t>
  </si>
  <si>
    <t>05/31/2019</t>
  </si>
  <si>
    <t>06/03/2019</t>
  </si>
  <si>
    <t>06/04/2019</t>
  </si>
  <si>
    <t>06/05/2019</t>
  </si>
  <si>
    <t>06/06/2019</t>
  </si>
  <si>
    <t>06/07/2019</t>
  </si>
  <si>
    <t>06/10/2019</t>
  </si>
  <si>
    <t>06/11/2019</t>
  </si>
  <si>
    <t>06/12/2019</t>
  </si>
  <si>
    <t>06/13/2019</t>
  </si>
  <si>
    <t>06/14/2019</t>
  </si>
  <si>
    <t>06/17/2019</t>
  </si>
  <si>
    <t>06/18/2019</t>
  </si>
  <si>
    <t>06/19/2019</t>
  </si>
  <si>
    <t>06/20/2019</t>
  </si>
  <si>
    <t>06/21/2019</t>
  </si>
  <si>
    <t>06/24/2019</t>
  </si>
  <si>
    <t>06/25/2019</t>
  </si>
  <si>
    <t>06/26/2019</t>
  </si>
  <si>
    <t>06/27/2019</t>
  </si>
  <si>
    <t>06/28/2019</t>
  </si>
  <si>
    <t>07/01/2019</t>
  </si>
  <si>
    <t>07/02/2019</t>
  </si>
  <si>
    <t>07/03/2019</t>
  </si>
  <si>
    <t>07/04/2019</t>
  </si>
  <si>
    <t>07/05/2019</t>
  </si>
  <si>
    <t>07/08/2019</t>
  </si>
  <si>
    <t>07/09/2019</t>
  </si>
  <si>
    <t>07/10/2019</t>
  </si>
  <si>
    <t>07/11/2019</t>
  </si>
  <si>
    <t>07/12/2019</t>
  </si>
  <si>
    <t>07/15/2019</t>
  </si>
  <si>
    <t>07/16/2019</t>
  </si>
  <si>
    <t>07/17/2019</t>
  </si>
  <si>
    <t>07/18/2019</t>
  </si>
  <si>
    <t>07/19/2019</t>
  </si>
  <si>
    <t>07/22/2019</t>
  </si>
  <si>
    <t>07/23/2019</t>
  </si>
  <si>
    <t>07/24/2019</t>
  </si>
  <si>
    <t>07/25/2019</t>
  </si>
  <si>
    <t>07/26/2019</t>
  </si>
  <si>
    <t>07/29/2019</t>
  </si>
  <si>
    <t>07/30/2019</t>
  </si>
  <si>
    <t>07/31/2019</t>
  </si>
  <si>
    <t>08/01/2019</t>
  </si>
  <si>
    <t>08/02/2019</t>
  </si>
  <si>
    <t>08/05/2019</t>
  </si>
  <si>
    <t>08/06/2019</t>
  </si>
  <si>
    <t>08/07/2019</t>
  </si>
  <si>
    <t>08/08/2019</t>
  </si>
  <si>
    <t>08/09/2019</t>
  </si>
  <si>
    <t>08/12/2019</t>
  </si>
  <si>
    <t>08/13/2019</t>
  </si>
  <si>
    <t>08/14/2019</t>
  </si>
  <si>
    <t>08/15/2019</t>
  </si>
  <si>
    <t>08/16/2019</t>
  </si>
  <si>
    <t>08/19/2019</t>
  </si>
  <si>
    <t>08/20/2019</t>
  </si>
  <si>
    <t>08/21/2019</t>
  </si>
  <si>
    <t>08/22/2019</t>
  </si>
  <si>
    <t>08/23/2019</t>
  </si>
  <si>
    <t>08/26/2019</t>
  </si>
  <si>
    <t>08/27/2019</t>
  </si>
  <si>
    <t>08/28/2019</t>
  </si>
  <si>
    <t>08/29/2019</t>
  </si>
  <si>
    <t>08/30/2019</t>
  </si>
  <si>
    <t>09/02/2019</t>
  </si>
  <si>
    <t>09/03/2019</t>
  </si>
  <si>
    <t>09/04/2019</t>
  </si>
  <si>
    <t>09/05/2019</t>
  </si>
  <si>
    <t>09/06/2019</t>
  </si>
  <si>
    <t>09/09/2019</t>
  </si>
  <si>
    <t>09/10/2019</t>
  </si>
  <si>
    <t>09/11/2019</t>
  </si>
  <si>
    <t>09/12/2019</t>
  </si>
  <si>
    <t>09/13/2019</t>
  </si>
  <si>
    <t>09/16/2019</t>
  </si>
  <si>
    <t>09/17/2019</t>
  </si>
  <si>
    <t>09/18/2019</t>
  </si>
  <si>
    <t>09/19/2019</t>
  </si>
  <si>
    <t>09/20/2019</t>
  </si>
  <si>
    <t>09/23/2019</t>
  </si>
  <si>
    <t>09/24/2019</t>
  </si>
  <si>
    <t>09/25/2019</t>
  </si>
  <si>
    <t>09/26/2019</t>
  </si>
  <si>
    <t>09/27/2019</t>
  </si>
  <si>
    <t>09/30/2019</t>
  </si>
  <si>
    <t>10/01/2019</t>
  </si>
  <si>
    <t>10/02/2019</t>
  </si>
  <si>
    <t>10/03/2019</t>
  </si>
  <si>
    <t>10/04/2019</t>
  </si>
  <si>
    <t>10/07/2019</t>
  </si>
  <si>
    <t>10/08/2019</t>
  </si>
  <si>
    <t>10/09/2019</t>
  </si>
  <si>
    <t>10/10/2019</t>
  </si>
  <si>
    <t>10/11/2019</t>
  </si>
  <si>
    <t>10/14/2019</t>
  </si>
  <si>
    <t>10/15/2019</t>
  </si>
  <si>
    <t>10/16/2019</t>
  </si>
  <si>
    <t>10/17/2019</t>
  </si>
  <si>
    <t>10/18/2019</t>
  </si>
  <si>
    <t>10/21/2019</t>
  </si>
  <si>
    <t>10/22/2019</t>
  </si>
  <si>
    <t>10/23/2019</t>
  </si>
  <si>
    <t>10/24/2019</t>
  </si>
  <si>
    <t>10/25/2019</t>
  </si>
  <si>
    <t>10/28/2019</t>
  </si>
  <si>
    <t>10/29/2019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</si>
  <si>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</si>
  <si>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</si>
  <si>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</si>
  <si>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</si>
  <si>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</si>
  <si>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</si>
  <si>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</si>
  <si>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11/08/2019</t>
  </si>
  <si>
    <t>11/11/2019</t>
  </si>
  <si>
    <t>11/12/2019</t>
  </si>
  <si>
    <t>11/13/2019</t>
  </si>
  <si>
    <t>11/14/2019</t>
  </si>
  <si>
    <t>11/15/2019</t>
  </si>
  <si>
    <t>11/18/2019</t>
  </si>
  <si>
    <t>11/19/2019</t>
  </si>
  <si>
    <t>11/20/2019</t>
  </si>
  <si>
    <t>11/21/2019</t>
  </si>
  <si>
    <t>11/22/2019</t>
  </si>
  <si>
    <t>11/25/2019</t>
  </si>
  <si>
    <t>11/26/2019</t>
  </si>
  <si>
    <t>11/27/2019</t>
  </si>
  <si>
    <t>11/28/2019</t>
  </si>
  <si>
    <t>11/29/2019</t>
  </si>
  <si>
    <t>12/02/2019</t>
  </si>
  <si>
    <t>12/03/2019</t>
  </si>
  <si>
    <t>12/04/2019</t>
  </si>
  <si>
    <t>12/05/2019</t>
  </si>
  <si>
    <t>12/06/2019</t>
  </si>
  <si>
    <t>12/09/2019</t>
  </si>
  <si>
    <t>12/10/2019</t>
  </si>
  <si>
    <t>12/11/2019</t>
  </si>
  <si>
    <t>12/12/2019</t>
  </si>
  <si>
    <t>12/13/2019</t>
  </si>
  <si>
    <t>12/16/2019</t>
  </si>
  <si>
    <t>12/17/2019</t>
  </si>
  <si>
    <t>12/18/2019</t>
  </si>
  <si>
    <t>12/19/2019</t>
  </si>
  <si>
    <t>12/20/2019</t>
  </si>
  <si>
    <t>12/23/2019</t>
  </si>
  <si>
    <t>12/24/2019</t>
  </si>
  <si>
    <t>12/25/2019</t>
  </si>
  <si>
    <t>12/26/2019</t>
  </si>
  <si>
    <t>12/27/2019</t>
  </si>
  <si>
    <t>12/30/2019</t>
  </si>
  <si>
    <t>12/31/2019</t>
  </si>
  <si>
    <t>01/01/2020</t>
  </si>
  <si>
    <t>01/02/2020</t>
  </si>
  <si>
    <t>01/03/2020</t>
  </si>
  <si>
    <t>01/06/2020</t>
  </si>
  <si>
    <t>01/07/2020</t>
  </si>
  <si>
    <t>01/08/2020</t>
  </si>
  <si>
    <t>01/09/2020</t>
  </si>
  <si>
    <t>01/10/2020</t>
  </si>
  <si>
    <t>01/13/2020</t>
  </si>
  <si>
    <t>01/14/2020</t>
  </si>
  <si>
    <t>01/15/2020</t>
  </si>
  <si>
    <t>01/16/2020</t>
  </si>
  <si>
    <t>01/17/2020</t>
  </si>
  <si>
    <t>01/20/2020</t>
  </si>
  <si>
    <t>01/21/2020</t>
  </si>
  <si>
    <t>01/22/2020</t>
  </si>
  <si>
    <t>01/23/2020</t>
  </si>
  <si>
    <t>01/24/2020</t>
  </si>
  <si>
    <t>01/27/2020</t>
  </si>
  <si>
    <t>01/28/2020</t>
  </si>
  <si>
    <t>01/29/2020</t>
  </si>
  <si>
    <t>01/30/2020</t>
  </si>
  <si>
    <t>01/31/2020</t>
  </si>
  <si>
    <t>02/03/2020</t>
  </si>
  <si>
    <t>02/04/2020</t>
  </si>
  <si>
    <t>02/05/2020</t>
  </si>
  <si>
    <t>02/06/2020</t>
  </si>
  <si>
    <t>02/07/2020</t>
  </si>
  <si>
    <t>02/10/2020</t>
  </si>
  <si>
    <t>02/11/2020</t>
  </si>
  <si>
    <t>02/12/2020</t>
  </si>
  <si>
    <t>02/13/2020</t>
  </si>
  <si>
    <t>02/14/2020</t>
  </si>
  <si>
    <t>02/17/2020</t>
  </si>
  <si>
    <t>02/18/2020</t>
  </si>
  <si>
    <t>02/19/2020</t>
  </si>
  <si>
    <t>02/20/2020</t>
  </si>
  <si>
    <t>02/21/2020</t>
  </si>
  <si>
    <t>02/24/2020</t>
  </si>
  <si>
    <t>02/25/2020</t>
  </si>
  <si>
    <t>02/26/2020</t>
  </si>
  <si>
    <t>02/27/2020</t>
  </si>
  <si>
    <t>02/28/2020</t>
  </si>
  <si>
    <t>03/02/2020</t>
  </si>
  <si>
    <t>03/03/2020</t>
  </si>
  <si>
    <t>03/04/2020</t>
  </si>
  <si>
    <t>03/05/2020</t>
  </si>
  <si>
    <t>03/06/2020</t>
  </si>
  <si>
    <t>03/09/2020</t>
  </si>
  <si>
    <t>03/10/2020</t>
  </si>
  <si>
    <t>03/11/2020</t>
  </si>
  <si>
    <t>03/12/2020</t>
  </si>
  <si>
    <t>03/13/2020</t>
  </si>
  <si>
    <t>03/16/2020</t>
  </si>
  <si>
    <t>03/17/2020</t>
  </si>
  <si>
    <t>03/18/2020</t>
  </si>
  <si>
    <t>03/19/2020</t>
  </si>
  <si>
    <t>03/20/2020</t>
  </si>
  <si>
    <t>03/23/2020</t>
  </si>
  <si>
    <t>03/24/2020</t>
  </si>
  <si>
    <t>03/25/2020</t>
  </si>
  <si>
    <t>03/26/2020</t>
  </si>
  <si>
    <t>03/27/2020</t>
  </si>
  <si>
    <t>03/30/2020</t>
  </si>
  <si>
    <t>03/31/2020</t>
  </si>
  <si>
    <t>04/01/2020</t>
  </si>
  <si>
    <t>04/02/2020</t>
  </si>
  <si>
    <t>04/03/2020</t>
  </si>
  <si>
    <t>04/06/2020</t>
  </si>
  <si>
    <t>04/07/2020</t>
  </si>
  <si>
    <t>04/08/2020</t>
  </si>
  <si>
    <t>04/10/2020</t>
  </si>
  <si>
    <t>04/13/2020</t>
  </si>
  <si>
    <t>04/14/2020</t>
  </si>
  <si>
    <t>04/15/2020</t>
  </si>
  <si>
    <t>04/16/2020</t>
  </si>
  <si>
    <t>04/17/2020</t>
  </si>
  <si>
    <t>04/20/2020</t>
  </si>
  <si>
    <t>04/21/2020</t>
  </si>
  <si>
    <t>04/22/2020</t>
  </si>
  <si>
    <t>04/23/2020</t>
  </si>
  <si>
    <t>04/24/2020</t>
  </si>
  <si>
    <t>04/27/2020</t>
  </si>
  <si>
    <t>04/28/2020</t>
  </si>
  <si>
    <t>04/29/2020</t>
  </si>
  <si>
    <t>04/30/2020</t>
  </si>
  <si>
    <t>05/04/2020</t>
  </si>
  <si>
    <t>05/05/2020</t>
  </si>
  <si>
    <t>05/06/2020</t>
  </si>
  <si>
    <t>05/07/2020</t>
  </si>
  <si>
    <t>05/08/2020</t>
  </si>
  <si>
    <t>05/11/2020</t>
  </si>
  <si>
    <t>05/12/2020</t>
  </si>
  <si>
    <t>05/13/2020</t>
  </si>
  <si>
    <t>05/14/2020</t>
  </si>
  <si>
    <t>05/15/2020</t>
  </si>
  <si>
    <t>05/18/2020</t>
  </si>
  <si>
    <t>05/19/2020</t>
  </si>
  <si>
    <t>05/20/2020</t>
  </si>
  <si>
    <t>05/21/2020</t>
  </si>
  <si>
    <t>05/22/2020</t>
  </si>
  <si>
    <t>05/25/2020</t>
  </si>
  <si>
    <t>05/26/2020</t>
  </si>
  <si>
    <t>05/27/2020</t>
  </si>
  <si>
    <t>05/28/2020</t>
  </si>
  <si>
    <t>05/29/2020</t>
  </si>
  <si>
    <t>06/01/2020</t>
  </si>
  <si>
    <t>06/02/2020</t>
  </si>
  <si>
    <t>06/03/2020</t>
  </si>
  <si>
    <t>06/04/2020</t>
  </si>
  <si>
    <t>06/05/2020</t>
  </si>
  <si>
    <t>06/08/2020</t>
  </si>
  <si>
    <t>06/09/2020</t>
  </si>
  <si>
    <t>06/10/2020</t>
  </si>
  <si>
    <t>06/11/2020</t>
  </si>
  <si>
    <t>06/12/2020</t>
  </si>
  <si>
    <t>06/15/2020</t>
  </si>
  <si>
    <t>06/16/2020</t>
  </si>
  <si>
    <t>06/17/2020</t>
  </si>
  <si>
    <t>06/18/2020</t>
  </si>
  <si>
    <t>06/19/2020</t>
  </si>
  <si>
    <t>06/22/2020</t>
  </si>
  <si>
    <t>06/23/2020</t>
  </si>
  <si>
    <t>06/24/2020</t>
  </si>
  <si>
    <t>06/25/2020</t>
  </si>
  <si>
    <t>06/26/2020</t>
  </si>
  <si>
    <t>06/29/2020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</si>
  <si>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</si>
  <si>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</si>
  <si>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</si>
  <si>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</si>
  <si>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</si>
  <si>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</si>
  <si>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</si>
  <si>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</si>
  <si>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</si>
  <si>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07/13/2020</t>
  </si>
  <si>
    <t>07/14/2020</t>
  </si>
  <si>
    <t>07/15/2020</t>
  </si>
  <si>
    <t>07/16/2020</t>
  </si>
  <si>
    <t>07/17/2020</t>
  </si>
  <si>
    <t>07/20/2020</t>
  </si>
  <si>
    <t>07/21/2020</t>
  </si>
  <si>
    <t>07/22/2020</t>
  </si>
  <si>
    <t>07/23/2020</t>
  </si>
  <si>
    <t>07/24/2020</t>
  </si>
  <si>
    <t>07/27/2020</t>
  </si>
  <si>
    <t>07/28/2020</t>
  </si>
  <si>
    <t>07/29/2020</t>
  </si>
  <si>
    <t>07/30/2020</t>
  </si>
  <si>
    <t>07/31/2020</t>
  </si>
  <si>
    <t>08/03/2020</t>
  </si>
  <si>
    <t>08/04/2020</t>
  </si>
  <si>
    <t>08/05/2020</t>
  </si>
  <si>
    <t>08/06/2020</t>
  </si>
  <si>
    <t>08/07/2020</t>
  </si>
  <si>
    <t>08/10/2020</t>
  </si>
  <si>
    <t>08/11/2020</t>
  </si>
  <si>
    <t>08/12/2020</t>
  </si>
  <si>
    <t>08/13/2020</t>
  </si>
  <si>
    <t>08/14/2020</t>
  </si>
  <si>
    <t>08/17/2020</t>
  </si>
  <si>
    <t>08/18/2020</t>
  </si>
  <si>
    <t>08/19/2020</t>
  </si>
  <si>
    <t>08/20/2020</t>
  </si>
  <si>
    <t>08/21/2020</t>
  </si>
  <si>
    <t>08/24/2020</t>
  </si>
  <si>
    <t>08/25/2020</t>
  </si>
  <si>
    <t>08/26/2020</t>
  </si>
  <si>
    <t>08/27/2020</t>
  </si>
  <si>
    <t>08/28/2020</t>
  </si>
  <si>
    <t>08/31/2020</t>
  </si>
  <si>
    <t>09/01/2020</t>
  </si>
  <si>
    <t>09/02/2020</t>
  </si>
  <si>
    <t>09/03/2020</t>
  </si>
  <si>
    <t>09/04/2020</t>
  </si>
  <si>
    <t>09/07/2020</t>
  </si>
  <si>
    <t>09/08/2020</t>
  </si>
  <si>
    <t>09/09/2020</t>
  </si>
  <si>
    <t>09/10/2020</t>
  </si>
  <si>
    <t>09/11/2020</t>
  </si>
  <si>
    <t>09/14/2020</t>
  </si>
  <si>
    <t>09/15/2020</t>
  </si>
  <si>
    <t>09/16/2020</t>
  </si>
  <si>
    <t>09/17/2020</t>
  </si>
  <si>
    <t>09/18/2020</t>
  </si>
  <si>
    <t>09/21/2020</t>
  </si>
  <si>
    <t>09/22/2020</t>
  </si>
  <si>
    <t>09/23/2020</t>
  </si>
  <si>
    <t>09/24/2020</t>
  </si>
  <si>
    <t>09/25/2020</t>
  </si>
  <si>
    <t>09/28/2020</t>
  </si>
  <si>
    <t>09/29/2020</t>
  </si>
  <si>
    <t>09/30/2020</t>
  </si>
  <si>
    <t>10/01/2020</t>
  </si>
  <si>
    <t>10/02/2020</t>
  </si>
  <si>
    <t>10/05/2020</t>
  </si>
  <si>
    <t>10/06/2020</t>
  </si>
  <si>
    <t>10/07/2020</t>
  </si>
  <si>
    <t>10/08/2020</t>
  </si>
  <si>
    <t>10/09/2020</t>
  </si>
  <si>
    <t>10/12/2020</t>
  </si>
  <si>
    <t>10/13/2020</t>
  </si>
  <si>
    <t>10/14/2020</t>
  </si>
  <si>
    <t>10/15/2020</t>
  </si>
  <si>
    <t>10/16/2020</t>
  </si>
  <si>
    <t>10/19/2020</t>
  </si>
  <si>
    <t>10/20/2020</t>
  </si>
  <si>
    <t>10/21/2020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</si>
  <si>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</si>
  <si>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</si>
  <si>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</si>
  <si>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</si>
  <si>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</si>
  <si>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</si>
  <si>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</si>
  <si>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</si>
  <si>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11/03/2020</t>
  </si>
  <si>
    <t>11/04/2020</t>
  </si>
  <si>
    <t>11/05/2020</t>
  </si>
  <si>
    <t>11/06/2020</t>
  </si>
  <si>
    <t>11/09/2020</t>
  </si>
  <si>
    <t>11/10/2020</t>
  </si>
  <si>
    <t>11/11/2020</t>
  </si>
  <si>
    <t>11/12/2020</t>
  </si>
  <si>
    <t>11/13/2020</t>
  </si>
  <si>
    <t>11/16/2020</t>
  </si>
  <si>
    <t>11/17/2020</t>
  </si>
  <si>
    <t>11/18/2020</t>
  </si>
  <si>
    <t>11/19/2020</t>
  </si>
  <si>
    <t>11/20/2020</t>
  </si>
  <si>
    <t>11/23/2020</t>
  </si>
  <si>
    <t>11/24/2020</t>
  </si>
  <si>
    <t>11/25/2020</t>
  </si>
  <si>
    <t>11/26/2020</t>
  </si>
  <si>
    <t>11/27/2020</t>
  </si>
  <si>
    <t>11/30/2020</t>
  </si>
  <si>
    <t>12/01/2020</t>
  </si>
  <si>
    <t>12/02/2020</t>
  </si>
  <si>
    <t>12/03/2020</t>
  </si>
  <si>
    <t>12/04/2020</t>
  </si>
  <si>
    <t>12/07/2020</t>
  </si>
  <si>
    <t>12/08/2020</t>
  </si>
  <si>
    <t>12/09/2020</t>
  </si>
  <si>
    <t>12/10/2020</t>
  </si>
  <si>
    <t>12/11/2020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</si>
  <si>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</si>
  <si>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</si>
  <si>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</si>
  <si>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</si>
  <si>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</si>
  <si>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</si>
  <si>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</si>
  <si>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</si>
  <si>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</si>
  <si>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12/25/2020</t>
  </si>
  <si>
    <t>12/28/2020</t>
  </si>
  <si>
    <t>12/29/2020</t>
  </si>
  <si>
    <t>12/30/2020</t>
  </si>
  <si>
    <t>12/31/2020</t>
  </si>
  <si>
    <t>01/01/2021</t>
  </si>
  <si>
    <t>01/04/2021</t>
  </si>
  <si>
    <t>01/05/2021</t>
  </si>
  <si>
    <t>01/06/2021</t>
  </si>
  <si>
    <t>01/07/2021</t>
  </si>
  <si>
    <t>01/08/2021</t>
  </si>
  <si>
    <t>01/11/2021</t>
  </si>
  <si>
    <t>01/12/2021</t>
  </si>
  <si>
    <t>01/13/2021</t>
  </si>
  <si>
    <t>01/14/2021</t>
  </si>
  <si>
    <t>01/15/2021</t>
  </si>
  <si>
    <t>01/18/2021</t>
  </si>
  <si>
    <t>01/19/2021</t>
  </si>
  <si>
    <t>01/20/2021</t>
  </si>
  <si>
    <t>01/21/2021</t>
  </si>
  <si>
    <t>01/22/2021</t>
  </si>
  <si>
    <t>01/25/2021</t>
  </si>
  <si>
    <t>01/26/2021</t>
  </si>
  <si>
    <t>01/27/2021</t>
  </si>
  <si>
    <t>01/28/2021</t>
  </si>
  <si>
    <t>01/29/2021</t>
  </si>
  <si>
    <t>02/01/2021</t>
  </si>
  <si>
    <t>02/02/2021</t>
  </si>
  <si>
    <t>02/03/2021</t>
  </si>
  <si>
    <t>02/04/2021</t>
  </si>
  <si>
    <t>02/05/2021</t>
  </si>
  <si>
    <t>02/08/2021</t>
  </si>
  <si>
    <t>02/09/2021</t>
  </si>
  <si>
    <t>02/10/2021</t>
  </si>
  <si>
    <t>02/11/2021</t>
  </si>
  <si>
    <t>02/12/2021</t>
  </si>
  <si>
    <t>02/15/2021</t>
  </si>
  <si>
    <t>02/16/2021</t>
  </si>
  <si>
    <t>02/17/2021</t>
  </si>
  <si>
    <t>02/18/2021</t>
  </si>
  <si>
    <t>02/19/2021</t>
  </si>
  <si>
    <t>02/22/2021</t>
  </si>
  <si>
    <t>02/23/2021</t>
  </si>
  <si>
    <t>02/24/2021</t>
  </si>
  <si>
    <t>02/25/2021</t>
  </si>
  <si>
    <t>02/26/2021</t>
  </si>
  <si>
    <t>03/01/2021</t>
  </si>
  <si>
    <t>03/02/2021</t>
  </si>
  <si>
    <t>03/03/2021</t>
  </si>
  <si>
    <t>03/04/2021</t>
  </si>
  <si>
    <t>03/05/2021</t>
  </si>
  <si>
    <t>03/08/2021</t>
  </si>
  <si>
    <t>03/09/2021</t>
  </si>
  <si>
    <t>03/10/2021</t>
  </si>
  <si>
    <t>03/11/2021</t>
  </si>
  <si>
    <t>03/12/2021</t>
  </si>
  <si>
    <t>03/15/2021</t>
  </si>
  <si>
    <t>03/16/2021</t>
  </si>
  <si>
    <t>03/17/2021</t>
  </si>
  <si>
    <t>03/18/2021</t>
  </si>
  <si>
    <t>03/19/2021</t>
  </si>
  <si>
    <t>03/22/2021</t>
  </si>
  <si>
    <t>03/23/2021</t>
  </si>
  <si>
    <t>03/24/2021</t>
  </si>
  <si>
    <t>03/25/2021</t>
  </si>
  <si>
    <t>03/26/2021</t>
  </si>
  <si>
    <t>03/29/2021</t>
  </si>
  <si>
    <t>03/30/2021</t>
  </si>
  <si>
    <t>03/31/2021</t>
  </si>
  <si>
    <t>04/01/2021</t>
  </si>
  <si>
    <t>04/02/2021</t>
  </si>
  <si>
    <t>04/05/2021</t>
  </si>
  <si>
    <t>04/06/2021</t>
  </si>
  <si>
    <t>04/07/2021</t>
  </si>
  <si>
    <t>04/08/2021</t>
  </si>
  <si>
    <t>04/09/2021</t>
  </si>
  <si>
    <t>04/12/2021</t>
  </si>
  <si>
    <t>04/13/2021</t>
  </si>
  <si>
    <t>04/14/2021</t>
  </si>
  <si>
    <t>04/15/2021</t>
  </si>
  <si>
    <t>04/16/2021</t>
  </si>
  <si>
    <t>04/19/2021</t>
  </si>
  <si>
    <t>04/20/2021</t>
  </si>
  <si>
    <t>04/21/2021</t>
  </si>
  <si>
    <t>04/22/2021</t>
  </si>
  <si>
    <t>04/23/2021</t>
  </si>
  <si>
    <t>04/26/2021</t>
  </si>
  <si>
    <t>04/27/2021</t>
  </si>
  <si>
    <t>04/28/2021</t>
  </si>
  <si>
    <t>04/29/2021</t>
  </si>
  <si>
    <t>04/30/2021</t>
  </si>
  <si>
    <t>05/03/2021</t>
  </si>
  <si>
    <t>05/04/2021</t>
  </si>
  <si>
    <t>05/05/2021</t>
  </si>
  <si>
    <t>05/06/2021</t>
  </si>
  <si>
    <t>05/07/2021</t>
  </si>
  <si>
    <t>05/10/2021</t>
  </si>
  <si>
    <t>05/11/2021</t>
  </si>
  <si>
    <t>05/12/2021</t>
  </si>
  <si>
    <t>05/13/2021</t>
  </si>
  <si>
    <t>05/14/2021</t>
  </si>
  <si>
    <t>05/17/2021</t>
  </si>
  <si>
    <t>05/18/2021</t>
  </si>
  <si>
    <t>05/19/2021</t>
  </si>
  <si>
    <t>05/20/2021</t>
  </si>
  <si>
    <t>05/21/2021</t>
  </si>
  <si>
    <t>05/24/2021</t>
  </si>
  <si>
    <t>05/25/2021</t>
  </si>
  <si>
    <t>05/26/2021</t>
  </si>
  <si>
    <t>05/27/2021</t>
  </si>
  <si>
    <t>05/28/2021</t>
  </si>
  <si>
    <t>05/31/2021</t>
  </si>
  <si>
    <t>06/01/2021</t>
  </si>
  <si>
    <t>06/02/2021</t>
  </si>
  <si>
    <t>06/03/2021</t>
  </si>
  <si>
    <t>06/04/2021</t>
  </si>
  <si>
    <t>06/07/2021</t>
  </si>
  <si>
    <t>06/08/2021</t>
  </si>
  <si>
    <t>06/09/2021</t>
  </si>
  <si>
    <t>06/10/2021</t>
  </si>
  <si>
    <t>06/11/2021</t>
  </si>
  <si>
    <t>06/14/2021</t>
  </si>
  <si>
    <t>06/15/2021</t>
  </si>
  <si>
    <t>06/16/2021</t>
  </si>
  <si>
    <t>06/17/2021</t>
  </si>
  <si>
    <t>06/18/2021</t>
  </si>
  <si>
    <t>06/21/2021</t>
  </si>
  <si>
    <t>06/22/2021</t>
  </si>
  <si>
    <t>06/23/2021</t>
  </si>
  <si>
    <t>06/24/2021</t>
  </si>
  <si>
    <t>06/25/2021</t>
  </si>
  <si>
    <t>06/28/2021</t>
  </si>
  <si>
    <t>06/29/2021</t>
  </si>
  <si>
    <t>06/30/2021</t>
  </si>
  <si>
    <t>07/01/2021</t>
  </si>
  <si>
    <t>07/02/2021</t>
  </si>
  <si>
    <t>07/05/2021</t>
  </si>
  <si>
    <t>07/06/2021</t>
  </si>
  <si>
    <t>07/07/2021</t>
  </si>
  <si>
    <t>07/08/2021</t>
  </si>
  <si>
    <t>07/09/2021</t>
  </si>
  <si>
    <t>07/12/2021</t>
  </si>
  <si>
    <t>07/13/2021</t>
  </si>
  <si>
    <t>07/14/2021</t>
  </si>
  <si>
    <t>07/15/2021</t>
  </si>
  <si>
    <t>07/16/2021</t>
  </si>
  <si>
    <t>07/19/2021</t>
  </si>
  <si>
    <t>07/20/2021</t>
  </si>
  <si>
    <t>07/21/2021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</si>
  <si>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</si>
  <si>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</si>
  <si>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</si>
  <si>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</si>
  <si>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</si>
  <si>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</si>
  <si>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</si>
  <si>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08/02/2021</t>
  </si>
  <si>
    <t>08/03/2021</t>
  </si>
  <si>
    <t>08/04/2021</t>
  </si>
  <si>
    <t>08/05/2021</t>
  </si>
  <si>
    <t>08/06/2021</t>
  </si>
  <si>
    <t>08/09/2021</t>
  </si>
  <si>
    <t>08/10/2021</t>
  </si>
  <si>
    <t>08/11/2021</t>
  </si>
  <si>
    <t>08/12/2021</t>
  </si>
  <si>
    <t>08/13/2021</t>
  </si>
  <si>
    <t>08/16/2021</t>
  </si>
  <si>
    <t>08/17/2021</t>
  </si>
  <si>
    <t>08/18/2021</t>
  </si>
  <si>
    <t>08/19/2021</t>
  </si>
  <si>
    <t>08/20/2021</t>
  </si>
  <si>
    <t>08/23/2021</t>
  </si>
  <si>
    <t>08/24/2021</t>
  </si>
  <si>
    <t>08/25/2021</t>
  </si>
  <si>
    <t>08/26/2021</t>
  </si>
  <si>
    <t>08/27/2021</t>
  </si>
  <si>
    <t>08/30/2021</t>
  </si>
  <si>
    <t>08/31/2021</t>
  </si>
  <si>
    <t>09/01/2021</t>
  </si>
  <si>
    <t>09/02/2021</t>
  </si>
  <si>
    <t>09/03/2021</t>
  </si>
  <si>
    <t>09/06/2021</t>
  </si>
  <si>
    <t>09/07/2021</t>
  </si>
  <si>
    <t>09/08/2021</t>
  </si>
  <si>
    <t>09/09/2021</t>
  </si>
  <si>
    <t>09/10/2021</t>
  </si>
  <si>
    <t>09/13/2021</t>
  </si>
  <si>
    <t>09/14/2021</t>
  </si>
  <si>
    <t>09/15/2021</t>
  </si>
  <si>
    <t>09/16/2021</t>
  </si>
  <si>
    <t>09/17/2021</t>
  </si>
  <si>
    <t>09/20/2021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</si>
  <si>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</si>
  <si>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</si>
  <si>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</si>
  <si>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</si>
  <si>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</si>
  <si>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</si>
  <si>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</si>
  <si>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</si>
  <si>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</si>
  <si>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</si>
  <si>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10/05/2021</t>
  </si>
  <si>
    <t>10/06/2021</t>
  </si>
  <si>
    <t>10/07/2021</t>
  </si>
  <si>
    <t>10/08/2021</t>
  </si>
  <si>
    <t>10/11/2021</t>
  </si>
  <si>
    <t>10/12/2021</t>
  </si>
  <si>
    <t>10/13/2021</t>
  </si>
  <si>
    <t>10/14/2021</t>
  </si>
  <si>
    <t>10/15/2021</t>
  </si>
  <si>
    <t>10/18/2021</t>
  </si>
  <si>
    <t>10/19/2021</t>
  </si>
  <si>
    <t>10/20/2021</t>
  </si>
  <si>
    <t>10/21/2021</t>
  </si>
  <si>
    <t>10/22/2021</t>
  </si>
  <si>
    <t>10/25/2021</t>
  </si>
  <si>
    <t>10/26/2021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</si>
  <si>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</si>
  <si>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</si>
  <si>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</si>
  <si>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</si>
  <si>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</si>
  <si>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</si>
  <si>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</si>
  <si>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</si>
  <si>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</si>
  <si>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11/09/2021</t>
  </si>
  <si>
    <t>11/10/2021</t>
  </si>
  <si>
    <t>11/11/2021</t>
  </si>
  <si>
    <t>11/12/2021</t>
  </si>
  <si>
    <t>11/15/2021</t>
  </si>
  <si>
    <t>11/16/2021</t>
  </si>
  <si>
    <t>11/17/2021</t>
  </si>
  <si>
    <t>11/18/2021</t>
  </si>
  <si>
    <t>11/19/2021</t>
  </si>
  <si>
    <t>11/22/2021</t>
  </si>
  <si>
    <t>11/23/2021</t>
  </si>
  <si>
    <t>11/24/2021</t>
  </si>
  <si>
    <t>11/25/2021</t>
  </si>
  <si>
    <t>11/26/2021</t>
  </si>
  <si>
    <t>11/29/2021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</si>
  <si>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</si>
  <si>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</si>
  <si>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</si>
  <si>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</si>
  <si>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</si>
  <si>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</si>
  <si>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</si>
  <si>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</si>
  <si>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</si>
  <si>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12/13/2021</t>
  </si>
  <si>
    <t>12/14/2021</t>
  </si>
  <si>
    <t>12/15/2021</t>
  </si>
  <si>
    <t>12/16/2021</t>
  </si>
  <si>
    <t>12/17/2021</t>
  </si>
  <si>
    <t>12/20/2021</t>
  </si>
  <si>
    <t>12/21/2021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</si>
  <si>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</si>
  <si>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</si>
  <si>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</si>
  <si>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</si>
  <si>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</si>
  <si>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</si>
  <si>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</si>
  <si>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</si>
  <si>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01/03/2022</t>
  </si>
  <si>
    <t>01/04/2022</t>
  </si>
  <si>
    <t>01/05/2022</t>
  </si>
  <si>
    <t>01/06/2022</t>
  </si>
  <si>
    <t>01/07/2022</t>
  </si>
  <si>
    <t>01/10/2022</t>
  </si>
  <si>
    <t>01/11/2022</t>
  </si>
  <si>
    <t>01/12/2022</t>
  </si>
  <si>
    <t>01/13/2022</t>
  </si>
  <si>
    <t>01/14/2022</t>
  </si>
  <si>
    <t>01/17/2022</t>
  </si>
  <si>
    <t>01/18/2022</t>
  </si>
  <si>
    <t>01/19/2022</t>
  </si>
  <si>
    <t>01/20/2022</t>
  </si>
  <si>
    <t>01/21/2022</t>
  </si>
  <si>
    <t>01/24/2022</t>
  </si>
  <si>
    <t>01/25/2022</t>
  </si>
  <si>
    <t>01/26/2022</t>
  </si>
  <si>
    <t>01/27/2022</t>
  </si>
  <si>
    <t>01/28/2022</t>
  </si>
  <si>
    <t>01/31/2022</t>
  </si>
  <si>
    <t>02/01/2022</t>
  </si>
  <si>
    <t>02/02/2022</t>
  </si>
  <si>
    <t>02/03/2022</t>
  </si>
  <si>
    <t>02/04/2022</t>
  </si>
  <si>
    <t>02/07/2022</t>
  </si>
  <si>
    <t>02/08/2022</t>
  </si>
  <si>
    <t>02/09/2022</t>
  </si>
  <si>
    <t>02/10/2022</t>
  </si>
  <si>
    <t>02/11/2022</t>
  </si>
  <si>
    <t>02/14/2022</t>
  </si>
  <si>
    <t>02/15/2022</t>
  </si>
  <si>
    <t>02/16/2022</t>
  </si>
  <si>
    <t>02/17/2022</t>
  </si>
  <si>
    <t>02/18/2022</t>
  </si>
  <si>
    <t>02/21/2022</t>
  </si>
  <si>
    <t>02/22/2022</t>
  </si>
  <si>
    <t>02/23/2022</t>
  </si>
  <si>
    <t>02/24/2022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</si>
  <si>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</si>
  <si>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</si>
  <si>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</si>
  <si>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</si>
  <si>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</si>
  <si>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</si>
  <si>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</si>
  <si>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</si>
  <si>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</si>
  <si>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03/10/2022</t>
  </si>
  <si>
    <t>03/11/2022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</si>
  <si>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</si>
  <si>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</si>
  <si>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</si>
  <si>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</si>
  <si>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</si>
  <si>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</si>
  <si>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</si>
  <si>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</si>
  <si>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</si>
  <si>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</si>
  <si>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</si>
  <si>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</si>
  <si>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</si>
  <si>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</si>
  <si>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04/01/2022</t>
  </si>
  <si>
    <t>04/04/2022</t>
  </si>
  <si>
    <t>04/05/2022</t>
  </si>
  <si>
    <t>04/06/2022</t>
  </si>
  <si>
    <t>04/07/2022</t>
  </si>
  <si>
    <t>04/08/2022</t>
  </si>
  <si>
    <t>04/11/2022</t>
  </si>
  <si>
    <t>04/12/2022</t>
  </si>
  <si>
    <t>04/13/2022</t>
  </si>
  <si>
    <t>04/14/2022</t>
  </si>
  <si>
    <t>04/15/2022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</si>
  <si>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</si>
  <si>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</si>
  <si>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</si>
  <si>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</si>
  <si>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</si>
  <si>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</si>
  <si>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</si>
  <si>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</si>
  <si>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</si>
  <si>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</si>
  <si>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05/02/2022</t>
  </si>
  <si>
    <t>05/03/2022</t>
  </si>
  <si>
    <t>05/04/2022</t>
  </si>
  <si>
    <t>05/05/2022</t>
  </si>
  <si>
    <t>05/06/2022</t>
  </si>
  <si>
    <t>05/09/2022</t>
  </si>
  <si>
    <t>05/10/2022</t>
  </si>
  <si>
    <t>05/11/2022</t>
  </si>
  <si>
    <t>05/12/2022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</si>
  <si>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</si>
  <si>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</si>
  <si>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</si>
  <si>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</si>
  <si>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</si>
  <si>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</si>
  <si>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</si>
  <si>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</si>
  <si>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</si>
  <si>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</si>
  <si>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</si>
  <si>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</si>
  <si>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</si>
  <si>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06/01/2022</t>
  </si>
  <si>
    <t>06/02/2022</t>
  </si>
  <si>
    <t>06/03/2022</t>
  </si>
  <si>
    <t>06/06/2022</t>
  </si>
  <si>
    <t>06/07/2022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</si>
  <si>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</si>
  <si>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</si>
  <si>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</si>
  <si>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</si>
  <si>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</si>
  <si>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</si>
  <si>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</si>
  <si>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</si>
  <si>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</si>
  <si>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</si>
  <si>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</si>
  <si>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</si>
  <si>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</si>
  <si>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</si>
  <si>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</si>
  <si>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</si>
  <si>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</si>
  <si>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07/01/2022</t>
  </si>
  <si>
    <t>07/04/2022</t>
  </si>
  <si>
    <t>07/05/2022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</si>
  <si>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</si>
  <si>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</si>
  <si>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</si>
  <si>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</si>
  <si>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</si>
  <si>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</si>
  <si>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</si>
  <si>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</si>
  <si>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</si>
  <si>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</si>
  <si>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</si>
  <si>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</si>
  <si>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</si>
  <si>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</si>
  <si>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</si>
  <si>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</si>
  <si>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</si>
  <si>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</si>
  <si>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</si>
  <si>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</si>
  <si>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</si>
  <si>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08/04/2022</t>
  </si>
  <si>
    <t>08/05/2022</t>
  </si>
  <si>
    <t>08/08/2022</t>
  </si>
  <si>
    <t>08/09/2022</t>
  </si>
  <si>
    <t>08/10/2022</t>
  </si>
  <si>
    <t>08/11/2022</t>
  </si>
  <si>
    <t>08/12/2022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</si>
  <si>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</si>
  <si>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</si>
  <si>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</si>
  <si>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</si>
  <si>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</si>
  <si>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</si>
  <si>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</si>
  <si>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</si>
  <si>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</si>
  <si>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</si>
  <si>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</si>
  <si>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</si>
  <si>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</si>
  <si>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09/01/2022</t>
  </si>
  <si>
    <t>09/02/2022</t>
  </si>
  <si>
    <t>09/05/2022</t>
  </si>
  <si>
    <t>09/06/2022</t>
  </si>
  <si>
    <t>09/07/2022</t>
  </si>
  <si>
    <t>09/08/2022</t>
  </si>
  <si>
    <t>09/09/2022</t>
  </si>
  <si>
    <t>09/12/2022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</si>
  <si>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</si>
  <si>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</si>
  <si>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</si>
  <si>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</si>
  <si>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</si>
  <si>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</si>
  <si>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</si>
  <si>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</si>
  <si>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</si>
  <si>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</si>
  <si>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</si>
  <si>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</si>
  <si>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</si>
  <si>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</si>
  <si>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10/03/2022</t>
  </si>
  <si>
    <t>10/04/2022</t>
  </si>
  <si>
    <t>10/05/2022</t>
  </si>
  <si>
    <t>10/07/2022</t>
  </si>
  <si>
    <t>10/10/2022</t>
  </si>
  <si>
    <t>10/11/2022</t>
  </si>
  <si>
    <t>10/12/2022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</si>
  <si>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</si>
  <si>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</si>
  <si>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</si>
  <si>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</si>
  <si>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</si>
  <si>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</si>
  <si>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</si>
  <si>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</si>
  <si>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</si>
  <si>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10/27/2022</t>
  </si>
  <si>
    <t>10/28/2022</t>
  </si>
  <si>
    <t>10/31/2022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</si>
  <si>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</si>
  <si>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</si>
  <si>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</si>
  <si>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</si>
  <si>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</si>
  <si>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</si>
  <si>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</si>
  <si>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</si>
  <si>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</si>
  <si>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</si>
  <si>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</si>
  <si>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</si>
  <si>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</si>
  <si>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</si>
  <si>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</si>
  <si>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</si>
  <si>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</si>
  <si>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</si>
  <si>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</si>
  <si>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</si>
  <si>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</si>
  <si>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</si>
  <si>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</si>
  <si>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</si>
  <si>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</si>
  <si>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</si>
  <si>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</si>
  <si>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</si>
  <si>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</si>
  <si>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</si>
  <si>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</si>
  <si>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</si>
  <si>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</si>
  <si>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</si>
  <si>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</si>
  <si>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</si>
  <si>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</si>
  <si>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</si>
  <si>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</si>
  <si>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12/26/2022</t>
  </si>
  <si>
    <t>12/27/2022</t>
  </si>
  <si>
    <t>12/28/2022</t>
  </si>
  <si>
    <t>12/29/2022</t>
  </si>
  <si>
    <t>12/30/2022</t>
  </si>
  <si>
    <t>01/02/2023</t>
  </si>
  <si>
    <t>01/03/2023</t>
  </si>
  <si>
    <t>01/04/2023</t>
  </si>
  <si>
    <t>01/05/2023</t>
  </si>
  <si>
    <t>01/06/2023</t>
  </si>
  <si>
    <t>01/09/2023</t>
  </si>
  <si>
    <t>01/10/2023</t>
  </si>
  <si>
    <t>01/11/2023</t>
  </si>
  <si>
    <t>01/12/2023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</si>
  <si>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</si>
  <si>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</si>
  <si>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</si>
  <si>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</si>
  <si>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</si>
  <si>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</si>
  <si>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</si>
  <si>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</si>
  <si>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</si>
  <si>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</si>
  <si>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</si>
  <si>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</si>
  <si>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</si>
  <si>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02/01/2023</t>
  </si>
  <si>
    <t>02/02/2023</t>
  </si>
  <si>
    <t>02/03/2023</t>
  </si>
  <si>
    <t>02/06/2023</t>
  </si>
  <si>
    <t>02/07/2023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</si>
  <si>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</si>
  <si>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</si>
  <si>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</si>
  <si>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</si>
  <si>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</si>
  <si>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</si>
  <si>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</si>
  <si>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</si>
  <si>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</si>
  <si>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</si>
  <si>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</si>
  <si>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</si>
  <si>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</si>
  <si>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</si>
  <si>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</si>
  <si>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03/01/2023</t>
  </si>
  <si>
    <t>03/02/2023</t>
  </si>
  <si>
    <t>03/03/2023</t>
  </si>
  <si>
    <t>03/06/2023</t>
  </si>
  <si>
    <t>03/07/2023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</si>
  <si>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</si>
  <si>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</si>
  <si>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</si>
  <si>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</si>
  <si>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</si>
  <si>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</si>
  <si>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</si>
  <si>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</si>
  <si>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</si>
  <si>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</si>
  <si>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</si>
  <si>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</si>
  <si>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</si>
  <si>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</si>
  <si>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</si>
  <si>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</si>
  <si>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</si>
  <si>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</si>
  <si>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04/03/2023</t>
  </si>
  <si>
    <t>04/04/2023</t>
  </si>
  <si>
    <t>04/05/2023</t>
  </si>
  <si>
    <t>04/06/2023</t>
  </si>
  <si>
    <t>04/07/2023</t>
  </si>
  <si>
    <t>04/10/2023</t>
  </si>
  <si>
    <t>04/11/2023</t>
  </si>
  <si>
    <t>04/12/2023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</si>
  <si>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</si>
  <si>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</si>
  <si>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</si>
  <si>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</si>
  <si>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</si>
  <si>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</si>
  <si>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</si>
  <si>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</si>
  <si>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</si>
  <si>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</si>
  <si>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</si>
  <si>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</si>
  <si>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04/30/2023</t>
  </si>
  <si>
    <t>05/01/2023</t>
  </si>
  <si>
    <t>05/02/2023</t>
  </si>
  <si>
    <t>05/03/2023</t>
  </si>
  <si>
    <t>05/04/2023</t>
  </si>
  <si>
    <t>05/05/2023</t>
  </si>
  <si>
    <t>05/08/2023</t>
  </si>
  <si>
    <t>05/09/2023</t>
  </si>
  <si>
    <t>05/10/2023</t>
  </si>
  <si>
    <t>05/11/2023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</si>
  <si>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</si>
  <si>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</si>
  <si>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</si>
  <si>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</si>
  <si>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</si>
  <si>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</si>
  <si>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</si>
  <si>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</si>
  <si>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</si>
  <si>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</si>
  <si>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</si>
  <si>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05/30/2023</t>
  </si>
  <si>
    <t>05/31/2023</t>
  </si>
  <si>
    <t>06/01/2023</t>
  </si>
  <si>
    <t>06/02/2023</t>
  </si>
  <si>
    <t>06/05/2023</t>
  </si>
  <si>
    <t>06/06/2023</t>
  </si>
  <si>
    <t>06/07/2023</t>
  </si>
  <si>
    <t>06/08/2023</t>
  </si>
  <si>
    <t>06/09/2023</t>
  </si>
  <si>
    <t>06/12/2023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</si>
  <si>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</si>
  <si>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</si>
  <si>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</si>
  <si>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</si>
  <si>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</si>
  <si>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</si>
  <si>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</si>
  <si>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</si>
  <si>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</si>
  <si>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</si>
  <si>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</si>
  <si>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</si>
  <si>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</si>
  <si>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</si>
  <si>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</si>
  <si>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07/04/2023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</si>
  <si>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</si>
  <si>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</si>
  <si>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</si>
  <si>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</si>
  <si>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</si>
  <si>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</si>
  <si>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</si>
  <si>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</si>
  <si>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</si>
  <si>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</si>
  <si>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</si>
  <si>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</si>
  <si>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</si>
  <si>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</si>
  <si>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</si>
  <si>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</si>
  <si>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</si>
  <si>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</si>
  <si>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</si>
  <si>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</si>
  <si>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</si>
  <si>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</si>
  <si>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</si>
  <si>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</si>
  <si>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</si>
  <si>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08/09/2023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</si>
  <si>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</si>
  <si>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</si>
  <si>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</si>
  <si>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</si>
  <si>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</si>
  <si>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</si>
  <si>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</si>
  <si>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</si>
  <si>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</si>
  <si>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</si>
  <si>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</si>
  <si>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</si>
  <si>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</si>
  <si>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</si>
  <si>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</si>
  <si>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</si>
  <si>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09/01/2023</t>
  </si>
  <si>
    <t>09/04/2023</t>
  </si>
  <si>
    <t>09/05/2023</t>
  </si>
  <si>
    <t>09/06/2023</t>
  </si>
  <si>
    <t>09/07/2023</t>
  </si>
  <si>
    <t>09/08/2023</t>
  </si>
  <si>
    <t>09/11/2023</t>
  </si>
  <si>
    <t>09/12/2023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</si>
  <si>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</si>
  <si>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</si>
  <si>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</si>
  <si>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</si>
  <si>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</si>
  <si>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</si>
  <si>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</si>
  <si>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</si>
  <si>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</si>
  <si>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</si>
  <si>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</si>
  <si>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</si>
  <si>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</si>
  <si>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10/02/2023</t>
  </si>
  <si>
    <t>10/03/2023</t>
  </si>
  <si>
    <t>10/04/2023</t>
  </si>
  <si>
    <t>10/05/2023</t>
  </si>
  <si>
    <t>10/06/2023</t>
  </si>
  <si>
    <t>10/09/2023</t>
  </si>
  <si>
    <t>10/10/2023</t>
  </si>
  <si>
    <t>10/11/2023</t>
  </si>
  <si>
    <t>10/12/2023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</si>
  <si>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</si>
  <si>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</si>
  <si>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</si>
  <si>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</si>
  <si>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</si>
  <si>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</si>
  <si>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</si>
  <si>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</si>
  <si>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</si>
  <si>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</si>
  <si>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</si>
  <si>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</si>
  <si>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</si>
  <si>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11/01/2023</t>
  </si>
  <si>
    <t>11/02/2023</t>
  </si>
  <si>
    <t>11/03/2023</t>
  </si>
  <si>
    <t>11/06/2023</t>
  </si>
  <si>
    <t>11/07/2023</t>
  </si>
  <si>
    <t>11/08/2023</t>
  </si>
  <si>
    <t>11/09/2023</t>
  </si>
  <si>
    <t>11/10/2023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</si>
  <si>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</si>
  <si>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</si>
  <si>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</si>
  <si>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</si>
  <si>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</si>
  <si>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</si>
  <si>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</si>
  <si>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</si>
  <si>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</si>
  <si>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</si>
  <si>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</si>
  <si>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</si>
  <si>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</si>
  <si>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</si>
  <si>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12/01/2023</t>
  </si>
  <si>
    <t>12/04/2023</t>
  </si>
  <si>
    <t>12/05/2023</t>
  </si>
  <si>
    <t>12/06/2023</t>
  </si>
  <si>
    <t>12/07/2023</t>
  </si>
  <si>
    <t>12/08/2023</t>
  </si>
  <si>
    <t>12/11/2023</t>
  </si>
  <si>
    <t>12/12/2023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</si>
  <si>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</si>
  <si>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</si>
  <si>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</si>
  <si>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</si>
  <si>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</si>
  <si>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</si>
  <si>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</si>
  <si>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</si>
  <si>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12/25/2023</t>
  </si>
  <si>
    <t>12/26/2023</t>
  </si>
  <si>
    <t>12/27/2023</t>
  </si>
  <si>
    <t>12/28/2023</t>
  </si>
  <si>
    <t>12/29/2023</t>
  </si>
  <si>
    <t>01/01/2024</t>
  </si>
  <si>
    <t>01/02/2024</t>
  </si>
  <si>
    <t>01/03/2024</t>
  </si>
  <si>
    <t>01/04/2024</t>
  </si>
  <si>
    <t>01/05/2024</t>
  </si>
  <si>
    <t>01/08/2024</t>
  </si>
  <si>
    <t>01/09/2024</t>
  </si>
  <si>
    <t>01/10/2024</t>
  </si>
  <si>
    <t>01/11/2024</t>
  </si>
  <si>
    <t>01/12/2024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</si>
  <si>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</si>
  <si>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</si>
  <si>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</si>
  <si>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</si>
  <si>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</si>
  <si>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</si>
  <si>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</si>
  <si>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</si>
  <si>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</si>
  <si>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</si>
  <si>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</si>
  <si>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</si>
  <si>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</si>
  <si>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02/01/2024</t>
  </si>
  <si>
    <t>02/02/2024</t>
  </si>
  <si>
    <t>02/05/2024</t>
  </si>
  <si>
    <t>02/06/2024</t>
  </si>
  <si>
    <t>02/07/2024</t>
  </si>
  <si>
    <t>02/08/2024</t>
  </si>
  <si>
    <t>02/09/2024</t>
  </si>
  <si>
    <t>02/12/2024</t>
  </si>
  <si>
    <t>02/13/2024</t>
  </si>
  <si>
    <t>02/14/2024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</si>
  <si>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</si>
  <si>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</si>
  <si>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</si>
  <si>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</si>
  <si>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</si>
  <si>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</si>
  <si>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</si>
  <si>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</si>
  <si>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</si>
  <si>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</si>
  <si>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</si>
  <si>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03/01/2024</t>
  </si>
  <si>
    <t>03/04/2024</t>
  </si>
  <si>
    <t>03/05/2024</t>
  </si>
  <si>
    <t>03/06/2024</t>
  </si>
  <si>
    <t>03/07/2024</t>
  </si>
  <si>
    <t>03/08/2024</t>
  </si>
  <si>
    <t>03/11/2024</t>
  </si>
  <si>
    <t>03/12/2024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</si>
  <si>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</si>
  <si>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</si>
  <si>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</si>
  <si>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</si>
  <si>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</si>
  <si>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</si>
  <si>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</si>
  <si>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</si>
  <si>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</si>
  <si>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</si>
  <si>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</si>
  <si>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</si>
  <si>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03/29/2024</t>
  </si>
  <si>
    <t>04/01/2024</t>
  </si>
  <si>
    <t>04/02/2024</t>
  </si>
  <si>
    <t>04/03/2024</t>
  </si>
  <si>
    <t>04/04/2024</t>
  </si>
  <si>
    <t>04/05/2024</t>
  </si>
  <si>
    <t>04/08/2024</t>
  </si>
  <si>
    <t>04/09/2024</t>
  </si>
  <si>
    <t>04/10/2024</t>
  </si>
  <si>
    <t>04/11/2024</t>
  </si>
  <si>
    <t>04/12/2024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</si>
  <si>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</si>
  <si>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</si>
  <si>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</si>
  <si>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</si>
  <si>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</si>
  <si>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</si>
  <si>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</si>
  <si>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</si>
  <si>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04/26/2024</t>
  </si>
  <si>
    <t>04/29/2024</t>
  </si>
  <si>
    <t>04/30/2024</t>
  </si>
  <si>
    <t>05/01/2024</t>
  </si>
  <si>
    <t>05/02/2024</t>
  </si>
  <si>
    <t>05/03/2024</t>
  </si>
  <si>
    <t>05/06/2024</t>
  </si>
  <si>
    <t>05/07/2024</t>
  </si>
  <si>
    <t>05/08/2024</t>
  </si>
  <si>
    <t>05/09/2024</t>
  </si>
  <si>
    <t>05/10/2024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</si>
  <si>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</si>
  <si>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</si>
  <si>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</si>
  <si>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</si>
  <si>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</si>
  <si>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</si>
  <si>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</si>
  <si>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</si>
  <si>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</si>
  <si>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</si>
  <si>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</si>
  <si>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</si>
  <si>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</si>
  <si>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05/30/2024</t>
  </si>
  <si>
    <t>05/31/2024</t>
  </si>
  <si>
    <t>06/03/2024</t>
  </si>
  <si>
    <t>06/04/2024</t>
  </si>
  <si>
    <t>06/05/2024</t>
  </si>
  <si>
    <t>06/06/2024</t>
  </si>
  <si>
    <t>06/07/2024</t>
  </si>
  <si>
    <t>06/10/2024</t>
  </si>
  <si>
    <t>06/11/2024</t>
  </si>
  <si>
    <t>06/12/2024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</si>
  <si>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</si>
  <si>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</si>
  <si>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</si>
  <si>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</si>
  <si>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</si>
  <si>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</si>
  <si>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</si>
  <si>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</si>
  <si>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</si>
  <si>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</si>
  <si>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</si>
  <si>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</si>
  <si>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07/01/2024</t>
  </si>
  <si>
    <t>07/02/2024</t>
  </si>
  <si>
    <t>07/03/2024</t>
  </si>
  <si>
    <t>07/04/2024</t>
  </si>
  <si>
    <t>07/05/2024</t>
  </si>
  <si>
    <t>07/08/2024</t>
  </si>
  <si>
    <t>07/09/2024</t>
  </si>
  <si>
    <t>07/10/2024</t>
  </si>
  <si>
    <t>07/11/2024</t>
  </si>
  <si>
    <t>07/12/2024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</si>
  <si>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</si>
  <si>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</si>
  <si>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</si>
  <si>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</si>
  <si>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</si>
  <si>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</si>
  <si>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</si>
  <si>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</si>
  <si>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</si>
  <si>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</si>
  <si>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</si>
  <si>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</si>
  <si>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</si>
  <si>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08/01/2024</t>
  </si>
  <si>
    <t>08/02/2024</t>
  </si>
  <si>
    <t>08/05/2024</t>
  </si>
  <si>
    <t>08/06/2024</t>
  </si>
  <si>
    <t>08/07/2024</t>
  </si>
  <si>
    <t>08/08/2024</t>
  </si>
  <si>
    <t>08/09/2024</t>
  </si>
  <si>
    <t>08/12/2024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</si>
  <si>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</si>
  <si>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</si>
  <si>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</si>
  <si>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</si>
  <si>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</si>
  <si>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</si>
  <si>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</si>
  <si>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</si>
  <si>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</si>
  <si>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</si>
  <si>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</si>
  <si>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</si>
  <si>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</si>
  <si>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</si>
  <si>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09/02/2024</t>
  </si>
  <si>
    <t>09/03/2024</t>
  </si>
  <si>
    <t>09/04/2024</t>
  </si>
  <si>
    <t>09/05/2024</t>
  </si>
  <si>
    <t>09/06/2024</t>
  </si>
  <si>
    <t>09/09/2024</t>
  </si>
  <si>
    <t>09/10/2024</t>
  </si>
  <si>
    <t>09/11/2024</t>
  </si>
  <si>
    <t>09/12/2024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</si>
  <si>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</si>
  <si>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</si>
  <si>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</si>
  <si>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</si>
  <si>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</si>
  <si>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</si>
  <si>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</si>
  <si>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</si>
  <si>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</si>
  <si>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</si>
  <si>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</si>
  <si>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</si>
  <si>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10/01/2024</t>
  </si>
  <si>
    <t>10/02/2024</t>
  </si>
  <si>
    <t>10/03/2024</t>
  </si>
  <si>
    <t>10/04/2024</t>
  </si>
  <si>
    <t>10/07/2024</t>
  </si>
  <si>
    <t>10/08/2024</t>
  </si>
  <si>
    <t>10/09/2024</t>
  </si>
  <si>
    <t>10/10/2024</t>
  </si>
  <si>
    <t>10/11/2024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</si>
  <si>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</si>
  <si>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</si>
  <si>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</si>
  <si>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</si>
  <si>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</si>
  <si>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</si>
  <si>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</si>
  <si>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</si>
  <si>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</si>
  <si>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</si>
  <si>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</si>
  <si>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</si>
  <si>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</si>
  <si>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</si>
  <si>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11/01/2024</t>
  </si>
  <si>
    <t>11/04/2024</t>
  </si>
  <si>
    <t>11/05/2024</t>
  </si>
  <si>
    <t>11/06/2024</t>
  </si>
  <si>
    <t>11/07/2024</t>
  </si>
  <si>
    <t>11/08/2024</t>
  </si>
  <si>
    <t>11/11/2024</t>
  </si>
  <si>
    <t>11/12/2024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</si>
  <si>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</si>
  <si>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</si>
  <si>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</si>
  <si>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</si>
  <si>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</si>
  <si>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</si>
  <si>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</si>
  <si>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</si>
  <si>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</si>
  <si>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</si>
  <si>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</si>
  <si>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</si>
  <si>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</si>
  <si>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12/02/2024</t>
  </si>
  <si>
    <t>12/03/2024</t>
  </si>
  <si>
    <t>12/04/2024</t>
  </si>
  <si>
    <t>12/05/2024</t>
  </si>
  <si>
    <t>12/06/2024</t>
  </si>
  <si>
    <t>12/09/2024</t>
  </si>
  <si>
    <t>12/10/2024</t>
  </si>
  <si>
    <t>12/11/2024</t>
  </si>
  <si>
    <t>12/12/2024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</si>
  <si>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</si>
  <si>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</si>
  <si>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</si>
  <si>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</si>
  <si>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</si>
  <si>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</si>
  <si>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</si>
  <si>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</si>
  <si>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12/25/2024</t>
  </si>
  <si>
    <t>12/26/2024</t>
  </si>
  <si>
    <t>12/27/2024</t>
  </si>
  <si>
    <t>12/30/2024</t>
  </si>
  <si>
    <t>12/31/2024</t>
  </si>
  <si>
    <t>01/01/2025</t>
  </si>
  <si>
    <t>01/02/2025</t>
  </si>
  <si>
    <t>01/03/2025</t>
  </si>
  <si>
    <t>01/06/2025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</si>
  <si>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</si>
  <si>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</si>
  <si>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</si>
  <si>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</si>
  <si>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</si>
  <si>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</si>
  <si>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</si>
  <si>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</si>
  <si>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</si>
  <si>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</si>
  <si>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</si>
  <si>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</si>
  <si>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</si>
  <si>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</si>
  <si>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</si>
  <si>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</si>
  <si>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</si>
  <si>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</si>
  <si>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</si>
  <si>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</si>
  <si>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</si>
  <si>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</si>
  <si>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</si>
  <si>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</si>
  <si>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</si>
  <si>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</si>
  <si>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</si>
  <si>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</si>
  <si>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</si>
  <si>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</si>
  <si>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</si>
  <si>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</si>
  <si>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</si>
  <si>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</si>
  <si>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</si>
  <si>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</si>
  <si>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</si>
  <si>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</si>
  <si>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</si>
  <si>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</si>
  <si>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</si>
  <si>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</si>
  <si>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</si>
  <si>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</si>
  <si>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</si>
  <si>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</si>
  <si>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</si>
  <si>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</si>
  <si>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</si>
  <si>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</si>
  <si>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</si>
  <si>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</si>
  <si>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</si>
  <si>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</si>
  <si>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</si>
  <si>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</si>
  <si>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</si>
  <si>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</si>
  <si>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</si>
  <si>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</si>
  <si>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</si>
  <si>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</si>
  <si>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</si>
  <si>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</si>
  <si>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</si>
  <si>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</si>
  <si>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</si>
  <si>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</si>
  <si>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</si>
  <si>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</si>
  <si>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</si>
  <si>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</si>
  <si>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</si>
  <si>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</si>
  <si>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</si>
  <si>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</si>
  <si>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</si>
  <si>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</si>
  <si>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</si>
  <si>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</si>
  <si>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</si>
  <si>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</si>
  <si>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</si>
  <si>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</si>
  <si>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</si>
  <si>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</si>
  <si>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</si>
  <si>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</si>
  <si>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</si>
  <si>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</si>
  <si>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</si>
  <si>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</si>
  <si>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</si>
  <si>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</si>
  <si>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</si>
  <si>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</si>
  <si>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</si>
  <si>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</si>
  <si>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</si>
  <si>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</si>
  <si>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</si>
  <si>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</si>
  <si>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</si>
  <si>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</si>
  <si>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</si>
  <si>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</si>
  <si>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</si>
  <si>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av spread</t>
  </si>
  <si>
    <t>Average</t>
  </si>
  <si>
    <t>Std</t>
  </si>
  <si>
    <t>Targets</t>
  </si>
  <si>
    <t>sigma_gdp</t>
  </si>
  <si>
    <t>Related parameter</t>
  </si>
  <si>
    <t>Value</t>
  </si>
  <si>
    <t>Notes</t>
  </si>
  <si>
    <t>sigma_z</t>
  </si>
  <si>
    <t>Drop in default</t>
  </si>
  <si>
    <t>A</t>
  </si>
  <si>
    <t>slope</t>
  </si>
  <si>
    <t>log_lin_trend</t>
  </si>
  <si>
    <t>log deviation from linear trend</t>
  </si>
  <si>
    <t>drop in 1983 from linear trend pre default</t>
  </si>
  <si>
    <t>intercept</t>
  </si>
  <si>
    <t>drop in 1982 from linear trend pre default</t>
  </si>
  <si>
    <t>Percentage drop in 1983 (default August 1982) from pre default linear trend</t>
  </si>
  <si>
    <t>Working capital / GDP</t>
  </si>
  <si>
    <t>theta_f</t>
  </si>
  <si>
    <t>2/3 of M1 in firm's hands (as Mendoza, Yue)</t>
  </si>
  <si>
    <t>Average spreads</t>
  </si>
  <si>
    <t>SOVEREIGN EXTERNAL DEBT: DEFAULT and RESTRUCTURINGS, 1800-2012--Does not include defaults on WWI debt to United States</t>
  </si>
  <si>
    <t>Year</t>
  </si>
  <si>
    <t>Year of</t>
  </si>
  <si>
    <t>No of years</t>
  </si>
  <si>
    <t>No of years in default</t>
  </si>
  <si>
    <t>P(default)</t>
  </si>
  <si>
    <t>Share of world GDP</t>
  </si>
  <si>
    <t>Issuer</t>
  </si>
  <si>
    <t xml:space="preserve"> Independence</t>
  </si>
  <si>
    <t>since independence or 1800</t>
  </si>
  <si>
    <t>as of 1913</t>
  </si>
  <si>
    <t>as of 1990</t>
  </si>
  <si>
    <t>as of 2003</t>
  </si>
  <si>
    <t>Africa</t>
  </si>
  <si>
    <t>Algeria</t>
  </si>
  <si>
    <t>Angola</t>
  </si>
  <si>
    <t>Central African Republic</t>
  </si>
  <si>
    <t>Need to confirm it is ongoing</t>
  </si>
  <si>
    <t>Cote d'Ivoire</t>
  </si>
  <si>
    <t>Need to check beyond 2010-Moody's documents 2011 default</t>
  </si>
  <si>
    <t>Egypt</t>
  </si>
  <si>
    <t>Kenya</t>
  </si>
  <si>
    <t>Morocco</t>
  </si>
  <si>
    <t>Does not include 1903-1904 default</t>
  </si>
  <si>
    <t>Mauritius</t>
  </si>
  <si>
    <t>Nigeria</t>
  </si>
  <si>
    <t>South Africa</t>
  </si>
  <si>
    <t>Tunisia</t>
  </si>
  <si>
    <t>1591/1957</t>
  </si>
  <si>
    <t>Zambia</t>
  </si>
  <si>
    <t>Zimbabwe</t>
  </si>
  <si>
    <t>Asia</t>
  </si>
  <si>
    <t>China</t>
  </si>
  <si>
    <t>Japan</t>
  </si>
  <si>
    <t>India</t>
  </si>
  <si>
    <t>Indonesia</t>
  </si>
  <si>
    <t>Check 1974</t>
  </si>
  <si>
    <t>Korea</t>
  </si>
  <si>
    <t>Malaysia</t>
  </si>
  <si>
    <t>Myanmar</t>
  </si>
  <si>
    <t>Note: Ongoing arrears, see IMF (2012).</t>
  </si>
  <si>
    <t>Philippines</t>
  </si>
  <si>
    <t>Singapore</t>
  </si>
  <si>
    <t>Sri Lanka</t>
  </si>
  <si>
    <t>Taiwan</t>
  </si>
  <si>
    <t>Thailand</t>
  </si>
  <si>
    <t>Europe</t>
  </si>
  <si>
    <t>Austria</t>
  </si>
  <si>
    <t>Belgium</t>
  </si>
  <si>
    <t>Denmark</t>
  </si>
  <si>
    <t>Finland</t>
  </si>
  <si>
    <t>France</t>
  </si>
  <si>
    <t>Germany</t>
  </si>
  <si>
    <t>Greece</t>
  </si>
  <si>
    <t>Independence bonds were in default since 1826 (not included in calculation)</t>
  </si>
  <si>
    <t>Italy</t>
  </si>
  <si>
    <t>Hungary</t>
  </si>
  <si>
    <t>Netherlands</t>
  </si>
  <si>
    <t>Norway</t>
  </si>
  <si>
    <t>Poland</t>
  </si>
  <si>
    <t>Portugal</t>
  </si>
  <si>
    <t>Romania</t>
  </si>
  <si>
    <t>Russia</t>
  </si>
  <si>
    <t>Spain</t>
  </si>
  <si>
    <t>Sweden</t>
  </si>
  <si>
    <t>Turkey/Ottoman Empire</t>
  </si>
  <si>
    <t>United Kingdom</t>
  </si>
  <si>
    <t>Latin America</t>
  </si>
  <si>
    <t>Argentina</t>
  </si>
  <si>
    <t>Bolivia</t>
  </si>
  <si>
    <t>Brazil</t>
  </si>
  <si>
    <t>Chile</t>
  </si>
  <si>
    <t>Colombia</t>
  </si>
  <si>
    <t>Costa Rica</t>
  </si>
  <si>
    <t>Dominican Republic</t>
  </si>
  <si>
    <t xml:space="preserve">Ecuador </t>
  </si>
  <si>
    <t>Technically in default since 1826 when Gran Colombia defaulted.</t>
  </si>
  <si>
    <t>El Salvador</t>
  </si>
  <si>
    <t xml:space="preserve">Guatemala </t>
  </si>
  <si>
    <t>Honduras</t>
  </si>
  <si>
    <t>Need to check beyond 2005</t>
  </si>
  <si>
    <t>Nicaragua</t>
  </si>
  <si>
    <t>Need to check beyond 2006</t>
  </si>
  <si>
    <t>Panama</t>
  </si>
  <si>
    <t>Paraguay</t>
  </si>
  <si>
    <t>Peru</t>
  </si>
  <si>
    <t>Uruguay</t>
  </si>
  <si>
    <t>Venezuela</t>
  </si>
  <si>
    <t>North America</t>
  </si>
  <si>
    <t>Canada</t>
  </si>
  <si>
    <t>United States</t>
  </si>
  <si>
    <t>Oceania</t>
  </si>
  <si>
    <t>Australia</t>
  </si>
  <si>
    <t>New Zealand</t>
  </si>
  <si>
    <t>TOTAL (in sample)</t>
  </si>
  <si>
    <t>Share of sovereigns in default (in sample)</t>
  </si>
  <si>
    <t>Not in Reinhart and Rogoff (2009) sample:</t>
  </si>
  <si>
    <t>Burkina Faso</t>
  </si>
  <si>
    <t>Cameroon</t>
  </si>
  <si>
    <t>Cape Verde</t>
  </si>
  <si>
    <t>Congo (Brazzaville)</t>
  </si>
  <si>
    <t>Need to check beyond 2008</t>
  </si>
  <si>
    <t>Congo (Kinshasa)</t>
  </si>
  <si>
    <t>Ethiopia</t>
  </si>
  <si>
    <t>Need to check if default ends in 1996 or 1999</t>
  </si>
  <si>
    <t>Gabon</t>
  </si>
  <si>
    <t>Gambia</t>
  </si>
  <si>
    <t xml:space="preserve">Ghana </t>
  </si>
  <si>
    <t>Guinea</t>
  </si>
  <si>
    <t>Guinea-Bissau</t>
  </si>
  <si>
    <t>Liberia</t>
  </si>
  <si>
    <t>Check on 1875-1998; marked now as 1875-1888</t>
  </si>
  <si>
    <t>Madagascar</t>
  </si>
  <si>
    <t>Malawi</t>
  </si>
  <si>
    <t>Mali</t>
  </si>
  <si>
    <t>Mauritania</t>
  </si>
  <si>
    <t>Mozambique</t>
  </si>
  <si>
    <t>Niger</t>
  </si>
  <si>
    <t>Rwanda</t>
  </si>
  <si>
    <t>Sao Tome &amp; Principe</t>
  </si>
  <si>
    <t xml:space="preserve">Senegal </t>
  </si>
  <si>
    <t>Seychelles</t>
  </si>
  <si>
    <t>Sierra Leone</t>
  </si>
  <si>
    <t>Sudan</t>
  </si>
  <si>
    <t>Tanzania</t>
  </si>
  <si>
    <t>Togo</t>
  </si>
  <si>
    <t>Uganda</t>
  </si>
  <si>
    <t>Bangladesh</t>
  </si>
  <si>
    <t>Mongolia</t>
  </si>
  <si>
    <t xml:space="preserve"> </t>
  </si>
  <si>
    <t>North Korea</t>
  </si>
  <si>
    <t xml:space="preserve">Vietnam </t>
  </si>
  <si>
    <t>Albania</t>
  </si>
  <si>
    <t>Bosnia&amp;Herzegovina</t>
  </si>
  <si>
    <t>Bulgaria</t>
  </si>
  <si>
    <t>Croatia</t>
  </si>
  <si>
    <t>Czechoslovakia</t>
  </si>
  <si>
    <t>1918-1992</t>
  </si>
  <si>
    <t>Czech Republic</t>
  </si>
  <si>
    <t>Macedonia</t>
  </si>
  <si>
    <t>Moldova</t>
  </si>
  <si>
    <t>Slovenia</t>
  </si>
  <si>
    <t>Serbia and Montenegro</t>
  </si>
  <si>
    <t>2003-2006</t>
  </si>
  <si>
    <t xml:space="preserve">Ukraine </t>
  </si>
  <si>
    <t>Yugoslavia</t>
  </si>
  <si>
    <t>1918/1929-2002</t>
  </si>
  <si>
    <t>Middle East</t>
  </si>
  <si>
    <t>Iran</t>
  </si>
  <si>
    <t>Iraq</t>
  </si>
  <si>
    <t>Need to check beyond 2006--if rescheduling  in 2006, C&amp;T</t>
  </si>
  <si>
    <t>Jordan</t>
  </si>
  <si>
    <t>Kuwait</t>
  </si>
  <si>
    <t>Pakistan</t>
  </si>
  <si>
    <t>Yemen</t>
  </si>
  <si>
    <t>Western Hemisphere</t>
  </si>
  <si>
    <t>Antigua&amp;Barbuda</t>
  </si>
  <si>
    <t>Belize</t>
  </si>
  <si>
    <t>Cuba</t>
  </si>
  <si>
    <t>Dominica</t>
  </si>
  <si>
    <t>Grenada</t>
  </si>
  <si>
    <t>Guyana</t>
  </si>
  <si>
    <t>Haiti</t>
  </si>
  <si>
    <t>Check if default eneded in 1994 or 1999</t>
  </si>
  <si>
    <t>Jamaica</t>
  </si>
  <si>
    <t>St Kitts &amp; Nevis</t>
  </si>
  <si>
    <t>Trinidad &amp; Tobago</t>
  </si>
  <si>
    <t>Cook Islands</t>
  </si>
  <si>
    <t>Nauru</t>
  </si>
  <si>
    <t>Solomon Islands</t>
  </si>
  <si>
    <t>TOTAL (out of sample)</t>
  </si>
  <si>
    <t>Total (all countries)</t>
  </si>
  <si>
    <t>Share of sovereigns in default (out of sample)</t>
  </si>
  <si>
    <t>n.a.</t>
  </si>
  <si>
    <t>Share of sovereigns in default (all countries)</t>
  </si>
  <si>
    <t>duration</t>
  </si>
  <si>
    <t>post independence</t>
  </si>
  <si>
    <t>foreign invasion</t>
  </si>
  <si>
    <t>civil war</t>
  </si>
  <si>
    <t>default</t>
  </si>
  <si>
    <t>beta</t>
  </si>
  <si>
    <t>Non-targeted moments</t>
  </si>
  <si>
    <t>Moment</t>
  </si>
  <si>
    <t>EMBI spreads, 1994-2019</t>
  </si>
  <si>
    <t>Default probability</t>
  </si>
  <si>
    <t>Default Probability</t>
  </si>
  <si>
    <t>All</t>
  </si>
  <si>
    <t>Excluding wars</t>
  </si>
  <si>
    <t>Debt-to-GDP ratio</t>
  </si>
  <si>
    <t>External debt stocks, public and publicly guaranteed (PPG) (DOD, current US$)</t>
  </si>
  <si>
    <t>DT.DOD.DPPG.CD</t>
  </si>
  <si>
    <t>..</t>
  </si>
  <si>
    <t>GDP (current US$)</t>
  </si>
  <si>
    <t>NY.GDP.MKTP.CD</t>
  </si>
  <si>
    <t>Average 1970-2019</t>
  </si>
  <si>
    <t>External debt stocks, public and publicly guaranteed</t>
  </si>
  <si>
    <t>Std spreads</t>
  </si>
  <si>
    <t>sigma_c / sigma_y</t>
  </si>
  <si>
    <t>General government final consumption expenditure (constant LCU)</t>
  </si>
  <si>
    <t>NE.CON.GOVT.KN</t>
  </si>
  <si>
    <t>Households and NPISHs Final consumption expenditure (constant LCU)</t>
  </si>
  <si>
    <t>NE.CON.PRVT.KN</t>
  </si>
  <si>
    <t>c</t>
  </si>
  <si>
    <t>g</t>
  </si>
  <si>
    <t>log(g)</t>
  </si>
  <si>
    <t>log(c )</t>
  </si>
  <si>
    <t>trend c</t>
  </si>
  <si>
    <t>trend g</t>
  </si>
  <si>
    <t>cycle c</t>
  </si>
  <si>
    <t>cycle g</t>
  </si>
  <si>
    <t>std c</t>
  </si>
  <si>
    <t>std g</t>
  </si>
  <si>
    <t>sigma_g / sigma_y</t>
  </si>
  <si>
    <t>Current account balance (% of GDP)</t>
  </si>
  <si>
    <t>BN.CAB.XOKA.GD.ZS</t>
  </si>
  <si>
    <t>External balance on goods and services (% of GDP)</t>
  </si>
  <si>
    <t>NE.RSB.GNFS.ZS</t>
  </si>
  <si>
    <t>gdp cycle</t>
  </si>
  <si>
    <t>trade balance</t>
  </si>
  <si>
    <t>current account</t>
  </si>
  <si>
    <t>sigma_tb</t>
  </si>
  <si>
    <t>sigma_ca</t>
  </si>
  <si>
    <t>cor_tb_gdp</t>
  </si>
  <si>
    <t>cor_ca_gdp</t>
  </si>
  <si>
    <t>corr(c,y)</t>
  </si>
  <si>
    <t>corr(g,y)</t>
  </si>
  <si>
    <t>corr(tb/y,y)</t>
  </si>
  <si>
    <t>corr(ca/y,y)</t>
  </si>
  <si>
    <t>corr(r-r*,y)</t>
  </si>
  <si>
    <t>Use real GDP in LCU from 1960 to 2019, std of cyclical component</t>
  </si>
  <si>
    <t>Households and NPISHs Final consumption expenditure (constant LCU) 1960-2019, std of cyclical component</t>
  </si>
  <si>
    <t>General government final consumption expenditure (constant LCU) 1960-2019, std of cyclical component</t>
  </si>
  <si>
    <t>diferencial de tasas</t>
  </si>
  <si>
    <t>ifscode</t>
  </si>
  <si>
    <t>wbcode</t>
  </si>
  <si>
    <t>spreads</t>
  </si>
  <si>
    <t>discoveryyear</t>
  </si>
  <si>
    <t>disctype</t>
  </si>
  <si>
    <t>urr</t>
  </si>
  <si>
    <t>urr_oil</t>
  </si>
  <si>
    <t>urr_gas</t>
  </si>
  <si>
    <t>urr_conden</t>
  </si>
  <si>
    <t>onshrshare</t>
  </si>
  <si>
    <t>lnurt_h</t>
  </si>
  <si>
    <t>discovery</t>
  </si>
  <si>
    <t>discountrate</t>
  </si>
  <si>
    <t>sizerisk</t>
  </si>
  <si>
    <t>sizerealistic</t>
  </si>
  <si>
    <t>lngdplcu</t>
  </si>
  <si>
    <t>lnclcu</t>
  </si>
  <si>
    <t>embi</t>
  </si>
  <si>
    <t>oil_rent</t>
  </si>
  <si>
    <t>oil_price</t>
  </si>
  <si>
    <t>ca_gdp</t>
  </si>
  <si>
    <t>debt_gdp</t>
  </si>
  <si>
    <t>tb_gdp</t>
  </si>
  <si>
    <t>lncon_priv</t>
  </si>
  <si>
    <t>lncon_gov</t>
  </si>
  <si>
    <t>lncon_tot</t>
  </si>
  <si>
    <t>oil_rents</t>
  </si>
  <si>
    <t>reserves</t>
  </si>
  <si>
    <t>net_debt</t>
  </si>
  <si>
    <t>npv</t>
  </si>
  <si>
    <t>per-capita real gdp</t>
  </si>
  <si>
    <t>nominal gdp</t>
  </si>
  <si>
    <t>inflation rate</t>
  </si>
  <si>
    <t>total deficit</t>
  </si>
  <si>
    <t>primary defict</t>
  </si>
  <si>
    <t>total debt</t>
  </si>
  <si>
    <t>external debt</t>
  </si>
  <si>
    <t>domestic debt</t>
  </si>
  <si>
    <t>indexed debt</t>
  </si>
  <si>
    <t>total interest payments</t>
  </si>
  <si>
    <t>interest on external debt</t>
  </si>
  <si>
    <t>interest on domestic debt</t>
  </si>
  <si>
    <t>interest on indexed debt</t>
  </si>
  <si>
    <t>exchange rate</t>
  </si>
  <si>
    <t>monetary base</t>
  </si>
  <si>
    <t>Relative to 1970</t>
  </si>
  <si>
    <t>primary deficit</t>
  </si>
  <si>
    <t>external debt nominal pesos</t>
  </si>
  <si>
    <t>external debt nominal dollars</t>
  </si>
  <si>
    <t>ner</t>
  </si>
  <si>
    <t>external debt pesos without devaluation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</si>
</sst>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(* #,##0.00_);_(* \(#,##0.00\);_(* &quot;-&quot;??_);_(@_)"/>
    <numFmt numFmtId="164" formatCode="&quot;Ene-Mar&quot;\ yyyy"/>
    <numFmt numFmtId="165" formatCode="#,##0.0"/>
    <numFmt numFmtId="166" formatCode="&quot;Abr-Jun&quot;\ yyyy"/>
    <numFmt numFmtId="167" formatCode="&quot;Jul-Sep&quot;\ yyyy"/>
    <numFmt numFmtId="168" formatCode="&quot;Oct-Dic&quot;\ yyyy"/>
    <numFmt numFmtId="169" formatCode="_(* #,##0_);_(* \(#,##0\);_(* &quot;-&quot;??_);_(@_)"/>
    <numFmt numFmtId="170" formatCode="0.0%"/>
    <numFmt numFmtId="171" formatCode="0.00000000"/>
    <numFmt numFmtId="172" formatCode="&quot;Dic&quot;\ yyyy"/>
    <numFmt numFmtId="173" formatCode="&quot;Ene&quot;\ yyyy"/>
    <numFmt numFmtId="174" formatCode="&quot;Feb&quot;\ yyyy"/>
    <numFmt numFmtId="175" formatCode="&quot;Mar&quot;\ yyyy"/>
    <numFmt numFmtId="176" formatCode="&quot;Abr&quot;\ yyyy"/>
    <numFmt numFmtId="177" formatCode="&quot;May&quot;\ yyyy"/>
    <numFmt numFmtId="178" formatCode="&quot;Jun&quot;\ yyyy"/>
    <numFmt numFmtId="179" formatCode="&quot;Jul&quot;\ yyyy"/>
    <numFmt numFmtId="180" formatCode="&quot;Ago&quot;\ yyyy"/>
    <numFmt numFmtId="181" formatCode="&quot;Sep&quot;\ yyyy"/>
    <numFmt numFmtId="182" formatCode="&quot;Oct&quot;\ yyyy"/>
    <numFmt numFmtId="183" formatCode="&quot;Nov&quot;\ yyyy"/>
    <numFmt numFmtId="184" formatCode="0.0"/>
    <numFmt numFmtId="185" formatCode="0.000"/>
    <numFmt numFmtId="186" formatCode="0.0000"/>
  </numFmts>
  <fonts count="24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6"/>
      <color indexed="8"/>
      <name val="Aptos Narrow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C00000"/>
      <name val="Calibri"/>
      <family val="2"/>
    </font>
    <font>
      <b/>
      <sz val="22"/>
      <color indexed="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sz val="3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0"/>
      <color indexed="10"/>
      <name val="Times New Roman"/>
      <family val="1"/>
    </font>
    <font>
      <b/>
      <sz val="8"/>
      <name val="Times New Roman"/>
      <family val="1"/>
    </font>
    <font>
      <b/>
      <sz val="8"/>
      <color indexed="10"/>
      <name val="Times New Roman"/>
      <family val="1"/>
    </font>
    <font>
      <b/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20"/>
      <name val="Times New Roman"/>
      <family val="1"/>
    </font>
    <font>
      <b/>
      <sz val="20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6E7E7"/>
      </patternFill>
    </fill>
    <fill>
      <patternFill patternType="solid">
        <fgColor rgb="FFE7E7E7" tint="-9.9978637043366805E-2"/>
        <bgColor indexed="65"/>
      </patternFill>
    </fill>
    <fill>
      <patternFill patternType="none">
        <fgColor rgb="FFE3EBED"/>
      </patternFill>
    </fill>
    <fill>
      <patternFill patternType="solid">
        <fgColor rgb="FFE3EBED"/>
      </patternFill>
    </fill>
    <fill>
      <patternFill patternType="solid">
        <fgColor theme="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4" borderId="0"/>
    <xf numFmtId="43" fontId="1" fillId="4" borderId="0" applyFont="0" applyFill="0" applyBorder="0" applyAlignment="0" applyProtection="0"/>
    <xf numFmtId="9" fontId="1" fillId="4" borderId="0" applyFont="0" applyFill="0" applyBorder="0" applyAlignment="0" applyProtection="0"/>
    <xf numFmtId="0" fontId="11" fillId="4" borderId="0">
      <alignment vertical="center"/>
    </xf>
    <xf numFmtId="0" fontId="12" fillId="4" borderId="0">
      <alignment vertical="center"/>
    </xf>
  </cellStyleXfs>
  <cellXfs count="110">
    <xf numFmtId="0" fontId="0" fillId="0" borderId="0" xfId="0"/>
    <xf numFmtId="169" fontId="0" fillId="0" borderId="0" xfId="1" applyNumberFormat="1" applyFont="1"/>
    <xf numFmtId="170" fontId="0" fillId="0" borderId="0" xfId="2" applyNumberFormat="1" applyFont="1"/>
    <xf numFmtId="10" fontId="0" fillId="0" borderId="0" xfId="2" applyNumberFormat="1" applyFo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0" fillId="0" borderId="0" xfId="0" applyNumberFormat="1"/>
    <xf numFmtId="171" fontId="0" fillId="0" borderId="0" xfId="0" applyNumberFormat="1"/>
    <xf numFmtId="0" fontId="3" fillId="0" borderId="0" xfId="0" applyFont="1" applyAlignment="1">
      <alignment horizontal="right" vertical="center"/>
    </xf>
    <xf numFmtId="170" fontId="3" fillId="0" borderId="0" xfId="2" applyNumberFormat="1" applyFont="1" applyAlignment="1">
      <alignment horizontal="right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2" borderId="1" xfId="0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center" vertical="center" wrapText="1"/>
    </xf>
    <xf numFmtId="172" fontId="6" fillId="0" borderId="1" xfId="0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4" fontId="0" fillId="0" borderId="0" xfId="0" applyNumberFormat="1"/>
    <xf numFmtId="173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174" fontId="6" fillId="0" borderId="1" xfId="0" applyNumberFormat="1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75" fontId="6" fillId="0" borderId="1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178" fontId="6" fillId="0" borderId="1" xfId="0" applyNumberFormat="1" applyFont="1" applyBorder="1" applyAlignment="1">
      <alignment horizontal="right" vertical="center"/>
    </xf>
    <xf numFmtId="179" fontId="6" fillId="0" borderId="1" xfId="0" applyNumberFormat="1" applyFont="1" applyBorder="1" applyAlignment="1">
      <alignment horizontal="right" vertical="center"/>
    </xf>
    <xf numFmtId="180" fontId="6" fillId="0" borderId="1" xfId="0" applyNumberFormat="1" applyFont="1" applyBorder="1" applyAlignment="1">
      <alignment horizontal="right" vertical="center"/>
    </xf>
    <xf numFmtId="181" fontId="6" fillId="0" borderId="1" xfId="0" applyNumberFormat="1" applyFont="1" applyBorder="1" applyAlignment="1">
      <alignment horizontal="right" vertical="center"/>
    </xf>
    <xf numFmtId="182" fontId="6" fillId="0" borderId="1" xfId="0" applyNumberFormat="1" applyFont="1" applyBorder="1" applyAlignment="1">
      <alignment horizontal="right" vertical="center"/>
    </xf>
    <xf numFmtId="183" fontId="6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1" fillId="4" borderId="0" xfId="3"/>
    <xf numFmtId="0" fontId="1" fillId="4" borderId="0" xfId="3" applyAlignment="1">
      <alignment horizontal="right"/>
    </xf>
    <xf numFmtId="164" fontId="6" fillId="4" borderId="1" xfId="3" applyNumberFormat="1" applyFont="1" applyBorder="1" applyAlignment="1">
      <alignment horizontal="right" vertical="center"/>
    </xf>
    <xf numFmtId="169" fontId="0" fillId="4" borderId="0" xfId="4" applyNumberFormat="1" applyFont="1"/>
    <xf numFmtId="169" fontId="1" fillId="4" borderId="0" xfId="3" applyNumberFormat="1"/>
    <xf numFmtId="170" fontId="0" fillId="4" borderId="0" xfId="5" applyNumberFormat="1" applyFont="1"/>
    <xf numFmtId="166" fontId="6" fillId="4" borderId="1" xfId="3" applyNumberFormat="1" applyFont="1" applyBorder="1" applyAlignment="1">
      <alignment horizontal="right" vertical="center"/>
    </xf>
    <xf numFmtId="167" fontId="6" fillId="4" borderId="1" xfId="3" applyNumberFormat="1" applyFont="1" applyBorder="1" applyAlignment="1">
      <alignment horizontal="right" vertical="center"/>
    </xf>
    <xf numFmtId="168" fontId="6" fillId="4" borderId="1" xfId="3" applyNumberFormat="1" applyFont="1" applyBorder="1" applyAlignment="1">
      <alignment horizontal="right" vertical="center"/>
    </xf>
    <xf numFmtId="170" fontId="8" fillId="4" borderId="2" xfId="3" applyNumberFormat="1" applyFont="1" applyBorder="1" applyAlignment="1">
      <alignment horizontal="center"/>
    </xf>
    <xf numFmtId="184" fontId="0" fillId="0" borderId="0" xfId="0" applyNumberFormat="1"/>
    <xf numFmtId="185" fontId="0" fillId="0" borderId="0" xfId="0" applyNumberFormat="1"/>
    <xf numFmtId="0" fontId="9" fillId="0" borderId="3" xfId="0" applyFont="1" applyBorder="1" applyAlignment="1">
      <alignment horizontal="center" vertical="center"/>
    </xf>
    <xf numFmtId="184" fontId="9" fillId="0" borderId="4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84" fontId="9" fillId="0" borderId="6" xfId="0" applyNumberFormat="1" applyFont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2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vertical="center"/>
    </xf>
    <xf numFmtId="186" fontId="10" fillId="6" borderId="0" xfId="0" applyNumberFormat="1" applyFont="1" applyFill="1" applyAlignment="1">
      <alignment vertical="center"/>
    </xf>
    <xf numFmtId="0" fontId="12" fillId="4" borderId="0" xfId="6" applyFont="1" applyAlignment="1"/>
    <xf numFmtId="0" fontId="12" fillId="4" borderId="0" xfId="7" applyAlignment="1"/>
    <xf numFmtId="0" fontId="13" fillId="4" borderId="0" xfId="6" applyFont="1" applyAlignment="1"/>
    <xf numFmtId="0" fontId="0" fillId="4" borderId="0" xfId="6" applyFont="1" applyAlignment="1"/>
    <xf numFmtId="0" fontId="14" fillId="4" borderId="0" xfId="6" applyFont="1" applyAlignment="1"/>
    <xf numFmtId="0" fontId="0" fillId="7" borderId="0" xfId="6" applyFont="1" applyFill="1" applyAlignment="1"/>
    <xf numFmtId="0" fontId="0" fillId="8" borderId="0" xfId="6" applyFont="1" applyFill="1" applyAlignment="1"/>
    <xf numFmtId="184" fontId="0" fillId="4" borderId="0" xfId="6" applyNumberFormat="1" applyFont="1" applyAlignment="1"/>
    <xf numFmtId="2" fontId="0" fillId="4" borderId="0" xfId="6" applyNumberFormat="1" applyFont="1" applyAlignment="1"/>
    <xf numFmtId="0" fontId="12" fillId="7" borderId="0" xfId="6" applyFont="1" applyFill="1" applyAlignment="1"/>
    <xf numFmtId="0" fontId="11" fillId="9" borderId="0" xfId="6" applyFill="1" applyAlignment="1"/>
    <xf numFmtId="2" fontId="12" fillId="4" borderId="0" xfId="6" applyNumberFormat="1" applyFont="1" applyAlignment="1"/>
    <xf numFmtId="0" fontId="15" fillId="4" borderId="0" xfId="6" applyFont="1" applyAlignment="1"/>
    <xf numFmtId="0" fontId="16" fillId="4" borderId="0" xfId="6" applyFont="1" applyAlignment="1"/>
    <xf numFmtId="0" fontId="17" fillId="4" borderId="0" xfId="6" applyFont="1" applyAlignment="1"/>
    <xf numFmtId="184" fontId="17" fillId="4" borderId="0" xfId="6" applyNumberFormat="1" applyFont="1" applyAlignment="1"/>
    <xf numFmtId="184" fontId="16" fillId="4" borderId="0" xfId="6" applyNumberFormat="1" applyFont="1" applyAlignment="1"/>
    <xf numFmtId="2" fontId="18" fillId="4" borderId="0" xfId="6" applyNumberFormat="1" applyFont="1" applyAlignment="1"/>
    <xf numFmtId="2" fontId="16" fillId="4" borderId="0" xfId="6" applyNumberFormat="1" applyFont="1" applyAlignment="1"/>
    <xf numFmtId="0" fontId="12" fillId="4" borderId="0" xfId="6" applyFont="1">
      <alignment vertical="center"/>
    </xf>
    <xf numFmtId="184" fontId="12" fillId="4" borderId="0" xfId="6" applyNumberFormat="1" applyFont="1">
      <alignment vertical="center"/>
    </xf>
    <xf numFmtId="0" fontId="0" fillId="4" borderId="0" xfId="6" applyFont="1" applyAlignment="1">
      <alignment horizontal="left"/>
    </xf>
    <xf numFmtId="0" fontId="12" fillId="10" borderId="0" xfId="7" applyFill="1" applyAlignment="1"/>
    <xf numFmtId="0" fontId="12" fillId="10" borderId="0" xfId="6" applyFont="1" applyFill="1" applyAlignment="1"/>
    <xf numFmtId="0" fontId="12" fillId="4" borderId="0" xfId="7">
      <alignment vertical="center"/>
    </xf>
    <xf numFmtId="0" fontId="0" fillId="11" borderId="0" xfId="6" applyFont="1" applyFill="1" applyAlignment="1"/>
    <xf numFmtId="0" fontId="21" fillId="4" borderId="0" xfId="7" applyFont="1" applyAlignment="1"/>
    <xf numFmtId="0" fontId="22" fillId="4" borderId="0" xfId="6" applyFont="1" applyAlignment="1"/>
    <xf numFmtId="0" fontId="22" fillId="7" borderId="0" xfId="6" applyFont="1" applyFill="1" applyAlignment="1"/>
    <xf numFmtId="0" fontId="22" fillId="8" borderId="0" xfId="6" applyFont="1" applyFill="1" applyAlignment="1"/>
    <xf numFmtId="184" fontId="22" fillId="4" borderId="0" xfId="6" applyNumberFormat="1" applyFont="1" applyAlignment="1"/>
    <xf numFmtId="2" fontId="22" fillId="4" borderId="0" xfId="6" applyNumberFormat="1" applyFont="1" applyAlignment="1"/>
    <xf numFmtId="0" fontId="0" fillId="0" borderId="0" xfId="0" applyAlignment="1">
      <alignment horizontal="right"/>
    </xf>
    <xf numFmtId="10" fontId="10" fillId="6" borderId="0" xfId="2" applyNumberFormat="1" applyFont="1" applyFill="1" applyAlignment="1">
      <alignment vertical="center"/>
    </xf>
    <xf numFmtId="43" fontId="0" fillId="0" borderId="0" xfId="1" applyFont="1"/>
    <xf numFmtId="0" fontId="9" fillId="0" borderId="0" xfId="0" applyFont="1" applyAlignment="1">
      <alignment horizontal="right"/>
    </xf>
    <xf numFmtId="43" fontId="9" fillId="0" borderId="0" xfId="0" applyNumberFormat="1" applyFont="1"/>
    <xf numFmtId="2" fontId="10" fillId="6" borderId="0" xfId="0" applyNumberFormat="1" applyFont="1" applyFill="1" applyAlignment="1">
      <alignment vertical="center"/>
    </xf>
    <xf numFmtId="184" fontId="10" fillId="6" borderId="0" xfId="0" applyNumberFormat="1" applyFont="1" applyFill="1" applyAlignment="1">
      <alignment vertical="center"/>
    </xf>
    <xf numFmtId="186" fontId="0" fillId="0" borderId="0" xfId="0" applyNumberFormat="1"/>
    <xf numFmtId="2" fontId="0" fillId="0" borderId="0" xfId="0" applyNumberFormat="1"/>
    <xf numFmtId="185" fontId="9" fillId="0" borderId="0" xfId="0" applyNumberFormat="1" applyFont="1"/>
    <xf numFmtId="0" fontId="3" fillId="0" borderId="0" xfId="0" applyFont="1"/>
    <xf numFmtId="2" fontId="3" fillId="0" borderId="0" xfId="0" applyNumberFormat="1" applyFont="1"/>
    <xf numFmtId="184" fontId="3" fillId="0" borderId="0" xfId="0" applyNumberFormat="1" applyFont="1"/>
    <xf numFmtId="2" fontId="23" fillId="0" borderId="0" xfId="0" applyNumberFormat="1" applyFont="1"/>
    <xf numFmtId="17" fontId="0" fillId="0" borderId="0" xfId="0" applyNumberFormat="1"/>
    <xf numFmtId="0" fontId="12" fillId="4" borderId="0" xfId="6" applyFont="1" applyAlignment="1">
      <alignment horizontal="center"/>
    </xf>
    <xf numFmtId="0" fontId="3" fillId="6" borderId="7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</cellXfs>
  <cellStyles count="8">
    <cellStyle name="ANCLAS,REZONES Y SUS PARTES,DE FUNDICION,DE HIERRO O DE ACERO" xfId="6" xr:uid="{288915C9-2A18-4C33-908A-C13C302736AE}"/>
    <cellStyle name="Comma" xfId="1" builtinId="3"/>
    <cellStyle name="Comma 2" xfId="4" xr:uid="{D6DF2A25-73B8-4298-81AD-16EC330A8406}"/>
    <cellStyle name="Normal" xfId="0" builtinId="0"/>
    <cellStyle name="Normal 2" xfId="3" xr:uid="{BEAFAEF2-9FA9-481B-B04E-88B80C050CBF}"/>
    <cellStyle name="Normal 3" xfId="7" xr:uid="{81AC907F-BADE-4466-9061-9152B7C6225A}"/>
    <cellStyle name="Percent" xfId="2" builtinId="5"/>
    <cellStyle name="Percent 2" xfId="5" xr:uid="{F3D995E8-9DEE-4473-A5A1-76992674BD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'GDP per capita long'!$F$16</c:f>
              <c:strCache>
                <c:ptCount val="1"/>
                <c:pt idx="0">
                  <c:v>log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335265438147044E-2"/>
                  <c:y val="-6.9948395276775516E-2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'GDP per capita long'!$D$17:$D$38</c:f>
              <c:numCache>
                <c:formatCode>General</c:formatCode>
                <c:ptCount val="22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</c:numCache>
            </c:numRef>
          </c:xVal>
          <c:yVal>
            <c:numRef>
              <c:f>'GDP per capita long'!$F$17:$F$38</c:f>
              <c:numCache>
                <c:formatCode>0.00000000</c:formatCode>
                <c:ptCount val="22"/>
                <c:pt idx="0">
                  <c:v>11.266255308017154</c:v>
                </c:pt>
                <c:pt idx="1">
                  <c:v>11.283802371572641</c:v>
                </c:pt>
                <c:pt idx="2">
                  <c:v>11.297212714687804</c:v>
                </c:pt>
                <c:pt idx="3">
                  <c:v>11.342606675571853</c:v>
                </c:pt>
                <c:pt idx="4">
                  <c:v>11.422288927135188</c:v>
                </c:pt>
                <c:pt idx="5">
                  <c:v>11.457859639760606</c:v>
                </c:pt>
                <c:pt idx="6">
                  <c:v>11.483898374780459</c:v>
                </c:pt>
                <c:pt idx="7">
                  <c:v>11.507728959515042</c:v>
                </c:pt>
                <c:pt idx="8">
                  <c:v>11.564970757288416</c:v>
                </c:pt>
                <c:pt idx="9">
                  <c:v>11.566284193628951</c:v>
                </c:pt>
                <c:pt idx="10">
                  <c:v>11.597659725926512</c:v>
                </c:pt>
                <c:pt idx="11">
                  <c:v>11.603638304849799</c:v>
                </c:pt>
                <c:pt idx="12">
                  <c:v>11.652319353040905</c:v>
                </c:pt>
                <c:pt idx="13">
                  <c:v>11.698143583174112</c:v>
                </c:pt>
                <c:pt idx="14">
                  <c:v>11.72504527944092</c:v>
                </c:pt>
                <c:pt idx="15">
                  <c:v>11.752313867258042</c:v>
                </c:pt>
                <c:pt idx="16">
                  <c:v>11.767733892206776</c:v>
                </c:pt>
                <c:pt idx="17">
                  <c:v>11.774026032675016</c:v>
                </c:pt>
                <c:pt idx="18">
                  <c:v>11.833350743597432</c:v>
                </c:pt>
                <c:pt idx="19">
                  <c:v>11.900148555694184</c:v>
                </c:pt>
                <c:pt idx="20">
                  <c:v>11.959246046146971</c:v>
                </c:pt>
                <c:pt idx="21">
                  <c:v>12.027407610629274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FD-4B1A-B994-D0392CCFE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60384"/>
        <c:axId val="1353687424"/>
      </c:scatterChart>
      <c:valAx>
        <c:axId val="141166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87424"/>
        <c:crosses val="autoZero"/>
        <c:crossBetween val="midCat"/>
      </c:valAx>
      <c:valAx>
        <c:axId val="135368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6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 per capita long'!$F$16</c:f>
              <c:strCache>
                <c:ptCount val="1"/>
                <c:pt idx="0">
                  <c:v>log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'GDP per capita long'!$D$17:$D$38</c:f>
              <c:numCache>
                <c:formatCode>General</c:formatCode>
                <c:ptCount val="22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</c:numCache>
            </c:numRef>
          </c:cat>
          <c:val>
            <c:numRef>
              <c:f>'GDP per capita long'!$F$17:$F$38</c:f>
              <c:numCache>
                <c:formatCode>0.00000000</c:formatCode>
                <c:ptCount val="22"/>
                <c:pt idx="0">
                  <c:v>11.266255308017154</c:v>
                </c:pt>
                <c:pt idx="1">
                  <c:v>11.283802371572641</c:v>
                </c:pt>
                <c:pt idx="2">
                  <c:v>11.297212714687804</c:v>
                </c:pt>
                <c:pt idx="3">
                  <c:v>11.342606675571853</c:v>
                </c:pt>
                <c:pt idx="4">
                  <c:v>11.422288927135188</c:v>
                </c:pt>
                <c:pt idx="5">
                  <c:v>11.457859639760606</c:v>
                </c:pt>
                <c:pt idx="6">
                  <c:v>11.483898374780459</c:v>
                </c:pt>
                <c:pt idx="7">
                  <c:v>11.507728959515042</c:v>
                </c:pt>
                <c:pt idx="8">
                  <c:v>11.564970757288416</c:v>
                </c:pt>
                <c:pt idx="9">
                  <c:v>11.566284193628951</c:v>
                </c:pt>
                <c:pt idx="10">
                  <c:v>11.597659725926512</c:v>
                </c:pt>
                <c:pt idx="11">
                  <c:v>11.603638304849799</c:v>
                </c:pt>
                <c:pt idx="12">
                  <c:v>11.652319353040905</c:v>
                </c:pt>
                <c:pt idx="13">
                  <c:v>11.698143583174112</c:v>
                </c:pt>
                <c:pt idx="14">
                  <c:v>11.72504527944092</c:v>
                </c:pt>
                <c:pt idx="15">
                  <c:v>11.752313867258042</c:v>
                </c:pt>
                <c:pt idx="16">
                  <c:v>11.767733892206776</c:v>
                </c:pt>
                <c:pt idx="17">
                  <c:v>11.774026032675016</c:v>
                </c:pt>
                <c:pt idx="18">
                  <c:v>11.833350743597432</c:v>
                </c:pt>
                <c:pt idx="19">
                  <c:v>11.900148555694184</c:v>
                </c:pt>
                <c:pt idx="20">
                  <c:v>11.959246046146971</c:v>
                </c:pt>
                <c:pt idx="21">
                  <c:v>12.027407610629274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1-4D87-8B41-7D5C68E71EA9}"/>
            </c:ext>
          </c:extLst>
        </c:ser>
        <c:ser>
          <c:idx val="1"/>
          <c:order val="1"/>
          <c:tx>
            <c:strRef>
              <c:f>'GDP per capita long'!$I$16</c:f>
              <c:strCache>
                <c:ptCount val="1"/>
                <c:pt idx="0">
                  <c:v>log_lin_trend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'GDP per capita long'!$D$17:$D$38</c:f>
              <c:numCache>
                <c:formatCode>General</c:formatCode>
                <c:ptCount val="22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</c:numCache>
            </c:numRef>
          </c:cat>
          <c:val>
            <c:numRef>
              <c:f>'GDP per capita long'!$I$17:$I$38</c:f>
              <c:numCache>
                <c:formatCode>0.00000000</c:formatCode>
                <c:ptCount val="22"/>
                <c:pt idx="0">
                  <c:v>11.261468479999998</c:v>
                </c:pt>
                <c:pt idx="1">
                  <c:v>11.294939289999995</c:v>
                </c:pt>
                <c:pt idx="2">
                  <c:v>11.328410099999992</c:v>
                </c:pt>
                <c:pt idx="3">
                  <c:v>11.361880909999989</c:v>
                </c:pt>
                <c:pt idx="4">
                  <c:v>11.395351719999987</c:v>
                </c:pt>
                <c:pt idx="5">
                  <c:v>11.428822529999998</c:v>
                </c:pt>
                <c:pt idx="6">
                  <c:v>11.462293339999995</c:v>
                </c:pt>
                <c:pt idx="7">
                  <c:v>11.495764149999992</c:v>
                </c:pt>
                <c:pt idx="8">
                  <c:v>11.529234959999989</c:v>
                </c:pt>
                <c:pt idx="9">
                  <c:v>11.562705769999987</c:v>
                </c:pt>
                <c:pt idx="10">
                  <c:v>11.596176579999998</c:v>
                </c:pt>
                <c:pt idx="11">
                  <c:v>11.629647389999995</c:v>
                </c:pt>
                <c:pt idx="12">
                  <c:v>11.663118199999992</c:v>
                </c:pt>
                <c:pt idx="13">
                  <c:v>11.69658900999999</c:v>
                </c:pt>
                <c:pt idx="14">
                  <c:v>11.730059819999987</c:v>
                </c:pt>
                <c:pt idx="15">
                  <c:v>11.763530629999998</c:v>
                </c:pt>
                <c:pt idx="16">
                  <c:v>11.797001439999995</c:v>
                </c:pt>
                <c:pt idx="17">
                  <c:v>11.830472249999993</c:v>
                </c:pt>
                <c:pt idx="18">
                  <c:v>11.86394305999999</c:v>
                </c:pt>
                <c:pt idx="19">
                  <c:v>11.897413869999987</c:v>
                </c:pt>
                <c:pt idx="20">
                  <c:v>11.930884679999998</c:v>
                </c:pt>
                <c:pt idx="21">
                  <c:v>11.964355489999996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A1-4D87-8B41-7D5C68E71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385135"/>
        <c:axId val="278379855"/>
      </c:lineChart>
      <c:catAx>
        <c:axId val="27838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79855"/>
        <c:crosses val="autoZero"/>
        <c:auto val="1"/>
        <c:lblAlgn val="ctr"/>
        <c:lblOffset val="100"/>
        <c:noMultiLvlLbl val="0"/>
      </c:catAx>
      <c:valAx>
        <c:axId val="2783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'Proxy for working capital'!$E$4</c:f>
              <c:strCache>
                <c:ptCount val="1"/>
                <c:pt idx="0">
                  <c:v>proxy for working capital /  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'Proxy for working capital'!$A$5:$A$101</c:f>
              <c:numCache>
                <c:formatCode>"Abr-Jun"\ yyyy</c:formatCode>
                <c:ptCount val="97"/>
                <c:pt idx="0" formatCode="&quot;Ene-Mar&quot;\ yyyy">
                  <c:v>36892</c:v>
                </c:pt>
                <c:pt idx="1">
                  <c:v>36982</c:v>
                </c:pt>
                <c:pt idx="2" formatCode="&quot;Jul-Sep&quot;\ yyyy">
                  <c:v>37073</c:v>
                </c:pt>
                <c:pt idx="3" formatCode="&quot;Oct-Dic&quot;\ yyyy">
                  <c:v>37165</c:v>
                </c:pt>
                <c:pt idx="4" formatCode="&quot;Ene-Mar&quot;\ yyyy">
                  <c:v>37257</c:v>
                </c:pt>
                <c:pt idx="5">
                  <c:v>37347</c:v>
                </c:pt>
                <c:pt idx="6" formatCode="&quot;Jul-Sep&quot;\ yyyy">
                  <c:v>37438</c:v>
                </c:pt>
                <c:pt idx="7" formatCode="&quot;Oct-Dic&quot;\ yyyy">
                  <c:v>37530</c:v>
                </c:pt>
                <c:pt idx="8" formatCode="&quot;Ene-Mar&quot;\ yyyy">
                  <c:v>37622</c:v>
                </c:pt>
                <c:pt idx="9">
                  <c:v>37712</c:v>
                </c:pt>
                <c:pt idx="10" formatCode="&quot;Jul-Sep&quot;\ yyyy">
                  <c:v>37803</c:v>
                </c:pt>
                <c:pt idx="11" formatCode="&quot;Oct-Dic&quot;\ yyyy">
                  <c:v>37895</c:v>
                </c:pt>
                <c:pt idx="12" formatCode="&quot;Ene-Mar&quot;\ yyyy">
                  <c:v>37987</c:v>
                </c:pt>
                <c:pt idx="13">
                  <c:v>38078</c:v>
                </c:pt>
                <c:pt idx="14" formatCode="&quot;Jul-Sep&quot;\ yyyy">
                  <c:v>38169</c:v>
                </c:pt>
                <c:pt idx="15" formatCode="&quot;Oct-Dic&quot;\ yyyy">
                  <c:v>38261</c:v>
                </c:pt>
                <c:pt idx="16" formatCode="&quot;Ene-Mar&quot;\ yyyy">
                  <c:v>38353</c:v>
                </c:pt>
                <c:pt idx="17">
                  <c:v>38443</c:v>
                </c:pt>
                <c:pt idx="18" formatCode="&quot;Jul-Sep&quot;\ yyyy">
                  <c:v>38534</c:v>
                </c:pt>
                <c:pt idx="19" formatCode="&quot;Oct-Dic&quot;\ yyyy">
                  <c:v>38626</c:v>
                </c:pt>
                <c:pt idx="20" formatCode="&quot;Ene-Mar&quot;\ yyyy">
                  <c:v>38718</c:v>
                </c:pt>
                <c:pt idx="21">
                  <c:v>38808</c:v>
                </c:pt>
                <c:pt idx="22" formatCode="&quot;Jul-Sep&quot;\ yyyy">
                  <c:v>38899</c:v>
                </c:pt>
                <c:pt idx="23" formatCode="&quot;Oct-Dic&quot;\ yyyy">
                  <c:v>38991</c:v>
                </c:pt>
                <c:pt idx="24" formatCode="&quot;Ene-Mar&quot;\ yyyy">
                  <c:v>39083</c:v>
                </c:pt>
                <c:pt idx="25">
                  <c:v>39173</c:v>
                </c:pt>
                <c:pt idx="26" formatCode="&quot;Jul-Sep&quot;\ yyyy">
                  <c:v>39264</c:v>
                </c:pt>
                <c:pt idx="27" formatCode="&quot;Oct-Dic&quot;\ yyyy">
                  <c:v>39356</c:v>
                </c:pt>
                <c:pt idx="28" formatCode="&quot;Ene-Mar&quot;\ yyyy">
                  <c:v>39448</c:v>
                </c:pt>
                <c:pt idx="29">
                  <c:v>39539</c:v>
                </c:pt>
                <c:pt idx="30" formatCode="&quot;Jul-Sep&quot;\ yyyy">
                  <c:v>39630</c:v>
                </c:pt>
                <c:pt idx="31" formatCode="&quot;Oct-Dic&quot;\ yyyy">
                  <c:v>39722</c:v>
                </c:pt>
                <c:pt idx="32" formatCode="&quot;Ene-Mar&quot;\ yyyy">
                  <c:v>39814</c:v>
                </c:pt>
                <c:pt idx="33">
                  <c:v>39904</c:v>
                </c:pt>
                <c:pt idx="34" formatCode="&quot;Jul-Sep&quot;\ yyyy">
                  <c:v>39995</c:v>
                </c:pt>
                <c:pt idx="35" formatCode="&quot;Oct-Dic&quot;\ yyyy">
                  <c:v>40087</c:v>
                </c:pt>
                <c:pt idx="36" formatCode="&quot;Ene-Mar&quot;\ yyyy">
                  <c:v>40179</c:v>
                </c:pt>
                <c:pt idx="37">
                  <c:v>40269</c:v>
                </c:pt>
                <c:pt idx="38" formatCode="&quot;Jul-Sep&quot;\ yyyy">
                  <c:v>40360</c:v>
                </c:pt>
                <c:pt idx="39" formatCode="&quot;Oct-Dic&quot;\ yyyy">
                  <c:v>40452</c:v>
                </c:pt>
                <c:pt idx="40" formatCode="&quot;Ene-Mar&quot;\ yyyy">
                  <c:v>40544</c:v>
                </c:pt>
                <c:pt idx="41">
                  <c:v>40634</c:v>
                </c:pt>
                <c:pt idx="42" formatCode="&quot;Jul-Sep&quot;\ yyyy">
                  <c:v>40725</c:v>
                </c:pt>
                <c:pt idx="43" formatCode="&quot;Oct-Dic&quot;\ yyyy">
                  <c:v>40817</c:v>
                </c:pt>
                <c:pt idx="44" formatCode="&quot;Ene-Mar&quot;\ yyyy">
                  <c:v>40909</c:v>
                </c:pt>
                <c:pt idx="45">
                  <c:v>41000</c:v>
                </c:pt>
                <c:pt idx="46" formatCode="&quot;Jul-Sep&quot;\ yyyy">
                  <c:v>41091</c:v>
                </c:pt>
                <c:pt idx="47" formatCode="&quot;Oct-Dic&quot;\ yyyy">
                  <c:v>41183</c:v>
                </c:pt>
                <c:pt idx="48" formatCode="&quot;Ene-Mar&quot;\ yyyy">
                  <c:v>41275</c:v>
                </c:pt>
                <c:pt idx="49">
                  <c:v>41365</c:v>
                </c:pt>
                <c:pt idx="50" formatCode="&quot;Jul-Sep&quot;\ yyyy">
                  <c:v>41456</c:v>
                </c:pt>
                <c:pt idx="51" formatCode="&quot;Oct-Dic&quot;\ yyyy">
                  <c:v>41548</c:v>
                </c:pt>
                <c:pt idx="52" formatCode="&quot;Ene-Mar&quot;\ yyyy">
                  <c:v>41640</c:v>
                </c:pt>
                <c:pt idx="53">
                  <c:v>41730</c:v>
                </c:pt>
                <c:pt idx="54" formatCode="&quot;Jul-Sep&quot;\ yyyy">
                  <c:v>41821</c:v>
                </c:pt>
                <c:pt idx="55" formatCode="&quot;Oct-Dic&quot;\ yyyy">
                  <c:v>41913</c:v>
                </c:pt>
                <c:pt idx="56" formatCode="&quot;Ene-Mar&quot;\ yyyy">
                  <c:v>42005</c:v>
                </c:pt>
                <c:pt idx="57">
                  <c:v>42095</c:v>
                </c:pt>
                <c:pt idx="58" formatCode="&quot;Jul-Sep&quot;\ yyyy">
                  <c:v>42186</c:v>
                </c:pt>
                <c:pt idx="59" formatCode="&quot;Oct-Dic&quot;\ yyyy">
                  <c:v>42278</c:v>
                </c:pt>
                <c:pt idx="60" formatCode="&quot;Ene-Mar&quot;\ yyyy">
                  <c:v>42370</c:v>
                </c:pt>
                <c:pt idx="61">
                  <c:v>42461</c:v>
                </c:pt>
                <c:pt idx="62" formatCode="&quot;Jul-Sep&quot;\ yyyy">
                  <c:v>42552</c:v>
                </c:pt>
                <c:pt idx="63" formatCode="&quot;Oct-Dic&quot;\ yyyy">
                  <c:v>42644</c:v>
                </c:pt>
                <c:pt idx="64" formatCode="&quot;Ene-Mar&quot;\ yyyy">
                  <c:v>42736</c:v>
                </c:pt>
                <c:pt idx="65">
                  <c:v>42826</c:v>
                </c:pt>
                <c:pt idx="66" formatCode="&quot;Jul-Sep&quot;\ yyyy">
                  <c:v>42917</c:v>
                </c:pt>
                <c:pt idx="67" formatCode="&quot;Oct-Dic&quot;\ yyyy">
                  <c:v>43009</c:v>
                </c:pt>
                <c:pt idx="68" formatCode="&quot;Ene-Mar&quot;\ yyyy">
                  <c:v>43101</c:v>
                </c:pt>
                <c:pt idx="69">
                  <c:v>43191</c:v>
                </c:pt>
                <c:pt idx="70" formatCode="&quot;Jul-Sep&quot;\ yyyy">
                  <c:v>43282</c:v>
                </c:pt>
                <c:pt idx="71" formatCode="&quot;Oct-Dic&quot;\ yyyy">
                  <c:v>43374</c:v>
                </c:pt>
                <c:pt idx="72" formatCode="&quot;Ene-Mar&quot;\ yyyy">
                  <c:v>43466</c:v>
                </c:pt>
                <c:pt idx="73">
                  <c:v>43556</c:v>
                </c:pt>
                <c:pt idx="74" formatCode="&quot;Jul-Sep&quot;\ yyyy">
                  <c:v>43647</c:v>
                </c:pt>
                <c:pt idx="75" formatCode="&quot;Oct-Dic&quot;\ yyyy">
                  <c:v>43739</c:v>
                </c:pt>
                <c:pt idx="76" formatCode="&quot;Ene-Mar&quot;\ yyyy">
                  <c:v>43831</c:v>
                </c:pt>
                <c:pt idx="77">
                  <c:v>43922</c:v>
                </c:pt>
                <c:pt idx="78" formatCode="&quot;Jul-Sep&quot;\ yyyy">
                  <c:v>44013</c:v>
                </c:pt>
                <c:pt idx="79" formatCode="&quot;Oct-Dic&quot;\ yyyy">
                  <c:v>44105</c:v>
                </c:pt>
                <c:pt idx="80" formatCode="&quot;Ene-Mar&quot;\ yyyy">
                  <c:v>44197</c:v>
                </c:pt>
                <c:pt idx="81">
                  <c:v>44287</c:v>
                </c:pt>
                <c:pt idx="82" formatCode="&quot;Jul-Sep&quot;\ yyyy">
                  <c:v>44378</c:v>
                </c:pt>
                <c:pt idx="83" formatCode="&quot;Oct-Dic&quot;\ yyyy">
                  <c:v>44470</c:v>
                </c:pt>
                <c:pt idx="84" formatCode="&quot;Ene-Mar&quot;\ yyyy">
                  <c:v>44562</c:v>
                </c:pt>
                <c:pt idx="85">
                  <c:v>44652</c:v>
                </c:pt>
                <c:pt idx="86" formatCode="&quot;Jul-Sep&quot;\ yyyy">
                  <c:v>44743</c:v>
                </c:pt>
                <c:pt idx="87" formatCode="&quot;Oct-Dic&quot;\ yyyy">
                  <c:v>44835</c:v>
                </c:pt>
                <c:pt idx="88" formatCode="&quot;Ene-Mar&quot;\ yyyy">
                  <c:v>44927</c:v>
                </c:pt>
                <c:pt idx="89">
                  <c:v>45017</c:v>
                </c:pt>
                <c:pt idx="90" formatCode="&quot;Jul-Sep&quot;\ yyyy">
                  <c:v>45108</c:v>
                </c:pt>
                <c:pt idx="91" formatCode="&quot;Oct-Dic&quot;\ yyyy">
                  <c:v>45200</c:v>
                </c:pt>
                <c:pt idx="92" formatCode="&quot;Ene-Mar&quot;\ yyyy">
                  <c:v>45292</c:v>
                </c:pt>
                <c:pt idx="93">
                  <c:v>45383</c:v>
                </c:pt>
                <c:pt idx="94" formatCode="&quot;Jul-Sep&quot;\ yyyy">
                  <c:v>45474</c:v>
                </c:pt>
                <c:pt idx="95" formatCode="&quot;Oct-Dic&quot;\ yyyy">
                  <c:v>45566</c:v>
                </c:pt>
                <c:pt idx="96" formatCode="&quot;Ene-Mar&quot;\ yyyy">
                  <c:v>45658</c:v>
                </c:pt>
              </c:numCache>
            </c:numRef>
          </c:cat>
          <c:val>
            <c:numRef>
              <c:f>'Proxy for working capital'!$E$5:$E$101</c:f>
              <c:numCache>
                <c:formatCode>0.0%</c:formatCode>
                <c:ptCount val="97"/>
                <c:pt idx="0">
                  <c:v>4.71057656431947E-2</c:v>
                </c:pt>
                <c:pt idx="1">
                  <c:v>4.640714043819303E-2</c:v>
                </c:pt>
                <c:pt idx="2">
                  <c:v>4.9200683265410113E-2</c:v>
                </c:pt>
                <c:pt idx="3">
                  <c:v>5.5600154759342053E-2</c:v>
                </c:pt>
                <c:pt idx="4">
                  <c:v>5.7875142675954783E-2</c:v>
                </c:pt>
                <c:pt idx="5">
                  <c:v>5.3621326161922819E-2</c:v>
                </c:pt>
                <c:pt idx="6">
                  <c:v>5.4415594582781612E-2</c:v>
                </c:pt>
                <c:pt idx="7">
                  <c:v>5.7633750325032554E-2</c:v>
                </c:pt>
                <c:pt idx="8">
                  <c:v>5.8797289534125927E-2</c:v>
                </c:pt>
                <c:pt idx="9">
                  <c:v>5.7677278669896428E-2</c:v>
                </c:pt>
                <c:pt idx="10">
                  <c:v>5.8629140164937754E-2</c:v>
                </c:pt>
                <c:pt idx="11">
                  <c:v>6.1696475926806209E-2</c:v>
                </c:pt>
                <c:pt idx="12">
                  <c:v>6.1424163995383647E-2</c:v>
                </c:pt>
                <c:pt idx="13">
                  <c:v>5.9038073115786585E-2</c:v>
                </c:pt>
                <c:pt idx="14">
                  <c:v>5.9365712838108119E-2</c:v>
                </c:pt>
                <c:pt idx="15">
                  <c:v>6.1071246428565998E-2</c:v>
                </c:pt>
                <c:pt idx="16">
                  <c:v>6.3547690370282003E-2</c:v>
                </c:pt>
                <c:pt idx="17">
                  <c:v>5.9925940850939621E-2</c:v>
                </c:pt>
                <c:pt idx="18">
                  <c:v>6.1084226531974567E-2</c:v>
                </c:pt>
                <c:pt idx="19">
                  <c:v>6.3199557820862257E-2</c:v>
                </c:pt>
                <c:pt idx="20">
                  <c:v>6.4565917947922727E-2</c:v>
                </c:pt>
                <c:pt idx="21">
                  <c:v>6.3078330054620754E-2</c:v>
                </c:pt>
                <c:pt idx="22">
                  <c:v>6.3751761746806551E-2</c:v>
                </c:pt>
                <c:pt idx="23">
                  <c:v>6.6020553017812914E-2</c:v>
                </c:pt>
                <c:pt idx="24">
                  <c:v>6.650126580567213E-2</c:v>
                </c:pt>
                <c:pt idx="25">
                  <c:v>6.3440838843548814E-2</c:v>
                </c:pt>
                <c:pt idx="26">
                  <c:v>6.4748205928466931E-2</c:v>
                </c:pt>
                <c:pt idx="27">
                  <c:v>6.5957934751112834E-2</c:v>
                </c:pt>
                <c:pt idx="28">
                  <c:v>6.7804348383217819E-2</c:v>
                </c:pt>
                <c:pt idx="29">
                  <c:v>6.2195446939788991E-2</c:v>
                </c:pt>
                <c:pt idx="30">
                  <c:v>6.2721828237263272E-2</c:v>
                </c:pt>
                <c:pt idx="31">
                  <c:v>6.9989279797885842E-2</c:v>
                </c:pt>
                <c:pt idx="32">
                  <c:v>7.74207824568999E-2</c:v>
                </c:pt>
                <c:pt idx="33">
                  <c:v>7.5086995624286529E-2</c:v>
                </c:pt>
                <c:pt idx="34">
                  <c:v>7.2945908430448528E-2</c:v>
                </c:pt>
                <c:pt idx="35">
                  <c:v>7.5106994947677433E-2</c:v>
                </c:pt>
                <c:pt idx="36">
                  <c:v>7.6352708530448635E-2</c:v>
                </c:pt>
                <c:pt idx="37">
                  <c:v>7.3618681250745457E-2</c:v>
                </c:pt>
                <c:pt idx="38">
                  <c:v>7.4374516812939287E-2</c:v>
                </c:pt>
                <c:pt idx="39">
                  <c:v>7.6621528349455084E-2</c:v>
                </c:pt>
                <c:pt idx="40">
                  <c:v>7.9545935376070867E-2</c:v>
                </c:pt>
                <c:pt idx="41">
                  <c:v>7.8242074274234991E-2</c:v>
                </c:pt>
                <c:pt idx="42">
                  <c:v>7.8547517106620612E-2</c:v>
                </c:pt>
                <c:pt idx="43">
                  <c:v>7.950406644027902E-2</c:v>
                </c:pt>
                <c:pt idx="44">
                  <c:v>8.1979071093370062E-2</c:v>
                </c:pt>
                <c:pt idx="45">
                  <c:v>8.302723692462885E-2</c:v>
                </c:pt>
                <c:pt idx="46">
                  <c:v>8.2924071114723386E-2</c:v>
                </c:pt>
                <c:pt idx="47">
                  <c:v>8.4274920870687234E-2</c:v>
                </c:pt>
                <c:pt idx="48">
                  <c:v>8.7997172293179465E-2</c:v>
                </c:pt>
                <c:pt idx="49">
                  <c:v>8.6082377113120029E-2</c:v>
                </c:pt>
                <c:pt idx="50">
                  <c:v>8.7584082023159371E-2</c:v>
                </c:pt>
                <c:pt idx="51">
                  <c:v>8.9426904759742396E-2</c:v>
                </c:pt>
                <c:pt idx="52">
                  <c:v>9.3681025558627021E-2</c:v>
                </c:pt>
                <c:pt idx="53">
                  <c:v>9.1818062373144479E-2</c:v>
                </c:pt>
                <c:pt idx="54">
                  <c:v>9.3099274034054838E-2</c:v>
                </c:pt>
                <c:pt idx="55">
                  <c:v>9.6571932636319191E-2</c:v>
                </c:pt>
                <c:pt idx="56">
                  <c:v>0.10441504066591548</c:v>
                </c:pt>
                <c:pt idx="57">
                  <c:v>0.10282041556657547</c:v>
                </c:pt>
                <c:pt idx="58">
                  <c:v>0.10424899641708647</c:v>
                </c:pt>
                <c:pt idx="59">
                  <c:v>0.10662881257031709</c:v>
                </c:pt>
                <c:pt idx="60">
                  <c:v>0.11223614565445982</c:v>
                </c:pt>
                <c:pt idx="61">
                  <c:v>0.10962144657183272</c:v>
                </c:pt>
                <c:pt idx="62">
                  <c:v>0.11061751309334894</c:v>
                </c:pt>
                <c:pt idx="63">
                  <c:v>0.11136767163684184</c:v>
                </c:pt>
                <c:pt idx="64">
                  <c:v>0.11548633471333927</c:v>
                </c:pt>
                <c:pt idx="65">
                  <c:v>0.11292449166562883</c:v>
                </c:pt>
                <c:pt idx="66">
                  <c:v>0.11355934416930298</c:v>
                </c:pt>
                <c:pt idx="67">
                  <c:v>0.11543521576537284</c:v>
                </c:pt>
                <c:pt idx="68">
                  <c:v>0.11781557150486031</c:v>
                </c:pt>
                <c:pt idx="69">
                  <c:v>0.11585123928634866</c:v>
                </c:pt>
                <c:pt idx="70">
                  <c:v>0.11476411414784603</c:v>
                </c:pt>
                <c:pt idx="71">
                  <c:v>0.11539522107544531</c:v>
                </c:pt>
                <c:pt idx="72">
                  <c:v>0.11721258168583409</c:v>
                </c:pt>
                <c:pt idx="73">
                  <c:v>0.11521231441191945</c:v>
                </c:pt>
                <c:pt idx="74">
                  <c:v>0.11500488961090254</c:v>
                </c:pt>
                <c:pt idx="75">
                  <c:v>0.11707276916609369</c:v>
                </c:pt>
                <c:pt idx="76">
                  <c:v>0.12309800528692359</c:v>
                </c:pt>
                <c:pt idx="77">
                  <c:v>0.16497099526416684</c:v>
                </c:pt>
                <c:pt idx="78">
                  <c:v>0.14389096982868238</c:v>
                </c:pt>
                <c:pt idx="79">
                  <c:v>0.14008989730955221</c:v>
                </c:pt>
                <c:pt idx="80">
                  <c:v>0.14602591042090549</c:v>
                </c:pt>
                <c:pt idx="81">
                  <c:v>0.14329030390499758</c:v>
                </c:pt>
                <c:pt idx="82">
                  <c:v>0.14700255792891645</c:v>
                </c:pt>
                <c:pt idx="83">
                  <c:v>0.14696668204596516</c:v>
                </c:pt>
                <c:pt idx="84">
                  <c:v>0.1511799102737105</c:v>
                </c:pt>
                <c:pt idx="85">
                  <c:v>0.14574164225533884</c:v>
                </c:pt>
                <c:pt idx="86">
                  <c:v>0.14489956622036568</c:v>
                </c:pt>
                <c:pt idx="87">
                  <c:v>0.1436630469011044</c:v>
                </c:pt>
                <c:pt idx="88">
                  <c:v>0.14544673274836334</c:v>
                </c:pt>
                <c:pt idx="89">
                  <c:v>0.141029166467212</c:v>
                </c:pt>
                <c:pt idx="90">
                  <c:v>0.14133754860164208</c:v>
                </c:pt>
                <c:pt idx="91">
                  <c:v>0.14312223762622939</c:v>
                </c:pt>
                <c:pt idx="92">
                  <c:v>0.15299675638710319</c:v>
                </c:pt>
                <c:pt idx="93">
                  <c:v>0.14567011881839764</c:v>
                </c:pt>
                <c:pt idx="94">
                  <c:v>0.14684607142051656</c:v>
                </c:pt>
                <c:pt idx="95">
                  <c:v>0.1504105950593134</c:v>
                </c:pt>
                <c:pt idx="96">
                  <c:v>0.1545969290435196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1F-4DD5-80F2-A2943B520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8333071"/>
        <c:axId val="1438340751"/>
      </c:lineChart>
      <c:dateAx>
        <c:axId val="1438333071"/>
        <c:scaling>
          <c:orientation val="minMax"/>
        </c:scaling>
        <c:delete val="0"/>
        <c:axPos val="b"/>
        <c:numFmt formatCode="&quot;Ene-Mar&quot;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40751"/>
        <c:crosses val="autoZero"/>
        <c:auto val="1"/>
        <c:lblOffset val="100"/>
        <c:baseTimeUnit val="months"/>
      </c:dateAx>
      <c:valAx>
        <c:axId val="143834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33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'EMBI spreads'!$O$4</c:f>
              <c:strCache>
                <c:ptCount val="1"/>
                <c:pt idx="0">
                  <c:v>diferencial de tasas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'EMBI spreads'!$N$5:$N$333</c:f>
              <c:numCache>
                <c:formatCode>mmm\-yy</c:formatCode>
                <c:ptCount val="329"/>
                <c:pt idx="0">
                  <c:v>35765</c:v>
                </c:pt>
                <c:pt idx="1">
                  <c:v>35796</c:v>
                </c:pt>
                <c:pt idx="2">
                  <c:v>35827</c:v>
                </c:pt>
                <c:pt idx="3">
                  <c:v>35855</c:v>
                </c:pt>
                <c:pt idx="4">
                  <c:v>35886</c:v>
                </c:pt>
                <c:pt idx="5">
                  <c:v>35916</c:v>
                </c:pt>
                <c:pt idx="6">
                  <c:v>35947</c:v>
                </c:pt>
                <c:pt idx="7">
                  <c:v>35977</c:v>
                </c:pt>
                <c:pt idx="8">
                  <c:v>36008</c:v>
                </c:pt>
                <c:pt idx="9">
                  <c:v>36039</c:v>
                </c:pt>
                <c:pt idx="10">
                  <c:v>36069</c:v>
                </c:pt>
                <c:pt idx="11">
                  <c:v>36100</c:v>
                </c:pt>
                <c:pt idx="12">
                  <c:v>36130</c:v>
                </c:pt>
                <c:pt idx="13">
                  <c:v>36161</c:v>
                </c:pt>
                <c:pt idx="14">
                  <c:v>36192</c:v>
                </c:pt>
                <c:pt idx="15">
                  <c:v>36220</c:v>
                </c:pt>
                <c:pt idx="16">
                  <c:v>36251</c:v>
                </c:pt>
                <c:pt idx="17">
                  <c:v>36281</c:v>
                </c:pt>
                <c:pt idx="18">
                  <c:v>36312</c:v>
                </c:pt>
                <c:pt idx="19">
                  <c:v>36342</c:v>
                </c:pt>
                <c:pt idx="20">
                  <c:v>36373</c:v>
                </c:pt>
                <c:pt idx="21">
                  <c:v>36404</c:v>
                </c:pt>
                <c:pt idx="22">
                  <c:v>36434</c:v>
                </c:pt>
                <c:pt idx="23">
                  <c:v>36465</c:v>
                </c:pt>
                <c:pt idx="24">
                  <c:v>36495</c:v>
                </c:pt>
                <c:pt idx="25">
                  <c:v>36526</c:v>
                </c:pt>
                <c:pt idx="26">
                  <c:v>36557</c:v>
                </c:pt>
                <c:pt idx="27">
                  <c:v>36586</c:v>
                </c:pt>
                <c:pt idx="28">
                  <c:v>36617</c:v>
                </c:pt>
                <c:pt idx="29">
                  <c:v>36647</c:v>
                </c:pt>
                <c:pt idx="30">
                  <c:v>36678</c:v>
                </c:pt>
                <c:pt idx="31">
                  <c:v>36708</c:v>
                </c:pt>
                <c:pt idx="32">
                  <c:v>36739</c:v>
                </c:pt>
                <c:pt idx="33">
                  <c:v>36770</c:v>
                </c:pt>
                <c:pt idx="34">
                  <c:v>36800</c:v>
                </c:pt>
                <c:pt idx="35">
                  <c:v>36831</c:v>
                </c:pt>
                <c:pt idx="36">
                  <c:v>36861</c:v>
                </c:pt>
                <c:pt idx="37">
                  <c:v>36892</c:v>
                </c:pt>
                <c:pt idx="38">
                  <c:v>36923</c:v>
                </c:pt>
                <c:pt idx="39">
                  <c:v>36951</c:v>
                </c:pt>
                <c:pt idx="40">
                  <c:v>36982</c:v>
                </c:pt>
                <c:pt idx="41">
                  <c:v>37012</c:v>
                </c:pt>
                <c:pt idx="42">
                  <c:v>37043</c:v>
                </c:pt>
                <c:pt idx="43">
                  <c:v>37073</c:v>
                </c:pt>
                <c:pt idx="44">
                  <c:v>37104</c:v>
                </c:pt>
                <c:pt idx="45">
                  <c:v>37135</c:v>
                </c:pt>
                <c:pt idx="46">
                  <c:v>37165</c:v>
                </c:pt>
                <c:pt idx="47">
                  <c:v>37196</c:v>
                </c:pt>
                <c:pt idx="48">
                  <c:v>37226</c:v>
                </c:pt>
                <c:pt idx="49">
                  <c:v>37257</c:v>
                </c:pt>
                <c:pt idx="50">
                  <c:v>37288</c:v>
                </c:pt>
                <c:pt idx="51">
                  <c:v>37316</c:v>
                </c:pt>
                <c:pt idx="52">
                  <c:v>37347</c:v>
                </c:pt>
                <c:pt idx="53">
                  <c:v>37377</c:v>
                </c:pt>
                <c:pt idx="54">
                  <c:v>37408</c:v>
                </c:pt>
                <c:pt idx="55">
                  <c:v>37438</c:v>
                </c:pt>
                <c:pt idx="56">
                  <c:v>37469</c:v>
                </c:pt>
                <c:pt idx="57">
                  <c:v>37500</c:v>
                </c:pt>
                <c:pt idx="58">
                  <c:v>37530</c:v>
                </c:pt>
                <c:pt idx="59">
                  <c:v>37561</c:v>
                </c:pt>
                <c:pt idx="60">
                  <c:v>37591</c:v>
                </c:pt>
                <c:pt idx="61">
                  <c:v>37622</c:v>
                </c:pt>
                <c:pt idx="62">
                  <c:v>37653</c:v>
                </c:pt>
                <c:pt idx="63">
                  <c:v>37681</c:v>
                </c:pt>
                <c:pt idx="64">
                  <c:v>37712</c:v>
                </c:pt>
                <c:pt idx="65">
                  <c:v>37742</c:v>
                </c:pt>
                <c:pt idx="66">
                  <c:v>37773</c:v>
                </c:pt>
                <c:pt idx="67">
                  <c:v>37803</c:v>
                </c:pt>
                <c:pt idx="68">
                  <c:v>37834</c:v>
                </c:pt>
                <c:pt idx="69">
                  <c:v>37865</c:v>
                </c:pt>
                <c:pt idx="70">
                  <c:v>37895</c:v>
                </c:pt>
                <c:pt idx="71">
                  <c:v>37926</c:v>
                </c:pt>
                <c:pt idx="72">
                  <c:v>37956</c:v>
                </c:pt>
                <c:pt idx="73">
                  <c:v>37987</c:v>
                </c:pt>
                <c:pt idx="74">
                  <c:v>38018</c:v>
                </c:pt>
                <c:pt idx="75">
                  <c:v>38047</c:v>
                </c:pt>
                <c:pt idx="76">
                  <c:v>38078</c:v>
                </c:pt>
                <c:pt idx="77">
                  <c:v>38108</c:v>
                </c:pt>
                <c:pt idx="78">
                  <c:v>38139</c:v>
                </c:pt>
                <c:pt idx="79">
                  <c:v>38169</c:v>
                </c:pt>
                <c:pt idx="80">
                  <c:v>38200</c:v>
                </c:pt>
                <c:pt idx="81">
                  <c:v>38231</c:v>
                </c:pt>
                <c:pt idx="82">
                  <c:v>38261</c:v>
                </c:pt>
                <c:pt idx="83">
                  <c:v>38292</c:v>
                </c:pt>
                <c:pt idx="84">
                  <c:v>38322</c:v>
                </c:pt>
                <c:pt idx="85">
                  <c:v>38353</c:v>
                </c:pt>
                <c:pt idx="86">
                  <c:v>38384</c:v>
                </c:pt>
                <c:pt idx="87">
                  <c:v>38412</c:v>
                </c:pt>
                <c:pt idx="88">
                  <c:v>38443</c:v>
                </c:pt>
                <c:pt idx="89">
                  <c:v>38473</c:v>
                </c:pt>
                <c:pt idx="90">
                  <c:v>38504</c:v>
                </c:pt>
                <c:pt idx="91">
                  <c:v>38534</c:v>
                </c:pt>
                <c:pt idx="92">
                  <c:v>38565</c:v>
                </c:pt>
                <c:pt idx="93">
                  <c:v>38596</c:v>
                </c:pt>
                <c:pt idx="94">
                  <c:v>38626</c:v>
                </c:pt>
                <c:pt idx="95">
                  <c:v>38657</c:v>
                </c:pt>
                <c:pt idx="96">
                  <c:v>38687</c:v>
                </c:pt>
                <c:pt idx="97">
                  <c:v>38718</c:v>
                </c:pt>
                <c:pt idx="98">
                  <c:v>38749</c:v>
                </c:pt>
                <c:pt idx="99">
                  <c:v>38777</c:v>
                </c:pt>
                <c:pt idx="100">
                  <c:v>38808</c:v>
                </c:pt>
                <c:pt idx="101">
                  <c:v>38838</c:v>
                </c:pt>
                <c:pt idx="102">
                  <c:v>38869</c:v>
                </c:pt>
                <c:pt idx="103">
                  <c:v>38899</c:v>
                </c:pt>
                <c:pt idx="104">
                  <c:v>38930</c:v>
                </c:pt>
                <c:pt idx="105">
                  <c:v>38961</c:v>
                </c:pt>
                <c:pt idx="106">
                  <c:v>38991</c:v>
                </c:pt>
                <c:pt idx="107">
                  <c:v>39022</c:v>
                </c:pt>
                <c:pt idx="108">
                  <c:v>39052</c:v>
                </c:pt>
                <c:pt idx="109">
                  <c:v>39083</c:v>
                </c:pt>
                <c:pt idx="110">
                  <c:v>39114</c:v>
                </c:pt>
                <c:pt idx="111">
                  <c:v>39142</c:v>
                </c:pt>
                <c:pt idx="112">
                  <c:v>39173</c:v>
                </c:pt>
                <c:pt idx="113">
                  <c:v>39203</c:v>
                </c:pt>
                <c:pt idx="114">
                  <c:v>39234</c:v>
                </c:pt>
                <c:pt idx="115">
                  <c:v>39264</c:v>
                </c:pt>
                <c:pt idx="116">
                  <c:v>39295</c:v>
                </c:pt>
                <c:pt idx="117">
                  <c:v>39326</c:v>
                </c:pt>
                <c:pt idx="118">
                  <c:v>39356</c:v>
                </c:pt>
                <c:pt idx="119">
                  <c:v>39387</c:v>
                </c:pt>
                <c:pt idx="120">
                  <c:v>39417</c:v>
                </c:pt>
                <c:pt idx="121">
                  <c:v>39448</c:v>
                </c:pt>
                <c:pt idx="122">
                  <c:v>39479</c:v>
                </c:pt>
                <c:pt idx="123">
                  <c:v>39508</c:v>
                </c:pt>
                <c:pt idx="124">
                  <c:v>39539</c:v>
                </c:pt>
                <c:pt idx="125">
                  <c:v>39569</c:v>
                </c:pt>
                <c:pt idx="126">
                  <c:v>39600</c:v>
                </c:pt>
                <c:pt idx="127">
                  <c:v>39630</c:v>
                </c:pt>
                <c:pt idx="128">
                  <c:v>39661</c:v>
                </c:pt>
                <c:pt idx="129">
                  <c:v>39692</c:v>
                </c:pt>
                <c:pt idx="130">
                  <c:v>39722</c:v>
                </c:pt>
                <c:pt idx="131">
                  <c:v>39753</c:v>
                </c:pt>
                <c:pt idx="132">
                  <c:v>39783</c:v>
                </c:pt>
                <c:pt idx="133">
                  <c:v>39814</c:v>
                </c:pt>
                <c:pt idx="134">
                  <c:v>39845</c:v>
                </c:pt>
                <c:pt idx="135">
                  <c:v>39873</c:v>
                </c:pt>
                <c:pt idx="136">
                  <c:v>39904</c:v>
                </c:pt>
                <c:pt idx="137">
                  <c:v>39934</c:v>
                </c:pt>
                <c:pt idx="138">
                  <c:v>39965</c:v>
                </c:pt>
                <c:pt idx="139">
                  <c:v>39995</c:v>
                </c:pt>
                <c:pt idx="140">
                  <c:v>40026</c:v>
                </c:pt>
                <c:pt idx="141">
                  <c:v>40057</c:v>
                </c:pt>
                <c:pt idx="142">
                  <c:v>40087</c:v>
                </c:pt>
                <c:pt idx="143">
                  <c:v>40118</c:v>
                </c:pt>
                <c:pt idx="144">
                  <c:v>40148</c:v>
                </c:pt>
                <c:pt idx="145">
                  <c:v>40179</c:v>
                </c:pt>
                <c:pt idx="146">
                  <c:v>40210</c:v>
                </c:pt>
                <c:pt idx="147">
                  <c:v>40238</c:v>
                </c:pt>
                <c:pt idx="148">
                  <c:v>40269</c:v>
                </c:pt>
                <c:pt idx="149">
                  <c:v>40299</c:v>
                </c:pt>
                <c:pt idx="150">
                  <c:v>40330</c:v>
                </c:pt>
                <c:pt idx="151">
                  <c:v>40360</c:v>
                </c:pt>
                <c:pt idx="152">
                  <c:v>40391</c:v>
                </c:pt>
                <c:pt idx="153">
                  <c:v>40422</c:v>
                </c:pt>
                <c:pt idx="154">
                  <c:v>40452</c:v>
                </c:pt>
                <c:pt idx="155">
                  <c:v>40483</c:v>
                </c:pt>
                <c:pt idx="156">
                  <c:v>40513</c:v>
                </c:pt>
                <c:pt idx="157">
                  <c:v>40544</c:v>
                </c:pt>
                <c:pt idx="158">
                  <c:v>40575</c:v>
                </c:pt>
                <c:pt idx="159">
                  <c:v>40603</c:v>
                </c:pt>
                <c:pt idx="160">
                  <c:v>40634</c:v>
                </c:pt>
                <c:pt idx="161">
                  <c:v>40664</c:v>
                </c:pt>
                <c:pt idx="162">
                  <c:v>40695</c:v>
                </c:pt>
                <c:pt idx="163">
                  <c:v>40725</c:v>
                </c:pt>
                <c:pt idx="164">
                  <c:v>40756</c:v>
                </c:pt>
                <c:pt idx="165">
                  <c:v>40787</c:v>
                </c:pt>
                <c:pt idx="166">
                  <c:v>40817</c:v>
                </c:pt>
                <c:pt idx="167">
                  <c:v>40848</c:v>
                </c:pt>
                <c:pt idx="168">
                  <c:v>40878</c:v>
                </c:pt>
                <c:pt idx="169">
                  <c:v>40909</c:v>
                </c:pt>
                <c:pt idx="170">
                  <c:v>40940</c:v>
                </c:pt>
                <c:pt idx="171">
                  <c:v>40969</c:v>
                </c:pt>
                <c:pt idx="172">
                  <c:v>41000</c:v>
                </c:pt>
                <c:pt idx="173">
                  <c:v>41030</c:v>
                </c:pt>
                <c:pt idx="174">
                  <c:v>41061</c:v>
                </c:pt>
                <c:pt idx="175">
                  <c:v>41091</c:v>
                </c:pt>
                <c:pt idx="176">
                  <c:v>41122</c:v>
                </c:pt>
                <c:pt idx="177">
                  <c:v>41153</c:v>
                </c:pt>
                <c:pt idx="178">
                  <c:v>41183</c:v>
                </c:pt>
                <c:pt idx="179">
                  <c:v>41214</c:v>
                </c:pt>
                <c:pt idx="180">
                  <c:v>41244</c:v>
                </c:pt>
                <c:pt idx="181">
                  <c:v>41275</c:v>
                </c:pt>
                <c:pt idx="182">
                  <c:v>41306</c:v>
                </c:pt>
                <c:pt idx="183">
                  <c:v>41334</c:v>
                </c:pt>
                <c:pt idx="184">
                  <c:v>41365</c:v>
                </c:pt>
                <c:pt idx="185">
                  <c:v>41395</c:v>
                </c:pt>
                <c:pt idx="186">
                  <c:v>41426</c:v>
                </c:pt>
                <c:pt idx="187">
                  <c:v>41456</c:v>
                </c:pt>
                <c:pt idx="188">
                  <c:v>41487</c:v>
                </c:pt>
                <c:pt idx="189">
                  <c:v>41518</c:v>
                </c:pt>
                <c:pt idx="190">
                  <c:v>41548</c:v>
                </c:pt>
                <c:pt idx="191">
                  <c:v>41579</c:v>
                </c:pt>
                <c:pt idx="192">
                  <c:v>41609</c:v>
                </c:pt>
                <c:pt idx="193">
                  <c:v>41640</c:v>
                </c:pt>
                <c:pt idx="194">
                  <c:v>41671</c:v>
                </c:pt>
                <c:pt idx="195">
                  <c:v>41699</c:v>
                </c:pt>
                <c:pt idx="196">
                  <c:v>41730</c:v>
                </c:pt>
                <c:pt idx="197">
                  <c:v>41760</c:v>
                </c:pt>
                <c:pt idx="198">
                  <c:v>41791</c:v>
                </c:pt>
                <c:pt idx="199">
                  <c:v>41821</c:v>
                </c:pt>
                <c:pt idx="200">
                  <c:v>41852</c:v>
                </c:pt>
                <c:pt idx="201">
                  <c:v>41883</c:v>
                </c:pt>
                <c:pt idx="202">
                  <c:v>41913</c:v>
                </c:pt>
                <c:pt idx="203">
                  <c:v>41944</c:v>
                </c:pt>
                <c:pt idx="204">
                  <c:v>41974</c:v>
                </c:pt>
                <c:pt idx="205">
                  <c:v>42005</c:v>
                </c:pt>
                <c:pt idx="206">
                  <c:v>42036</c:v>
                </c:pt>
                <c:pt idx="207">
                  <c:v>42064</c:v>
                </c:pt>
                <c:pt idx="208">
                  <c:v>42095</c:v>
                </c:pt>
                <c:pt idx="209">
                  <c:v>42125</c:v>
                </c:pt>
                <c:pt idx="210">
                  <c:v>42156</c:v>
                </c:pt>
                <c:pt idx="211">
                  <c:v>42186</c:v>
                </c:pt>
                <c:pt idx="212">
                  <c:v>42217</c:v>
                </c:pt>
                <c:pt idx="213">
                  <c:v>42248</c:v>
                </c:pt>
                <c:pt idx="214">
                  <c:v>42278</c:v>
                </c:pt>
                <c:pt idx="215">
                  <c:v>42309</c:v>
                </c:pt>
                <c:pt idx="216">
                  <c:v>42339</c:v>
                </c:pt>
                <c:pt idx="217">
                  <c:v>42370</c:v>
                </c:pt>
                <c:pt idx="218">
                  <c:v>42401</c:v>
                </c:pt>
                <c:pt idx="219">
                  <c:v>42430</c:v>
                </c:pt>
                <c:pt idx="220">
                  <c:v>42461</c:v>
                </c:pt>
                <c:pt idx="221">
                  <c:v>42491</c:v>
                </c:pt>
                <c:pt idx="222">
                  <c:v>42522</c:v>
                </c:pt>
                <c:pt idx="223">
                  <c:v>42552</c:v>
                </c:pt>
                <c:pt idx="224">
                  <c:v>42583</c:v>
                </c:pt>
                <c:pt idx="225">
                  <c:v>42614</c:v>
                </c:pt>
                <c:pt idx="226">
                  <c:v>42644</c:v>
                </c:pt>
                <c:pt idx="227">
                  <c:v>42675</c:v>
                </c:pt>
                <c:pt idx="228">
                  <c:v>42705</c:v>
                </c:pt>
                <c:pt idx="229">
                  <c:v>42736</c:v>
                </c:pt>
                <c:pt idx="230">
                  <c:v>42767</c:v>
                </c:pt>
                <c:pt idx="231">
                  <c:v>42795</c:v>
                </c:pt>
                <c:pt idx="232">
                  <c:v>42826</c:v>
                </c:pt>
                <c:pt idx="233">
                  <c:v>42856</c:v>
                </c:pt>
                <c:pt idx="234">
                  <c:v>42887</c:v>
                </c:pt>
                <c:pt idx="235">
                  <c:v>42917</c:v>
                </c:pt>
                <c:pt idx="236">
                  <c:v>42948</c:v>
                </c:pt>
                <c:pt idx="237">
                  <c:v>42979</c:v>
                </c:pt>
                <c:pt idx="238">
                  <c:v>43009</c:v>
                </c:pt>
                <c:pt idx="239">
                  <c:v>43040</c:v>
                </c:pt>
                <c:pt idx="240">
                  <c:v>43070</c:v>
                </c:pt>
                <c:pt idx="241">
                  <c:v>43101</c:v>
                </c:pt>
                <c:pt idx="242">
                  <c:v>43132</c:v>
                </c:pt>
                <c:pt idx="243">
                  <c:v>43160</c:v>
                </c:pt>
                <c:pt idx="244">
                  <c:v>43191</c:v>
                </c:pt>
                <c:pt idx="245">
                  <c:v>43221</c:v>
                </c:pt>
                <c:pt idx="246">
                  <c:v>43252</c:v>
                </c:pt>
                <c:pt idx="247">
                  <c:v>43282</c:v>
                </c:pt>
                <c:pt idx="248">
                  <c:v>43313</c:v>
                </c:pt>
                <c:pt idx="249">
                  <c:v>43344</c:v>
                </c:pt>
                <c:pt idx="250">
                  <c:v>43374</c:v>
                </c:pt>
                <c:pt idx="251">
                  <c:v>43405</c:v>
                </c:pt>
                <c:pt idx="252">
                  <c:v>43435</c:v>
                </c:pt>
                <c:pt idx="253">
                  <c:v>43466</c:v>
                </c:pt>
                <c:pt idx="254">
                  <c:v>43497</c:v>
                </c:pt>
                <c:pt idx="255">
                  <c:v>43525</c:v>
                </c:pt>
                <c:pt idx="256">
                  <c:v>43556</c:v>
                </c:pt>
                <c:pt idx="257">
                  <c:v>43586</c:v>
                </c:pt>
                <c:pt idx="258">
                  <c:v>43617</c:v>
                </c:pt>
                <c:pt idx="259">
                  <c:v>43647</c:v>
                </c:pt>
                <c:pt idx="260">
                  <c:v>43678</c:v>
                </c:pt>
                <c:pt idx="261">
                  <c:v>43709</c:v>
                </c:pt>
                <c:pt idx="262">
                  <c:v>43739</c:v>
                </c:pt>
                <c:pt idx="263">
                  <c:v>43770</c:v>
                </c:pt>
                <c:pt idx="264">
                  <c:v>43800</c:v>
                </c:pt>
                <c:pt idx="265">
                  <c:v>43831</c:v>
                </c:pt>
                <c:pt idx="266">
                  <c:v>43862</c:v>
                </c:pt>
                <c:pt idx="267">
                  <c:v>43891</c:v>
                </c:pt>
                <c:pt idx="268">
                  <c:v>43922</c:v>
                </c:pt>
                <c:pt idx="269">
                  <c:v>43952</c:v>
                </c:pt>
                <c:pt idx="270">
                  <c:v>43983</c:v>
                </c:pt>
                <c:pt idx="271">
                  <c:v>44013</c:v>
                </c:pt>
                <c:pt idx="272">
                  <c:v>44044</c:v>
                </c:pt>
                <c:pt idx="273">
                  <c:v>44075</c:v>
                </c:pt>
                <c:pt idx="274">
                  <c:v>44105</c:v>
                </c:pt>
                <c:pt idx="275">
                  <c:v>44136</c:v>
                </c:pt>
                <c:pt idx="276">
                  <c:v>44166</c:v>
                </c:pt>
                <c:pt idx="277">
                  <c:v>44197</c:v>
                </c:pt>
                <c:pt idx="278">
                  <c:v>44228</c:v>
                </c:pt>
                <c:pt idx="279">
                  <c:v>44256</c:v>
                </c:pt>
                <c:pt idx="280">
                  <c:v>44287</c:v>
                </c:pt>
                <c:pt idx="281">
                  <c:v>44317</c:v>
                </c:pt>
                <c:pt idx="282">
                  <c:v>44348</c:v>
                </c:pt>
                <c:pt idx="283">
                  <c:v>44378</c:v>
                </c:pt>
                <c:pt idx="284">
                  <c:v>44409</c:v>
                </c:pt>
                <c:pt idx="285">
                  <c:v>44440</c:v>
                </c:pt>
                <c:pt idx="286">
                  <c:v>44470</c:v>
                </c:pt>
                <c:pt idx="287">
                  <c:v>44501</c:v>
                </c:pt>
                <c:pt idx="288">
                  <c:v>44531</c:v>
                </c:pt>
                <c:pt idx="289">
                  <c:v>44562</c:v>
                </c:pt>
                <c:pt idx="290">
                  <c:v>44593</c:v>
                </c:pt>
                <c:pt idx="291">
                  <c:v>44621</c:v>
                </c:pt>
                <c:pt idx="292">
                  <c:v>44652</c:v>
                </c:pt>
                <c:pt idx="293">
                  <c:v>44682</c:v>
                </c:pt>
                <c:pt idx="294">
                  <c:v>44713</c:v>
                </c:pt>
                <c:pt idx="295">
                  <c:v>44743</c:v>
                </c:pt>
                <c:pt idx="296">
                  <c:v>44774</c:v>
                </c:pt>
                <c:pt idx="297">
                  <c:v>44805</c:v>
                </c:pt>
                <c:pt idx="298">
                  <c:v>44835</c:v>
                </c:pt>
                <c:pt idx="299">
                  <c:v>44866</c:v>
                </c:pt>
                <c:pt idx="300">
                  <c:v>44896</c:v>
                </c:pt>
                <c:pt idx="301">
                  <c:v>44927</c:v>
                </c:pt>
                <c:pt idx="302">
                  <c:v>44958</c:v>
                </c:pt>
                <c:pt idx="303">
                  <c:v>44986</c:v>
                </c:pt>
                <c:pt idx="304">
                  <c:v>45017</c:v>
                </c:pt>
                <c:pt idx="305">
                  <c:v>45047</c:v>
                </c:pt>
                <c:pt idx="306">
                  <c:v>45078</c:v>
                </c:pt>
                <c:pt idx="307">
                  <c:v>45108</c:v>
                </c:pt>
                <c:pt idx="308">
                  <c:v>45139</c:v>
                </c:pt>
                <c:pt idx="309">
                  <c:v>45170</c:v>
                </c:pt>
                <c:pt idx="310">
                  <c:v>45200</c:v>
                </c:pt>
                <c:pt idx="311">
                  <c:v>45231</c:v>
                </c:pt>
                <c:pt idx="312">
                  <c:v>45261</c:v>
                </c:pt>
                <c:pt idx="313">
                  <c:v>45292</c:v>
                </c:pt>
                <c:pt idx="314">
                  <c:v>45323</c:v>
                </c:pt>
                <c:pt idx="315">
                  <c:v>45352</c:v>
                </c:pt>
                <c:pt idx="316">
                  <c:v>45383</c:v>
                </c:pt>
                <c:pt idx="317">
                  <c:v>45413</c:v>
                </c:pt>
                <c:pt idx="318">
                  <c:v>45444</c:v>
                </c:pt>
                <c:pt idx="319">
                  <c:v>45474</c:v>
                </c:pt>
                <c:pt idx="320">
                  <c:v>45505</c:v>
                </c:pt>
                <c:pt idx="321">
                  <c:v>45536</c:v>
                </c:pt>
                <c:pt idx="322">
                  <c:v>45566</c:v>
                </c:pt>
                <c:pt idx="323">
                  <c:v>45597</c:v>
                </c:pt>
                <c:pt idx="324">
                  <c:v>45627</c:v>
                </c:pt>
                <c:pt idx="325">
                  <c:v>45658</c:v>
                </c:pt>
                <c:pt idx="326">
                  <c:v>45689</c:v>
                </c:pt>
                <c:pt idx="327">
                  <c:v>45717</c:v>
                </c:pt>
                <c:pt idx="328">
                  <c:v>45748</c:v>
                </c:pt>
              </c:numCache>
            </c:numRef>
          </c:cat>
          <c:val>
            <c:numRef>
              <c:f>'EMBI spreads'!$O$5:$O$333</c:f>
              <c:numCache>
                <c:formatCode>0.0%</c:formatCode>
                <c:ptCount val="329"/>
                <c:pt idx="0">
                  <c:v>4.02E-2</c:v>
                </c:pt>
                <c:pt idx="1">
                  <c:v>4.2380000000000001E-2</c:v>
                </c:pt>
                <c:pt idx="2">
                  <c:v>3.8405263157894734E-2</c:v>
                </c:pt>
                <c:pt idx="3">
                  <c:v>3.7322727272727278E-2</c:v>
                </c:pt>
                <c:pt idx="4">
                  <c:v>3.8066666666666665E-2</c:v>
                </c:pt>
                <c:pt idx="5">
                  <c:v>4.1114999999999999E-2</c:v>
                </c:pt>
                <c:pt idx="6">
                  <c:v>4.5572727272727272E-2</c:v>
                </c:pt>
                <c:pt idx="7">
                  <c:v>4.6154545454545455E-2</c:v>
                </c:pt>
                <c:pt idx="8">
                  <c:v>6.9228571428571431E-2</c:v>
                </c:pt>
                <c:pt idx="9">
                  <c:v>9.5042857142857151E-2</c:v>
                </c:pt>
                <c:pt idx="10">
                  <c:v>8.9561904761904759E-2</c:v>
                </c:pt>
                <c:pt idx="11">
                  <c:v>7.2794736842105259E-2</c:v>
                </c:pt>
                <c:pt idx="12">
                  <c:v>7.5860869565217384E-2</c:v>
                </c:pt>
                <c:pt idx="13">
                  <c:v>7.8071428571428569E-2</c:v>
                </c:pt>
                <c:pt idx="14">
                  <c:v>7.2179999999999994E-2</c:v>
                </c:pt>
                <c:pt idx="15">
                  <c:v>6.3369565217391302E-2</c:v>
                </c:pt>
                <c:pt idx="16">
                  <c:v>5.5763636363636362E-2</c:v>
                </c:pt>
                <c:pt idx="17">
                  <c:v>5.9225E-2</c:v>
                </c:pt>
                <c:pt idx="18">
                  <c:v>6.2040909090909091E-2</c:v>
                </c:pt>
                <c:pt idx="19">
                  <c:v>6.7000000000000004E-2</c:v>
                </c:pt>
                <c:pt idx="20">
                  <c:v>6.7877272727272731E-2</c:v>
                </c:pt>
                <c:pt idx="21">
                  <c:v>6.0377272727272724E-2</c:v>
                </c:pt>
                <c:pt idx="22">
                  <c:v>5.5579999999999997E-2</c:v>
                </c:pt>
                <c:pt idx="23">
                  <c:v>4.7471428571428574E-2</c:v>
                </c:pt>
                <c:pt idx="24">
                  <c:v>3.8959090909090908E-2</c:v>
                </c:pt>
                <c:pt idx="25">
                  <c:v>3.9875000000000001E-2</c:v>
                </c:pt>
                <c:pt idx="26">
                  <c:v>3.8044999999999995E-2</c:v>
                </c:pt>
                <c:pt idx="27">
                  <c:v>3.2669565217391304E-2</c:v>
                </c:pt>
                <c:pt idx="28">
                  <c:v>4.0005263157894731E-2</c:v>
                </c:pt>
                <c:pt idx="29">
                  <c:v>4.2295454545454546E-2</c:v>
                </c:pt>
                <c:pt idx="30">
                  <c:v>4.0004545454545459E-2</c:v>
                </c:pt>
                <c:pt idx="31">
                  <c:v>3.517E-2</c:v>
                </c:pt>
                <c:pt idx="32">
                  <c:v>3.3378260869565218E-2</c:v>
                </c:pt>
                <c:pt idx="33">
                  <c:v>3.2889999999999996E-2</c:v>
                </c:pt>
                <c:pt idx="34">
                  <c:v>3.5740909090909094E-2</c:v>
                </c:pt>
                <c:pt idx="35">
                  <c:v>3.6266666666666669E-2</c:v>
                </c:pt>
                <c:pt idx="36">
                  <c:v>3.8989999999999997E-2</c:v>
                </c:pt>
                <c:pt idx="37">
                  <c:v>3.8538095238095239E-2</c:v>
                </c:pt>
                <c:pt idx="38">
                  <c:v>4.0457894736842102E-2</c:v>
                </c:pt>
                <c:pt idx="39">
                  <c:v>4.1104545454545456E-2</c:v>
                </c:pt>
                <c:pt idx="40">
                  <c:v>3.7949999999999998E-2</c:v>
                </c:pt>
                <c:pt idx="41">
                  <c:v>3.4072727272727275E-2</c:v>
                </c:pt>
                <c:pt idx="42">
                  <c:v>3.1604761904761906E-2</c:v>
                </c:pt>
                <c:pt idx="43">
                  <c:v>3.4099999999999998E-2</c:v>
                </c:pt>
                <c:pt idx="44">
                  <c:v>3.463913043478261E-2</c:v>
                </c:pt>
                <c:pt idx="45">
                  <c:v>3.9177777777777777E-2</c:v>
                </c:pt>
                <c:pt idx="46">
                  <c:v>4.0363636363636365E-2</c:v>
                </c:pt>
                <c:pt idx="47">
                  <c:v>3.6819047619047619E-2</c:v>
                </c:pt>
                <c:pt idx="48">
                  <c:v>3.1359999999999999E-2</c:v>
                </c:pt>
                <c:pt idx="49">
                  <c:v>3.0480952380952379E-2</c:v>
                </c:pt>
                <c:pt idx="50">
                  <c:v>2.8510526315789472E-2</c:v>
                </c:pt>
                <c:pt idx="51">
                  <c:v>2.5225000000000001E-2</c:v>
                </c:pt>
                <c:pt idx="52">
                  <c:v>2.4304545454545454E-2</c:v>
                </c:pt>
                <c:pt idx="53">
                  <c:v>2.578181818181818E-2</c:v>
                </c:pt>
                <c:pt idx="54">
                  <c:v>3.0160000000000003E-2</c:v>
                </c:pt>
                <c:pt idx="55">
                  <c:v>3.4236363636363634E-2</c:v>
                </c:pt>
                <c:pt idx="56">
                  <c:v>3.7986363636363638E-2</c:v>
                </c:pt>
                <c:pt idx="57">
                  <c:v>4.0379999999999999E-2</c:v>
                </c:pt>
                <c:pt idx="58">
                  <c:v>3.8704347826086956E-2</c:v>
                </c:pt>
                <c:pt idx="59">
                  <c:v>3.4835000000000005E-2</c:v>
                </c:pt>
                <c:pt idx="60">
                  <c:v>3.1209523809523809E-2</c:v>
                </c:pt>
                <c:pt idx="61">
                  <c:v>3.1133333333333332E-2</c:v>
                </c:pt>
                <c:pt idx="62">
                  <c:v>3.2231578947368424E-2</c:v>
                </c:pt>
                <c:pt idx="63">
                  <c:v>3.0157142857142855E-2</c:v>
                </c:pt>
                <c:pt idx="64">
                  <c:v>2.6157142857142855E-2</c:v>
                </c:pt>
                <c:pt idx="65">
                  <c:v>2.2695238095238095E-2</c:v>
                </c:pt>
                <c:pt idx="66">
                  <c:v>2.3033333333333333E-2</c:v>
                </c:pt>
                <c:pt idx="67">
                  <c:v>2.3377272727272729E-2</c:v>
                </c:pt>
                <c:pt idx="68">
                  <c:v>2.3038095238095239E-2</c:v>
                </c:pt>
                <c:pt idx="69">
                  <c:v>2.0738095238095239E-2</c:v>
                </c:pt>
                <c:pt idx="70">
                  <c:v>2.078695652173913E-2</c:v>
                </c:pt>
                <c:pt idx="71">
                  <c:v>2.0110526315789475E-2</c:v>
                </c:pt>
                <c:pt idx="72">
                  <c:v>2.0490909090909091E-2</c:v>
                </c:pt>
                <c:pt idx="73">
                  <c:v>1.9019999999999999E-2</c:v>
                </c:pt>
                <c:pt idx="74">
                  <c:v>1.9321052631578947E-2</c:v>
                </c:pt>
                <c:pt idx="75">
                  <c:v>1.853913043478261E-2</c:v>
                </c:pt>
                <c:pt idx="76">
                  <c:v>1.7950000000000001E-2</c:v>
                </c:pt>
                <c:pt idx="77">
                  <c:v>2.1655000000000001E-2</c:v>
                </c:pt>
                <c:pt idx="78">
                  <c:v>2.129090909090909E-2</c:v>
                </c:pt>
                <c:pt idx="79">
                  <c:v>2.0509090909090911E-2</c:v>
                </c:pt>
                <c:pt idx="80">
                  <c:v>1.9213636363636363E-2</c:v>
                </c:pt>
                <c:pt idx="81">
                  <c:v>1.8504761904761902E-2</c:v>
                </c:pt>
                <c:pt idx="82">
                  <c:v>1.8605E-2</c:v>
                </c:pt>
                <c:pt idx="83">
                  <c:v>1.7145454545454547E-2</c:v>
                </c:pt>
                <c:pt idx="84">
                  <c:v>1.6630434782608696E-2</c:v>
                </c:pt>
                <c:pt idx="85">
                  <c:v>1.6947619047619048E-2</c:v>
                </c:pt>
                <c:pt idx="86">
                  <c:v>1.5709999999999998E-2</c:v>
                </c:pt>
                <c:pt idx="87">
                  <c:v>1.6481818181818181E-2</c:v>
                </c:pt>
                <c:pt idx="88">
                  <c:v>1.8628571428571428E-2</c:v>
                </c:pt>
                <c:pt idx="89">
                  <c:v>1.8054545454545452E-2</c:v>
                </c:pt>
                <c:pt idx="90">
                  <c:v>1.7204545454545452E-2</c:v>
                </c:pt>
                <c:pt idx="91">
                  <c:v>1.5919047619047621E-2</c:v>
                </c:pt>
                <c:pt idx="92">
                  <c:v>1.4978260869565219E-2</c:v>
                </c:pt>
                <c:pt idx="93">
                  <c:v>1.38E-2</c:v>
                </c:pt>
                <c:pt idx="94">
                  <c:v>1.4476190476190476E-2</c:v>
                </c:pt>
                <c:pt idx="95">
                  <c:v>1.225E-2</c:v>
                </c:pt>
                <c:pt idx="96">
                  <c:v>1.2486363636363636E-2</c:v>
                </c:pt>
                <c:pt idx="97">
                  <c:v>1.205909090909091E-2</c:v>
                </c:pt>
                <c:pt idx="98">
                  <c:v>1.1115E-2</c:v>
                </c:pt>
                <c:pt idx="99">
                  <c:v>1.2313043478260871E-2</c:v>
                </c:pt>
                <c:pt idx="100">
                  <c:v>1.3035E-2</c:v>
                </c:pt>
                <c:pt idx="101">
                  <c:v>1.3221739130434781E-2</c:v>
                </c:pt>
                <c:pt idx="102">
                  <c:v>1.4972727272727271E-2</c:v>
                </c:pt>
                <c:pt idx="103">
                  <c:v>1.2033333333333333E-2</c:v>
                </c:pt>
                <c:pt idx="104">
                  <c:v>1.287391304347826E-2</c:v>
                </c:pt>
                <c:pt idx="105">
                  <c:v>1.3350000000000001E-2</c:v>
                </c:pt>
                <c:pt idx="106">
                  <c:v>1.3047619047619047E-2</c:v>
                </c:pt>
                <c:pt idx="107">
                  <c:v>1.3242857142857141E-2</c:v>
                </c:pt>
                <c:pt idx="108">
                  <c:v>1.2425E-2</c:v>
                </c:pt>
                <c:pt idx="109">
                  <c:v>1.1904761904761906E-2</c:v>
                </c:pt>
                <c:pt idx="110">
                  <c:v>1.2194736842105263E-2</c:v>
                </c:pt>
                <c:pt idx="111">
                  <c:v>1.2672727272727273E-2</c:v>
                </c:pt>
                <c:pt idx="112">
                  <c:v>1.09E-2</c:v>
                </c:pt>
                <c:pt idx="113">
                  <c:v>9.75909090909091E-3</c:v>
                </c:pt>
                <c:pt idx="114">
                  <c:v>9.8619047619047627E-3</c:v>
                </c:pt>
                <c:pt idx="115">
                  <c:v>1.1757142857142857E-2</c:v>
                </c:pt>
                <c:pt idx="116">
                  <c:v>1.4082608695652175E-2</c:v>
                </c:pt>
                <c:pt idx="117">
                  <c:v>1.3315789473684211E-2</c:v>
                </c:pt>
                <c:pt idx="118">
                  <c:v>1.2636363636363637E-2</c:v>
                </c:pt>
                <c:pt idx="119">
                  <c:v>1.5810000000000001E-2</c:v>
                </c:pt>
                <c:pt idx="120">
                  <c:v>1.6420000000000001E-2</c:v>
                </c:pt>
                <c:pt idx="121">
                  <c:v>1.8819047619047621E-2</c:v>
                </c:pt>
                <c:pt idx="122">
                  <c:v>1.8950000000000002E-2</c:v>
                </c:pt>
                <c:pt idx="123">
                  <c:v>1.9119999999999998E-2</c:v>
                </c:pt>
                <c:pt idx="124">
                  <c:v>1.6945454545454548E-2</c:v>
                </c:pt>
                <c:pt idx="125">
                  <c:v>1.5442857142857142E-2</c:v>
                </c:pt>
                <c:pt idx="126">
                  <c:v>1.6204761904761902E-2</c:v>
                </c:pt>
                <c:pt idx="127">
                  <c:v>1.9804545454545453E-2</c:v>
                </c:pt>
                <c:pt idx="128">
                  <c:v>1.9938095238095237E-2</c:v>
                </c:pt>
                <c:pt idx="129">
                  <c:v>2.4314285714285715E-2</c:v>
                </c:pt>
                <c:pt idx="130">
                  <c:v>4.36E-2</c:v>
                </c:pt>
                <c:pt idx="131">
                  <c:v>4.5855555555555552E-2</c:v>
                </c:pt>
                <c:pt idx="132">
                  <c:v>4.6259090909090909E-2</c:v>
                </c:pt>
                <c:pt idx="133">
                  <c:v>4.2194999999999996E-2</c:v>
                </c:pt>
                <c:pt idx="134">
                  <c:v>4.3294736842105268E-2</c:v>
                </c:pt>
                <c:pt idx="135">
                  <c:v>4.4881818181818182E-2</c:v>
                </c:pt>
                <c:pt idx="136">
                  <c:v>3.6981818181818178E-2</c:v>
                </c:pt>
                <c:pt idx="137">
                  <c:v>2.9700000000000001E-2</c:v>
                </c:pt>
                <c:pt idx="138">
                  <c:v>2.7181818181818182E-2</c:v>
                </c:pt>
                <c:pt idx="139">
                  <c:v>2.6339130434782608E-2</c:v>
                </c:pt>
                <c:pt idx="140">
                  <c:v>2.3676190476190476E-2</c:v>
                </c:pt>
                <c:pt idx="141">
                  <c:v>2.3780952380952378E-2</c:v>
                </c:pt>
                <c:pt idx="142">
                  <c:v>2.2395238095238097E-2</c:v>
                </c:pt>
                <c:pt idx="143">
                  <c:v>2.1126315789473684E-2</c:v>
                </c:pt>
                <c:pt idx="144">
                  <c:v>2.0199999999999999E-2</c:v>
                </c:pt>
                <c:pt idx="145">
                  <c:v>1.9511111111111111E-2</c:v>
                </c:pt>
                <c:pt idx="146">
                  <c:v>2.0394736842105264E-2</c:v>
                </c:pt>
                <c:pt idx="147">
                  <c:v>1.687391304347826E-2</c:v>
                </c:pt>
                <c:pt idx="148">
                  <c:v>1.6123809523809523E-2</c:v>
                </c:pt>
                <c:pt idx="149">
                  <c:v>2.1161904761904764E-2</c:v>
                </c:pt>
                <c:pt idx="150">
                  <c:v>2.084090909090909E-2</c:v>
                </c:pt>
                <c:pt idx="151">
                  <c:v>2.008181818181818E-2</c:v>
                </c:pt>
                <c:pt idx="152">
                  <c:v>1.7850000000000001E-2</c:v>
                </c:pt>
                <c:pt idx="153">
                  <c:v>1.9895454545454546E-2</c:v>
                </c:pt>
                <c:pt idx="154">
                  <c:v>1.8357504545454546E-2</c:v>
                </c:pt>
                <c:pt idx="155">
                  <c:v>1.6568181818181819E-2</c:v>
                </c:pt>
                <c:pt idx="156">
                  <c:v>1.6343478260869567E-2</c:v>
                </c:pt>
                <c:pt idx="157">
                  <c:v>1.5576190476190476E-2</c:v>
                </c:pt>
                <c:pt idx="158">
                  <c:v>1.575E-2</c:v>
                </c:pt>
                <c:pt idx="159">
                  <c:v>1.573913043478261E-2</c:v>
                </c:pt>
                <c:pt idx="160">
                  <c:v>1.6085394090909092E-2</c:v>
                </c:pt>
                <c:pt idx="161">
                  <c:v>1.6190909090909089E-2</c:v>
                </c:pt>
                <c:pt idx="162">
                  <c:v>1.6672727272727273E-2</c:v>
                </c:pt>
                <c:pt idx="163">
                  <c:v>1.6037928181818182E-2</c:v>
                </c:pt>
                <c:pt idx="164">
                  <c:v>1.9734782608695652E-2</c:v>
                </c:pt>
                <c:pt idx="165">
                  <c:v>2.3804545454545453E-2</c:v>
                </c:pt>
                <c:pt idx="166">
                  <c:v>2.3676190476190476E-2</c:v>
                </c:pt>
                <c:pt idx="167">
                  <c:v>2.2336363636363637E-2</c:v>
                </c:pt>
                <c:pt idx="168">
                  <c:v>2.1959319565217392E-2</c:v>
                </c:pt>
                <c:pt idx="169">
                  <c:v>2.2922727272727272E-2</c:v>
                </c:pt>
                <c:pt idx="170">
                  <c:v>2.0799999999999999E-2</c:v>
                </c:pt>
                <c:pt idx="171">
                  <c:v>1.9027185217391305E-2</c:v>
                </c:pt>
                <c:pt idx="172">
                  <c:v>1.9014285714285713E-2</c:v>
                </c:pt>
                <c:pt idx="173">
                  <c:v>2.1169565217391304E-2</c:v>
                </c:pt>
                <c:pt idx="174">
                  <c:v>2.1975869090909091E-2</c:v>
                </c:pt>
                <c:pt idx="175">
                  <c:v>1.8749999999999999E-2</c:v>
                </c:pt>
                <c:pt idx="176">
                  <c:v>1.687391304347826E-2</c:v>
                </c:pt>
                <c:pt idx="177">
                  <c:v>1.669002857142857E-2</c:v>
                </c:pt>
                <c:pt idx="178">
                  <c:v>1.55E-2</c:v>
                </c:pt>
                <c:pt idx="179">
                  <c:v>1.684090909090909E-2</c:v>
                </c:pt>
                <c:pt idx="180">
                  <c:v>1.608095238095238E-2</c:v>
                </c:pt>
                <c:pt idx="181">
                  <c:v>1.5443478260869566E-2</c:v>
                </c:pt>
                <c:pt idx="182">
                  <c:v>1.702E-2</c:v>
                </c:pt>
                <c:pt idx="183">
                  <c:v>1.7742857272727272E-2</c:v>
                </c:pt>
                <c:pt idx="184">
                  <c:v>1.6854545454545452E-2</c:v>
                </c:pt>
                <c:pt idx="185">
                  <c:v>1.6865217391304348E-2</c:v>
                </c:pt>
                <c:pt idx="186">
                  <c:v>2.1264999999999999E-2</c:v>
                </c:pt>
                <c:pt idx="187">
                  <c:v>2.0160869565217392E-2</c:v>
                </c:pt>
                <c:pt idx="188">
                  <c:v>2.0609090869565218E-2</c:v>
                </c:pt>
                <c:pt idx="189">
                  <c:v>2.0319047619047622E-2</c:v>
                </c:pt>
                <c:pt idx="190">
                  <c:v>1.9991304347826089E-2</c:v>
                </c:pt>
                <c:pt idx="191">
                  <c:v>2.0928571363636364E-2</c:v>
                </c:pt>
                <c:pt idx="192">
                  <c:v>1.9218181818181818E-2</c:v>
                </c:pt>
                <c:pt idx="193">
                  <c:v>1.9630434782608695E-2</c:v>
                </c:pt>
                <c:pt idx="194">
                  <c:v>1.9599999999999999E-2</c:v>
                </c:pt>
                <c:pt idx="195">
                  <c:v>1.8766666666666664E-2</c:v>
                </c:pt>
                <c:pt idx="196">
                  <c:v>1.7822727272727271E-2</c:v>
                </c:pt>
                <c:pt idx="197">
                  <c:v>1.7193913043478261E-2</c:v>
                </c:pt>
                <c:pt idx="198">
                  <c:v>1.6038095238095237E-2</c:v>
                </c:pt>
                <c:pt idx="199">
                  <c:v>1.6295652173913044E-2</c:v>
                </c:pt>
                <c:pt idx="200">
                  <c:v>1.6885714285714285E-2</c:v>
                </c:pt>
                <c:pt idx="201">
                  <c:v>1.6813636363636364E-2</c:v>
                </c:pt>
                <c:pt idx="202">
                  <c:v>1.8982608695652176E-2</c:v>
                </c:pt>
                <c:pt idx="203">
                  <c:v>1.9244999999999998E-2</c:v>
                </c:pt>
                <c:pt idx="204">
                  <c:v>2.1708695652173912E-2</c:v>
                </c:pt>
                <c:pt idx="205">
                  <c:v>2.4131818181818181E-2</c:v>
                </c:pt>
                <c:pt idx="206">
                  <c:v>2.2644999999999998E-2</c:v>
                </c:pt>
                <c:pt idx="207">
                  <c:v>2.3381818181818181E-2</c:v>
                </c:pt>
                <c:pt idx="208">
                  <c:v>2.2459090909090908E-2</c:v>
                </c:pt>
                <c:pt idx="209">
                  <c:v>2.1704761904761904E-2</c:v>
                </c:pt>
                <c:pt idx="210">
                  <c:v>2.3040909090909091E-2</c:v>
                </c:pt>
                <c:pt idx="211">
                  <c:v>2.3713043478260868E-2</c:v>
                </c:pt>
                <c:pt idx="212">
                  <c:v>2.6095238095238095E-2</c:v>
                </c:pt>
                <c:pt idx="213">
                  <c:v>2.7604545454545455E-2</c:v>
                </c:pt>
                <c:pt idx="214">
                  <c:v>2.7790909090909092E-2</c:v>
                </c:pt>
                <c:pt idx="215">
                  <c:v>2.7414285714285717E-2</c:v>
                </c:pt>
                <c:pt idx="216">
                  <c:v>3.1126086956521738E-2</c:v>
                </c:pt>
                <c:pt idx="217">
                  <c:v>3.5435000000000001E-2</c:v>
                </c:pt>
                <c:pt idx="218">
                  <c:v>3.7238095238095244E-2</c:v>
                </c:pt>
                <c:pt idx="219">
                  <c:v>3.1221739130434783E-2</c:v>
                </c:pt>
                <c:pt idx="220">
                  <c:v>2.9457142857142855E-2</c:v>
                </c:pt>
                <c:pt idx="221">
                  <c:v>2.9709090909090907E-2</c:v>
                </c:pt>
                <c:pt idx="222">
                  <c:v>3.038181818181818E-2</c:v>
                </c:pt>
                <c:pt idx="223">
                  <c:v>2.7676190476190476E-2</c:v>
                </c:pt>
                <c:pt idx="224">
                  <c:v>2.6604347826086956E-2</c:v>
                </c:pt>
                <c:pt idx="225">
                  <c:v>2.7545454545454543E-2</c:v>
                </c:pt>
                <c:pt idx="226">
                  <c:v>2.7219047619047622E-2</c:v>
                </c:pt>
                <c:pt idx="227">
                  <c:v>3.1795454545454543E-2</c:v>
                </c:pt>
                <c:pt idx="228">
                  <c:v>3.0140909090909093E-2</c:v>
                </c:pt>
                <c:pt idx="229">
                  <c:v>3.0454545454545456E-2</c:v>
                </c:pt>
                <c:pt idx="230">
                  <c:v>2.8235000000000003E-2</c:v>
                </c:pt>
                <c:pt idx="231">
                  <c:v>2.6304347826086955E-2</c:v>
                </c:pt>
                <c:pt idx="232">
                  <c:v>2.5939999999999998E-2</c:v>
                </c:pt>
                <c:pt idx="233">
                  <c:v>2.4765217391304346E-2</c:v>
                </c:pt>
                <c:pt idx="234">
                  <c:v>2.5177272727272729E-2</c:v>
                </c:pt>
                <c:pt idx="235">
                  <c:v>2.4828571428571429E-2</c:v>
                </c:pt>
                <c:pt idx="236">
                  <c:v>2.4408695652173913E-2</c:v>
                </c:pt>
                <c:pt idx="237">
                  <c:v>2.4123809523809523E-2</c:v>
                </c:pt>
                <c:pt idx="238">
                  <c:v>2.4245454545454546E-2</c:v>
                </c:pt>
                <c:pt idx="239">
                  <c:v>2.4490909090909091E-2</c:v>
                </c:pt>
                <c:pt idx="240">
                  <c:v>2.4176190476190476E-2</c:v>
                </c:pt>
                <c:pt idx="241">
                  <c:v>2.3521739130434781E-2</c:v>
                </c:pt>
                <c:pt idx="242">
                  <c:v>2.3295E-2</c:v>
                </c:pt>
                <c:pt idx="243">
                  <c:v>2.458181818181818E-2</c:v>
                </c:pt>
                <c:pt idx="244">
                  <c:v>2.4538095238095237E-2</c:v>
                </c:pt>
                <c:pt idx="245">
                  <c:v>2.6852173913043481E-2</c:v>
                </c:pt>
                <c:pt idx="246">
                  <c:v>2.926666666666667E-2</c:v>
                </c:pt>
                <c:pt idx="247">
                  <c:v>2.6831818181818182E-2</c:v>
                </c:pt>
                <c:pt idx="248">
                  <c:v>2.7891304347826086E-2</c:v>
                </c:pt>
                <c:pt idx="249">
                  <c:v>2.6985000000000002E-2</c:v>
                </c:pt>
                <c:pt idx="250">
                  <c:v>2.681304347826087E-2</c:v>
                </c:pt>
                <c:pt idx="251">
                  <c:v>3.268181818181818E-2</c:v>
                </c:pt>
                <c:pt idx="252">
                  <c:v>3.4138095238095238E-2</c:v>
                </c:pt>
                <c:pt idx="253">
                  <c:v>3.2891304347826091E-2</c:v>
                </c:pt>
                <c:pt idx="254">
                  <c:v>3.1914999999999999E-2</c:v>
                </c:pt>
                <c:pt idx="255">
                  <c:v>3.0947619047619047E-2</c:v>
                </c:pt>
                <c:pt idx="256">
                  <c:v>2.9522727272727273E-2</c:v>
                </c:pt>
                <c:pt idx="257">
                  <c:v>3.0926086956521739E-2</c:v>
                </c:pt>
                <c:pt idx="258">
                  <c:v>3.3255E-2</c:v>
                </c:pt>
                <c:pt idx="259">
                  <c:v>3.2678260869565219E-2</c:v>
                </c:pt>
                <c:pt idx="260">
                  <c:v>3.4672727272727272E-2</c:v>
                </c:pt>
                <c:pt idx="261">
                  <c:v>3.2000000000000001E-2</c:v>
                </c:pt>
                <c:pt idx="262">
                  <c:v>3.0886956521739131E-2</c:v>
                </c:pt>
                <c:pt idx="263">
                  <c:v>3.1747619047619045E-2</c:v>
                </c:pt>
                <c:pt idx="264">
                  <c:v>3.0490909090909093E-2</c:v>
                </c:pt>
                <c:pt idx="265">
                  <c:v>2.9760869565217393E-2</c:v>
                </c:pt>
                <c:pt idx="266">
                  <c:v>3.0639999999999997E-2</c:v>
                </c:pt>
                <c:pt idx="267">
                  <c:v>5.5731818181818188E-2</c:v>
                </c:pt>
                <c:pt idx="268">
                  <c:v>6.761904761904762E-2</c:v>
                </c:pt>
                <c:pt idx="269">
                  <c:v>5.8685000000000001E-2</c:v>
                </c:pt>
                <c:pt idx="270">
                  <c:v>5.0713636363636364E-2</c:v>
                </c:pt>
                <c:pt idx="271">
                  <c:v>5.0617391304347822E-2</c:v>
                </c:pt>
                <c:pt idx="272">
                  <c:v>4.6928571428571431E-2</c:v>
                </c:pt>
                <c:pt idx="273">
                  <c:v>4.8154545454545457E-2</c:v>
                </c:pt>
                <c:pt idx="274">
                  <c:v>4.7827272727272725E-2</c:v>
                </c:pt>
                <c:pt idx="275">
                  <c:v>4.3242857142857145E-2</c:v>
                </c:pt>
                <c:pt idx="276">
                  <c:v>3.9208695652173914E-2</c:v>
                </c:pt>
                <c:pt idx="277">
                  <c:v>3.7352380952380949E-2</c:v>
                </c:pt>
                <c:pt idx="278">
                  <c:v>3.5660000000000004E-2</c:v>
                </c:pt>
                <c:pt idx="279">
                  <c:v>3.5604347826086957E-2</c:v>
                </c:pt>
                <c:pt idx="280">
                  <c:v>3.4586363636363637E-2</c:v>
                </c:pt>
                <c:pt idx="281">
                  <c:v>3.3895238095238096E-2</c:v>
                </c:pt>
                <c:pt idx="282">
                  <c:v>3.3763636363636364E-2</c:v>
                </c:pt>
                <c:pt idx="283">
                  <c:v>3.5586363636363638E-2</c:v>
                </c:pt>
                <c:pt idx="284">
                  <c:v>3.6186363636363635E-2</c:v>
                </c:pt>
                <c:pt idx="285">
                  <c:v>3.5054545454545456E-2</c:v>
                </c:pt>
                <c:pt idx="286">
                  <c:v>3.558095238095238E-2</c:v>
                </c:pt>
                <c:pt idx="287">
                  <c:v>3.5954545454545454E-2</c:v>
                </c:pt>
                <c:pt idx="288">
                  <c:v>3.577391304347826E-2</c:v>
                </c:pt>
                <c:pt idx="289">
                  <c:v>3.5385714285714284E-2</c:v>
                </c:pt>
                <c:pt idx="290">
                  <c:v>3.6735000000000004E-2</c:v>
                </c:pt>
                <c:pt idx="291">
                  <c:v>3.73E-2</c:v>
                </c:pt>
                <c:pt idx="292">
                  <c:v>3.6376190476190479E-2</c:v>
                </c:pt>
                <c:pt idx="293">
                  <c:v>3.9859090909090907E-2</c:v>
                </c:pt>
                <c:pt idx="294">
                  <c:v>4.2840909090909096E-2</c:v>
                </c:pt>
                <c:pt idx="295">
                  <c:v>4.640952380952381E-2</c:v>
                </c:pt>
                <c:pt idx="296">
                  <c:v>4.2043478260869564E-2</c:v>
                </c:pt>
                <c:pt idx="297">
                  <c:v>4.4381818181818182E-2</c:v>
                </c:pt>
                <c:pt idx="298">
                  <c:v>4.4873684210526316E-2</c:v>
                </c:pt>
                <c:pt idx="299">
                  <c:v>3.9945454545454541E-2</c:v>
                </c:pt>
                <c:pt idx="300">
                  <c:v>3.8899999999999997E-2</c:v>
                </c:pt>
                <c:pt idx="301">
                  <c:v>3.7231818181818178E-2</c:v>
                </c:pt>
                <c:pt idx="302">
                  <c:v>3.5854999999999998E-2</c:v>
                </c:pt>
                <c:pt idx="303">
                  <c:v>4.0069565217391308E-2</c:v>
                </c:pt>
                <c:pt idx="304">
                  <c:v>3.9733333333333329E-2</c:v>
                </c:pt>
                <c:pt idx="305">
                  <c:v>4.0668181818181819E-2</c:v>
                </c:pt>
                <c:pt idx="306">
                  <c:v>3.8809090909090904E-2</c:v>
                </c:pt>
                <c:pt idx="307">
                  <c:v>3.6733333333333333E-2</c:v>
                </c:pt>
                <c:pt idx="308">
                  <c:v>3.2695652173913042E-2</c:v>
                </c:pt>
                <c:pt idx="309">
                  <c:v>3.6790476190476193E-2</c:v>
                </c:pt>
                <c:pt idx="310">
                  <c:v>3.7909090909090906E-2</c:v>
                </c:pt>
                <c:pt idx="311">
                  <c:v>3.6881818181818182E-2</c:v>
                </c:pt>
                <c:pt idx="312">
                  <c:v>3.5152380952380949E-2</c:v>
                </c:pt>
                <c:pt idx="313">
                  <c:v>3.4560869565217395E-2</c:v>
                </c:pt>
                <c:pt idx="314">
                  <c:v>3.3447619047619045E-2</c:v>
                </c:pt>
                <c:pt idx="315">
                  <c:v>3.2442857142857141E-2</c:v>
                </c:pt>
                <c:pt idx="316">
                  <c:v>3.1333333333333331E-2</c:v>
                </c:pt>
                <c:pt idx="317">
                  <c:v>2.9991304347826087E-2</c:v>
                </c:pt>
                <c:pt idx="318">
                  <c:v>3.1574999999999999E-2</c:v>
                </c:pt>
                <c:pt idx="319">
                  <c:v>3.1730434782608695E-2</c:v>
                </c:pt>
                <c:pt idx="320">
                  <c:v>3.2963636363636362E-2</c:v>
                </c:pt>
                <c:pt idx="321">
                  <c:v>3.3057142857142854E-2</c:v>
                </c:pt>
                <c:pt idx="322">
                  <c:v>3.0421739130434781E-2</c:v>
                </c:pt>
                <c:pt idx="323">
                  <c:v>3.0304761904761904E-2</c:v>
                </c:pt>
                <c:pt idx="324">
                  <c:v>3.1322727272727273E-2</c:v>
                </c:pt>
                <c:pt idx="325">
                  <c:v>3.158695652173913E-2</c:v>
                </c:pt>
                <c:pt idx="326">
                  <c:v>3.117E-2</c:v>
                </c:pt>
                <c:pt idx="327">
                  <c:v>3.2104761904761907E-2</c:v>
                </c:pt>
                <c:pt idx="328">
                  <c:v>3.5163636363636362E-2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A-41B1-803B-E584DAA78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1075696"/>
        <c:axId val="301061776"/>
      </c:lineChart>
      <c:dateAx>
        <c:axId val="301075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61776"/>
        <c:crosses val="autoZero"/>
        <c:auto val="1"/>
        <c:lblOffset val="100"/>
        <c:baseTimeUnit val="months"/>
      </c:dateAx>
      <c:valAx>
        <c:axId val="30106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07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Consumption!$K$13</c:f>
              <c:strCache>
                <c:ptCount val="1"/>
                <c:pt idx="0">
                  <c:v>cycle 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Consumption!$D$24:$D$36</c:f>
              <c:numCache>
                <c:formatCode>General</c:formatCode>
                <c:ptCount val="1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</c:numCache>
            </c:numRef>
          </c:cat>
          <c:val>
            <c:numRef>
              <c:f>Consumption!$K$24:$K$36</c:f>
              <c:numCache>
                <c:formatCode>General</c:formatCode>
                <c:ptCount val="13"/>
                <c:pt idx="0">
                  <c:v>1.3428114126888602E-2</c:v>
                </c:pt>
                <c:pt idx="1">
                  <c:v>-1.0839581465290848E-2</c:v>
                </c:pt>
                <c:pt idx="2">
                  <c:v>-5.6475901493762137E-3</c:v>
                </c:pt>
                <c:pt idx="3">
                  <c:v>2.5058756768707724E-3</c:v>
                </c:pt>
                <c:pt idx="4">
                  <c:v>-1.396957622255357E-2</c:v>
                </c:pt>
                <c:pt idx="5">
                  <c:v>-1.9336507328713282E-2</c:v>
                </c:pt>
                <c:pt idx="6">
                  <c:v>-3.2770368677855544E-2</c:v>
                </c:pt>
                <c:pt idx="7">
                  <c:v>-5.3186358453611859E-2</c:v>
                </c:pt>
                <c:pt idx="8">
                  <c:v>-3.1107845406033618E-2</c:v>
                </c:pt>
                <c:pt idx="9">
                  <c:v>1.2027262418826012E-2</c:v>
                </c:pt>
                <c:pt idx="10">
                  <c:v>7.2420188434886512E-2</c:v>
                </c:pt>
                <c:pt idx="11">
                  <c:v>0.11096258728436936</c:v>
                </c:pt>
                <c:pt idx="12">
                  <c:v>5.8588751335008737E-2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DA-4B50-8997-3C5D5FF3D7FC}"/>
            </c:ext>
          </c:extLst>
        </c:ser>
        <c:ser>
          <c:idx val="1"/>
          <c:order val="1"/>
          <c:tx>
            <c:strRef>
              <c:f>Consumption!$L$13</c:f>
              <c:strCache>
                <c:ptCount val="1"/>
                <c:pt idx="0">
                  <c:v>cycle 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Consumption!$D$24:$D$36</c:f>
              <c:numCache>
                <c:formatCode>General</c:formatCode>
                <c:ptCount val="1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</c:numCache>
            </c:numRef>
          </c:cat>
          <c:val>
            <c:numRef>
              <c:f>Consumption!$L$24:$L$36</c:f>
              <c:numCache>
                <c:formatCode>General</c:formatCode>
                <c:ptCount val="13"/>
                <c:pt idx="0">
                  <c:v>-3.040484740164473E-2</c:v>
                </c:pt>
                <c:pt idx="1">
                  <c:v>-2.4764681417572376E-2</c:v>
                </c:pt>
                <c:pt idx="2">
                  <c:v>-5.4030933895177213E-4</c:v>
                </c:pt>
                <c:pt idx="3">
                  <c:v>1.6332179668658853E-3</c:v>
                </c:pt>
                <c:pt idx="4">
                  <c:v>-1.7598866177646499E-2</c:v>
                </c:pt>
                <c:pt idx="5">
                  <c:v>2.1849240491331301E-2</c:v>
                </c:pt>
                <c:pt idx="6">
                  <c:v>1.2124557828364857E-2</c:v>
                </c:pt>
                <c:pt idx="7">
                  <c:v>-6.0402816071707832E-2</c:v>
                </c:pt>
                <c:pt idx="8">
                  <c:v>-3.9036023452283075E-2</c:v>
                </c:pt>
                <c:pt idx="9">
                  <c:v>-1.2429260551058974E-2</c:v>
                </c:pt>
                <c:pt idx="10">
                  <c:v>1.8643270492884056E-2</c:v>
                </c:pt>
                <c:pt idx="11">
                  <c:v>6.2082519213848997E-2</c:v>
                </c:pt>
                <c:pt idx="12">
                  <c:v>3.4460743543544226E-2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DA-4B50-8997-3C5D5FF3D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945487"/>
        <c:axId val="1237946927"/>
      </c:lineChart>
      <c:catAx>
        <c:axId val="123794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46927"/>
        <c:crosses val="autoZero"/>
        <c:auto val="1"/>
        <c:lblAlgn val="ctr"/>
        <c:lblOffset val="100"/>
        <c:noMultiLvlLbl val="0"/>
      </c:catAx>
      <c:valAx>
        <c:axId val="123794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4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'GDP long'!$F$16</c:f>
              <c:strCache>
                <c:ptCount val="1"/>
                <c:pt idx="0">
                  <c:v>log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335265438147044E-2"/>
                  <c:y val="-6.9948395276775516E-2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'GDP long'!$D$17:$D$38</c:f>
              <c:numCache>
                <c:formatCode>General</c:formatCode>
                <c:ptCount val="22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</c:numCache>
            </c:numRef>
          </c:xVal>
          <c:yVal>
            <c:numRef>
              <c:f>'GDP long'!$F$17:$F$38</c:f>
              <c:numCache>
                <c:formatCode>0.00000000</c:formatCode>
                <c:ptCount val="22"/>
                <c:pt idx="0">
                  <c:v>28.685213104664431</c:v>
                </c:pt>
                <c:pt idx="1">
                  <c:v>28.734003268840748</c:v>
                </c:pt>
                <c:pt idx="2">
                  <c:v>28.779592263993795</c:v>
                </c:pt>
                <c:pt idx="3">
                  <c:v>28.857542509480112</c:v>
                </c:pt>
                <c:pt idx="4">
                  <c:v>28.970026916750644</c:v>
                </c:pt>
                <c:pt idx="5">
                  <c:v>29.038619708192648</c:v>
                </c:pt>
                <c:pt idx="6">
                  <c:v>29.097795179816249</c:v>
                </c:pt>
                <c:pt idx="7">
                  <c:v>29.154694517289116</c:v>
                </c:pt>
                <c:pt idx="8">
                  <c:v>29.244747984926601</c:v>
                </c:pt>
                <c:pt idx="9">
                  <c:v>29.278362822397511</c:v>
                </c:pt>
                <c:pt idx="10">
                  <c:v>29.341360945556346</c:v>
                </c:pt>
                <c:pt idx="11">
                  <c:v>29.37829508191659</c:v>
                </c:pt>
                <c:pt idx="12">
                  <c:v>29.457372468239996</c:v>
                </c:pt>
                <c:pt idx="13">
                  <c:v>29.533046754645898</c:v>
                </c:pt>
                <c:pt idx="14">
                  <c:v>29.589208039803516</c:v>
                </c:pt>
                <c:pt idx="15">
                  <c:v>29.645063519541477</c:v>
                </c:pt>
                <c:pt idx="16">
                  <c:v>29.688290084471902</c:v>
                </c:pt>
                <c:pt idx="17">
                  <c:v>29.721634331378954</c:v>
                </c:pt>
                <c:pt idx="18">
                  <c:v>29.807416925062249</c:v>
                </c:pt>
                <c:pt idx="19">
                  <c:v>29.899979425605871</c:v>
                </c:pt>
                <c:pt idx="20">
                  <c:v>29.983921803602509</c:v>
                </c:pt>
                <c:pt idx="21">
                  <c:v>30.075459797236956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3F-4C4E-9073-EB38C08B1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660384"/>
        <c:axId val="1353687424"/>
      </c:scatterChart>
      <c:valAx>
        <c:axId val="1411660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687424"/>
        <c:crosses val="autoZero"/>
        <c:crossBetween val="midCat"/>
      </c:valAx>
      <c:valAx>
        <c:axId val="135368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60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 long'!$F$16</c:f>
              <c:strCache>
                <c:ptCount val="1"/>
                <c:pt idx="0">
                  <c:v>log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'GDP long'!$D$17:$D$38</c:f>
              <c:numCache>
                <c:formatCode>General</c:formatCode>
                <c:ptCount val="22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</c:numCache>
            </c:numRef>
          </c:cat>
          <c:val>
            <c:numRef>
              <c:f>'GDP long'!$F$17:$F$38</c:f>
              <c:numCache>
                <c:formatCode>0.00000000</c:formatCode>
                <c:ptCount val="22"/>
                <c:pt idx="0">
                  <c:v>28.685213104664431</c:v>
                </c:pt>
                <c:pt idx="1">
                  <c:v>28.734003268840748</c:v>
                </c:pt>
                <c:pt idx="2">
                  <c:v>28.779592263993795</c:v>
                </c:pt>
                <c:pt idx="3">
                  <c:v>28.857542509480112</c:v>
                </c:pt>
                <c:pt idx="4">
                  <c:v>28.970026916750644</c:v>
                </c:pt>
                <c:pt idx="5">
                  <c:v>29.038619708192648</c:v>
                </c:pt>
                <c:pt idx="6">
                  <c:v>29.097795179816249</c:v>
                </c:pt>
                <c:pt idx="7">
                  <c:v>29.154694517289116</c:v>
                </c:pt>
                <c:pt idx="8">
                  <c:v>29.244747984926601</c:v>
                </c:pt>
                <c:pt idx="9">
                  <c:v>29.278362822397511</c:v>
                </c:pt>
                <c:pt idx="10">
                  <c:v>29.341360945556346</c:v>
                </c:pt>
                <c:pt idx="11">
                  <c:v>29.37829508191659</c:v>
                </c:pt>
                <c:pt idx="12">
                  <c:v>29.457372468239996</c:v>
                </c:pt>
                <c:pt idx="13">
                  <c:v>29.533046754645898</c:v>
                </c:pt>
                <c:pt idx="14">
                  <c:v>29.589208039803516</c:v>
                </c:pt>
                <c:pt idx="15">
                  <c:v>29.645063519541477</c:v>
                </c:pt>
                <c:pt idx="16">
                  <c:v>29.688290084471902</c:v>
                </c:pt>
                <c:pt idx="17">
                  <c:v>29.721634331378954</c:v>
                </c:pt>
                <c:pt idx="18">
                  <c:v>29.807416925062249</c:v>
                </c:pt>
                <c:pt idx="19">
                  <c:v>29.899979425605871</c:v>
                </c:pt>
                <c:pt idx="20">
                  <c:v>29.983921803602509</c:v>
                </c:pt>
                <c:pt idx="21">
                  <c:v>30.075459797236956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4D-4174-B147-DF467B9ABB79}"/>
            </c:ext>
          </c:extLst>
        </c:ser>
        <c:ser>
          <c:idx val="1"/>
          <c:order val="1"/>
          <c:tx>
            <c:strRef>
              <c:f>'GDP long'!$I$16</c:f>
              <c:strCache>
                <c:ptCount val="1"/>
                <c:pt idx="0">
                  <c:v>log_lin_trend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'GDP long'!$D$17:$D$38</c:f>
              <c:numCache>
                <c:formatCode>General</c:formatCode>
                <c:ptCount val="22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</c:numCache>
            </c:numRef>
          </c:cat>
          <c:val>
            <c:numRef>
              <c:f>'GDP long'!$I$17:$I$38</c:f>
              <c:numCache>
                <c:formatCode>0.00000000</c:formatCode>
                <c:ptCount val="22"/>
                <c:pt idx="0">
                  <c:v>28.69111430000001</c:v>
                </c:pt>
                <c:pt idx="1">
                  <c:v>28.754998020000016</c:v>
                </c:pt>
                <c:pt idx="2">
                  <c:v>28.818881740000009</c:v>
                </c:pt>
                <c:pt idx="3">
                  <c:v>28.882765460000016</c:v>
                </c:pt>
                <c:pt idx="4">
                  <c:v>28.946649180000023</c:v>
                </c:pt>
                <c:pt idx="5">
                  <c:v>29.010532900000015</c:v>
                </c:pt>
                <c:pt idx="6">
                  <c:v>29.074416620000022</c:v>
                </c:pt>
                <c:pt idx="7">
                  <c:v>29.138300340000015</c:v>
                </c:pt>
                <c:pt idx="8">
                  <c:v>29.202184060000022</c:v>
                </c:pt>
                <c:pt idx="9">
                  <c:v>29.266067780000014</c:v>
                </c:pt>
                <c:pt idx="10">
                  <c:v>29.329951500000021</c:v>
                </c:pt>
                <c:pt idx="11">
                  <c:v>29.393835220000014</c:v>
                </c:pt>
                <c:pt idx="12">
                  <c:v>29.457718940000021</c:v>
                </c:pt>
                <c:pt idx="13">
                  <c:v>29.521602660000013</c:v>
                </c:pt>
                <c:pt idx="14">
                  <c:v>29.58548638000002</c:v>
                </c:pt>
                <c:pt idx="15">
                  <c:v>29.649370100000013</c:v>
                </c:pt>
                <c:pt idx="16">
                  <c:v>29.71325382000002</c:v>
                </c:pt>
                <c:pt idx="17">
                  <c:v>29.777137540000012</c:v>
                </c:pt>
                <c:pt idx="18">
                  <c:v>29.841021260000019</c:v>
                </c:pt>
                <c:pt idx="19">
                  <c:v>29.904904980000012</c:v>
                </c:pt>
                <c:pt idx="20">
                  <c:v>29.968788700000019</c:v>
                </c:pt>
                <c:pt idx="21">
                  <c:v>30.032672420000011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4D-4174-B147-DF467B9ABB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385135"/>
        <c:axId val="278379855"/>
      </c:lineChart>
      <c:catAx>
        <c:axId val="27838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79855"/>
        <c:crosses val="autoZero"/>
        <c:auto val="1"/>
        <c:lblAlgn val="ctr"/>
        <c:lblOffset val="100"/>
        <c:noMultiLvlLbl val="0"/>
      </c:catAx>
      <c:valAx>
        <c:axId val="27837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38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 long'!$H$16</c:f>
              <c:strCache>
                <c:ptCount val="1"/>
                <c:pt idx="0">
                  <c:v>cycle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'GDP long'!$D$27:$D$39</c:f>
              <c:numCache>
                <c:formatCode>General</c:formatCode>
                <c:ptCount val="1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</c:numCache>
            </c:numRef>
          </c:cat>
          <c:val>
            <c:numRef>
              <c:f>'GDP long'!$H$27:$H$39</c:f>
              <c:numCache>
                <c:formatCode>0.00%</c:formatCode>
                <c:ptCount val="13"/>
                <c:pt idx="0">
                  <c:v>-4.5502019582528419E-3</c:v>
                </c:pt>
                <c:pt idx="1">
                  <c:v>-3.0517463113710619E-2</c:v>
                </c:pt>
                <c:pt idx="2">
                  <c:v>-1.39588353764033E-2</c:v>
                </c:pt>
                <c:pt idx="3">
                  <c:v>-3.0761303460025147E-4</c:v>
                </c:pt>
                <c:pt idx="4">
                  <c:v>-5.4210534906822261E-3</c:v>
                </c:pt>
                <c:pt idx="5">
                  <c:v>-9.8362408106247301E-3</c:v>
                </c:pt>
                <c:pt idx="6">
                  <c:v>-2.5566353744096659E-2</c:v>
                </c:pt>
                <c:pt idx="7">
                  <c:v>-4.9456502465247354E-2</c:v>
                </c:pt>
                <c:pt idx="8">
                  <c:v>-1.8522065550552469E-2</c:v>
                </c:pt>
                <c:pt idx="9">
                  <c:v>2.2737038746470262E-2</c:v>
                </c:pt>
                <c:pt idx="10">
                  <c:v>6.0264523286807758E-2</c:v>
                </c:pt>
                <c:pt idx="11">
                  <c:v>0.11139249809255602</c:v>
                </c:pt>
                <c:pt idx="12">
                  <c:v>7.7005093894030097E-2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05-4B4A-B628-6D3C7538F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3501487"/>
        <c:axId val="1083247775"/>
      </c:lineChart>
      <c:catAx>
        <c:axId val="113350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247775"/>
        <c:crosses val="autoZero"/>
        <c:auto val="1"/>
        <c:lblAlgn val="ctr"/>
        <c:lblOffset val="100"/>
        <c:noMultiLvlLbl val="0"/>
      </c:catAx>
      <c:valAx>
        <c:axId val="108324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50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'Mexico Discoveries'!$L$3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Discoveries'!$K$4:$K$17</c:f>
              <c:numCache>
                <c:formatCode>General</c:formatCode>
                <c:ptCount val="1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</c:numCache>
            </c:numRef>
          </c:cat>
          <c:val>
            <c:numRef>
              <c:f>'Mexico Discoveries'!$L$4:$L$17</c:f>
              <c:numCache>
                <c:formatCode>0.00</c:formatCode>
                <c:ptCount val="14"/>
                <c:pt idx="0">
                  <c:v>1</c:v>
                </c:pt>
                <c:pt idx="1">
                  <c:v>1.0376246768495716</c:v>
                </c:pt>
                <c:pt idx="2">
                  <c:v>1.1230088121339816</c:v>
                </c:pt>
                <c:pt idx="3">
                  <c:v>1.2112898809013399</c:v>
                </c:pt>
                <c:pt idx="4">
                  <c:v>1.2812640045779804</c:v>
                </c:pt>
                <c:pt idx="5">
                  <c:v>1.3548660237543673</c:v>
                </c:pt>
                <c:pt idx="6">
                  <c:v>1.4147164734749991</c:v>
                </c:pt>
                <c:pt idx="7">
                  <c:v>1.4626844119600071</c:v>
                </c:pt>
                <c:pt idx="8">
                  <c:v>1.5936962111779078</c:v>
                </c:pt>
                <c:pt idx="9">
                  <c:v>1.7482555812055753</c:v>
                </c:pt>
                <c:pt idx="10">
                  <c:v>1.9013437214908457</c:v>
                </c:pt>
                <c:pt idx="11">
                  <c:v>2.0836035104349664</c:v>
                </c:pt>
                <c:pt idx="12">
                  <c:v>2.0825703271798233</c:v>
                </c:pt>
                <c:pt idx="13">
                  <c:v>1.986269610396697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8-4EDB-889D-3684629D6F49}"/>
            </c:ext>
          </c:extLst>
        </c:ser>
        <c:ser>
          <c:idx val="1"/>
          <c:order val="1"/>
          <c:tx>
            <c:strRef>
              <c:f>'Mexico Discoveries'!$M$3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'Mexico Discoveries'!$K$4:$K$17</c:f>
              <c:numCache>
                <c:formatCode>General</c:formatCode>
                <c:ptCount val="1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</c:numCache>
            </c:numRef>
          </c:cat>
          <c:val>
            <c:numRef>
              <c:f>'Mexico Discoveries'!$M$4:$M$17</c:f>
              <c:numCache>
                <c:formatCode>0.00</c:formatCode>
                <c:ptCount val="14"/>
                <c:pt idx="0">
                  <c:v>1</c:v>
                </c:pt>
                <c:pt idx="1">
                  <c:v>1.0439842682165525</c:v>
                </c:pt>
                <c:pt idx="2">
                  <c:v>1.1175131839919268</c:v>
                </c:pt>
                <c:pt idx="3">
                  <c:v>1.1950915715752435</c:v>
                </c:pt>
                <c:pt idx="4">
                  <c:v>1.2426984704319055</c:v>
                </c:pt>
                <c:pt idx="5">
                  <c:v>1.3028260444899935</c:v>
                </c:pt>
                <c:pt idx="6">
                  <c:v>1.3514319725291919</c:v>
                </c:pt>
                <c:pt idx="7">
                  <c:v>1.3887848702284979</c:v>
                </c:pt>
                <c:pt idx="8">
                  <c:v>1.4853497185198226</c:v>
                </c:pt>
                <c:pt idx="9">
                  <c:v>1.6172105315089154</c:v>
                </c:pt>
                <c:pt idx="10">
                  <c:v>1.783877913649619</c:v>
                </c:pt>
                <c:pt idx="11">
                  <c:v>1.9153957885518222</c:v>
                </c:pt>
                <c:pt idx="12">
                  <c:v>1.868035248132399</c:v>
                </c:pt>
                <c:pt idx="13">
                  <c:v>1.7679326362183885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88-4EDB-889D-3684629D6F49}"/>
            </c:ext>
          </c:extLst>
        </c:ser>
        <c:ser>
          <c:idx val="2"/>
          <c:order val="2"/>
          <c:tx>
            <c:strRef>
              <c:f>'Mexico Discoveries'!$N$3</c:f>
              <c:strCache>
                <c:ptCount val="1"/>
                <c:pt idx="0">
                  <c:v>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'Mexico Discoveries'!$K$4:$K$17</c:f>
              <c:numCache>
                <c:formatCode>General</c:formatCode>
                <c:ptCount val="14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</c:numCache>
            </c:numRef>
          </c:cat>
          <c:val>
            <c:numRef>
              <c:f>'Mexico Discoveries'!$N$4:$N$17</c:f>
              <c:numCache>
                <c:formatCode>0.00</c:formatCode>
                <c:ptCount val="14"/>
                <c:pt idx="0">
                  <c:v>1</c:v>
                </c:pt>
                <c:pt idx="1">
                  <c:v>1.1045441362348851</c:v>
                </c:pt>
                <c:pt idx="2">
                  <c:v>1.2386091311554488</c:v>
                </c:pt>
                <c:pt idx="3">
                  <c:v>1.3539297545255458</c:v>
                </c:pt>
                <c:pt idx="4">
                  <c:v>1.4435659081679733</c:v>
                </c:pt>
                <c:pt idx="5">
                  <c:v>1.6264151135105815</c:v>
                </c:pt>
                <c:pt idx="6">
                  <c:v>1.7380367256718501</c:v>
                </c:pt>
                <c:pt idx="7">
                  <c:v>1.7378535559076469</c:v>
                </c:pt>
                <c:pt idx="8">
                  <c:v>1.9020092704678968</c:v>
                </c:pt>
                <c:pt idx="9">
                  <c:v>2.084293702610744</c:v>
                </c:pt>
                <c:pt idx="10">
                  <c:v>2.2832313179497259</c:v>
                </c:pt>
                <c:pt idx="11">
                  <c:v>2.5176600265682429</c:v>
                </c:pt>
                <c:pt idx="12">
                  <c:v>2.5687942321026331</c:v>
                </c:pt>
                <c:pt idx="13">
                  <c:v>2.63875396612685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88-4EDB-889D-3684629D6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7927727"/>
        <c:axId val="1237953647"/>
      </c:lineChart>
      <c:catAx>
        <c:axId val="123792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53647"/>
        <c:crosses val="autoZero"/>
        <c:auto val="1"/>
        <c:lblAlgn val="ctr"/>
        <c:lblOffset val="100"/>
        <c:noMultiLvlLbl val="0"/>
      </c:catAx>
      <c:valAx>
        <c:axId val="1237953647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92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'Mexico Discoveries'!$Q$3</c:f>
              <c:strCache>
                <c:ptCount val="1"/>
                <c:pt idx="0">
                  <c:v>external debt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'Mexico Discoveries'!$K$4:$K$16</c:f>
              <c:numCache>
                <c:formatCode>General</c:formatCode>
                <c:ptCount val="13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</c:numCache>
            </c:numRef>
          </c:cat>
          <c:val>
            <c:numRef>
              <c:f>'Mexico Discoveries'!$Q$4:$Q$16</c:f>
              <c:numCache>
                <c:formatCode>0.00</c:formatCode>
                <c:ptCount val="13"/>
                <c:pt idx="0">
                  <c:v>8.2857093642701134</c:v>
                </c:pt>
                <c:pt idx="1">
                  <c:v>7.6218854429778675</c:v>
                </c:pt>
                <c:pt idx="2">
                  <c:v>7.1852232375433198</c:v>
                </c:pt>
                <c:pt idx="3">
                  <c:v>9.0375609922205822</c:v>
                </c:pt>
                <c:pt idx="4">
                  <c:v>10.492969070611048</c:v>
                </c:pt>
                <c:pt idx="5">
                  <c:v>12.878834828381043</c:v>
                </c:pt>
                <c:pt idx="6">
                  <c:v>18.143071474835839</c:v>
                </c:pt>
                <c:pt idx="7">
                  <c:v>23.13263246704188</c:v>
                </c:pt>
                <c:pt idx="8">
                  <c:v>21.121562254017938</c:v>
                </c:pt>
                <c:pt idx="9">
                  <c:v>17.922903884976645</c:v>
                </c:pt>
                <c:pt idx="10">
                  <c:v>14.836169479074535</c:v>
                </c:pt>
                <c:pt idx="11">
                  <c:v>20.102044161407662</c:v>
                </c:pt>
                <c:pt idx="12">
                  <c:v>57.626058503655358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88-4D4D-A1E8-0FD8855D2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948783"/>
        <c:axId val="1137926223"/>
      </c:lineChart>
      <c:catAx>
        <c:axId val="113794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26223"/>
        <c:crosses val="autoZero"/>
        <c:auto val="1"/>
        <c:lblAlgn val="ctr"/>
        <c:lblOffset val="100"/>
        <c:noMultiLvlLbl val="0"/>
      </c:catAx>
      <c:valAx>
        <c:axId val="113792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94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18</xdr:row>
      <xdr:rowOff>137160</xdr:rowOff>
    </xdr:from>
    <xdr:to>
      <xdr:col>7</xdr:col>
      <xdr:colOff>228600</xdr:colOff>
      <xdr:row>37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06B251-0713-33D4-D72D-6D4AB5347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441960</xdr:colOff>
      <xdr:row>18</xdr:row>
      <xdr:rowOff>171450</xdr:rowOff>
    </xdr:from>
    <xdr:to>
      <xdr:col>13</xdr:col>
      <xdr:colOff>289560</xdr:colOff>
      <xdr:row>37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E87D5F3-52F5-6173-8AFC-C0358DFCD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899160</xdr:colOff>
      <xdr:row>6</xdr:row>
      <xdr:rowOff>144780</xdr:rowOff>
    </xdr:from>
    <xdr:to>
      <xdr:col>7</xdr:col>
      <xdr:colOff>419100</xdr:colOff>
      <xdr:row>28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CD63B-A6FA-421E-8944-C86D0E976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541020</xdr:colOff>
      <xdr:row>3</xdr:row>
      <xdr:rowOff>137160</xdr:rowOff>
    </xdr:from>
    <xdr:to>
      <xdr:col>19</xdr:col>
      <xdr:colOff>106680</xdr:colOff>
      <xdr:row>25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268E6C-6CE9-B052-148A-A069CE50F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8</xdr:row>
      <xdr:rowOff>15240</xdr:rowOff>
    </xdr:from>
    <xdr:to>
      <xdr:col>13</xdr:col>
      <xdr:colOff>525780</xdr:colOff>
      <xdr:row>23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F2417-23E8-F965-4322-44F159A00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53</xdr:row>
      <xdr:rowOff>129540</xdr:rowOff>
    </xdr:from>
    <xdr:to>
      <xdr:col>7</xdr:col>
      <xdr:colOff>15240</xdr:colOff>
      <xdr:row>72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4881D8-CB3B-4F9C-889E-1DA860E236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297180</xdr:colOff>
      <xdr:row>51</xdr:row>
      <xdr:rowOff>133350</xdr:rowOff>
    </xdr:from>
    <xdr:to>
      <xdr:col>13</xdr:col>
      <xdr:colOff>144780</xdr:colOff>
      <xdr:row>69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5D1508-2EBC-45AA-945A-69BE8E7C1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22860</xdr:colOff>
      <xdr:row>15</xdr:row>
      <xdr:rowOff>137160</xdr:rowOff>
    </xdr:from>
    <xdr:to>
      <xdr:col>18</xdr:col>
      <xdr:colOff>533400</xdr:colOff>
      <xdr:row>31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1BCAF9-EA01-ACF6-77C2-897D524D0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518160</xdr:colOff>
      <xdr:row>8</xdr:row>
      <xdr:rowOff>144780</xdr:rowOff>
    </xdr:from>
    <xdr:to>
      <xdr:col>13</xdr:col>
      <xdr:colOff>213360</xdr:colOff>
      <xdr:row>32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3A96D3-AF2C-B5E1-89FA-788C6368F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205740</xdr:colOff>
      <xdr:row>14</xdr:row>
      <xdr:rowOff>163830</xdr:rowOff>
    </xdr:from>
    <xdr:to>
      <xdr:col>21</xdr:col>
      <xdr:colOff>510540</xdr:colOff>
      <xdr:row>29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46C05D-E687-B319-46E5-29EDAA27C9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119B-258F-4B4B-8372-13A9C318E05C}">
  <dimension ref="A1:BQ76"/>
  <sheetViews>
    <sheetView tabSelected="1" workbookViewId="0">
      <selection activeCell="K12" sqref="K12"/>
    </sheetView>
  </sheetViews>
  <sheetFormatPr defaultRowHeight="14.4" x14ac:dyDescent="0.3"/>
  <cols>
    <col min="5" max="5" width="21.109375" bestFit="1" customWidth="1"/>
    <col min="6" max="6" width="11.5546875" bestFit="1" customWidth="1"/>
    <col min="8" max="8" width="10.5546875" bestFit="1" customWidth="1"/>
    <col min="9" max="9" width="12.5546875" bestFit="1" customWidth="1"/>
    <col min="10" max="10" width="30.33203125" bestFit="1" customWidth="1"/>
    <col min="11" max="11" width="9.77734375" bestFit="1" customWidth="1"/>
  </cols>
  <sheetData>
    <row r="1" spans="1:69" x14ac:dyDescent="0.3">
      <c r="E1">
        <v>1960</v>
      </c>
      <c r="F1">
        <f>E1+1</f>
        <v>1961</v>
      </c>
      <c r="G1">
        <f t="shared" ref="G1:BQ1" si="0">F1+1</f>
        <v>1962</v>
      </c>
      <c r="H1">
        <f t="shared" si="0"/>
        <v>1963</v>
      </c>
      <c r="I1">
        <f t="shared" si="0"/>
        <v>1964</v>
      </c>
      <c r="J1">
        <f t="shared" si="0"/>
        <v>1965</v>
      </c>
      <c r="K1">
        <f t="shared" si="0"/>
        <v>1966</v>
      </c>
      <c r="L1">
        <f t="shared" si="0"/>
        <v>1967</v>
      </c>
      <c r="M1">
        <f t="shared" si="0"/>
        <v>1968</v>
      </c>
      <c r="N1">
        <f t="shared" si="0"/>
        <v>1969</v>
      </c>
      <c r="O1">
        <f t="shared" si="0"/>
        <v>1970</v>
      </c>
      <c r="P1">
        <f t="shared" si="0"/>
        <v>1971</v>
      </c>
      <c r="Q1">
        <f t="shared" si="0"/>
        <v>1972</v>
      </c>
      <c r="R1">
        <f t="shared" si="0"/>
        <v>1973</v>
      </c>
      <c r="S1">
        <f t="shared" si="0"/>
        <v>1974</v>
      </c>
      <c r="T1">
        <f t="shared" si="0"/>
        <v>1975</v>
      </c>
      <c r="U1">
        <f t="shared" si="0"/>
        <v>1976</v>
      </c>
      <c r="V1">
        <f t="shared" si="0"/>
        <v>1977</v>
      </c>
      <c r="W1">
        <f t="shared" si="0"/>
        <v>1978</v>
      </c>
      <c r="X1">
        <f t="shared" si="0"/>
        <v>1979</v>
      </c>
      <c r="Y1">
        <f t="shared" si="0"/>
        <v>1980</v>
      </c>
      <c r="Z1">
        <f t="shared" si="0"/>
        <v>1981</v>
      </c>
      <c r="AA1">
        <f t="shared" si="0"/>
        <v>1982</v>
      </c>
      <c r="AB1">
        <f t="shared" si="0"/>
        <v>1983</v>
      </c>
      <c r="AC1">
        <f t="shared" si="0"/>
        <v>1984</v>
      </c>
      <c r="AD1">
        <f t="shared" si="0"/>
        <v>1985</v>
      </c>
      <c r="AE1">
        <f t="shared" si="0"/>
        <v>1986</v>
      </c>
      <c r="AF1">
        <f t="shared" si="0"/>
        <v>1987</v>
      </c>
      <c r="AG1">
        <f t="shared" si="0"/>
        <v>1988</v>
      </c>
      <c r="AH1">
        <f t="shared" si="0"/>
        <v>1989</v>
      </c>
      <c r="AI1">
        <f t="shared" si="0"/>
        <v>1990</v>
      </c>
      <c r="AJ1">
        <f t="shared" si="0"/>
        <v>1991</v>
      </c>
      <c r="AK1">
        <f t="shared" si="0"/>
        <v>1992</v>
      </c>
      <c r="AL1">
        <f t="shared" si="0"/>
        <v>1993</v>
      </c>
      <c r="AM1">
        <f t="shared" si="0"/>
        <v>1994</v>
      </c>
      <c r="AN1">
        <f t="shared" si="0"/>
        <v>1995</v>
      </c>
      <c r="AO1">
        <f t="shared" si="0"/>
        <v>1996</v>
      </c>
      <c r="AP1">
        <f t="shared" si="0"/>
        <v>1997</v>
      </c>
      <c r="AQ1">
        <f t="shared" si="0"/>
        <v>1998</v>
      </c>
      <c r="AR1">
        <f t="shared" si="0"/>
        <v>1999</v>
      </c>
      <c r="AS1">
        <f t="shared" si="0"/>
        <v>2000</v>
      </c>
      <c r="AT1">
        <f t="shared" si="0"/>
        <v>2001</v>
      </c>
      <c r="AU1">
        <f t="shared" si="0"/>
        <v>2002</v>
      </c>
      <c r="AV1">
        <f t="shared" si="0"/>
        <v>2003</v>
      </c>
      <c r="AW1">
        <f t="shared" si="0"/>
        <v>2004</v>
      </c>
      <c r="AX1">
        <f t="shared" si="0"/>
        <v>2005</v>
      </c>
      <c r="AY1">
        <f t="shared" si="0"/>
        <v>2006</v>
      </c>
      <c r="AZ1">
        <f t="shared" si="0"/>
        <v>2007</v>
      </c>
      <c r="BA1">
        <f t="shared" si="0"/>
        <v>2008</v>
      </c>
      <c r="BB1">
        <f t="shared" si="0"/>
        <v>2009</v>
      </c>
      <c r="BC1">
        <f t="shared" si="0"/>
        <v>2010</v>
      </c>
      <c r="BD1">
        <f t="shared" si="0"/>
        <v>2011</v>
      </c>
      <c r="BE1">
        <f t="shared" si="0"/>
        <v>2012</v>
      </c>
      <c r="BF1">
        <f t="shared" si="0"/>
        <v>2013</v>
      </c>
      <c r="BG1">
        <f t="shared" si="0"/>
        <v>2014</v>
      </c>
      <c r="BH1">
        <f t="shared" si="0"/>
        <v>2015</v>
      </c>
      <c r="BI1">
        <f t="shared" si="0"/>
        <v>2016</v>
      </c>
      <c r="BJ1">
        <f t="shared" si="0"/>
        <v>2017</v>
      </c>
      <c r="BK1">
        <f t="shared" si="0"/>
        <v>2018</v>
      </c>
      <c r="BL1">
        <f t="shared" si="0"/>
        <v>2019</v>
      </c>
      <c r="BM1">
        <f t="shared" si="0"/>
        <v>2020</v>
      </c>
      <c r="BN1">
        <f t="shared" si="0"/>
        <v>2021</v>
      </c>
      <c r="BO1">
        <f t="shared" si="0"/>
        <v>2022</v>
      </c>
      <c r="BP1">
        <f t="shared" si="0"/>
        <v>2023</v>
      </c>
      <c r="BQ1">
        <f t="shared" si="0"/>
        <v>2024</v>
      </c>
    </row>
    <row r="2" spans="1:69" x14ac:dyDescent="0.3">
      <c r="A2" t="s">
        <v>24</v>
      </c>
      <c r="B2" s="8" t="s">
        <v>25</v>
      </c>
      <c r="C2" t="s">
        <v>26</v>
      </c>
      <c r="D2" s="8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  <c r="AT2" t="s">
        <v>69</v>
      </c>
      <c r="AU2" t="s">
        <v>70</v>
      </c>
      <c r="AV2" t="s">
        <v>71</v>
      </c>
      <c r="AW2" t="s">
        <v>72</v>
      </c>
      <c r="AX2" t="s">
        <v>73</v>
      </c>
      <c r="AY2" t="s">
        <v>74</v>
      </c>
      <c r="AZ2" t="s">
        <v>75</v>
      </c>
      <c r="BA2" t="s">
        <v>76</v>
      </c>
      <c r="BB2" t="s">
        <v>77</v>
      </c>
      <c r="BC2" t="s">
        <v>78</v>
      </c>
      <c r="BD2" t="s">
        <v>79</v>
      </c>
      <c r="BE2" t="s">
        <v>80</v>
      </c>
      <c r="BF2" t="s">
        <v>81</v>
      </c>
      <c r="BG2" t="s">
        <v>82</v>
      </c>
      <c r="BH2" t="s">
        <v>83</v>
      </c>
      <c r="BI2" t="s">
        <v>84</v>
      </c>
      <c r="BJ2" t="s">
        <v>85</v>
      </c>
      <c r="BK2" t="s">
        <v>86</v>
      </c>
      <c r="BL2" t="s">
        <v>87</v>
      </c>
      <c r="BM2" t="s">
        <v>88</v>
      </c>
      <c r="BN2" t="s">
        <v>89</v>
      </c>
      <c r="BO2" t="s">
        <v>90</v>
      </c>
      <c r="BP2" t="s">
        <v>91</v>
      </c>
      <c r="BQ2" t="s">
        <v>92</v>
      </c>
    </row>
    <row r="3" spans="1:69" x14ac:dyDescent="0.3">
      <c r="A3" t="s">
        <v>93</v>
      </c>
      <c r="B3" s="8" t="s">
        <v>94</v>
      </c>
      <c r="C3" t="s">
        <v>103</v>
      </c>
      <c r="D3" s="8" t="s">
        <v>104</v>
      </c>
      <c r="E3">
        <v>78139.838985514216</v>
      </c>
      <c r="F3">
        <v>79523.063983886241</v>
      </c>
      <c r="G3">
        <v>80596.678235614323</v>
      </c>
      <c r="H3">
        <v>84339.590806194276</v>
      </c>
      <c r="I3">
        <v>91334.961860740892</v>
      </c>
      <c r="J3">
        <v>94642.284742071104</v>
      </c>
      <c r="K3">
        <v>97139.014896668567</v>
      </c>
      <c r="L3">
        <v>99481.69730221857</v>
      </c>
      <c r="M3">
        <v>105342.34534231269</v>
      </c>
      <c r="N3">
        <v>105480.79671050796</v>
      </c>
      <c r="O3">
        <v>108842.77905039093</v>
      </c>
      <c r="P3">
        <v>109495.45328331427</v>
      </c>
      <c r="Q3">
        <v>114957.68154320749</v>
      </c>
      <c r="R3">
        <v>120348.09125967057</v>
      </c>
      <c r="S3">
        <v>123629.60023561698</v>
      </c>
      <c r="T3">
        <v>127047.18949574788</v>
      </c>
      <c r="U3">
        <v>129021.44272525888</v>
      </c>
      <c r="V3">
        <v>129835.82317755623</v>
      </c>
      <c r="W3">
        <v>137771.35518936935</v>
      </c>
      <c r="X3">
        <v>147288.50416137429</v>
      </c>
      <c r="Y3">
        <v>156255.2311107401</v>
      </c>
      <c r="Z3">
        <v>167277.20252078801</v>
      </c>
      <c r="AA3">
        <v>163535.87396068277</v>
      </c>
      <c r="AB3">
        <v>152640.70489823434</v>
      </c>
      <c r="AC3">
        <v>154702.80536863193</v>
      </c>
      <c r="AD3">
        <v>154443.44049965532</v>
      </c>
      <c r="AE3">
        <v>145386.03555651041</v>
      </c>
      <c r="AF3">
        <v>145440.41507486673</v>
      </c>
      <c r="AG3">
        <v>144332.72205689928</v>
      </c>
      <c r="AH3">
        <v>146709.0444441507</v>
      </c>
      <c r="AI3">
        <v>151478.62723537031</v>
      </c>
      <c r="AJ3">
        <v>154497.14407951661</v>
      </c>
      <c r="AK3">
        <v>157008.6845099511</v>
      </c>
      <c r="AL3">
        <v>158545.39728091902</v>
      </c>
      <c r="AM3">
        <v>162535.21793074452</v>
      </c>
      <c r="AN3">
        <v>150230.4994510659</v>
      </c>
      <c r="AO3">
        <v>156827.53067617211</v>
      </c>
      <c r="AP3">
        <v>165312.73945462113</v>
      </c>
      <c r="AQ3">
        <v>172683.2521643026</v>
      </c>
      <c r="AR3">
        <v>174626.14029057111</v>
      </c>
      <c r="AS3">
        <v>180600.80803400726</v>
      </c>
      <c r="AT3">
        <v>177139.96091013766</v>
      </c>
      <c r="AU3">
        <v>174198.32062914019</v>
      </c>
      <c r="AV3">
        <v>173816.04216180433</v>
      </c>
      <c r="AW3">
        <v>177572.31514288863</v>
      </c>
      <c r="AX3">
        <v>178895.96269229855</v>
      </c>
      <c r="AY3">
        <v>184970.87022647785</v>
      </c>
      <c r="AZ3">
        <v>186174.63975885493</v>
      </c>
      <c r="BA3">
        <v>185206.73658162126</v>
      </c>
      <c r="BB3">
        <v>171028.84282184954</v>
      </c>
      <c r="BC3">
        <v>176964.98521723799</v>
      </c>
      <c r="BD3">
        <v>180487.05434190895</v>
      </c>
      <c r="BE3">
        <v>184380.73459404547</v>
      </c>
      <c r="BF3">
        <v>183555.05784838862</v>
      </c>
      <c r="BG3">
        <v>185887.88514544495</v>
      </c>
      <c r="BH3">
        <v>188880.14126038039</v>
      </c>
      <c r="BI3">
        <v>190374.09858153632</v>
      </c>
      <c r="BJ3">
        <v>192132.0613004255</v>
      </c>
      <c r="BK3">
        <v>194075.22002776331</v>
      </c>
      <c r="BL3">
        <v>191485.04989329848</v>
      </c>
      <c r="BM3">
        <v>174054.41180184198</v>
      </c>
      <c r="BN3">
        <v>183354.25527677848</v>
      </c>
      <c r="BO3">
        <v>188731.77458252566</v>
      </c>
      <c r="BP3">
        <v>193258.29513063916</v>
      </c>
      <c r="BQ3">
        <v>194388.43122306096</v>
      </c>
    </row>
    <row r="4" spans="1:69" x14ac:dyDescent="0.3">
      <c r="B4" s="8"/>
      <c r="D4" s="8"/>
    </row>
    <row r="5" spans="1:69" x14ac:dyDescent="0.3">
      <c r="B5" s="8"/>
      <c r="D5" s="8"/>
    </row>
    <row r="6" spans="1:69" x14ac:dyDescent="0.3">
      <c r="B6" s="8"/>
      <c r="D6" s="8"/>
    </row>
    <row r="7" spans="1:69" ht="15" thickBot="1" x14ac:dyDescent="0.35">
      <c r="A7" t="s">
        <v>97</v>
      </c>
      <c r="B7" s="8"/>
      <c r="D7" s="8"/>
    </row>
    <row r="8" spans="1:69" ht="21" x14ac:dyDescent="0.3">
      <c r="A8" t="s">
        <v>98</v>
      </c>
      <c r="G8" s="4" t="s">
        <v>22</v>
      </c>
      <c r="H8" s="5">
        <v>0.57479999999999998</v>
      </c>
      <c r="J8" s="10" t="s">
        <v>100</v>
      </c>
      <c r="K8" s="11">
        <f>E39/E38-1</f>
        <v>-2.2366039745555177E-2</v>
      </c>
    </row>
    <row r="9" spans="1:69" ht="21.6" thickBot="1" x14ac:dyDescent="0.35">
      <c r="G9" s="6" t="s">
        <v>23</v>
      </c>
      <c r="H9" s="7">
        <v>2.5600000000000001E-2</v>
      </c>
      <c r="J9" s="10" t="s">
        <v>101</v>
      </c>
      <c r="K9" s="11">
        <f>E40/E39-1</f>
        <v>-6.6622501831419823E-2</v>
      </c>
    </row>
    <row r="10" spans="1:69" ht="21" x14ac:dyDescent="0.3">
      <c r="J10" s="10" t="s">
        <v>102</v>
      </c>
      <c r="K10" s="11">
        <f>E40/E38-1</f>
        <v>-8.7498460053065163E-2</v>
      </c>
    </row>
    <row r="11" spans="1:69" ht="21" x14ac:dyDescent="0.3">
      <c r="J11" s="10" t="s">
        <v>7208</v>
      </c>
      <c r="K11" s="11">
        <f>J39</f>
        <v>6.9613578555927091E-3</v>
      </c>
    </row>
    <row r="12" spans="1:69" ht="21" x14ac:dyDescent="0.3">
      <c r="J12" s="10" t="s">
        <v>7206</v>
      </c>
      <c r="K12" s="11">
        <f>J40</f>
        <v>-9.5455005284550865E-2</v>
      </c>
    </row>
    <row r="13" spans="1:69" ht="21" x14ac:dyDescent="0.3">
      <c r="J13" s="10"/>
      <c r="K13" s="11"/>
    </row>
    <row r="14" spans="1:69" ht="21" x14ac:dyDescent="0.3">
      <c r="I14" t="s">
        <v>7207</v>
      </c>
      <c r="J14">
        <v>-54.341319120000001</v>
      </c>
      <c r="K14" s="11"/>
    </row>
    <row r="15" spans="1:69" ht="21" x14ac:dyDescent="0.3">
      <c r="I15" t="s">
        <v>7203</v>
      </c>
      <c r="J15">
        <v>3.3470809999999997E-2</v>
      </c>
      <c r="K15" s="11"/>
    </row>
    <row r="16" spans="1:69" x14ac:dyDescent="0.3">
      <c r="E16" t="s">
        <v>99</v>
      </c>
      <c r="F16" t="s">
        <v>18</v>
      </c>
      <c r="G16" t="s">
        <v>20</v>
      </c>
      <c r="H16" t="s">
        <v>21</v>
      </c>
      <c r="I16" t="s">
        <v>7204</v>
      </c>
      <c r="J16" t="s">
        <v>7205</v>
      </c>
    </row>
    <row r="17" spans="4:10" x14ac:dyDescent="0.3">
      <c r="D17">
        <v>1960</v>
      </c>
      <c r="E17" s="1">
        <f>HLOOKUP(D17,$E$1:$BQ$3,3,FALSE)</f>
        <v>78139.838985514216</v>
      </c>
      <c r="F17" s="9">
        <f>LN(E17)</f>
        <v>11.266255308017154</v>
      </c>
      <c r="G17">
        <v>11.2550536650543</v>
      </c>
      <c r="H17" s="3">
        <f>F17-G17</f>
        <v>1.1201642962854308E-2</v>
      </c>
      <c r="I17" s="9">
        <f>$J$14+$J$15*D17</f>
        <v>11.261468479999998</v>
      </c>
      <c r="J17" s="2">
        <f t="shared" ref="J17:J28" si="1">F17-I17</f>
        <v>4.7868280171563526E-3</v>
      </c>
    </row>
    <row r="18" spans="4:10" x14ac:dyDescent="0.3">
      <c r="D18">
        <f>D17+1</f>
        <v>1961</v>
      </c>
      <c r="E18" s="1">
        <f t="shared" ref="E18:E76" si="2">HLOOKUP(D18,$E$1:$BQ$3,3,FALSE)</f>
        <v>79523.063983886241</v>
      </c>
      <c r="F18" s="9">
        <f t="shared" ref="F18:F76" si="3">LN(E18)</f>
        <v>11.283802371572641</v>
      </c>
      <c r="G18">
        <v>11.2913246980783</v>
      </c>
      <c r="H18" s="3">
        <f t="shared" ref="H18:H75" si="4">F18-G18</f>
        <v>-7.5223265056596489E-3</v>
      </c>
      <c r="I18" s="9">
        <f t="shared" ref="I18:I40" si="5">$J$14+$J$15*D18</f>
        <v>11.294939289999995</v>
      </c>
      <c r="J18" s="2">
        <f t="shared" si="1"/>
        <v>-1.1136918427354203E-2</v>
      </c>
    </row>
    <row r="19" spans="4:10" x14ac:dyDescent="0.3">
      <c r="D19">
        <f t="shared" ref="D19:D76" si="6">D18+1</f>
        <v>1962</v>
      </c>
      <c r="E19" s="1">
        <f t="shared" si="2"/>
        <v>80596.678235614323</v>
      </c>
      <c r="F19" s="9">
        <f t="shared" si="3"/>
        <v>11.297212714687804</v>
      </c>
      <c r="G19">
        <v>11.327707747551701</v>
      </c>
      <c r="H19" s="3">
        <f t="shared" si="4"/>
        <v>-3.0495032863896654E-2</v>
      </c>
      <c r="I19" s="9">
        <f t="shared" si="5"/>
        <v>11.328410099999992</v>
      </c>
      <c r="J19" s="2">
        <f t="shared" si="1"/>
        <v>-3.1197385312188075E-2</v>
      </c>
    </row>
    <row r="20" spans="4:10" x14ac:dyDescent="0.3">
      <c r="D20">
        <f t="shared" si="6"/>
        <v>1963</v>
      </c>
      <c r="E20" s="1">
        <f t="shared" si="2"/>
        <v>84339.590806194276</v>
      </c>
      <c r="F20" s="9">
        <f t="shared" si="3"/>
        <v>11.342606675571853</v>
      </c>
      <c r="G20">
        <v>11.3642396066433</v>
      </c>
      <c r="H20" s="3">
        <f t="shared" si="4"/>
        <v>-2.1632931071447814E-2</v>
      </c>
      <c r="I20" s="9">
        <f t="shared" si="5"/>
        <v>11.361880909999989</v>
      </c>
      <c r="J20" s="2">
        <f t="shared" si="1"/>
        <v>-1.9274234428136694E-2</v>
      </c>
    </row>
    <row r="21" spans="4:10" x14ac:dyDescent="0.3">
      <c r="D21">
        <f t="shared" si="6"/>
        <v>1964</v>
      </c>
      <c r="E21" s="1">
        <f t="shared" si="2"/>
        <v>91334.961860740892</v>
      </c>
      <c r="F21" s="9">
        <f t="shared" si="3"/>
        <v>11.422288927135188</v>
      </c>
      <c r="G21">
        <v>11.4006521181461</v>
      </c>
      <c r="H21" s="3">
        <f t="shared" si="4"/>
        <v>2.1636808989088152E-2</v>
      </c>
      <c r="I21" s="9">
        <f t="shared" si="5"/>
        <v>11.395351719999987</v>
      </c>
      <c r="J21" s="2">
        <f t="shared" si="1"/>
        <v>2.6937207135201646E-2</v>
      </c>
    </row>
    <row r="22" spans="4:10" x14ac:dyDescent="0.3">
      <c r="D22">
        <f t="shared" si="6"/>
        <v>1965</v>
      </c>
      <c r="E22" s="1">
        <f t="shared" si="2"/>
        <v>94642.284742071104</v>
      </c>
      <c r="F22" s="9">
        <f t="shared" si="3"/>
        <v>11.457859639760606</v>
      </c>
      <c r="G22">
        <v>11.4364607955869</v>
      </c>
      <c r="H22" s="3">
        <f t="shared" si="4"/>
        <v>2.1398844173706522E-2</v>
      </c>
      <c r="I22" s="9">
        <f t="shared" si="5"/>
        <v>11.428822529999998</v>
      </c>
      <c r="J22" s="2">
        <f t="shared" si="1"/>
        <v>2.9037109760608359E-2</v>
      </c>
    </row>
    <row r="23" spans="4:10" x14ac:dyDescent="0.3">
      <c r="D23">
        <f t="shared" si="6"/>
        <v>1966</v>
      </c>
      <c r="E23" s="1">
        <f t="shared" si="2"/>
        <v>97139.014896668567</v>
      </c>
      <c r="F23" s="9">
        <f t="shared" si="3"/>
        <v>11.483898374780459</v>
      </c>
      <c r="G23">
        <v>11.471397520611101</v>
      </c>
      <c r="H23" s="3">
        <f t="shared" si="4"/>
        <v>1.2500854169358533E-2</v>
      </c>
      <c r="I23" s="9">
        <f t="shared" si="5"/>
        <v>11.462293339999995</v>
      </c>
      <c r="J23" s="2">
        <f t="shared" si="1"/>
        <v>2.1605034780463939E-2</v>
      </c>
    </row>
    <row r="24" spans="4:10" x14ac:dyDescent="0.3">
      <c r="D24">
        <f t="shared" si="6"/>
        <v>1967</v>
      </c>
      <c r="E24" s="1">
        <f t="shared" si="2"/>
        <v>99481.69730221857</v>
      </c>
      <c r="F24" s="9">
        <f t="shared" si="3"/>
        <v>11.507728959515042</v>
      </c>
      <c r="G24">
        <v>11.5054081633078</v>
      </c>
      <c r="H24" s="3">
        <f t="shared" si="4"/>
        <v>2.3207962072415711E-3</v>
      </c>
      <c r="I24" s="9">
        <f t="shared" si="5"/>
        <v>11.495764149999992</v>
      </c>
      <c r="J24" s="2">
        <f t="shared" si="1"/>
        <v>1.1964809515049524E-2</v>
      </c>
    </row>
    <row r="25" spans="4:10" x14ac:dyDescent="0.3">
      <c r="D25">
        <f t="shared" si="6"/>
        <v>1968</v>
      </c>
      <c r="E25" s="1">
        <f t="shared" si="2"/>
        <v>105342.34534231269</v>
      </c>
      <c r="F25" s="9">
        <f t="shared" si="3"/>
        <v>11.564970757288416</v>
      </c>
      <c r="G25">
        <v>11.5385636022606</v>
      </c>
      <c r="H25" s="3">
        <f t="shared" si="4"/>
        <v>2.6407155027815321E-2</v>
      </c>
      <c r="I25" s="9">
        <f t="shared" si="5"/>
        <v>11.529234959999989</v>
      </c>
      <c r="J25" s="2">
        <f t="shared" si="1"/>
        <v>3.5735797288426241E-2</v>
      </c>
    </row>
    <row r="26" spans="4:10" x14ac:dyDescent="0.3">
      <c r="D26">
        <f t="shared" si="6"/>
        <v>1969</v>
      </c>
      <c r="E26" s="1">
        <f t="shared" si="2"/>
        <v>105480.79671050796</v>
      </c>
      <c r="F26" s="9">
        <f t="shared" si="3"/>
        <v>11.566284193628951</v>
      </c>
      <c r="G26">
        <v>11.5709579240194</v>
      </c>
      <c r="H26" s="3">
        <f t="shared" si="4"/>
        <v>-4.673730390448938E-3</v>
      </c>
      <c r="I26" s="9">
        <f t="shared" si="5"/>
        <v>11.562705769999987</v>
      </c>
      <c r="J26" s="2">
        <f t="shared" si="1"/>
        <v>3.5784236289639892E-3</v>
      </c>
    </row>
    <row r="27" spans="4:10" x14ac:dyDescent="0.3">
      <c r="D27">
        <f t="shared" si="6"/>
        <v>1970</v>
      </c>
      <c r="E27" s="1">
        <f t="shared" si="2"/>
        <v>108842.77905039093</v>
      </c>
      <c r="F27" s="9">
        <f t="shared" si="3"/>
        <v>11.597659725926512</v>
      </c>
      <c r="G27">
        <v>11.6029492867121</v>
      </c>
      <c r="H27" s="3">
        <f t="shared" si="4"/>
        <v>-5.2895607855880655E-3</v>
      </c>
      <c r="I27" s="9">
        <f t="shared" si="5"/>
        <v>11.596176579999998</v>
      </c>
      <c r="J27" s="2">
        <f t="shared" si="1"/>
        <v>1.4831459265138847E-3</v>
      </c>
    </row>
    <row r="28" spans="4:10" x14ac:dyDescent="0.3">
      <c r="D28">
        <f t="shared" si="6"/>
        <v>1971</v>
      </c>
      <c r="E28" s="1">
        <f t="shared" si="2"/>
        <v>109495.45328331427</v>
      </c>
      <c r="F28" s="9">
        <f t="shared" si="3"/>
        <v>11.603638304849799</v>
      </c>
      <c r="G28">
        <v>11.6348491111259</v>
      </c>
      <c r="H28" s="3">
        <f t="shared" si="4"/>
        <v>-3.1210806276101621E-2</v>
      </c>
      <c r="I28" s="9">
        <f t="shared" si="5"/>
        <v>11.629647389999995</v>
      </c>
      <c r="J28" s="2">
        <f t="shared" si="1"/>
        <v>-2.6009085150196398E-2</v>
      </c>
    </row>
    <row r="29" spans="4:10" x14ac:dyDescent="0.3">
      <c r="D29">
        <f t="shared" si="6"/>
        <v>1972</v>
      </c>
      <c r="E29" s="1">
        <f t="shared" si="2"/>
        <v>114957.68154320749</v>
      </c>
      <c r="F29" s="9">
        <f t="shared" si="3"/>
        <v>11.652319353040905</v>
      </c>
      <c r="G29">
        <v>11.666915922481101</v>
      </c>
      <c r="H29" s="3">
        <f t="shared" si="4"/>
        <v>-1.4596569440195495E-2</v>
      </c>
      <c r="I29" s="9">
        <f t="shared" si="5"/>
        <v>11.663118199999992</v>
      </c>
      <c r="J29" s="2">
        <f t="shared" ref="J29:J40" si="7">F29-I29</f>
        <v>-1.0798846959087172E-2</v>
      </c>
    </row>
    <row r="30" spans="4:10" x14ac:dyDescent="0.3">
      <c r="D30">
        <f t="shared" si="6"/>
        <v>1973</v>
      </c>
      <c r="E30" s="1">
        <f t="shared" si="2"/>
        <v>120348.09125967057</v>
      </c>
      <c r="F30" s="9">
        <f t="shared" si="3"/>
        <v>11.698143583174112</v>
      </c>
      <c r="G30">
        <v>11.6990961378868</v>
      </c>
      <c r="H30" s="3">
        <f t="shared" si="4"/>
        <v>-9.5255471268806957E-4</v>
      </c>
      <c r="I30" s="9">
        <f t="shared" si="5"/>
        <v>11.69658900999999</v>
      </c>
      <c r="J30" s="2">
        <f t="shared" si="7"/>
        <v>1.5545731741219981E-3</v>
      </c>
    </row>
    <row r="31" spans="4:10" x14ac:dyDescent="0.3">
      <c r="D31">
        <f t="shared" si="6"/>
        <v>1974</v>
      </c>
      <c r="E31" s="1">
        <f t="shared" si="2"/>
        <v>123629.60023561698</v>
      </c>
      <c r="F31" s="9">
        <f t="shared" si="3"/>
        <v>11.72504527944092</v>
      </c>
      <c r="G31">
        <v>11.731190208727099</v>
      </c>
      <c r="H31" s="3">
        <f t="shared" si="4"/>
        <v>-6.1449292861794902E-3</v>
      </c>
      <c r="I31" s="9">
        <f t="shared" si="5"/>
        <v>11.730059819999987</v>
      </c>
      <c r="J31" s="2">
        <f t="shared" si="7"/>
        <v>-5.0145405590669156E-3</v>
      </c>
    </row>
    <row r="32" spans="4:10" x14ac:dyDescent="0.3">
      <c r="D32">
        <f t="shared" si="6"/>
        <v>1975</v>
      </c>
      <c r="E32" s="1">
        <f t="shared" si="2"/>
        <v>127047.18949574788</v>
      </c>
      <c r="F32" s="9">
        <f t="shared" si="3"/>
        <v>11.752313867258042</v>
      </c>
      <c r="G32">
        <v>11.762989060807501</v>
      </c>
      <c r="H32" s="3">
        <f t="shared" si="4"/>
        <v>-1.0675193549458228E-2</v>
      </c>
      <c r="I32" s="9">
        <f t="shared" si="5"/>
        <v>11.763530629999998</v>
      </c>
      <c r="J32" s="2">
        <f t="shared" si="7"/>
        <v>-1.1216762741955932E-2</v>
      </c>
    </row>
    <row r="33" spans="4:10" x14ac:dyDescent="0.3">
      <c r="D33">
        <f t="shared" si="6"/>
        <v>1976</v>
      </c>
      <c r="E33" s="1">
        <f t="shared" si="2"/>
        <v>129021.44272525888</v>
      </c>
      <c r="F33" s="9">
        <f t="shared" si="3"/>
        <v>11.767733892206776</v>
      </c>
      <c r="G33">
        <v>11.794222170646099</v>
      </c>
      <c r="H33" s="3">
        <f t="shared" si="4"/>
        <v>-2.6488278439323665E-2</v>
      </c>
      <c r="I33" s="9">
        <f t="shared" si="5"/>
        <v>11.797001439999995</v>
      </c>
      <c r="J33" s="2">
        <f t="shared" si="7"/>
        <v>-2.9267547793219606E-2</v>
      </c>
    </row>
    <row r="34" spans="4:10" x14ac:dyDescent="0.3">
      <c r="D34">
        <f t="shared" si="6"/>
        <v>1977</v>
      </c>
      <c r="E34" s="1">
        <f t="shared" si="2"/>
        <v>129835.82317755623</v>
      </c>
      <c r="F34" s="9">
        <f t="shared" si="3"/>
        <v>11.774026032675016</v>
      </c>
      <c r="G34">
        <v>11.8245122628527</v>
      </c>
      <c r="H34" s="3">
        <f t="shared" si="4"/>
        <v>-5.0486230177684277E-2</v>
      </c>
      <c r="I34" s="9">
        <f t="shared" si="5"/>
        <v>11.830472249999993</v>
      </c>
      <c r="J34" s="2">
        <f t="shared" si="7"/>
        <v>-5.6446217324976899E-2</v>
      </c>
    </row>
    <row r="35" spans="4:10" x14ac:dyDescent="0.3">
      <c r="D35">
        <f t="shared" si="6"/>
        <v>1978</v>
      </c>
      <c r="E35" s="1">
        <f t="shared" si="2"/>
        <v>137771.35518936935</v>
      </c>
      <c r="F35" s="9">
        <f t="shared" si="3"/>
        <v>11.833350743597432</v>
      </c>
      <c r="G35">
        <v>11.8532171792311</v>
      </c>
      <c r="H35" s="3">
        <f t="shared" si="4"/>
        <v>-1.9866435633668189E-2</v>
      </c>
      <c r="I35" s="9">
        <f t="shared" si="5"/>
        <v>11.86394305999999</v>
      </c>
      <c r="J35" s="2">
        <f t="shared" si="7"/>
        <v>-3.0592316402557884E-2</v>
      </c>
    </row>
    <row r="36" spans="4:10" x14ac:dyDescent="0.3">
      <c r="D36">
        <f t="shared" si="6"/>
        <v>1979</v>
      </c>
      <c r="E36" s="1">
        <f t="shared" si="2"/>
        <v>147288.50416137429</v>
      </c>
      <c r="F36" s="9">
        <f t="shared" si="3"/>
        <v>11.900148555694184</v>
      </c>
      <c r="G36">
        <v>11.8791898992562</v>
      </c>
      <c r="H36" s="3">
        <f t="shared" si="4"/>
        <v>2.0958656437983336E-2</v>
      </c>
      <c r="I36" s="9">
        <f t="shared" si="5"/>
        <v>11.897413869999987</v>
      </c>
      <c r="J36" s="2">
        <f t="shared" si="7"/>
        <v>2.7346856941967701E-3</v>
      </c>
    </row>
    <row r="37" spans="4:10" x14ac:dyDescent="0.3">
      <c r="D37">
        <f t="shared" si="6"/>
        <v>1980</v>
      </c>
      <c r="E37" s="1">
        <f t="shared" si="2"/>
        <v>156255.2311107401</v>
      </c>
      <c r="F37" s="9">
        <f t="shared" si="3"/>
        <v>11.959246046146971</v>
      </c>
      <c r="G37">
        <v>11.901084738010701</v>
      </c>
      <c r="H37" s="3">
        <f t="shared" si="4"/>
        <v>5.8161308136270407E-2</v>
      </c>
      <c r="I37" s="9">
        <f t="shared" si="5"/>
        <v>11.930884679999998</v>
      </c>
      <c r="J37" s="2">
        <f t="shared" si="7"/>
        <v>2.83613661469726E-2</v>
      </c>
    </row>
    <row r="38" spans="4:10" x14ac:dyDescent="0.3">
      <c r="D38">
        <f t="shared" si="6"/>
        <v>1981</v>
      </c>
      <c r="E38" s="1">
        <f t="shared" si="2"/>
        <v>167277.20252078801</v>
      </c>
      <c r="F38" s="9">
        <f t="shared" si="3"/>
        <v>12.027407610629274</v>
      </c>
      <c r="G38">
        <v>11.9177655971848</v>
      </c>
      <c r="H38" s="3">
        <f t="shared" si="4"/>
        <v>0.10964201344447311</v>
      </c>
      <c r="I38" s="9">
        <f t="shared" si="5"/>
        <v>11.964355489999996</v>
      </c>
      <c r="J38" s="2">
        <f t="shared" si="7"/>
        <v>6.3052120629278008E-2</v>
      </c>
    </row>
    <row r="39" spans="4:10" x14ac:dyDescent="0.3">
      <c r="D39">
        <f t="shared" si="6"/>
        <v>1982</v>
      </c>
      <c r="E39" s="1">
        <f t="shared" si="2"/>
        <v>163535.87396068277</v>
      </c>
      <c r="F39" s="9">
        <f t="shared" si="3"/>
        <v>12.004787657855585</v>
      </c>
      <c r="G39">
        <v>11.9286779915886</v>
      </c>
      <c r="H39" s="3">
        <f t="shared" si="4"/>
        <v>7.6109666266985343E-2</v>
      </c>
      <c r="I39" s="9">
        <f t="shared" si="5"/>
        <v>11.997826299999993</v>
      </c>
      <c r="J39" s="2">
        <f t="shared" si="7"/>
        <v>6.9613578555927091E-3</v>
      </c>
    </row>
    <row r="40" spans="4:10" x14ac:dyDescent="0.3">
      <c r="D40">
        <f t="shared" si="6"/>
        <v>1983</v>
      </c>
      <c r="E40" s="1">
        <f t="shared" si="2"/>
        <v>152640.70489823434</v>
      </c>
      <c r="F40" s="9">
        <f t="shared" si="3"/>
        <v>11.935842104715439</v>
      </c>
      <c r="G40">
        <v>11.934363856160299</v>
      </c>
      <c r="H40" s="3">
        <f t="shared" si="4"/>
        <v>1.4782485551396718E-3</v>
      </c>
      <c r="I40" s="9">
        <f t="shared" si="5"/>
        <v>12.03129710999999</v>
      </c>
      <c r="J40" s="2">
        <f t="shared" si="7"/>
        <v>-9.5455005284550865E-2</v>
      </c>
    </row>
    <row r="41" spans="4:10" x14ac:dyDescent="0.3">
      <c r="D41">
        <f t="shared" si="6"/>
        <v>1984</v>
      </c>
      <c r="E41" s="1">
        <f t="shared" si="2"/>
        <v>154702.80536863193</v>
      </c>
      <c r="F41" s="9">
        <f t="shared" si="3"/>
        <v>11.949261170647748</v>
      </c>
      <c r="G41">
        <v>11.9361262225222</v>
      </c>
      <c r="H41" s="3">
        <f t="shared" si="4"/>
        <v>1.3134948125548718E-2</v>
      </c>
    </row>
    <row r="42" spans="4:10" x14ac:dyDescent="0.3">
      <c r="D42">
        <f t="shared" si="6"/>
        <v>1985</v>
      </c>
      <c r="E42" s="1">
        <f t="shared" si="2"/>
        <v>154443.44049965532</v>
      </c>
      <c r="F42" s="9">
        <f t="shared" si="3"/>
        <v>11.947583227387584</v>
      </c>
      <c r="G42">
        <v>11.935282904734899</v>
      </c>
      <c r="H42" s="3">
        <f t="shared" si="4"/>
        <v>1.230032265268477E-2</v>
      </c>
    </row>
    <row r="43" spans="4:10" x14ac:dyDescent="0.3">
      <c r="D43">
        <f t="shared" si="6"/>
        <v>1986</v>
      </c>
      <c r="E43" s="1">
        <f t="shared" si="2"/>
        <v>145386.03555651041</v>
      </c>
      <c r="F43" s="9">
        <f t="shared" si="3"/>
        <v>11.887147797904692</v>
      </c>
      <c r="G43">
        <v>11.9332830663341</v>
      </c>
      <c r="H43" s="3">
        <f t="shared" si="4"/>
        <v>-4.6135268429408072E-2</v>
      </c>
    </row>
    <row r="44" spans="4:10" x14ac:dyDescent="0.3">
      <c r="D44">
        <f t="shared" si="6"/>
        <v>1987</v>
      </c>
      <c r="E44" s="1">
        <f t="shared" si="2"/>
        <v>145440.41507486673</v>
      </c>
      <c r="F44" s="9">
        <f t="shared" si="3"/>
        <v>11.887521763332334</v>
      </c>
      <c r="G44">
        <v>11.9316988741078</v>
      </c>
      <c r="H44" s="3">
        <f t="shared" si="4"/>
        <v>-4.4177110775466488E-2</v>
      </c>
    </row>
    <row r="45" spans="4:10" x14ac:dyDescent="0.3">
      <c r="D45">
        <f t="shared" si="6"/>
        <v>1988</v>
      </c>
      <c r="E45" s="1">
        <f t="shared" si="2"/>
        <v>144332.72205689928</v>
      </c>
      <c r="F45" s="9">
        <f t="shared" si="3"/>
        <v>11.87987648313595</v>
      </c>
      <c r="G45">
        <v>11.931641142180901</v>
      </c>
      <c r="H45" s="3">
        <f t="shared" si="4"/>
        <v>-5.1764659044950534E-2</v>
      </c>
    </row>
    <row r="46" spans="4:10" x14ac:dyDescent="0.3">
      <c r="D46">
        <f t="shared" si="6"/>
        <v>1989</v>
      </c>
      <c r="E46" s="1">
        <f t="shared" si="2"/>
        <v>146709.0444441507</v>
      </c>
      <c r="F46" s="9">
        <f t="shared" si="3"/>
        <v>11.896206614883324</v>
      </c>
      <c r="G46">
        <v>11.933778913536999</v>
      </c>
      <c r="H46" s="3">
        <f t="shared" si="4"/>
        <v>-3.7572298653675062E-2</v>
      </c>
    </row>
    <row r="47" spans="4:10" x14ac:dyDescent="0.3">
      <c r="D47">
        <f t="shared" si="6"/>
        <v>1990</v>
      </c>
      <c r="E47" s="1">
        <f t="shared" si="2"/>
        <v>151478.62723537031</v>
      </c>
      <c r="F47" s="9">
        <f t="shared" si="3"/>
        <v>11.928199819625647</v>
      </c>
      <c r="G47">
        <v>11.9382635845382</v>
      </c>
      <c r="H47" s="3">
        <f t="shared" si="4"/>
        <v>-1.0063764912553452E-2</v>
      </c>
    </row>
    <row r="48" spans="4:10" x14ac:dyDescent="0.3">
      <c r="D48">
        <f t="shared" si="6"/>
        <v>1991</v>
      </c>
      <c r="E48" s="1">
        <f t="shared" si="2"/>
        <v>154497.14407951661</v>
      </c>
      <c r="F48" s="9">
        <f t="shared" si="3"/>
        <v>11.947930890226866</v>
      </c>
      <c r="G48">
        <v>11.944870828510799</v>
      </c>
      <c r="H48" s="3">
        <f t="shared" si="4"/>
        <v>3.0600617160665422E-3</v>
      </c>
    </row>
    <row r="49" spans="4:8" x14ac:dyDescent="0.3">
      <c r="D49">
        <f t="shared" si="6"/>
        <v>1992</v>
      </c>
      <c r="E49" s="1">
        <f t="shared" si="2"/>
        <v>157008.6845099511</v>
      </c>
      <c r="F49" s="9">
        <f t="shared" si="3"/>
        <v>11.964056398150614</v>
      </c>
      <c r="G49">
        <v>11.9532756811362</v>
      </c>
      <c r="H49" s="3">
        <f t="shared" si="4"/>
        <v>1.078071701441452E-2</v>
      </c>
    </row>
    <row r="50" spans="4:8" x14ac:dyDescent="0.3">
      <c r="D50">
        <f t="shared" si="6"/>
        <v>1993</v>
      </c>
      <c r="E50" s="1">
        <f t="shared" si="2"/>
        <v>158545.39728091902</v>
      </c>
      <c r="F50" s="9">
        <f t="shared" si="3"/>
        <v>11.973796249465762</v>
      </c>
      <c r="G50">
        <v>11.963183778710301</v>
      </c>
      <c r="H50" s="3">
        <f t="shared" si="4"/>
        <v>1.0612470755461345E-2</v>
      </c>
    </row>
    <row r="51" spans="4:8" x14ac:dyDescent="0.3">
      <c r="D51">
        <f t="shared" si="6"/>
        <v>1994</v>
      </c>
      <c r="E51" s="1">
        <f t="shared" si="2"/>
        <v>162535.21793074452</v>
      </c>
      <c r="F51" s="9">
        <f t="shared" si="3"/>
        <v>11.998649982997961</v>
      </c>
      <c r="G51">
        <v>11.9744085647178</v>
      </c>
      <c r="H51" s="3">
        <f t="shared" si="4"/>
        <v>2.4241418280160687E-2</v>
      </c>
    </row>
    <row r="52" spans="4:8" x14ac:dyDescent="0.3">
      <c r="D52">
        <f t="shared" si="6"/>
        <v>1995</v>
      </c>
      <c r="E52" s="1">
        <f t="shared" si="2"/>
        <v>150230.4994510659</v>
      </c>
      <c r="F52" s="9">
        <f t="shared" si="3"/>
        <v>11.919926056627032</v>
      </c>
      <c r="G52">
        <v>11.986869607356301</v>
      </c>
      <c r="H52" s="3">
        <f t="shared" si="4"/>
        <v>-6.6943550729268608E-2</v>
      </c>
    </row>
    <row r="53" spans="4:8" x14ac:dyDescent="0.3">
      <c r="D53">
        <f t="shared" si="6"/>
        <v>1996</v>
      </c>
      <c r="E53" s="1">
        <f t="shared" si="2"/>
        <v>156827.53067617211</v>
      </c>
      <c r="F53" s="9">
        <f t="shared" si="3"/>
        <v>11.962901949778294</v>
      </c>
      <c r="G53">
        <v>12.000728888976299</v>
      </c>
      <c r="H53" s="3">
        <f t="shared" si="4"/>
        <v>-3.7826939198005505E-2</v>
      </c>
    </row>
    <row r="54" spans="4:8" x14ac:dyDescent="0.3">
      <c r="D54">
        <f t="shared" si="6"/>
        <v>1997</v>
      </c>
      <c r="E54" s="1">
        <f t="shared" si="2"/>
        <v>165312.73945462113</v>
      </c>
      <c r="F54" s="9">
        <f t="shared" si="3"/>
        <v>12.015594349530469</v>
      </c>
      <c r="G54">
        <v>12.0154789564544</v>
      </c>
      <c r="H54" s="3">
        <f t="shared" si="4"/>
        <v>1.1539307606867055E-4</v>
      </c>
    </row>
    <row r="55" spans="4:8" x14ac:dyDescent="0.3">
      <c r="D55">
        <f t="shared" si="6"/>
        <v>1998</v>
      </c>
      <c r="E55" s="1">
        <f t="shared" si="2"/>
        <v>172683.2521643026</v>
      </c>
      <c r="F55" s="9">
        <f t="shared" si="3"/>
        <v>12.059214282966137</v>
      </c>
      <c r="G55">
        <v>12.030234087278</v>
      </c>
      <c r="H55" s="3">
        <f t="shared" si="4"/>
        <v>2.898019568813659E-2</v>
      </c>
    </row>
    <row r="56" spans="4:8" x14ac:dyDescent="0.3">
      <c r="D56">
        <f t="shared" si="6"/>
        <v>1999</v>
      </c>
      <c r="E56" s="1">
        <f t="shared" si="2"/>
        <v>174626.14029057111</v>
      </c>
      <c r="F56" s="9">
        <f t="shared" si="3"/>
        <v>12.07040262647679</v>
      </c>
      <c r="G56">
        <v>12.0441097128694</v>
      </c>
      <c r="H56" s="3">
        <f t="shared" si="4"/>
        <v>2.6292913607390389E-2</v>
      </c>
    </row>
    <row r="57" spans="4:8" x14ac:dyDescent="0.3">
      <c r="D57">
        <f t="shared" si="6"/>
        <v>2000</v>
      </c>
      <c r="E57" s="1">
        <f t="shared" si="2"/>
        <v>180600.80803400726</v>
      </c>
      <c r="F57" s="9">
        <f t="shared" si="3"/>
        <v>12.104044394118951</v>
      </c>
      <c r="G57">
        <v>12.0565110665784</v>
      </c>
      <c r="H57" s="3">
        <f t="shared" si="4"/>
        <v>4.7533327540550729E-2</v>
      </c>
    </row>
    <row r="58" spans="4:8" x14ac:dyDescent="0.3">
      <c r="D58">
        <f t="shared" si="6"/>
        <v>2001</v>
      </c>
      <c r="E58" s="1">
        <f t="shared" si="2"/>
        <v>177139.96091013766</v>
      </c>
      <c r="F58" s="9">
        <f t="shared" si="3"/>
        <v>12.084695438691412</v>
      </c>
      <c r="G58">
        <v>12.0671063109261</v>
      </c>
      <c r="H58" s="3">
        <f t="shared" si="4"/>
        <v>1.7589127765312185E-2</v>
      </c>
    </row>
    <row r="59" spans="4:8" x14ac:dyDescent="0.3">
      <c r="D59">
        <f t="shared" si="6"/>
        <v>2002</v>
      </c>
      <c r="E59" s="1">
        <f t="shared" si="2"/>
        <v>174198.32062914019</v>
      </c>
      <c r="F59" s="9">
        <f t="shared" si="3"/>
        <v>12.06794970287841</v>
      </c>
      <c r="G59">
        <v>12.0760389416678</v>
      </c>
      <c r="H59" s="3">
        <f t="shared" si="4"/>
        <v>-8.0892387893900519E-3</v>
      </c>
    </row>
    <row r="60" spans="4:8" x14ac:dyDescent="0.3">
      <c r="D60">
        <f t="shared" si="6"/>
        <v>2003</v>
      </c>
      <c r="E60" s="1">
        <f t="shared" si="2"/>
        <v>173816.04216180433</v>
      </c>
      <c r="F60" s="9">
        <f t="shared" si="3"/>
        <v>12.065752789980774</v>
      </c>
      <c r="G60">
        <v>12.083628345849499</v>
      </c>
      <c r="H60" s="3">
        <f t="shared" si="4"/>
        <v>-1.7875555868725357E-2</v>
      </c>
    </row>
    <row r="61" spans="4:8" x14ac:dyDescent="0.3">
      <c r="D61">
        <f t="shared" si="6"/>
        <v>2004</v>
      </c>
      <c r="E61" s="1">
        <f t="shared" si="2"/>
        <v>177572.31514288863</v>
      </c>
      <c r="F61" s="9">
        <f t="shared" si="3"/>
        <v>12.087133214184702</v>
      </c>
      <c r="G61">
        <v>12.090113018100499</v>
      </c>
      <c r="H61" s="3">
        <f t="shared" si="4"/>
        <v>-2.979803915797774E-3</v>
      </c>
    </row>
    <row r="62" spans="4:8" x14ac:dyDescent="0.3">
      <c r="D62">
        <f t="shared" si="6"/>
        <v>2005</v>
      </c>
      <c r="E62" s="1">
        <f t="shared" si="2"/>
        <v>178895.96269229855</v>
      </c>
      <c r="F62" s="9">
        <f t="shared" si="3"/>
        <v>12.09455970184305</v>
      </c>
      <c r="G62">
        <v>12.0955526974917</v>
      </c>
      <c r="H62" s="3">
        <f t="shared" si="4"/>
        <v>-9.9299564864985257E-4</v>
      </c>
    </row>
    <row r="63" spans="4:8" x14ac:dyDescent="0.3">
      <c r="D63">
        <f t="shared" si="6"/>
        <v>2006</v>
      </c>
      <c r="E63" s="1">
        <f t="shared" si="2"/>
        <v>184970.87022647785</v>
      </c>
      <c r="F63" s="9">
        <f t="shared" si="3"/>
        <v>12.127953633427358</v>
      </c>
      <c r="G63">
        <v>12.099977325012899</v>
      </c>
      <c r="H63" s="3">
        <f t="shared" si="4"/>
        <v>2.7976308414459083E-2</v>
      </c>
    </row>
    <row r="64" spans="4:8" x14ac:dyDescent="0.3">
      <c r="D64">
        <f t="shared" si="6"/>
        <v>2007</v>
      </c>
      <c r="E64" s="1">
        <f t="shared" si="2"/>
        <v>186174.63975885493</v>
      </c>
      <c r="F64" s="9">
        <f t="shared" si="3"/>
        <v>12.134440435617151</v>
      </c>
      <c r="G64">
        <v>12.1034069116791</v>
      </c>
      <c r="H64" s="3">
        <f t="shared" si="4"/>
        <v>3.1033523938051033E-2</v>
      </c>
    </row>
    <row r="65" spans="4:8" x14ac:dyDescent="0.3">
      <c r="D65">
        <f t="shared" si="6"/>
        <v>2008</v>
      </c>
      <c r="E65" s="1">
        <f t="shared" si="2"/>
        <v>185206.73658162126</v>
      </c>
      <c r="F65" s="9">
        <f t="shared" si="3"/>
        <v>12.12922797516346</v>
      </c>
      <c r="G65">
        <v>12.106141231555</v>
      </c>
      <c r="H65" s="3">
        <f t="shared" si="4"/>
        <v>2.3086743608459415E-2</v>
      </c>
    </row>
    <row r="66" spans="4:8" x14ac:dyDescent="0.3">
      <c r="D66">
        <f t="shared" si="6"/>
        <v>2009</v>
      </c>
      <c r="E66" s="1">
        <f t="shared" si="2"/>
        <v>171028.84282184954</v>
      </c>
      <c r="F66" s="9">
        <f t="shared" si="3"/>
        <v>12.049587492734167</v>
      </c>
      <c r="G66">
        <v>12.1087903939887</v>
      </c>
      <c r="H66" s="3">
        <f t="shared" si="4"/>
        <v>-5.9202901254533202E-2</v>
      </c>
    </row>
    <row r="67" spans="4:8" x14ac:dyDescent="0.3">
      <c r="D67">
        <f t="shared" si="6"/>
        <v>2010</v>
      </c>
      <c r="E67" s="1">
        <f t="shared" si="2"/>
        <v>176964.98521723799</v>
      </c>
      <c r="F67" s="9">
        <f t="shared" si="3"/>
        <v>12.083707168354866</v>
      </c>
      <c r="G67">
        <v>12.112195375812499</v>
      </c>
      <c r="H67" s="3">
        <f t="shared" si="4"/>
        <v>-2.8488207457632697E-2</v>
      </c>
    </row>
    <row r="68" spans="4:8" x14ac:dyDescent="0.3">
      <c r="D68">
        <f t="shared" si="6"/>
        <v>2011</v>
      </c>
      <c r="E68" s="1">
        <f t="shared" si="2"/>
        <v>180487.05434190895</v>
      </c>
      <c r="F68" s="9">
        <f t="shared" si="3"/>
        <v>12.103414333085535</v>
      </c>
      <c r="G68">
        <v>12.1166051248192</v>
      </c>
      <c r="H68" s="3">
        <f t="shared" si="4"/>
        <v>-1.3190791733665108E-2</v>
      </c>
    </row>
    <row r="69" spans="4:8" x14ac:dyDescent="0.3">
      <c r="D69">
        <f t="shared" si="6"/>
        <v>2012</v>
      </c>
      <c r="E69" s="1">
        <f t="shared" si="2"/>
        <v>184380.73459404547</v>
      </c>
      <c r="F69" s="9">
        <f t="shared" si="3"/>
        <v>12.124758108475495</v>
      </c>
      <c r="G69">
        <v>12.121983706743</v>
      </c>
      <c r="H69" s="3">
        <f t="shared" si="4"/>
        <v>2.77440173249488E-3</v>
      </c>
    </row>
    <row r="70" spans="4:8" x14ac:dyDescent="0.3">
      <c r="D70">
        <f t="shared" si="6"/>
        <v>2013</v>
      </c>
      <c r="E70" s="1">
        <f t="shared" si="2"/>
        <v>183555.05784838862</v>
      </c>
      <c r="F70" s="9">
        <f t="shared" si="3"/>
        <v>12.120269944243441</v>
      </c>
      <c r="G70">
        <v>12.128163279370201</v>
      </c>
      <c r="H70" s="3">
        <f t="shared" si="4"/>
        <v>-7.8933351267593821E-3</v>
      </c>
    </row>
    <row r="71" spans="4:8" x14ac:dyDescent="0.3">
      <c r="D71">
        <f t="shared" si="6"/>
        <v>2014</v>
      </c>
      <c r="E71" s="1">
        <f t="shared" si="2"/>
        <v>185887.88514544495</v>
      </c>
      <c r="F71" s="9">
        <f t="shared" si="3"/>
        <v>12.132899002922409</v>
      </c>
      <c r="G71">
        <v>12.1350037445198</v>
      </c>
      <c r="H71" s="3">
        <f t="shared" si="4"/>
        <v>-2.1047415973907135E-3</v>
      </c>
    </row>
    <row r="72" spans="4:8" x14ac:dyDescent="0.3">
      <c r="D72">
        <f t="shared" si="6"/>
        <v>2015</v>
      </c>
      <c r="E72" s="1">
        <f t="shared" si="2"/>
        <v>188880.14126038039</v>
      </c>
      <c r="F72" s="9">
        <f t="shared" si="3"/>
        <v>12.148867919643383</v>
      </c>
      <c r="G72">
        <v>12.1422860706167</v>
      </c>
      <c r="H72" s="3">
        <f t="shared" si="4"/>
        <v>6.5818490266824625E-3</v>
      </c>
    </row>
    <row r="73" spans="4:8" x14ac:dyDescent="0.3">
      <c r="D73">
        <f t="shared" si="6"/>
        <v>2016</v>
      </c>
      <c r="E73" s="1">
        <f t="shared" si="2"/>
        <v>190374.09858153632</v>
      </c>
      <c r="F73" s="9">
        <f t="shared" si="3"/>
        <v>12.15674635522387</v>
      </c>
      <c r="G73">
        <v>12.1497701786409</v>
      </c>
      <c r="H73" s="3">
        <f t="shared" si="4"/>
        <v>6.9761765829703393E-3</v>
      </c>
    </row>
    <row r="74" spans="4:8" x14ac:dyDescent="0.3">
      <c r="D74">
        <f t="shared" si="6"/>
        <v>2017</v>
      </c>
      <c r="E74" s="1">
        <f t="shared" si="2"/>
        <v>192132.0613004255</v>
      </c>
      <c r="F74" s="9">
        <f t="shared" si="3"/>
        <v>12.165938233843704</v>
      </c>
      <c r="G74">
        <v>12.157281808066299</v>
      </c>
      <c r="H74" s="3">
        <f t="shared" si="4"/>
        <v>8.6564257774046638E-3</v>
      </c>
    </row>
    <row r="75" spans="4:8" x14ac:dyDescent="0.3">
      <c r="D75">
        <f t="shared" si="6"/>
        <v>2018</v>
      </c>
      <c r="E75" s="1">
        <f t="shared" si="2"/>
        <v>194075.22002776331</v>
      </c>
      <c r="F75" s="9">
        <f t="shared" si="3"/>
        <v>12.176001094998671</v>
      </c>
      <c r="G75">
        <v>12.164716460179999</v>
      </c>
      <c r="H75" s="3">
        <f t="shared" si="4"/>
        <v>1.1284634818672146E-2</v>
      </c>
    </row>
    <row r="76" spans="4:8" x14ac:dyDescent="0.3">
      <c r="D76">
        <f t="shared" si="6"/>
        <v>2019</v>
      </c>
      <c r="E76" s="1">
        <f t="shared" si="2"/>
        <v>191485.04989329848</v>
      </c>
      <c r="F76" s="9">
        <f t="shared" si="3"/>
        <v>12.162565016113033</v>
      </c>
      <c r="G76">
        <v>12.1720562004889</v>
      </c>
      <c r="H76" s="3">
        <f>F76-G76</f>
        <v>-9.4911843758662684E-3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3FC25-1F59-4E49-859B-39F62474F469}">
  <dimension ref="A1:F311"/>
  <sheetViews>
    <sheetView workbookViewId="0"/>
  </sheetViews>
  <sheetFormatPr defaultRowHeight="14.4" x14ac:dyDescent="0.3"/>
  <cols>
    <col min="1" max="1" width="15" customWidth="1"/>
    <col min="2" max="2" width="21.88671875" customWidth="1"/>
    <col min="3" max="3" width="13.77734375" bestFit="1" customWidth="1"/>
    <col min="5" max="5" width="12.6640625" bestFit="1" customWidth="1"/>
    <col min="6" max="6" width="15.33203125" bestFit="1" customWidth="1"/>
  </cols>
  <sheetData>
    <row r="1" spans="1:2" ht="18" x14ac:dyDescent="0.35">
      <c r="A1" s="12" t="s">
        <v>0</v>
      </c>
    </row>
    <row r="3" spans="1:2" x14ac:dyDescent="0.3">
      <c r="A3" s="13" t="s">
        <v>105</v>
      </c>
    </row>
    <row r="4" spans="1:2" x14ac:dyDescent="0.3">
      <c r="A4" s="14" t="s">
        <v>106</v>
      </c>
    </row>
    <row r="6" spans="1:2" x14ac:dyDescent="0.3">
      <c r="A6" s="13" t="s">
        <v>107</v>
      </c>
    </row>
    <row r="10" spans="1:2" ht="28.8" x14ac:dyDescent="0.3">
      <c r="A10" s="15" t="s">
        <v>2</v>
      </c>
      <c r="B10" s="16" t="s">
        <v>108</v>
      </c>
    </row>
    <row r="11" spans="1:2" ht="28.8" x14ac:dyDescent="0.3">
      <c r="A11" s="15" t="s">
        <v>4</v>
      </c>
      <c r="B11" s="17" t="s">
        <v>109</v>
      </c>
    </row>
    <row r="12" spans="1:2" x14ac:dyDescent="0.3">
      <c r="A12" s="15" t="s">
        <v>6</v>
      </c>
      <c r="B12" s="17" t="s">
        <v>110</v>
      </c>
    </row>
    <row r="13" spans="1:2" x14ac:dyDescent="0.3">
      <c r="A13" s="15" t="s">
        <v>8</v>
      </c>
      <c r="B13" s="17" t="s">
        <v>111</v>
      </c>
    </row>
    <row r="14" spans="1:2" x14ac:dyDescent="0.3">
      <c r="A14" s="15" t="s">
        <v>10</v>
      </c>
      <c r="B14" s="17" t="s">
        <v>112</v>
      </c>
    </row>
    <row r="15" spans="1:2" x14ac:dyDescent="0.3">
      <c r="A15" s="15" t="s">
        <v>12</v>
      </c>
      <c r="B15" s="17"/>
    </row>
    <row r="16" spans="1:2" x14ac:dyDescent="0.3">
      <c r="A16" s="15" t="s">
        <v>14</v>
      </c>
      <c r="B16" s="18"/>
    </row>
    <row r="17" spans="1:6" ht="28.8" x14ac:dyDescent="0.3">
      <c r="A17" s="15" t="s">
        <v>15</v>
      </c>
      <c r="B17" s="17" t="s">
        <v>16</v>
      </c>
    </row>
    <row r="18" spans="1:6" x14ac:dyDescent="0.3">
      <c r="A18" s="19" t="s">
        <v>17</v>
      </c>
      <c r="B18" s="20" t="s">
        <v>113</v>
      </c>
      <c r="F18" t="s">
        <v>114</v>
      </c>
    </row>
    <row r="19" spans="1:6" x14ac:dyDescent="0.3">
      <c r="A19" s="21">
        <v>36861</v>
      </c>
      <c r="B19" s="22">
        <v>575634760.25999999</v>
      </c>
      <c r="E19" s="23">
        <v>36892</v>
      </c>
      <c r="F19" s="24">
        <f>AVERAGE(B20:B22)</f>
        <v>517241536.33333331</v>
      </c>
    </row>
    <row r="20" spans="1:6" x14ac:dyDescent="0.3">
      <c r="A20" s="25">
        <v>36892</v>
      </c>
      <c r="B20" s="22">
        <v>524836129.99000001</v>
      </c>
      <c r="E20" s="26">
        <v>36982</v>
      </c>
      <c r="F20" s="24">
        <f>AVERAGE(B23:B25)</f>
        <v>519278526.67000002</v>
      </c>
    </row>
    <row r="21" spans="1:6" x14ac:dyDescent="0.3">
      <c r="A21" s="27">
        <v>36923</v>
      </c>
      <c r="B21" s="22">
        <v>517186605.97000003</v>
      </c>
      <c r="E21" s="28">
        <v>37073</v>
      </c>
      <c r="F21" s="24">
        <f>AVERAGE(B26:B28)</f>
        <v>553667362.63333333</v>
      </c>
    </row>
    <row r="22" spans="1:6" x14ac:dyDescent="0.3">
      <c r="A22" s="29">
        <v>36951</v>
      </c>
      <c r="B22" s="22">
        <v>509701873.04000002</v>
      </c>
      <c r="E22" s="30">
        <v>37165</v>
      </c>
      <c r="F22" s="24">
        <f>AVERAGE(B29:B31)</f>
        <v>622685340.22333336</v>
      </c>
    </row>
    <row r="23" spans="1:6" x14ac:dyDescent="0.3">
      <c r="A23" s="31">
        <v>36982</v>
      </c>
      <c r="B23" s="22">
        <v>511952430.00999999</v>
      </c>
      <c r="E23" s="23">
        <v>37257</v>
      </c>
      <c r="F23" s="24">
        <f>AVERAGE(B32:B34)</f>
        <v>634552697.61666667</v>
      </c>
    </row>
    <row r="24" spans="1:6" x14ac:dyDescent="0.3">
      <c r="A24" s="32">
        <v>37012</v>
      </c>
      <c r="B24" s="22">
        <v>514845459.95999998</v>
      </c>
      <c r="E24" s="26">
        <v>37347</v>
      </c>
      <c r="F24" s="24">
        <f>AVERAGE(B35:B37)</f>
        <v>638743403.69333327</v>
      </c>
    </row>
    <row r="25" spans="1:6" x14ac:dyDescent="0.3">
      <c r="A25" s="33">
        <v>37043</v>
      </c>
      <c r="B25" s="22">
        <v>531037690.04000002</v>
      </c>
      <c r="E25" s="28">
        <v>37438</v>
      </c>
      <c r="F25" s="24">
        <f>AVERAGE(B38:B40)</f>
        <v>650667887.93666661</v>
      </c>
    </row>
    <row r="26" spans="1:6" x14ac:dyDescent="0.3">
      <c r="A26" s="34">
        <v>37073</v>
      </c>
      <c r="B26" s="22">
        <v>535590658.99000001</v>
      </c>
      <c r="E26" s="30">
        <v>37530</v>
      </c>
      <c r="F26" s="24">
        <f>AVERAGE(B41:B43)</f>
        <v>699263803.13333333</v>
      </c>
    </row>
    <row r="27" spans="1:6" x14ac:dyDescent="0.3">
      <c r="A27" s="35">
        <v>37104</v>
      </c>
      <c r="B27" s="22">
        <v>546637481.95000005</v>
      </c>
      <c r="E27" s="23">
        <v>37622</v>
      </c>
      <c r="F27" s="24">
        <f>AVERAGE(B44:B46)</f>
        <v>713825436.13</v>
      </c>
    </row>
    <row r="28" spans="1:6" x14ac:dyDescent="0.3">
      <c r="A28" s="36">
        <v>37135</v>
      </c>
      <c r="B28" s="22">
        <v>578773946.96000004</v>
      </c>
      <c r="E28" s="26">
        <v>37712</v>
      </c>
      <c r="F28" s="24">
        <f>AVERAGE(B47:B49)</f>
        <v>714089712.63</v>
      </c>
    </row>
    <row r="29" spans="1:6" x14ac:dyDescent="0.3">
      <c r="A29" s="37">
        <v>37165</v>
      </c>
      <c r="B29" s="22">
        <v>577395499.96000004</v>
      </c>
      <c r="E29" s="28">
        <v>37803</v>
      </c>
      <c r="F29" s="24">
        <f>AVERAGE(B50:B52)</f>
        <v>722045422.69000006</v>
      </c>
    </row>
    <row r="30" spans="1:6" x14ac:dyDescent="0.3">
      <c r="A30" s="38">
        <v>37196</v>
      </c>
      <c r="B30" s="22">
        <v>610195418.98000002</v>
      </c>
      <c r="E30" s="30">
        <v>37895</v>
      </c>
      <c r="F30" s="24">
        <f>AVERAGE(B53:B55)</f>
        <v>784810055.96000004</v>
      </c>
    </row>
    <row r="31" spans="1:6" x14ac:dyDescent="0.3">
      <c r="A31" s="21">
        <v>37226</v>
      </c>
      <c r="B31" s="22">
        <v>680465101.73000002</v>
      </c>
      <c r="E31" s="23">
        <v>37987</v>
      </c>
      <c r="F31" s="24">
        <f>AVERAGE(B56:B58)</f>
        <v>804422408.63999999</v>
      </c>
    </row>
    <row r="32" spans="1:6" x14ac:dyDescent="0.3">
      <c r="A32" s="25">
        <v>37257</v>
      </c>
      <c r="B32" s="22">
        <v>633735844.37</v>
      </c>
      <c r="E32" s="26">
        <v>38078</v>
      </c>
      <c r="F32" s="24">
        <f>AVERAGE(B59:B61)</f>
        <v>821986206.41999996</v>
      </c>
    </row>
    <row r="33" spans="1:6" x14ac:dyDescent="0.3">
      <c r="A33" s="27">
        <v>37288</v>
      </c>
      <c r="B33" s="22">
        <v>627350424.12</v>
      </c>
      <c r="E33" s="28">
        <v>38169</v>
      </c>
      <c r="F33" s="24">
        <f>AVERAGE(B62:B64)</f>
        <v>829213598.28000009</v>
      </c>
    </row>
    <row r="34" spans="1:6" x14ac:dyDescent="0.3">
      <c r="A34" s="29">
        <v>37316</v>
      </c>
      <c r="B34" s="22">
        <v>642571824.36000001</v>
      </c>
      <c r="E34" s="30">
        <v>38261</v>
      </c>
      <c r="F34" s="24">
        <f>AVERAGE(B65:B67)</f>
        <v>885733264.75999987</v>
      </c>
    </row>
    <row r="35" spans="1:6" x14ac:dyDescent="0.3">
      <c r="A35" s="31">
        <v>37347</v>
      </c>
      <c r="B35" s="22">
        <v>629813665.69000006</v>
      </c>
      <c r="E35" s="23">
        <v>38353</v>
      </c>
      <c r="F35" s="24">
        <f>AVERAGE(B68:B70)</f>
        <v>900796203.44666672</v>
      </c>
    </row>
    <row r="36" spans="1:6" x14ac:dyDescent="0.3">
      <c r="A36" s="32">
        <v>37377</v>
      </c>
      <c r="B36" s="22">
        <v>632831164.5</v>
      </c>
      <c r="E36" s="26">
        <v>38443</v>
      </c>
      <c r="F36" s="24">
        <f>AVERAGE(B71:B73)</f>
        <v>904284182.29666662</v>
      </c>
    </row>
    <row r="37" spans="1:6" x14ac:dyDescent="0.3">
      <c r="A37" s="33">
        <v>37408</v>
      </c>
      <c r="B37" s="22">
        <v>653585380.88999999</v>
      </c>
      <c r="E37" s="28">
        <v>38534</v>
      </c>
      <c r="F37" s="24">
        <f>AVERAGE(B74:B76)</f>
        <v>921953320.38</v>
      </c>
    </row>
    <row r="38" spans="1:6" x14ac:dyDescent="0.3">
      <c r="A38" s="34">
        <v>37438</v>
      </c>
      <c r="B38" s="22">
        <v>650359307.90999997</v>
      </c>
      <c r="E38" s="30">
        <v>38626</v>
      </c>
      <c r="F38" s="24">
        <f>AVERAGE(B77:B79)</f>
        <v>988396531.78999996</v>
      </c>
    </row>
    <row r="39" spans="1:6" x14ac:dyDescent="0.3">
      <c r="A39" s="35">
        <v>37469</v>
      </c>
      <c r="B39" s="22">
        <v>647583240.80999994</v>
      </c>
      <c r="E39" s="23">
        <v>38718</v>
      </c>
      <c r="F39" s="24">
        <f>AVERAGE(B80:B82)</f>
        <v>1021815804.3633333</v>
      </c>
    </row>
    <row r="40" spans="1:6" x14ac:dyDescent="0.3">
      <c r="A40" s="36">
        <v>37500</v>
      </c>
      <c r="B40" s="22">
        <v>654061115.09000003</v>
      </c>
      <c r="E40" s="26">
        <v>38808</v>
      </c>
      <c r="F40" s="24">
        <f>AVERAGE(B83:B85)</f>
        <v>1062325268.35</v>
      </c>
    </row>
    <row r="41" spans="1:6" x14ac:dyDescent="0.3">
      <c r="A41" s="37">
        <v>37530</v>
      </c>
      <c r="B41" s="22">
        <v>651911832.11000001</v>
      </c>
      <c r="E41" s="28">
        <v>38899</v>
      </c>
      <c r="F41" s="24">
        <f>AVERAGE(B86:B88)</f>
        <v>1075459672.2066667</v>
      </c>
    </row>
    <row r="42" spans="1:6" x14ac:dyDescent="0.3">
      <c r="A42" s="38">
        <v>37561</v>
      </c>
      <c r="B42" s="22">
        <v>679638518.78999996</v>
      </c>
      <c r="E42" s="30">
        <v>38991</v>
      </c>
      <c r="F42" s="24">
        <f>AVERAGE(B89:B91)</f>
        <v>1134491043.1466665</v>
      </c>
    </row>
    <row r="43" spans="1:6" x14ac:dyDescent="0.3">
      <c r="A43" s="21">
        <v>37591</v>
      </c>
      <c r="B43" s="22">
        <v>766241058.5</v>
      </c>
      <c r="E43" s="23">
        <v>39083</v>
      </c>
      <c r="F43" s="24">
        <f>AVERAGE(B92:B94)</f>
        <v>1140245200.78</v>
      </c>
    </row>
    <row r="44" spans="1:6" x14ac:dyDescent="0.3">
      <c r="A44" s="25">
        <v>37622</v>
      </c>
      <c r="B44" s="22">
        <v>719717017.64999998</v>
      </c>
      <c r="E44" s="26">
        <v>39173</v>
      </c>
      <c r="F44" s="24">
        <f>AVERAGE(B95:B97)</f>
        <v>1144015609.7733333</v>
      </c>
    </row>
    <row r="45" spans="1:6" x14ac:dyDescent="0.3">
      <c r="A45" s="27">
        <v>37653</v>
      </c>
      <c r="B45" s="22">
        <v>707376873.62</v>
      </c>
      <c r="E45" s="28">
        <v>39264</v>
      </c>
      <c r="F45" s="24">
        <f>AVERAGE(B98:B100)</f>
        <v>1178038062.6199999</v>
      </c>
    </row>
    <row r="46" spans="1:6" x14ac:dyDescent="0.3">
      <c r="A46" s="29">
        <v>37681</v>
      </c>
      <c r="B46" s="22">
        <v>714382417.12</v>
      </c>
      <c r="E46" s="30">
        <v>39356</v>
      </c>
      <c r="F46" s="24">
        <f>AVERAGE(B101:B103)</f>
        <v>1247090687.6233332</v>
      </c>
    </row>
    <row r="47" spans="1:6" x14ac:dyDescent="0.3">
      <c r="A47" s="31">
        <v>37712</v>
      </c>
      <c r="B47" s="22">
        <v>702921409.5</v>
      </c>
      <c r="E47" s="23">
        <v>39448</v>
      </c>
      <c r="F47" s="24">
        <f>AVERAGE(B104:B106)</f>
        <v>1250777793.2566669</v>
      </c>
    </row>
    <row r="48" spans="1:6" x14ac:dyDescent="0.3">
      <c r="A48" s="32">
        <v>37742</v>
      </c>
      <c r="B48" s="22">
        <v>711851230.11000001</v>
      </c>
      <c r="E48" s="26">
        <v>39539</v>
      </c>
      <c r="F48" s="24">
        <f>AVERAGE(B107:B109)</f>
        <v>1236515284.0033333</v>
      </c>
    </row>
    <row r="49" spans="1:6" x14ac:dyDescent="0.3">
      <c r="A49" s="33">
        <v>37773</v>
      </c>
      <c r="B49" s="22">
        <v>727496498.27999997</v>
      </c>
      <c r="E49" s="28">
        <v>39630</v>
      </c>
      <c r="F49" s="24">
        <f>AVERAGE(B110:B112)</f>
        <v>1236234730.96</v>
      </c>
    </row>
    <row r="50" spans="1:6" x14ac:dyDescent="0.3">
      <c r="A50" s="34">
        <v>37803</v>
      </c>
      <c r="B50" s="22">
        <v>722539884.07000005</v>
      </c>
      <c r="E50" s="30">
        <v>39722</v>
      </c>
      <c r="F50" s="24">
        <f>AVERAGE(B113:B115)</f>
        <v>1366805104.0533335</v>
      </c>
    </row>
    <row r="51" spans="1:6" x14ac:dyDescent="0.3">
      <c r="A51" s="35">
        <v>37834</v>
      </c>
      <c r="B51" s="22">
        <v>720237740.48000002</v>
      </c>
      <c r="E51" s="23">
        <v>39814</v>
      </c>
      <c r="F51" s="24">
        <f>AVERAGE(B116:B118)</f>
        <v>1413426836.1099999</v>
      </c>
    </row>
    <row r="52" spans="1:6" x14ac:dyDescent="0.3">
      <c r="A52" s="36">
        <v>37865</v>
      </c>
      <c r="B52" s="22">
        <v>723358643.51999998</v>
      </c>
      <c r="E52" s="26">
        <v>39904</v>
      </c>
      <c r="F52" s="24">
        <f>AVERAGE(B119:B121)</f>
        <v>1404155846.8066666</v>
      </c>
    </row>
    <row r="53" spans="1:6" x14ac:dyDescent="0.3">
      <c r="A53" s="37">
        <v>37895</v>
      </c>
      <c r="B53" s="22">
        <v>731312557.63999999</v>
      </c>
      <c r="E53" s="28">
        <v>39995</v>
      </c>
      <c r="F53" s="24">
        <f>AVERAGE(B122:B124)</f>
        <v>1410530747.6266668</v>
      </c>
    </row>
    <row r="54" spans="1:6" x14ac:dyDescent="0.3">
      <c r="A54" s="38">
        <v>37926</v>
      </c>
      <c r="B54" s="22">
        <v>765699246.08000004</v>
      </c>
      <c r="E54" s="30">
        <v>40087</v>
      </c>
      <c r="F54" s="24">
        <f>AVERAGE(B125:B127)</f>
        <v>1517253480.5133333</v>
      </c>
    </row>
    <row r="55" spans="1:6" x14ac:dyDescent="0.3">
      <c r="A55" s="21">
        <v>37956</v>
      </c>
      <c r="B55" s="22">
        <v>857418364.15999997</v>
      </c>
      <c r="E55" s="23">
        <v>40179</v>
      </c>
      <c r="F55" s="24">
        <f>AVERAGE(B128:B130)</f>
        <v>1530091030.8733337</v>
      </c>
    </row>
    <row r="56" spans="1:6" x14ac:dyDescent="0.3">
      <c r="A56" s="25">
        <v>37987</v>
      </c>
      <c r="B56" s="22">
        <v>811975918.01999998</v>
      </c>
      <c r="E56" s="26">
        <v>40269</v>
      </c>
      <c r="F56" s="24">
        <f>AVERAGE(B131:B133)</f>
        <v>1529315852.8999999</v>
      </c>
    </row>
    <row r="57" spans="1:6" x14ac:dyDescent="0.3">
      <c r="A57" s="27">
        <v>38018</v>
      </c>
      <c r="B57" s="22">
        <v>804429647.40999997</v>
      </c>
      <c r="E57" s="28">
        <v>40360</v>
      </c>
      <c r="F57" s="24">
        <f>AVERAGE(B134:B136)</f>
        <v>1566775579.2933333</v>
      </c>
    </row>
    <row r="58" spans="1:6" x14ac:dyDescent="0.3">
      <c r="A58" s="29">
        <v>38047</v>
      </c>
      <c r="B58" s="22">
        <v>796861660.49000001</v>
      </c>
      <c r="E58" s="30">
        <v>40452</v>
      </c>
      <c r="F58" s="24">
        <f>AVERAGE(B137:B139)</f>
        <v>1680281061.8199999</v>
      </c>
    </row>
    <row r="59" spans="1:6" x14ac:dyDescent="0.3">
      <c r="A59" s="31">
        <v>38078</v>
      </c>
      <c r="B59" s="22">
        <v>799774807.42999995</v>
      </c>
      <c r="E59" s="23">
        <v>40544</v>
      </c>
      <c r="F59" s="24">
        <f>AVERAGE(B140:B142)</f>
        <v>1728997210.9133332</v>
      </c>
    </row>
    <row r="60" spans="1:6" x14ac:dyDescent="0.3">
      <c r="A60" s="32">
        <v>38108</v>
      </c>
      <c r="B60" s="22">
        <v>816684885.42999995</v>
      </c>
      <c r="E60" s="26">
        <v>40634</v>
      </c>
      <c r="F60" s="24">
        <f>AVERAGE(B143:B145)</f>
        <v>1751474026.5766666</v>
      </c>
    </row>
    <row r="61" spans="1:6" x14ac:dyDescent="0.3">
      <c r="A61" s="33">
        <v>38139</v>
      </c>
      <c r="B61" s="22">
        <v>849498926.39999998</v>
      </c>
      <c r="E61" s="28">
        <v>40725</v>
      </c>
      <c r="F61" s="24">
        <f>AVERAGE(B146:B148)</f>
        <v>1807513215.073333</v>
      </c>
    </row>
    <row r="62" spans="1:6" x14ac:dyDescent="0.3">
      <c r="A62" s="34">
        <v>38169</v>
      </c>
      <c r="B62" s="22">
        <v>830657826.79999995</v>
      </c>
      <c r="E62" s="30">
        <v>40817</v>
      </c>
      <c r="F62" s="24">
        <f>AVERAGE(B149:B151)</f>
        <v>1946080495.3500001</v>
      </c>
    </row>
    <row r="63" spans="1:6" x14ac:dyDescent="0.3">
      <c r="A63" s="35">
        <v>38200</v>
      </c>
      <c r="B63" s="22">
        <v>824501677.79999995</v>
      </c>
      <c r="E63" s="23">
        <v>40909</v>
      </c>
      <c r="F63" s="24">
        <f>AVERAGE(B152:B154)</f>
        <v>1980254444.8999999</v>
      </c>
    </row>
    <row r="64" spans="1:6" x14ac:dyDescent="0.3">
      <c r="A64" s="36">
        <v>38231</v>
      </c>
      <c r="B64" s="22">
        <v>832481290.24000001</v>
      </c>
      <c r="E64" s="26">
        <v>41000</v>
      </c>
      <c r="F64" s="24">
        <f>AVERAGE(B155:B157)</f>
        <v>2040535659.78</v>
      </c>
    </row>
    <row r="65" spans="1:6" x14ac:dyDescent="0.3">
      <c r="A65" s="37">
        <v>38261</v>
      </c>
      <c r="B65" s="22">
        <v>844900914.88999999</v>
      </c>
      <c r="E65" s="28">
        <v>41091</v>
      </c>
      <c r="F65" s="24">
        <f>AVERAGE(B158:B160)</f>
        <v>2062449405.5933332</v>
      </c>
    </row>
    <row r="66" spans="1:6" x14ac:dyDescent="0.3">
      <c r="A66" s="38">
        <v>38292</v>
      </c>
      <c r="B66" s="22">
        <v>865986082.26999998</v>
      </c>
      <c r="E66" s="30">
        <v>41183</v>
      </c>
      <c r="F66" s="24">
        <f>AVERAGE(B161:B163)</f>
        <v>2154984870.396667</v>
      </c>
    </row>
    <row r="67" spans="1:6" x14ac:dyDescent="0.3">
      <c r="A67" s="21">
        <v>38322</v>
      </c>
      <c r="B67" s="22">
        <v>946312797.12</v>
      </c>
      <c r="E67" s="23">
        <v>41275</v>
      </c>
      <c r="F67" s="24">
        <f>AVERAGE(B164:B166)</f>
        <v>2167391961.2866669</v>
      </c>
    </row>
    <row r="68" spans="1:6" x14ac:dyDescent="0.3">
      <c r="A68" s="25">
        <v>38353</v>
      </c>
      <c r="B68" s="22">
        <v>908035091.58000004</v>
      </c>
      <c r="E68" s="26">
        <v>41365</v>
      </c>
      <c r="F68" s="24">
        <f>AVERAGE(B167:B169)</f>
        <v>2175019164.5033336</v>
      </c>
    </row>
    <row r="69" spans="1:6" x14ac:dyDescent="0.3">
      <c r="A69" s="27">
        <v>38384</v>
      </c>
      <c r="B69" s="22">
        <v>903986453.65999997</v>
      </c>
      <c r="E69" s="28">
        <v>41456</v>
      </c>
      <c r="F69" s="24">
        <f>AVERAGE(B170:B172)</f>
        <v>2230992654.2999997</v>
      </c>
    </row>
    <row r="70" spans="1:6" x14ac:dyDescent="0.3">
      <c r="A70" s="29">
        <v>38412</v>
      </c>
      <c r="B70" s="22">
        <v>890367065.10000002</v>
      </c>
      <c r="E70" s="30">
        <v>41548</v>
      </c>
      <c r="F70" s="24">
        <f>AVERAGE(B173:B175)</f>
        <v>2356800373.3233333</v>
      </c>
    </row>
    <row r="71" spans="1:6" x14ac:dyDescent="0.3">
      <c r="A71" s="31">
        <v>38443</v>
      </c>
      <c r="B71" s="22">
        <v>890894217.5</v>
      </c>
      <c r="E71" s="23">
        <v>41640</v>
      </c>
      <c r="F71" s="24">
        <f>AVERAGE(B176:B178)</f>
        <v>2445671365.3233333</v>
      </c>
    </row>
    <row r="72" spans="1:6" x14ac:dyDescent="0.3">
      <c r="A72" s="32">
        <v>38473</v>
      </c>
      <c r="B72" s="22">
        <v>892003008.76999998</v>
      </c>
      <c r="E72" s="26">
        <v>41730</v>
      </c>
      <c r="F72" s="24">
        <f>AVERAGE(B179:B181)</f>
        <v>2484905428.0066667</v>
      </c>
    </row>
    <row r="73" spans="1:6" x14ac:dyDescent="0.3">
      <c r="A73" s="33">
        <v>38504</v>
      </c>
      <c r="B73" s="22">
        <v>929955320.62</v>
      </c>
      <c r="E73" s="28">
        <v>41821</v>
      </c>
      <c r="F73" s="24">
        <f>AVERAGE(B182:B184)</f>
        <v>2544334214.6833329</v>
      </c>
    </row>
    <row r="74" spans="1:6" x14ac:dyDescent="0.3">
      <c r="A74" s="34">
        <v>38534</v>
      </c>
      <c r="B74" s="22">
        <v>924866787.15999997</v>
      </c>
      <c r="E74" s="30">
        <v>41913</v>
      </c>
      <c r="F74" s="24">
        <f>AVERAGE(B185:B187)</f>
        <v>2735584840.2600002</v>
      </c>
    </row>
    <row r="75" spans="1:6" x14ac:dyDescent="0.3">
      <c r="A75" s="35">
        <v>38565</v>
      </c>
      <c r="B75" s="22">
        <v>916392444.46000004</v>
      </c>
      <c r="E75" s="23">
        <v>42005</v>
      </c>
      <c r="F75" s="24">
        <f>AVERAGE(B188:B190)</f>
        <v>2880218855.1599998</v>
      </c>
    </row>
    <row r="76" spans="1:6" x14ac:dyDescent="0.3">
      <c r="A76" s="36">
        <v>38596</v>
      </c>
      <c r="B76" s="22">
        <v>924600729.51999998</v>
      </c>
      <c r="E76" s="26">
        <v>42095</v>
      </c>
      <c r="F76" s="24">
        <f>AVERAGE(B191:B193)</f>
        <v>2943880277.4566669</v>
      </c>
    </row>
    <row r="77" spans="1:6" x14ac:dyDescent="0.3">
      <c r="A77" s="37">
        <v>38626</v>
      </c>
      <c r="B77" s="22">
        <v>934761855.49000001</v>
      </c>
      <c r="E77" s="28">
        <v>42186</v>
      </c>
      <c r="F77" s="24">
        <f>AVERAGE(B194:B196)</f>
        <v>3044194110.5533333</v>
      </c>
    </row>
    <row r="78" spans="1:6" x14ac:dyDescent="0.3">
      <c r="A78" s="38">
        <v>38657</v>
      </c>
      <c r="B78" s="22">
        <v>962288428.07000005</v>
      </c>
      <c r="E78" s="30">
        <v>42278</v>
      </c>
      <c r="F78" s="24">
        <f>AVERAGE(B197:B199)</f>
        <v>3194054692.5866666</v>
      </c>
    </row>
    <row r="79" spans="1:6" x14ac:dyDescent="0.3">
      <c r="A79" s="21">
        <v>38687</v>
      </c>
      <c r="B79" s="22">
        <v>1068139311.8099999</v>
      </c>
      <c r="E79" s="23">
        <v>42370</v>
      </c>
      <c r="F79" s="24">
        <f>AVERAGE(B200:B202)</f>
        <v>3289921233.8433337</v>
      </c>
    </row>
    <row r="80" spans="1:6" x14ac:dyDescent="0.3">
      <c r="A80" s="25">
        <v>38718</v>
      </c>
      <c r="B80" s="22">
        <v>1019917763.22</v>
      </c>
      <c r="E80" s="26">
        <v>42461</v>
      </c>
      <c r="F80" s="24">
        <f>AVERAGE(B203:B205)</f>
        <v>3380253656.3799996</v>
      </c>
    </row>
    <row r="81" spans="1:6" x14ac:dyDescent="0.3">
      <c r="A81" s="27">
        <v>38749</v>
      </c>
      <c r="B81" s="22">
        <v>1012587330.29</v>
      </c>
      <c r="E81" s="28">
        <v>42552</v>
      </c>
      <c r="F81" s="24">
        <f>AVERAGE(B206:B208)</f>
        <v>3471495442.4166665</v>
      </c>
    </row>
    <row r="82" spans="1:6" x14ac:dyDescent="0.3">
      <c r="A82" s="29">
        <v>38777</v>
      </c>
      <c r="B82" s="22">
        <v>1032942319.58</v>
      </c>
      <c r="E82" s="30">
        <v>42644</v>
      </c>
      <c r="F82" s="24">
        <f>AVERAGE(B209:B211)</f>
        <v>3677547592.8633332</v>
      </c>
    </row>
    <row r="83" spans="1:6" x14ac:dyDescent="0.3">
      <c r="A83" s="31">
        <v>38808</v>
      </c>
      <c r="B83" s="22">
        <v>1042284481.29</v>
      </c>
      <c r="E83" s="23">
        <v>42736</v>
      </c>
      <c r="F83" s="24">
        <f>AVERAGE(B212:B214)</f>
        <v>3797751706.4400001</v>
      </c>
    </row>
    <row r="84" spans="1:6" x14ac:dyDescent="0.3">
      <c r="A84" s="32">
        <v>38838</v>
      </c>
      <c r="B84" s="22">
        <v>1047836110.72</v>
      </c>
      <c r="E84" s="26">
        <v>42826</v>
      </c>
      <c r="F84" s="24">
        <f>AVERAGE(B215:B217)</f>
        <v>3785970050.1933331</v>
      </c>
    </row>
    <row r="85" spans="1:6" x14ac:dyDescent="0.3">
      <c r="A85" s="33">
        <v>38869</v>
      </c>
      <c r="B85" s="22">
        <v>1096855213.04</v>
      </c>
      <c r="E85" s="28">
        <v>42917</v>
      </c>
      <c r="F85" s="24">
        <f>AVERAGE(B218:B220)</f>
        <v>3819746284.2199998</v>
      </c>
    </row>
    <row r="86" spans="1:6" x14ac:dyDescent="0.3">
      <c r="A86" s="34">
        <v>38899</v>
      </c>
      <c r="B86" s="22">
        <v>1091461936</v>
      </c>
      <c r="E86" s="30">
        <v>43009</v>
      </c>
      <c r="F86" s="24">
        <f>AVERAGE(B221:B223)</f>
        <v>4059772946.0566669</v>
      </c>
    </row>
    <row r="87" spans="1:6" x14ac:dyDescent="0.3">
      <c r="A87" s="35">
        <v>38930</v>
      </c>
      <c r="B87" s="22">
        <v>1060740929.9</v>
      </c>
      <c r="E87" s="23">
        <v>43101</v>
      </c>
      <c r="F87" s="24">
        <f>AVERAGE(B224:B226)</f>
        <v>4096723251.0400004</v>
      </c>
    </row>
    <row r="88" spans="1:6" x14ac:dyDescent="0.3">
      <c r="A88" s="36">
        <v>38961</v>
      </c>
      <c r="B88" s="22">
        <v>1074176150.72</v>
      </c>
      <c r="E88" s="26">
        <v>43191</v>
      </c>
      <c r="F88" s="24">
        <f>AVERAGE(B227:B229)</f>
        <v>4194425925.3199997</v>
      </c>
    </row>
    <row r="89" spans="1:6" x14ac:dyDescent="0.3">
      <c r="A89" s="37">
        <v>38991</v>
      </c>
      <c r="B89" s="22">
        <v>1067786693.33</v>
      </c>
      <c r="E89" s="28">
        <v>43282</v>
      </c>
      <c r="F89" s="24">
        <f>AVERAGE(B230:B232)</f>
        <v>4176709510.7333336</v>
      </c>
    </row>
    <row r="90" spans="1:6" x14ac:dyDescent="0.3">
      <c r="A90" s="38">
        <v>39022</v>
      </c>
      <c r="B90" s="22">
        <v>1117490223.8699999</v>
      </c>
      <c r="E90" s="30">
        <v>43374</v>
      </c>
      <c r="F90" s="24">
        <f>AVERAGE(B233:B235)</f>
        <v>4349077745.7266665</v>
      </c>
    </row>
    <row r="91" spans="1:6" x14ac:dyDescent="0.3">
      <c r="A91" s="21">
        <v>39052</v>
      </c>
      <c r="B91" s="22">
        <v>1218196212.24</v>
      </c>
      <c r="E91" s="23">
        <v>43466</v>
      </c>
      <c r="F91" s="24">
        <f>AVERAGE(B236:B238)</f>
        <v>4315559920.3366671</v>
      </c>
    </row>
    <row r="92" spans="1:6" x14ac:dyDescent="0.3">
      <c r="A92" s="25">
        <v>39083</v>
      </c>
      <c r="B92" s="22">
        <v>1145328847.8</v>
      </c>
      <c r="E92" s="26">
        <v>43556</v>
      </c>
      <c r="F92" s="24">
        <f>AVERAGE(B239:B241)</f>
        <v>4326774831.9333334</v>
      </c>
    </row>
    <row r="93" spans="1:6" x14ac:dyDescent="0.3">
      <c r="A93" s="27">
        <v>39114</v>
      </c>
      <c r="B93" s="22">
        <v>1130788211.26</v>
      </c>
      <c r="E93" s="28">
        <v>43647</v>
      </c>
      <c r="F93" s="24">
        <f>AVERAGE(B242:B244)</f>
        <v>4344235572.9000006</v>
      </c>
    </row>
    <row r="94" spans="1:6" x14ac:dyDescent="0.3">
      <c r="A94" s="29">
        <v>39142</v>
      </c>
      <c r="B94" s="22">
        <v>1144618543.28</v>
      </c>
      <c r="E94" s="30">
        <v>43739</v>
      </c>
      <c r="F94" s="24">
        <f>AVERAGE(B245:B247)</f>
        <v>4517084032.0233335</v>
      </c>
    </row>
    <row r="95" spans="1:6" x14ac:dyDescent="0.3">
      <c r="A95" s="31">
        <v>39173</v>
      </c>
      <c r="B95" s="22">
        <v>1126302579.3900001</v>
      </c>
      <c r="E95" s="23">
        <v>43831</v>
      </c>
      <c r="F95" s="24">
        <f>AVERAGE(B248:B250)</f>
        <v>4677004828.4700003</v>
      </c>
    </row>
    <row r="96" spans="1:6" x14ac:dyDescent="0.3">
      <c r="A96" s="32">
        <v>39203</v>
      </c>
      <c r="B96" s="22">
        <v>1132230566.3699999</v>
      </c>
      <c r="E96" s="26">
        <v>43922</v>
      </c>
      <c r="F96" s="24">
        <f>AVERAGE(B251:B253)</f>
        <v>5146854870.9700003</v>
      </c>
    </row>
    <row r="97" spans="1:6" x14ac:dyDescent="0.3">
      <c r="A97" s="33">
        <v>39234</v>
      </c>
      <c r="B97" s="22">
        <v>1173513683.5599999</v>
      </c>
      <c r="E97" s="28">
        <v>44013</v>
      </c>
      <c r="F97" s="24">
        <f>AVERAGE(B254:B256)</f>
        <v>5237865815.2666664</v>
      </c>
    </row>
    <row r="98" spans="1:6" x14ac:dyDescent="0.3">
      <c r="A98" s="34">
        <v>39264</v>
      </c>
      <c r="B98" s="22">
        <v>1162624880.72</v>
      </c>
      <c r="E98" s="30">
        <v>44105</v>
      </c>
      <c r="F98" s="24">
        <f>AVERAGE(B257:B259)</f>
        <v>5453169987.3366661</v>
      </c>
    </row>
    <row r="99" spans="1:6" x14ac:dyDescent="0.3">
      <c r="A99" s="35">
        <v>39295</v>
      </c>
      <c r="B99" s="22">
        <v>1172696609.4000001</v>
      </c>
      <c r="E99" s="23">
        <v>44197</v>
      </c>
      <c r="F99" s="24">
        <f>AVERAGE(B260:B262)</f>
        <v>5621145146.8566666</v>
      </c>
    </row>
    <row r="100" spans="1:6" x14ac:dyDescent="0.3">
      <c r="A100" s="36">
        <v>39326</v>
      </c>
      <c r="B100" s="22">
        <v>1198792697.74</v>
      </c>
      <c r="E100" s="26">
        <v>44287</v>
      </c>
      <c r="F100" s="24">
        <f>AVERAGE(B263:B265)</f>
        <v>5724975880.7099991</v>
      </c>
    </row>
    <row r="101" spans="1:6" x14ac:dyDescent="0.3">
      <c r="A101" s="37">
        <v>39356</v>
      </c>
      <c r="B101" s="22">
        <v>1178607329.02</v>
      </c>
      <c r="E101" s="28">
        <v>44378</v>
      </c>
      <c r="F101" s="24">
        <f>AVERAGE(B266:B268)</f>
        <v>5867970534.1566668</v>
      </c>
    </row>
    <row r="102" spans="1:6" x14ac:dyDescent="0.3">
      <c r="A102" s="38">
        <v>39387</v>
      </c>
      <c r="B102" s="22">
        <v>1212874657.8</v>
      </c>
      <c r="E102" s="30">
        <v>44470</v>
      </c>
      <c r="F102" s="24">
        <f>AVERAGE(B269:B271)</f>
        <v>6139515352.1533327</v>
      </c>
    </row>
    <row r="103" spans="1:6" x14ac:dyDescent="0.3">
      <c r="A103" s="21">
        <v>39417</v>
      </c>
      <c r="B103" s="22">
        <v>1349790076.05</v>
      </c>
      <c r="E103" s="23">
        <v>44562</v>
      </c>
      <c r="F103" s="24">
        <f>AVERAGE(B272:B274)</f>
        <v>6339287615.7733335</v>
      </c>
    </row>
    <row r="104" spans="1:6" x14ac:dyDescent="0.3">
      <c r="A104" s="25">
        <v>39448</v>
      </c>
      <c r="B104" s="22">
        <v>1267859659.3199999</v>
      </c>
      <c r="E104" s="26">
        <v>44652</v>
      </c>
      <c r="F104" s="24">
        <f>AVERAGE(B275:B277)</f>
        <v>6435997770.6466675</v>
      </c>
    </row>
    <row r="105" spans="1:6" x14ac:dyDescent="0.3">
      <c r="A105" s="27">
        <v>39479</v>
      </c>
      <c r="B105" s="22">
        <v>1253250278.98</v>
      </c>
      <c r="E105" s="28">
        <v>44743</v>
      </c>
      <c r="F105" s="24">
        <f>AVERAGE(B278:B280)</f>
        <v>6464924616.9266672</v>
      </c>
    </row>
    <row r="106" spans="1:6" x14ac:dyDescent="0.3">
      <c r="A106" s="29">
        <v>39508</v>
      </c>
      <c r="B106" s="22">
        <v>1231223441.47</v>
      </c>
      <c r="E106" s="30">
        <v>44835</v>
      </c>
      <c r="F106" s="24">
        <f>AVERAGE(B281:B283)</f>
        <v>6672295608.2300005</v>
      </c>
    </row>
    <row r="107" spans="1:6" x14ac:dyDescent="0.3">
      <c r="A107" s="31">
        <v>39539</v>
      </c>
      <c r="B107" s="22">
        <v>1231574620.23</v>
      </c>
      <c r="E107" s="23">
        <v>44927</v>
      </c>
      <c r="F107" s="24">
        <f>AVERAGE(B284:B286)</f>
        <v>6653640067.2166672</v>
      </c>
    </row>
    <row r="108" spans="1:6" x14ac:dyDescent="0.3">
      <c r="A108" s="32">
        <v>39569</v>
      </c>
      <c r="B108" s="22">
        <v>1235484204.8699999</v>
      </c>
      <c r="E108" s="26">
        <v>45017</v>
      </c>
      <c r="F108" s="24">
        <f>AVERAGE(B287:B289)</f>
        <v>6698493508.2933321</v>
      </c>
    </row>
    <row r="109" spans="1:6" x14ac:dyDescent="0.3">
      <c r="A109" s="33">
        <v>39600</v>
      </c>
      <c r="B109" s="22">
        <v>1242487026.9100001</v>
      </c>
      <c r="E109" s="28">
        <v>45108</v>
      </c>
      <c r="F109" s="24">
        <f>AVERAGE(B290:B292)</f>
        <v>6824483301.0233335</v>
      </c>
    </row>
    <row r="110" spans="1:6" x14ac:dyDescent="0.3">
      <c r="A110" s="34">
        <v>39630</v>
      </c>
      <c r="B110" s="22">
        <v>1232771264.47</v>
      </c>
      <c r="E110" s="30">
        <v>45200</v>
      </c>
      <c r="F110" s="24">
        <f>AVERAGE(B293:B295)</f>
        <v>7168481370.9766665</v>
      </c>
    </row>
    <row r="111" spans="1:6" x14ac:dyDescent="0.3">
      <c r="A111" s="35">
        <v>39661</v>
      </c>
      <c r="B111" s="22">
        <v>1235888354.3800001</v>
      </c>
      <c r="E111" s="23">
        <v>45292</v>
      </c>
      <c r="F111" s="24">
        <f>AVERAGE(B296:B298)</f>
        <v>7383495397.3066664</v>
      </c>
    </row>
    <row r="112" spans="1:6" x14ac:dyDescent="0.3">
      <c r="A112" s="36">
        <v>39692</v>
      </c>
      <c r="B112" s="22">
        <v>1240044574.03</v>
      </c>
      <c r="E112" s="26">
        <v>45383</v>
      </c>
      <c r="F112" s="24">
        <f>AVERAGE(B299:B301)</f>
        <v>7423622597.6800003</v>
      </c>
    </row>
    <row r="113" spans="1:6" x14ac:dyDescent="0.3">
      <c r="A113" s="37">
        <v>39722</v>
      </c>
      <c r="B113" s="22">
        <v>1280698618.45</v>
      </c>
      <c r="E113" s="28">
        <v>45474</v>
      </c>
      <c r="F113" s="24">
        <f>AVERAGE(B302:B304)</f>
        <v>7580087567.1100006</v>
      </c>
    </row>
    <row r="114" spans="1:6" x14ac:dyDescent="0.3">
      <c r="A114" s="38">
        <v>39753</v>
      </c>
      <c r="B114" s="22">
        <v>1336988461.98</v>
      </c>
      <c r="E114" s="30">
        <v>45566</v>
      </c>
      <c r="F114" s="24">
        <f>AVERAGE(B305:B307)</f>
        <v>7978190184.7433329</v>
      </c>
    </row>
    <row r="115" spans="1:6" x14ac:dyDescent="0.3">
      <c r="A115" s="21">
        <v>39783</v>
      </c>
      <c r="B115" s="22">
        <v>1482728231.73</v>
      </c>
      <c r="E115" s="23">
        <v>45658</v>
      </c>
      <c r="F115" s="24">
        <f>AVERAGE(B308:B310)</f>
        <v>8035228259.1866655</v>
      </c>
    </row>
    <row r="116" spans="1:6" x14ac:dyDescent="0.3">
      <c r="A116" s="25">
        <v>39814</v>
      </c>
      <c r="B116" s="22">
        <v>1416248741.6099999</v>
      </c>
    </row>
    <row r="117" spans="1:6" x14ac:dyDescent="0.3">
      <c r="A117" s="27">
        <v>39845</v>
      </c>
      <c r="B117" s="22">
        <v>1420748804.1300001</v>
      </c>
    </row>
    <row r="118" spans="1:6" x14ac:dyDescent="0.3">
      <c r="A118" s="29">
        <v>39873</v>
      </c>
      <c r="B118" s="22">
        <v>1403282962.5899999</v>
      </c>
    </row>
    <row r="119" spans="1:6" x14ac:dyDescent="0.3">
      <c r="A119" s="31">
        <v>39904</v>
      </c>
      <c r="B119" s="22">
        <v>1394809715.5899999</v>
      </c>
    </row>
    <row r="120" spans="1:6" x14ac:dyDescent="0.3">
      <c r="A120" s="32">
        <v>39934</v>
      </c>
      <c r="B120" s="22">
        <v>1405502623.6400001</v>
      </c>
    </row>
    <row r="121" spans="1:6" x14ac:dyDescent="0.3">
      <c r="A121" s="33">
        <v>39965</v>
      </c>
      <c r="B121" s="22">
        <v>1412155201.1900001</v>
      </c>
    </row>
    <row r="122" spans="1:6" x14ac:dyDescent="0.3">
      <c r="A122" s="34">
        <v>39995</v>
      </c>
      <c r="B122" s="22">
        <v>1416052316.1500001</v>
      </c>
    </row>
    <row r="123" spans="1:6" x14ac:dyDescent="0.3">
      <c r="A123" s="35">
        <v>40026</v>
      </c>
      <c r="B123" s="22">
        <v>1406616186.4300001</v>
      </c>
    </row>
    <row r="124" spans="1:6" x14ac:dyDescent="0.3">
      <c r="A124" s="36">
        <v>40057</v>
      </c>
      <c r="B124" s="22">
        <v>1408923740.3</v>
      </c>
    </row>
    <row r="125" spans="1:6" x14ac:dyDescent="0.3">
      <c r="A125" s="37">
        <v>40087</v>
      </c>
      <c r="B125" s="22">
        <v>1456830289.1700001</v>
      </c>
    </row>
    <row r="126" spans="1:6" x14ac:dyDescent="0.3">
      <c r="A126" s="38">
        <v>40118</v>
      </c>
      <c r="B126" s="22">
        <v>1481480152.23</v>
      </c>
    </row>
    <row r="127" spans="1:6" x14ac:dyDescent="0.3">
      <c r="A127" s="21">
        <v>40148</v>
      </c>
      <c r="B127" s="22">
        <v>1613450000.1400001</v>
      </c>
    </row>
    <row r="128" spans="1:6" x14ac:dyDescent="0.3">
      <c r="A128" s="25">
        <v>40179</v>
      </c>
      <c r="B128" s="22">
        <v>1547730010.1400001</v>
      </c>
    </row>
    <row r="129" spans="1:2" x14ac:dyDescent="0.3">
      <c r="A129" s="27">
        <v>40210</v>
      </c>
      <c r="B129" s="22">
        <v>1517869613.5</v>
      </c>
    </row>
    <row r="130" spans="1:2" x14ac:dyDescent="0.3">
      <c r="A130" s="29">
        <v>40238</v>
      </c>
      <c r="B130" s="22">
        <v>1524673468.98</v>
      </c>
    </row>
    <row r="131" spans="1:2" x14ac:dyDescent="0.3">
      <c r="A131" s="31">
        <v>40269</v>
      </c>
      <c r="B131" s="22">
        <v>1503990111.8299999</v>
      </c>
    </row>
    <row r="132" spans="1:2" x14ac:dyDescent="0.3">
      <c r="A132" s="32">
        <v>40299</v>
      </c>
      <c r="B132" s="22">
        <v>1526831442.1700001</v>
      </c>
    </row>
    <row r="133" spans="1:2" x14ac:dyDescent="0.3">
      <c r="A133" s="33">
        <v>40330</v>
      </c>
      <c r="B133" s="22">
        <v>1557126004.7</v>
      </c>
    </row>
    <row r="134" spans="1:2" x14ac:dyDescent="0.3">
      <c r="A134" s="34">
        <v>40360</v>
      </c>
      <c r="B134" s="22">
        <v>1562707323.6300001</v>
      </c>
    </row>
    <row r="135" spans="1:2" x14ac:dyDescent="0.3">
      <c r="A135" s="35">
        <v>40391</v>
      </c>
      <c r="B135" s="22">
        <v>1561715860.71</v>
      </c>
    </row>
    <row r="136" spans="1:2" x14ac:dyDescent="0.3">
      <c r="A136" s="36">
        <v>40422</v>
      </c>
      <c r="B136" s="22">
        <v>1575903553.54</v>
      </c>
    </row>
    <row r="137" spans="1:2" x14ac:dyDescent="0.3">
      <c r="A137" s="37">
        <v>40452</v>
      </c>
      <c r="B137" s="22">
        <v>1581896026.8</v>
      </c>
    </row>
    <row r="138" spans="1:2" x14ac:dyDescent="0.3">
      <c r="A138" s="38">
        <v>40483</v>
      </c>
      <c r="B138" s="22">
        <v>1627355714.1600001</v>
      </c>
    </row>
    <row r="139" spans="1:2" x14ac:dyDescent="0.3">
      <c r="A139" s="21">
        <v>40513</v>
      </c>
      <c r="B139" s="22">
        <v>1831591444.5</v>
      </c>
    </row>
    <row r="140" spans="1:2" x14ac:dyDescent="0.3">
      <c r="A140" s="25">
        <v>40544</v>
      </c>
      <c r="B140" s="22">
        <v>1728772137.6099999</v>
      </c>
    </row>
    <row r="141" spans="1:2" x14ac:dyDescent="0.3">
      <c r="A141" s="27">
        <v>40575</v>
      </c>
      <c r="B141" s="22">
        <v>1723622268.8900001</v>
      </c>
    </row>
    <row r="142" spans="1:2" x14ac:dyDescent="0.3">
      <c r="A142" s="29">
        <v>40603</v>
      </c>
      <c r="B142" s="22">
        <v>1734597226.24</v>
      </c>
    </row>
    <row r="143" spans="1:2" x14ac:dyDescent="0.3">
      <c r="A143" s="31">
        <v>40634</v>
      </c>
      <c r="B143" s="22">
        <v>1742346199.77</v>
      </c>
    </row>
    <row r="144" spans="1:2" x14ac:dyDescent="0.3">
      <c r="A144" s="32">
        <v>40664</v>
      </c>
      <c r="B144" s="22">
        <v>1725414014.5899999</v>
      </c>
    </row>
    <row r="145" spans="1:2" x14ac:dyDescent="0.3">
      <c r="A145" s="33">
        <v>40695</v>
      </c>
      <c r="B145" s="22">
        <v>1786661865.3699999</v>
      </c>
    </row>
    <row r="146" spans="1:2" x14ac:dyDescent="0.3">
      <c r="A146" s="34">
        <v>40725</v>
      </c>
      <c r="B146" s="22">
        <v>1773596721.24</v>
      </c>
    </row>
    <row r="147" spans="1:2" x14ac:dyDescent="0.3">
      <c r="A147" s="35">
        <v>40756</v>
      </c>
      <c r="B147" s="22">
        <v>1770802580.29</v>
      </c>
    </row>
    <row r="148" spans="1:2" x14ac:dyDescent="0.3">
      <c r="A148" s="36">
        <v>40787</v>
      </c>
      <c r="B148" s="22">
        <v>1878140343.6900001</v>
      </c>
    </row>
    <row r="149" spans="1:2" x14ac:dyDescent="0.3">
      <c r="A149" s="37">
        <v>40817</v>
      </c>
      <c r="B149" s="22">
        <v>1860381606.26</v>
      </c>
    </row>
    <row r="150" spans="1:2" x14ac:dyDescent="0.3">
      <c r="A150" s="38">
        <v>40848</v>
      </c>
      <c r="B150" s="22">
        <v>1896333581.99</v>
      </c>
    </row>
    <row r="151" spans="1:2" x14ac:dyDescent="0.3">
      <c r="A151" s="21">
        <v>40878</v>
      </c>
      <c r="B151" s="22">
        <v>2081526297.8</v>
      </c>
    </row>
    <row r="152" spans="1:2" x14ac:dyDescent="0.3">
      <c r="A152" s="25">
        <v>40909</v>
      </c>
      <c r="B152" s="22">
        <v>1977024819</v>
      </c>
    </row>
    <row r="153" spans="1:2" x14ac:dyDescent="0.3">
      <c r="A153" s="27">
        <v>40940</v>
      </c>
      <c r="B153" s="22">
        <v>1938067672.5599999</v>
      </c>
    </row>
    <row r="154" spans="1:2" x14ac:dyDescent="0.3">
      <c r="A154" s="29">
        <v>40969</v>
      </c>
      <c r="B154" s="22">
        <v>2025670843.1400001</v>
      </c>
    </row>
    <row r="155" spans="1:2" x14ac:dyDescent="0.3">
      <c r="A155" s="31">
        <v>41000</v>
      </c>
      <c r="B155" s="22">
        <v>1993418064.76</v>
      </c>
    </row>
    <row r="156" spans="1:2" x14ac:dyDescent="0.3">
      <c r="A156" s="32">
        <v>41030</v>
      </c>
      <c r="B156" s="22">
        <v>2024555007.1500001</v>
      </c>
    </row>
    <row r="157" spans="1:2" x14ac:dyDescent="0.3">
      <c r="A157" s="33">
        <v>41061</v>
      </c>
      <c r="B157" s="22">
        <v>2103633907.4300001</v>
      </c>
    </row>
    <row r="158" spans="1:2" x14ac:dyDescent="0.3">
      <c r="A158" s="34">
        <v>41091</v>
      </c>
      <c r="B158" s="22">
        <v>2045683289.55</v>
      </c>
    </row>
    <row r="159" spans="1:2" x14ac:dyDescent="0.3">
      <c r="A159" s="35">
        <v>41122</v>
      </c>
      <c r="B159" s="22">
        <v>2065560499.3099999</v>
      </c>
    </row>
    <row r="160" spans="1:2" x14ac:dyDescent="0.3">
      <c r="A160" s="36">
        <v>41153</v>
      </c>
      <c r="B160" s="22">
        <v>2076104427.9200001</v>
      </c>
    </row>
    <row r="161" spans="1:2" x14ac:dyDescent="0.3">
      <c r="A161" s="37">
        <v>41183</v>
      </c>
      <c r="B161" s="22">
        <v>2051920923.5</v>
      </c>
    </row>
    <row r="162" spans="1:2" x14ac:dyDescent="0.3">
      <c r="A162" s="38">
        <v>41214</v>
      </c>
      <c r="B162" s="22">
        <v>2134858979.5599999</v>
      </c>
    </row>
    <row r="163" spans="1:2" x14ac:dyDescent="0.3">
      <c r="A163" s="21">
        <v>41244</v>
      </c>
      <c r="B163" s="22">
        <v>2278174708.1300001</v>
      </c>
    </row>
    <row r="164" spans="1:2" x14ac:dyDescent="0.3">
      <c r="A164" s="25">
        <v>41275</v>
      </c>
      <c r="B164" s="22">
        <v>2173269542.75</v>
      </c>
    </row>
    <row r="165" spans="1:2" x14ac:dyDescent="0.3">
      <c r="A165" s="27">
        <v>41306</v>
      </c>
      <c r="B165" s="22">
        <v>2154134554.5100002</v>
      </c>
    </row>
    <row r="166" spans="1:2" x14ac:dyDescent="0.3">
      <c r="A166" s="29">
        <v>41334</v>
      </c>
      <c r="B166" s="22">
        <v>2174771786.5999999</v>
      </c>
    </row>
    <row r="167" spans="1:2" x14ac:dyDescent="0.3">
      <c r="A167" s="31">
        <v>41365</v>
      </c>
      <c r="B167" s="22">
        <v>2142217470.9200001</v>
      </c>
    </row>
    <row r="168" spans="1:2" x14ac:dyDescent="0.3">
      <c r="A168" s="32">
        <v>41395</v>
      </c>
      <c r="B168" s="22">
        <v>2171176313.6799998</v>
      </c>
    </row>
    <row r="169" spans="1:2" x14ac:dyDescent="0.3">
      <c r="A169" s="33">
        <v>41426</v>
      </c>
      <c r="B169" s="22">
        <v>2211663708.9099998</v>
      </c>
    </row>
    <row r="170" spans="1:2" x14ac:dyDescent="0.3">
      <c r="A170" s="34">
        <v>41456</v>
      </c>
      <c r="B170" s="22">
        <v>2207369360.9000001</v>
      </c>
    </row>
    <row r="171" spans="1:2" x14ac:dyDescent="0.3">
      <c r="A171" s="35">
        <v>41487</v>
      </c>
      <c r="B171" s="22">
        <v>2239638324.0999999</v>
      </c>
    </row>
    <row r="172" spans="1:2" x14ac:dyDescent="0.3">
      <c r="A172" s="36">
        <v>41518</v>
      </c>
      <c r="B172" s="22">
        <v>2245970277.9000001</v>
      </c>
    </row>
    <row r="173" spans="1:2" x14ac:dyDescent="0.3">
      <c r="A173" s="37">
        <v>41548</v>
      </c>
      <c r="B173" s="22">
        <v>2214060389.4099998</v>
      </c>
    </row>
    <row r="174" spans="1:2" x14ac:dyDescent="0.3">
      <c r="A174" s="38">
        <v>41579</v>
      </c>
      <c r="B174" s="22">
        <v>2344972158.4899998</v>
      </c>
    </row>
    <row r="175" spans="1:2" x14ac:dyDescent="0.3">
      <c r="A175" s="21">
        <v>41609</v>
      </c>
      <c r="B175" s="22">
        <v>2511368572.0700002</v>
      </c>
    </row>
    <row r="176" spans="1:2" x14ac:dyDescent="0.3">
      <c r="A176" s="25">
        <v>41640</v>
      </c>
      <c r="B176" s="22">
        <v>2453893754.6399999</v>
      </c>
    </row>
    <row r="177" spans="1:2" x14ac:dyDescent="0.3">
      <c r="A177" s="27">
        <v>41671</v>
      </c>
      <c r="B177" s="22">
        <v>2438087944.29</v>
      </c>
    </row>
    <row r="178" spans="1:2" x14ac:dyDescent="0.3">
      <c r="A178" s="29">
        <v>41699</v>
      </c>
      <c r="B178" s="22">
        <v>2445032397.04</v>
      </c>
    </row>
    <row r="179" spans="1:2" x14ac:dyDescent="0.3">
      <c r="A179" s="31">
        <v>41730</v>
      </c>
      <c r="B179" s="22">
        <v>2460979495.0999999</v>
      </c>
    </row>
    <row r="180" spans="1:2" x14ac:dyDescent="0.3">
      <c r="A180" s="32">
        <v>41760</v>
      </c>
      <c r="B180" s="22">
        <v>2489140490.9400001</v>
      </c>
    </row>
    <row r="181" spans="1:2" x14ac:dyDescent="0.3">
      <c r="A181" s="33">
        <v>41791</v>
      </c>
      <c r="B181" s="22">
        <v>2504596297.98</v>
      </c>
    </row>
    <row r="182" spans="1:2" x14ac:dyDescent="0.3">
      <c r="A182" s="34">
        <v>41821</v>
      </c>
      <c r="B182" s="22">
        <v>2531496077.4400001</v>
      </c>
    </row>
    <row r="183" spans="1:2" x14ac:dyDescent="0.3">
      <c r="A183" s="35">
        <v>41852</v>
      </c>
      <c r="B183" s="22">
        <v>2545089854.4499998</v>
      </c>
    </row>
    <row r="184" spans="1:2" x14ac:dyDescent="0.3">
      <c r="A184" s="36">
        <v>41883</v>
      </c>
      <c r="B184" s="22">
        <v>2556416712.1599998</v>
      </c>
    </row>
    <row r="185" spans="1:2" x14ac:dyDescent="0.3">
      <c r="A185" s="37">
        <v>41913</v>
      </c>
      <c r="B185" s="22">
        <v>2618525167.3600001</v>
      </c>
    </row>
    <row r="186" spans="1:2" x14ac:dyDescent="0.3">
      <c r="A186" s="38">
        <v>41944</v>
      </c>
      <c r="B186" s="22">
        <v>2711723106.4200001</v>
      </c>
    </row>
    <row r="187" spans="1:2" x14ac:dyDescent="0.3">
      <c r="A187" s="21">
        <v>41974</v>
      </c>
      <c r="B187" s="22">
        <v>2876506247</v>
      </c>
    </row>
    <row r="188" spans="1:2" x14ac:dyDescent="0.3">
      <c r="A188" s="25">
        <v>42005</v>
      </c>
      <c r="B188" s="22">
        <v>2887393058.5500002</v>
      </c>
    </row>
    <row r="189" spans="1:2" x14ac:dyDescent="0.3">
      <c r="A189" s="27">
        <v>42036</v>
      </c>
      <c r="B189" s="22">
        <v>2869132683.3699999</v>
      </c>
    </row>
    <row r="190" spans="1:2" x14ac:dyDescent="0.3">
      <c r="A190" s="29">
        <v>42064</v>
      </c>
      <c r="B190" s="22">
        <v>2884130823.5599999</v>
      </c>
    </row>
    <row r="191" spans="1:2" x14ac:dyDescent="0.3">
      <c r="A191" s="31">
        <v>42095</v>
      </c>
      <c r="B191" s="22">
        <v>2922876605.2600002</v>
      </c>
    </row>
    <row r="192" spans="1:2" x14ac:dyDescent="0.3">
      <c r="A192" s="32">
        <v>42125</v>
      </c>
      <c r="B192" s="22">
        <v>2941241424.77</v>
      </c>
    </row>
    <row r="193" spans="1:2" x14ac:dyDescent="0.3">
      <c r="A193" s="33">
        <v>42156</v>
      </c>
      <c r="B193" s="22">
        <v>2967522802.3400002</v>
      </c>
    </row>
    <row r="194" spans="1:2" x14ac:dyDescent="0.3">
      <c r="A194" s="34">
        <v>42186</v>
      </c>
      <c r="B194" s="22">
        <v>3023155177.6999998</v>
      </c>
    </row>
    <row r="195" spans="1:2" x14ac:dyDescent="0.3">
      <c r="A195" s="35">
        <v>42217</v>
      </c>
      <c r="B195" s="22">
        <v>3052866100.9499998</v>
      </c>
    </row>
    <row r="196" spans="1:2" x14ac:dyDescent="0.3">
      <c r="A196" s="36">
        <v>42248</v>
      </c>
      <c r="B196" s="22">
        <v>3056561053.0100002</v>
      </c>
    </row>
    <row r="197" spans="1:2" x14ac:dyDescent="0.3">
      <c r="A197" s="37">
        <v>42278</v>
      </c>
      <c r="B197" s="22">
        <v>3103509534.7399998</v>
      </c>
    </row>
    <row r="198" spans="1:2" x14ac:dyDescent="0.3">
      <c r="A198" s="38">
        <v>42309</v>
      </c>
      <c r="B198" s="22">
        <v>3129911043.1199999</v>
      </c>
    </row>
    <row r="199" spans="1:2" x14ac:dyDescent="0.3">
      <c r="A199" s="21">
        <v>42339</v>
      </c>
      <c r="B199" s="22">
        <v>3348743499.9000001</v>
      </c>
    </row>
    <row r="200" spans="1:2" x14ac:dyDescent="0.3">
      <c r="A200" s="25">
        <v>42370</v>
      </c>
      <c r="B200" s="22">
        <v>3296228415.4200001</v>
      </c>
    </row>
    <row r="201" spans="1:2" x14ac:dyDescent="0.3">
      <c r="A201" s="27">
        <v>42401</v>
      </c>
      <c r="B201" s="22">
        <v>3272357665.54</v>
      </c>
    </row>
    <row r="202" spans="1:2" x14ac:dyDescent="0.3">
      <c r="A202" s="29">
        <v>42430</v>
      </c>
      <c r="B202" s="22">
        <v>3301177620.5700002</v>
      </c>
    </row>
    <row r="203" spans="1:2" x14ac:dyDescent="0.3">
      <c r="A203" s="31">
        <v>42461</v>
      </c>
      <c r="B203" s="22">
        <v>3318515720.8299999</v>
      </c>
    </row>
    <row r="204" spans="1:2" x14ac:dyDescent="0.3">
      <c r="A204" s="32">
        <v>42491</v>
      </c>
      <c r="B204" s="22">
        <v>3381895447.0100002</v>
      </c>
    </row>
    <row r="205" spans="1:2" x14ac:dyDescent="0.3">
      <c r="A205" s="33">
        <v>42522</v>
      </c>
      <c r="B205" s="22">
        <v>3440349801.3000002</v>
      </c>
    </row>
    <row r="206" spans="1:2" x14ac:dyDescent="0.3">
      <c r="A206" s="34">
        <v>42552</v>
      </c>
      <c r="B206" s="22">
        <v>3456182318.3899999</v>
      </c>
    </row>
    <row r="207" spans="1:2" x14ac:dyDescent="0.3">
      <c r="A207" s="35">
        <v>42583</v>
      </c>
      <c r="B207" s="22">
        <v>3469969233.8800001</v>
      </c>
    </row>
    <row r="208" spans="1:2" x14ac:dyDescent="0.3">
      <c r="A208" s="36">
        <v>42614</v>
      </c>
      <c r="B208" s="22">
        <v>3488334774.98</v>
      </c>
    </row>
    <row r="209" spans="1:2" x14ac:dyDescent="0.3">
      <c r="A209" s="37">
        <v>42644</v>
      </c>
      <c r="B209" s="22">
        <v>3513857741.25</v>
      </c>
    </row>
    <row r="210" spans="1:2" x14ac:dyDescent="0.3">
      <c r="A210" s="38">
        <v>42675</v>
      </c>
      <c r="B210" s="22">
        <v>3650474084.96</v>
      </c>
    </row>
    <row r="211" spans="1:2" x14ac:dyDescent="0.3">
      <c r="A211" s="21">
        <v>42705</v>
      </c>
      <c r="B211" s="22">
        <v>3868310952.3800001</v>
      </c>
    </row>
    <row r="212" spans="1:2" x14ac:dyDescent="0.3">
      <c r="A212" s="25">
        <v>42736</v>
      </c>
      <c r="B212" s="22">
        <v>3811392752.3499999</v>
      </c>
    </row>
    <row r="213" spans="1:2" x14ac:dyDescent="0.3">
      <c r="A213" s="27">
        <v>42767</v>
      </c>
      <c r="B213" s="22">
        <v>3798023997.5500002</v>
      </c>
    </row>
    <row r="214" spans="1:2" x14ac:dyDescent="0.3">
      <c r="A214" s="29">
        <v>42795</v>
      </c>
      <c r="B214" s="22">
        <v>3783838369.4200001</v>
      </c>
    </row>
    <row r="215" spans="1:2" x14ac:dyDescent="0.3">
      <c r="A215" s="31">
        <v>42826</v>
      </c>
      <c r="B215" s="22">
        <v>3812359642.5</v>
      </c>
    </row>
    <row r="216" spans="1:2" x14ac:dyDescent="0.3">
      <c r="A216" s="32">
        <v>42856</v>
      </c>
      <c r="B216" s="22">
        <v>3739860927.6799998</v>
      </c>
    </row>
    <row r="217" spans="1:2" x14ac:dyDescent="0.3">
      <c r="A217" s="33">
        <v>42887</v>
      </c>
      <c r="B217" s="22">
        <v>3805689580.4000001</v>
      </c>
    </row>
    <row r="218" spans="1:2" x14ac:dyDescent="0.3">
      <c r="A218" s="34">
        <v>42917</v>
      </c>
      <c r="B218" s="22">
        <v>3822383203.04</v>
      </c>
    </row>
    <row r="219" spans="1:2" x14ac:dyDescent="0.3">
      <c r="A219" s="35">
        <v>42948</v>
      </c>
      <c r="B219" s="22">
        <v>3777435858.4000001</v>
      </c>
    </row>
    <row r="220" spans="1:2" x14ac:dyDescent="0.3">
      <c r="A220" s="36">
        <v>42979</v>
      </c>
      <c r="B220" s="22">
        <v>3859419791.2199998</v>
      </c>
    </row>
    <row r="221" spans="1:2" x14ac:dyDescent="0.3">
      <c r="A221" s="37">
        <v>43009</v>
      </c>
      <c r="B221" s="22">
        <v>3920568309.0100002</v>
      </c>
    </row>
    <row r="222" spans="1:2" x14ac:dyDescent="0.3">
      <c r="A222" s="38">
        <v>43040</v>
      </c>
      <c r="B222" s="22">
        <v>3994732947.1900001</v>
      </c>
    </row>
    <row r="223" spans="1:2" x14ac:dyDescent="0.3">
      <c r="A223" s="21">
        <v>43070</v>
      </c>
      <c r="B223" s="22">
        <v>4264017581.9699998</v>
      </c>
    </row>
    <row r="224" spans="1:2" x14ac:dyDescent="0.3">
      <c r="A224" s="25">
        <v>43101</v>
      </c>
      <c r="B224" s="22">
        <v>4075871703.8499999</v>
      </c>
    </row>
    <row r="225" spans="1:2" x14ac:dyDescent="0.3">
      <c r="A225" s="27">
        <v>43132</v>
      </c>
      <c r="B225" s="22">
        <v>4075774260.9899998</v>
      </c>
    </row>
    <row r="226" spans="1:2" x14ac:dyDescent="0.3">
      <c r="A226" s="29">
        <v>43160</v>
      </c>
      <c r="B226" s="22">
        <v>4138523788.2800002</v>
      </c>
    </row>
    <row r="227" spans="1:2" x14ac:dyDescent="0.3">
      <c r="A227" s="31">
        <v>43191</v>
      </c>
      <c r="B227" s="22">
        <v>4142745967.1399999</v>
      </c>
    </row>
    <row r="228" spans="1:2" x14ac:dyDescent="0.3">
      <c r="A228" s="32">
        <v>43221</v>
      </c>
      <c r="B228" s="22">
        <v>4154520320.4499998</v>
      </c>
    </row>
    <row r="229" spans="1:2" x14ac:dyDescent="0.3">
      <c r="A229" s="33">
        <v>43252</v>
      </c>
      <c r="B229" s="22">
        <v>4286011488.3699999</v>
      </c>
    </row>
    <row r="230" spans="1:2" x14ac:dyDescent="0.3">
      <c r="A230" s="34">
        <v>43282</v>
      </c>
      <c r="B230" s="22">
        <v>4173476691.6500001</v>
      </c>
    </row>
    <row r="231" spans="1:2" x14ac:dyDescent="0.3">
      <c r="A231" s="35">
        <v>43313</v>
      </c>
      <c r="B231" s="22">
        <v>4197524436.4200001</v>
      </c>
    </row>
    <row r="232" spans="1:2" x14ac:dyDescent="0.3">
      <c r="A232" s="36">
        <v>43344</v>
      </c>
      <c r="B232" s="22">
        <v>4159127404.1300001</v>
      </c>
    </row>
    <row r="233" spans="1:2" x14ac:dyDescent="0.3">
      <c r="A233" s="37">
        <v>43374</v>
      </c>
      <c r="B233" s="22">
        <v>4204528593.23</v>
      </c>
    </row>
    <row r="234" spans="1:2" x14ac:dyDescent="0.3">
      <c r="A234" s="38">
        <v>43405</v>
      </c>
      <c r="B234" s="22">
        <v>4350488324.3299999</v>
      </c>
    </row>
    <row r="235" spans="1:2" x14ac:dyDescent="0.3">
      <c r="A235" s="21">
        <v>43435</v>
      </c>
      <c r="B235" s="22">
        <v>4492216319.6199999</v>
      </c>
    </row>
    <row r="236" spans="1:2" x14ac:dyDescent="0.3">
      <c r="A236" s="25">
        <v>43466</v>
      </c>
      <c r="B236" s="22">
        <v>4323954421.0500002</v>
      </c>
    </row>
    <row r="237" spans="1:2" x14ac:dyDescent="0.3">
      <c r="A237" s="27">
        <v>43497</v>
      </c>
      <c r="B237" s="22">
        <v>4306875852.8000002</v>
      </c>
    </row>
    <row r="238" spans="1:2" x14ac:dyDescent="0.3">
      <c r="A238" s="29">
        <v>43525</v>
      </c>
      <c r="B238" s="22">
        <v>4315849487.1599998</v>
      </c>
    </row>
    <row r="239" spans="1:2" x14ac:dyDescent="0.3">
      <c r="A239" s="31">
        <v>43556</v>
      </c>
      <c r="B239" s="22">
        <v>4290374415.0599999</v>
      </c>
    </row>
    <row r="240" spans="1:2" x14ac:dyDescent="0.3">
      <c r="A240" s="32">
        <v>43586</v>
      </c>
      <c r="B240" s="22">
        <v>4338162025.54</v>
      </c>
    </row>
    <row r="241" spans="1:2" x14ac:dyDescent="0.3">
      <c r="A241" s="33">
        <v>43617</v>
      </c>
      <c r="B241" s="22">
        <v>4351788055.1999998</v>
      </c>
    </row>
    <row r="242" spans="1:2" x14ac:dyDescent="0.3">
      <c r="A242" s="34">
        <v>43647</v>
      </c>
      <c r="B242" s="22">
        <v>4311122441.7600002</v>
      </c>
    </row>
    <row r="243" spans="1:2" x14ac:dyDescent="0.3">
      <c r="A243" s="35">
        <v>43678</v>
      </c>
      <c r="B243" s="22">
        <v>4390415277.6800003</v>
      </c>
    </row>
    <row r="244" spans="1:2" x14ac:dyDescent="0.3">
      <c r="A244" s="36">
        <v>43709</v>
      </c>
      <c r="B244" s="22">
        <v>4331168999.2600002</v>
      </c>
    </row>
    <row r="245" spans="1:2" x14ac:dyDescent="0.3">
      <c r="A245" s="37">
        <v>43739</v>
      </c>
      <c r="B245" s="22">
        <v>4337305969.8999996</v>
      </c>
    </row>
    <row r="246" spans="1:2" x14ac:dyDescent="0.3">
      <c r="A246" s="38">
        <v>43770</v>
      </c>
      <c r="B246" s="22">
        <v>4511911114.1199999</v>
      </c>
    </row>
    <row r="247" spans="1:2" x14ac:dyDescent="0.3">
      <c r="A247" s="21">
        <v>43800</v>
      </c>
      <c r="B247" s="22">
        <v>4702035012.0500002</v>
      </c>
    </row>
    <row r="248" spans="1:2" x14ac:dyDescent="0.3">
      <c r="A248" s="25">
        <v>43831</v>
      </c>
      <c r="B248" s="22">
        <v>4556118434.1000004</v>
      </c>
    </row>
    <row r="249" spans="1:2" x14ac:dyDescent="0.3">
      <c r="A249" s="27">
        <v>43862</v>
      </c>
      <c r="B249" s="22">
        <v>4600700186.3599997</v>
      </c>
    </row>
    <row r="250" spans="1:2" x14ac:dyDescent="0.3">
      <c r="A250" s="29">
        <v>43891</v>
      </c>
      <c r="B250" s="22">
        <v>4874195864.9499998</v>
      </c>
    </row>
    <row r="251" spans="1:2" x14ac:dyDescent="0.3">
      <c r="A251" s="31">
        <v>43922</v>
      </c>
      <c r="B251" s="22">
        <v>5109698027.5799999</v>
      </c>
    </row>
    <row r="252" spans="1:2" x14ac:dyDescent="0.3">
      <c r="A252" s="32">
        <v>43952</v>
      </c>
      <c r="B252" s="22">
        <v>5157284139.8199997</v>
      </c>
    </row>
    <row r="253" spans="1:2" x14ac:dyDescent="0.3">
      <c r="A253" s="33">
        <v>43983</v>
      </c>
      <c r="B253" s="22">
        <v>5173582445.5100002</v>
      </c>
    </row>
    <row r="254" spans="1:2" x14ac:dyDescent="0.3">
      <c r="A254" s="34">
        <v>44013</v>
      </c>
      <c r="B254" s="22">
        <v>5246041226.2399998</v>
      </c>
    </row>
    <row r="255" spans="1:2" x14ac:dyDescent="0.3">
      <c r="A255" s="35">
        <v>44044</v>
      </c>
      <c r="B255" s="22">
        <v>5244100368.54</v>
      </c>
    </row>
    <row r="256" spans="1:2" x14ac:dyDescent="0.3">
      <c r="A256" s="36">
        <v>44075</v>
      </c>
      <c r="B256" s="22">
        <v>5223455851.0200005</v>
      </c>
    </row>
    <row r="257" spans="1:2" x14ac:dyDescent="0.3">
      <c r="A257" s="37">
        <v>44105</v>
      </c>
      <c r="B257" s="22">
        <v>5329239333.9799995</v>
      </c>
    </row>
    <row r="258" spans="1:2" x14ac:dyDescent="0.3">
      <c r="A258" s="38">
        <v>44136</v>
      </c>
      <c r="B258" s="22">
        <v>5384565666.96</v>
      </c>
    </row>
    <row r="259" spans="1:2" x14ac:dyDescent="0.3">
      <c r="A259" s="21">
        <v>44166</v>
      </c>
      <c r="B259" s="22">
        <v>5645704961.0699997</v>
      </c>
    </row>
    <row r="260" spans="1:2" x14ac:dyDescent="0.3">
      <c r="A260" s="25">
        <v>44197</v>
      </c>
      <c r="B260" s="22">
        <v>5589227605.04</v>
      </c>
    </row>
    <row r="261" spans="1:2" x14ac:dyDescent="0.3">
      <c r="A261" s="27">
        <v>44228</v>
      </c>
      <c r="B261" s="22">
        <v>5581783983.3999996</v>
      </c>
    </row>
    <row r="262" spans="1:2" x14ac:dyDescent="0.3">
      <c r="A262" s="29">
        <v>44256</v>
      </c>
      <c r="B262" s="22">
        <v>5692423852.1300001</v>
      </c>
    </row>
    <row r="263" spans="1:2" x14ac:dyDescent="0.3">
      <c r="A263" s="31">
        <v>44287</v>
      </c>
      <c r="B263" s="22">
        <v>5698798441.5299997</v>
      </c>
    </row>
    <row r="264" spans="1:2" x14ac:dyDescent="0.3">
      <c r="A264" s="32">
        <v>44317</v>
      </c>
      <c r="B264" s="22">
        <v>5717440525.3199997</v>
      </c>
    </row>
    <row r="265" spans="1:2" x14ac:dyDescent="0.3">
      <c r="A265" s="33">
        <v>44348</v>
      </c>
      <c r="B265" s="22">
        <v>5758688675.2799997</v>
      </c>
    </row>
    <row r="266" spans="1:2" x14ac:dyDescent="0.3">
      <c r="A266" s="34">
        <v>44378</v>
      </c>
      <c r="B266" s="22">
        <v>5868894949.5600004</v>
      </c>
    </row>
    <row r="267" spans="1:2" x14ac:dyDescent="0.3">
      <c r="A267" s="35">
        <v>44409</v>
      </c>
      <c r="B267" s="22">
        <v>5854176324.5100002</v>
      </c>
    </row>
    <row r="268" spans="1:2" x14ac:dyDescent="0.3">
      <c r="A268" s="36">
        <v>44440</v>
      </c>
      <c r="B268" s="22">
        <v>5880840328.3999996</v>
      </c>
    </row>
    <row r="269" spans="1:2" x14ac:dyDescent="0.3">
      <c r="A269" s="37">
        <v>44470</v>
      </c>
      <c r="B269" s="22">
        <v>5936065869.6499996</v>
      </c>
    </row>
    <row r="270" spans="1:2" x14ac:dyDescent="0.3">
      <c r="A270" s="38">
        <v>44501</v>
      </c>
      <c r="B270" s="22">
        <v>6105346298.0600004</v>
      </c>
    </row>
    <row r="271" spans="1:2" x14ac:dyDescent="0.3">
      <c r="A271" s="21">
        <v>44531</v>
      </c>
      <c r="B271" s="22">
        <v>6377133888.75</v>
      </c>
    </row>
    <row r="272" spans="1:2" x14ac:dyDescent="0.3">
      <c r="A272" s="25">
        <v>44562</v>
      </c>
      <c r="B272" s="22">
        <v>6297482085.3900003</v>
      </c>
    </row>
    <row r="273" spans="1:2" x14ac:dyDescent="0.3">
      <c r="A273" s="27">
        <v>44593</v>
      </c>
      <c r="B273" s="22">
        <v>6368246316.4300003</v>
      </c>
    </row>
    <row r="274" spans="1:2" x14ac:dyDescent="0.3">
      <c r="A274" s="29">
        <v>44621</v>
      </c>
      <c r="B274" s="22">
        <v>6352134445.5</v>
      </c>
    </row>
    <row r="275" spans="1:2" x14ac:dyDescent="0.3">
      <c r="A275" s="31">
        <v>44652</v>
      </c>
      <c r="B275" s="22">
        <v>6428968873.1499996</v>
      </c>
    </row>
    <row r="276" spans="1:2" x14ac:dyDescent="0.3">
      <c r="A276" s="32">
        <v>44682</v>
      </c>
      <c r="B276" s="22">
        <v>6419320095.6400003</v>
      </c>
    </row>
    <row r="277" spans="1:2" x14ac:dyDescent="0.3">
      <c r="A277" s="33">
        <v>44713</v>
      </c>
      <c r="B277" s="22">
        <v>6459704343.1499996</v>
      </c>
    </row>
    <row r="278" spans="1:2" x14ac:dyDescent="0.3">
      <c r="A278" s="34">
        <v>44743</v>
      </c>
      <c r="B278" s="22">
        <v>6511144564.6800003</v>
      </c>
    </row>
    <row r="279" spans="1:2" x14ac:dyDescent="0.3">
      <c r="A279" s="35">
        <v>44774</v>
      </c>
      <c r="B279" s="22">
        <v>6447116014.3100004</v>
      </c>
    </row>
    <row r="280" spans="1:2" x14ac:dyDescent="0.3">
      <c r="A280" s="36">
        <v>44805</v>
      </c>
      <c r="B280" s="22">
        <v>6436513271.79</v>
      </c>
    </row>
    <row r="281" spans="1:2" x14ac:dyDescent="0.3">
      <c r="A281" s="37">
        <v>44835</v>
      </c>
      <c r="B281" s="22">
        <v>6488318838.8900003</v>
      </c>
    </row>
    <row r="282" spans="1:2" x14ac:dyDescent="0.3">
      <c r="A282" s="38">
        <v>44866</v>
      </c>
      <c r="B282" s="22">
        <v>6602502771.21</v>
      </c>
    </row>
    <row r="283" spans="1:2" x14ac:dyDescent="0.3">
      <c r="A283" s="21">
        <v>44896</v>
      </c>
      <c r="B283" s="22">
        <v>6926065214.5900002</v>
      </c>
    </row>
    <row r="284" spans="1:2" x14ac:dyDescent="0.3">
      <c r="A284" s="25">
        <v>44927</v>
      </c>
      <c r="B284" s="22">
        <v>6670315372.9700003</v>
      </c>
    </row>
    <row r="285" spans="1:2" x14ac:dyDescent="0.3">
      <c r="A285" s="27">
        <v>44958</v>
      </c>
      <c r="B285" s="22">
        <v>6639864718.3599997</v>
      </c>
    </row>
    <row r="286" spans="1:2" x14ac:dyDescent="0.3">
      <c r="A286" s="29">
        <v>44986</v>
      </c>
      <c r="B286" s="22">
        <v>6650740110.3199997</v>
      </c>
    </row>
    <row r="287" spans="1:2" x14ac:dyDescent="0.3">
      <c r="A287" s="31">
        <v>45017</v>
      </c>
      <c r="B287" s="22">
        <v>6674672356.4700003</v>
      </c>
    </row>
    <row r="288" spans="1:2" x14ac:dyDescent="0.3">
      <c r="A288" s="32">
        <v>45047</v>
      </c>
      <c r="B288" s="22">
        <v>6679350987.5799999</v>
      </c>
    </row>
    <row r="289" spans="1:2" x14ac:dyDescent="0.3">
      <c r="A289" s="33">
        <v>45078</v>
      </c>
      <c r="B289" s="22">
        <v>6741457180.8299999</v>
      </c>
    </row>
    <row r="290" spans="1:2" x14ac:dyDescent="0.3">
      <c r="A290" s="34">
        <v>45108</v>
      </c>
      <c r="B290" s="22">
        <v>6810745353.5</v>
      </c>
    </row>
    <row r="291" spans="1:2" x14ac:dyDescent="0.3">
      <c r="A291" s="35">
        <v>45139</v>
      </c>
      <c r="B291" s="22">
        <v>6811960060.9099998</v>
      </c>
    </row>
    <row r="292" spans="1:2" x14ac:dyDescent="0.3">
      <c r="A292" s="36">
        <v>45170</v>
      </c>
      <c r="B292" s="22">
        <v>6850744488.6599998</v>
      </c>
    </row>
    <row r="293" spans="1:2" x14ac:dyDescent="0.3">
      <c r="A293" s="37">
        <v>45200</v>
      </c>
      <c r="B293" s="22">
        <v>6953980120.6199999</v>
      </c>
    </row>
    <row r="294" spans="1:2" x14ac:dyDescent="0.3">
      <c r="A294" s="38">
        <v>45231</v>
      </c>
      <c r="B294" s="22">
        <v>7109144829.0900002</v>
      </c>
    </row>
    <row r="295" spans="1:2" x14ac:dyDescent="0.3">
      <c r="A295" s="21">
        <v>45261</v>
      </c>
      <c r="B295" s="22">
        <v>7442319163.2200003</v>
      </c>
    </row>
    <row r="296" spans="1:2" x14ac:dyDescent="0.3">
      <c r="A296" s="25">
        <v>45292</v>
      </c>
      <c r="B296" s="22">
        <v>7281862183.7600002</v>
      </c>
    </row>
    <row r="297" spans="1:2" x14ac:dyDescent="0.3">
      <c r="A297" s="27">
        <v>45323</v>
      </c>
      <c r="B297" s="22">
        <v>7422935452.25</v>
      </c>
    </row>
    <row r="298" spans="1:2" x14ac:dyDescent="0.3">
      <c r="A298" s="29">
        <v>45352</v>
      </c>
      <c r="B298" s="22">
        <v>7445688555.9099998</v>
      </c>
    </row>
    <row r="299" spans="1:2" x14ac:dyDescent="0.3">
      <c r="A299" s="31">
        <v>45383</v>
      </c>
      <c r="B299" s="22">
        <v>7344490797.9200001</v>
      </c>
    </row>
    <row r="300" spans="1:2" x14ac:dyDescent="0.3">
      <c r="A300" s="32">
        <v>45413</v>
      </c>
      <c r="B300" s="22">
        <v>7417060185.5500002</v>
      </c>
    </row>
    <row r="301" spans="1:2" x14ac:dyDescent="0.3">
      <c r="A301" s="33">
        <v>45444</v>
      </c>
      <c r="B301" s="22">
        <v>7509316809.5699997</v>
      </c>
    </row>
    <row r="302" spans="1:2" x14ac:dyDescent="0.3">
      <c r="A302" s="34">
        <v>45474</v>
      </c>
      <c r="B302" s="22">
        <v>7517595351.2299995</v>
      </c>
    </row>
    <row r="303" spans="1:2" x14ac:dyDescent="0.3">
      <c r="A303" s="35">
        <v>45505</v>
      </c>
      <c r="B303" s="22">
        <v>7601890449.8100004</v>
      </c>
    </row>
    <row r="304" spans="1:2" x14ac:dyDescent="0.3">
      <c r="A304" s="36">
        <v>45536</v>
      </c>
      <c r="B304" s="22">
        <v>7620776900.29</v>
      </c>
    </row>
    <row r="305" spans="1:2" x14ac:dyDescent="0.3">
      <c r="A305" s="37">
        <v>45566</v>
      </c>
      <c r="B305" s="22">
        <v>7667574679.4399996</v>
      </c>
    </row>
    <row r="306" spans="1:2" x14ac:dyDescent="0.3">
      <c r="A306" s="38">
        <v>45597</v>
      </c>
      <c r="B306" s="22">
        <v>7962476750.3599997</v>
      </c>
    </row>
    <row r="307" spans="1:2" x14ac:dyDescent="0.3">
      <c r="A307" s="21">
        <v>45627</v>
      </c>
      <c r="B307" s="22">
        <v>8304519124.4300003</v>
      </c>
    </row>
    <row r="308" spans="1:2" x14ac:dyDescent="0.3">
      <c r="A308" s="25">
        <v>45658</v>
      </c>
      <c r="B308" s="22">
        <v>8076727183.4399996</v>
      </c>
    </row>
    <row r="309" spans="1:2" x14ac:dyDescent="0.3">
      <c r="A309" s="27">
        <v>45689</v>
      </c>
      <c r="B309" s="22">
        <v>8044725659.29</v>
      </c>
    </row>
    <row r="310" spans="1:2" x14ac:dyDescent="0.3">
      <c r="A310" s="29">
        <v>45717</v>
      </c>
      <c r="B310" s="22">
        <v>7984231934.8299999</v>
      </c>
    </row>
    <row r="311" spans="1:2" x14ac:dyDescent="0.3">
      <c r="A311" s="31">
        <v>45748</v>
      </c>
      <c r="B311" s="22">
        <v>8009280760.8299999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503D-A68F-4EE5-A6E6-A7A0E48F67E0}">
  <dimension ref="A1:B147"/>
  <sheetViews>
    <sheetView workbookViewId="0"/>
  </sheetViews>
  <sheetFormatPr defaultRowHeight="14.4" x14ac:dyDescent="0.3"/>
  <cols>
    <col min="1" max="1" width="15" customWidth="1"/>
    <col min="2" max="2" width="31.109375" customWidth="1"/>
  </cols>
  <sheetData>
    <row r="1" spans="1:2" ht="18" x14ac:dyDescent="0.35">
      <c r="A1" s="12" t="s">
        <v>0</v>
      </c>
    </row>
    <row r="3" spans="1:2" x14ac:dyDescent="0.3">
      <c r="A3" s="13" t="s">
        <v>1</v>
      </c>
    </row>
    <row r="4" spans="1:2" x14ac:dyDescent="0.3">
      <c r="A4" s="14" t="s">
        <v>115</v>
      </c>
    </row>
    <row r="6" spans="1:2" x14ac:dyDescent="0.3">
      <c r="A6" s="13" t="s">
        <v>116</v>
      </c>
    </row>
    <row r="10" spans="1:2" ht="28.8" x14ac:dyDescent="0.3">
      <c r="A10" s="15" t="s">
        <v>2</v>
      </c>
      <c r="B10" s="16" t="s">
        <v>3</v>
      </c>
    </row>
    <row r="11" spans="1:2" ht="28.8" x14ac:dyDescent="0.3">
      <c r="A11" s="15" t="s">
        <v>4</v>
      </c>
      <c r="B11" s="17" t="s">
        <v>5</v>
      </c>
    </row>
    <row r="12" spans="1:2" x14ac:dyDescent="0.3">
      <c r="A12" s="15" t="s">
        <v>6</v>
      </c>
      <c r="B12" s="17" t="s">
        <v>7</v>
      </c>
    </row>
    <row r="13" spans="1:2" x14ac:dyDescent="0.3">
      <c r="A13" s="15" t="s">
        <v>8</v>
      </c>
      <c r="B13" s="17" t="s">
        <v>9</v>
      </c>
    </row>
    <row r="14" spans="1:2" x14ac:dyDescent="0.3">
      <c r="A14" s="15" t="s">
        <v>10</v>
      </c>
      <c r="B14" s="17" t="s">
        <v>11</v>
      </c>
    </row>
    <row r="15" spans="1:2" x14ac:dyDescent="0.3">
      <c r="A15" s="15" t="s">
        <v>12</v>
      </c>
      <c r="B15" s="17" t="s">
        <v>13</v>
      </c>
    </row>
    <row r="16" spans="1:2" x14ac:dyDescent="0.3">
      <c r="A16" s="15" t="s">
        <v>14</v>
      </c>
      <c r="B16" s="18"/>
    </row>
    <row r="17" spans="1:2" ht="28.8" x14ac:dyDescent="0.3">
      <c r="A17" s="15" t="s">
        <v>15</v>
      </c>
      <c r="B17" s="17" t="s">
        <v>16</v>
      </c>
    </row>
    <row r="18" spans="1:2" x14ac:dyDescent="0.3">
      <c r="A18" s="19" t="s">
        <v>17</v>
      </c>
      <c r="B18" s="20" t="s">
        <v>117</v>
      </c>
    </row>
    <row r="19" spans="1:2" x14ac:dyDescent="0.3">
      <c r="A19" s="23">
        <v>33970</v>
      </c>
      <c r="B19" s="39">
        <v>1591205.3</v>
      </c>
    </row>
    <row r="20" spans="1:2" x14ac:dyDescent="0.3">
      <c r="A20" s="26">
        <v>34060</v>
      </c>
      <c r="B20" s="39">
        <v>1645078.9</v>
      </c>
    </row>
    <row r="21" spans="1:2" x14ac:dyDescent="0.3">
      <c r="A21" s="28">
        <v>34151</v>
      </c>
      <c r="B21" s="39">
        <v>1662210</v>
      </c>
    </row>
    <row r="22" spans="1:2" x14ac:dyDescent="0.3">
      <c r="A22" s="30">
        <v>34243</v>
      </c>
      <c r="B22" s="39">
        <v>1708617.4</v>
      </c>
    </row>
    <row r="23" spans="1:2" x14ac:dyDescent="0.3">
      <c r="A23" s="23">
        <v>34335</v>
      </c>
      <c r="B23" s="39">
        <v>1750226.2</v>
      </c>
    </row>
    <row r="24" spans="1:2" x14ac:dyDescent="0.3">
      <c r="A24" s="26">
        <v>34425</v>
      </c>
      <c r="B24" s="39">
        <v>1864368.8</v>
      </c>
    </row>
    <row r="25" spans="1:2" x14ac:dyDescent="0.3">
      <c r="A25" s="28">
        <v>34516</v>
      </c>
      <c r="B25" s="39">
        <v>1878101.8</v>
      </c>
    </row>
    <row r="26" spans="1:2" x14ac:dyDescent="0.3">
      <c r="A26" s="30">
        <v>34608</v>
      </c>
      <c r="B26" s="39">
        <v>1981408.6</v>
      </c>
    </row>
    <row r="27" spans="1:2" x14ac:dyDescent="0.3">
      <c r="A27" s="23">
        <v>34700</v>
      </c>
      <c r="B27" s="39">
        <v>2126220.5</v>
      </c>
    </row>
    <row r="28" spans="1:2" x14ac:dyDescent="0.3">
      <c r="A28" s="26">
        <v>34790</v>
      </c>
      <c r="B28" s="39">
        <v>2356508.4</v>
      </c>
    </row>
    <row r="29" spans="1:2" x14ac:dyDescent="0.3">
      <c r="A29" s="28">
        <v>34881</v>
      </c>
      <c r="B29" s="39">
        <v>2504153</v>
      </c>
    </row>
    <row r="30" spans="1:2" x14ac:dyDescent="0.3">
      <c r="A30" s="30">
        <v>34973</v>
      </c>
      <c r="B30" s="39">
        <v>2774687.6</v>
      </c>
    </row>
    <row r="31" spans="1:2" x14ac:dyDescent="0.3">
      <c r="A31" s="23">
        <v>35065</v>
      </c>
      <c r="B31" s="39">
        <v>3014208.7</v>
      </c>
    </row>
    <row r="32" spans="1:2" x14ac:dyDescent="0.3">
      <c r="A32" s="26">
        <v>35156</v>
      </c>
      <c r="B32" s="39">
        <v>3185547.2</v>
      </c>
    </row>
    <row r="33" spans="1:2" x14ac:dyDescent="0.3">
      <c r="A33" s="28">
        <v>35247</v>
      </c>
      <c r="B33" s="39">
        <v>3309766.9</v>
      </c>
    </row>
    <row r="34" spans="1:2" x14ac:dyDescent="0.3">
      <c r="A34" s="30">
        <v>35339</v>
      </c>
      <c r="B34" s="39">
        <v>3627124.5</v>
      </c>
    </row>
    <row r="35" spans="1:2" x14ac:dyDescent="0.3">
      <c r="A35" s="23">
        <v>35431</v>
      </c>
      <c r="B35" s="39">
        <v>3756065.1</v>
      </c>
    </row>
    <row r="36" spans="1:2" x14ac:dyDescent="0.3">
      <c r="A36" s="26">
        <v>35521</v>
      </c>
      <c r="B36" s="39">
        <v>4058874.2</v>
      </c>
    </row>
    <row r="37" spans="1:2" x14ac:dyDescent="0.3">
      <c r="A37" s="28">
        <v>35612</v>
      </c>
      <c r="B37" s="39">
        <v>4203179.3</v>
      </c>
    </row>
    <row r="38" spans="1:2" x14ac:dyDescent="0.3">
      <c r="A38" s="30">
        <v>35704</v>
      </c>
      <c r="B38" s="39">
        <v>4561538</v>
      </c>
    </row>
    <row r="39" spans="1:2" x14ac:dyDescent="0.3">
      <c r="A39" s="23">
        <v>35796</v>
      </c>
      <c r="B39" s="39">
        <v>4764071.0999999996</v>
      </c>
    </row>
    <row r="40" spans="1:2" x14ac:dyDescent="0.3">
      <c r="A40" s="26">
        <v>35886</v>
      </c>
      <c r="B40" s="39">
        <v>4997073.0999999996</v>
      </c>
    </row>
    <row r="41" spans="1:2" x14ac:dyDescent="0.3">
      <c r="A41" s="28">
        <v>35977</v>
      </c>
      <c r="B41" s="39">
        <v>5181379</v>
      </c>
    </row>
    <row r="42" spans="1:2" x14ac:dyDescent="0.3">
      <c r="A42" s="30">
        <v>36069</v>
      </c>
      <c r="B42" s="39">
        <v>5429429</v>
      </c>
    </row>
    <row r="43" spans="1:2" x14ac:dyDescent="0.3">
      <c r="A43" s="23">
        <v>36161</v>
      </c>
      <c r="B43" s="39">
        <v>5661869.2000000002</v>
      </c>
    </row>
    <row r="44" spans="1:2" x14ac:dyDescent="0.3">
      <c r="A44" s="26">
        <v>36251</v>
      </c>
      <c r="B44" s="39">
        <v>5934314.2999999998</v>
      </c>
    </row>
    <row r="45" spans="1:2" x14ac:dyDescent="0.3">
      <c r="A45" s="28">
        <v>36342</v>
      </c>
      <c r="B45" s="39">
        <v>6162128.2999999998</v>
      </c>
    </row>
    <row r="46" spans="1:2" x14ac:dyDescent="0.3">
      <c r="A46" s="30">
        <v>36434</v>
      </c>
      <c r="B46" s="39">
        <v>6381668.7000000002</v>
      </c>
    </row>
    <row r="47" spans="1:2" x14ac:dyDescent="0.3">
      <c r="A47" s="23">
        <v>36526</v>
      </c>
      <c r="B47" s="39">
        <v>6720563.5</v>
      </c>
    </row>
    <row r="48" spans="1:2" x14ac:dyDescent="0.3">
      <c r="A48" s="26">
        <v>36617</v>
      </c>
      <c r="B48" s="39">
        <v>6958395</v>
      </c>
    </row>
    <row r="49" spans="1:2" x14ac:dyDescent="0.3">
      <c r="A49" s="28">
        <v>36708</v>
      </c>
      <c r="B49" s="39">
        <v>7166931.0999999996</v>
      </c>
    </row>
    <row r="50" spans="1:2" x14ac:dyDescent="0.3">
      <c r="A50" s="30">
        <v>36800</v>
      </c>
      <c r="B50" s="39">
        <v>7220526.2000000002</v>
      </c>
    </row>
    <row r="51" spans="1:2" x14ac:dyDescent="0.3">
      <c r="A51" s="23">
        <v>36892</v>
      </c>
      <c r="B51" s="39">
        <v>7320286.2999999998</v>
      </c>
    </row>
    <row r="52" spans="1:2" x14ac:dyDescent="0.3">
      <c r="A52" s="26">
        <v>36982</v>
      </c>
      <c r="B52" s="39">
        <v>7459750.4000000004</v>
      </c>
    </row>
    <row r="53" spans="1:2" x14ac:dyDescent="0.3">
      <c r="A53" s="28">
        <v>37073</v>
      </c>
      <c r="B53" s="39">
        <v>7502163.5999999996</v>
      </c>
    </row>
    <row r="54" spans="1:2" x14ac:dyDescent="0.3">
      <c r="A54" s="30">
        <v>37165</v>
      </c>
      <c r="B54" s="39">
        <v>7466230.2999999998</v>
      </c>
    </row>
    <row r="55" spans="1:2" x14ac:dyDescent="0.3">
      <c r="A55" s="23">
        <v>37257</v>
      </c>
      <c r="B55" s="39">
        <v>7309444.2999999998</v>
      </c>
    </row>
    <row r="56" spans="1:2" x14ac:dyDescent="0.3">
      <c r="A56" s="26">
        <v>37347</v>
      </c>
      <c r="B56" s="39">
        <v>7941410</v>
      </c>
    </row>
    <row r="57" spans="1:2" x14ac:dyDescent="0.3">
      <c r="A57" s="28">
        <v>37438</v>
      </c>
      <c r="B57" s="39">
        <v>7971586</v>
      </c>
    </row>
    <row r="58" spans="1:2" x14ac:dyDescent="0.3">
      <c r="A58" s="30">
        <v>37530</v>
      </c>
      <c r="B58" s="39">
        <v>8088591.5999999996</v>
      </c>
    </row>
    <row r="59" spans="1:2" x14ac:dyDescent="0.3">
      <c r="A59" s="23">
        <v>37622</v>
      </c>
      <c r="B59" s="39">
        <v>8093632</v>
      </c>
    </row>
    <row r="60" spans="1:2" x14ac:dyDescent="0.3">
      <c r="A60" s="26">
        <v>37712</v>
      </c>
      <c r="B60" s="39">
        <v>8253853.5</v>
      </c>
    </row>
    <row r="61" spans="1:2" x14ac:dyDescent="0.3">
      <c r="A61" s="28">
        <v>37803</v>
      </c>
      <c r="B61" s="39">
        <v>8210313.4000000004</v>
      </c>
    </row>
    <row r="62" spans="1:2" x14ac:dyDescent="0.3">
      <c r="A62" s="30">
        <v>37895</v>
      </c>
      <c r="B62" s="39">
        <v>8480333.6999999993</v>
      </c>
    </row>
    <row r="63" spans="1:2" x14ac:dyDescent="0.3">
      <c r="A63" s="23">
        <v>37987</v>
      </c>
      <c r="B63" s="39">
        <v>8730792.0999999996</v>
      </c>
    </row>
    <row r="64" spans="1:2" x14ac:dyDescent="0.3">
      <c r="A64" s="26">
        <v>38078</v>
      </c>
      <c r="B64" s="39">
        <v>9281990</v>
      </c>
    </row>
    <row r="65" spans="1:2" x14ac:dyDescent="0.3">
      <c r="A65" s="28">
        <v>38169</v>
      </c>
      <c r="B65" s="39">
        <v>9311925</v>
      </c>
    </row>
    <row r="66" spans="1:2" x14ac:dyDescent="0.3">
      <c r="A66" s="30">
        <v>38261</v>
      </c>
      <c r="B66" s="39">
        <v>9668852</v>
      </c>
    </row>
    <row r="67" spans="1:2" x14ac:dyDescent="0.3">
      <c r="A67" s="23">
        <v>38353</v>
      </c>
      <c r="B67" s="39">
        <v>9450080.6999999993</v>
      </c>
    </row>
    <row r="68" spans="1:2" x14ac:dyDescent="0.3">
      <c r="A68" s="26">
        <v>38443</v>
      </c>
      <c r="B68" s="39">
        <v>10060019.300000001</v>
      </c>
    </row>
    <row r="69" spans="1:2" x14ac:dyDescent="0.3">
      <c r="A69" s="28">
        <v>38534</v>
      </c>
      <c r="B69" s="39">
        <v>10062099.199999999</v>
      </c>
    </row>
    <row r="70" spans="1:2" x14ac:dyDescent="0.3">
      <c r="A70" s="30">
        <v>38626</v>
      </c>
      <c r="B70" s="39">
        <v>10426196.699999999</v>
      </c>
    </row>
    <row r="71" spans="1:2" x14ac:dyDescent="0.3">
      <c r="A71" s="23">
        <v>38718</v>
      </c>
      <c r="B71" s="39">
        <v>10550621.1</v>
      </c>
    </row>
    <row r="72" spans="1:2" x14ac:dyDescent="0.3">
      <c r="A72" s="26">
        <v>38808</v>
      </c>
      <c r="B72" s="39">
        <v>11227577.6</v>
      </c>
    </row>
    <row r="73" spans="1:2" x14ac:dyDescent="0.3">
      <c r="A73" s="28">
        <v>38899</v>
      </c>
      <c r="B73" s="39">
        <v>11246326.300000001</v>
      </c>
    </row>
    <row r="74" spans="1:2" x14ac:dyDescent="0.3">
      <c r="A74" s="30">
        <v>38991</v>
      </c>
      <c r="B74" s="39">
        <v>11455938</v>
      </c>
    </row>
    <row r="75" spans="1:2" x14ac:dyDescent="0.3">
      <c r="A75" s="23">
        <v>39083</v>
      </c>
      <c r="B75" s="39">
        <v>11430812</v>
      </c>
    </row>
    <row r="76" spans="1:2" x14ac:dyDescent="0.3">
      <c r="A76" s="26">
        <v>39173</v>
      </c>
      <c r="B76" s="39">
        <v>12021863</v>
      </c>
    </row>
    <row r="77" spans="1:2" x14ac:dyDescent="0.3">
      <c r="A77" s="28">
        <v>39264</v>
      </c>
      <c r="B77" s="39">
        <v>12129428.1</v>
      </c>
    </row>
    <row r="78" spans="1:2" x14ac:dyDescent="0.3">
      <c r="A78" s="30">
        <v>39356</v>
      </c>
      <c r="B78" s="39">
        <v>12604909.4</v>
      </c>
    </row>
    <row r="79" spans="1:2" x14ac:dyDescent="0.3">
      <c r="A79" s="23">
        <v>39448</v>
      </c>
      <c r="B79" s="39">
        <v>12297911.300000001</v>
      </c>
    </row>
    <row r="80" spans="1:2" x14ac:dyDescent="0.3">
      <c r="A80" s="26">
        <v>39539</v>
      </c>
      <c r="B80" s="39">
        <v>13254081.5</v>
      </c>
    </row>
    <row r="81" spans="1:2" x14ac:dyDescent="0.3">
      <c r="A81" s="28">
        <v>39630</v>
      </c>
      <c r="B81" s="39">
        <v>13139867.1</v>
      </c>
    </row>
    <row r="82" spans="1:2" x14ac:dyDescent="0.3">
      <c r="A82" s="30">
        <v>39722</v>
      </c>
      <c r="B82" s="39">
        <v>13019185.300000001</v>
      </c>
    </row>
    <row r="83" spans="1:2" x14ac:dyDescent="0.3">
      <c r="A83" s="23">
        <v>39814</v>
      </c>
      <c r="B83" s="39">
        <v>12170951.1</v>
      </c>
    </row>
    <row r="84" spans="1:2" x14ac:dyDescent="0.3">
      <c r="A84" s="26">
        <v>39904</v>
      </c>
      <c r="B84" s="39">
        <v>12466924.4</v>
      </c>
    </row>
    <row r="85" spans="1:2" x14ac:dyDescent="0.3">
      <c r="A85" s="28">
        <v>39995</v>
      </c>
      <c r="B85" s="39">
        <v>12891111.4</v>
      </c>
    </row>
    <row r="86" spans="1:2" x14ac:dyDescent="0.3">
      <c r="A86" s="30">
        <v>40087</v>
      </c>
      <c r="B86" s="39">
        <v>13467484.9</v>
      </c>
    </row>
    <row r="87" spans="1:2" x14ac:dyDescent="0.3">
      <c r="A87" s="23">
        <v>40179</v>
      </c>
      <c r="B87" s="39">
        <v>13359849.4</v>
      </c>
    </row>
    <row r="88" spans="1:2" x14ac:dyDescent="0.3">
      <c r="A88" s="26">
        <v>40269</v>
      </c>
      <c r="B88" s="39">
        <v>13848983.5</v>
      </c>
    </row>
    <row r="89" spans="1:2" x14ac:dyDescent="0.3">
      <c r="A89" s="28">
        <v>40360</v>
      </c>
      <c r="B89" s="39">
        <v>14044018</v>
      </c>
    </row>
    <row r="90" spans="1:2" x14ac:dyDescent="0.3">
      <c r="A90" s="30">
        <v>40452</v>
      </c>
      <c r="B90" s="39">
        <v>14619747.199999999</v>
      </c>
    </row>
    <row r="91" spans="1:2" x14ac:dyDescent="0.3">
      <c r="A91" s="23">
        <v>40544</v>
      </c>
      <c r="B91" s="39">
        <v>14490555.699999999</v>
      </c>
    </row>
    <row r="92" spans="1:2" x14ac:dyDescent="0.3">
      <c r="A92" s="26">
        <v>40634</v>
      </c>
      <c r="B92" s="39">
        <v>14923548</v>
      </c>
    </row>
    <row r="93" spans="1:2" x14ac:dyDescent="0.3">
      <c r="A93" s="28">
        <v>40725</v>
      </c>
      <c r="B93" s="39">
        <v>15341144.5</v>
      </c>
    </row>
    <row r="94" spans="1:2" x14ac:dyDescent="0.3">
      <c r="A94" s="30">
        <v>40817</v>
      </c>
      <c r="B94" s="39">
        <v>16318498.6</v>
      </c>
    </row>
    <row r="95" spans="1:2" x14ac:dyDescent="0.3">
      <c r="A95" s="23">
        <v>40909</v>
      </c>
      <c r="B95" s="39">
        <v>16103739.800000001</v>
      </c>
    </row>
    <row r="96" spans="1:2" x14ac:dyDescent="0.3">
      <c r="A96" s="26">
        <v>41000</v>
      </c>
      <c r="B96" s="39">
        <v>16384468</v>
      </c>
    </row>
    <row r="97" spans="1:2" x14ac:dyDescent="0.3">
      <c r="A97" s="28">
        <v>41091</v>
      </c>
      <c r="B97" s="39">
        <v>16581027.1</v>
      </c>
    </row>
    <row r="98" spans="1:2" x14ac:dyDescent="0.3">
      <c r="A98" s="30">
        <v>41183</v>
      </c>
      <c r="B98" s="39">
        <v>17047261.100000001</v>
      </c>
    </row>
    <row r="99" spans="1:2" x14ac:dyDescent="0.3">
      <c r="A99" s="23">
        <v>41275</v>
      </c>
      <c r="B99" s="39">
        <v>16420163.699999999</v>
      </c>
    </row>
    <row r="100" spans="1:2" x14ac:dyDescent="0.3">
      <c r="A100" s="26">
        <v>41365</v>
      </c>
      <c r="B100" s="39">
        <v>16844478.800000001</v>
      </c>
    </row>
    <row r="101" spans="1:2" x14ac:dyDescent="0.3">
      <c r="A101" s="28">
        <v>41456</v>
      </c>
      <c r="B101" s="39">
        <v>16981720.899999999</v>
      </c>
    </row>
    <row r="102" spans="1:2" x14ac:dyDescent="0.3">
      <c r="A102" s="30">
        <v>41548</v>
      </c>
      <c r="B102" s="39">
        <v>17569659.300000001</v>
      </c>
    </row>
    <row r="103" spans="1:2" x14ac:dyDescent="0.3">
      <c r="A103" s="23">
        <v>41640</v>
      </c>
      <c r="B103" s="39">
        <v>17404245.600000001</v>
      </c>
    </row>
    <row r="104" spans="1:2" x14ac:dyDescent="0.3">
      <c r="A104" s="26">
        <v>41730</v>
      </c>
      <c r="B104" s="39">
        <v>18042241.100000001</v>
      </c>
    </row>
    <row r="105" spans="1:2" x14ac:dyDescent="0.3">
      <c r="A105" s="28">
        <v>41821</v>
      </c>
      <c r="B105" s="39">
        <v>18219506.300000001</v>
      </c>
    </row>
    <row r="106" spans="1:2" x14ac:dyDescent="0.3">
      <c r="A106" s="30">
        <v>41913</v>
      </c>
      <c r="B106" s="39">
        <v>18884609.399999999</v>
      </c>
    </row>
    <row r="107" spans="1:2" x14ac:dyDescent="0.3">
      <c r="A107" s="23">
        <v>42005</v>
      </c>
      <c r="B107" s="39">
        <v>18389552.800000001</v>
      </c>
    </row>
    <row r="108" spans="1:2" x14ac:dyDescent="0.3">
      <c r="A108" s="26">
        <v>42095</v>
      </c>
      <c r="B108" s="39">
        <v>19087521.100000001</v>
      </c>
    </row>
    <row r="109" spans="1:2" x14ac:dyDescent="0.3">
      <c r="A109" s="28">
        <v>42186</v>
      </c>
      <c r="B109" s="39">
        <v>19467455.899999999</v>
      </c>
    </row>
    <row r="110" spans="1:2" x14ac:dyDescent="0.3">
      <c r="A110" s="30">
        <v>42278</v>
      </c>
      <c r="B110" s="39">
        <v>19969928.800000001</v>
      </c>
    </row>
    <row r="111" spans="1:2" x14ac:dyDescent="0.3">
      <c r="A111" s="23">
        <v>42370</v>
      </c>
      <c r="B111" s="39">
        <v>19541662</v>
      </c>
    </row>
    <row r="112" spans="1:2" x14ac:dyDescent="0.3">
      <c r="A112" s="26">
        <v>42461</v>
      </c>
      <c r="B112" s="39">
        <v>20557131</v>
      </c>
    </row>
    <row r="113" spans="1:2" x14ac:dyDescent="0.3">
      <c r="A113" s="28">
        <v>42552</v>
      </c>
      <c r="B113" s="39">
        <v>20921915.800000001</v>
      </c>
    </row>
    <row r="114" spans="1:2" x14ac:dyDescent="0.3">
      <c r="A114" s="30">
        <v>42644</v>
      </c>
      <c r="B114" s="39">
        <v>22014453.199999999</v>
      </c>
    </row>
    <row r="115" spans="1:2" x14ac:dyDescent="0.3">
      <c r="A115" s="23">
        <v>42736</v>
      </c>
      <c r="B115" s="39">
        <v>21923238.600000001</v>
      </c>
    </row>
    <row r="116" spans="1:2" x14ac:dyDescent="0.3">
      <c r="A116" s="26">
        <v>42826</v>
      </c>
      <c r="B116" s="39">
        <v>22351041.800000001</v>
      </c>
    </row>
    <row r="117" spans="1:2" x14ac:dyDescent="0.3">
      <c r="A117" s="28">
        <v>42917</v>
      </c>
      <c r="B117" s="39">
        <v>22424376.800000001</v>
      </c>
    </row>
    <row r="118" spans="1:2" x14ac:dyDescent="0.3">
      <c r="A118" s="30">
        <v>43009</v>
      </c>
      <c r="B118" s="39">
        <v>23446183.899999999</v>
      </c>
    </row>
    <row r="119" spans="1:2" x14ac:dyDescent="0.3">
      <c r="A119" s="23">
        <v>43101</v>
      </c>
      <c r="B119" s="39">
        <v>23181560.800000001</v>
      </c>
    </row>
    <row r="120" spans="1:2" x14ac:dyDescent="0.3">
      <c r="A120" s="26">
        <v>43191</v>
      </c>
      <c r="B120" s="39">
        <v>24136849.699999999</v>
      </c>
    </row>
    <row r="121" spans="1:2" x14ac:dyDescent="0.3">
      <c r="A121" s="28">
        <v>43282</v>
      </c>
      <c r="B121" s="39">
        <v>24262575.699999999</v>
      </c>
    </row>
    <row r="122" spans="1:2" x14ac:dyDescent="0.3">
      <c r="A122" s="30">
        <v>43374</v>
      </c>
      <c r="B122" s="39">
        <v>25125695.300000001</v>
      </c>
    </row>
    <row r="123" spans="1:2" x14ac:dyDescent="0.3">
      <c r="A123" s="23">
        <v>43466</v>
      </c>
      <c r="B123" s="39">
        <v>24545487.399999999</v>
      </c>
    </row>
    <row r="124" spans="1:2" x14ac:dyDescent="0.3">
      <c r="A124" s="26">
        <v>43556</v>
      </c>
      <c r="B124" s="39">
        <v>25036529.899999999</v>
      </c>
    </row>
    <row r="125" spans="1:2" x14ac:dyDescent="0.3">
      <c r="A125" s="28">
        <v>43647</v>
      </c>
      <c r="B125" s="39">
        <v>25182903.600000001</v>
      </c>
    </row>
    <row r="126" spans="1:2" x14ac:dyDescent="0.3">
      <c r="A126" s="30">
        <v>43739</v>
      </c>
      <c r="B126" s="39">
        <v>25722372.300000001</v>
      </c>
    </row>
    <row r="127" spans="1:2" x14ac:dyDescent="0.3">
      <c r="A127" s="23">
        <v>43831</v>
      </c>
      <c r="B127" s="39">
        <v>25329437.399999999</v>
      </c>
    </row>
    <row r="128" spans="1:2" x14ac:dyDescent="0.3">
      <c r="A128" s="26">
        <v>43922</v>
      </c>
      <c r="B128" s="39">
        <v>20799029.399999999</v>
      </c>
    </row>
    <row r="129" spans="1:2" x14ac:dyDescent="0.3">
      <c r="A129" s="28">
        <v>44013</v>
      </c>
      <c r="B129" s="39">
        <v>24267753.199999999</v>
      </c>
    </row>
    <row r="130" spans="1:2" x14ac:dyDescent="0.3">
      <c r="A130" s="30">
        <v>44105</v>
      </c>
      <c r="B130" s="39">
        <v>25950812.5</v>
      </c>
    </row>
    <row r="131" spans="1:2" x14ac:dyDescent="0.3">
      <c r="A131" s="23">
        <v>44197</v>
      </c>
      <c r="B131" s="39">
        <v>25662775.100000001</v>
      </c>
    </row>
    <row r="132" spans="1:2" x14ac:dyDescent="0.3">
      <c r="A132" s="26">
        <v>44287</v>
      </c>
      <c r="B132" s="39">
        <v>26635791</v>
      </c>
    </row>
    <row r="133" spans="1:2" x14ac:dyDescent="0.3">
      <c r="A133" s="28">
        <v>44378</v>
      </c>
      <c r="B133" s="39">
        <v>26611648.199999999</v>
      </c>
    </row>
    <row r="134" spans="1:2" x14ac:dyDescent="0.3">
      <c r="A134" s="30">
        <v>44470</v>
      </c>
      <c r="B134" s="39">
        <v>27849919.300000001</v>
      </c>
    </row>
    <row r="135" spans="1:2" x14ac:dyDescent="0.3">
      <c r="A135" s="23">
        <v>44562</v>
      </c>
      <c r="B135" s="39">
        <v>27954717.899999999</v>
      </c>
    </row>
    <row r="136" spans="1:2" x14ac:dyDescent="0.3">
      <c r="A136" s="26">
        <v>44652</v>
      </c>
      <c r="B136" s="39">
        <v>29440214.300000001</v>
      </c>
    </row>
    <row r="137" spans="1:2" x14ac:dyDescent="0.3">
      <c r="A137" s="28">
        <v>44743</v>
      </c>
      <c r="B137" s="39">
        <v>29744393.699999999</v>
      </c>
    </row>
    <row r="138" spans="1:2" x14ac:dyDescent="0.3">
      <c r="A138" s="30">
        <v>44835</v>
      </c>
      <c r="B138" s="39">
        <v>30962708.699999999</v>
      </c>
    </row>
    <row r="139" spans="1:2" x14ac:dyDescent="0.3">
      <c r="A139" s="23">
        <v>44927</v>
      </c>
      <c r="B139" s="39">
        <v>30497488.399999999</v>
      </c>
    </row>
    <row r="140" spans="1:2" x14ac:dyDescent="0.3">
      <c r="A140" s="26">
        <v>45017</v>
      </c>
      <c r="B140" s="39">
        <v>31664814.100000001</v>
      </c>
    </row>
    <row r="141" spans="1:2" x14ac:dyDescent="0.3">
      <c r="A141" s="28">
        <v>45108</v>
      </c>
      <c r="B141" s="39">
        <v>32189998.899999999</v>
      </c>
    </row>
    <row r="142" spans="1:2" x14ac:dyDescent="0.3">
      <c r="A142" s="30">
        <v>45200</v>
      </c>
      <c r="B142" s="39">
        <v>33390950.699999999</v>
      </c>
    </row>
    <row r="143" spans="1:2" x14ac:dyDescent="0.3">
      <c r="A143" s="23">
        <v>45292</v>
      </c>
      <c r="B143" s="39">
        <v>32172775.300000001</v>
      </c>
    </row>
    <row r="144" spans="1:2" x14ac:dyDescent="0.3">
      <c r="A144" s="26">
        <v>45383</v>
      </c>
      <c r="B144" s="39">
        <v>33974584.299999997</v>
      </c>
    </row>
    <row r="145" spans="1:2" x14ac:dyDescent="0.3">
      <c r="A145" s="28">
        <v>45474</v>
      </c>
      <c r="B145" s="39">
        <v>34412849.200000003</v>
      </c>
    </row>
    <row r="146" spans="1:2" x14ac:dyDescent="0.3">
      <c r="A146" s="30">
        <v>45566</v>
      </c>
      <c r="B146" s="39">
        <v>35361827.100000001</v>
      </c>
    </row>
    <row r="147" spans="1:2" x14ac:dyDescent="0.3">
      <c r="A147" s="23">
        <v>45658</v>
      </c>
      <c r="B147" s="39">
        <v>34650228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6ADF-8CE7-457E-B596-9CBB95BC6B69}">
  <dimension ref="A1:E101"/>
  <sheetViews>
    <sheetView workbookViewId="0">
      <selection activeCell="E3" sqref="E3"/>
    </sheetView>
  </sheetViews>
  <sheetFormatPr defaultRowHeight="14.4" x14ac:dyDescent="0.3"/>
  <cols>
    <col min="1" max="1" width="12.6640625" style="40" bestFit="1" customWidth="1"/>
    <col min="2" max="2" width="14.88671875" style="40" bestFit="1" customWidth="1"/>
    <col min="3" max="3" width="16.6640625" style="40" bestFit="1" customWidth="1"/>
    <col min="4" max="4" width="15.33203125" style="40" bestFit="1" customWidth="1"/>
    <col min="5" max="5" width="25.88671875" style="40" bestFit="1" customWidth="1"/>
    <col min="6" max="16384" width="8.88671875" style="40"/>
  </cols>
  <sheetData>
    <row r="1" spans="1:5" x14ac:dyDescent="0.3">
      <c r="B1" s="41" t="s">
        <v>118</v>
      </c>
      <c r="C1" s="40">
        <f>2/3</f>
        <v>0.66666666666666663</v>
      </c>
    </row>
    <row r="2" spans="1:5" ht="15" thickBot="1" x14ac:dyDescent="0.35"/>
    <row r="3" spans="1:5" ht="29.4" thickBot="1" x14ac:dyDescent="0.6">
      <c r="E3" s="49">
        <f>AVERAGE(E5:E80)</f>
        <v>8.0942316254312544E-2</v>
      </c>
    </row>
    <row r="4" spans="1:5" x14ac:dyDescent="0.3">
      <c r="B4" s="40" t="s">
        <v>119</v>
      </c>
      <c r="C4" s="40" t="s">
        <v>120</v>
      </c>
      <c r="D4" s="40" t="s">
        <v>121</v>
      </c>
      <c r="E4" s="40" t="s">
        <v>122</v>
      </c>
    </row>
    <row r="5" spans="1:5" x14ac:dyDescent="0.3">
      <c r="A5" s="42">
        <v>36892</v>
      </c>
      <c r="B5" s="43">
        <f>VLOOKUP(A5,'M1'!$E$19:$F$115,2,FALSE)/1000</f>
        <v>517241.53633333329</v>
      </c>
      <c r="C5" s="43">
        <f>VLOOKUP(A5,'GDP quarterly'!$A$19:$B$147,2,FALSE)</f>
        <v>7320286.2999999998</v>
      </c>
      <c r="D5" s="44">
        <f>B5*$C$1</f>
        <v>344827.69088888884</v>
      </c>
      <c r="E5" s="45">
        <f>D5/C5</f>
        <v>4.71057656431947E-2</v>
      </c>
    </row>
    <row r="6" spans="1:5" x14ac:dyDescent="0.3">
      <c r="A6" s="46">
        <v>36982</v>
      </c>
      <c r="B6" s="43">
        <f>VLOOKUP(A6,'M1'!$E$19:$F$115,2,FALSE)/1000</f>
        <v>519278.52666999999</v>
      </c>
      <c r="C6" s="43">
        <f>VLOOKUP(A6,'GDP quarterly'!$A$19:$B$147,2,FALSE)</f>
        <v>7459750.4000000004</v>
      </c>
      <c r="D6" s="44">
        <f t="shared" ref="D6:D69" si="0">B6*$C$1</f>
        <v>346185.68444666662</v>
      </c>
      <c r="E6" s="45">
        <f t="shared" ref="E6:E69" si="1">D6/C6</f>
        <v>4.640714043819303E-2</v>
      </c>
    </row>
    <row r="7" spans="1:5" x14ac:dyDescent="0.3">
      <c r="A7" s="47">
        <v>37073</v>
      </c>
      <c r="B7" s="43">
        <f>VLOOKUP(A7,'M1'!$E$19:$F$115,2,FALSE)/1000</f>
        <v>553667.36263333331</v>
      </c>
      <c r="C7" s="43">
        <f>VLOOKUP(A7,'GDP quarterly'!$A$19:$B$147,2,FALSE)</f>
        <v>7502163.5999999996</v>
      </c>
      <c r="D7" s="44">
        <f t="shared" si="0"/>
        <v>369111.57508888887</v>
      </c>
      <c r="E7" s="45">
        <f t="shared" si="1"/>
        <v>4.9200683265410113E-2</v>
      </c>
    </row>
    <row r="8" spans="1:5" x14ac:dyDescent="0.3">
      <c r="A8" s="48">
        <v>37165</v>
      </c>
      <c r="B8" s="43">
        <f>VLOOKUP(A8,'M1'!$E$19:$F$115,2,FALSE)/1000</f>
        <v>622685.34022333333</v>
      </c>
      <c r="C8" s="43">
        <f>VLOOKUP(A8,'GDP quarterly'!$A$19:$B$147,2,FALSE)</f>
        <v>7466230.2999999998</v>
      </c>
      <c r="D8" s="44">
        <f t="shared" si="0"/>
        <v>415123.56014888885</v>
      </c>
      <c r="E8" s="45">
        <f t="shared" si="1"/>
        <v>5.5600154759342053E-2</v>
      </c>
    </row>
    <row r="9" spans="1:5" x14ac:dyDescent="0.3">
      <c r="A9" s="42">
        <v>37257</v>
      </c>
      <c r="B9" s="43">
        <f>VLOOKUP(A9,'M1'!$E$19:$F$115,2,FALSE)/1000</f>
        <v>634552.69761666667</v>
      </c>
      <c r="C9" s="43">
        <f>VLOOKUP(A9,'GDP quarterly'!$A$19:$B$147,2,FALSE)</f>
        <v>7309444.2999999998</v>
      </c>
      <c r="D9" s="44">
        <f t="shared" si="0"/>
        <v>423035.13174444443</v>
      </c>
      <c r="E9" s="45">
        <f t="shared" si="1"/>
        <v>5.7875142675954783E-2</v>
      </c>
    </row>
    <row r="10" spans="1:5" x14ac:dyDescent="0.3">
      <c r="A10" s="46">
        <v>37347</v>
      </c>
      <c r="B10" s="43">
        <f>VLOOKUP(A10,'M1'!$E$19:$F$115,2,FALSE)/1000</f>
        <v>638743.40369333327</v>
      </c>
      <c r="C10" s="43">
        <f>VLOOKUP(A10,'GDP quarterly'!$A$19:$B$147,2,FALSE)</f>
        <v>7941410</v>
      </c>
      <c r="D10" s="44">
        <f t="shared" si="0"/>
        <v>425828.93579555547</v>
      </c>
      <c r="E10" s="45">
        <f t="shared" si="1"/>
        <v>5.3621326161922819E-2</v>
      </c>
    </row>
    <row r="11" spans="1:5" x14ac:dyDescent="0.3">
      <c r="A11" s="47">
        <v>37438</v>
      </c>
      <c r="B11" s="43">
        <f>VLOOKUP(A11,'M1'!$E$19:$F$115,2,FALSE)/1000</f>
        <v>650667.88793666661</v>
      </c>
      <c r="C11" s="43">
        <f>VLOOKUP(A11,'GDP quarterly'!$A$19:$B$147,2,FALSE)</f>
        <v>7971586</v>
      </c>
      <c r="D11" s="44">
        <f t="shared" si="0"/>
        <v>433778.59195777774</v>
      </c>
      <c r="E11" s="45">
        <f t="shared" si="1"/>
        <v>5.4415594582781612E-2</v>
      </c>
    </row>
    <row r="12" spans="1:5" x14ac:dyDescent="0.3">
      <c r="A12" s="48">
        <v>37530</v>
      </c>
      <c r="B12" s="43">
        <f>VLOOKUP(A12,'M1'!$E$19:$F$115,2,FALSE)/1000</f>
        <v>699263.80313333333</v>
      </c>
      <c r="C12" s="43">
        <f>VLOOKUP(A12,'GDP quarterly'!$A$19:$B$147,2,FALSE)</f>
        <v>8088591.5999999996</v>
      </c>
      <c r="D12" s="44">
        <f t="shared" si="0"/>
        <v>466175.86875555554</v>
      </c>
      <c r="E12" s="45">
        <f t="shared" si="1"/>
        <v>5.7633750325032554E-2</v>
      </c>
    </row>
    <row r="13" spans="1:5" x14ac:dyDescent="0.3">
      <c r="A13" s="42">
        <v>37622</v>
      </c>
      <c r="B13" s="43">
        <f>VLOOKUP(A13,'M1'!$E$19:$F$115,2,FALSE)/1000</f>
        <v>713825.43613000005</v>
      </c>
      <c r="C13" s="43">
        <f>VLOOKUP(A13,'GDP quarterly'!$A$19:$B$147,2,FALSE)</f>
        <v>8093632</v>
      </c>
      <c r="D13" s="44">
        <f t="shared" si="0"/>
        <v>475883.62408666668</v>
      </c>
      <c r="E13" s="45">
        <f t="shared" si="1"/>
        <v>5.8797289534125927E-2</v>
      </c>
    </row>
    <row r="14" spans="1:5" x14ac:dyDescent="0.3">
      <c r="A14" s="46">
        <v>37712</v>
      </c>
      <c r="B14" s="43">
        <f>VLOOKUP(A14,'M1'!$E$19:$F$115,2,FALSE)/1000</f>
        <v>714089.71262999997</v>
      </c>
      <c r="C14" s="43">
        <f>VLOOKUP(A14,'GDP quarterly'!$A$19:$B$147,2,FALSE)</f>
        <v>8253853.5</v>
      </c>
      <c r="D14" s="44">
        <f t="shared" si="0"/>
        <v>476059.80841999996</v>
      </c>
      <c r="E14" s="45">
        <f t="shared" si="1"/>
        <v>5.7677278669896428E-2</v>
      </c>
    </row>
    <row r="15" spans="1:5" x14ac:dyDescent="0.3">
      <c r="A15" s="47">
        <v>37803</v>
      </c>
      <c r="B15" s="43">
        <f>VLOOKUP(A15,'M1'!$E$19:$F$115,2,FALSE)/1000</f>
        <v>722045.42269000004</v>
      </c>
      <c r="C15" s="43">
        <f>VLOOKUP(A15,'GDP quarterly'!$A$19:$B$147,2,FALSE)</f>
        <v>8210313.4000000004</v>
      </c>
      <c r="D15" s="44">
        <f t="shared" si="0"/>
        <v>481363.61512666667</v>
      </c>
      <c r="E15" s="45">
        <f t="shared" si="1"/>
        <v>5.8629140164937754E-2</v>
      </c>
    </row>
    <row r="16" spans="1:5" x14ac:dyDescent="0.3">
      <c r="A16" s="48">
        <v>37895</v>
      </c>
      <c r="B16" s="43">
        <f>VLOOKUP(A16,'M1'!$E$19:$F$115,2,FALSE)/1000</f>
        <v>784810.05596000003</v>
      </c>
      <c r="C16" s="43">
        <f>VLOOKUP(A16,'GDP quarterly'!$A$19:$B$147,2,FALSE)</f>
        <v>8480333.6999999993</v>
      </c>
      <c r="D16" s="44">
        <f t="shared" si="0"/>
        <v>523206.70397333335</v>
      </c>
      <c r="E16" s="45">
        <f t="shared" si="1"/>
        <v>6.1696475926806209E-2</v>
      </c>
    </row>
    <row r="17" spans="1:5" x14ac:dyDescent="0.3">
      <c r="A17" s="42">
        <v>37987</v>
      </c>
      <c r="B17" s="43">
        <f>VLOOKUP(A17,'M1'!$E$19:$F$115,2,FALSE)/1000</f>
        <v>804422.40864000004</v>
      </c>
      <c r="C17" s="43">
        <f>VLOOKUP(A17,'GDP quarterly'!$A$19:$B$147,2,FALSE)</f>
        <v>8730792.0999999996</v>
      </c>
      <c r="D17" s="44">
        <f t="shared" si="0"/>
        <v>536281.60575999995</v>
      </c>
      <c r="E17" s="45">
        <f t="shared" si="1"/>
        <v>6.1424163995383647E-2</v>
      </c>
    </row>
    <row r="18" spans="1:5" x14ac:dyDescent="0.3">
      <c r="A18" s="46">
        <v>38078</v>
      </c>
      <c r="B18" s="43">
        <f>VLOOKUP(A18,'M1'!$E$19:$F$115,2,FALSE)/1000</f>
        <v>821986.20641999994</v>
      </c>
      <c r="C18" s="43">
        <f>VLOOKUP(A18,'GDP quarterly'!$A$19:$B$147,2,FALSE)</f>
        <v>9281990</v>
      </c>
      <c r="D18" s="44">
        <f t="shared" si="0"/>
        <v>547990.80427999992</v>
      </c>
      <c r="E18" s="45">
        <f t="shared" si="1"/>
        <v>5.9038073115786585E-2</v>
      </c>
    </row>
    <row r="19" spans="1:5" x14ac:dyDescent="0.3">
      <c r="A19" s="47">
        <v>38169</v>
      </c>
      <c r="B19" s="43">
        <f>VLOOKUP(A19,'M1'!$E$19:$F$115,2,FALSE)/1000</f>
        <v>829213.59828000003</v>
      </c>
      <c r="C19" s="43">
        <f>VLOOKUP(A19,'GDP quarterly'!$A$19:$B$147,2,FALSE)</f>
        <v>9311925</v>
      </c>
      <c r="D19" s="44">
        <f t="shared" si="0"/>
        <v>552809.06551999995</v>
      </c>
      <c r="E19" s="45">
        <f t="shared" si="1"/>
        <v>5.9365712838108119E-2</v>
      </c>
    </row>
    <row r="20" spans="1:5" x14ac:dyDescent="0.3">
      <c r="A20" s="48">
        <v>38261</v>
      </c>
      <c r="B20" s="43">
        <f>VLOOKUP(A20,'M1'!$E$19:$F$115,2,FALSE)/1000</f>
        <v>885733.26475999982</v>
      </c>
      <c r="C20" s="43">
        <f>VLOOKUP(A20,'GDP quarterly'!$A$19:$B$147,2,FALSE)</f>
        <v>9668852</v>
      </c>
      <c r="D20" s="44">
        <f t="shared" si="0"/>
        <v>590488.84317333321</v>
      </c>
      <c r="E20" s="45">
        <f t="shared" si="1"/>
        <v>6.1071246428565998E-2</v>
      </c>
    </row>
    <row r="21" spans="1:5" x14ac:dyDescent="0.3">
      <c r="A21" s="42">
        <v>38353</v>
      </c>
      <c r="B21" s="43">
        <f>VLOOKUP(A21,'M1'!$E$19:$F$115,2,FALSE)/1000</f>
        <v>900796.20344666671</v>
      </c>
      <c r="C21" s="43">
        <f>VLOOKUP(A21,'GDP quarterly'!$A$19:$B$147,2,FALSE)</f>
        <v>9450080.6999999993</v>
      </c>
      <c r="D21" s="44">
        <f t="shared" si="0"/>
        <v>600530.80229777773</v>
      </c>
      <c r="E21" s="45">
        <f t="shared" si="1"/>
        <v>6.3547690370282003E-2</v>
      </c>
    </row>
    <row r="22" spans="1:5" x14ac:dyDescent="0.3">
      <c r="A22" s="46">
        <v>38443</v>
      </c>
      <c r="B22" s="43">
        <f>VLOOKUP(A22,'M1'!$E$19:$F$115,2,FALSE)/1000</f>
        <v>904284.18229666667</v>
      </c>
      <c r="C22" s="43">
        <f>VLOOKUP(A22,'GDP quarterly'!$A$19:$B$147,2,FALSE)</f>
        <v>10060019.300000001</v>
      </c>
      <c r="D22" s="44">
        <f t="shared" si="0"/>
        <v>602856.12153111107</v>
      </c>
      <c r="E22" s="45">
        <f t="shared" si="1"/>
        <v>5.9925940850939621E-2</v>
      </c>
    </row>
    <row r="23" spans="1:5" x14ac:dyDescent="0.3">
      <c r="A23" s="47">
        <v>38534</v>
      </c>
      <c r="B23" s="43">
        <f>VLOOKUP(A23,'M1'!$E$19:$F$115,2,FALSE)/1000</f>
        <v>921953.32038000005</v>
      </c>
      <c r="C23" s="43">
        <f>VLOOKUP(A23,'GDP quarterly'!$A$19:$B$147,2,FALSE)</f>
        <v>10062099.199999999</v>
      </c>
      <c r="D23" s="44">
        <f t="shared" si="0"/>
        <v>614635.54691999999</v>
      </c>
      <c r="E23" s="45">
        <f t="shared" si="1"/>
        <v>6.1084226531974567E-2</v>
      </c>
    </row>
    <row r="24" spans="1:5" x14ac:dyDescent="0.3">
      <c r="A24" s="48">
        <v>38626</v>
      </c>
      <c r="B24" s="43">
        <f>VLOOKUP(A24,'M1'!$E$19:$F$115,2,FALSE)/1000</f>
        <v>988396.53178999992</v>
      </c>
      <c r="C24" s="43">
        <f>VLOOKUP(A24,'GDP quarterly'!$A$19:$B$147,2,FALSE)</f>
        <v>10426196.699999999</v>
      </c>
      <c r="D24" s="44">
        <f t="shared" si="0"/>
        <v>658931.0211933332</v>
      </c>
      <c r="E24" s="45">
        <f t="shared" si="1"/>
        <v>6.3199557820862257E-2</v>
      </c>
    </row>
    <row r="25" spans="1:5" x14ac:dyDescent="0.3">
      <c r="A25" s="42">
        <v>38718</v>
      </c>
      <c r="B25" s="43">
        <f>VLOOKUP(A25,'M1'!$E$19:$F$115,2,FALSE)/1000</f>
        <v>1021815.8043633334</v>
      </c>
      <c r="C25" s="43">
        <f>VLOOKUP(A25,'GDP quarterly'!$A$19:$B$147,2,FALSE)</f>
        <v>10550621.1</v>
      </c>
      <c r="D25" s="44">
        <f t="shared" si="0"/>
        <v>681210.53624222218</v>
      </c>
      <c r="E25" s="45">
        <f t="shared" si="1"/>
        <v>6.4565917947922727E-2</v>
      </c>
    </row>
    <row r="26" spans="1:5" x14ac:dyDescent="0.3">
      <c r="A26" s="46">
        <v>38808</v>
      </c>
      <c r="B26" s="43">
        <f>VLOOKUP(A26,'M1'!$E$19:$F$115,2,FALSE)/1000</f>
        <v>1062325.26835</v>
      </c>
      <c r="C26" s="43">
        <f>VLOOKUP(A26,'GDP quarterly'!$A$19:$B$147,2,FALSE)</f>
        <v>11227577.6</v>
      </c>
      <c r="D26" s="44">
        <f t="shared" si="0"/>
        <v>708216.84556666669</v>
      </c>
      <c r="E26" s="45">
        <f t="shared" si="1"/>
        <v>6.3078330054620754E-2</v>
      </c>
    </row>
    <row r="27" spans="1:5" x14ac:dyDescent="0.3">
      <c r="A27" s="47">
        <v>38899</v>
      </c>
      <c r="B27" s="43">
        <f>VLOOKUP(A27,'M1'!$E$19:$F$115,2,FALSE)/1000</f>
        <v>1075459.6722066668</v>
      </c>
      <c r="C27" s="43">
        <f>VLOOKUP(A27,'GDP quarterly'!$A$19:$B$147,2,FALSE)</f>
        <v>11246326.300000001</v>
      </c>
      <c r="D27" s="44">
        <f t="shared" si="0"/>
        <v>716973.11480444449</v>
      </c>
      <c r="E27" s="45">
        <f t="shared" si="1"/>
        <v>6.3751761746806551E-2</v>
      </c>
    </row>
    <row r="28" spans="1:5" x14ac:dyDescent="0.3">
      <c r="A28" s="48">
        <v>38991</v>
      </c>
      <c r="B28" s="43">
        <f>VLOOKUP(A28,'M1'!$E$19:$F$115,2,FALSE)/1000</f>
        <v>1134491.0431466666</v>
      </c>
      <c r="C28" s="43">
        <f>VLOOKUP(A28,'GDP quarterly'!$A$19:$B$147,2,FALSE)</f>
        <v>11455938</v>
      </c>
      <c r="D28" s="44">
        <f t="shared" si="0"/>
        <v>756327.36209777766</v>
      </c>
      <c r="E28" s="45">
        <f t="shared" si="1"/>
        <v>6.6020553017812914E-2</v>
      </c>
    </row>
    <row r="29" spans="1:5" x14ac:dyDescent="0.3">
      <c r="A29" s="42">
        <v>39083</v>
      </c>
      <c r="B29" s="43">
        <f>VLOOKUP(A29,'M1'!$E$19:$F$115,2,FALSE)/1000</f>
        <v>1140245.2007800001</v>
      </c>
      <c r="C29" s="43">
        <f>VLOOKUP(A29,'GDP quarterly'!$A$19:$B$147,2,FALSE)</f>
        <v>11430812</v>
      </c>
      <c r="D29" s="44">
        <f t="shared" si="0"/>
        <v>760163.46718666668</v>
      </c>
      <c r="E29" s="45">
        <f t="shared" si="1"/>
        <v>6.650126580567213E-2</v>
      </c>
    </row>
    <row r="30" spans="1:5" x14ac:dyDescent="0.3">
      <c r="A30" s="46">
        <v>39173</v>
      </c>
      <c r="B30" s="43">
        <f>VLOOKUP(A30,'M1'!$E$19:$F$115,2,FALSE)/1000</f>
        <v>1144015.6097733334</v>
      </c>
      <c r="C30" s="43">
        <f>VLOOKUP(A30,'GDP quarterly'!$A$19:$B$147,2,FALSE)</f>
        <v>12021863</v>
      </c>
      <c r="D30" s="44">
        <f t="shared" si="0"/>
        <v>762677.0731822222</v>
      </c>
      <c r="E30" s="45">
        <f t="shared" si="1"/>
        <v>6.3440838843548814E-2</v>
      </c>
    </row>
    <row r="31" spans="1:5" x14ac:dyDescent="0.3">
      <c r="A31" s="47">
        <v>39264</v>
      </c>
      <c r="B31" s="43">
        <f>VLOOKUP(A31,'M1'!$E$19:$F$115,2,FALSE)/1000</f>
        <v>1178038.06262</v>
      </c>
      <c r="C31" s="43">
        <f>VLOOKUP(A31,'GDP quarterly'!$A$19:$B$147,2,FALSE)</f>
        <v>12129428.1</v>
      </c>
      <c r="D31" s="44">
        <f t="shared" si="0"/>
        <v>785358.70841333328</v>
      </c>
      <c r="E31" s="45">
        <f t="shared" si="1"/>
        <v>6.4748205928466931E-2</v>
      </c>
    </row>
    <row r="32" spans="1:5" x14ac:dyDescent="0.3">
      <c r="A32" s="48">
        <v>39356</v>
      </c>
      <c r="B32" s="43">
        <f>VLOOKUP(A32,'M1'!$E$19:$F$115,2,FALSE)/1000</f>
        <v>1247090.6876233332</v>
      </c>
      <c r="C32" s="43">
        <f>VLOOKUP(A32,'GDP quarterly'!$A$19:$B$147,2,FALSE)</f>
        <v>12604909.4</v>
      </c>
      <c r="D32" s="44">
        <f t="shared" si="0"/>
        <v>831393.79174888879</v>
      </c>
      <c r="E32" s="45">
        <f t="shared" si="1"/>
        <v>6.5957934751112834E-2</v>
      </c>
    </row>
    <row r="33" spans="1:5" x14ac:dyDescent="0.3">
      <c r="A33" s="42">
        <v>39448</v>
      </c>
      <c r="B33" s="43">
        <f>VLOOKUP(A33,'M1'!$E$19:$F$115,2,FALSE)/1000</f>
        <v>1250777.793256667</v>
      </c>
      <c r="C33" s="43">
        <f>VLOOKUP(A33,'GDP quarterly'!$A$19:$B$147,2,FALSE)</f>
        <v>12297911.300000001</v>
      </c>
      <c r="D33" s="44">
        <f t="shared" si="0"/>
        <v>833851.86217111128</v>
      </c>
      <c r="E33" s="45">
        <f t="shared" si="1"/>
        <v>6.7804348383217819E-2</v>
      </c>
    </row>
    <row r="34" spans="1:5" x14ac:dyDescent="0.3">
      <c r="A34" s="46">
        <v>39539</v>
      </c>
      <c r="B34" s="43">
        <f>VLOOKUP(A34,'M1'!$E$19:$F$115,2,FALSE)/1000</f>
        <v>1236515.2840033334</v>
      </c>
      <c r="C34" s="43">
        <f>VLOOKUP(A34,'GDP quarterly'!$A$19:$B$147,2,FALSE)</f>
        <v>13254081.5</v>
      </c>
      <c r="D34" s="44">
        <f t="shared" si="0"/>
        <v>824343.52266888891</v>
      </c>
      <c r="E34" s="45">
        <f t="shared" si="1"/>
        <v>6.2195446939788991E-2</v>
      </c>
    </row>
    <row r="35" spans="1:5" x14ac:dyDescent="0.3">
      <c r="A35" s="47">
        <v>39630</v>
      </c>
      <c r="B35" s="43">
        <f>VLOOKUP(A35,'M1'!$E$19:$F$115,2,FALSE)/1000</f>
        <v>1236234.7309600001</v>
      </c>
      <c r="C35" s="43">
        <f>VLOOKUP(A35,'GDP quarterly'!$A$19:$B$147,2,FALSE)</f>
        <v>13139867.1</v>
      </c>
      <c r="D35" s="44">
        <f t="shared" si="0"/>
        <v>824156.48730666668</v>
      </c>
      <c r="E35" s="45">
        <f t="shared" si="1"/>
        <v>6.2721828237263272E-2</v>
      </c>
    </row>
    <row r="36" spans="1:5" x14ac:dyDescent="0.3">
      <c r="A36" s="48">
        <v>39722</v>
      </c>
      <c r="B36" s="43">
        <f>VLOOKUP(A36,'M1'!$E$19:$F$115,2,FALSE)/1000</f>
        <v>1366805.1040533336</v>
      </c>
      <c r="C36" s="43">
        <f>VLOOKUP(A36,'GDP quarterly'!$A$19:$B$147,2,FALSE)</f>
        <v>13019185.300000001</v>
      </c>
      <c r="D36" s="44">
        <f t="shared" si="0"/>
        <v>911203.40270222235</v>
      </c>
      <c r="E36" s="45">
        <f t="shared" si="1"/>
        <v>6.9989279797885842E-2</v>
      </c>
    </row>
    <row r="37" spans="1:5" x14ac:dyDescent="0.3">
      <c r="A37" s="42">
        <v>39814</v>
      </c>
      <c r="B37" s="43">
        <f>VLOOKUP(A37,'M1'!$E$19:$F$115,2,FALSE)/1000</f>
        <v>1413426.8361099998</v>
      </c>
      <c r="C37" s="43">
        <f>VLOOKUP(A37,'GDP quarterly'!$A$19:$B$147,2,FALSE)</f>
        <v>12170951.1</v>
      </c>
      <c r="D37" s="44">
        <f t="shared" si="0"/>
        <v>942284.55740666646</v>
      </c>
      <c r="E37" s="45">
        <f t="shared" si="1"/>
        <v>7.74207824568999E-2</v>
      </c>
    </row>
    <row r="38" spans="1:5" x14ac:dyDescent="0.3">
      <c r="A38" s="46">
        <v>39904</v>
      </c>
      <c r="B38" s="43">
        <f>VLOOKUP(A38,'M1'!$E$19:$F$115,2,FALSE)/1000</f>
        <v>1404155.8468066666</v>
      </c>
      <c r="C38" s="43">
        <f>VLOOKUP(A38,'GDP quarterly'!$A$19:$B$147,2,FALSE)</f>
        <v>12466924.4</v>
      </c>
      <c r="D38" s="44">
        <f t="shared" si="0"/>
        <v>936103.89787111105</v>
      </c>
      <c r="E38" s="45">
        <f t="shared" si="1"/>
        <v>7.5086995624286529E-2</v>
      </c>
    </row>
    <row r="39" spans="1:5" x14ac:dyDescent="0.3">
      <c r="A39" s="47">
        <v>39995</v>
      </c>
      <c r="B39" s="43">
        <f>VLOOKUP(A39,'M1'!$E$19:$F$115,2,FALSE)/1000</f>
        <v>1410530.7476266667</v>
      </c>
      <c r="C39" s="43">
        <f>VLOOKUP(A39,'GDP quarterly'!$A$19:$B$147,2,FALSE)</f>
        <v>12891111.4</v>
      </c>
      <c r="D39" s="44">
        <f t="shared" si="0"/>
        <v>940353.83175111108</v>
      </c>
      <c r="E39" s="45">
        <f t="shared" si="1"/>
        <v>7.2945908430448528E-2</v>
      </c>
    </row>
    <row r="40" spans="1:5" x14ac:dyDescent="0.3">
      <c r="A40" s="48">
        <v>40087</v>
      </c>
      <c r="B40" s="43">
        <f>VLOOKUP(A40,'M1'!$E$19:$F$115,2,FALSE)/1000</f>
        <v>1517253.4805133333</v>
      </c>
      <c r="C40" s="43">
        <f>VLOOKUP(A40,'GDP quarterly'!$A$19:$B$147,2,FALSE)</f>
        <v>13467484.9</v>
      </c>
      <c r="D40" s="44">
        <f t="shared" si="0"/>
        <v>1011502.3203422222</v>
      </c>
      <c r="E40" s="45">
        <f t="shared" si="1"/>
        <v>7.5106994947677433E-2</v>
      </c>
    </row>
    <row r="41" spans="1:5" x14ac:dyDescent="0.3">
      <c r="A41" s="42">
        <v>40179</v>
      </c>
      <c r="B41" s="43">
        <f>VLOOKUP(A41,'M1'!$E$19:$F$115,2,FALSE)/1000</f>
        <v>1530091.0308733338</v>
      </c>
      <c r="C41" s="43">
        <f>VLOOKUP(A41,'GDP quarterly'!$A$19:$B$147,2,FALSE)</f>
        <v>13359849.4</v>
      </c>
      <c r="D41" s="44">
        <f t="shared" si="0"/>
        <v>1020060.6872488891</v>
      </c>
      <c r="E41" s="45">
        <f t="shared" si="1"/>
        <v>7.6352708530448635E-2</v>
      </c>
    </row>
    <row r="42" spans="1:5" x14ac:dyDescent="0.3">
      <c r="A42" s="46">
        <v>40269</v>
      </c>
      <c r="B42" s="43">
        <f>VLOOKUP(A42,'M1'!$E$19:$F$115,2,FALSE)/1000</f>
        <v>1529315.8528999998</v>
      </c>
      <c r="C42" s="43">
        <f>VLOOKUP(A42,'GDP quarterly'!$A$19:$B$147,2,FALSE)</f>
        <v>13848983.5</v>
      </c>
      <c r="D42" s="44">
        <f t="shared" si="0"/>
        <v>1019543.9019333331</v>
      </c>
      <c r="E42" s="45">
        <f t="shared" si="1"/>
        <v>7.3618681250745457E-2</v>
      </c>
    </row>
    <row r="43" spans="1:5" x14ac:dyDescent="0.3">
      <c r="A43" s="47">
        <v>40360</v>
      </c>
      <c r="B43" s="43">
        <f>VLOOKUP(A43,'M1'!$E$19:$F$115,2,FALSE)/1000</f>
        <v>1566775.5792933332</v>
      </c>
      <c r="C43" s="43">
        <f>VLOOKUP(A43,'GDP quarterly'!$A$19:$B$147,2,FALSE)</f>
        <v>14044018</v>
      </c>
      <c r="D43" s="44">
        <f t="shared" si="0"/>
        <v>1044517.0528622221</v>
      </c>
      <c r="E43" s="45">
        <f t="shared" si="1"/>
        <v>7.4374516812939287E-2</v>
      </c>
    </row>
    <row r="44" spans="1:5" x14ac:dyDescent="0.3">
      <c r="A44" s="48">
        <v>40452</v>
      </c>
      <c r="B44" s="43">
        <f>VLOOKUP(A44,'M1'!$E$19:$F$115,2,FALSE)/1000</f>
        <v>1680281.0618199999</v>
      </c>
      <c r="C44" s="43">
        <f>VLOOKUP(A44,'GDP quarterly'!$A$19:$B$147,2,FALSE)</f>
        <v>14619747.199999999</v>
      </c>
      <c r="D44" s="44">
        <f t="shared" si="0"/>
        <v>1120187.3745466666</v>
      </c>
      <c r="E44" s="45">
        <f t="shared" si="1"/>
        <v>7.6621528349455084E-2</v>
      </c>
    </row>
    <row r="45" spans="1:5" x14ac:dyDescent="0.3">
      <c r="A45" s="42">
        <v>40544</v>
      </c>
      <c r="B45" s="43">
        <f>VLOOKUP(A45,'M1'!$E$19:$F$115,2,FALSE)/1000</f>
        <v>1728997.2109133331</v>
      </c>
      <c r="C45" s="43">
        <f>VLOOKUP(A45,'GDP quarterly'!$A$19:$B$147,2,FALSE)</f>
        <v>14490555.699999999</v>
      </c>
      <c r="D45" s="44">
        <f t="shared" si="0"/>
        <v>1152664.8072755553</v>
      </c>
      <c r="E45" s="45">
        <f t="shared" si="1"/>
        <v>7.9545935376070867E-2</v>
      </c>
    </row>
    <row r="46" spans="1:5" x14ac:dyDescent="0.3">
      <c r="A46" s="46">
        <v>40634</v>
      </c>
      <c r="B46" s="43">
        <f>VLOOKUP(A46,'M1'!$E$19:$F$115,2,FALSE)/1000</f>
        <v>1751474.0265766666</v>
      </c>
      <c r="C46" s="43">
        <f>VLOOKUP(A46,'GDP quarterly'!$A$19:$B$147,2,FALSE)</f>
        <v>14923548</v>
      </c>
      <c r="D46" s="44">
        <f t="shared" si="0"/>
        <v>1167649.351051111</v>
      </c>
      <c r="E46" s="45">
        <f t="shared" si="1"/>
        <v>7.8242074274234991E-2</v>
      </c>
    </row>
    <row r="47" spans="1:5" x14ac:dyDescent="0.3">
      <c r="A47" s="47">
        <v>40725</v>
      </c>
      <c r="B47" s="43">
        <f>VLOOKUP(A47,'M1'!$E$19:$F$115,2,FALSE)/1000</f>
        <v>1807513.2150733331</v>
      </c>
      <c r="C47" s="43">
        <f>VLOOKUP(A47,'GDP quarterly'!$A$19:$B$147,2,FALSE)</f>
        <v>15341144.5</v>
      </c>
      <c r="D47" s="44">
        <f t="shared" si="0"/>
        <v>1205008.8100488887</v>
      </c>
      <c r="E47" s="45">
        <f t="shared" si="1"/>
        <v>7.8547517106620612E-2</v>
      </c>
    </row>
    <row r="48" spans="1:5" x14ac:dyDescent="0.3">
      <c r="A48" s="48">
        <v>40817</v>
      </c>
      <c r="B48" s="43">
        <f>VLOOKUP(A48,'M1'!$E$19:$F$115,2,FALSE)/1000</f>
        <v>1946080.4953500002</v>
      </c>
      <c r="C48" s="43">
        <f>VLOOKUP(A48,'GDP quarterly'!$A$19:$B$147,2,FALSE)</f>
        <v>16318498.6</v>
      </c>
      <c r="D48" s="44">
        <f t="shared" si="0"/>
        <v>1297386.9969000001</v>
      </c>
      <c r="E48" s="45">
        <f t="shared" si="1"/>
        <v>7.950406644027902E-2</v>
      </c>
    </row>
    <row r="49" spans="1:5" x14ac:dyDescent="0.3">
      <c r="A49" s="42">
        <v>40909</v>
      </c>
      <c r="B49" s="43">
        <f>VLOOKUP(A49,'M1'!$E$19:$F$115,2,FALSE)/1000</f>
        <v>1980254.4448999998</v>
      </c>
      <c r="C49" s="43">
        <f>VLOOKUP(A49,'GDP quarterly'!$A$19:$B$147,2,FALSE)</f>
        <v>16103739.800000001</v>
      </c>
      <c r="D49" s="44">
        <f t="shared" si="0"/>
        <v>1320169.629933333</v>
      </c>
      <c r="E49" s="45">
        <f t="shared" si="1"/>
        <v>8.1979071093370062E-2</v>
      </c>
    </row>
    <row r="50" spans="1:5" x14ac:dyDescent="0.3">
      <c r="A50" s="46">
        <v>41000</v>
      </c>
      <c r="B50" s="43">
        <f>VLOOKUP(A50,'M1'!$E$19:$F$115,2,FALSE)/1000</f>
        <v>2040535.6597799999</v>
      </c>
      <c r="C50" s="43">
        <f>VLOOKUP(A50,'GDP quarterly'!$A$19:$B$147,2,FALSE)</f>
        <v>16384468</v>
      </c>
      <c r="D50" s="44">
        <f t="shared" si="0"/>
        <v>1360357.1065199999</v>
      </c>
      <c r="E50" s="45">
        <f t="shared" si="1"/>
        <v>8.302723692462885E-2</v>
      </c>
    </row>
    <row r="51" spans="1:5" x14ac:dyDescent="0.3">
      <c r="A51" s="47">
        <v>41091</v>
      </c>
      <c r="B51" s="43">
        <f>VLOOKUP(A51,'M1'!$E$19:$F$115,2,FALSE)/1000</f>
        <v>2062449.4055933333</v>
      </c>
      <c r="C51" s="43">
        <f>VLOOKUP(A51,'GDP quarterly'!$A$19:$B$147,2,FALSE)</f>
        <v>16581027.1</v>
      </c>
      <c r="D51" s="44">
        <f t="shared" si="0"/>
        <v>1374966.2703955555</v>
      </c>
      <c r="E51" s="45">
        <f t="shared" si="1"/>
        <v>8.2924071114723386E-2</v>
      </c>
    </row>
    <row r="52" spans="1:5" x14ac:dyDescent="0.3">
      <c r="A52" s="48">
        <v>41183</v>
      </c>
      <c r="B52" s="43">
        <f>VLOOKUP(A52,'M1'!$E$19:$F$115,2,FALSE)/1000</f>
        <v>2154984.8703966672</v>
      </c>
      <c r="C52" s="43">
        <f>VLOOKUP(A52,'GDP quarterly'!$A$19:$B$147,2,FALSE)</f>
        <v>17047261.100000001</v>
      </c>
      <c r="D52" s="44">
        <f t="shared" si="0"/>
        <v>1436656.5802644447</v>
      </c>
      <c r="E52" s="45">
        <f t="shared" si="1"/>
        <v>8.4274920870687234E-2</v>
      </c>
    </row>
    <row r="53" spans="1:5" x14ac:dyDescent="0.3">
      <c r="A53" s="42">
        <v>41275</v>
      </c>
      <c r="B53" s="43">
        <f>VLOOKUP(A53,'M1'!$E$19:$F$115,2,FALSE)/1000</f>
        <v>2167391.9612866668</v>
      </c>
      <c r="C53" s="43">
        <f>VLOOKUP(A53,'GDP quarterly'!$A$19:$B$147,2,FALSE)</f>
        <v>16420163.699999999</v>
      </c>
      <c r="D53" s="44">
        <f t="shared" si="0"/>
        <v>1444927.974191111</v>
      </c>
      <c r="E53" s="45">
        <f t="shared" si="1"/>
        <v>8.7997172293179465E-2</v>
      </c>
    </row>
    <row r="54" spans="1:5" x14ac:dyDescent="0.3">
      <c r="A54" s="46">
        <v>41365</v>
      </c>
      <c r="B54" s="43">
        <f>VLOOKUP(A54,'M1'!$E$19:$F$115,2,FALSE)/1000</f>
        <v>2175019.1645033336</v>
      </c>
      <c r="C54" s="43">
        <f>VLOOKUP(A54,'GDP quarterly'!$A$19:$B$147,2,FALSE)</f>
        <v>16844478.800000001</v>
      </c>
      <c r="D54" s="44">
        <f t="shared" si="0"/>
        <v>1450012.7763355556</v>
      </c>
      <c r="E54" s="45">
        <f t="shared" si="1"/>
        <v>8.6082377113120029E-2</v>
      </c>
    </row>
    <row r="55" spans="1:5" x14ac:dyDescent="0.3">
      <c r="A55" s="47">
        <v>41456</v>
      </c>
      <c r="B55" s="43">
        <f>VLOOKUP(A55,'M1'!$E$19:$F$115,2,FALSE)/1000</f>
        <v>2230992.6542999996</v>
      </c>
      <c r="C55" s="43">
        <f>VLOOKUP(A55,'GDP quarterly'!$A$19:$B$147,2,FALSE)</f>
        <v>16981720.899999999</v>
      </c>
      <c r="D55" s="44">
        <f t="shared" si="0"/>
        <v>1487328.4361999996</v>
      </c>
      <c r="E55" s="45">
        <f t="shared" si="1"/>
        <v>8.7584082023159371E-2</v>
      </c>
    </row>
    <row r="56" spans="1:5" x14ac:dyDescent="0.3">
      <c r="A56" s="48">
        <v>41548</v>
      </c>
      <c r="B56" s="43">
        <f>VLOOKUP(A56,'M1'!$E$19:$F$115,2,FALSE)/1000</f>
        <v>2356800.3733233334</v>
      </c>
      <c r="C56" s="43">
        <f>VLOOKUP(A56,'GDP quarterly'!$A$19:$B$147,2,FALSE)</f>
        <v>17569659.300000001</v>
      </c>
      <c r="D56" s="44">
        <f t="shared" si="0"/>
        <v>1571200.2488822222</v>
      </c>
      <c r="E56" s="45">
        <f t="shared" si="1"/>
        <v>8.9426904759742396E-2</v>
      </c>
    </row>
    <row r="57" spans="1:5" x14ac:dyDescent="0.3">
      <c r="A57" s="42">
        <v>41640</v>
      </c>
      <c r="B57" s="43">
        <f>VLOOKUP(A57,'M1'!$E$19:$F$115,2,FALSE)/1000</f>
        <v>2445671.3653233331</v>
      </c>
      <c r="C57" s="43">
        <f>VLOOKUP(A57,'GDP quarterly'!$A$19:$B$147,2,FALSE)</f>
        <v>17404245.600000001</v>
      </c>
      <c r="D57" s="44">
        <f t="shared" si="0"/>
        <v>1630447.576882222</v>
      </c>
      <c r="E57" s="45">
        <f t="shared" si="1"/>
        <v>9.3681025558627021E-2</v>
      </c>
    </row>
    <row r="58" spans="1:5" x14ac:dyDescent="0.3">
      <c r="A58" s="46">
        <v>41730</v>
      </c>
      <c r="B58" s="43">
        <f>VLOOKUP(A58,'M1'!$E$19:$F$115,2,FALSE)/1000</f>
        <v>2484905.4280066667</v>
      </c>
      <c r="C58" s="43">
        <f>VLOOKUP(A58,'GDP quarterly'!$A$19:$B$147,2,FALSE)</f>
        <v>18042241.100000001</v>
      </c>
      <c r="D58" s="44">
        <f t="shared" si="0"/>
        <v>1656603.6186711111</v>
      </c>
      <c r="E58" s="45">
        <f t="shared" si="1"/>
        <v>9.1818062373144479E-2</v>
      </c>
    </row>
    <row r="59" spans="1:5" x14ac:dyDescent="0.3">
      <c r="A59" s="47">
        <v>41821</v>
      </c>
      <c r="B59" s="43">
        <f>VLOOKUP(A59,'M1'!$E$19:$F$115,2,FALSE)/1000</f>
        <v>2544334.2146833329</v>
      </c>
      <c r="C59" s="43">
        <f>VLOOKUP(A59,'GDP quarterly'!$A$19:$B$147,2,FALSE)</f>
        <v>18219506.300000001</v>
      </c>
      <c r="D59" s="44">
        <f t="shared" si="0"/>
        <v>1696222.8097888886</v>
      </c>
      <c r="E59" s="45">
        <f t="shared" si="1"/>
        <v>9.3099274034054838E-2</v>
      </c>
    </row>
    <row r="60" spans="1:5" x14ac:dyDescent="0.3">
      <c r="A60" s="48">
        <v>41913</v>
      </c>
      <c r="B60" s="43">
        <f>VLOOKUP(A60,'M1'!$E$19:$F$115,2,FALSE)/1000</f>
        <v>2735584.8402600004</v>
      </c>
      <c r="C60" s="43">
        <f>VLOOKUP(A60,'GDP quarterly'!$A$19:$B$147,2,FALSE)</f>
        <v>18884609.399999999</v>
      </c>
      <c r="D60" s="44">
        <f t="shared" si="0"/>
        <v>1823723.2268400001</v>
      </c>
      <c r="E60" s="45">
        <f t="shared" si="1"/>
        <v>9.6571932636319191E-2</v>
      </c>
    </row>
    <row r="61" spans="1:5" x14ac:dyDescent="0.3">
      <c r="A61" s="42">
        <v>42005</v>
      </c>
      <c r="B61" s="43">
        <f>VLOOKUP(A61,'M1'!$E$19:$F$115,2,FALSE)/1000</f>
        <v>2880218.8551599998</v>
      </c>
      <c r="C61" s="43">
        <f>VLOOKUP(A61,'GDP quarterly'!$A$19:$B$147,2,FALSE)</f>
        <v>18389552.800000001</v>
      </c>
      <c r="D61" s="44">
        <f t="shared" si="0"/>
        <v>1920145.9034399998</v>
      </c>
      <c r="E61" s="45">
        <f t="shared" si="1"/>
        <v>0.10441504066591548</v>
      </c>
    </row>
    <row r="62" spans="1:5" x14ac:dyDescent="0.3">
      <c r="A62" s="46">
        <v>42095</v>
      </c>
      <c r="B62" s="43">
        <f>VLOOKUP(A62,'M1'!$E$19:$F$115,2,FALSE)/1000</f>
        <v>2943880.2774566668</v>
      </c>
      <c r="C62" s="43">
        <f>VLOOKUP(A62,'GDP quarterly'!$A$19:$B$147,2,FALSE)</f>
        <v>19087521.100000001</v>
      </c>
      <c r="D62" s="44">
        <f t="shared" si="0"/>
        <v>1962586.8516377779</v>
      </c>
      <c r="E62" s="45">
        <f t="shared" si="1"/>
        <v>0.10282041556657547</v>
      </c>
    </row>
    <row r="63" spans="1:5" x14ac:dyDescent="0.3">
      <c r="A63" s="47">
        <v>42186</v>
      </c>
      <c r="B63" s="43">
        <f>VLOOKUP(A63,'M1'!$E$19:$F$115,2,FALSE)/1000</f>
        <v>3044194.1105533331</v>
      </c>
      <c r="C63" s="43">
        <f>VLOOKUP(A63,'GDP quarterly'!$A$19:$B$147,2,FALSE)</f>
        <v>19467455.899999999</v>
      </c>
      <c r="D63" s="44">
        <f t="shared" si="0"/>
        <v>2029462.7403688887</v>
      </c>
      <c r="E63" s="45">
        <f t="shared" si="1"/>
        <v>0.10424899641708647</v>
      </c>
    </row>
    <row r="64" spans="1:5" x14ac:dyDescent="0.3">
      <c r="A64" s="48">
        <v>42278</v>
      </c>
      <c r="B64" s="43">
        <f>VLOOKUP(A64,'M1'!$E$19:$F$115,2,FALSE)/1000</f>
        <v>3194054.6925866664</v>
      </c>
      <c r="C64" s="43">
        <f>VLOOKUP(A64,'GDP quarterly'!$A$19:$B$147,2,FALSE)</f>
        <v>19969928.800000001</v>
      </c>
      <c r="D64" s="44">
        <f t="shared" si="0"/>
        <v>2129369.7950577773</v>
      </c>
      <c r="E64" s="45">
        <f t="shared" si="1"/>
        <v>0.10662881257031709</v>
      </c>
    </row>
    <row r="65" spans="1:5" x14ac:dyDescent="0.3">
      <c r="A65" s="42">
        <v>42370</v>
      </c>
      <c r="B65" s="43">
        <f>VLOOKUP(A65,'M1'!$E$19:$F$115,2,FALSE)/1000</f>
        <v>3289921.2338433336</v>
      </c>
      <c r="C65" s="43">
        <f>VLOOKUP(A65,'GDP quarterly'!$A$19:$B$147,2,FALSE)</f>
        <v>19541662</v>
      </c>
      <c r="D65" s="44">
        <f t="shared" si="0"/>
        <v>2193280.8225622224</v>
      </c>
      <c r="E65" s="45">
        <f t="shared" si="1"/>
        <v>0.11223614565445982</v>
      </c>
    </row>
    <row r="66" spans="1:5" x14ac:dyDescent="0.3">
      <c r="A66" s="46">
        <v>42461</v>
      </c>
      <c r="B66" s="43">
        <f>VLOOKUP(A66,'M1'!$E$19:$F$115,2,FALSE)/1000</f>
        <v>3380253.6563799996</v>
      </c>
      <c r="C66" s="43">
        <f>VLOOKUP(A66,'GDP quarterly'!$A$19:$B$147,2,FALSE)</f>
        <v>20557131</v>
      </c>
      <c r="D66" s="44">
        <f t="shared" si="0"/>
        <v>2253502.4375866661</v>
      </c>
      <c r="E66" s="45">
        <f t="shared" si="1"/>
        <v>0.10962144657183272</v>
      </c>
    </row>
    <row r="67" spans="1:5" x14ac:dyDescent="0.3">
      <c r="A67" s="47">
        <v>42552</v>
      </c>
      <c r="B67" s="43">
        <f>VLOOKUP(A67,'M1'!$E$19:$F$115,2,FALSE)/1000</f>
        <v>3471495.4424166665</v>
      </c>
      <c r="C67" s="43">
        <f>VLOOKUP(A67,'GDP quarterly'!$A$19:$B$147,2,FALSE)</f>
        <v>20921915.800000001</v>
      </c>
      <c r="D67" s="44">
        <f t="shared" si="0"/>
        <v>2314330.2949444442</v>
      </c>
      <c r="E67" s="45">
        <f t="shared" si="1"/>
        <v>0.11061751309334894</v>
      </c>
    </row>
    <row r="68" spans="1:5" x14ac:dyDescent="0.3">
      <c r="A68" s="48">
        <v>42644</v>
      </c>
      <c r="B68" s="43">
        <f>VLOOKUP(A68,'M1'!$E$19:$F$115,2,FALSE)/1000</f>
        <v>3677547.5928633334</v>
      </c>
      <c r="C68" s="43">
        <f>VLOOKUP(A68,'GDP quarterly'!$A$19:$B$147,2,FALSE)</f>
        <v>22014453.199999999</v>
      </c>
      <c r="D68" s="44">
        <f t="shared" si="0"/>
        <v>2451698.3952422221</v>
      </c>
      <c r="E68" s="45">
        <f t="shared" si="1"/>
        <v>0.11136767163684184</v>
      </c>
    </row>
    <row r="69" spans="1:5" x14ac:dyDescent="0.3">
      <c r="A69" s="42">
        <v>42736</v>
      </c>
      <c r="B69" s="43">
        <f>VLOOKUP(A69,'M1'!$E$19:$F$115,2,FALSE)/1000</f>
        <v>3797751.7064399999</v>
      </c>
      <c r="C69" s="43">
        <f>VLOOKUP(A69,'GDP quarterly'!$A$19:$B$147,2,FALSE)</f>
        <v>21923238.600000001</v>
      </c>
      <c r="D69" s="44">
        <f t="shared" si="0"/>
        <v>2531834.4709599996</v>
      </c>
      <c r="E69" s="45">
        <f t="shared" si="1"/>
        <v>0.11548633471333927</v>
      </c>
    </row>
    <row r="70" spans="1:5" x14ac:dyDescent="0.3">
      <c r="A70" s="46">
        <v>42826</v>
      </c>
      <c r="B70" s="43">
        <f>VLOOKUP(A70,'M1'!$E$19:$F$115,2,FALSE)/1000</f>
        <v>3785970.0501933331</v>
      </c>
      <c r="C70" s="43">
        <f>VLOOKUP(A70,'GDP quarterly'!$A$19:$B$147,2,FALSE)</f>
        <v>22351041.800000001</v>
      </c>
      <c r="D70" s="44">
        <f t="shared" ref="D70:D101" si="2">B70*$C$1</f>
        <v>2523980.0334622217</v>
      </c>
      <c r="E70" s="45">
        <f t="shared" ref="E70:E101" si="3">D70/C70</f>
        <v>0.11292449166562883</v>
      </c>
    </row>
    <row r="71" spans="1:5" x14ac:dyDescent="0.3">
      <c r="A71" s="47">
        <v>42917</v>
      </c>
      <c r="B71" s="43">
        <f>VLOOKUP(A71,'M1'!$E$19:$F$115,2,FALSE)/1000</f>
        <v>3819746.2842199998</v>
      </c>
      <c r="C71" s="43">
        <f>VLOOKUP(A71,'GDP quarterly'!$A$19:$B$147,2,FALSE)</f>
        <v>22424376.800000001</v>
      </c>
      <c r="D71" s="44">
        <f t="shared" si="2"/>
        <v>2546497.5228133332</v>
      </c>
      <c r="E71" s="45">
        <f t="shared" si="3"/>
        <v>0.11355934416930298</v>
      </c>
    </row>
    <row r="72" spans="1:5" x14ac:dyDescent="0.3">
      <c r="A72" s="48">
        <v>43009</v>
      </c>
      <c r="B72" s="43">
        <f>VLOOKUP(A72,'M1'!$E$19:$F$115,2,FALSE)/1000</f>
        <v>4059772.9460566668</v>
      </c>
      <c r="C72" s="43">
        <f>VLOOKUP(A72,'GDP quarterly'!$A$19:$B$147,2,FALSE)</f>
        <v>23446183.899999999</v>
      </c>
      <c r="D72" s="44">
        <f t="shared" si="2"/>
        <v>2706515.2973711109</v>
      </c>
      <c r="E72" s="45">
        <f t="shared" si="3"/>
        <v>0.11543521576537284</v>
      </c>
    </row>
    <row r="73" spans="1:5" x14ac:dyDescent="0.3">
      <c r="A73" s="42">
        <v>43101</v>
      </c>
      <c r="B73" s="43">
        <f>VLOOKUP(A73,'M1'!$E$19:$F$115,2,FALSE)/1000</f>
        <v>4096723.2510400005</v>
      </c>
      <c r="C73" s="43">
        <f>VLOOKUP(A73,'GDP quarterly'!$A$19:$B$147,2,FALSE)</f>
        <v>23181560.800000001</v>
      </c>
      <c r="D73" s="44">
        <f t="shared" si="2"/>
        <v>2731148.8340266668</v>
      </c>
      <c r="E73" s="45">
        <f t="shared" si="3"/>
        <v>0.11781557150486031</v>
      </c>
    </row>
    <row r="74" spans="1:5" x14ac:dyDescent="0.3">
      <c r="A74" s="46">
        <v>43191</v>
      </c>
      <c r="B74" s="43">
        <f>VLOOKUP(A74,'M1'!$E$19:$F$115,2,FALSE)/1000</f>
        <v>4194425.9253199995</v>
      </c>
      <c r="C74" s="43">
        <f>VLOOKUP(A74,'GDP quarterly'!$A$19:$B$147,2,FALSE)</f>
        <v>24136849.699999999</v>
      </c>
      <c r="D74" s="44">
        <f t="shared" si="2"/>
        <v>2796283.9502133327</v>
      </c>
      <c r="E74" s="45">
        <f t="shared" si="3"/>
        <v>0.11585123928634866</v>
      </c>
    </row>
    <row r="75" spans="1:5" x14ac:dyDescent="0.3">
      <c r="A75" s="47">
        <v>43282</v>
      </c>
      <c r="B75" s="43">
        <f>VLOOKUP(A75,'M1'!$E$19:$F$115,2,FALSE)/1000</f>
        <v>4176709.5107333334</v>
      </c>
      <c r="C75" s="43">
        <f>VLOOKUP(A75,'GDP quarterly'!$A$19:$B$147,2,FALSE)</f>
        <v>24262575.699999999</v>
      </c>
      <c r="D75" s="44">
        <f t="shared" si="2"/>
        <v>2784473.0071555553</v>
      </c>
      <c r="E75" s="45">
        <f t="shared" si="3"/>
        <v>0.11476411414784603</v>
      </c>
    </row>
    <row r="76" spans="1:5" x14ac:dyDescent="0.3">
      <c r="A76" s="48">
        <v>43374</v>
      </c>
      <c r="B76" s="43">
        <f>VLOOKUP(A76,'M1'!$E$19:$F$115,2,FALSE)/1000</f>
        <v>4349077.7457266664</v>
      </c>
      <c r="C76" s="43">
        <f>VLOOKUP(A76,'GDP quarterly'!$A$19:$B$147,2,FALSE)</f>
        <v>25125695.300000001</v>
      </c>
      <c r="D76" s="44">
        <f t="shared" si="2"/>
        <v>2899385.1638177773</v>
      </c>
      <c r="E76" s="45">
        <f t="shared" si="3"/>
        <v>0.11539522107544531</v>
      </c>
    </row>
    <row r="77" spans="1:5" x14ac:dyDescent="0.3">
      <c r="A77" s="42">
        <v>43466</v>
      </c>
      <c r="B77" s="43">
        <f>VLOOKUP(A77,'M1'!$E$19:$F$115,2,FALSE)/1000</f>
        <v>4315559.9203366674</v>
      </c>
      <c r="C77" s="43">
        <f>VLOOKUP(A77,'GDP quarterly'!$A$19:$B$147,2,FALSE)</f>
        <v>24545487.399999999</v>
      </c>
      <c r="D77" s="44">
        <f t="shared" si="2"/>
        <v>2877039.9468911113</v>
      </c>
      <c r="E77" s="45">
        <f t="shared" si="3"/>
        <v>0.11721258168583409</v>
      </c>
    </row>
    <row r="78" spans="1:5" x14ac:dyDescent="0.3">
      <c r="A78" s="46">
        <v>43556</v>
      </c>
      <c r="B78" s="43">
        <f>VLOOKUP(A78,'M1'!$E$19:$F$115,2,FALSE)/1000</f>
        <v>4326774.8319333335</v>
      </c>
      <c r="C78" s="43">
        <f>VLOOKUP(A78,'GDP quarterly'!$A$19:$B$147,2,FALSE)</f>
        <v>25036529.899999999</v>
      </c>
      <c r="D78" s="44">
        <f t="shared" si="2"/>
        <v>2884516.5546222222</v>
      </c>
      <c r="E78" s="45">
        <f t="shared" si="3"/>
        <v>0.11521231441191945</v>
      </c>
    </row>
    <row r="79" spans="1:5" x14ac:dyDescent="0.3">
      <c r="A79" s="47">
        <v>43647</v>
      </c>
      <c r="B79" s="43">
        <f>VLOOKUP(A79,'M1'!$E$19:$F$115,2,FALSE)/1000</f>
        <v>4344235.572900001</v>
      </c>
      <c r="C79" s="43">
        <f>VLOOKUP(A79,'GDP quarterly'!$A$19:$B$147,2,FALSE)</f>
        <v>25182903.600000001</v>
      </c>
      <c r="D79" s="44">
        <f t="shared" si="2"/>
        <v>2896157.0486000003</v>
      </c>
      <c r="E79" s="45">
        <f t="shared" si="3"/>
        <v>0.11500488961090254</v>
      </c>
    </row>
    <row r="80" spans="1:5" x14ac:dyDescent="0.3">
      <c r="A80" s="48">
        <v>43739</v>
      </c>
      <c r="B80" s="43">
        <f>VLOOKUP(A80,'M1'!$E$19:$F$115,2,FALSE)/1000</f>
        <v>4517084.0320233339</v>
      </c>
      <c r="C80" s="43">
        <f>VLOOKUP(A80,'GDP quarterly'!$A$19:$B$147,2,FALSE)</f>
        <v>25722372.300000001</v>
      </c>
      <c r="D80" s="44">
        <f t="shared" si="2"/>
        <v>3011389.3546822225</v>
      </c>
      <c r="E80" s="45">
        <f t="shared" si="3"/>
        <v>0.11707276916609369</v>
      </c>
    </row>
    <row r="81" spans="1:5" x14ac:dyDescent="0.3">
      <c r="A81" s="42">
        <v>43831</v>
      </c>
      <c r="B81" s="43">
        <f>VLOOKUP(A81,'M1'!$E$19:$F$115,2,FALSE)/1000</f>
        <v>4677004.8284700001</v>
      </c>
      <c r="C81" s="43">
        <f>VLOOKUP(A81,'GDP quarterly'!$A$19:$B$147,2,FALSE)</f>
        <v>25329437.399999999</v>
      </c>
      <c r="D81" s="44">
        <f t="shared" si="2"/>
        <v>3118003.2189799999</v>
      </c>
      <c r="E81" s="45">
        <f t="shared" si="3"/>
        <v>0.12309800528692359</v>
      </c>
    </row>
    <row r="82" spans="1:5" x14ac:dyDescent="0.3">
      <c r="A82" s="46">
        <v>43922</v>
      </c>
      <c r="B82" s="43">
        <f>VLOOKUP(A82,'M1'!$E$19:$F$115,2,FALSE)/1000</f>
        <v>5146854.8709700005</v>
      </c>
      <c r="C82" s="43">
        <f>VLOOKUP(A82,'GDP quarterly'!$A$19:$B$147,2,FALSE)</f>
        <v>20799029.399999999</v>
      </c>
      <c r="D82" s="44">
        <f t="shared" si="2"/>
        <v>3431236.5806466667</v>
      </c>
      <c r="E82" s="45">
        <f t="shared" si="3"/>
        <v>0.16497099526416684</v>
      </c>
    </row>
    <row r="83" spans="1:5" x14ac:dyDescent="0.3">
      <c r="A83" s="47">
        <v>44013</v>
      </c>
      <c r="B83" s="43">
        <f>VLOOKUP(A83,'M1'!$E$19:$F$115,2,FALSE)/1000</f>
        <v>5237865.815266666</v>
      </c>
      <c r="C83" s="43">
        <f>VLOOKUP(A83,'GDP quarterly'!$A$19:$B$147,2,FALSE)</f>
        <v>24267753.199999999</v>
      </c>
      <c r="D83" s="44">
        <f t="shared" si="2"/>
        <v>3491910.5435111104</v>
      </c>
      <c r="E83" s="45">
        <f t="shared" si="3"/>
        <v>0.14389096982868238</v>
      </c>
    </row>
    <row r="84" spans="1:5" x14ac:dyDescent="0.3">
      <c r="A84" s="48">
        <v>44105</v>
      </c>
      <c r="B84" s="43">
        <f>VLOOKUP(A84,'M1'!$E$19:$F$115,2,FALSE)/1000</f>
        <v>5453169.9873366663</v>
      </c>
      <c r="C84" s="43">
        <f>VLOOKUP(A84,'GDP quarterly'!$A$19:$B$147,2,FALSE)</f>
        <v>25950812.5</v>
      </c>
      <c r="D84" s="44">
        <f t="shared" si="2"/>
        <v>3635446.6582244439</v>
      </c>
      <c r="E84" s="45">
        <f t="shared" si="3"/>
        <v>0.14008989730955221</v>
      </c>
    </row>
    <row r="85" spans="1:5" x14ac:dyDescent="0.3">
      <c r="A85" s="42">
        <v>44197</v>
      </c>
      <c r="B85" s="43">
        <f>VLOOKUP(A85,'M1'!$E$19:$F$115,2,FALSE)/1000</f>
        <v>5621145.1468566665</v>
      </c>
      <c r="C85" s="43">
        <f>VLOOKUP(A85,'GDP quarterly'!$A$19:$B$147,2,FALSE)</f>
        <v>25662775.100000001</v>
      </c>
      <c r="D85" s="44">
        <f t="shared" si="2"/>
        <v>3747430.0979044442</v>
      </c>
      <c r="E85" s="45">
        <f t="shared" si="3"/>
        <v>0.14602591042090549</v>
      </c>
    </row>
    <row r="86" spans="1:5" x14ac:dyDescent="0.3">
      <c r="A86" s="46">
        <v>44287</v>
      </c>
      <c r="B86" s="43">
        <f>VLOOKUP(A86,'M1'!$E$19:$F$115,2,FALSE)/1000</f>
        <v>5724975.8807099992</v>
      </c>
      <c r="C86" s="43">
        <f>VLOOKUP(A86,'GDP quarterly'!$A$19:$B$147,2,FALSE)</f>
        <v>26635791</v>
      </c>
      <c r="D86" s="44">
        <f t="shared" si="2"/>
        <v>3816650.5871399995</v>
      </c>
      <c r="E86" s="45">
        <f t="shared" si="3"/>
        <v>0.14329030390499758</v>
      </c>
    </row>
    <row r="87" spans="1:5" x14ac:dyDescent="0.3">
      <c r="A87" s="47">
        <v>44378</v>
      </c>
      <c r="B87" s="43">
        <f>VLOOKUP(A87,'M1'!$E$19:$F$115,2,FALSE)/1000</f>
        <v>5867970.5341566671</v>
      </c>
      <c r="C87" s="43">
        <f>VLOOKUP(A87,'GDP quarterly'!$A$19:$B$147,2,FALSE)</f>
        <v>26611648.199999999</v>
      </c>
      <c r="D87" s="44">
        <f t="shared" si="2"/>
        <v>3911980.3561044447</v>
      </c>
      <c r="E87" s="45">
        <f t="shared" si="3"/>
        <v>0.14700255792891645</v>
      </c>
    </row>
    <row r="88" spans="1:5" x14ac:dyDescent="0.3">
      <c r="A88" s="48">
        <v>44470</v>
      </c>
      <c r="B88" s="43">
        <f>VLOOKUP(A88,'M1'!$E$19:$F$115,2,FALSE)/1000</f>
        <v>6139515.3521533329</v>
      </c>
      <c r="C88" s="43">
        <f>VLOOKUP(A88,'GDP quarterly'!$A$19:$B$147,2,FALSE)</f>
        <v>27849919.300000001</v>
      </c>
      <c r="D88" s="44">
        <f t="shared" si="2"/>
        <v>4093010.2347688884</v>
      </c>
      <c r="E88" s="45">
        <f t="shared" si="3"/>
        <v>0.14696668204596516</v>
      </c>
    </row>
    <row r="89" spans="1:5" x14ac:dyDescent="0.3">
      <c r="A89" s="42">
        <v>44562</v>
      </c>
      <c r="B89" s="43">
        <f>VLOOKUP(A89,'M1'!$E$19:$F$115,2,FALSE)/1000</f>
        <v>6339287.6157733332</v>
      </c>
      <c r="C89" s="43">
        <f>VLOOKUP(A89,'GDP quarterly'!$A$19:$B$147,2,FALSE)</f>
        <v>27954717.899999999</v>
      </c>
      <c r="D89" s="44">
        <f t="shared" si="2"/>
        <v>4226191.7438488882</v>
      </c>
      <c r="E89" s="45">
        <f t="shared" si="3"/>
        <v>0.1511799102737105</v>
      </c>
    </row>
    <row r="90" spans="1:5" x14ac:dyDescent="0.3">
      <c r="A90" s="46">
        <v>44652</v>
      </c>
      <c r="B90" s="43">
        <f>VLOOKUP(A90,'M1'!$E$19:$F$115,2,FALSE)/1000</f>
        <v>6435997.7706466671</v>
      </c>
      <c r="C90" s="43">
        <f>VLOOKUP(A90,'GDP quarterly'!$A$19:$B$147,2,FALSE)</f>
        <v>29440214.300000001</v>
      </c>
      <c r="D90" s="44">
        <f t="shared" si="2"/>
        <v>4290665.1804311108</v>
      </c>
      <c r="E90" s="45">
        <f t="shared" si="3"/>
        <v>0.14574164225533884</v>
      </c>
    </row>
    <row r="91" spans="1:5" x14ac:dyDescent="0.3">
      <c r="A91" s="47">
        <v>44743</v>
      </c>
      <c r="B91" s="43">
        <f>VLOOKUP(A91,'M1'!$E$19:$F$115,2,FALSE)/1000</f>
        <v>6464924.6169266673</v>
      </c>
      <c r="C91" s="43">
        <f>VLOOKUP(A91,'GDP quarterly'!$A$19:$B$147,2,FALSE)</f>
        <v>29744393.699999999</v>
      </c>
      <c r="D91" s="44">
        <f t="shared" si="2"/>
        <v>4309949.7446177779</v>
      </c>
      <c r="E91" s="45">
        <f t="shared" si="3"/>
        <v>0.14489956622036568</v>
      </c>
    </row>
    <row r="92" spans="1:5" x14ac:dyDescent="0.3">
      <c r="A92" s="48">
        <v>44835</v>
      </c>
      <c r="B92" s="43">
        <f>VLOOKUP(A92,'M1'!$E$19:$F$115,2,FALSE)/1000</f>
        <v>6672295.6082300004</v>
      </c>
      <c r="C92" s="43">
        <f>VLOOKUP(A92,'GDP quarterly'!$A$19:$B$147,2,FALSE)</f>
        <v>30962708.699999999</v>
      </c>
      <c r="D92" s="44">
        <f t="shared" si="2"/>
        <v>4448197.0721533336</v>
      </c>
      <c r="E92" s="45">
        <f t="shared" si="3"/>
        <v>0.1436630469011044</v>
      </c>
    </row>
    <row r="93" spans="1:5" x14ac:dyDescent="0.3">
      <c r="A93" s="42">
        <v>44927</v>
      </c>
      <c r="B93" s="43">
        <f>VLOOKUP(A93,'M1'!$E$19:$F$115,2,FALSE)/1000</f>
        <v>6653640.0672166673</v>
      </c>
      <c r="C93" s="43">
        <f>VLOOKUP(A93,'GDP quarterly'!$A$19:$B$147,2,FALSE)</f>
        <v>30497488.399999999</v>
      </c>
      <c r="D93" s="44">
        <f t="shared" si="2"/>
        <v>4435760.0448111109</v>
      </c>
      <c r="E93" s="45">
        <f t="shared" si="3"/>
        <v>0.14544673274836334</v>
      </c>
    </row>
    <row r="94" spans="1:5" x14ac:dyDescent="0.3">
      <c r="A94" s="46">
        <v>45017</v>
      </c>
      <c r="B94" s="43">
        <f>VLOOKUP(A94,'M1'!$E$19:$F$115,2,FALSE)/1000</f>
        <v>6698493.5082933325</v>
      </c>
      <c r="C94" s="43">
        <f>VLOOKUP(A94,'GDP quarterly'!$A$19:$B$147,2,FALSE)</f>
        <v>31664814.100000001</v>
      </c>
      <c r="D94" s="44">
        <f t="shared" si="2"/>
        <v>4465662.3388622217</v>
      </c>
      <c r="E94" s="45">
        <f t="shared" si="3"/>
        <v>0.141029166467212</v>
      </c>
    </row>
    <row r="95" spans="1:5" x14ac:dyDescent="0.3">
      <c r="A95" s="47">
        <v>45108</v>
      </c>
      <c r="B95" s="43">
        <f>VLOOKUP(A95,'M1'!$E$19:$F$115,2,FALSE)/1000</f>
        <v>6824483.3010233333</v>
      </c>
      <c r="C95" s="43">
        <f>VLOOKUP(A95,'GDP quarterly'!$A$19:$B$147,2,FALSE)</f>
        <v>32189998.899999999</v>
      </c>
      <c r="D95" s="44">
        <f t="shared" si="2"/>
        <v>4549655.5340155549</v>
      </c>
      <c r="E95" s="45">
        <f t="shared" si="3"/>
        <v>0.14133754860164208</v>
      </c>
    </row>
    <row r="96" spans="1:5" x14ac:dyDescent="0.3">
      <c r="A96" s="48">
        <v>45200</v>
      </c>
      <c r="B96" s="43">
        <f>VLOOKUP(A96,'M1'!$E$19:$F$115,2,FALSE)/1000</f>
        <v>7168481.370976666</v>
      </c>
      <c r="C96" s="43">
        <f>VLOOKUP(A96,'GDP quarterly'!$A$19:$B$147,2,FALSE)</f>
        <v>33390950.699999999</v>
      </c>
      <c r="D96" s="44">
        <f t="shared" si="2"/>
        <v>4778987.58065111</v>
      </c>
      <c r="E96" s="45">
        <f t="shared" si="3"/>
        <v>0.14312223762622939</v>
      </c>
    </row>
    <row r="97" spans="1:5" x14ac:dyDescent="0.3">
      <c r="A97" s="42">
        <v>45292</v>
      </c>
      <c r="B97" s="43">
        <f>VLOOKUP(A97,'M1'!$E$19:$F$115,2,FALSE)/1000</f>
        <v>7383495.3973066667</v>
      </c>
      <c r="C97" s="43">
        <f>VLOOKUP(A97,'GDP quarterly'!$A$19:$B$147,2,FALSE)</f>
        <v>32172775.300000001</v>
      </c>
      <c r="D97" s="44">
        <f t="shared" si="2"/>
        <v>4922330.2648711111</v>
      </c>
      <c r="E97" s="45">
        <f t="shared" si="3"/>
        <v>0.15299675638710319</v>
      </c>
    </row>
    <row r="98" spans="1:5" x14ac:dyDescent="0.3">
      <c r="A98" s="46">
        <v>45383</v>
      </c>
      <c r="B98" s="43">
        <f>VLOOKUP(A98,'M1'!$E$19:$F$115,2,FALSE)/1000</f>
        <v>7423622.5976800006</v>
      </c>
      <c r="C98" s="43">
        <f>VLOOKUP(A98,'GDP quarterly'!$A$19:$B$147,2,FALSE)</f>
        <v>33974584.299999997</v>
      </c>
      <c r="D98" s="44">
        <f t="shared" si="2"/>
        <v>4949081.7317866664</v>
      </c>
      <c r="E98" s="45">
        <f t="shared" si="3"/>
        <v>0.14567011881839764</v>
      </c>
    </row>
    <row r="99" spans="1:5" x14ac:dyDescent="0.3">
      <c r="A99" s="47">
        <v>45474</v>
      </c>
      <c r="B99" s="43">
        <f>VLOOKUP(A99,'M1'!$E$19:$F$115,2,FALSE)/1000</f>
        <v>7580087.5671100002</v>
      </c>
      <c r="C99" s="43">
        <f>VLOOKUP(A99,'GDP quarterly'!$A$19:$B$147,2,FALSE)</f>
        <v>34412849.200000003</v>
      </c>
      <c r="D99" s="44">
        <f t="shared" si="2"/>
        <v>5053391.7114066668</v>
      </c>
      <c r="E99" s="45">
        <f t="shared" si="3"/>
        <v>0.14684607142051656</v>
      </c>
    </row>
    <row r="100" spans="1:5" x14ac:dyDescent="0.3">
      <c r="A100" s="48">
        <v>45566</v>
      </c>
      <c r="B100" s="43">
        <f>VLOOKUP(A100,'M1'!$E$19:$F$115,2,FALSE)/1000</f>
        <v>7978190.1847433327</v>
      </c>
      <c r="C100" s="43">
        <f>VLOOKUP(A100,'GDP quarterly'!$A$19:$B$147,2,FALSE)</f>
        <v>35361827.100000001</v>
      </c>
      <c r="D100" s="44">
        <f t="shared" si="2"/>
        <v>5318793.4564955551</v>
      </c>
      <c r="E100" s="45">
        <f t="shared" si="3"/>
        <v>0.1504105950593134</v>
      </c>
    </row>
    <row r="101" spans="1:5" x14ac:dyDescent="0.3">
      <c r="A101" s="42">
        <v>45658</v>
      </c>
      <c r="B101" s="43">
        <f>VLOOKUP(A101,'M1'!$E$19:$F$115,2,FALSE)/1000</f>
        <v>8035228.2591866655</v>
      </c>
      <c r="C101" s="43">
        <f>VLOOKUP(A101,'GDP quarterly'!$A$19:$B$147,2,FALSE)</f>
        <v>34650228</v>
      </c>
      <c r="D101" s="44">
        <f t="shared" si="2"/>
        <v>5356818.8394577764</v>
      </c>
      <c r="E101" s="45">
        <f t="shared" si="3"/>
        <v>0.1545969290435196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30056-135C-454B-A27F-8D9FDD358209}">
  <dimension ref="A1:O7066"/>
  <sheetViews>
    <sheetView workbookViewId="0">
      <selection activeCell="O5" sqref="O5"/>
    </sheetView>
  </sheetViews>
  <sheetFormatPr defaultRowHeight="14.4" x14ac:dyDescent="0.3"/>
  <cols>
    <col min="11" max="11" width="12.21875" bestFit="1" customWidth="1"/>
    <col min="12" max="12" width="11.33203125" customWidth="1"/>
  </cols>
  <sheetData>
    <row r="1" spans="1:15" ht="15" thickBot="1" x14ac:dyDescent="0.35">
      <c r="A1" t="s">
        <v>123</v>
      </c>
      <c r="B1" t="s">
        <v>124</v>
      </c>
      <c r="C1" t="s">
        <v>125</v>
      </c>
      <c r="G1" t="s">
        <v>7192</v>
      </c>
      <c r="H1" t="s">
        <v>7431</v>
      </c>
    </row>
    <row r="2" spans="1:15" ht="23.4" x14ac:dyDescent="0.3">
      <c r="A2" t="s">
        <v>126</v>
      </c>
      <c r="B2" t="s">
        <v>127</v>
      </c>
      <c r="C2">
        <v>402</v>
      </c>
      <c r="D2">
        <f>YEAR(A2)</f>
        <v>1997</v>
      </c>
      <c r="E2">
        <f>MONTH(A2)</f>
        <v>12</v>
      </c>
      <c r="F2">
        <v>1997</v>
      </c>
      <c r="G2" s="50">
        <f>AVERAGEIF($D$2:$D$7066,F2,$C$2:$C$7066)/100</f>
        <v>4.0199999999999996</v>
      </c>
      <c r="H2" s="100">
        <f>'Trade balance'!F48</f>
        <v>0.1049022020033874</v>
      </c>
      <c r="I2" s="105">
        <f>CORREL(G2:$G$24,H2:$H$24)</f>
        <v>0.28533737727552266</v>
      </c>
      <c r="K2" s="52" t="s">
        <v>7193</v>
      </c>
      <c r="L2" s="53">
        <f>AVERAGE(C2:C7066)/100</f>
        <v>2.9248780331210189</v>
      </c>
    </row>
    <row r="3" spans="1:15" ht="24" thickBot="1" x14ac:dyDescent="0.35">
      <c r="A3" t="s">
        <v>128</v>
      </c>
      <c r="B3" t="s">
        <v>127</v>
      </c>
      <c r="C3">
        <v>405</v>
      </c>
      <c r="D3">
        <f t="shared" ref="D3:D66" si="0">YEAR(A3)</f>
        <v>1998</v>
      </c>
      <c r="E3">
        <f t="shared" ref="E3:E66" si="1">MONTH(A3)</f>
        <v>1</v>
      </c>
      <c r="F3">
        <f>F2+1</f>
        <v>1998</v>
      </c>
      <c r="G3" s="50">
        <f t="shared" ref="G3:G24" si="2">AVERAGEIF($D$2:$D$7066,F3,$C$2:$C$7066)/100</f>
        <v>5.7754980079681273</v>
      </c>
      <c r="H3" s="100">
        <f>'Trade balance'!F49</f>
        <v>3.0015819572660973</v>
      </c>
      <c r="I3" s="105">
        <f>CORREL(G3:$G$24,H3:$H$24)</f>
        <v>0.29841836664207727</v>
      </c>
      <c r="K3" s="54" t="s">
        <v>7194</v>
      </c>
      <c r="L3" s="55">
        <f>_xlfn.STDEV.P(C2:C7066)/100</f>
        <v>1.357306145365075</v>
      </c>
    </row>
    <row r="4" spans="1:15" x14ac:dyDescent="0.3">
      <c r="A4" t="s">
        <v>129</v>
      </c>
      <c r="B4" t="s">
        <v>127</v>
      </c>
      <c r="C4">
        <v>425</v>
      </c>
      <c r="D4">
        <f t="shared" si="0"/>
        <v>1998</v>
      </c>
      <c r="E4">
        <f t="shared" si="1"/>
        <v>1</v>
      </c>
      <c r="F4">
        <f t="shared" ref="F4:F24" si="3">F3+1</f>
        <v>1999</v>
      </c>
      <c r="G4" s="50">
        <f t="shared" si="2"/>
        <v>6.0614785992217897</v>
      </c>
      <c r="H4" s="100">
        <f>'Trade balance'!F50</f>
        <v>2.741739594989312</v>
      </c>
      <c r="I4" s="105">
        <f>CORREL(G4:$G$24,H4:$H$24)</f>
        <v>0.19963159007559628</v>
      </c>
      <c r="O4" t="s">
        <v>7446</v>
      </c>
    </row>
    <row r="5" spans="1:15" x14ac:dyDescent="0.3">
      <c r="A5" t="s">
        <v>130</v>
      </c>
      <c r="B5" t="s">
        <v>127</v>
      </c>
      <c r="C5">
        <v>434</v>
      </c>
      <c r="D5">
        <f t="shared" si="0"/>
        <v>1998</v>
      </c>
      <c r="E5">
        <f t="shared" si="1"/>
        <v>1</v>
      </c>
      <c r="F5">
        <f t="shared" si="3"/>
        <v>2000</v>
      </c>
      <c r="G5" s="50">
        <f t="shared" si="2"/>
        <v>3.7051984126984125</v>
      </c>
      <c r="H5" s="100">
        <f>'Trade balance'!F51</f>
        <v>4.8559515323777447</v>
      </c>
      <c r="I5" s="105">
        <f>CORREL(G5:$G$24,H5:$H$24)</f>
        <v>2.6998496170340999E-2</v>
      </c>
      <c r="L5">
        <f>YEAR(N5)</f>
        <v>1997</v>
      </c>
      <c r="M5">
        <f>MONTH(N5)</f>
        <v>12</v>
      </c>
      <c r="N5" s="106">
        <v>35765</v>
      </c>
      <c r="O5" s="2">
        <f>AVERAGEIFS($C$2:$C$7066,$D$2:$D$7066,L5,$E$2:$E$7066,M5)/10000</f>
        <v>4.02E-2</v>
      </c>
    </row>
    <row r="6" spans="1:15" x14ac:dyDescent="0.3">
      <c r="A6" t="s">
        <v>131</v>
      </c>
      <c r="B6" t="s">
        <v>127</v>
      </c>
      <c r="C6">
        <v>419</v>
      </c>
      <c r="D6">
        <f t="shared" si="0"/>
        <v>1998</v>
      </c>
      <c r="E6">
        <f t="shared" si="1"/>
        <v>1</v>
      </c>
      <c r="F6">
        <f t="shared" si="3"/>
        <v>2001</v>
      </c>
      <c r="G6" s="50">
        <f t="shared" si="2"/>
        <v>3.6644000000000001</v>
      </c>
      <c r="H6" s="100">
        <f>'Trade balance'!F52</f>
        <v>1.8267518355852275</v>
      </c>
      <c r="I6" s="100">
        <f>CORREL(G6:$G$24,H6:$H$24)</f>
        <v>-0.21919493043422966</v>
      </c>
      <c r="L6">
        <f t="shared" ref="L6:L69" si="4">YEAR(N6)</f>
        <v>1998</v>
      </c>
      <c r="M6">
        <f t="shared" ref="M6:M69" si="5">MONTH(N6)</f>
        <v>1</v>
      </c>
      <c r="N6" s="106">
        <v>35796</v>
      </c>
      <c r="O6" s="2">
        <f t="shared" ref="O6:O69" si="6">AVERAGEIFS($C$2:$C$7066,$D$2:$D$7066,L6,$E$2:$E$7066,M6)/10000</f>
        <v>4.2380000000000001E-2</v>
      </c>
    </row>
    <row r="7" spans="1:15" x14ac:dyDescent="0.3">
      <c r="A7" t="s">
        <v>132</v>
      </c>
      <c r="B7" t="s">
        <v>127</v>
      </c>
      <c r="C7">
        <v>427</v>
      </c>
      <c r="D7">
        <f t="shared" si="0"/>
        <v>1998</v>
      </c>
      <c r="E7">
        <f t="shared" si="1"/>
        <v>1</v>
      </c>
      <c r="F7">
        <f t="shared" si="3"/>
        <v>2002</v>
      </c>
      <c r="G7" s="50">
        <f t="shared" si="2"/>
        <v>3.1865873015873016</v>
      </c>
      <c r="H7" s="100">
        <f>'Trade balance'!F53</f>
        <v>-0.79021562292034275</v>
      </c>
      <c r="I7" s="100">
        <f>CORREL(G7:$G$24,H7:$H$24)</f>
        <v>-0.37800785547273857</v>
      </c>
      <c r="L7">
        <f t="shared" si="4"/>
        <v>1998</v>
      </c>
      <c r="M7">
        <f t="shared" si="5"/>
        <v>2</v>
      </c>
      <c r="N7" s="106">
        <v>35827</v>
      </c>
      <c r="O7" s="2">
        <f t="shared" si="6"/>
        <v>3.8405263157894734E-2</v>
      </c>
    </row>
    <row r="8" spans="1:15" x14ac:dyDescent="0.3">
      <c r="A8" t="s">
        <v>133</v>
      </c>
      <c r="B8" t="s">
        <v>127</v>
      </c>
      <c r="C8">
        <v>444</v>
      </c>
      <c r="D8">
        <f t="shared" si="0"/>
        <v>1998</v>
      </c>
      <c r="E8">
        <f t="shared" si="1"/>
        <v>1</v>
      </c>
      <c r="F8">
        <f t="shared" si="3"/>
        <v>2003</v>
      </c>
      <c r="G8" s="50">
        <f t="shared" si="2"/>
        <v>2.4419444444444447</v>
      </c>
      <c r="H8" s="100">
        <f>'Trade balance'!F54</f>
        <v>-1.8308931310311749</v>
      </c>
      <c r="I8" s="100">
        <f>CORREL(G8:$G$24,H8:$H$24)</f>
        <v>-0.37976670008742708</v>
      </c>
      <c r="L8">
        <f t="shared" si="4"/>
        <v>1998</v>
      </c>
      <c r="M8">
        <f t="shared" si="5"/>
        <v>3</v>
      </c>
      <c r="N8" s="106">
        <v>35855</v>
      </c>
      <c r="O8" s="2">
        <f t="shared" si="6"/>
        <v>3.7322727272727278E-2</v>
      </c>
    </row>
    <row r="9" spans="1:15" x14ac:dyDescent="0.3">
      <c r="A9" t="s">
        <v>134</v>
      </c>
      <c r="B9" t="s">
        <v>127</v>
      </c>
      <c r="C9">
        <v>444</v>
      </c>
      <c r="D9">
        <f t="shared" si="0"/>
        <v>1998</v>
      </c>
      <c r="E9">
        <f t="shared" si="1"/>
        <v>1</v>
      </c>
      <c r="F9">
        <f t="shared" si="3"/>
        <v>2004</v>
      </c>
      <c r="G9" s="50">
        <f t="shared" si="2"/>
        <v>1.9002343749999999</v>
      </c>
      <c r="H9" s="100">
        <f>'Trade balance'!F55</f>
        <v>-0.41442741535888672</v>
      </c>
      <c r="I9" s="100">
        <f>CORREL(G9:$G$24,H9:$H$24)</f>
        <v>-0.36796694622648612</v>
      </c>
      <c r="L9">
        <f t="shared" si="4"/>
        <v>1998</v>
      </c>
      <c r="M9">
        <f t="shared" si="5"/>
        <v>4</v>
      </c>
      <c r="N9" s="106">
        <v>35886</v>
      </c>
      <c r="O9" s="2">
        <f t="shared" si="6"/>
        <v>3.8066666666666665E-2</v>
      </c>
    </row>
    <row r="10" spans="1:15" x14ac:dyDescent="0.3">
      <c r="A10" t="s">
        <v>135</v>
      </c>
      <c r="B10" t="s">
        <v>127</v>
      </c>
      <c r="C10">
        <v>437</v>
      </c>
      <c r="D10">
        <f t="shared" si="0"/>
        <v>1998</v>
      </c>
      <c r="E10">
        <f t="shared" si="1"/>
        <v>1</v>
      </c>
      <c r="F10">
        <f t="shared" si="3"/>
        <v>2005</v>
      </c>
      <c r="G10" s="50">
        <f t="shared" si="2"/>
        <v>1.5560617760617759</v>
      </c>
      <c r="H10" s="100">
        <f>'Trade balance'!F56</f>
        <v>-0.28789542496738818</v>
      </c>
      <c r="I10" s="100">
        <f>CORREL(G10:$G$24,H10:$H$24)</f>
        <v>-0.37630596547166367</v>
      </c>
      <c r="L10">
        <f t="shared" si="4"/>
        <v>1998</v>
      </c>
      <c r="M10">
        <f t="shared" si="5"/>
        <v>5</v>
      </c>
      <c r="N10" s="106">
        <v>35916</v>
      </c>
      <c r="O10" s="2">
        <f t="shared" si="6"/>
        <v>4.1114999999999999E-2</v>
      </c>
    </row>
    <row r="11" spans="1:15" x14ac:dyDescent="0.3">
      <c r="A11" t="s">
        <v>136</v>
      </c>
      <c r="B11" t="s">
        <v>127</v>
      </c>
      <c r="C11">
        <v>428</v>
      </c>
      <c r="D11">
        <f t="shared" si="0"/>
        <v>1998</v>
      </c>
      <c r="E11">
        <f t="shared" si="1"/>
        <v>1</v>
      </c>
      <c r="F11">
        <f t="shared" si="3"/>
        <v>2006</v>
      </c>
      <c r="G11" s="50">
        <f t="shared" si="2"/>
        <v>1.2817968749999999</v>
      </c>
      <c r="H11" s="100">
        <f>'Trade balance'!F57</f>
        <v>2.5567092284354942</v>
      </c>
      <c r="I11" s="100">
        <f>CORREL(G11:$G$24,H11:$H$24)</f>
        <v>-0.40115193471521482</v>
      </c>
      <c r="L11">
        <f t="shared" si="4"/>
        <v>1998</v>
      </c>
      <c r="M11">
        <f t="shared" si="5"/>
        <v>6</v>
      </c>
      <c r="N11" s="106">
        <v>35947</v>
      </c>
      <c r="O11" s="2">
        <f t="shared" si="6"/>
        <v>4.5572727272727272E-2</v>
      </c>
    </row>
    <row r="12" spans="1:15" x14ac:dyDescent="0.3">
      <c r="A12" t="s">
        <v>137</v>
      </c>
      <c r="B12" t="s">
        <v>127</v>
      </c>
      <c r="C12">
        <v>438</v>
      </c>
      <c r="D12">
        <f t="shared" si="0"/>
        <v>1998</v>
      </c>
      <c r="E12">
        <f t="shared" si="1"/>
        <v>1</v>
      </c>
      <c r="F12">
        <f t="shared" si="3"/>
        <v>2007</v>
      </c>
      <c r="G12" s="50">
        <f t="shared" si="2"/>
        <v>1.25868</v>
      </c>
      <c r="H12" s="100">
        <f>'Trade balance'!F58</f>
        <v>2.8777480265762989</v>
      </c>
      <c r="I12" s="100">
        <f>CORREL(G12:$G$24,H12:$H$24)</f>
        <v>-0.30565169377468732</v>
      </c>
      <c r="L12">
        <f t="shared" si="4"/>
        <v>1998</v>
      </c>
      <c r="M12">
        <f t="shared" si="5"/>
        <v>7</v>
      </c>
      <c r="N12" s="106">
        <v>35977</v>
      </c>
      <c r="O12" s="2">
        <f t="shared" si="6"/>
        <v>4.6154545454545455E-2</v>
      </c>
    </row>
    <row r="13" spans="1:15" x14ac:dyDescent="0.3">
      <c r="A13" t="s">
        <v>138</v>
      </c>
      <c r="B13" t="s">
        <v>127</v>
      </c>
      <c r="C13">
        <v>424</v>
      </c>
      <c r="D13">
        <f t="shared" si="0"/>
        <v>1998</v>
      </c>
      <c r="E13">
        <f t="shared" si="1"/>
        <v>1</v>
      </c>
      <c r="F13">
        <f t="shared" si="3"/>
        <v>2008</v>
      </c>
      <c r="G13" s="50">
        <f t="shared" si="2"/>
        <v>2.5343824701195219</v>
      </c>
      <c r="H13" s="100">
        <f>'Trade balance'!F59</f>
        <v>2.1654126050226097</v>
      </c>
      <c r="I13" s="100">
        <f>CORREL(G13:$G$24,H13:$H$24)</f>
        <v>-0.11078636473699678</v>
      </c>
      <c r="L13">
        <f t="shared" si="4"/>
        <v>1998</v>
      </c>
      <c r="M13">
        <f t="shared" si="5"/>
        <v>8</v>
      </c>
      <c r="N13" s="106">
        <v>36008</v>
      </c>
      <c r="O13" s="2">
        <f t="shared" si="6"/>
        <v>6.9228571428571431E-2</v>
      </c>
    </row>
    <row r="14" spans="1:15" x14ac:dyDescent="0.3">
      <c r="A14" t="s">
        <v>139</v>
      </c>
      <c r="B14" t="s">
        <v>127</v>
      </c>
      <c r="C14">
        <v>423</v>
      </c>
      <c r="D14">
        <f t="shared" si="0"/>
        <v>1998</v>
      </c>
      <c r="E14">
        <f t="shared" si="1"/>
        <v>1</v>
      </c>
      <c r="F14">
        <f t="shared" si="3"/>
        <v>2009</v>
      </c>
      <c r="G14" s="50">
        <f t="shared" si="2"/>
        <v>3.0032411067193676</v>
      </c>
      <c r="H14" s="100">
        <f>'Trade balance'!F60</f>
        <v>-5.9611747245096325</v>
      </c>
      <c r="I14" s="100">
        <f>CORREL(G14:$G$24,H14:$H$24)</f>
        <v>-0.15291534688045869</v>
      </c>
      <c r="L14">
        <f t="shared" si="4"/>
        <v>1998</v>
      </c>
      <c r="M14">
        <f t="shared" si="5"/>
        <v>9</v>
      </c>
      <c r="N14" s="106">
        <v>36039</v>
      </c>
      <c r="O14" s="2">
        <f t="shared" si="6"/>
        <v>9.5042857142857151E-2</v>
      </c>
    </row>
    <row r="15" spans="1:15" x14ac:dyDescent="0.3">
      <c r="A15" t="s">
        <v>140</v>
      </c>
      <c r="B15" t="s">
        <v>127</v>
      </c>
      <c r="C15">
        <v>436</v>
      </c>
      <c r="D15">
        <f t="shared" si="0"/>
        <v>1998</v>
      </c>
      <c r="E15">
        <f t="shared" si="1"/>
        <v>1</v>
      </c>
      <c r="F15">
        <f t="shared" si="3"/>
        <v>2010</v>
      </c>
      <c r="G15" s="50">
        <f t="shared" si="2"/>
        <v>1.8617763035019452</v>
      </c>
      <c r="H15" s="100">
        <f>'Trade balance'!F61</f>
        <v>-2.7862803289899318</v>
      </c>
      <c r="I15" s="100">
        <f>CORREL(G15:$G$24,H15:$H$24)</f>
        <v>0.29860300706157272</v>
      </c>
      <c r="L15">
        <f t="shared" si="4"/>
        <v>1998</v>
      </c>
      <c r="M15">
        <f t="shared" si="5"/>
        <v>10</v>
      </c>
      <c r="N15" s="106">
        <v>36069</v>
      </c>
      <c r="O15" s="2">
        <f t="shared" si="6"/>
        <v>8.9561904761904759E-2</v>
      </c>
    </row>
    <row r="16" spans="1:15" x14ac:dyDescent="0.3">
      <c r="A16" t="s">
        <v>141</v>
      </c>
      <c r="B16" t="s">
        <v>127</v>
      </c>
      <c r="C16">
        <v>432</v>
      </c>
      <c r="D16">
        <f t="shared" si="0"/>
        <v>1998</v>
      </c>
      <c r="E16">
        <f t="shared" si="1"/>
        <v>1</v>
      </c>
      <c r="F16">
        <f t="shared" si="3"/>
        <v>2011</v>
      </c>
      <c r="G16" s="50">
        <f t="shared" si="2"/>
        <v>1.8650484562737644</v>
      </c>
      <c r="H16" s="100">
        <f>'Trade balance'!F62</f>
        <v>-1.1489337747029538</v>
      </c>
      <c r="I16" s="100">
        <f>CORREL(G16:$G$24,H16:$H$24)</f>
        <v>0.10806807605515333</v>
      </c>
      <c r="L16">
        <f t="shared" si="4"/>
        <v>1998</v>
      </c>
      <c r="M16">
        <f t="shared" si="5"/>
        <v>11</v>
      </c>
      <c r="N16" s="106">
        <v>36100</v>
      </c>
      <c r="O16" s="2">
        <f t="shared" si="6"/>
        <v>7.2794736842105259E-2</v>
      </c>
    </row>
    <row r="17" spans="1:15" x14ac:dyDescent="0.3">
      <c r="A17" t="s">
        <v>142</v>
      </c>
      <c r="B17" t="s">
        <v>127</v>
      </c>
      <c r="C17">
        <v>417</v>
      </c>
      <c r="D17">
        <f t="shared" si="0"/>
        <v>1998</v>
      </c>
      <c r="E17">
        <f t="shared" si="1"/>
        <v>1</v>
      </c>
      <c r="F17">
        <f t="shared" si="3"/>
        <v>2012</v>
      </c>
      <c r="G17" s="50">
        <f t="shared" si="2"/>
        <v>1.8803730984848486</v>
      </c>
      <c r="H17" s="100">
        <f>'Trade balance'!F63</f>
        <v>0.53031096359070773</v>
      </c>
      <c r="I17" s="100">
        <f>CORREL(G17:$G$24,H17:$H$24)</f>
        <v>-0.10459254177897366</v>
      </c>
      <c r="L17">
        <f t="shared" si="4"/>
        <v>1998</v>
      </c>
      <c r="M17">
        <f t="shared" si="5"/>
        <v>12</v>
      </c>
      <c r="N17" s="106">
        <v>36130</v>
      </c>
      <c r="O17" s="2">
        <f t="shared" si="6"/>
        <v>7.5860869565217384E-2</v>
      </c>
    </row>
    <row r="18" spans="1:15" x14ac:dyDescent="0.3">
      <c r="A18" t="s">
        <v>143</v>
      </c>
      <c r="B18" t="s">
        <v>127</v>
      </c>
      <c r="C18">
        <v>422</v>
      </c>
      <c r="D18">
        <f t="shared" si="0"/>
        <v>1998</v>
      </c>
      <c r="E18">
        <f t="shared" si="1"/>
        <v>1</v>
      </c>
      <c r="F18">
        <f t="shared" si="3"/>
        <v>2013</v>
      </c>
      <c r="G18" s="50">
        <f t="shared" si="2"/>
        <v>1.8862813283018869</v>
      </c>
      <c r="H18" s="100">
        <f>'Trade balance'!F64</f>
        <v>-0.47725790488257758</v>
      </c>
      <c r="I18" s="100">
        <f>CORREL(G18:$G$24,H18:$H$24)</f>
        <v>-4.8749389916195075E-2</v>
      </c>
      <c r="L18">
        <f t="shared" si="4"/>
        <v>1999</v>
      </c>
      <c r="M18">
        <f t="shared" si="5"/>
        <v>1</v>
      </c>
      <c r="N18" s="106">
        <v>36161</v>
      </c>
      <c r="O18" s="2">
        <f t="shared" si="6"/>
        <v>7.8071428571428569E-2</v>
      </c>
    </row>
    <row r="19" spans="1:15" x14ac:dyDescent="0.3">
      <c r="A19" t="s">
        <v>144</v>
      </c>
      <c r="B19" t="s">
        <v>127</v>
      </c>
      <c r="C19">
        <v>408</v>
      </c>
      <c r="D19">
        <f t="shared" si="0"/>
        <v>1998</v>
      </c>
      <c r="E19">
        <f t="shared" si="1"/>
        <v>1</v>
      </c>
      <c r="F19">
        <f t="shared" si="3"/>
        <v>2014</v>
      </c>
      <c r="G19" s="50">
        <f t="shared" si="2"/>
        <v>1.8252137404580151</v>
      </c>
      <c r="H19" s="100">
        <f>'Trade balance'!F65</f>
        <v>0.11035978413858061</v>
      </c>
      <c r="I19" s="100">
        <f>CORREL(G19:$G$24,H19:$H$24)</f>
        <v>-0.30610754729490197</v>
      </c>
      <c r="L19">
        <f t="shared" si="4"/>
        <v>1999</v>
      </c>
      <c r="M19">
        <f t="shared" si="5"/>
        <v>2</v>
      </c>
      <c r="N19" s="106">
        <v>36192</v>
      </c>
      <c r="O19" s="2">
        <f t="shared" si="6"/>
        <v>7.2179999999999994E-2</v>
      </c>
    </row>
    <row r="20" spans="1:15" x14ac:dyDescent="0.3">
      <c r="A20" t="s">
        <v>145</v>
      </c>
      <c r="B20" t="s">
        <v>127</v>
      </c>
      <c r="C20">
        <v>413</v>
      </c>
      <c r="D20">
        <f t="shared" si="0"/>
        <v>1998</v>
      </c>
      <c r="E20">
        <f t="shared" si="1"/>
        <v>1</v>
      </c>
      <c r="F20">
        <f t="shared" si="3"/>
        <v>2015</v>
      </c>
      <c r="G20" s="50">
        <f t="shared" si="2"/>
        <v>2.512911877394636</v>
      </c>
      <c r="H20" s="100">
        <f>'Trade balance'!F66</f>
        <v>0.88152766936282489</v>
      </c>
      <c r="I20" s="100">
        <f>CORREL(G20:$G$24,H20:$H$24)</f>
        <v>-0.73860711998451656</v>
      </c>
      <c r="L20">
        <f t="shared" si="4"/>
        <v>1999</v>
      </c>
      <c r="M20">
        <f t="shared" si="5"/>
        <v>3</v>
      </c>
      <c r="N20" s="106">
        <v>36220</v>
      </c>
      <c r="O20" s="2">
        <f t="shared" si="6"/>
        <v>6.3369565217391302E-2</v>
      </c>
    </row>
    <row r="21" spans="1:15" x14ac:dyDescent="0.3">
      <c r="A21" t="s">
        <v>146</v>
      </c>
      <c r="B21" t="s">
        <v>127</v>
      </c>
      <c r="C21">
        <v>405</v>
      </c>
      <c r="D21">
        <f t="shared" si="0"/>
        <v>1998</v>
      </c>
      <c r="E21">
        <f t="shared" si="1"/>
        <v>1</v>
      </c>
      <c r="F21">
        <f t="shared" si="3"/>
        <v>2016</v>
      </c>
      <c r="G21" s="50">
        <f t="shared" si="2"/>
        <v>3.0318076923076922</v>
      </c>
      <c r="H21" s="100">
        <f>'Trade balance'!F67</f>
        <v>0.75141428997085313</v>
      </c>
      <c r="I21" s="100">
        <f>CORREL(G21:$G$24,H21:$H$24)</f>
        <v>-0.7225171758765393</v>
      </c>
      <c r="L21">
        <f t="shared" si="4"/>
        <v>1999</v>
      </c>
      <c r="M21">
        <f t="shared" si="5"/>
        <v>4</v>
      </c>
      <c r="N21" s="106">
        <v>36251</v>
      </c>
      <c r="O21" s="2">
        <f t="shared" si="6"/>
        <v>5.5763636363636362E-2</v>
      </c>
    </row>
    <row r="22" spans="1:15" x14ac:dyDescent="0.3">
      <c r="A22" t="s">
        <v>147</v>
      </c>
      <c r="B22" t="s">
        <v>127</v>
      </c>
      <c r="C22">
        <v>395</v>
      </c>
      <c r="D22">
        <f t="shared" si="0"/>
        <v>1998</v>
      </c>
      <c r="E22">
        <f t="shared" si="1"/>
        <v>1</v>
      </c>
      <c r="F22">
        <f t="shared" si="3"/>
        <v>2017</v>
      </c>
      <c r="G22" s="50">
        <f t="shared" si="2"/>
        <v>2.5581923076923077</v>
      </c>
      <c r="H22" s="100">
        <f>'Trade balance'!F68</f>
        <v>0.73633028671409306</v>
      </c>
      <c r="I22" s="100">
        <f>CORREL(G22:$G$24,H22:$H$24)</f>
        <v>-0.95332049186716072</v>
      </c>
      <c r="L22">
        <f t="shared" si="4"/>
        <v>1999</v>
      </c>
      <c r="M22">
        <f t="shared" si="5"/>
        <v>5</v>
      </c>
      <c r="N22" s="106">
        <v>36281</v>
      </c>
      <c r="O22" s="2">
        <f t="shared" si="6"/>
        <v>5.9225E-2</v>
      </c>
    </row>
    <row r="23" spans="1:15" x14ac:dyDescent="0.3">
      <c r="A23" t="s">
        <v>148</v>
      </c>
      <c r="B23" t="s">
        <v>127</v>
      </c>
      <c r="C23">
        <v>388</v>
      </c>
      <c r="D23">
        <f t="shared" si="0"/>
        <v>1998</v>
      </c>
      <c r="E23">
        <f t="shared" si="1"/>
        <v>2</v>
      </c>
      <c r="F23">
        <f t="shared" si="3"/>
        <v>2018</v>
      </c>
      <c r="G23" s="50">
        <f t="shared" si="2"/>
        <v>2.7277011494252874</v>
      </c>
      <c r="H23" s="100">
        <f>'Trade balance'!F69</f>
        <v>0.83912670996646455</v>
      </c>
      <c r="I23" s="100">
        <f>CORREL(G23:$G$24,H23:$H$24)</f>
        <v>-1</v>
      </c>
      <c r="L23">
        <f t="shared" si="4"/>
        <v>1999</v>
      </c>
      <c r="M23">
        <f t="shared" si="5"/>
        <v>6</v>
      </c>
      <c r="N23" s="106">
        <v>36312</v>
      </c>
      <c r="O23" s="2">
        <f t="shared" si="6"/>
        <v>6.2040909090909091E-2</v>
      </c>
    </row>
    <row r="24" spans="1:15" x14ac:dyDescent="0.3">
      <c r="A24" t="s">
        <v>149</v>
      </c>
      <c r="B24" t="s">
        <v>127</v>
      </c>
      <c r="C24">
        <v>385</v>
      </c>
      <c r="D24">
        <f t="shared" si="0"/>
        <v>1998</v>
      </c>
      <c r="E24">
        <f t="shared" si="1"/>
        <v>2</v>
      </c>
      <c r="F24">
        <f t="shared" si="3"/>
        <v>2019</v>
      </c>
      <c r="G24" s="50">
        <f t="shared" si="2"/>
        <v>3.1819540229885059</v>
      </c>
      <c r="H24" s="100">
        <f>'Trade balance'!F70</f>
        <v>-1.3905236551359224</v>
      </c>
      <c r="I24" s="100" t="e">
        <f>CORREL(G24:$G$24,H24:$H$24)</f>
        <v>#DIV/0!</v>
      </c>
      <c r="L24">
        <f t="shared" si="4"/>
        <v>1999</v>
      </c>
      <c r="M24">
        <f t="shared" si="5"/>
        <v>7</v>
      </c>
      <c r="N24" s="106">
        <v>36342</v>
      </c>
      <c r="O24" s="2">
        <f t="shared" si="6"/>
        <v>6.7000000000000004E-2</v>
      </c>
    </row>
    <row r="25" spans="1:15" x14ac:dyDescent="0.3">
      <c r="A25" t="s">
        <v>150</v>
      </c>
      <c r="B25" t="s">
        <v>127</v>
      </c>
      <c r="C25">
        <v>381</v>
      </c>
      <c r="D25">
        <f t="shared" si="0"/>
        <v>1998</v>
      </c>
      <c r="E25">
        <f t="shared" si="1"/>
        <v>2</v>
      </c>
      <c r="L25">
        <f t="shared" si="4"/>
        <v>1999</v>
      </c>
      <c r="M25">
        <f t="shared" si="5"/>
        <v>8</v>
      </c>
      <c r="N25" s="106">
        <v>36373</v>
      </c>
      <c r="O25" s="2">
        <f t="shared" si="6"/>
        <v>6.7877272727272731E-2</v>
      </c>
    </row>
    <row r="26" spans="1:15" x14ac:dyDescent="0.3">
      <c r="A26" t="s">
        <v>151</v>
      </c>
      <c r="B26" t="s">
        <v>127</v>
      </c>
      <c r="C26">
        <v>377</v>
      </c>
      <c r="D26">
        <f t="shared" si="0"/>
        <v>1998</v>
      </c>
      <c r="E26">
        <f t="shared" si="1"/>
        <v>2</v>
      </c>
      <c r="L26">
        <f t="shared" si="4"/>
        <v>1999</v>
      </c>
      <c r="M26">
        <f t="shared" si="5"/>
        <v>9</v>
      </c>
      <c r="N26" s="106">
        <v>36404</v>
      </c>
      <c r="O26" s="2">
        <f t="shared" si="6"/>
        <v>6.0377272727272724E-2</v>
      </c>
    </row>
    <row r="27" spans="1:15" x14ac:dyDescent="0.3">
      <c r="A27" t="s">
        <v>152</v>
      </c>
      <c r="B27" t="s">
        <v>127</v>
      </c>
      <c r="C27">
        <v>373</v>
      </c>
      <c r="D27">
        <f t="shared" si="0"/>
        <v>1998</v>
      </c>
      <c r="E27">
        <f t="shared" si="1"/>
        <v>2</v>
      </c>
      <c r="L27">
        <f t="shared" si="4"/>
        <v>1999</v>
      </c>
      <c r="M27">
        <f t="shared" si="5"/>
        <v>10</v>
      </c>
      <c r="N27" s="106">
        <v>36434</v>
      </c>
      <c r="O27" s="2">
        <f t="shared" si="6"/>
        <v>5.5579999999999997E-2</v>
      </c>
    </row>
    <row r="28" spans="1:15" x14ac:dyDescent="0.3">
      <c r="A28" t="s">
        <v>153</v>
      </c>
      <c r="B28" t="s">
        <v>127</v>
      </c>
      <c r="C28">
        <v>370</v>
      </c>
      <c r="D28">
        <f t="shared" si="0"/>
        <v>1998</v>
      </c>
      <c r="E28">
        <f t="shared" si="1"/>
        <v>2</v>
      </c>
      <c r="L28">
        <f t="shared" si="4"/>
        <v>1999</v>
      </c>
      <c r="M28">
        <f t="shared" si="5"/>
        <v>11</v>
      </c>
      <c r="N28" s="106">
        <v>36465</v>
      </c>
      <c r="O28" s="2">
        <f t="shared" si="6"/>
        <v>4.7471428571428574E-2</v>
      </c>
    </row>
    <row r="29" spans="1:15" x14ac:dyDescent="0.3">
      <c r="A29" t="s">
        <v>154</v>
      </c>
      <c r="B29" t="s">
        <v>127</v>
      </c>
      <c r="C29">
        <v>374</v>
      </c>
      <c r="D29">
        <f t="shared" si="0"/>
        <v>1998</v>
      </c>
      <c r="E29">
        <f t="shared" si="1"/>
        <v>2</v>
      </c>
      <c r="L29">
        <f t="shared" si="4"/>
        <v>1999</v>
      </c>
      <c r="M29">
        <f t="shared" si="5"/>
        <v>12</v>
      </c>
      <c r="N29" s="106">
        <v>36495</v>
      </c>
      <c r="O29" s="2">
        <f t="shared" si="6"/>
        <v>3.8959090909090908E-2</v>
      </c>
    </row>
    <row r="30" spans="1:15" x14ac:dyDescent="0.3">
      <c r="A30" t="s">
        <v>155</v>
      </c>
      <c r="B30" t="s">
        <v>127</v>
      </c>
      <c r="C30">
        <v>378</v>
      </c>
      <c r="D30">
        <f t="shared" si="0"/>
        <v>1998</v>
      </c>
      <c r="E30">
        <f t="shared" si="1"/>
        <v>2</v>
      </c>
      <c r="L30">
        <f t="shared" si="4"/>
        <v>2000</v>
      </c>
      <c r="M30">
        <f t="shared" si="5"/>
        <v>1</v>
      </c>
      <c r="N30" s="106">
        <v>36526</v>
      </c>
      <c r="O30" s="2">
        <f t="shared" si="6"/>
        <v>3.9875000000000001E-2</v>
      </c>
    </row>
    <row r="31" spans="1:15" x14ac:dyDescent="0.3">
      <c r="A31" t="s">
        <v>156</v>
      </c>
      <c r="B31" t="s">
        <v>127</v>
      </c>
      <c r="C31">
        <v>384</v>
      </c>
      <c r="D31">
        <f t="shared" si="0"/>
        <v>1998</v>
      </c>
      <c r="E31">
        <f t="shared" si="1"/>
        <v>2</v>
      </c>
      <c r="L31">
        <f t="shared" si="4"/>
        <v>2000</v>
      </c>
      <c r="M31">
        <f t="shared" si="5"/>
        <v>2</v>
      </c>
      <c r="N31" s="106">
        <v>36557</v>
      </c>
      <c r="O31" s="2">
        <f t="shared" si="6"/>
        <v>3.8044999999999995E-2</v>
      </c>
    </row>
    <row r="32" spans="1:15" x14ac:dyDescent="0.3">
      <c r="A32" t="s">
        <v>157</v>
      </c>
      <c r="B32" t="s">
        <v>127</v>
      </c>
      <c r="C32">
        <v>387</v>
      </c>
      <c r="D32">
        <f t="shared" si="0"/>
        <v>1998</v>
      </c>
      <c r="E32">
        <f t="shared" si="1"/>
        <v>2</v>
      </c>
      <c r="L32">
        <f t="shared" si="4"/>
        <v>2000</v>
      </c>
      <c r="M32">
        <f t="shared" si="5"/>
        <v>3</v>
      </c>
      <c r="N32" s="106">
        <v>36586</v>
      </c>
      <c r="O32" s="2">
        <f t="shared" si="6"/>
        <v>3.2669565217391304E-2</v>
      </c>
    </row>
    <row r="33" spans="1:15" x14ac:dyDescent="0.3">
      <c r="A33" t="s">
        <v>158</v>
      </c>
      <c r="B33" t="s">
        <v>127</v>
      </c>
      <c r="C33">
        <v>395</v>
      </c>
      <c r="D33">
        <f t="shared" si="0"/>
        <v>1998</v>
      </c>
      <c r="E33">
        <f t="shared" si="1"/>
        <v>2</v>
      </c>
      <c r="L33">
        <f t="shared" si="4"/>
        <v>2000</v>
      </c>
      <c r="M33">
        <f t="shared" si="5"/>
        <v>4</v>
      </c>
      <c r="N33" s="106">
        <v>36617</v>
      </c>
      <c r="O33" s="2">
        <f t="shared" si="6"/>
        <v>4.0005263157894731E-2</v>
      </c>
    </row>
    <row r="34" spans="1:15" x14ac:dyDescent="0.3">
      <c r="A34" t="s">
        <v>159</v>
      </c>
      <c r="B34" t="s">
        <v>127</v>
      </c>
      <c r="C34">
        <v>392</v>
      </c>
      <c r="D34">
        <f t="shared" si="0"/>
        <v>1998</v>
      </c>
      <c r="E34">
        <f t="shared" si="1"/>
        <v>2</v>
      </c>
      <c r="L34">
        <f t="shared" si="4"/>
        <v>2000</v>
      </c>
      <c r="M34">
        <f t="shared" si="5"/>
        <v>5</v>
      </c>
      <c r="N34" s="106">
        <v>36647</v>
      </c>
      <c r="O34" s="2">
        <f t="shared" si="6"/>
        <v>4.2295454545454546E-2</v>
      </c>
    </row>
    <row r="35" spans="1:15" x14ac:dyDescent="0.3">
      <c r="A35" t="s">
        <v>160</v>
      </c>
      <c r="B35" t="s">
        <v>127</v>
      </c>
      <c r="C35">
        <v>398</v>
      </c>
      <c r="D35">
        <f t="shared" si="0"/>
        <v>1998</v>
      </c>
      <c r="E35">
        <f t="shared" si="1"/>
        <v>2</v>
      </c>
      <c r="L35">
        <f t="shared" si="4"/>
        <v>2000</v>
      </c>
      <c r="M35">
        <f t="shared" si="5"/>
        <v>6</v>
      </c>
      <c r="N35" s="106">
        <v>36678</v>
      </c>
      <c r="O35" s="2">
        <f t="shared" si="6"/>
        <v>4.0004545454545459E-2</v>
      </c>
    </row>
    <row r="36" spans="1:15" x14ac:dyDescent="0.3">
      <c r="A36" t="s">
        <v>161</v>
      </c>
      <c r="B36" t="s">
        <v>127</v>
      </c>
      <c r="C36">
        <v>395</v>
      </c>
      <c r="D36">
        <f t="shared" si="0"/>
        <v>1998</v>
      </c>
      <c r="E36">
        <f t="shared" si="1"/>
        <v>2</v>
      </c>
      <c r="L36">
        <f t="shared" si="4"/>
        <v>2000</v>
      </c>
      <c r="M36">
        <f t="shared" si="5"/>
        <v>7</v>
      </c>
      <c r="N36" s="106">
        <v>36708</v>
      </c>
      <c r="O36" s="2">
        <f t="shared" si="6"/>
        <v>3.517E-2</v>
      </c>
    </row>
    <row r="37" spans="1:15" x14ac:dyDescent="0.3">
      <c r="A37" t="s">
        <v>162</v>
      </c>
      <c r="B37" t="s">
        <v>127</v>
      </c>
      <c r="C37">
        <v>388</v>
      </c>
      <c r="D37">
        <f t="shared" si="0"/>
        <v>1998</v>
      </c>
      <c r="E37">
        <f t="shared" si="1"/>
        <v>2</v>
      </c>
      <c r="L37">
        <f t="shared" si="4"/>
        <v>2000</v>
      </c>
      <c r="M37">
        <f t="shared" si="5"/>
        <v>8</v>
      </c>
      <c r="N37" s="106">
        <v>36739</v>
      </c>
      <c r="O37" s="2">
        <f t="shared" si="6"/>
        <v>3.3378260869565218E-2</v>
      </c>
    </row>
    <row r="38" spans="1:15" x14ac:dyDescent="0.3">
      <c r="A38" t="s">
        <v>163</v>
      </c>
      <c r="B38" t="s">
        <v>127</v>
      </c>
      <c r="C38">
        <v>385</v>
      </c>
      <c r="D38">
        <f t="shared" si="0"/>
        <v>1998</v>
      </c>
      <c r="E38">
        <f t="shared" si="1"/>
        <v>2</v>
      </c>
      <c r="L38">
        <f t="shared" si="4"/>
        <v>2000</v>
      </c>
      <c r="M38">
        <f t="shared" si="5"/>
        <v>9</v>
      </c>
      <c r="N38" s="106">
        <v>36770</v>
      </c>
      <c r="O38" s="2">
        <f t="shared" si="6"/>
        <v>3.2889999999999996E-2</v>
      </c>
    </row>
    <row r="39" spans="1:15" x14ac:dyDescent="0.3">
      <c r="A39" t="s">
        <v>164</v>
      </c>
      <c r="B39" t="s">
        <v>127</v>
      </c>
      <c r="C39">
        <v>387</v>
      </c>
      <c r="D39">
        <f t="shared" si="0"/>
        <v>1998</v>
      </c>
      <c r="E39">
        <f t="shared" si="1"/>
        <v>2</v>
      </c>
      <c r="L39">
        <f t="shared" si="4"/>
        <v>2000</v>
      </c>
      <c r="M39">
        <f t="shared" si="5"/>
        <v>10</v>
      </c>
      <c r="N39" s="106">
        <v>36800</v>
      </c>
      <c r="O39" s="2">
        <f t="shared" si="6"/>
        <v>3.5740909090909094E-2</v>
      </c>
    </row>
    <row r="40" spans="1:15" x14ac:dyDescent="0.3">
      <c r="A40" t="s">
        <v>165</v>
      </c>
      <c r="B40" t="s">
        <v>127</v>
      </c>
      <c r="C40">
        <v>380</v>
      </c>
      <c r="D40">
        <f t="shared" si="0"/>
        <v>1998</v>
      </c>
      <c r="E40">
        <f t="shared" si="1"/>
        <v>2</v>
      </c>
      <c r="L40">
        <f t="shared" si="4"/>
        <v>2000</v>
      </c>
      <c r="M40">
        <f t="shared" si="5"/>
        <v>11</v>
      </c>
      <c r="N40" s="106">
        <v>36831</v>
      </c>
      <c r="O40" s="2">
        <f t="shared" si="6"/>
        <v>3.6266666666666669E-2</v>
      </c>
    </row>
    <row r="41" spans="1:15" x14ac:dyDescent="0.3">
      <c r="A41" t="s">
        <v>166</v>
      </c>
      <c r="B41" t="s">
        <v>127</v>
      </c>
      <c r="C41">
        <v>380</v>
      </c>
      <c r="D41">
        <f t="shared" si="0"/>
        <v>1998</v>
      </c>
      <c r="E41">
        <f t="shared" si="1"/>
        <v>2</v>
      </c>
      <c r="L41">
        <f t="shared" si="4"/>
        <v>2000</v>
      </c>
      <c r="M41">
        <f t="shared" si="5"/>
        <v>12</v>
      </c>
      <c r="N41" s="106">
        <v>36861</v>
      </c>
      <c r="O41" s="2">
        <f t="shared" si="6"/>
        <v>3.8989999999999997E-2</v>
      </c>
    </row>
    <row r="42" spans="1:15" x14ac:dyDescent="0.3">
      <c r="A42" t="s">
        <v>167</v>
      </c>
      <c r="B42" t="s">
        <v>127</v>
      </c>
      <c r="C42">
        <v>374</v>
      </c>
      <c r="D42">
        <f t="shared" si="0"/>
        <v>1998</v>
      </c>
      <c r="E42">
        <f t="shared" si="1"/>
        <v>3</v>
      </c>
      <c r="L42">
        <f t="shared" si="4"/>
        <v>2001</v>
      </c>
      <c r="M42">
        <f t="shared" si="5"/>
        <v>1</v>
      </c>
      <c r="N42" s="106">
        <v>36892</v>
      </c>
      <c r="O42" s="2">
        <f t="shared" si="6"/>
        <v>3.8538095238095239E-2</v>
      </c>
    </row>
    <row r="43" spans="1:15" x14ac:dyDescent="0.3">
      <c r="A43" t="s">
        <v>168</v>
      </c>
      <c r="B43" t="s">
        <v>127</v>
      </c>
      <c r="C43">
        <v>369</v>
      </c>
      <c r="D43">
        <f t="shared" si="0"/>
        <v>1998</v>
      </c>
      <c r="E43">
        <f t="shared" si="1"/>
        <v>3</v>
      </c>
      <c r="L43">
        <f t="shared" si="4"/>
        <v>2001</v>
      </c>
      <c r="M43">
        <f t="shared" si="5"/>
        <v>2</v>
      </c>
      <c r="N43" s="106">
        <v>36923</v>
      </c>
      <c r="O43" s="2">
        <f t="shared" si="6"/>
        <v>4.0457894736842102E-2</v>
      </c>
    </row>
    <row r="44" spans="1:15" x14ac:dyDescent="0.3">
      <c r="A44" t="s">
        <v>169</v>
      </c>
      <c r="B44" t="s">
        <v>127</v>
      </c>
      <c r="C44">
        <v>369</v>
      </c>
      <c r="D44">
        <f t="shared" si="0"/>
        <v>1998</v>
      </c>
      <c r="E44">
        <f t="shared" si="1"/>
        <v>3</v>
      </c>
      <c r="L44">
        <f t="shared" si="4"/>
        <v>2001</v>
      </c>
      <c r="M44">
        <f t="shared" si="5"/>
        <v>3</v>
      </c>
      <c r="N44" s="106">
        <v>36951</v>
      </c>
      <c r="O44" s="2">
        <f t="shared" si="6"/>
        <v>4.1104545454545456E-2</v>
      </c>
    </row>
    <row r="45" spans="1:15" x14ac:dyDescent="0.3">
      <c r="A45" t="s">
        <v>170</v>
      </c>
      <c r="B45" t="s">
        <v>127</v>
      </c>
      <c r="C45">
        <v>379</v>
      </c>
      <c r="D45">
        <f t="shared" si="0"/>
        <v>1998</v>
      </c>
      <c r="E45">
        <f t="shared" si="1"/>
        <v>3</v>
      </c>
      <c r="L45">
        <f t="shared" si="4"/>
        <v>2001</v>
      </c>
      <c r="M45">
        <f t="shared" si="5"/>
        <v>4</v>
      </c>
      <c r="N45" s="106">
        <v>36982</v>
      </c>
      <c r="O45" s="2">
        <f t="shared" si="6"/>
        <v>3.7949999999999998E-2</v>
      </c>
    </row>
    <row r="46" spans="1:15" x14ac:dyDescent="0.3">
      <c r="A46" t="s">
        <v>171</v>
      </c>
      <c r="B46" t="s">
        <v>127</v>
      </c>
      <c r="C46">
        <v>377</v>
      </c>
      <c r="D46">
        <f t="shared" si="0"/>
        <v>1998</v>
      </c>
      <c r="E46">
        <f t="shared" si="1"/>
        <v>3</v>
      </c>
      <c r="L46">
        <f t="shared" si="4"/>
        <v>2001</v>
      </c>
      <c r="M46">
        <f t="shared" si="5"/>
        <v>5</v>
      </c>
      <c r="N46" s="106">
        <v>37012</v>
      </c>
      <c r="O46" s="2">
        <f t="shared" si="6"/>
        <v>3.4072727272727275E-2</v>
      </c>
    </row>
    <row r="47" spans="1:15" x14ac:dyDescent="0.3">
      <c r="A47" t="s">
        <v>172</v>
      </c>
      <c r="B47" t="s">
        <v>127</v>
      </c>
      <c r="C47">
        <v>389</v>
      </c>
      <c r="D47">
        <f t="shared" si="0"/>
        <v>1998</v>
      </c>
      <c r="E47">
        <f t="shared" si="1"/>
        <v>3</v>
      </c>
      <c r="L47">
        <f t="shared" si="4"/>
        <v>2001</v>
      </c>
      <c r="M47">
        <f t="shared" si="5"/>
        <v>6</v>
      </c>
      <c r="N47" s="106">
        <v>37043</v>
      </c>
      <c r="O47" s="2">
        <f t="shared" si="6"/>
        <v>3.1604761904761906E-2</v>
      </c>
    </row>
    <row r="48" spans="1:15" x14ac:dyDescent="0.3">
      <c r="A48" t="s">
        <v>173</v>
      </c>
      <c r="B48" t="s">
        <v>127</v>
      </c>
      <c r="C48">
        <v>383</v>
      </c>
      <c r="D48">
        <f t="shared" si="0"/>
        <v>1998</v>
      </c>
      <c r="E48">
        <f t="shared" si="1"/>
        <v>3</v>
      </c>
      <c r="L48">
        <f t="shared" si="4"/>
        <v>2001</v>
      </c>
      <c r="M48">
        <f t="shared" si="5"/>
        <v>7</v>
      </c>
      <c r="N48" s="106">
        <v>37073</v>
      </c>
      <c r="O48" s="2">
        <f t="shared" si="6"/>
        <v>3.4099999999999998E-2</v>
      </c>
    </row>
    <row r="49" spans="1:15" x14ac:dyDescent="0.3">
      <c r="A49" t="s">
        <v>174</v>
      </c>
      <c r="B49" t="s">
        <v>127</v>
      </c>
      <c r="C49">
        <v>388</v>
      </c>
      <c r="D49">
        <f t="shared" si="0"/>
        <v>1998</v>
      </c>
      <c r="E49">
        <f t="shared" si="1"/>
        <v>3</v>
      </c>
      <c r="L49">
        <f t="shared" si="4"/>
        <v>2001</v>
      </c>
      <c r="M49">
        <f t="shared" si="5"/>
        <v>8</v>
      </c>
      <c r="N49" s="106">
        <v>37104</v>
      </c>
      <c r="O49" s="2">
        <f t="shared" si="6"/>
        <v>3.463913043478261E-2</v>
      </c>
    </row>
    <row r="50" spans="1:15" x14ac:dyDescent="0.3">
      <c r="A50" t="s">
        <v>175</v>
      </c>
      <c r="B50" t="s">
        <v>127</v>
      </c>
      <c r="C50">
        <v>392</v>
      </c>
      <c r="D50">
        <f t="shared" si="0"/>
        <v>1998</v>
      </c>
      <c r="E50">
        <f t="shared" si="1"/>
        <v>3</v>
      </c>
      <c r="L50">
        <f t="shared" si="4"/>
        <v>2001</v>
      </c>
      <c r="M50">
        <f t="shared" si="5"/>
        <v>9</v>
      </c>
      <c r="N50" s="106">
        <v>37135</v>
      </c>
      <c r="O50" s="2">
        <f t="shared" si="6"/>
        <v>3.9177777777777777E-2</v>
      </c>
    </row>
    <row r="51" spans="1:15" x14ac:dyDescent="0.3">
      <c r="A51" t="s">
        <v>176</v>
      </c>
      <c r="B51" t="s">
        <v>127</v>
      </c>
      <c r="C51">
        <v>386</v>
      </c>
      <c r="D51">
        <f t="shared" si="0"/>
        <v>1998</v>
      </c>
      <c r="E51">
        <f t="shared" si="1"/>
        <v>3</v>
      </c>
      <c r="L51">
        <f t="shared" si="4"/>
        <v>2001</v>
      </c>
      <c r="M51">
        <f t="shared" si="5"/>
        <v>10</v>
      </c>
      <c r="N51" s="106">
        <v>37165</v>
      </c>
      <c r="O51" s="2">
        <f t="shared" si="6"/>
        <v>4.0363636363636365E-2</v>
      </c>
    </row>
    <row r="52" spans="1:15" x14ac:dyDescent="0.3">
      <c r="A52" t="s">
        <v>177</v>
      </c>
      <c r="B52" t="s">
        <v>127</v>
      </c>
      <c r="C52">
        <v>388</v>
      </c>
      <c r="D52">
        <f t="shared" si="0"/>
        <v>1998</v>
      </c>
      <c r="E52">
        <f t="shared" si="1"/>
        <v>3</v>
      </c>
      <c r="L52">
        <f t="shared" si="4"/>
        <v>2001</v>
      </c>
      <c r="M52">
        <f t="shared" si="5"/>
        <v>11</v>
      </c>
      <c r="N52" s="106">
        <v>37196</v>
      </c>
      <c r="O52" s="2">
        <f t="shared" si="6"/>
        <v>3.6819047619047619E-2</v>
      </c>
    </row>
    <row r="53" spans="1:15" x14ac:dyDescent="0.3">
      <c r="A53" t="s">
        <v>178</v>
      </c>
      <c r="B53" t="s">
        <v>127</v>
      </c>
      <c r="C53">
        <v>391</v>
      </c>
      <c r="D53">
        <f t="shared" si="0"/>
        <v>1998</v>
      </c>
      <c r="E53">
        <f t="shared" si="1"/>
        <v>3</v>
      </c>
      <c r="L53">
        <f t="shared" si="4"/>
        <v>2001</v>
      </c>
      <c r="M53">
        <f t="shared" si="5"/>
        <v>12</v>
      </c>
      <c r="N53" s="106">
        <v>37226</v>
      </c>
      <c r="O53" s="2">
        <f t="shared" si="6"/>
        <v>3.1359999999999999E-2</v>
      </c>
    </row>
    <row r="54" spans="1:15" x14ac:dyDescent="0.3">
      <c r="A54" t="s">
        <v>179</v>
      </c>
      <c r="B54" t="s">
        <v>127</v>
      </c>
      <c r="C54">
        <v>362</v>
      </c>
      <c r="D54">
        <f t="shared" si="0"/>
        <v>1998</v>
      </c>
      <c r="E54">
        <f t="shared" si="1"/>
        <v>3</v>
      </c>
      <c r="L54">
        <f t="shared" si="4"/>
        <v>2002</v>
      </c>
      <c r="M54">
        <f t="shared" si="5"/>
        <v>1</v>
      </c>
      <c r="N54" s="106">
        <v>37257</v>
      </c>
      <c r="O54" s="2">
        <f t="shared" si="6"/>
        <v>3.0480952380952379E-2</v>
      </c>
    </row>
    <row r="55" spans="1:15" x14ac:dyDescent="0.3">
      <c r="A55" t="s">
        <v>180</v>
      </c>
      <c r="B55" t="s">
        <v>127</v>
      </c>
      <c r="C55">
        <v>355</v>
      </c>
      <c r="D55">
        <f t="shared" si="0"/>
        <v>1998</v>
      </c>
      <c r="E55">
        <f t="shared" si="1"/>
        <v>3</v>
      </c>
      <c r="L55">
        <f t="shared" si="4"/>
        <v>2002</v>
      </c>
      <c r="M55">
        <f t="shared" si="5"/>
        <v>2</v>
      </c>
      <c r="N55" s="106">
        <v>37288</v>
      </c>
      <c r="O55" s="2">
        <f t="shared" si="6"/>
        <v>2.8510526315789472E-2</v>
      </c>
    </row>
    <row r="56" spans="1:15" x14ac:dyDescent="0.3">
      <c r="A56" t="s">
        <v>181</v>
      </c>
      <c r="B56" t="s">
        <v>127</v>
      </c>
      <c r="C56">
        <v>357</v>
      </c>
      <c r="D56">
        <f t="shared" si="0"/>
        <v>1998</v>
      </c>
      <c r="E56">
        <f t="shared" si="1"/>
        <v>3</v>
      </c>
      <c r="L56">
        <f t="shared" si="4"/>
        <v>2002</v>
      </c>
      <c r="M56">
        <f t="shared" si="5"/>
        <v>3</v>
      </c>
      <c r="N56" s="106">
        <v>37316</v>
      </c>
      <c r="O56" s="2">
        <f t="shared" si="6"/>
        <v>2.5225000000000001E-2</v>
      </c>
    </row>
    <row r="57" spans="1:15" x14ac:dyDescent="0.3">
      <c r="A57" t="s">
        <v>182</v>
      </c>
      <c r="B57" t="s">
        <v>127</v>
      </c>
      <c r="C57">
        <v>353</v>
      </c>
      <c r="D57">
        <f t="shared" si="0"/>
        <v>1998</v>
      </c>
      <c r="E57">
        <f t="shared" si="1"/>
        <v>3</v>
      </c>
      <c r="L57">
        <f t="shared" si="4"/>
        <v>2002</v>
      </c>
      <c r="M57">
        <f t="shared" si="5"/>
        <v>4</v>
      </c>
      <c r="N57" s="106">
        <v>37347</v>
      </c>
      <c r="O57" s="2">
        <f t="shared" si="6"/>
        <v>2.4304545454545454E-2</v>
      </c>
    </row>
    <row r="58" spans="1:15" x14ac:dyDescent="0.3">
      <c r="A58" t="s">
        <v>183</v>
      </c>
      <c r="B58" t="s">
        <v>127</v>
      </c>
      <c r="C58">
        <v>365</v>
      </c>
      <c r="D58">
        <f t="shared" si="0"/>
        <v>1998</v>
      </c>
      <c r="E58">
        <f t="shared" si="1"/>
        <v>3</v>
      </c>
      <c r="L58">
        <f t="shared" si="4"/>
        <v>2002</v>
      </c>
      <c r="M58">
        <f t="shared" si="5"/>
        <v>5</v>
      </c>
      <c r="N58" s="106">
        <v>37377</v>
      </c>
      <c r="O58" s="2">
        <f t="shared" si="6"/>
        <v>2.578181818181818E-2</v>
      </c>
    </row>
    <row r="59" spans="1:15" x14ac:dyDescent="0.3">
      <c r="A59" t="s">
        <v>184</v>
      </c>
      <c r="B59" t="s">
        <v>127</v>
      </c>
      <c r="C59">
        <v>371</v>
      </c>
      <c r="D59">
        <f t="shared" si="0"/>
        <v>1998</v>
      </c>
      <c r="E59">
        <f t="shared" si="1"/>
        <v>3</v>
      </c>
      <c r="L59">
        <f t="shared" si="4"/>
        <v>2002</v>
      </c>
      <c r="M59">
        <f t="shared" si="5"/>
        <v>6</v>
      </c>
      <c r="N59" s="106">
        <v>37408</v>
      </c>
      <c r="O59" s="2">
        <f t="shared" si="6"/>
        <v>3.0160000000000003E-2</v>
      </c>
    </row>
    <row r="60" spans="1:15" x14ac:dyDescent="0.3">
      <c r="A60" t="s">
        <v>185</v>
      </c>
      <c r="B60" t="s">
        <v>127</v>
      </c>
      <c r="C60">
        <v>365</v>
      </c>
      <c r="D60">
        <f t="shared" si="0"/>
        <v>1998</v>
      </c>
      <c r="E60">
        <f t="shared" si="1"/>
        <v>3</v>
      </c>
      <c r="L60">
        <f t="shared" si="4"/>
        <v>2002</v>
      </c>
      <c r="M60">
        <f t="shared" si="5"/>
        <v>7</v>
      </c>
      <c r="N60" s="106">
        <v>37438</v>
      </c>
      <c r="O60" s="2">
        <f t="shared" si="6"/>
        <v>3.4236363636363634E-2</v>
      </c>
    </row>
    <row r="61" spans="1:15" x14ac:dyDescent="0.3">
      <c r="A61" t="s">
        <v>186</v>
      </c>
      <c r="B61" t="s">
        <v>127</v>
      </c>
      <c r="C61">
        <v>359</v>
      </c>
      <c r="D61">
        <f t="shared" si="0"/>
        <v>1998</v>
      </c>
      <c r="E61">
        <f t="shared" si="1"/>
        <v>3</v>
      </c>
      <c r="L61">
        <f t="shared" si="4"/>
        <v>2002</v>
      </c>
      <c r="M61">
        <f t="shared" si="5"/>
        <v>8</v>
      </c>
      <c r="N61" s="106">
        <v>37469</v>
      </c>
      <c r="O61" s="2">
        <f t="shared" si="6"/>
        <v>3.7986363636363638E-2</v>
      </c>
    </row>
    <row r="62" spans="1:15" x14ac:dyDescent="0.3">
      <c r="A62" t="s">
        <v>187</v>
      </c>
      <c r="B62" t="s">
        <v>127</v>
      </c>
      <c r="C62">
        <v>366</v>
      </c>
      <c r="D62">
        <f t="shared" si="0"/>
        <v>1998</v>
      </c>
      <c r="E62">
        <f t="shared" si="1"/>
        <v>3</v>
      </c>
      <c r="L62">
        <f t="shared" si="4"/>
        <v>2002</v>
      </c>
      <c r="M62">
        <f t="shared" si="5"/>
        <v>9</v>
      </c>
      <c r="N62" s="106">
        <v>37500</v>
      </c>
      <c r="O62" s="2">
        <f t="shared" si="6"/>
        <v>4.0379999999999999E-2</v>
      </c>
    </row>
    <row r="63" spans="1:15" x14ac:dyDescent="0.3">
      <c r="A63" t="s">
        <v>188</v>
      </c>
      <c r="B63" t="s">
        <v>127</v>
      </c>
      <c r="C63">
        <v>373</v>
      </c>
      <c r="D63">
        <f t="shared" si="0"/>
        <v>1998</v>
      </c>
      <c r="E63">
        <f t="shared" si="1"/>
        <v>3</v>
      </c>
      <c r="L63">
        <f t="shared" si="4"/>
        <v>2002</v>
      </c>
      <c r="M63">
        <f t="shared" si="5"/>
        <v>10</v>
      </c>
      <c r="N63" s="106">
        <v>37530</v>
      </c>
      <c r="O63" s="2">
        <f t="shared" si="6"/>
        <v>3.8704347826086956E-2</v>
      </c>
    </row>
    <row r="64" spans="1:15" x14ac:dyDescent="0.3">
      <c r="A64" t="s">
        <v>189</v>
      </c>
      <c r="B64" t="s">
        <v>127</v>
      </c>
      <c r="C64">
        <v>379</v>
      </c>
      <c r="D64">
        <f t="shared" si="0"/>
        <v>1998</v>
      </c>
      <c r="E64">
        <f t="shared" si="1"/>
        <v>4</v>
      </c>
      <c r="L64">
        <f t="shared" si="4"/>
        <v>2002</v>
      </c>
      <c r="M64">
        <f t="shared" si="5"/>
        <v>11</v>
      </c>
      <c r="N64" s="106">
        <v>37561</v>
      </c>
      <c r="O64" s="2">
        <f t="shared" si="6"/>
        <v>3.4835000000000005E-2</v>
      </c>
    </row>
    <row r="65" spans="1:15" x14ac:dyDescent="0.3">
      <c r="A65" t="s">
        <v>190</v>
      </c>
      <c r="B65" t="s">
        <v>127</v>
      </c>
      <c r="C65">
        <v>387</v>
      </c>
      <c r="D65">
        <f t="shared" si="0"/>
        <v>1998</v>
      </c>
      <c r="E65">
        <f t="shared" si="1"/>
        <v>4</v>
      </c>
      <c r="L65">
        <f t="shared" si="4"/>
        <v>2002</v>
      </c>
      <c r="M65">
        <f t="shared" si="5"/>
        <v>12</v>
      </c>
      <c r="N65" s="106">
        <v>37591</v>
      </c>
      <c r="O65" s="2">
        <f t="shared" si="6"/>
        <v>3.1209523809523809E-2</v>
      </c>
    </row>
    <row r="66" spans="1:15" x14ac:dyDescent="0.3">
      <c r="A66" t="s">
        <v>191</v>
      </c>
      <c r="B66" t="s">
        <v>127</v>
      </c>
      <c r="C66">
        <v>412</v>
      </c>
      <c r="D66">
        <f t="shared" si="0"/>
        <v>1998</v>
      </c>
      <c r="E66">
        <f t="shared" si="1"/>
        <v>4</v>
      </c>
      <c r="L66">
        <f t="shared" si="4"/>
        <v>2003</v>
      </c>
      <c r="M66">
        <f t="shared" si="5"/>
        <v>1</v>
      </c>
      <c r="N66" s="106">
        <v>37622</v>
      </c>
      <c r="O66" s="2">
        <f t="shared" si="6"/>
        <v>3.1133333333333332E-2</v>
      </c>
    </row>
    <row r="67" spans="1:15" x14ac:dyDescent="0.3">
      <c r="A67" t="s">
        <v>192</v>
      </c>
      <c r="B67" t="s">
        <v>127</v>
      </c>
      <c r="C67">
        <v>402</v>
      </c>
      <c r="D67">
        <f t="shared" ref="D67:D130" si="7">YEAR(A67)</f>
        <v>1998</v>
      </c>
      <c r="E67">
        <f t="shared" ref="E67:E130" si="8">MONTH(A67)</f>
        <v>4</v>
      </c>
      <c r="L67">
        <f t="shared" si="4"/>
        <v>2003</v>
      </c>
      <c r="M67">
        <f t="shared" si="5"/>
        <v>2</v>
      </c>
      <c r="N67" s="106">
        <v>37653</v>
      </c>
      <c r="O67" s="2">
        <f t="shared" si="6"/>
        <v>3.2231578947368424E-2</v>
      </c>
    </row>
    <row r="68" spans="1:15" x14ac:dyDescent="0.3">
      <c r="A68" t="s">
        <v>193</v>
      </c>
      <c r="B68" t="s">
        <v>127</v>
      </c>
      <c r="C68">
        <v>387</v>
      </c>
      <c r="D68">
        <f t="shared" si="7"/>
        <v>1998</v>
      </c>
      <c r="E68">
        <f t="shared" si="8"/>
        <v>4</v>
      </c>
      <c r="L68">
        <f t="shared" si="4"/>
        <v>2003</v>
      </c>
      <c r="M68">
        <f t="shared" si="5"/>
        <v>3</v>
      </c>
      <c r="N68" s="106">
        <v>37681</v>
      </c>
      <c r="O68" s="2">
        <f t="shared" si="6"/>
        <v>3.0157142857142855E-2</v>
      </c>
    </row>
    <row r="69" spans="1:15" x14ac:dyDescent="0.3">
      <c r="A69" t="s">
        <v>194</v>
      </c>
      <c r="B69" t="s">
        <v>127</v>
      </c>
      <c r="C69">
        <v>380</v>
      </c>
      <c r="D69">
        <f t="shared" si="7"/>
        <v>1998</v>
      </c>
      <c r="E69">
        <f t="shared" si="8"/>
        <v>4</v>
      </c>
      <c r="L69">
        <f t="shared" si="4"/>
        <v>2003</v>
      </c>
      <c r="M69">
        <f t="shared" si="5"/>
        <v>4</v>
      </c>
      <c r="N69" s="106">
        <v>37712</v>
      </c>
      <c r="O69" s="2">
        <f t="shared" si="6"/>
        <v>2.6157142857142855E-2</v>
      </c>
    </row>
    <row r="70" spans="1:15" x14ac:dyDescent="0.3">
      <c r="A70" t="s">
        <v>195</v>
      </c>
      <c r="B70" t="s">
        <v>127</v>
      </c>
      <c r="C70">
        <v>372</v>
      </c>
      <c r="D70">
        <f t="shared" si="7"/>
        <v>1998</v>
      </c>
      <c r="E70">
        <f t="shared" si="8"/>
        <v>4</v>
      </c>
      <c r="L70">
        <f t="shared" ref="L70:L133" si="9">YEAR(N70)</f>
        <v>2003</v>
      </c>
      <c r="M70">
        <f t="shared" ref="M70:M133" si="10">MONTH(N70)</f>
        <v>5</v>
      </c>
      <c r="N70" s="106">
        <v>37742</v>
      </c>
      <c r="O70" s="2">
        <f t="shared" ref="O70:O133" si="11">AVERAGEIFS($C$2:$C$7066,$D$2:$D$7066,L70,$E$2:$E$7066,M70)/10000</f>
        <v>2.2695238095238095E-2</v>
      </c>
    </row>
    <row r="71" spans="1:15" x14ac:dyDescent="0.3">
      <c r="A71" t="s">
        <v>196</v>
      </c>
      <c r="B71" t="s">
        <v>127</v>
      </c>
      <c r="C71">
        <v>372</v>
      </c>
      <c r="D71">
        <f t="shared" si="7"/>
        <v>1998</v>
      </c>
      <c r="E71">
        <f t="shared" si="8"/>
        <v>4</v>
      </c>
      <c r="L71">
        <f t="shared" si="9"/>
        <v>2003</v>
      </c>
      <c r="M71">
        <f t="shared" si="10"/>
        <v>6</v>
      </c>
      <c r="N71" s="106">
        <v>37773</v>
      </c>
      <c r="O71" s="2">
        <f t="shared" si="11"/>
        <v>2.3033333333333333E-2</v>
      </c>
    </row>
    <row r="72" spans="1:15" x14ac:dyDescent="0.3">
      <c r="A72" t="s">
        <v>197</v>
      </c>
      <c r="B72" t="s">
        <v>127</v>
      </c>
      <c r="C72">
        <v>373</v>
      </c>
      <c r="D72">
        <f t="shared" si="7"/>
        <v>1998</v>
      </c>
      <c r="E72">
        <f t="shared" si="8"/>
        <v>4</v>
      </c>
      <c r="L72">
        <f t="shared" si="9"/>
        <v>2003</v>
      </c>
      <c r="M72">
        <f t="shared" si="10"/>
        <v>7</v>
      </c>
      <c r="N72" s="106">
        <v>37803</v>
      </c>
      <c r="O72" s="2">
        <f t="shared" si="11"/>
        <v>2.3377272727272729E-2</v>
      </c>
    </row>
    <row r="73" spans="1:15" x14ac:dyDescent="0.3">
      <c r="A73" t="s">
        <v>198</v>
      </c>
      <c r="B73" t="s">
        <v>127</v>
      </c>
      <c r="C73">
        <v>376</v>
      </c>
      <c r="D73">
        <f t="shared" si="7"/>
        <v>1998</v>
      </c>
      <c r="E73">
        <f t="shared" si="8"/>
        <v>4</v>
      </c>
      <c r="L73">
        <f t="shared" si="9"/>
        <v>2003</v>
      </c>
      <c r="M73">
        <f t="shared" si="10"/>
        <v>8</v>
      </c>
      <c r="N73" s="106">
        <v>37834</v>
      </c>
      <c r="O73" s="2">
        <f t="shared" si="11"/>
        <v>2.3038095238095239E-2</v>
      </c>
    </row>
    <row r="74" spans="1:15" x14ac:dyDescent="0.3">
      <c r="A74" t="s">
        <v>199</v>
      </c>
      <c r="B74" t="s">
        <v>127</v>
      </c>
      <c r="C74">
        <v>377</v>
      </c>
      <c r="D74">
        <f t="shared" si="7"/>
        <v>1998</v>
      </c>
      <c r="E74">
        <f t="shared" si="8"/>
        <v>4</v>
      </c>
      <c r="L74">
        <f t="shared" si="9"/>
        <v>2003</v>
      </c>
      <c r="M74">
        <f t="shared" si="10"/>
        <v>9</v>
      </c>
      <c r="N74" s="106">
        <v>37865</v>
      </c>
      <c r="O74" s="2">
        <f t="shared" si="11"/>
        <v>2.0738095238095239E-2</v>
      </c>
    </row>
    <row r="75" spans="1:15" x14ac:dyDescent="0.3">
      <c r="A75" t="s">
        <v>200</v>
      </c>
      <c r="B75" t="s">
        <v>127</v>
      </c>
      <c r="C75">
        <v>374</v>
      </c>
      <c r="D75">
        <f t="shared" si="7"/>
        <v>1998</v>
      </c>
      <c r="E75">
        <f t="shared" si="8"/>
        <v>4</v>
      </c>
      <c r="L75">
        <f t="shared" si="9"/>
        <v>2003</v>
      </c>
      <c r="M75">
        <f t="shared" si="10"/>
        <v>10</v>
      </c>
      <c r="N75" s="106">
        <v>37895</v>
      </c>
      <c r="O75" s="2">
        <f t="shared" si="11"/>
        <v>2.078695652173913E-2</v>
      </c>
    </row>
    <row r="76" spans="1:15" x14ac:dyDescent="0.3">
      <c r="A76" t="s">
        <v>201</v>
      </c>
      <c r="B76" t="s">
        <v>127</v>
      </c>
      <c r="C76">
        <v>377</v>
      </c>
      <c r="D76">
        <f t="shared" si="7"/>
        <v>1998</v>
      </c>
      <c r="E76">
        <f t="shared" si="8"/>
        <v>4</v>
      </c>
      <c r="L76">
        <f t="shared" si="9"/>
        <v>2003</v>
      </c>
      <c r="M76">
        <f t="shared" si="10"/>
        <v>11</v>
      </c>
      <c r="N76" s="106">
        <v>37926</v>
      </c>
      <c r="O76" s="2">
        <f t="shared" si="11"/>
        <v>2.0110526315789475E-2</v>
      </c>
    </row>
    <row r="77" spans="1:15" x14ac:dyDescent="0.3">
      <c r="A77" t="s">
        <v>202</v>
      </c>
      <c r="B77" t="s">
        <v>127</v>
      </c>
      <c r="C77">
        <v>372</v>
      </c>
      <c r="D77">
        <f t="shared" si="7"/>
        <v>1998</v>
      </c>
      <c r="E77">
        <f t="shared" si="8"/>
        <v>4</v>
      </c>
      <c r="L77">
        <f t="shared" si="9"/>
        <v>2003</v>
      </c>
      <c r="M77">
        <f t="shared" si="10"/>
        <v>12</v>
      </c>
      <c r="N77" s="106">
        <v>37956</v>
      </c>
      <c r="O77" s="2">
        <f t="shared" si="11"/>
        <v>2.0490909090909091E-2</v>
      </c>
    </row>
    <row r="78" spans="1:15" x14ac:dyDescent="0.3">
      <c r="A78" t="s">
        <v>203</v>
      </c>
      <c r="B78" t="s">
        <v>127</v>
      </c>
      <c r="C78">
        <v>368</v>
      </c>
      <c r="D78">
        <f t="shared" si="7"/>
        <v>1998</v>
      </c>
      <c r="E78">
        <f t="shared" si="8"/>
        <v>4</v>
      </c>
      <c r="L78">
        <f t="shared" si="9"/>
        <v>2004</v>
      </c>
      <c r="M78">
        <f t="shared" si="10"/>
        <v>1</v>
      </c>
      <c r="N78" s="106">
        <v>37987</v>
      </c>
      <c r="O78" s="2">
        <f t="shared" si="11"/>
        <v>1.9019999999999999E-2</v>
      </c>
    </row>
    <row r="79" spans="1:15" x14ac:dyDescent="0.3">
      <c r="A79" t="s">
        <v>204</v>
      </c>
      <c r="B79" t="s">
        <v>127</v>
      </c>
      <c r="C79">
        <v>370</v>
      </c>
      <c r="D79">
        <f t="shared" si="7"/>
        <v>1998</v>
      </c>
      <c r="E79">
        <f t="shared" si="8"/>
        <v>4</v>
      </c>
      <c r="L79">
        <f t="shared" si="9"/>
        <v>2004</v>
      </c>
      <c r="M79">
        <f t="shared" si="10"/>
        <v>2</v>
      </c>
      <c r="N79" s="106">
        <v>38018</v>
      </c>
      <c r="O79" s="2">
        <f t="shared" si="11"/>
        <v>1.9321052631578947E-2</v>
      </c>
    </row>
    <row r="80" spans="1:15" x14ac:dyDescent="0.3">
      <c r="A80" t="s">
        <v>205</v>
      </c>
      <c r="B80" t="s">
        <v>127</v>
      </c>
      <c r="C80">
        <v>378</v>
      </c>
      <c r="D80">
        <f t="shared" si="7"/>
        <v>1998</v>
      </c>
      <c r="E80">
        <f t="shared" si="8"/>
        <v>4</v>
      </c>
      <c r="L80">
        <f t="shared" si="9"/>
        <v>2004</v>
      </c>
      <c r="M80">
        <f t="shared" si="10"/>
        <v>3</v>
      </c>
      <c r="N80" s="106">
        <v>38047</v>
      </c>
      <c r="O80" s="2">
        <f t="shared" si="11"/>
        <v>1.853913043478261E-2</v>
      </c>
    </row>
    <row r="81" spans="1:15" x14ac:dyDescent="0.3">
      <c r="A81" t="s">
        <v>206</v>
      </c>
      <c r="B81" t="s">
        <v>127</v>
      </c>
      <c r="C81">
        <v>390</v>
      </c>
      <c r="D81">
        <f t="shared" si="7"/>
        <v>1998</v>
      </c>
      <c r="E81">
        <f t="shared" si="8"/>
        <v>4</v>
      </c>
      <c r="L81">
        <f t="shared" si="9"/>
        <v>2004</v>
      </c>
      <c r="M81">
        <f t="shared" si="10"/>
        <v>4</v>
      </c>
      <c r="N81" s="106">
        <v>38078</v>
      </c>
      <c r="O81" s="2">
        <f t="shared" si="11"/>
        <v>1.7950000000000001E-2</v>
      </c>
    </row>
    <row r="82" spans="1:15" x14ac:dyDescent="0.3">
      <c r="A82" t="s">
        <v>207</v>
      </c>
      <c r="B82" t="s">
        <v>127</v>
      </c>
      <c r="C82">
        <v>387</v>
      </c>
      <c r="D82">
        <f t="shared" si="7"/>
        <v>1998</v>
      </c>
      <c r="E82">
        <f t="shared" si="8"/>
        <v>4</v>
      </c>
      <c r="L82">
        <f t="shared" si="9"/>
        <v>2004</v>
      </c>
      <c r="M82">
        <f t="shared" si="10"/>
        <v>5</v>
      </c>
      <c r="N82" s="106">
        <v>38108</v>
      </c>
      <c r="O82" s="2">
        <f t="shared" si="11"/>
        <v>2.1655000000000001E-2</v>
      </c>
    </row>
    <row r="83" spans="1:15" x14ac:dyDescent="0.3">
      <c r="A83" t="s">
        <v>208</v>
      </c>
      <c r="B83" t="s">
        <v>127</v>
      </c>
      <c r="C83">
        <v>382</v>
      </c>
      <c r="D83">
        <f t="shared" si="7"/>
        <v>1998</v>
      </c>
      <c r="E83">
        <f t="shared" si="8"/>
        <v>4</v>
      </c>
      <c r="L83">
        <f t="shared" si="9"/>
        <v>2004</v>
      </c>
      <c r="M83">
        <f t="shared" si="10"/>
        <v>6</v>
      </c>
      <c r="N83" s="106">
        <v>38139</v>
      </c>
      <c r="O83" s="2">
        <f t="shared" si="11"/>
        <v>2.129090909090909E-2</v>
      </c>
    </row>
    <row r="84" spans="1:15" x14ac:dyDescent="0.3">
      <c r="A84" t="s">
        <v>209</v>
      </c>
      <c r="B84" t="s">
        <v>127</v>
      </c>
      <c r="C84">
        <v>379</v>
      </c>
      <c r="D84">
        <f t="shared" si="7"/>
        <v>1998</v>
      </c>
      <c r="E84">
        <f t="shared" si="8"/>
        <v>4</v>
      </c>
      <c r="L84">
        <f t="shared" si="9"/>
        <v>2004</v>
      </c>
      <c r="M84">
        <f t="shared" si="10"/>
        <v>7</v>
      </c>
      <c r="N84" s="106">
        <v>38169</v>
      </c>
      <c r="O84" s="2">
        <f t="shared" si="11"/>
        <v>2.0509090909090911E-2</v>
      </c>
    </row>
    <row r="85" spans="1:15" x14ac:dyDescent="0.3">
      <c r="A85" t="s">
        <v>210</v>
      </c>
      <c r="B85" t="s">
        <v>127</v>
      </c>
      <c r="C85">
        <v>379</v>
      </c>
      <c r="D85">
        <f t="shared" si="7"/>
        <v>1998</v>
      </c>
      <c r="E85">
        <f t="shared" si="8"/>
        <v>5</v>
      </c>
      <c r="L85">
        <f t="shared" si="9"/>
        <v>2004</v>
      </c>
      <c r="M85">
        <f t="shared" si="10"/>
        <v>8</v>
      </c>
      <c r="N85" s="106">
        <v>38200</v>
      </c>
      <c r="O85" s="2">
        <f t="shared" si="11"/>
        <v>1.9213636363636363E-2</v>
      </c>
    </row>
    <row r="86" spans="1:15" x14ac:dyDescent="0.3">
      <c r="A86" t="s">
        <v>211</v>
      </c>
      <c r="B86" t="s">
        <v>127</v>
      </c>
      <c r="C86">
        <v>384</v>
      </c>
      <c r="D86">
        <f t="shared" si="7"/>
        <v>1998</v>
      </c>
      <c r="E86">
        <f t="shared" si="8"/>
        <v>5</v>
      </c>
      <c r="L86">
        <f t="shared" si="9"/>
        <v>2004</v>
      </c>
      <c r="M86">
        <f t="shared" si="10"/>
        <v>9</v>
      </c>
      <c r="N86" s="106">
        <v>38231</v>
      </c>
      <c r="O86" s="2">
        <f t="shared" si="11"/>
        <v>1.8504761904761902E-2</v>
      </c>
    </row>
    <row r="87" spans="1:15" x14ac:dyDescent="0.3">
      <c r="A87" t="s">
        <v>212</v>
      </c>
      <c r="B87" t="s">
        <v>127</v>
      </c>
      <c r="C87">
        <v>384</v>
      </c>
      <c r="D87">
        <f t="shared" si="7"/>
        <v>1998</v>
      </c>
      <c r="E87">
        <f t="shared" si="8"/>
        <v>5</v>
      </c>
      <c r="L87">
        <f t="shared" si="9"/>
        <v>2004</v>
      </c>
      <c r="M87">
        <f t="shared" si="10"/>
        <v>10</v>
      </c>
      <c r="N87" s="106">
        <v>38261</v>
      </c>
      <c r="O87" s="2">
        <f t="shared" si="11"/>
        <v>1.8605E-2</v>
      </c>
    </row>
    <row r="88" spans="1:15" x14ac:dyDescent="0.3">
      <c r="A88" t="s">
        <v>213</v>
      </c>
      <c r="B88" t="s">
        <v>127</v>
      </c>
      <c r="C88">
        <v>394</v>
      </c>
      <c r="D88">
        <f t="shared" si="7"/>
        <v>1998</v>
      </c>
      <c r="E88">
        <f t="shared" si="8"/>
        <v>5</v>
      </c>
      <c r="L88">
        <f t="shared" si="9"/>
        <v>2004</v>
      </c>
      <c r="M88">
        <f t="shared" si="10"/>
        <v>11</v>
      </c>
      <c r="N88" s="106">
        <v>38292</v>
      </c>
      <c r="O88" s="2">
        <f t="shared" si="11"/>
        <v>1.7145454545454547E-2</v>
      </c>
    </row>
    <row r="89" spans="1:15" x14ac:dyDescent="0.3">
      <c r="A89" t="s">
        <v>214</v>
      </c>
      <c r="B89" t="s">
        <v>127</v>
      </c>
      <c r="C89">
        <v>390</v>
      </c>
      <c r="D89">
        <f t="shared" si="7"/>
        <v>1998</v>
      </c>
      <c r="E89">
        <f t="shared" si="8"/>
        <v>5</v>
      </c>
      <c r="L89">
        <f t="shared" si="9"/>
        <v>2004</v>
      </c>
      <c r="M89">
        <f t="shared" si="10"/>
        <v>12</v>
      </c>
      <c r="N89" s="106">
        <v>38322</v>
      </c>
      <c r="O89" s="2">
        <f t="shared" si="11"/>
        <v>1.6630434782608696E-2</v>
      </c>
    </row>
    <row r="90" spans="1:15" x14ac:dyDescent="0.3">
      <c r="A90" t="s">
        <v>215</v>
      </c>
      <c r="B90" t="s">
        <v>127</v>
      </c>
      <c r="C90">
        <v>390</v>
      </c>
      <c r="D90">
        <f t="shared" si="7"/>
        <v>1998</v>
      </c>
      <c r="E90">
        <f t="shared" si="8"/>
        <v>5</v>
      </c>
      <c r="L90">
        <f t="shared" si="9"/>
        <v>2005</v>
      </c>
      <c r="M90">
        <f t="shared" si="10"/>
        <v>1</v>
      </c>
      <c r="N90" s="106">
        <v>38353</v>
      </c>
      <c r="O90" s="2">
        <f t="shared" si="11"/>
        <v>1.6947619047619048E-2</v>
      </c>
    </row>
    <row r="91" spans="1:15" x14ac:dyDescent="0.3">
      <c r="A91" t="s">
        <v>216</v>
      </c>
      <c r="B91" t="s">
        <v>127</v>
      </c>
      <c r="C91">
        <v>388</v>
      </c>
      <c r="D91">
        <f t="shared" si="7"/>
        <v>1998</v>
      </c>
      <c r="E91">
        <f t="shared" si="8"/>
        <v>5</v>
      </c>
      <c r="L91">
        <f t="shared" si="9"/>
        <v>2005</v>
      </c>
      <c r="M91">
        <f t="shared" si="10"/>
        <v>2</v>
      </c>
      <c r="N91" s="106">
        <v>38384</v>
      </c>
      <c r="O91" s="2">
        <f t="shared" si="11"/>
        <v>1.5709999999999998E-2</v>
      </c>
    </row>
    <row r="92" spans="1:15" x14ac:dyDescent="0.3">
      <c r="A92" t="s">
        <v>217</v>
      </c>
      <c r="B92" t="s">
        <v>127</v>
      </c>
      <c r="C92">
        <v>406</v>
      </c>
      <c r="D92">
        <f t="shared" si="7"/>
        <v>1998</v>
      </c>
      <c r="E92">
        <f t="shared" si="8"/>
        <v>5</v>
      </c>
      <c r="L92">
        <f t="shared" si="9"/>
        <v>2005</v>
      </c>
      <c r="M92">
        <f t="shared" si="10"/>
        <v>3</v>
      </c>
      <c r="N92" s="106">
        <v>38412</v>
      </c>
      <c r="O92" s="2">
        <f t="shared" si="11"/>
        <v>1.6481818181818181E-2</v>
      </c>
    </row>
    <row r="93" spans="1:15" x14ac:dyDescent="0.3">
      <c r="A93" t="s">
        <v>218</v>
      </c>
      <c r="B93" t="s">
        <v>127</v>
      </c>
      <c r="C93">
        <v>407</v>
      </c>
      <c r="D93">
        <f t="shared" si="7"/>
        <v>1998</v>
      </c>
      <c r="E93">
        <f t="shared" si="8"/>
        <v>5</v>
      </c>
      <c r="L93">
        <f t="shared" si="9"/>
        <v>2005</v>
      </c>
      <c r="M93">
        <f t="shared" si="10"/>
        <v>4</v>
      </c>
      <c r="N93" s="106">
        <v>38443</v>
      </c>
      <c r="O93" s="2">
        <f t="shared" si="11"/>
        <v>1.8628571428571428E-2</v>
      </c>
    </row>
    <row r="94" spans="1:15" x14ac:dyDescent="0.3">
      <c r="A94" t="s">
        <v>219</v>
      </c>
      <c r="B94" t="s">
        <v>127</v>
      </c>
      <c r="C94">
        <v>405</v>
      </c>
      <c r="D94">
        <f t="shared" si="7"/>
        <v>1998</v>
      </c>
      <c r="E94">
        <f t="shared" si="8"/>
        <v>5</v>
      </c>
      <c r="L94">
        <f t="shared" si="9"/>
        <v>2005</v>
      </c>
      <c r="M94">
        <f t="shared" si="10"/>
        <v>5</v>
      </c>
      <c r="N94" s="106">
        <v>38473</v>
      </c>
      <c r="O94" s="2">
        <f t="shared" si="11"/>
        <v>1.8054545454545452E-2</v>
      </c>
    </row>
    <row r="95" spans="1:15" x14ac:dyDescent="0.3">
      <c r="A95" t="s">
        <v>220</v>
      </c>
      <c r="B95" t="s">
        <v>127</v>
      </c>
      <c r="C95">
        <v>402</v>
      </c>
      <c r="D95">
        <f t="shared" si="7"/>
        <v>1998</v>
      </c>
      <c r="E95">
        <f t="shared" si="8"/>
        <v>5</v>
      </c>
      <c r="L95">
        <f t="shared" si="9"/>
        <v>2005</v>
      </c>
      <c r="M95">
        <f t="shared" si="10"/>
        <v>6</v>
      </c>
      <c r="N95" s="106">
        <v>38504</v>
      </c>
      <c r="O95" s="2">
        <f t="shared" si="11"/>
        <v>1.7204545454545452E-2</v>
      </c>
    </row>
    <row r="96" spans="1:15" x14ac:dyDescent="0.3">
      <c r="A96" t="s">
        <v>221</v>
      </c>
      <c r="B96" t="s">
        <v>127</v>
      </c>
      <c r="C96">
        <v>429</v>
      </c>
      <c r="D96">
        <f t="shared" si="7"/>
        <v>1998</v>
      </c>
      <c r="E96">
        <f t="shared" si="8"/>
        <v>5</v>
      </c>
      <c r="L96">
        <f t="shared" si="9"/>
        <v>2005</v>
      </c>
      <c r="M96">
        <f t="shared" si="10"/>
        <v>7</v>
      </c>
      <c r="N96" s="106">
        <v>38534</v>
      </c>
      <c r="O96" s="2">
        <f t="shared" si="11"/>
        <v>1.5919047619047621E-2</v>
      </c>
    </row>
    <row r="97" spans="1:15" x14ac:dyDescent="0.3">
      <c r="A97" t="s">
        <v>222</v>
      </c>
      <c r="B97" t="s">
        <v>127</v>
      </c>
      <c r="C97">
        <v>427</v>
      </c>
      <c r="D97">
        <f t="shared" si="7"/>
        <v>1998</v>
      </c>
      <c r="E97">
        <f t="shared" si="8"/>
        <v>5</v>
      </c>
      <c r="L97">
        <f t="shared" si="9"/>
        <v>2005</v>
      </c>
      <c r="M97">
        <f t="shared" si="10"/>
        <v>8</v>
      </c>
      <c r="N97" s="106">
        <v>38565</v>
      </c>
      <c r="O97" s="2">
        <f t="shared" si="11"/>
        <v>1.4978260869565219E-2</v>
      </c>
    </row>
    <row r="98" spans="1:15" x14ac:dyDescent="0.3">
      <c r="A98" t="s">
        <v>223</v>
      </c>
      <c r="B98" t="s">
        <v>127</v>
      </c>
      <c r="C98">
        <v>425</v>
      </c>
      <c r="D98">
        <f t="shared" si="7"/>
        <v>1998</v>
      </c>
      <c r="E98">
        <f t="shared" si="8"/>
        <v>5</v>
      </c>
      <c r="L98">
        <f t="shared" si="9"/>
        <v>2005</v>
      </c>
      <c r="M98">
        <f t="shared" si="10"/>
        <v>9</v>
      </c>
      <c r="N98" s="106">
        <v>38596</v>
      </c>
      <c r="O98" s="2">
        <f t="shared" si="11"/>
        <v>1.38E-2</v>
      </c>
    </row>
    <row r="99" spans="1:15" x14ac:dyDescent="0.3">
      <c r="A99" t="s">
        <v>224</v>
      </c>
      <c r="B99" t="s">
        <v>127</v>
      </c>
      <c r="C99">
        <v>421</v>
      </c>
      <c r="D99">
        <f t="shared" si="7"/>
        <v>1998</v>
      </c>
      <c r="E99">
        <f t="shared" si="8"/>
        <v>5</v>
      </c>
      <c r="L99">
        <f t="shared" si="9"/>
        <v>2005</v>
      </c>
      <c r="M99">
        <f t="shared" si="10"/>
        <v>10</v>
      </c>
      <c r="N99" s="106">
        <v>38626</v>
      </c>
      <c r="O99" s="2">
        <f t="shared" si="11"/>
        <v>1.4476190476190476E-2</v>
      </c>
    </row>
    <row r="100" spans="1:15" x14ac:dyDescent="0.3">
      <c r="A100" t="s">
        <v>225</v>
      </c>
      <c r="B100" t="s">
        <v>127</v>
      </c>
      <c r="C100">
        <v>423</v>
      </c>
      <c r="D100">
        <f t="shared" si="7"/>
        <v>1998</v>
      </c>
      <c r="E100">
        <f t="shared" si="8"/>
        <v>5</v>
      </c>
      <c r="L100">
        <f t="shared" si="9"/>
        <v>2005</v>
      </c>
      <c r="M100">
        <f t="shared" si="10"/>
        <v>11</v>
      </c>
      <c r="N100" s="106">
        <v>38657</v>
      </c>
      <c r="O100" s="2">
        <f t="shared" si="11"/>
        <v>1.225E-2</v>
      </c>
    </row>
    <row r="101" spans="1:15" x14ac:dyDescent="0.3">
      <c r="A101" t="s">
        <v>226</v>
      </c>
      <c r="B101" t="s">
        <v>127</v>
      </c>
      <c r="C101">
        <v>448</v>
      </c>
      <c r="D101">
        <f t="shared" si="7"/>
        <v>1998</v>
      </c>
      <c r="E101">
        <f t="shared" si="8"/>
        <v>5</v>
      </c>
      <c r="L101">
        <f t="shared" si="9"/>
        <v>2005</v>
      </c>
      <c r="M101">
        <f t="shared" si="10"/>
        <v>12</v>
      </c>
      <c r="N101" s="106">
        <v>38687</v>
      </c>
      <c r="O101" s="2">
        <f t="shared" si="11"/>
        <v>1.2486363636363636E-2</v>
      </c>
    </row>
    <row r="102" spans="1:15" x14ac:dyDescent="0.3">
      <c r="A102" t="s">
        <v>227</v>
      </c>
      <c r="B102" t="s">
        <v>127</v>
      </c>
      <c r="C102">
        <v>451</v>
      </c>
      <c r="D102">
        <f t="shared" si="7"/>
        <v>1998</v>
      </c>
      <c r="E102">
        <f t="shared" si="8"/>
        <v>5</v>
      </c>
      <c r="L102">
        <f t="shared" si="9"/>
        <v>2006</v>
      </c>
      <c r="M102">
        <f t="shared" si="10"/>
        <v>1</v>
      </c>
      <c r="N102" s="106">
        <v>38718</v>
      </c>
      <c r="O102" s="2">
        <f t="shared" si="11"/>
        <v>1.205909090909091E-2</v>
      </c>
    </row>
    <row r="103" spans="1:15" x14ac:dyDescent="0.3">
      <c r="A103" t="s">
        <v>228</v>
      </c>
      <c r="B103" t="s">
        <v>127</v>
      </c>
      <c r="C103">
        <v>439</v>
      </c>
      <c r="D103">
        <f t="shared" si="7"/>
        <v>1998</v>
      </c>
      <c r="E103">
        <f t="shared" si="8"/>
        <v>5</v>
      </c>
      <c r="L103">
        <f t="shared" si="9"/>
        <v>2006</v>
      </c>
      <c r="M103">
        <f t="shared" si="10"/>
        <v>2</v>
      </c>
      <c r="N103" s="106">
        <v>38749</v>
      </c>
      <c r="O103" s="2">
        <f t="shared" si="11"/>
        <v>1.1115E-2</v>
      </c>
    </row>
    <row r="104" spans="1:15" x14ac:dyDescent="0.3">
      <c r="A104" t="s">
        <v>229</v>
      </c>
      <c r="B104" t="s">
        <v>127</v>
      </c>
      <c r="C104">
        <v>431</v>
      </c>
      <c r="D104">
        <f t="shared" si="7"/>
        <v>1998</v>
      </c>
      <c r="E104">
        <f t="shared" si="8"/>
        <v>5</v>
      </c>
      <c r="L104">
        <f t="shared" si="9"/>
        <v>2006</v>
      </c>
      <c r="M104">
        <f t="shared" si="10"/>
        <v>3</v>
      </c>
      <c r="N104" s="106">
        <v>38777</v>
      </c>
      <c r="O104" s="2">
        <f t="shared" si="11"/>
        <v>1.2313043478260871E-2</v>
      </c>
    </row>
    <row r="105" spans="1:15" x14ac:dyDescent="0.3">
      <c r="A105" t="s">
        <v>230</v>
      </c>
      <c r="B105" t="s">
        <v>127</v>
      </c>
      <c r="C105">
        <v>443</v>
      </c>
      <c r="D105">
        <f t="shared" si="7"/>
        <v>1998</v>
      </c>
      <c r="E105">
        <f t="shared" si="8"/>
        <v>6</v>
      </c>
      <c r="L105">
        <f t="shared" si="9"/>
        <v>2006</v>
      </c>
      <c r="M105">
        <f t="shared" si="10"/>
        <v>4</v>
      </c>
      <c r="N105" s="106">
        <v>38808</v>
      </c>
      <c r="O105" s="2">
        <f t="shared" si="11"/>
        <v>1.3035E-2</v>
      </c>
    </row>
    <row r="106" spans="1:15" x14ac:dyDescent="0.3">
      <c r="A106" t="s">
        <v>231</v>
      </c>
      <c r="B106" t="s">
        <v>127</v>
      </c>
      <c r="C106">
        <v>424</v>
      </c>
      <c r="D106">
        <f t="shared" si="7"/>
        <v>1998</v>
      </c>
      <c r="E106">
        <f t="shared" si="8"/>
        <v>6</v>
      </c>
      <c r="L106">
        <f t="shared" si="9"/>
        <v>2006</v>
      </c>
      <c r="M106">
        <f t="shared" si="10"/>
        <v>5</v>
      </c>
      <c r="N106" s="106">
        <v>38838</v>
      </c>
      <c r="O106" s="2">
        <f t="shared" si="11"/>
        <v>1.3221739130434781E-2</v>
      </c>
    </row>
    <row r="107" spans="1:15" x14ac:dyDescent="0.3">
      <c r="A107" t="s">
        <v>232</v>
      </c>
      <c r="B107" t="s">
        <v>127</v>
      </c>
      <c r="C107">
        <v>427</v>
      </c>
      <c r="D107">
        <f t="shared" si="7"/>
        <v>1998</v>
      </c>
      <c r="E107">
        <f t="shared" si="8"/>
        <v>6</v>
      </c>
      <c r="L107">
        <f t="shared" si="9"/>
        <v>2006</v>
      </c>
      <c r="M107">
        <f t="shared" si="10"/>
        <v>6</v>
      </c>
      <c r="N107" s="106">
        <v>38869</v>
      </c>
      <c r="O107" s="2">
        <f t="shared" si="11"/>
        <v>1.4972727272727271E-2</v>
      </c>
    </row>
    <row r="108" spans="1:15" x14ac:dyDescent="0.3">
      <c r="A108" t="s">
        <v>233</v>
      </c>
      <c r="B108" t="s">
        <v>127</v>
      </c>
      <c r="C108">
        <v>418</v>
      </c>
      <c r="D108">
        <f t="shared" si="7"/>
        <v>1998</v>
      </c>
      <c r="E108">
        <f t="shared" si="8"/>
        <v>6</v>
      </c>
      <c r="L108">
        <f t="shared" si="9"/>
        <v>2006</v>
      </c>
      <c r="M108">
        <f t="shared" si="10"/>
        <v>7</v>
      </c>
      <c r="N108" s="106">
        <v>38899</v>
      </c>
      <c r="O108" s="2">
        <f t="shared" si="11"/>
        <v>1.2033333333333333E-2</v>
      </c>
    </row>
    <row r="109" spans="1:15" x14ac:dyDescent="0.3">
      <c r="A109" t="s">
        <v>234</v>
      </c>
      <c r="B109" t="s">
        <v>127</v>
      </c>
      <c r="C109">
        <v>413</v>
      </c>
      <c r="D109">
        <f t="shared" si="7"/>
        <v>1998</v>
      </c>
      <c r="E109">
        <f t="shared" si="8"/>
        <v>6</v>
      </c>
      <c r="L109">
        <f t="shared" si="9"/>
        <v>2006</v>
      </c>
      <c r="M109">
        <f t="shared" si="10"/>
        <v>8</v>
      </c>
      <c r="N109" s="106">
        <v>38930</v>
      </c>
      <c r="O109" s="2">
        <f t="shared" si="11"/>
        <v>1.287391304347826E-2</v>
      </c>
    </row>
    <row r="110" spans="1:15" x14ac:dyDescent="0.3">
      <c r="A110" t="s">
        <v>235</v>
      </c>
      <c r="B110" t="s">
        <v>127</v>
      </c>
      <c r="C110">
        <v>420</v>
      </c>
      <c r="D110">
        <f t="shared" si="7"/>
        <v>1998</v>
      </c>
      <c r="E110">
        <f t="shared" si="8"/>
        <v>6</v>
      </c>
      <c r="L110">
        <f t="shared" si="9"/>
        <v>2006</v>
      </c>
      <c r="M110">
        <f t="shared" si="10"/>
        <v>9</v>
      </c>
      <c r="N110" s="106">
        <v>38961</v>
      </c>
      <c r="O110" s="2">
        <f t="shared" si="11"/>
        <v>1.3350000000000001E-2</v>
      </c>
    </row>
    <row r="111" spans="1:15" x14ac:dyDescent="0.3">
      <c r="A111" t="s">
        <v>236</v>
      </c>
      <c r="B111" t="s">
        <v>127</v>
      </c>
      <c r="C111">
        <v>422</v>
      </c>
      <c r="D111">
        <f t="shared" si="7"/>
        <v>1998</v>
      </c>
      <c r="E111">
        <f t="shared" si="8"/>
        <v>6</v>
      </c>
      <c r="L111">
        <f t="shared" si="9"/>
        <v>2006</v>
      </c>
      <c r="M111">
        <f t="shared" si="10"/>
        <v>10</v>
      </c>
      <c r="N111" s="106">
        <v>38991</v>
      </c>
      <c r="O111" s="2">
        <f t="shared" si="11"/>
        <v>1.3047619047619047E-2</v>
      </c>
    </row>
    <row r="112" spans="1:15" x14ac:dyDescent="0.3">
      <c r="A112" t="s">
        <v>237</v>
      </c>
      <c r="B112" t="s">
        <v>127</v>
      </c>
      <c r="C112">
        <v>437</v>
      </c>
      <c r="D112">
        <f t="shared" si="7"/>
        <v>1998</v>
      </c>
      <c r="E112">
        <f t="shared" si="8"/>
        <v>6</v>
      </c>
      <c r="L112">
        <f t="shared" si="9"/>
        <v>2006</v>
      </c>
      <c r="M112">
        <f t="shared" si="10"/>
        <v>11</v>
      </c>
      <c r="N112" s="106">
        <v>39022</v>
      </c>
      <c r="O112" s="2">
        <f t="shared" si="11"/>
        <v>1.3242857142857141E-2</v>
      </c>
    </row>
    <row r="113" spans="1:15" x14ac:dyDescent="0.3">
      <c r="A113" t="s">
        <v>238</v>
      </c>
      <c r="B113" t="s">
        <v>127</v>
      </c>
      <c r="C113">
        <v>468</v>
      </c>
      <c r="D113">
        <f t="shared" si="7"/>
        <v>1998</v>
      </c>
      <c r="E113">
        <f t="shared" si="8"/>
        <v>6</v>
      </c>
      <c r="L113">
        <f t="shared" si="9"/>
        <v>2006</v>
      </c>
      <c r="M113">
        <f t="shared" si="10"/>
        <v>12</v>
      </c>
      <c r="N113" s="106">
        <v>39052</v>
      </c>
      <c r="O113" s="2">
        <f t="shared" si="11"/>
        <v>1.2425E-2</v>
      </c>
    </row>
    <row r="114" spans="1:15" x14ac:dyDescent="0.3">
      <c r="A114" t="s">
        <v>239</v>
      </c>
      <c r="B114" t="s">
        <v>127</v>
      </c>
      <c r="C114">
        <v>463</v>
      </c>
      <c r="D114">
        <f t="shared" si="7"/>
        <v>1998</v>
      </c>
      <c r="E114">
        <f t="shared" si="8"/>
        <v>6</v>
      </c>
      <c r="L114">
        <f t="shared" si="9"/>
        <v>2007</v>
      </c>
      <c r="M114">
        <f t="shared" si="10"/>
        <v>1</v>
      </c>
      <c r="N114" s="106">
        <v>39083</v>
      </c>
      <c r="O114" s="2">
        <f t="shared" si="11"/>
        <v>1.1904761904761906E-2</v>
      </c>
    </row>
    <row r="115" spans="1:15" x14ac:dyDescent="0.3">
      <c r="A115" t="s">
        <v>240</v>
      </c>
      <c r="B115" t="s">
        <v>127</v>
      </c>
      <c r="C115">
        <v>482</v>
      </c>
      <c r="D115">
        <f t="shared" si="7"/>
        <v>1998</v>
      </c>
      <c r="E115">
        <f t="shared" si="8"/>
        <v>6</v>
      </c>
      <c r="L115">
        <f t="shared" si="9"/>
        <v>2007</v>
      </c>
      <c r="M115">
        <f t="shared" si="10"/>
        <v>2</v>
      </c>
      <c r="N115" s="106">
        <v>39114</v>
      </c>
      <c r="O115" s="2">
        <f t="shared" si="11"/>
        <v>1.2194736842105263E-2</v>
      </c>
    </row>
    <row r="116" spans="1:15" x14ac:dyDescent="0.3">
      <c r="A116" t="s">
        <v>241</v>
      </c>
      <c r="B116" t="s">
        <v>127</v>
      </c>
      <c r="C116">
        <v>466</v>
      </c>
      <c r="D116">
        <f t="shared" si="7"/>
        <v>1998</v>
      </c>
      <c r="E116">
        <f t="shared" si="8"/>
        <v>6</v>
      </c>
      <c r="L116">
        <f t="shared" si="9"/>
        <v>2007</v>
      </c>
      <c r="M116">
        <f t="shared" si="10"/>
        <v>3</v>
      </c>
      <c r="N116" s="106">
        <v>39142</v>
      </c>
      <c r="O116" s="2">
        <f t="shared" si="11"/>
        <v>1.2672727272727273E-2</v>
      </c>
    </row>
    <row r="117" spans="1:15" x14ac:dyDescent="0.3">
      <c r="A117" t="s">
        <v>242</v>
      </c>
      <c r="B117" t="s">
        <v>127</v>
      </c>
      <c r="C117">
        <v>444</v>
      </c>
      <c r="D117">
        <f t="shared" si="7"/>
        <v>1998</v>
      </c>
      <c r="E117">
        <f t="shared" si="8"/>
        <v>6</v>
      </c>
      <c r="L117">
        <f t="shared" si="9"/>
        <v>2007</v>
      </c>
      <c r="M117">
        <f t="shared" si="10"/>
        <v>4</v>
      </c>
      <c r="N117" s="106">
        <v>39173</v>
      </c>
      <c r="O117" s="2">
        <f t="shared" si="11"/>
        <v>1.09E-2</v>
      </c>
    </row>
    <row r="118" spans="1:15" x14ac:dyDescent="0.3">
      <c r="A118" t="s">
        <v>243</v>
      </c>
      <c r="B118" t="s">
        <v>127</v>
      </c>
      <c r="C118">
        <v>460</v>
      </c>
      <c r="D118">
        <f t="shared" si="7"/>
        <v>1998</v>
      </c>
      <c r="E118">
        <f t="shared" si="8"/>
        <v>6</v>
      </c>
      <c r="L118">
        <f t="shared" si="9"/>
        <v>2007</v>
      </c>
      <c r="M118">
        <f t="shared" si="10"/>
        <v>5</v>
      </c>
      <c r="N118" s="106">
        <v>39203</v>
      </c>
      <c r="O118" s="2">
        <f t="shared" si="11"/>
        <v>9.75909090909091E-3</v>
      </c>
    </row>
    <row r="119" spans="1:15" x14ac:dyDescent="0.3">
      <c r="A119" t="s">
        <v>244</v>
      </c>
      <c r="B119" t="s">
        <v>127</v>
      </c>
      <c r="C119">
        <v>463</v>
      </c>
      <c r="D119">
        <f t="shared" si="7"/>
        <v>1998</v>
      </c>
      <c r="E119">
        <f t="shared" si="8"/>
        <v>6</v>
      </c>
      <c r="L119">
        <f t="shared" si="9"/>
        <v>2007</v>
      </c>
      <c r="M119">
        <f t="shared" si="10"/>
        <v>6</v>
      </c>
      <c r="N119" s="106">
        <v>39234</v>
      </c>
      <c r="O119" s="2">
        <f t="shared" si="11"/>
        <v>9.8619047619047627E-3</v>
      </c>
    </row>
    <row r="120" spans="1:15" x14ac:dyDescent="0.3">
      <c r="A120" t="s">
        <v>245</v>
      </c>
      <c r="B120" t="s">
        <v>127</v>
      </c>
      <c r="C120">
        <v>469</v>
      </c>
      <c r="D120">
        <f t="shared" si="7"/>
        <v>1998</v>
      </c>
      <c r="E120">
        <f t="shared" si="8"/>
        <v>6</v>
      </c>
      <c r="L120">
        <f t="shared" si="9"/>
        <v>2007</v>
      </c>
      <c r="M120">
        <f t="shared" si="10"/>
        <v>7</v>
      </c>
      <c r="N120" s="106">
        <v>39264</v>
      </c>
      <c r="O120" s="2">
        <f t="shared" si="11"/>
        <v>1.1757142857142857E-2</v>
      </c>
    </row>
    <row r="121" spans="1:15" x14ac:dyDescent="0.3">
      <c r="A121" t="s">
        <v>246</v>
      </c>
      <c r="B121" t="s">
        <v>127</v>
      </c>
      <c r="C121">
        <v>467</v>
      </c>
      <c r="D121">
        <f t="shared" si="7"/>
        <v>1998</v>
      </c>
      <c r="E121">
        <f t="shared" si="8"/>
        <v>6</v>
      </c>
      <c r="L121">
        <f t="shared" si="9"/>
        <v>2007</v>
      </c>
      <c r="M121">
        <f t="shared" si="10"/>
        <v>8</v>
      </c>
      <c r="N121" s="106">
        <v>39295</v>
      </c>
      <c r="O121" s="2">
        <f t="shared" si="11"/>
        <v>1.4082608695652175E-2</v>
      </c>
    </row>
    <row r="122" spans="1:15" x14ac:dyDescent="0.3">
      <c r="A122" t="s">
        <v>247</v>
      </c>
      <c r="B122" t="s">
        <v>127</v>
      </c>
      <c r="C122">
        <v>470</v>
      </c>
      <c r="D122">
        <f t="shared" si="7"/>
        <v>1998</v>
      </c>
      <c r="E122">
        <f t="shared" si="8"/>
        <v>6</v>
      </c>
      <c r="L122">
        <f t="shared" si="9"/>
        <v>2007</v>
      </c>
      <c r="M122">
        <f t="shared" si="10"/>
        <v>9</v>
      </c>
      <c r="N122" s="106">
        <v>39326</v>
      </c>
      <c r="O122" s="2">
        <f t="shared" si="11"/>
        <v>1.3315789473684211E-2</v>
      </c>
    </row>
    <row r="123" spans="1:15" x14ac:dyDescent="0.3">
      <c r="A123" t="s">
        <v>248</v>
      </c>
      <c r="B123" t="s">
        <v>127</v>
      </c>
      <c r="C123">
        <v>477</v>
      </c>
      <c r="D123">
        <f t="shared" si="7"/>
        <v>1998</v>
      </c>
      <c r="E123">
        <f t="shared" si="8"/>
        <v>6</v>
      </c>
      <c r="L123">
        <f t="shared" si="9"/>
        <v>2007</v>
      </c>
      <c r="M123">
        <f t="shared" si="10"/>
        <v>10</v>
      </c>
      <c r="N123" s="106">
        <v>39356</v>
      </c>
      <c r="O123" s="2">
        <f t="shared" si="11"/>
        <v>1.2636363636363637E-2</v>
      </c>
    </row>
    <row r="124" spans="1:15" x14ac:dyDescent="0.3">
      <c r="A124" t="s">
        <v>249</v>
      </c>
      <c r="B124" t="s">
        <v>127</v>
      </c>
      <c r="C124">
        <v>504</v>
      </c>
      <c r="D124">
        <f t="shared" si="7"/>
        <v>1998</v>
      </c>
      <c r="E124">
        <f t="shared" si="8"/>
        <v>6</v>
      </c>
      <c r="L124">
        <f t="shared" si="9"/>
        <v>2007</v>
      </c>
      <c r="M124">
        <f t="shared" si="10"/>
        <v>11</v>
      </c>
      <c r="N124" s="106">
        <v>39387</v>
      </c>
      <c r="O124" s="2">
        <f t="shared" si="11"/>
        <v>1.5810000000000001E-2</v>
      </c>
    </row>
    <row r="125" spans="1:15" x14ac:dyDescent="0.3">
      <c r="A125" t="s">
        <v>250</v>
      </c>
      <c r="B125" t="s">
        <v>127</v>
      </c>
      <c r="C125">
        <v>498</v>
      </c>
      <c r="D125">
        <f t="shared" si="7"/>
        <v>1998</v>
      </c>
      <c r="E125">
        <f t="shared" si="8"/>
        <v>6</v>
      </c>
      <c r="L125">
        <f t="shared" si="9"/>
        <v>2007</v>
      </c>
      <c r="M125">
        <f t="shared" si="10"/>
        <v>12</v>
      </c>
      <c r="N125" s="106">
        <v>39417</v>
      </c>
      <c r="O125" s="2">
        <f t="shared" si="11"/>
        <v>1.6420000000000001E-2</v>
      </c>
    </row>
    <row r="126" spans="1:15" x14ac:dyDescent="0.3">
      <c r="A126" t="s">
        <v>251</v>
      </c>
      <c r="B126" t="s">
        <v>127</v>
      </c>
      <c r="C126">
        <v>491</v>
      </c>
      <c r="D126">
        <f t="shared" si="7"/>
        <v>1998</v>
      </c>
      <c r="E126">
        <f t="shared" si="8"/>
        <v>6</v>
      </c>
      <c r="L126">
        <f t="shared" si="9"/>
        <v>2008</v>
      </c>
      <c r="M126">
        <f t="shared" si="10"/>
        <v>1</v>
      </c>
      <c r="N126" s="106">
        <v>39448</v>
      </c>
      <c r="O126" s="2">
        <f t="shared" si="11"/>
        <v>1.8819047619047621E-2</v>
      </c>
    </row>
    <row r="127" spans="1:15" x14ac:dyDescent="0.3">
      <c r="A127" t="s">
        <v>252</v>
      </c>
      <c r="B127" t="s">
        <v>127</v>
      </c>
      <c r="C127">
        <v>487</v>
      </c>
      <c r="D127">
        <f t="shared" si="7"/>
        <v>1998</v>
      </c>
      <c r="E127">
        <f t="shared" si="8"/>
        <v>7</v>
      </c>
      <c r="L127">
        <f t="shared" si="9"/>
        <v>2008</v>
      </c>
      <c r="M127">
        <f t="shared" si="10"/>
        <v>2</v>
      </c>
      <c r="N127" s="106">
        <v>39479</v>
      </c>
      <c r="O127" s="2">
        <f t="shared" si="11"/>
        <v>1.8950000000000002E-2</v>
      </c>
    </row>
    <row r="128" spans="1:15" x14ac:dyDescent="0.3">
      <c r="A128" t="s">
        <v>253</v>
      </c>
      <c r="B128" t="s">
        <v>127</v>
      </c>
      <c r="C128">
        <v>490</v>
      </c>
      <c r="D128">
        <f t="shared" si="7"/>
        <v>1998</v>
      </c>
      <c r="E128">
        <f t="shared" si="8"/>
        <v>7</v>
      </c>
      <c r="L128">
        <f t="shared" si="9"/>
        <v>2008</v>
      </c>
      <c r="M128">
        <f t="shared" si="10"/>
        <v>3</v>
      </c>
      <c r="N128" s="106">
        <v>39508</v>
      </c>
      <c r="O128" s="2">
        <f t="shared" si="11"/>
        <v>1.9119999999999998E-2</v>
      </c>
    </row>
    <row r="129" spans="1:15" x14ac:dyDescent="0.3">
      <c r="A129" t="s">
        <v>254</v>
      </c>
      <c r="B129" t="s">
        <v>127</v>
      </c>
      <c r="C129">
        <v>508</v>
      </c>
      <c r="D129">
        <f t="shared" si="7"/>
        <v>1998</v>
      </c>
      <c r="E129">
        <f t="shared" si="8"/>
        <v>7</v>
      </c>
      <c r="L129">
        <f t="shared" si="9"/>
        <v>2008</v>
      </c>
      <c r="M129">
        <f t="shared" si="10"/>
        <v>4</v>
      </c>
      <c r="N129" s="106">
        <v>39539</v>
      </c>
      <c r="O129" s="2">
        <f t="shared" si="11"/>
        <v>1.6945454545454548E-2</v>
      </c>
    </row>
    <row r="130" spans="1:15" x14ac:dyDescent="0.3">
      <c r="A130" t="s">
        <v>255</v>
      </c>
      <c r="B130" t="s">
        <v>127</v>
      </c>
      <c r="C130">
        <v>489</v>
      </c>
      <c r="D130">
        <f t="shared" si="7"/>
        <v>1998</v>
      </c>
      <c r="E130">
        <f t="shared" si="8"/>
        <v>7</v>
      </c>
      <c r="L130">
        <f t="shared" si="9"/>
        <v>2008</v>
      </c>
      <c r="M130">
        <f t="shared" si="10"/>
        <v>5</v>
      </c>
      <c r="N130" s="106">
        <v>39569</v>
      </c>
      <c r="O130" s="2">
        <f t="shared" si="11"/>
        <v>1.5442857142857142E-2</v>
      </c>
    </row>
    <row r="131" spans="1:15" x14ac:dyDescent="0.3">
      <c r="A131" t="s">
        <v>256</v>
      </c>
      <c r="B131" t="s">
        <v>127</v>
      </c>
      <c r="C131">
        <v>475</v>
      </c>
      <c r="D131">
        <f t="shared" ref="D131:D194" si="12">YEAR(A131)</f>
        <v>1998</v>
      </c>
      <c r="E131">
        <f t="shared" ref="E131:E194" si="13">MONTH(A131)</f>
        <v>7</v>
      </c>
      <c r="L131">
        <f t="shared" si="9"/>
        <v>2008</v>
      </c>
      <c r="M131">
        <f t="shared" si="10"/>
        <v>6</v>
      </c>
      <c r="N131" s="106">
        <v>39600</v>
      </c>
      <c r="O131" s="2">
        <f t="shared" si="11"/>
        <v>1.6204761904761902E-2</v>
      </c>
    </row>
    <row r="132" spans="1:15" x14ac:dyDescent="0.3">
      <c r="A132" t="s">
        <v>257</v>
      </c>
      <c r="B132" t="s">
        <v>127</v>
      </c>
      <c r="C132">
        <v>485</v>
      </c>
      <c r="D132">
        <f t="shared" si="12"/>
        <v>1998</v>
      </c>
      <c r="E132">
        <f t="shared" si="13"/>
        <v>7</v>
      </c>
      <c r="L132">
        <f t="shared" si="9"/>
        <v>2008</v>
      </c>
      <c r="M132">
        <f t="shared" si="10"/>
        <v>7</v>
      </c>
      <c r="N132" s="106">
        <v>39630</v>
      </c>
      <c r="O132" s="2">
        <f t="shared" si="11"/>
        <v>1.9804545454545453E-2</v>
      </c>
    </row>
    <row r="133" spans="1:15" x14ac:dyDescent="0.3">
      <c r="A133" t="s">
        <v>258</v>
      </c>
      <c r="B133" t="s">
        <v>127</v>
      </c>
      <c r="C133">
        <v>469</v>
      </c>
      <c r="D133">
        <f t="shared" si="12"/>
        <v>1998</v>
      </c>
      <c r="E133">
        <f t="shared" si="13"/>
        <v>7</v>
      </c>
      <c r="L133">
        <f t="shared" si="9"/>
        <v>2008</v>
      </c>
      <c r="M133">
        <f t="shared" si="10"/>
        <v>8</v>
      </c>
      <c r="N133" s="106">
        <v>39661</v>
      </c>
      <c r="O133" s="2">
        <f t="shared" si="11"/>
        <v>1.9938095238095237E-2</v>
      </c>
    </row>
    <row r="134" spans="1:15" x14ac:dyDescent="0.3">
      <c r="A134" t="s">
        <v>259</v>
      </c>
      <c r="B134" t="s">
        <v>127</v>
      </c>
      <c r="C134">
        <v>458</v>
      </c>
      <c r="D134">
        <f t="shared" si="12"/>
        <v>1998</v>
      </c>
      <c r="E134">
        <f t="shared" si="13"/>
        <v>7</v>
      </c>
      <c r="L134">
        <f t="shared" ref="L134:L197" si="14">YEAR(N134)</f>
        <v>2008</v>
      </c>
      <c r="M134">
        <f t="shared" ref="M134:M197" si="15">MONTH(N134)</f>
        <v>9</v>
      </c>
      <c r="N134" s="106">
        <v>39692</v>
      </c>
      <c r="O134" s="2">
        <f t="shared" ref="O134:O197" si="16">AVERAGEIFS($C$2:$C$7066,$D$2:$D$7066,L134,$E$2:$E$7066,M134)/10000</f>
        <v>2.4314285714285715E-2</v>
      </c>
    </row>
    <row r="135" spans="1:15" x14ac:dyDescent="0.3">
      <c r="A135" t="s">
        <v>260</v>
      </c>
      <c r="B135" t="s">
        <v>127</v>
      </c>
      <c r="C135">
        <v>444</v>
      </c>
      <c r="D135">
        <f t="shared" si="12"/>
        <v>1998</v>
      </c>
      <c r="E135">
        <f t="shared" si="13"/>
        <v>7</v>
      </c>
      <c r="L135">
        <f t="shared" si="14"/>
        <v>2008</v>
      </c>
      <c r="M135">
        <f t="shared" si="15"/>
        <v>10</v>
      </c>
      <c r="N135" s="106">
        <v>39722</v>
      </c>
      <c r="O135" s="2">
        <f t="shared" si="16"/>
        <v>4.36E-2</v>
      </c>
    </row>
    <row r="136" spans="1:15" x14ac:dyDescent="0.3">
      <c r="A136" t="s">
        <v>261</v>
      </c>
      <c r="B136" t="s">
        <v>127</v>
      </c>
      <c r="C136">
        <v>446</v>
      </c>
      <c r="D136">
        <f t="shared" si="12"/>
        <v>1998</v>
      </c>
      <c r="E136">
        <f t="shared" si="13"/>
        <v>7</v>
      </c>
      <c r="L136">
        <f t="shared" si="14"/>
        <v>2008</v>
      </c>
      <c r="M136">
        <f t="shared" si="15"/>
        <v>11</v>
      </c>
      <c r="N136" s="106">
        <v>39753</v>
      </c>
      <c r="O136" s="2">
        <f t="shared" si="16"/>
        <v>4.5855555555555552E-2</v>
      </c>
    </row>
    <row r="137" spans="1:15" x14ac:dyDescent="0.3">
      <c r="A137" t="s">
        <v>262</v>
      </c>
      <c r="B137" t="s">
        <v>127</v>
      </c>
      <c r="C137">
        <v>441</v>
      </c>
      <c r="D137">
        <f t="shared" si="12"/>
        <v>1998</v>
      </c>
      <c r="E137">
        <f t="shared" si="13"/>
        <v>7</v>
      </c>
      <c r="L137">
        <f t="shared" si="14"/>
        <v>2008</v>
      </c>
      <c r="M137">
        <f t="shared" si="15"/>
        <v>12</v>
      </c>
      <c r="N137" s="106">
        <v>39783</v>
      </c>
      <c r="O137" s="2">
        <f t="shared" si="16"/>
        <v>4.6259090909090909E-2</v>
      </c>
    </row>
    <row r="138" spans="1:15" x14ac:dyDescent="0.3">
      <c r="A138" t="s">
        <v>263</v>
      </c>
      <c r="B138" t="s">
        <v>127</v>
      </c>
      <c r="C138">
        <v>432</v>
      </c>
      <c r="D138">
        <f t="shared" si="12"/>
        <v>1998</v>
      </c>
      <c r="E138">
        <f t="shared" si="13"/>
        <v>7</v>
      </c>
      <c r="L138">
        <f t="shared" si="14"/>
        <v>2009</v>
      </c>
      <c r="M138">
        <f t="shared" si="15"/>
        <v>1</v>
      </c>
      <c r="N138" s="106">
        <v>39814</v>
      </c>
      <c r="O138" s="2">
        <f t="shared" si="16"/>
        <v>4.2194999999999996E-2</v>
      </c>
    </row>
    <row r="139" spans="1:15" x14ac:dyDescent="0.3">
      <c r="A139" t="s">
        <v>264</v>
      </c>
      <c r="B139" t="s">
        <v>127</v>
      </c>
      <c r="C139">
        <v>430</v>
      </c>
      <c r="D139">
        <f t="shared" si="12"/>
        <v>1998</v>
      </c>
      <c r="E139">
        <f t="shared" si="13"/>
        <v>7</v>
      </c>
      <c r="L139">
        <f t="shared" si="14"/>
        <v>2009</v>
      </c>
      <c r="M139">
        <f t="shared" si="15"/>
        <v>2</v>
      </c>
      <c r="N139" s="106">
        <v>39845</v>
      </c>
      <c r="O139" s="2">
        <f t="shared" si="16"/>
        <v>4.3294736842105268E-2</v>
      </c>
    </row>
    <row r="140" spans="1:15" x14ac:dyDescent="0.3">
      <c r="A140" t="s">
        <v>265</v>
      </c>
      <c r="B140" t="s">
        <v>127</v>
      </c>
      <c r="C140">
        <v>440</v>
      </c>
      <c r="D140">
        <f t="shared" si="12"/>
        <v>1998</v>
      </c>
      <c r="E140">
        <f t="shared" si="13"/>
        <v>7</v>
      </c>
      <c r="L140">
        <f t="shared" si="14"/>
        <v>2009</v>
      </c>
      <c r="M140">
        <f t="shared" si="15"/>
        <v>3</v>
      </c>
      <c r="N140" s="106">
        <v>39873</v>
      </c>
      <c r="O140" s="2">
        <f t="shared" si="16"/>
        <v>4.4881818181818182E-2</v>
      </c>
    </row>
    <row r="141" spans="1:15" x14ac:dyDescent="0.3">
      <c r="A141" t="s">
        <v>266</v>
      </c>
      <c r="B141" t="s">
        <v>127</v>
      </c>
      <c r="C141">
        <v>444</v>
      </c>
      <c r="D141">
        <f t="shared" si="12"/>
        <v>1998</v>
      </c>
      <c r="E141">
        <f t="shared" si="13"/>
        <v>7</v>
      </c>
      <c r="L141">
        <f t="shared" si="14"/>
        <v>2009</v>
      </c>
      <c r="M141">
        <f t="shared" si="15"/>
        <v>4</v>
      </c>
      <c r="N141" s="106">
        <v>39904</v>
      </c>
      <c r="O141" s="2">
        <f t="shared" si="16"/>
        <v>3.6981818181818178E-2</v>
      </c>
    </row>
    <row r="142" spans="1:15" x14ac:dyDescent="0.3">
      <c r="A142" t="s">
        <v>267</v>
      </c>
      <c r="B142" t="s">
        <v>127</v>
      </c>
      <c r="C142">
        <v>455</v>
      </c>
      <c r="D142">
        <f t="shared" si="12"/>
        <v>1998</v>
      </c>
      <c r="E142">
        <f t="shared" si="13"/>
        <v>7</v>
      </c>
      <c r="L142">
        <f t="shared" si="14"/>
        <v>2009</v>
      </c>
      <c r="M142">
        <f t="shared" si="15"/>
        <v>5</v>
      </c>
      <c r="N142" s="106">
        <v>39934</v>
      </c>
      <c r="O142" s="2">
        <f t="shared" si="16"/>
        <v>2.9700000000000001E-2</v>
      </c>
    </row>
    <row r="143" spans="1:15" x14ac:dyDescent="0.3">
      <c r="A143" t="s">
        <v>268</v>
      </c>
      <c r="B143" t="s">
        <v>127</v>
      </c>
      <c r="C143">
        <v>459</v>
      </c>
      <c r="D143">
        <f t="shared" si="12"/>
        <v>1998</v>
      </c>
      <c r="E143">
        <f t="shared" si="13"/>
        <v>7</v>
      </c>
      <c r="L143">
        <f t="shared" si="14"/>
        <v>2009</v>
      </c>
      <c r="M143">
        <f t="shared" si="15"/>
        <v>6</v>
      </c>
      <c r="N143" s="106">
        <v>39965</v>
      </c>
      <c r="O143" s="2">
        <f t="shared" si="16"/>
        <v>2.7181818181818182E-2</v>
      </c>
    </row>
    <row r="144" spans="1:15" x14ac:dyDescent="0.3">
      <c r="A144" t="s">
        <v>269</v>
      </c>
      <c r="B144" t="s">
        <v>127</v>
      </c>
      <c r="C144">
        <v>462</v>
      </c>
      <c r="D144">
        <f t="shared" si="12"/>
        <v>1998</v>
      </c>
      <c r="E144">
        <f t="shared" si="13"/>
        <v>7</v>
      </c>
      <c r="L144">
        <f t="shared" si="14"/>
        <v>2009</v>
      </c>
      <c r="M144">
        <f t="shared" si="15"/>
        <v>7</v>
      </c>
      <c r="N144" s="106">
        <v>39995</v>
      </c>
      <c r="O144" s="2">
        <f t="shared" si="16"/>
        <v>2.6339130434782608E-2</v>
      </c>
    </row>
    <row r="145" spans="1:15" x14ac:dyDescent="0.3">
      <c r="A145" t="s">
        <v>270</v>
      </c>
      <c r="B145" t="s">
        <v>127</v>
      </c>
      <c r="C145">
        <v>459</v>
      </c>
      <c r="D145">
        <f t="shared" si="12"/>
        <v>1998</v>
      </c>
      <c r="E145">
        <f t="shared" si="13"/>
        <v>7</v>
      </c>
      <c r="L145">
        <f t="shared" si="14"/>
        <v>2009</v>
      </c>
      <c r="M145">
        <f t="shared" si="15"/>
        <v>8</v>
      </c>
      <c r="N145" s="106">
        <v>40026</v>
      </c>
      <c r="O145" s="2">
        <f t="shared" si="16"/>
        <v>2.3676190476190476E-2</v>
      </c>
    </row>
    <row r="146" spans="1:15" x14ac:dyDescent="0.3">
      <c r="A146" t="s">
        <v>271</v>
      </c>
      <c r="B146" t="s">
        <v>127</v>
      </c>
      <c r="C146">
        <v>457</v>
      </c>
      <c r="D146">
        <f t="shared" si="12"/>
        <v>1998</v>
      </c>
      <c r="E146">
        <f t="shared" si="13"/>
        <v>7</v>
      </c>
      <c r="L146">
        <f t="shared" si="14"/>
        <v>2009</v>
      </c>
      <c r="M146">
        <f t="shared" si="15"/>
        <v>9</v>
      </c>
      <c r="N146" s="106">
        <v>40057</v>
      </c>
      <c r="O146" s="2">
        <f t="shared" si="16"/>
        <v>2.3780952380952378E-2</v>
      </c>
    </row>
    <row r="147" spans="1:15" x14ac:dyDescent="0.3">
      <c r="A147" t="s">
        <v>272</v>
      </c>
      <c r="B147" t="s">
        <v>127</v>
      </c>
      <c r="C147">
        <v>463</v>
      </c>
      <c r="D147">
        <f t="shared" si="12"/>
        <v>1998</v>
      </c>
      <c r="E147">
        <f t="shared" si="13"/>
        <v>7</v>
      </c>
      <c r="L147">
        <f t="shared" si="14"/>
        <v>2009</v>
      </c>
      <c r="M147">
        <f t="shared" si="15"/>
        <v>10</v>
      </c>
      <c r="N147" s="106">
        <v>40087</v>
      </c>
      <c r="O147" s="2">
        <f t="shared" si="16"/>
        <v>2.2395238095238097E-2</v>
      </c>
    </row>
    <row r="148" spans="1:15" x14ac:dyDescent="0.3">
      <c r="A148" t="s">
        <v>273</v>
      </c>
      <c r="B148" t="s">
        <v>127</v>
      </c>
      <c r="C148">
        <v>461</v>
      </c>
      <c r="D148">
        <f t="shared" si="12"/>
        <v>1998</v>
      </c>
      <c r="E148">
        <f t="shared" si="13"/>
        <v>7</v>
      </c>
      <c r="L148">
        <f t="shared" si="14"/>
        <v>2009</v>
      </c>
      <c r="M148">
        <f t="shared" si="15"/>
        <v>11</v>
      </c>
      <c r="N148" s="106">
        <v>40118</v>
      </c>
      <c r="O148" s="2">
        <f t="shared" si="16"/>
        <v>2.1126315789473684E-2</v>
      </c>
    </row>
    <row r="149" spans="1:15" x14ac:dyDescent="0.3">
      <c r="A149" t="s">
        <v>274</v>
      </c>
      <c r="B149" t="s">
        <v>127</v>
      </c>
      <c r="C149">
        <v>481</v>
      </c>
      <c r="D149">
        <f t="shared" si="12"/>
        <v>1998</v>
      </c>
      <c r="E149">
        <f t="shared" si="13"/>
        <v>8</v>
      </c>
      <c r="L149">
        <f t="shared" si="14"/>
        <v>2009</v>
      </c>
      <c r="M149">
        <f t="shared" si="15"/>
        <v>12</v>
      </c>
      <c r="N149" s="106">
        <v>40148</v>
      </c>
      <c r="O149" s="2">
        <f t="shared" si="16"/>
        <v>2.0199999999999999E-2</v>
      </c>
    </row>
    <row r="150" spans="1:15" x14ac:dyDescent="0.3">
      <c r="A150" t="s">
        <v>275</v>
      </c>
      <c r="B150" t="s">
        <v>127</v>
      </c>
      <c r="C150">
        <v>490</v>
      </c>
      <c r="D150">
        <f t="shared" si="12"/>
        <v>1998</v>
      </c>
      <c r="E150">
        <f t="shared" si="13"/>
        <v>8</v>
      </c>
      <c r="L150">
        <f t="shared" si="14"/>
        <v>2010</v>
      </c>
      <c r="M150">
        <f t="shared" si="15"/>
        <v>1</v>
      </c>
      <c r="N150" s="106">
        <v>40179</v>
      </c>
      <c r="O150" s="2">
        <f t="shared" si="16"/>
        <v>1.9511111111111111E-2</v>
      </c>
    </row>
    <row r="151" spans="1:15" x14ac:dyDescent="0.3">
      <c r="A151" t="s">
        <v>276</v>
      </c>
      <c r="B151" t="s">
        <v>127</v>
      </c>
      <c r="C151">
        <v>498</v>
      </c>
      <c r="D151">
        <f t="shared" si="12"/>
        <v>1998</v>
      </c>
      <c r="E151">
        <f t="shared" si="13"/>
        <v>8</v>
      </c>
      <c r="L151">
        <f t="shared" si="14"/>
        <v>2010</v>
      </c>
      <c r="M151">
        <f t="shared" si="15"/>
        <v>2</v>
      </c>
      <c r="N151" s="106">
        <v>40210</v>
      </c>
      <c r="O151" s="2">
        <f t="shared" si="16"/>
        <v>2.0394736842105264E-2</v>
      </c>
    </row>
    <row r="152" spans="1:15" x14ac:dyDescent="0.3">
      <c r="A152" t="s">
        <v>277</v>
      </c>
      <c r="B152" t="s">
        <v>127</v>
      </c>
      <c r="C152">
        <v>500</v>
      </c>
      <c r="D152">
        <f t="shared" si="12"/>
        <v>1998</v>
      </c>
      <c r="E152">
        <f t="shared" si="13"/>
        <v>8</v>
      </c>
      <c r="L152">
        <f t="shared" si="14"/>
        <v>2010</v>
      </c>
      <c r="M152">
        <f t="shared" si="15"/>
        <v>3</v>
      </c>
      <c r="N152" s="106">
        <v>40238</v>
      </c>
      <c r="O152" s="2">
        <f t="shared" si="16"/>
        <v>1.687391304347826E-2</v>
      </c>
    </row>
    <row r="153" spans="1:15" x14ac:dyDescent="0.3">
      <c r="A153" t="s">
        <v>278</v>
      </c>
      <c r="B153" t="s">
        <v>127</v>
      </c>
      <c r="C153">
        <v>559</v>
      </c>
      <c r="D153">
        <f t="shared" si="12"/>
        <v>1998</v>
      </c>
      <c r="E153">
        <f t="shared" si="13"/>
        <v>8</v>
      </c>
      <c r="L153">
        <f t="shared" si="14"/>
        <v>2010</v>
      </c>
      <c r="M153">
        <f t="shared" si="15"/>
        <v>4</v>
      </c>
      <c r="N153" s="106">
        <v>40269</v>
      </c>
      <c r="O153" s="2">
        <f t="shared" si="16"/>
        <v>1.6123809523809523E-2</v>
      </c>
    </row>
    <row r="154" spans="1:15" x14ac:dyDescent="0.3">
      <c r="A154" t="s">
        <v>279</v>
      </c>
      <c r="B154" t="s">
        <v>127</v>
      </c>
      <c r="C154">
        <v>610</v>
      </c>
      <c r="D154">
        <f t="shared" si="12"/>
        <v>1998</v>
      </c>
      <c r="E154">
        <f t="shared" si="13"/>
        <v>8</v>
      </c>
      <c r="L154">
        <f t="shared" si="14"/>
        <v>2010</v>
      </c>
      <c r="M154">
        <f t="shared" si="15"/>
        <v>5</v>
      </c>
      <c r="N154" s="106">
        <v>40299</v>
      </c>
      <c r="O154" s="2">
        <f t="shared" si="16"/>
        <v>2.1161904761904764E-2</v>
      </c>
    </row>
    <row r="155" spans="1:15" x14ac:dyDescent="0.3">
      <c r="A155" t="s">
        <v>280</v>
      </c>
      <c r="B155" t="s">
        <v>127</v>
      </c>
      <c r="C155">
        <v>622</v>
      </c>
      <c r="D155">
        <f t="shared" si="12"/>
        <v>1998</v>
      </c>
      <c r="E155">
        <f t="shared" si="13"/>
        <v>8</v>
      </c>
      <c r="L155">
        <f t="shared" si="14"/>
        <v>2010</v>
      </c>
      <c r="M155">
        <f t="shared" si="15"/>
        <v>6</v>
      </c>
      <c r="N155" s="106">
        <v>40330</v>
      </c>
      <c r="O155" s="2">
        <f t="shared" si="16"/>
        <v>2.084090909090909E-2</v>
      </c>
    </row>
    <row r="156" spans="1:15" x14ac:dyDescent="0.3">
      <c r="A156" t="s">
        <v>281</v>
      </c>
      <c r="B156" t="s">
        <v>127</v>
      </c>
      <c r="C156">
        <v>633</v>
      </c>
      <c r="D156">
        <f t="shared" si="12"/>
        <v>1998</v>
      </c>
      <c r="E156">
        <f t="shared" si="13"/>
        <v>8</v>
      </c>
      <c r="L156">
        <f t="shared" si="14"/>
        <v>2010</v>
      </c>
      <c r="M156">
        <f t="shared" si="15"/>
        <v>7</v>
      </c>
      <c r="N156" s="106">
        <v>40360</v>
      </c>
      <c r="O156" s="2">
        <f t="shared" si="16"/>
        <v>2.008181818181818E-2</v>
      </c>
    </row>
    <row r="157" spans="1:15" x14ac:dyDescent="0.3">
      <c r="A157" t="s">
        <v>282</v>
      </c>
      <c r="B157" t="s">
        <v>127</v>
      </c>
      <c r="C157">
        <v>585</v>
      </c>
      <c r="D157">
        <f t="shared" si="12"/>
        <v>1998</v>
      </c>
      <c r="E157">
        <f t="shared" si="13"/>
        <v>8</v>
      </c>
      <c r="L157">
        <f t="shared" si="14"/>
        <v>2010</v>
      </c>
      <c r="M157">
        <f t="shared" si="15"/>
        <v>8</v>
      </c>
      <c r="N157" s="106">
        <v>40391</v>
      </c>
      <c r="O157" s="2">
        <f t="shared" si="16"/>
        <v>1.7850000000000001E-2</v>
      </c>
    </row>
    <row r="158" spans="1:15" x14ac:dyDescent="0.3">
      <c r="A158" t="s">
        <v>283</v>
      </c>
      <c r="B158" t="s">
        <v>127</v>
      </c>
      <c r="C158">
        <v>578</v>
      </c>
      <c r="D158">
        <f t="shared" si="12"/>
        <v>1998</v>
      </c>
      <c r="E158">
        <f t="shared" si="13"/>
        <v>8</v>
      </c>
      <c r="L158">
        <f t="shared" si="14"/>
        <v>2010</v>
      </c>
      <c r="M158">
        <f t="shared" si="15"/>
        <v>9</v>
      </c>
      <c r="N158" s="106">
        <v>40422</v>
      </c>
      <c r="O158" s="2">
        <f t="shared" si="16"/>
        <v>1.9895454545454546E-2</v>
      </c>
    </row>
    <row r="159" spans="1:15" x14ac:dyDescent="0.3">
      <c r="A159" t="s">
        <v>284</v>
      </c>
      <c r="B159" t="s">
        <v>127</v>
      </c>
      <c r="C159">
        <v>634</v>
      </c>
      <c r="D159">
        <f t="shared" si="12"/>
        <v>1998</v>
      </c>
      <c r="E159">
        <f t="shared" si="13"/>
        <v>8</v>
      </c>
      <c r="L159">
        <f t="shared" si="14"/>
        <v>2010</v>
      </c>
      <c r="M159">
        <f t="shared" si="15"/>
        <v>10</v>
      </c>
      <c r="N159" s="106">
        <v>40452</v>
      </c>
      <c r="O159" s="2">
        <f t="shared" si="16"/>
        <v>1.8357504545454546E-2</v>
      </c>
    </row>
    <row r="160" spans="1:15" x14ac:dyDescent="0.3">
      <c r="A160" t="s">
        <v>285</v>
      </c>
      <c r="B160" t="s">
        <v>127</v>
      </c>
      <c r="C160">
        <v>624</v>
      </c>
      <c r="D160">
        <f t="shared" si="12"/>
        <v>1998</v>
      </c>
      <c r="E160">
        <f t="shared" si="13"/>
        <v>8</v>
      </c>
      <c r="L160">
        <f t="shared" si="14"/>
        <v>2010</v>
      </c>
      <c r="M160">
        <f t="shared" si="15"/>
        <v>11</v>
      </c>
      <c r="N160" s="106">
        <v>40483</v>
      </c>
      <c r="O160" s="2">
        <f t="shared" si="16"/>
        <v>1.6568181818181819E-2</v>
      </c>
    </row>
    <row r="161" spans="1:15" x14ac:dyDescent="0.3">
      <c r="A161" t="s">
        <v>286</v>
      </c>
      <c r="B161" t="s">
        <v>127</v>
      </c>
      <c r="C161">
        <v>636</v>
      </c>
      <c r="D161">
        <f t="shared" si="12"/>
        <v>1998</v>
      </c>
      <c r="E161">
        <f t="shared" si="13"/>
        <v>8</v>
      </c>
      <c r="L161">
        <f t="shared" si="14"/>
        <v>2010</v>
      </c>
      <c r="M161">
        <f t="shared" si="15"/>
        <v>12</v>
      </c>
      <c r="N161" s="106">
        <v>40513</v>
      </c>
      <c r="O161" s="2">
        <f t="shared" si="16"/>
        <v>1.6343478260869567E-2</v>
      </c>
    </row>
    <row r="162" spans="1:15" x14ac:dyDescent="0.3">
      <c r="A162" t="s">
        <v>287</v>
      </c>
      <c r="B162" t="s">
        <v>127</v>
      </c>
      <c r="C162">
        <v>732</v>
      </c>
      <c r="D162">
        <f t="shared" si="12"/>
        <v>1998</v>
      </c>
      <c r="E162">
        <f t="shared" si="13"/>
        <v>8</v>
      </c>
      <c r="L162">
        <f t="shared" si="14"/>
        <v>2011</v>
      </c>
      <c r="M162">
        <f t="shared" si="15"/>
        <v>1</v>
      </c>
      <c r="N162" s="106">
        <v>40544</v>
      </c>
      <c r="O162" s="2">
        <f t="shared" si="16"/>
        <v>1.5576190476190476E-2</v>
      </c>
    </row>
    <row r="163" spans="1:15" x14ac:dyDescent="0.3">
      <c r="A163" t="s">
        <v>288</v>
      </c>
      <c r="B163" t="s">
        <v>127</v>
      </c>
      <c r="C163">
        <v>902</v>
      </c>
      <c r="D163">
        <f t="shared" si="12"/>
        <v>1998</v>
      </c>
      <c r="E163">
        <f t="shared" si="13"/>
        <v>8</v>
      </c>
      <c r="L163">
        <f t="shared" si="14"/>
        <v>2011</v>
      </c>
      <c r="M163">
        <f t="shared" si="15"/>
        <v>2</v>
      </c>
      <c r="N163" s="106">
        <v>40575</v>
      </c>
      <c r="O163" s="2">
        <f t="shared" si="16"/>
        <v>1.575E-2</v>
      </c>
    </row>
    <row r="164" spans="1:15" x14ac:dyDescent="0.3">
      <c r="A164" t="s">
        <v>289</v>
      </c>
      <c r="B164" t="s">
        <v>127</v>
      </c>
      <c r="C164">
        <v>894</v>
      </c>
      <c r="D164">
        <f t="shared" si="12"/>
        <v>1998</v>
      </c>
      <c r="E164">
        <f t="shared" si="13"/>
        <v>8</v>
      </c>
      <c r="L164">
        <f t="shared" si="14"/>
        <v>2011</v>
      </c>
      <c r="M164">
        <f t="shared" si="15"/>
        <v>3</v>
      </c>
      <c r="N164" s="106">
        <v>40603</v>
      </c>
      <c r="O164" s="2">
        <f t="shared" si="16"/>
        <v>1.573913043478261E-2</v>
      </c>
    </row>
    <row r="165" spans="1:15" x14ac:dyDescent="0.3">
      <c r="A165" t="s">
        <v>290</v>
      </c>
      <c r="B165" t="s">
        <v>127</v>
      </c>
      <c r="C165">
        <v>814</v>
      </c>
      <c r="D165">
        <f t="shared" si="12"/>
        <v>1998</v>
      </c>
      <c r="E165">
        <f t="shared" si="13"/>
        <v>8</v>
      </c>
      <c r="L165">
        <f t="shared" si="14"/>
        <v>2011</v>
      </c>
      <c r="M165">
        <f t="shared" si="15"/>
        <v>4</v>
      </c>
      <c r="N165" s="106">
        <v>40634</v>
      </c>
      <c r="O165" s="2">
        <f t="shared" si="16"/>
        <v>1.6085394090909092E-2</v>
      </c>
    </row>
    <row r="166" spans="1:15" x14ac:dyDescent="0.3">
      <c r="A166" t="s">
        <v>291</v>
      </c>
      <c r="B166" t="s">
        <v>127</v>
      </c>
      <c r="C166">
        <v>864</v>
      </c>
      <c r="D166">
        <f t="shared" si="12"/>
        <v>1998</v>
      </c>
      <c r="E166">
        <f t="shared" si="13"/>
        <v>8</v>
      </c>
      <c r="L166">
        <f t="shared" si="14"/>
        <v>2011</v>
      </c>
      <c r="M166">
        <f t="shared" si="15"/>
        <v>5</v>
      </c>
      <c r="N166" s="106">
        <v>40664</v>
      </c>
      <c r="O166" s="2">
        <f t="shared" si="16"/>
        <v>1.6190909090909089E-2</v>
      </c>
    </row>
    <row r="167" spans="1:15" x14ac:dyDescent="0.3">
      <c r="A167" t="s">
        <v>292</v>
      </c>
      <c r="B167" t="s">
        <v>127</v>
      </c>
      <c r="C167">
        <v>994</v>
      </c>
      <c r="D167">
        <f t="shared" si="12"/>
        <v>1998</v>
      </c>
      <c r="E167">
        <f t="shared" si="13"/>
        <v>8</v>
      </c>
      <c r="L167">
        <f t="shared" si="14"/>
        <v>2011</v>
      </c>
      <c r="M167">
        <f t="shared" si="15"/>
        <v>6</v>
      </c>
      <c r="N167" s="106">
        <v>40695</v>
      </c>
      <c r="O167" s="2">
        <f t="shared" si="16"/>
        <v>1.6672727272727273E-2</v>
      </c>
    </row>
    <row r="168" spans="1:15" x14ac:dyDescent="0.3">
      <c r="A168" t="s">
        <v>293</v>
      </c>
      <c r="B168" t="s">
        <v>127</v>
      </c>
      <c r="C168">
        <v>947</v>
      </c>
      <c r="D168">
        <f t="shared" si="12"/>
        <v>1998</v>
      </c>
      <c r="E168">
        <f t="shared" si="13"/>
        <v>8</v>
      </c>
      <c r="L168">
        <f t="shared" si="14"/>
        <v>2011</v>
      </c>
      <c r="M168">
        <f t="shared" si="15"/>
        <v>7</v>
      </c>
      <c r="N168" s="106">
        <v>40725</v>
      </c>
      <c r="O168" s="2">
        <f t="shared" si="16"/>
        <v>1.6037928181818182E-2</v>
      </c>
    </row>
    <row r="169" spans="1:15" x14ac:dyDescent="0.3">
      <c r="A169" t="s">
        <v>294</v>
      </c>
      <c r="B169" t="s">
        <v>127</v>
      </c>
      <c r="C169">
        <v>941</v>
      </c>
      <c r="D169">
        <f t="shared" si="12"/>
        <v>1998</v>
      </c>
      <c r="E169">
        <f t="shared" si="13"/>
        <v>8</v>
      </c>
      <c r="L169">
        <f t="shared" si="14"/>
        <v>2011</v>
      </c>
      <c r="M169">
        <f t="shared" si="15"/>
        <v>8</v>
      </c>
      <c r="N169" s="106">
        <v>40756</v>
      </c>
      <c r="O169" s="2">
        <f t="shared" si="16"/>
        <v>1.9734782608695652E-2</v>
      </c>
    </row>
    <row r="170" spans="1:15" x14ac:dyDescent="0.3">
      <c r="A170" t="s">
        <v>295</v>
      </c>
      <c r="B170" t="s">
        <v>127</v>
      </c>
      <c r="C170">
        <v>911</v>
      </c>
      <c r="D170">
        <f t="shared" si="12"/>
        <v>1998</v>
      </c>
      <c r="E170">
        <f t="shared" si="13"/>
        <v>9</v>
      </c>
      <c r="L170">
        <f t="shared" si="14"/>
        <v>2011</v>
      </c>
      <c r="M170">
        <f t="shared" si="15"/>
        <v>9</v>
      </c>
      <c r="N170" s="106">
        <v>40787</v>
      </c>
      <c r="O170" s="2">
        <f t="shared" si="16"/>
        <v>2.3804545454545453E-2</v>
      </c>
    </row>
    <row r="171" spans="1:15" x14ac:dyDescent="0.3">
      <c r="A171" t="s">
        <v>296</v>
      </c>
      <c r="B171" t="s">
        <v>127</v>
      </c>
      <c r="C171">
        <v>844</v>
      </c>
      <c r="D171">
        <f t="shared" si="12"/>
        <v>1998</v>
      </c>
      <c r="E171">
        <f t="shared" si="13"/>
        <v>9</v>
      </c>
      <c r="L171">
        <f t="shared" si="14"/>
        <v>2011</v>
      </c>
      <c r="M171">
        <f t="shared" si="15"/>
        <v>10</v>
      </c>
      <c r="N171" s="106">
        <v>40817</v>
      </c>
      <c r="O171" s="2">
        <f t="shared" si="16"/>
        <v>2.3676190476190476E-2</v>
      </c>
    </row>
    <row r="172" spans="1:15" x14ac:dyDescent="0.3">
      <c r="A172" t="s">
        <v>297</v>
      </c>
      <c r="B172" t="s">
        <v>127</v>
      </c>
      <c r="C172">
        <v>921</v>
      </c>
      <c r="D172">
        <f t="shared" si="12"/>
        <v>1998</v>
      </c>
      <c r="E172">
        <f t="shared" si="13"/>
        <v>9</v>
      </c>
      <c r="L172">
        <f t="shared" si="14"/>
        <v>2011</v>
      </c>
      <c r="M172">
        <f t="shared" si="15"/>
        <v>11</v>
      </c>
      <c r="N172" s="106">
        <v>40848</v>
      </c>
      <c r="O172" s="2">
        <f t="shared" si="16"/>
        <v>2.2336363636363637E-2</v>
      </c>
    </row>
    <row r="173" spans="1:15" x14ac:dyDescent="0.3">
      <c r="A173" t="s">
        <v>298</v>
      </c>
      <c r="B173" t="s">
        <v>127</v>
      </c>
      <c r="C173">
        <v>944</v>
      </c>
      <c r="D173">
        <f t="shared" si="12"/>
        <v>1998</v>
      </c>
      <c r="E173">
        <f t="shared" si="13"/>
        <v>9</v>
      </c>
      <c r="L173">
        <f t="shared" si="14"/>
        <v>2011</v>
      </c>
      <c r="M173">
        <f t="shared" si="15"/>
        <v>12</v>
      </c>
      <c r="N173" s="106">
        <v>40878</v>
      </c>
      <c r="O173" s="2">
        <f t="shared" si="16"/>
        <v>2.1959319565217392E-2</v>
      </c>
    </row>
    <row r="174" spans="1:15" x14ac:dyDescent="0.3">
      <c r="A174" t="s">
        <v>299</v>
      </c>
      <c r="B174" t="s">
        <v>127</v>
      </c>
      <c r="C174">
        <v>920</v>
      </c>
      <c r="D174">
        <f t="shared" si="12"/>
        <v>1998</v>
      </c>
      <c r="E174">
        <f t="shared" si="13"/>
        <v>9</v>
      </c>
      <c r="L174">
        <f t="shared" si="14"/>
        <v>2012</v>
      </c>
      <c r="M174">
        <f t="shared" si="15"/>
        <v>1</v>
      </c>
      <c r="N174" s="106">
        <v>40909</v>
      </c>
      <c r="O174" s="2">
        <f t="shared" si="16"/>
        <v>2.2922727272727272E-2</v>
      </c>
    </row>
    <row r="175" spans="1:15" x14ac:dyDescent="0.3">
      <c r="A175" t="s">
        <v>300</v>
      </c>
      <c r="B175" t="s">
        <v>127</v>
      </c>
      <c r="C175">
        <v>975</v>
      </c>
      <c r="D175">
        <f t="shared" si="12"/>
        <v>1998</v>
      </c>
      <c r="E175">
        <f t="shared" si="13"/>
        <v>9</v>
      </c>
      <c r="L175">
        <f t="shared" si="14"/>
        <v>2012</v>
      </c>
      <c r="M175">
        <f t="shared" si="15"/>
        <v>2</v>
      </c>
      <c r="N175" s="106">
        <v>40940</v>
      </c>
      <c r="O175" s="2">
        <f t="shared" si="16"/>
        <v>2.0799999999999999E-2</v>
      </c>
    </row>
    <row r="176" spans="1:15" x14ac:dyDescent="0.3">
      <c r="A176" t="s">
        <v>301</v>
      </c>
      <c r="B176" t="s">
        <v>127</v>
      </c>
      <c r="C176">
        <v>1148</v>
      </c>
      <c r="D176">
        <f t="shared" si="12"/>
        <v>1998</v>
      </c>
      <c r="E176">
        <f t="shared" si="13"/>
        <v>9</v>
      </c>
      <c r="L176">
        <f t="shared" si="14"/>
        <v>2012</v>
      </c>
      <c r="M176">
        <f t="shared" si="15"/>
        <v>3</v>
      </c>
      <c r="N176" s="106">
        <v>40969</v>
      </c>
      <c r="O176" s="2">
        <f t="shared" si="16"/>
        <v>1.9027185217391305E-2</v>
      </c>
    </row>
    <row r="177" spans="1:15" x14ac:dyDescent="0.3">
      <c r="A177" t="s">
        <v>302</v>
      </c>
      <c r="B177" t="s">
        <v>127</v>
      </c>
      <c r="C177">
        <v>1160</v>
      </c>
      <c r="D177">
        <f t="shared" si="12"/>
        <v>1998</v>
      </c>
      <c r="E177">
        <f t="shared" si="13"/>
        <v>9</v>
      </c>
      <c r="L177">
        <f t="shared" si="14"/>
        <v>2012</v>
      </c>
      <c r="M177">
        <f t="shared" si="15"/>
        <v>4</v>
      </c>
      <c r="N177" s="106">
        <v>41000</v>
      </c>
      <c r="O177" s="2">
        <f t="shared" si="16"/>
        <v>1.9014285714285713E-2</v>
      </c>
    </row>
    <row r="178" spans="1:15" x14ac:dyDescent="0.3">
      <c r="A178" t="s">
        <v>303</v>
      </c>
      <c r="B178" t="s">
        <v>127</v>
      </c>
      <c r="C178">
        <v>1147</v>
      </c>
      <c r="D178">
        <f t="shared" si="12"/>
        <v>1998</v>
      </c>
      <c r="E178">
        <f t="shared" si="13"/>
        <v>9</v>
      </c>
      <c r="L178">
        <f t="shared" si="14"/>
        <v>2012</v>
      </c>
      <c r="M178">
        <f t="shared" si="15"/>
        <v>5</v>
      </c>
      <c r="N178" s="106">
        <v>41030</v>
      </c>
      <c r="O178" s="2">
        <f t="shared" si="16"/>
        <v>2.1169565217391304E-2</v>
      </c>
    </row>
    <row r="179" spans="1:15" x14ac:dyDescent="0.3">
      <c r="A179" t="s">
        <v>304</v>
      </c>
      <c r="B179" t="s">
        <v>127</v>
      </c>
      <c r="C179">
        <v>1035</v>
      </c>
      <c r="D179">
        <f t="shared" si="12"/>
        <v>1998</v>
      </c>
      <c r="E179">
        <f t="shared" si="13"/>
        <v>9</v>
      </c>
      <c r="L179">
        <f t="shared" si="14"/>
        <v>2012</v>
      </c>
      <c r="M179">
        <f t="shared" si="15"/>
        <v>6</v>
      </c>
      <c r="N179" s="106">
        <v>41061</v>
      </c>
      <c r="O179" s="2">
        <f t="shared" si="16"/>
        <v>2.1975869090909091E-2</v>
      </c>
    </row>
    <row r="180" spans="1:15" x14ac:dyDescent="0.3">
      <c r="A180" t="s">
        <v>305</v>
      </c>
      <c r="B180" t="s">
        <v>127</v>
      </c>
      <c r="C180">
        <v>919</v>
      </c>
      <c r="D180">
        <f t="shared" si="12"/>
        <v>1998</v>
      </c>
      <c r="E180">
        <f t="shared" si="13"/>
        <v>9</v>
      </c>
      <c r="L180">
        <f t="shared" si="14"/>
        <v>2012</v>
      </c>
      <c r="M180">
        <f t="shared" si="15"/>
        <v>7</v>
      </c>
      <c r="N180" s="106">
        <v>41091</v>
      </c>
      <c r="O180" s="2">
        <f t="shared" si="16"/>
        <v>1.8749999999999999E-2</v>
      </c>
    </row>
    <row r="181" spans="1:15" x14ac:dyDescent="0.3">
      <c r="A181" t="s">
        <v>306</v>
      </c>
      <c r="B181" t="s">
        <v>127</v>
      </c>
      <c r="C181">
        <v>1014</v>
      </c>
      <c r="D181">
        <f t="shared" si="12"/>
        <v>1998</v>
      </c>
      <c r="E181">
        <f t="shared" si="13"/>
        <v>9</v>
      </c>
      <c r="L181">
        <f t="shared" si="14"/>
        <v>2012</v>
      </c>
      <c r="M181">
        <f t="shared" si="15"/>
        <v>8</v>
      </c>
      <c r="N181" s="106">
        <v>41122</v>
      </c>
      <c r="O181" s="2">
        <f t="shared" si="16"/>
        <v>1.687391304347826E-2</v>
      </c>
    </row>
    <row r="182" spans="1:15" x14ac:dyDescent="0.3">
      <c r="A182" t="s">
        <v>307</v>
      </c>
      <c r="B182" t="s">
        <v>127</v>
      </c>
      <c r="C182">
        <v>996</v>
      </c>
      <c r="D182">
        <f t="shared" si="12"/>
        <v>1998</v>
      </c>
      <c r="E182">
        <f t="shared" si="13"/>
        <v>9</v>
      </c>
      <c r="L182">
        <f t="shared" si="14"/>
        <v>2012</v>
      </c>
      <c r="M182">
        <f t="shared" si="15"/>
        <v>9</v>
      </c>
      <c r="N182" s="106">
        <v>41153</v>
      </c>
      <c r="O182" s="2">
        <f t="shared" si="16"/>
        <v>1.669002857142857E-2</v>
      </c>
    </row>
    <row r="183" spans="1:15" x14ac:dyDescent="0.3">
      <c r="A183" t="s">
        <v>308</v>
      </c>
      <c r="B183" t="s">
        <v>127</v>
      </c>
      <c r="C183">
        <v>963</v>
      </c>
      <c r="D183">
        <f t="shared" si="12"/>
        <v>1998</v>
      </c>
      <c r="E183">
        <f t="shared" si="13"/>
        <v>9</v>
      </c>
      <c r="L183">
        <f t="shared" si="14"/>
        <v>2012</v>
      </c>
      <c r="M183">
        <f t="shared" si="15"/>
        <v>10</v>
      </c>
      <c r="N183" s="106">
        <v>41183</v>
      </c>
      <c r="O183" s="2">
        <f t="shared" si="16"/>
        <v>1.55E-2</v>
      </c>
    </row>
    <row r="184" spans="1:15" x14ac:dyDescent="0.3">
      <c r="A184" t="s">
        <v>309</v>
      </c>
      <c r="B184" t="s">
        <v>127</v>
      </c>
      <c r="C184">
        <v>900</v>
      </c>
      <c r="D184">
        <f t="shared" si="12"/>
        <v>1998</v>
      </c>
      <c r="E184">
        <f t="shared" si="13"/>
        <v>9</v>
      </c>
      <c r="L184">
        <f t="shared" si="14"/>
        <v>2012</v>
      </c>
      <c r="M184">
        <f t="shared" si="15"/>
        <v>11</v>
      </c>
      <c r="N184" s="106">
        <v>41214</v>
      </c>
      <c r="O184" s="2">
        <f t="shared" si="16"/>
        <v>1.684090909090909E-2</v>
      </c>
    </row>
    <row r="185" spans="1:15" x14ac:dyDescent="0.3">
      <c r="A185" t="s">
        <v>310</v>
      </c>
      <c r="B185" t="s">
        <v>127</v>
      </c>
      <c r="C185">
        <v>835</v>
      </c>
      <c r="D185">
        <f t="shared" si="12"/>
        <v>1998</v>
      </c>
      <c r="E185">
        <f t="shared" si="13"/>
        <v>9</v>
      </c>
      <c r="L185">
        <f t="shared" si="14"/>
        <v>2012</v>
      </c>
      <c r="M185">
        <f t="shared" si="15"/>
        <v>12</v>
      </c>
      <c r="N185" s="106">
        <v>41244</v>
      </c>
      <c r="O185" s="2">
        <f t="shared" si="16"/>
        <v>1.608095238095238E-2</v>
      </c>
    </row>
    <row r="186" spans="1:15" x14ac:dyDescent="0.3">
      <c r="A186" t="s">
        <v>311</v>
      </c>
      <c r="B186" t="s">
        <v>127</v>
      </c>
      <c r="C186">
        <v>847</v>
      </c>
      <c r="D186">
        <f t="shared" si="12"/>
        <v>1998</v>
      </c>
      <c r="E186">
        <f t="shared" si="13"/>
        <v>9</v>
      </c>
      <c r="L186">
        <f t="shared" si="14"/>
        <v>2013</v>
      </c>
      <c r="M186">
        <f t="shared" si="15"/>
        <v>1</v>
      </c>
      <c r="N186" s="106">
        <v>41275</v>
      </c>
      <c r="O186" s="2">
        <f t="shared" si="16"/>
        <v>1.5443478260869566E-2</v>
      </c>
    </row>
    <row r="187" spans="1:15" x14ac:dyDescent="0.3">
      <c r="A187" t="s">
        <v>312</v>
      </c>
      <c r="B187" t="s">
        <v>127</v>
      </c>
      <c r="C187">
        <v>867</v>
      </c>
      <c r="D187">
        <f t="shared" si="12"/>
        <v>1998</v>
      </c>
      <c r="E187">
        <f t="shared" si="13"/>
        <v>9</v>
      </c>
      <c r="L187">
        <f t="shared" si="14"/>
        <v>2013</v>
      </c>
      <c r="M187">
        <f t="shared" si="15"/>
        <v>2</v>
      </c>
      <c r="N187" s="106">
        <v>41306</v>
      </c>
      <c r="O187" s="2">
        <f t="shared" si="16"/>
        <v>1.702E-2</v>
      </c>
    </row>
    <row r="188" spans="1:15" x14ac:dyDescent="0.3">
      <c r="A188" t="s">
        <v>313</v>
      </c>
      <c r="B188" t="s">
        <v>127</v>
      </c>
      <c r="C188">
        <v>847</v>
      </c>
      <c r="D188">
        <f t="shared" si="12"/>
        <v>1998</v>
      </c>
      <c r="E188">
        <f t="shared" si="13"/>
        <v>9</v>
      </c>
      <c r="L188">
        <f t="shared" si="14"/>
        <v>2013</v>
      </c>
      <c r="M188">
        <f t="shared" si="15"/>
        <v>3</v>
      </c>
      <c r="N188" s="106">
        <v>41334</v>
      </c>
      <c r="O188" s="2">
        <f t="shared" si="16"/>
        <v>1.7742857272727272E-2</v>
      </c>
    </row>
    <row r="189" spans="1:15" x14ac:dyDescent="0.3">
      <c r="A189" t="s">
        <v>314</v>
      </c>
      <c r="B189" t="s">
        <v>127</v>
      </c>
      <c r="C189">
        <v>855</v>
      </c>
      <c r="D189">
        <f t="shared" si="12"/>
        <v>1998</v>
      </c>
      <c r="E189">
        <f t="shared" si="13"/>
        <v>9</v>
      </c>
      <c r="L189">
        <f t="shared" si="14"/>
        <v>2013</v>
      </c>
      <c r="M189">
        <f t="shared" si="15"/>
        <v>4</v>
      </c>
      <c r="N189" s="106">
        <v>41365</v>
      </c>
      <c r="O189" s="2">
        <f t="shared" si="16"/>
        <v>1.6854545454545452E-2</v>
      </c>
    </row>
    <row r="190" spans="1:15" x14ac:dyDescent="0.3">
      <c r="A190" t="s">
        <v>315</v>
      </c>
      <c r="B190" t="s">
        <v>127</v>
      </c>
      <c r="C190">
        <v>911</v>
      </c>
      <c r="D190">
        <f t="shared" si="12"/>
        <v>1998</v>
      </c>
      <c r="E190">
        <f t="shared" si="13"/>
        <v>9</v>
      </c>
      <c r="L190">
        <f t="shared" si="14"/>
        <v>2013</v>
      </c>
      <c r="M190">
        <f t="shared" si="15"/>
        <v>5</v>
      </c>
      <c r="N190" s="106">
        <v>41395</v>
      </c>
      <c r="O190" s="2">
        <f t="shared" si="16"/>
        <v>1.6865217391304348E-2</v>
      </c>
    </row>
    <row r="191" spans="1:15" x14ac:dyDescent="0.3">
      <c r="A191" t="s">
        <v>316</v>
      </c>
      <c r="B191" t="s">
        <v>127</v>
      </c>
      <c r="C191">
        <v>1041</v>
      </c>
      <c r="D191">
        <f t="shared" si="12"/>
        <v>1998</v>
      </c>
      <c r="E191">
        <f t="shared" si="13"/>
        <v>10</v>
      </c>
      <c r="L191">
        <f t="shared" si="14"/>
        <v>2013</v>
      </c>
      <c r="M191">
        <f t="shared" si="15"/>
        <v>6</v>
      </c>
      <c r="N191" s="106">
        <v>41426</v>
      </c>
      <c r="O191" s="2">
        <f t="shared" si="16"/>
        <v>2.1264999999999999E-2</v>
      </c>
    </row>
    <row r="192" spans="1:15" x14ac:dyDescent="0.3">
      <c r="A192" t="s">
        <v>317</v>
      </c>
      <c r="B192" t="s">
        <v>127</v>
      </c>
      <c r="C192">
        <v>961</v>
      </c>
      <c r="D192">
        <f t="shared" si="12"/>
        <v>1998</v>
      </c>
      <c r="E192">
        <f t="shared" si="13"/>
        <v>10</v>
      </c>
      <c r="L192">
        <f t="shared" si="14"/>
        <v>2013</v>
      </c>
      <c r="M192">
        <f t="shared" si="15"/>
        <v>7</v>
      </c>
      <c r="N192" s="106">
        <v>41456</v>
      </c>
      <c r="O192" s="2">
        <f t="shared" si="16"/>
        <v>2.0160869565217392E-2</v>
      </c>
    </row>
    <row r="193" spans="1:15" x14ac:dyDescent="0.3">
      <c r="A193" t="s">
        <v>318</v>
      </c>
      <c r="B193" t="s">
        <v>127</v>
      </c>
      <c r="C193">
        <v>1075</v>
      </c>
      <c r="D193">
        <f t="shared" si="12"/>
        <v>1998</v>
      </c>
      <c r="E193">
        <f t="shared" si="13"/>
        <v>10</v>
      </c>
      <c r="L193">
        <f t="shared" si="14"/>
        <v>2013</v>
      </c>
      <c r="M193">
        <f t="shared" si="15"/>
        <v>8</v>
      </c>
      <c r="N193" s="106">
        <v>41487</v>
      </c>
      <c r="O193" s="2">
        <f t="shared" si="16"/>
        <v>2.0609090869565218E-2</v>
      </c>
    </row>
    <row r="194" spans="1:15" x14ac:dyDescent="0.3">
      <c r="A194" t="s">
        <v>319</v>
      </c>
      <c r="B194" t="s">
        <v>127</v>
      </c>
      <c r="C194">
        <v>1007</v>
      </c>
      <c r="D194">
        <f t="shared" si="12"/>
        <v>1998</v>
      </c>
      <c r="E194">
        <f t="shared" si="13"/>
        <v>10</v>
      </c>
      <c r="L194">
        <f t="shared" si="14"/>
        <v>2013</v>
      </c>
      <c r="M194">
        <f t="shared" si="15"/>
        <v>9</v>
      </c>
      <c r="N194" s="106">
        <v>41518</v>
      </c>
      <c r="O194" s="2">
        <f t="shared" si="16"/>
        <v>2.0319047619047622E-2</v>
      </c>
    </row>
    <row r="195" spans="1:15" x14ac:dyDescent="0.3">
      <c r="A195" t="s">
        <v>320</v>
      </c>
      <c r="B195" t="s">
        <v>127</v>
      </c>
      <c r="C195">
        <v>1014</v>
      </c>
      <c r="D195">
        <f t="shared" ref="D195:D258" si="17">YEAR(A195)</f>
        <v>1998</v>
      </c>
      <c r="E195">
        <f t="shared" ref="E195:E258" si="18">MONTH(A195)</f>
        <v>10</v>
      </c>
      <c r="L195">
        <f t="shared" si="14"/>
        <v>2013</v>
      </c>
      <c r="M195">
        <f t="shared" si="15"/>
        <v>10</v>
      </c>
      <c r="N195" s="106">
        <v>41548</v>
      </c>
      <c r="O195" s="2">
        <f t="shared" si="16"/>
        <v>1.9991304347826089E-2</v>
      </c>
    </row>
    <row r="196" spans="1:15" x14ac:dyDescent="0.3">
      <c r="A196" t="s">
        <v>321</v>
      </c>
      <c r="B196" t="s">
        <v>127</v>
      </c>
      <c r="C196">
        <v>993</v>
      </c>
      <c r="D196">
        <f t="shared" si="17"/>
        <v>1998</v>
      </c>
      <c r="E196">
        <f t="shared" si="18"/>
        <v>10</v>
      </c>
      <c r="L196">
        <f t="shared" si="14"/>
        <v>2013</v>
      </c>
      <c r="M196">
        <f t="shared" si="15"/>
        <v>11</v>
      </c>
      <c r="N196" s="106">
        <v>41579</v>
      </c>
      <c r="O196" s="2">
        <f t="shared" si="16"/>
        <v>2.0928571363636364E-2</v>
      </c>
    </row>
    <row r="197" spans="1:15" x14ac:dyDescent="0.3">
      <c r="A197" t="s">
        <v>322</v>
      </c>
      <c r="B197" t="s">
        <v>127</v>
      </c>
      <c r="C197">
        <v>930</v>
      </c>
      <c r="D197">
        <f t="shared" si="17"/>
        <v>1998</v>
      </c>
      <c r="E197">
        <f t="shared" si="18"/>
        <v>10</v>
      </c>
      <c r="L197">
        <f t="shared" si="14"/>
        <v>2013</v>
      </c>
      <c r="M197">
        <f t="shared" si="15"/>
        <v>12</v>
      </c>
      <c r="N197" s="106">
        <v>41609</v>
      </c>
      <c r="O197" s="2">
        <f t="shared" si="16"/>
        <v>1.9218181818181818E-2</v>
      </c>
    </row>
    <row r="198" spans="1:15" x14ac:dyDescent="0.3">
      <c r="A198" t="s">
        <v>323</v>
      </c>
      <c r="B198" t="s">
        <v>127</v>
      </c>
      <c r="C198">
        <v>876</v>
      </c>
      <c r="D198">
        <f t="shared" si="17"/>
        <v>1998</v>
      </c>
      <c r="E198">
        <f t="shared" si="18"/>
        <v>10</v>
      </c>
      <c r="L198">
        <f t="shared" ref="L198:L261" si="19">YEAR(N198)</f>
        <v>2014</v>
      </c>
      <c r="M198">
        <f t="shared" ref="M198:M261" si="20">MONTH(N198)</f>
        <v>1</v>
      </c>
      <c r="N198" s="106">
        <v>41640</v>
      </c>
      <c r="O198" s="2">
        <f t="shared" ref="O198:O261" si="21">AVERAGEIFS($C$2:$C$7066,$D$2:$D$7066,L198,$E$2:$E$7066,M198)/10000</f>
        <v>1.9630434782608695E-2</v>
      </c>
    </row>
    <row r="199" spans="1:15" x14ac:dyDescent="0.3">
      <c r="A199" t="s">
        <v>324</v>
      </c>
      <c r="B199" t="s">
        <v>127</v>
      </c>
      <c r="C199">
        <v>897</v>
      </c>
      <c r="D199">
        <f t="shared" si="17"/>
        <v>1998</v>
      </c>
      <c r="E199">
        <f t="shared" si="18"/>
        <v>10</v>
      </c>
      <c r="L199">
        <f t="shared" si="19"/>
        <v>2014</v>
      </c>
      <c r="M199">
        <f t="shared" si="20"/>
        <v>2</v>
      </c>
      <c r="N199" s="106">
        <v>41671</v>
      </c>
      <c r="O199" s="2">
        <f t="shared" si="21"/>
        <v>1.9599999999999999E-2</v>
      </c>
    </row>
    <row r="200" spans="1:15" x14ac:dyDescent="0.3">
      <c r="A200" t="s">
        <v>325</v>
      </c>
      <c r="B200" t="s">
        <v>127</v>
      </c>
      <c r="C200">
        <v>884</v>
      </c>
      <c r="D200">
        <f t="shared" si="17"/>
        <v>1998</v>
      </c>
      <c r="E200">
        <f t="shared" si="18"/>
        <v>10</v>
      </c>
      <c r="L200">
        <f t="shared" si="19"/>
        <v>2014</v>
      </c>
      <c r="M200">
        <f t="shared" si="20"/>
        <v>3</v>
      </c>
      <c r="N200" s="106">
        <v>41699</v>
      </c>
      <c r="O200" s="2">
        <f t="shared" si="21"/>
        <v>1.8766666666666664E-2</v>
      </c>
    </row>
    <row r="201" spans="1:15" x14ac:dyDescent="0.3">
      <c r="A201" t="s">
        <v>326</v>
      </c>
      <c r="B201" t="s">
        <v>127</v>
      </c>
      <c r="C201">
        <v>859</v>
      </c>
      <c r="D201">
        <f t="shared" si="17"/>
        <v>1998</v>
      </c>
      <c r="E201">
        <f t="shared" si="18"/>
        <v>10</v>
      </c>
      <c r="L201">
        <f t="shared" si="19"/>
        <v>2014</v>
      </c>
      <c r="M201">
        <f t="shared" si="20"/>
        <v>4</v>
      </c>
      <c r="N201" s="106">
        <v>41730</v>
      </c>
      <c r="O201" s="2">
        <f t="shared" si="21"/>
        <v>1.7822727272727271E-2</v>
      </c>
    </row>
    <row r="202" spans="1:15" x14ac:dyDescent="0.3">
      <c r="A202" t="s">
        <v>327</v>
      </c>
      <c r="B202" t="s">
        <v>127</v>
      </c>
      <c r="C202">
        <v>824</v>
      </c>
      <c r="D202">
        <f t="shared" si="17"/>
        <v>1998</v>
      </c>
      <c r="E202">
        <f t="shared" si="18"/>
        <v>10</v>
      </c>
      <c r="L202">
        <f t="shared" si="19"/>
        <v>2014</v>
      </c>
      <c r="M202">
        <f t="shared" si="20"/>
        <v>5</v>
      </c>
      <c r="N202" s="106">
        <v>41760</v>
      </c>
      <c r="O202" s="2">
        <f t="shared" si="21"/>
        <v>1.7193913043478261E-2</v>
      </c>
    </row>
    <row r="203" spans="1:15" x14ac:dyDescent="0.3">
      <c r="A203" t="s">
        <v>328</v>
      </c>
      <c r="B203" t="s">
        <v>127</v>
      </c>
      <c r="C203">
        <v>792</v>
      </c>
      <c r="D203">
        <f t="shared" si="17"/>
        <v>1998</v>
      </c>
      <c r="E203">
        <f t="shared" si="18"/>
        <v>10</v>
      </c>
      <c r="L203">
        <f t="shared" si="19"/>
        <v>2014</v>
      </c>
      <c r="M203">
        <f t="shared" si="20"/>
        <v>6</v>
      </c>
      <c r="N203" s="106">
        <v>41791</v>
      </c>
      <c r="O203" s="2">
        <f t="shared" si="21"/>
        <v>1.6038095238095237E-2</v>
      </c>
    </row>
    <row r="204" spans="1:15" x14ac:dyDescent="0.3">
      <c r="A204" t="s">
        <v>329</v>
      </c>
      <c r="B204" t="s">
        <v>127</v>
      </c>
      <c r="C204">
        <v>810</v>
      </c>
      <c r="D204">
        <f t="shared" si="17"/>
        <v>1998</v>
      </c>
      <c r="E204">
        <f t="shared" si="18"/>
        <v>10</v>
      </c>
      <c r="L204">
        <f t="shared" si="19"/>
        <v>2014</v>
      </c>
      <c r="M204">
        <f t="shared" si="20"/>
        <v>7</v>
      </c>
      <c r="N204" s="106">
        <v>41821</v>
      </c>
      <c r="O204" s="2">
        <f t="shared" si="21"/>
        <v>1.6295652173913044E-2</v>
      </c>
    </row>
    <row r="205" spans="1:15" x14ac:dyDescent="0.3">
      <c r="A205" t="s">
        <v>330</v>
      </c>
      <c r="B205" t="s">
        <v>127</v>
      </c>
      <c r="C205">
        <v>798</v>
      </c>
      <c r="D205">
        <f t="shared" si="17"/>
        <v>1998</v>
      </c>
      <c r="E205">
        <f t="shared" si="18"/>
        <v>10</v>
      </c>
      <c r="L205">
        <f t="shared" si="19"/>
        <v>2014</v>
      </c>
      <c r="M205">
        <f t="shared" si="20"/>
        <v>8</v>
      </c>
      <c r="N205" s="106">
        <v>41852</v>
      </c>
      <c r="O205" s="2">
        <f t="shared" si="21"/>
        <v>1.6885714285714285E-2</v>
      </c>
    </row>
    <row r="206" spans="1:15" x14ac:dyDescent="0.3">
      <c r="A206" t="s">
        <v>331</v>
      </c>
      <c r="B206" t="s">
        <v>127</v>
      </c>
      <c r="C206">
        <v>782</v>
      </c>
      <c r="D206">
        <f t="shared" si="17"/>
        <v>1998</v>
      </c>
      <c r="E206">
        <f t="shared" si="18"/>
        <v>10</v>
      </c>
      <c r="L206">
        <f t="shared" si="19"/>
        <v>2014</v>
      </c>
      <c r="M206">
        <f t="shared" si="20"/>
        <v>9</v>
      </c>
      <c r="N206" s="106">
        <v>41883</v>
      </c>
      <c r="O206" s="2">
        <f t="shared" si="21"/>
        <v>1.6813636363636364E-2</v>
      </c>
    </row>
    <row r="207" spans="1:15" x14ac:dyDescent="0.3">
      <c r="A207" t="s">
        <v>332</v>
      </c>
      <c r="B207" t="s">
        <v>127</v>
      </c>
      <c r="C207">
        <v>807</v>
      </c>
      <c r="D207">
        <f t="shared" si="17"/>
        <v>1998</v>
      </c>
      <c r="E207">
        <f t="shared" si="18"/>
        <v>10</v>
      </c>
      <c r="L207">
        <f t="shared" si="19"/>
        <v>2014</v>
      </c>
      <c r="M207">
        <f t="shared" si="20"/>
        <v>10</v>
      </c>
      <c r="N207" s="106">
        <v>41913</v>
      </c>
      <c r="O207" s="2">
        <f t="shared" si="21"/>
        <v>1.8982608695652176E-2</v>
      </c>
    </row>
    <row r="208" spans="1:15" x14ac:dyDescent="0.3">
      <c r="A208" t="s">
        <v>333</v>
      </c>
      <c r="B208" t="s">
        <v>127</v>
      </c>
      <c r="C208">
        <v>870</v>
      </c>
      <c r="D208">
        <f t="shared" si="17"/>
        <v>1998</v>
      </c>
      <c r="E208">
        <f t="shared" si="18"/>
        <v>10</v>
      </c>
      <c r="L208">
        <f t="shared" si="19"/>
        <v>2014</v>
      </c>
      <c r="M208">
        <f t="shared" si="20"/>
        <v>11</v>
      </c>
      <c r="N208" s="106">
        <v>41944</v>
      </c>
      <c r="O208" s="2">
        <f t="shared" si="21"/>
        <v>1.9244999999999998E-2</v>
      </c>
    </row>
    <row r="209" spans="1:15" x14ac:dyDescent="0.3">
      <c r="A209" t="s">
        <v>334</v>
      </c>
      <c r="B209" t="s">
        <v>127</v>
      </c>
      <c r="C209">
        <v>869</v>
      </c>
      <c r="D209">
        <f t="shared" si="17"/>
        <v>1998</v>
      </c>
      <c r="E209">
        <f t="shared" si="18"/>
        <v>10</v>
      </c>
      <c r="L209">
        <f t="shared" si="19"/>
        <v>2014</v>
      </c>
      <c r="M209">
        <f t="shared" si="20"/>
        <v>12</v>
      </c>
      <c r="N209" s="106">
        <v>41974</v>
      </c>
      <c r="O209" s="2">
        <f t="shared" si="21"/>
        <v>2.1708695652173912E-2</v>
      </c>
    </row>
    <row r="210" spans="1:15" x14ac:dyDescent="0.3">
      <c r="A210" t="s">
        <v>335</v>
      </c>
      <c r="B210" t="s">
        <v>127</v>
      </c>
      <c r="C210">
        <v>900</v>
      </c>
      <c r="D210">
        <f t="shared" si="17"/>
        <v>1998</v>
      </c>
      <c r="E210">
        <f t="shared" si="18"/>
        <v>10</v>
      </c>
      <c r="L210">
        <f t="shared" si="19"/>
        <v>2015</v>
      </c>
      <c r="M210">
        <f t="shared" si="20"/>
        <v>1</v>
      </c>
      <c r="N210" s="106">
        <v>42005</v>
      </c>
      <c r="O210" s="2">
        <f t="shared" si="21"/>
        <v>2.4131818181818181E-2</v>
      </c>
    </row>
    <row r="211" spans="1:15" x14ac:dyDescent="0.3">
      <c r="A211" t="s">
        <v>336</v>
      </c>
      <c r="B211" t="s">
        <v>127</v>
      </c>
      <c r="C211">
        <v>819</v>
      </c>
      <c r="D211">
        <f t="shared" si="17"/>
        <v>1998</v>
      </c>
      <c r="E211">
        <f t="shared" si="18"/>
        <v>10</v>
      </c>
      <c r="L211">
        <f t="shared" si="19"/>
        <v>2015</v>
      </c>
      <c r="M211">
        <f t="shared" si="20"/>
        <v>2</v>
      </c>
      <c r="N211" s="106">
        <v>42036</v>
      </c>
      <c r="O211" s="2">
        <f t="shared" si="21"/>
        <v>2.2644999999999998E-2</v>
      </c>
    </row>
    <row r="212" spans="1:15" x14ac:dyDescent="0.3">
      <c r="A212" t="s">
        <v>337</v>
      </c>
      <c r="B212" t="s">
        <v>127</v>
      </c>
      <c r="C212">
        <v>765</v>
      </c>
      <c r="D212">
        <f t="shared" si="17"/>
        <v>1998</v>
      </c>
      <c r="E212">
        <f t="shared" si="18"/>
        <v>11</v>
      </c>
      <c r="L212">
        <f t="shared" si="19"/>
        <v>2015</v>
      </c>
      <c r="M212">
        <f t="shared" si="20"/>
        <v>3</v>
      </c>
      <c r="N212" s="106">
        <v>42064</v>
      </c>
      <c r="O212" s="2">
        <f t="shared" si="21"/>
        <v>2.3381818181818181E-2</v>
      </c>
    </row>
    <row r="213" spans="1:15" x14ac:dyDescent="0.3">
      <c r="A213" t="s">
        <v>338</v>
      </c>
      <c r="B213" t="s">
        <v>127</v>
      </c>
      <c r="C213">
        <v>756</v>
      </c>
      <c r="D213">
        <f t="shared" si="17"/>
        <v>1998</v>
      </c>
      <c r="E213">
        <f t="shared" si="18"/>
        <v>11</v>
      </c>
      <c r="L213">
        <f t="shared" si="19"/>
        <v>2015</v>
      </c>
      <c r="M213">
        <f t="shared" si="20"/>
        <v>4</v>
      </c>
      <c r="N213" s="106">
        <v>42095</v>
      </c>
      <c r="O213" s="2">
        <f t="shared" si="21"/>
        <v>2.2459090909090908E-2</v>
      </c>
    </row>
    <row r="214" spans="1:15" x14ac:dyDescent="0.3">
      <c r="A214" t="s">
        <v>339</v>
      </c>
      <c r="B214" t="s">
        <v>127</v>
      </c>
      <c r="C214">
        <v>726</v>
      </c>
      <c r="D214">
        <f t="shared" si="17"/>
        <v>1998</v>
      </c>
      <c r="E214">
        <f t="shared" si="18"/>
        <v>11</v>
      </c>
      <c r="L214">
        <f t="shared" si="19"/>
        <v>2015</v>
      </c>
      <c r="M214">
        <f t="shared" si="20"/>
        <v>5</v>
      </c>
      <c r="N214" s="106">
        <v>42125</v>
      </c>
      <c r="O214" s="2">
        <f t="shared" si="21"/>
        <v>2.1704761904761904E-2</v>
      </c>
    </row>
    <row r="215" spans="1:15" x14ac:dyDescent="0.3">
      <c r="A215" t="s">
        <v>340</v>
      </c>
      <c r="B215" t="s">
        <v>127</v>
      </c>
      <c r="C215">
        <v>711</v>
      </c>
      <c r="D215">
        <f t="shared" si="17"/>
        <v>1998</v>
      </c>
      <c r="E215">
        <f t="shared" si="18"/>
        <v>11</v>
      </c>
      <c r="L215">
        <f t="shared" si="19"/>
        <v>2015</v>
      </c>
      <c r="M215">
        <f t="shared" si="20"/>
        <v>6</v>
      </c>
      <c r="N215" s="106">
        <v>42156</v>
      </c>
      <c r="O215" s="2">
        <f t="shared" si="21"/>
        <v>2.3040909090909091E-2</v>
      </c>
    </row>
    <row r="216" spans="1:15" x14ac:dyDescent="0.3">
      <c r="A216" t="s">
        <v>341</v>
      </c>
      <c r="B216" t="s">
        <v>127</v>
      </c>
      <c r="C216">
        <v>697</v>
      </c>
      <c r="D216">
        <f t="shared" si="17"/>
        <v>1998</v>
      </c>
      <c r="E216">
        <f t="shared" si="18"/>
        <v>11</v>
      </c>
      <c r="L216">
        <f t="shared" si="19"/>
        <v>2015</v>
      </c>
      <c r="M216">
        <f t="shared" si="20"/>
        <v>7</v>
      </c>
      <c r="N216" s="106">
        <v>42186</v>
      </c>
      <c r="O216" s="2">
        <f t="shared" si="21"/>
        <v>2.3713043478260868E-2</v>
      </c>
    </row>
    <row r="217" spans="1:15" x14ac:dyDescent="0.3">
      <c r="A217" t="s">
        <v>342</v>
      </c>
      <c r="B217" t="s">
        <v>127</v>
      </c>
      <c r="C217">
        <v>729</v>
      </c>
      <c r="D217">
        <f t="shared" si="17"/>
        <v>1998</v>
      </c>
      <c r="E217">
        <f t="shared" si="18"/>
        <v>11</v>
      </c>
      <c r="L217">
        <f t="shared" si="19"/>
        <v>2015</v>
      </c>
      <c r="M217">
        <f t="shared" si="20"/>
        <v>8</v>
      </c>
      <c r="N217" s="106">
        <v>42217</v>
      </c>
      <c r="O217" s="2">
        <f t="shared" si="21"/>
        <v>2.6095238095238095E-2</v>
      </c>
    </row>
    <row r="218" spans="1:15" x14ac:dyDescent="0.3">
      <c r="A218" t="s">
        <v>343</v>
      </c>
      <c r="B218" t="s">
        <v>127</v>
      </c>
      <c r="C218">
        <v>768</v>
      </c>
      <c r="D218">
        <f t="shared" si="17"/>
        <v>1998</v>
      </c>
      <c r="E218">
        <f t="shared" si="18"/>
        <v>11</v>
      </c>
      <c r="L218">
        <f t="shared" si="19"/>
        <v>2015</v>
      </c>
      <c r="M218">
        <f t="shared" si="20"/>
        <v>9</v>
      </c>
      <c r="N218" s="106">
        <v>42248</v>
      </c>
      <c r="O218" s="2">
        <f t="shared" si="21"/>
        <v>2.7604545454545455E-2</v>
      </c>
    </row>
    <row r="219" spans="1:15" x14ac:dyDescent="0.3">
      <c r="A219" t="s">
        <v>344</v>
      </c>
      <c r="B219" t="s">
        <v>127</v>
      </c>
      <c r="C219">
        <v>786</v>
      </c>
      <c r="D219">
        <f t="shared" si="17"/>
        <v>1998</v>
      </c>
      <c r="E219">
        <f t="shared" si="18"/>
        <v>11</v>
      </c>
      <c r="L219">
        <f t="shared" si="19"/>
        <v>2015</v>
      </c>
      <c r="M219">
        <f t="shared" si="20"/>
        <v>10</v>
      </c>
      <c r="N219" s="106">
        <v>42278</v>
      </c>
      <c r="O219" s="2">
        <f t="shared" si="21"/>
        <v>2.7790909090909092E-2</v>
      </c>
    </row>
    <row r="220" spans="1:15" x14ac:dyDescent="0.3">
      <c r="A220" t="s">
        <v>345</v>
      </c>
      <c r="B220" t="s">
        <v>127</v>
      </c>
      <c r="C220">
        <v>770</v>
      </c>
      <c r="D220">
        <f t="shared" si="17"/>
        <v>1998</v>
      </c>
      <c r="E220">
        <f t="shared" si="18"/>
        <v>11</v>
      </c>
      <c r="L220">
        <f t="shared" si="19"/>
        <v>2015</v>
      </c>
      <c r="M220">
        <f t="shared" si="20"/>
        <v>11</v>
      </c>
      <c r="N220" s="106">
        <v>42309</v>
      </c>
      <c r="O220" s="2">
        <f t="shared" si="21"/>
        <v>2.7414285714285717E-2</v>
      </c>
    </row>
    <row r="221" spans="1:15" x14ac:dyDescent="0.3">
      <c r="A221" t="s">
        <v>346</v>
      </c>
      <c r="B221" t="s">
        <v>127</v>
      </c>
      <c r="C221">
        <v>753</v>
      </c>
      <c r="D221">
        <f t="shared" si="17"/>
        <v>1998</v>
      </c>
      <c r="E221">
        <f t="shared" si="18"/>
        <v>11</v>
      </c>
      <c r="L221">
        <f t="shared" si="19"/>
        <v>2015</v>
      </c>
      <c r="M221">
        <f t="shared" si="20"/>
        <v>12</v>
      </c>
      <c r="N221" s="106">
        <v>42339</v>
      </c>
      <c r="O221" s="2">
        <f t="shared" si="21"/>
        <v>3.1126086956521738E-2</v>
      </c>
    </row>
    <row r="222" spans="1:15" x14ac:dyDescent="0.3">
      <c r="A222" t="s">
        <v>347</v>
      </c>
      <c r="B222" t="s">
        <v>127</v>
      </c>
      <c r="C222">
        <v>735</v>
      </c>
      <c r="D222">
        <f t="shared" si="17"/>
        <v>1998</v>
      </c>
      <c r="E222">
        <f t="shared" si="18"/>
        <v>11</v>
      </c>
      <c r="L222">
        <f t="shared" si="19"/>
        <v>2016</v>
      </c>
      <c r="M222">
        <f t="shared" si="20"/>
        <v>1</v>
      </c>
      <c r="N222" s="106">
        <v>42370</v>
      </c>
      <c r="O222" s="2">
        <f t="shared" si="21"/>
        <v>3.5435000000000001E-2</v>
      </c>
    </row>
    <row r="223" spans="1:15" x14ac:dyDescent="0.3">
      <c r="A223" t="s">
        <v>348</v>
      </c>
      <c r="B223" t="s">
        <v>127</v>
      </c>
      <c r="C223">
        <v>751</v>
      </c>
      <c r="D223">
        <f t="shared" si="17"/>
        <v>1998</v>
      </c>
      <c r="E223">
        <f t="shared" si="18"/>
        <v>11</v>
      </c>
      <c r="L223">
        <f t="shared" si="19"/>
        <v>2016</v>
      </c>
      <c r="M223">
        <f t="shared" si="20"/>
        <v>2</v>
      </c>
      <c r="N223" s="106">
        <v>42401</v>
      </c>
      <c r="O223" s="2">
        <f t="shared" si="21"/>
        <v>3.7238095238095244E-2</v>
      </c>
    </row>
    <row r="224" spans="1:15" x14ac:dyDescent="0.3">
      <c r="A224" t="s">
        <v>349</v>
      </c>
      <c r="B224" t="s">
        <v>127</v>
      </c>
      <c r="C224">
        <v>725</v>
      </c>
      <c r="D224">
        <f t="shared" si="17"/>
        <v>1998</v>
      </c>
      <c r="E224">
        <f t="shared" si="18"/>
        <v>11</v>
      </c>
      <c r="L224">
        <f t="shared" si="19"/>
        <v>2016</v>
      </c>
      <c r="M224">
        <f t="shared" si="20"/>
        <v>3</v>
      </c>
      <c r="N224" s="106">
        <v>42430</v>
      </c>
      <c r="O224" s="2">
        <f t="shared" si="21"/>
        <v>3.1221739130434783E-2</v>
      </c>
    </row>
    <row r="225" spans="1:15" x14ac:dyDescent="0.3">
      <c r="A225" t="s">
        <v>350</v>
      </c>
      <c r="B225" t="s">
        <v>127</v>
      </c>
      <c r="C225">
        <v>684</v>
      </c>
      <c r="D225">
        <f t="shared" si="17"/>
        <v>1998</v>
      </c>
      <c r="E225">
        <f t="shared" si="18"/>
        <v>11</v>
      </c>
      <c r="L225">
        <f t="shared" si="19"/>
        <v>2016</v>
      </c>
      <c r="M225">
        <f t="shared" si="20"/>
        <v>4</v>
      </c>
      <c r="N225" s="106">
        <v>42461</v>
      </c>
      <c r="O225" s="2">
        <f t="shared" si="21"/>
        <v>2.9457142857142855E-2</v>
      </c>
    </row>
    <row r="226" spans="1:15" x14ac:dyDescent="0.3">
      <c r="A226" t="s">
        <v>351</v>
      </c>
      <c r="B226" t="s">
        <v>127</v>
      </c>
      <c r="C226">
        <v>676</v>
      </c>
      <c r="D226">
        <f t="shared" si="17"/>
        <v>1998</v>
      </c>
      <c r="E226">
        <f t="shared" si="18"/>
        <v>11</v>
      </c>
      <c r="L226">
        <f t="shared" si="19"/>
        <v>2016</v>
      </c>
      <c r="M226">
        <f t="shared" si="20"/>
        <v>5</v>
      </c>
      <c r="N226" s="106">
        <v>42491</v>
      </c>
      <c r="O226" s="2">
        <f t="shared" si="21"/>
        <v>2.9709090909090907E-2</v>
      </c>
    </row>
    <row r="227" spans="1:15" x14ac:dyDescent="0.3">
      <c r="A227" t="s">
        <v>352</v>
      </c>
      <c r="B227" t="s">
        <v>127</v>
      </c>
      <c r="C227">
        <v>686</v>
      </c>
      <c r="D227">
        <f t="shared" si="17"/>
        <v>1998</v>
      </c>
      <c r="E227">
        <f t="shared" si="18"/>
        <v>11</v>
      </c>
      <c r="L227">
        <f t="shared" si="19"/>
        <v>2016</v>
      </c>
      <c r="M227">
        <f t="shared" si="20"/>
        <v>6</v>
      </c>
      <c r="N227" s="106">
        <v>42522</v>
      </c>
      <c r="O227" s="2">
        <f t="shared" si="21"/>
        <v>3.038181818181818E-2</v>
      </c>
    </row>
    <row r="228" spans="1:15" x14ac:dyDescent="0.3">
      <c r="A228" t="s">
        <v>353</v>
      </c>
      <c r="B228" t="s">
        <v>127</v>
      </c>
      <c r="C228">
        <v>695</v>
      </c>
      <c r="D228">
        <f t="shared" si="17"/>
        <v>1998</v>
      </c>
      <c r="E228">
        <f t="shared" si="18"/>
        <v>11</v>
      </c>
      <c r="L228">
        <f t="shared" si="19"/>
        <v>2016</v>
      </c>
      <c r="M228">
        <f t="shared" si="20"/>
        <v>7</v>
      </c>
      <c r="N228" s="106">
        <v>42552</v>
      </c>
      <c r="O228" s="2">
        <f t="shared" si="21"/>
        <v>2.7676190476190476E-2</v>
      </c>
    </row>
    <row r="229" spans="1:15" x14ac:dyDescent="0.3">
      <c r="A229" t="s">
        <v>354</v>
      </c>
      <c r="B229" t="s">
        <v>127</v>
      </c>
      <c r="C229">
        <v>681</v>
      </c>
      <c r="D229">
        <f t="shared" si="17"/>
        <v>1998</v>
      </c>
      <c r="E229">
        <f t="shared" si="18"/>
        <v>11</v>
      </c>
      <c r="L229">
        <f t="shared" si="19"/>
        <v>2016</v>
      </c>
      <c r="M229">
        <f t="shared" si="20"/>
        <v>8</v>
      </c>
      <c r="N229" s="106">
        <v>42583</v>
      </c>
      <c r="O229" s="2">
        <f t="shared" si="21"/>
        <v>2.6604347826086956E-2</v>
      </c>
    </row>
    <row r="230" spans="1:15" x14ac:dyDescent="0.3">
      <c r="A230" t="s">
        <v>355</v>
      </c>
      <c r="B230" t="s">
        <v>127</v>
      </c>
      <c r="C230">
        <v>737</v>
      </c>
      <c r="D230">
        <f t="shared" si="17"/>
        <v>1998</v>
      </c>
      <c r="E230">
        <f t="shared" si="18"/>
        <v>11</v>
      </c>
      <c r="L230">
        <f t="shared" si="19"/>
        <v>2016</v>
      </c>
      <c r="M230">
        <f t="shared" si="20"/>
        <v>9</v>
      </c>
      <c r="N230" s="106">
        <v>42614</v>
      </c>
      <c r="O230" s="2">
        <f t="shared" si="21"/>
        <v>2.7545454545454543E-2</v>
      </c>
    </row>
    <row r="231" spans="1:15" x14ac:dyDescent="0.3">
      <c r="A231" t="s">
        <v>356</v>
      </c>
      <c r="B231" t="s">
        <v>127</v>
      </c>
      <c r="C231">
        <v>777</v>
      </c>
      <c r="D231">
        <f t="shared" si="17"/>
        <v>1998</v>
      </c>
      <c r="E231">
        <f t="shared" si="18"/>
        <v>12</v>
      </c>
      <c r="L231">
        <f t="shared" si="19"/>
        <v>2016</v>
      </c>
      <c r="M231">
        <f t="shared" si="20"/>
        <v>10</v>
      </c>
      <c r="N231" s="106">
        <v>42644</v>
      </c>
      <c r="O231" s="2">
        <f t="shared" si="21"/>
        <v>2.7219047619047622E-2</v>
      </c>
    </row>
    <row r="232" spans="1:15" x14ac:dyDescent="0.3">
      <c r="A232" t="s">
        <v>357</v>
      </c>
      <c r="B232" t="s">
        <v>127</v>
      </c>
      <c r="C232">
        <v>792</v>
      </c>
      <c r="D232">
        <f t="shared" si="17"/>
        <v>1998</v>
      </c>
      <c r="E232">
        <f t="shared" si="18"/>
        <v>12</v>
      </c>
      <c r="L232">
        <f t="shared" si="19"/>
        <v>2016</v>
      </c>
      <c r="M232">
        <f t="shared" si="20"/>
        <v>11</v>
      </c>
      <c r="N232" s="106">
        <v>42675</v>
      </c>
      <c r="O232" s="2">
        <f t="shared" si="21"/>
        <v>3.1795454545454543E-2</v>
      </c>
    </row>
    <row r="233" spans="1:15" x14ac:dyDescent="0.3">
      <c r="A233" t="s">
        <v>358</v>
      </c>
      <c r="B233" t="s">
        <v>127</v>
      </c>
      <c r="C233">
        <v>793</v>
      </c>
      <c r="D233">
        <f t="shared" si="17"/>
        <v>1998</v>
      </c>
      <c r="E233">
        <f t="shared" si="18"/>
        <v>12</v>
      </c>
      <c r="L233">
        <f t="shared" si="19"/>
        <v>2016</v>
      </c>
      <c r="M233">
        <f t="shared" si="20"/>
        <v>12</v>
      </c>
      <c r="N233" s="106">
        <v>42705</v>
      </c>
      <c r="O233" s="2">
        <f t="shared" si="21"/>
        <v>3.0140909090909093E-2</v>
      </c>
    </row>
    <row r="234" spans="1:15" x14ac:dyDescent="0.3">
      <c r="A234" t="s">
        <v>359</v>
      </c>
      <c r="B234" t="s">
        <v>127</v>
      </c>
      <c r="C234">
        <v>781</v>
      </c>
      <c r="D234">
        <f t="shared" si="17"/>
        <v>1998</v>
      </c>
      <c r="E234">
        <f t="shared" si="18"/>
        <v>12</v>
      </c>
      <c r="L234">
        <f t="shared" si="19"/>
        <v>2017</v>
      </c>
      <c r="M234">
        <f t="shared" si="20"/>
        <v>1</v>
      </c>
      <c r="N234" s="106">
        <v>42736</v>
      </c>
      <c r="O234" s="2">
        <f t="shared" si="21"/>
        <v>3.0454545454545456E-2</v>
      </c>
    </row>
    <row r="235" spans="1:15" x14ac:dyDescent="0.3">
      <c r="A235" t="s">
        <v>360</v>
      </c>
      <c r="B235" t="s">
        <v>127</v>
      </c>
      <c r="C235">
        <v>769</v>
      </c>
      <c r="D235">
        <f t="shared" si="17"/>
        <v>1998</v>
      </c>
      <c r="E235">
        <f t="shared" si="18"/>
        <v>12</v>
      </c>
      <c r="L235">
        <f t="shared" si="19"/>
        <v>2017</v>
      </c>
      <c r="M235">
        <f t="shared" si="20"/>
        <v>2</v>
      </c>
      <c r="N235" s="106">
        <v>42767</v>
      </c>
      <c r="O235" s="2">
        <f t="shared" si="21"/>
        <v>2.8235000000000003E-2</v>
      </c>
    </row>
    <row r="236" spans="1:15" x14ac:dyDescent="0.3">
      <c r="A236" t="s">
        <v>361</v>
      </c>
      <c r="B236" t="s">
        <v>127</v>
      </c>
      <c r="C236">
        <v>784</v>
      </c>
      <c r="D236">
        <f t="shared" si="17"/>
        <v>1998</v>
      </c>
      <c r="E236">
        <f t="shared" si="18"/>
        <v>12</v>
      </c>
      <c r="L236">
        <f t="shared" si="19"/>
        <v>2017</v>
      </c>
      <c r="M236">
        <f t="shared" si="20"/>
        <v>3</v>
      </c>
      <c r="N236" s="106">
        <v>42795</v>
      </c>
      <c r="O236" s="2">
        <f t="shared" si="21"/>
        <v>2.6304347826086955E-2</v>
      </c>
    </row>
    <row r="237" spans="1:15" x14ac:dyDescent="0.3">
      <c r="A237" t="s">
        <v>362</v>
      </c>
      <c r="B237" t="s">
        <v>127</v>
      </c>
      <c r="C237">
        <v>790</v>
      </c>
      <c r="D237">
        <f t="shared" si="17"/>
        <v>1998</v>
      </c>
      <c r="E237">
        <f t="shared" si="18"/>
        <v>12</v>
      </c>
      <c r="L237">
        <f t="shared" si="19"/>
        <v>2017</v>
      </c>
      <c r="M237">
        <f t="shared" si="20"/>
        <v>4</v>
      </c>
      <c r="N237" s="106">
        <v>42826</v>
      </c>
      <c r="O237" s="2">
        <f t="shared" si="21"/>
        <v>2.5939999999999998E-2</v>
      </c>
    </row>
    <row r="238" spans="1:15" x14ac:dyDescent="0.3">
      <c r="A238" t="s">
        <v>363</v>
      </c>
      <c r="B238" t="s">
        <v>127</v>
      </c>
      <c r="C238">
        <v>785</v>
      </c>
      <c r="D238">
        <f t="shared" si="17"/>
        <v>1998</v>
      </c>
      <c r="E238">
        <f t="shared" si="18"/>
        <v>12</v>
      </c>
      <c r="L238">
        <f t="shared" si="19"/>
        <v>2017</v>
      </c>
      <c r="M238">
        <f t="shared" si="20"/>
        <v>5</v>
      </c>
      <c r="N238" s="106">
        <v>42856</v>
      </c>
      <c r="O238" s="2">
        <f t="shared" si="21"/>
        <v>2.4765217391304346E-2</v>
      </c>
    </row>
    <row r="239" spans="1:15" x14ac:dyDescent="0.3">
      <c r="A239" t="s">
        <v>364</v>
      </c>
      <c r="B239" t="s">
        <v>127</v>
      </c>
      <c r="C239">
        <v>779</v>
      </c>
      <c r="D239">
        <f t="shared" si="17"/>
        <v>1998</v>
      </c>
      <c r="E239">
        <f t="shared" si="18"/>
        <v>12</v>
      </c>
      <c r="L239">
        <f t="shared" si="19"/>
        <v>2017</v>
      </c>
      <c r="M239">
        <f t="shared" si="20"/>
        <v>6</v>
      </c>
      <c r="N239" s="106">
        <v>42887</v>
      </c>
      <c r="O239" s="2">
        <f t="shared" si="21"/>
        <v>2.5177272727272729E-2</v>
      </c>
    </row>
    <row r="240" spans="1:15" x14ac:dyDescent="0.3">
      <c r="A240" t="s">
        <v>365</v>
      </c>
      <c r="B240" t="s">
        <v>127</v>
      </c>
      <c r="C240">
        <v>813</v>
      </c>
      <c r="D240">
        <f t="shared" si="17"/>
        <v>1998</v>
      </c>
      <c r="E240">
        <f t="shared" si="18"/>
        <v>12</v>
      </c>
      <c r="L240">
        <f t="shared" si="19"/>
        <v>2017</v>
      </c>
      <c r="M240">
        <f t="shared" si="20"/>
        <v>7</v>
      </c>
      <c r="N240" s="106">
        <v>42917</v>
      </c>
      <c r="O240" s="2">
        <f t="shared" si="21"/>
        <v>2.4828571428571429E-2</v>
      </c>
    </row>
    <row r="241" spans="1:15" x14ac:dyDescent="0.3">
      <c r="A241" t="s">
        <v>366</v>
      </c>
      <c r="B241" t="s">
        <v>127</v>
      </c>
      <c r="C241">
        <v>767</v>
      </c>
      <c r="D241">
        <f t="shared" si="17"/>
        <v>1998</v>
      </c>
      <c r="E241">
        <f t="shared" si="18"/>
        <v>12</v>
      </c>
      <c r="L241">
        <f t="shared" si="19"/>
        <v>2017</v>
      </c>
      <c r="M241">
        <f t="shared" si="20"/>
        <v>8</v>
      </c>
      <c r="N241" s="106">
        <v>42948</v>
      </c>
      <c r="O241" s="2">
        <f t="shared" si="21"/>
        <v>2.4408695652173913E-2</v>
      </c>
    </row>
    <row r="242" spans="1:15" x14ac:dyDescent="0.3">
      <c r="A242" t="s">
        <v>367</v>
      </c>
      <c r="B242" t="s">
        <v>127</v>
      </c>
      <c r="C242">
        <v>781</v>
      </c>
      <c r="D242">
        <f t="shared" si="17"/>
        <v>1998</v>
      </c>
      <c r="E242">
        <f t="shared" si="18"/>
        <v>12</v>
      </c>
      <c r="L242">
        <f t="shared" si="19"/>
        <v>2017</v>
      </c>
      <c r="M242">
        <f t="shared" si="20"/>
        <v>9</v>
      </c>
      <c r="N242" s="106">
        <v>42979</v>
      </c>
      <c r="O242" s="2">
        <f t="shared" si="21"/>
        <v>2.4123809523809523E-2</v>
      </c>
    </row>
    <row r="243" spans="1:15" x14ac:dyDescent="0.3">
      <c r="A243" t="s">
        <v>368</v>
      </c>
      <c r="B243" t="s">
        <v>127</v>
      </c>
      <c r="C243">
        <v>784</v>
      </c>
      <c r="D243">
        <f t="shared" si="17"/>
        <v>1998</v>
      </c>
      <c r="E243">
        <f t="shared" si="18"/>
        <v>12</v>
      </c>
      <c r="L243">
        <f t="shared" si="19"/>
        <v>2017</v>
      </c>
      <c r="M243">
        <f t="shared" si="20"/>
        <v>10</v>
      </c>
      <c r="N243" s="106">
        <v>43009</v>
      </c>
      <c r="O243" s="2">
        <f t="shared" si="21"/>
        <v>2.4245454545454546E-2</v>
      </c>
    </row>
    <row r="244" spans="1:15" x14ac:dyDescent="0.3">
      <c r="A244" t="s">
        <v>369</v>
      </c>
      <c r="B244" t="s">
        <v>127</v>
      </c>
      <c r="C244">
        <v>792</v>
      </c>
      <c r="D244">
        <f t="shared" si="17"/>
        <v>1998</v>
      </c>
      <c r="E244">
        <f t="shared" si="18"/>
        <v>12</v>
      </c>
      <c r="L244">
        <f t="shared" si="19"/>
        <v>2017</v>
      </c>
      <c r="M244">
        <f t="shared" si="20"/>
        <v>11</v>
      </c>
      <c r="N244" s="106">
        <v>43040</v>
      </c>
      <c r="O244" s="2">
        <f t="shared" si="21"/>
        <v>2.4490909090909091E-2</v>
      </c>
    </row>
    <row r="245" spans="1:15" x14ac:dyDescent="0.3">
      <c r="A245" t="s">
        <v>370</v>
      </c>
      <c r="B245" t="s">
        <v>127</v>
      </c>
      <c r="C245">
        <v>737</v>
      </c>
      <c r="D245">
        <f t="shared" si="17"/>
        <v>1998</v>
      </c>
      <c r="E245">
        <f t="shared" si="18"/>
        <v>12</v>
      </c>
      <c r="L245">
        <f t="shared" si="19"/>
        <v>2017</v>
      </c>
      <c r="M245">
        <f t="shared" si="20"/>
        <v>12</v>
      </c>
      <c r="N245" s="106">
        <v>43070</v>
      </c>
      <c r="O245" s="2">
        <f t="shared" si="21"/>
        <v>2.4176190476190476E-2</v>
      </c>
    </row>
    <row r="246" spans="1:15" x14ac:dyDescent="0.3">
      <c r="A246" t="s">
        <v>371</v>
      </c>
      <c r="B246" t="s">
        <v>127</v>
      </c>
      <c r="C246">
        <v>717</v>
      </c>
      <c r="D246">
        <f t="shared" si="17"/>
        <v>1998</v>
      </c>
      <c r="E246">
        <f t="shared" si="18"/>
        <v>12</v>
      </c>
      <c r="L246">
        <f t="shared" si="19"/>
        <v>2018</v>
      </c>
      <c r="M246">
        <f t="shared" si="20"/>
        <v>1</v>
      </c>
      <c r="N246" s="106">
        <v>43101</v>
      </c>
      <c r="O246" s="2">
        <f t="shared" si="21"/>
        <v>2.3521739130434781E-2</v>
      </c>
    </row>
    <row r="247" spans="1:15" x14ac:dyDescent="0.3">
      <c r="A247" t="s">
        <v>372</v>
      </c>
      <c r="B247" t="s">
        <v>127</v>
      </c>
      <c r="C247">
        <v>696</v>
      </c>
      <c r="D247">
        <f t="shared" si="17"/>
        <v>1998</v>
      </c>
      <c r="E247">
        <f t="shared" si="18"/>
        <v>12</v>
      </c>
      <c r="L247">
        <f t="shared" si="19"/>
        <v>2018</v>
      </c>
      <c r="M247">
        <f t="shared" si="20"/>
        <v>2</v>
      </c>
      <c r="N247" s="106">
        <v>43132</v>
      </c>
      <c r="O247" s="2">
        <f t="shared" si="21"/>
        <v>2.3295E-2</v>
      </c>
    </row>
    <row r="248" spans="1:15" x14ac:dyDescent="0.3">
      <c r="A248" t="s">
        <v>373</v>
      </c>
      <c r="B248" t="s">
        <v>127</v>
      </c>
      <c r="C248">
        <v>689</v>
      </c>
      <c r="D248">
        <f t="shared" si="17"/>
        <v>1998</v>
      </c>
      <c r="E248">
        <f t="shared" si="18"/>
        <v>12</v>
      </c>
      <c r="L248">
        <f t="shared" si="19"/>
        <v>2018</v>
      </c>
      <c r="M248">
        <f t="shared" si="20"/>
        <v>3</v>
      </c>
      <c r="N248" s="106">
        <v>43160</v>
      </c>
      <c r="O248" s="2">
        <f t="shared" si="21"/>
        <v>2.458181818181818E-2</v>
      </c>
    </row>
    <row r="249" spans="1:15" x14ac:dyDescent="0.3">
      <c r="A249" t="s">
        <v>374</v>
      </c>
      <c r="B249" t="s">
        <v>127</v>
      </c>
      <c r="C249">
        <v>691</v>
      </c>
      <c r="D249">
        <f t="shared" si="17"/>
        <v>1998</v>
      </c>
      <c r="E249">
        <f t="shared" si="18"/>
        <v>12</v>
      </c>
      <c r="L249">
        <f t="shared" si="19"/>
        <v>2018</v>
      </c>
      <c r="M249">
        <f t="shared" si="20"/>
        <v>4</v>
      </c>
      <c r="N249" s="106">
        <v>43191</v>
      </c>
      <c r="O249" s="2">
        <f t="shared" si="21"/>
        <v>2.4538095238095237E-2</v>
      </c>
    </row>
    <row r="250" spans="1:15" x14ac:dyDescent="0.3">
      <c r="A250" t="s">
        <v>375</v>
      </c>
      <c r="B250" t="s">
        <v>127</v>
      </c>
      <c r="C250">
        <v>706</v>
      </c>
      <c r="D250">
        <f t="shared" si="17"/>
        <v>1998</v>
      </c>
      <c r="E250">
        <f t="shared" si="18"/>
        <v>12</v>
      </c>
      <c r="L250">
        <f t="shared" si="19"/>
        <v>2018</v>
      </c>
      <c r="M250">
        <f t="shared" si="20"/>
        <v>5</v>
      </c>
      <c r="N250" s="106">
        <v>43221</v>
      </c>
      <c r="O250" s="2">
        <f t="shared" si="21"/>
        <v>2.6852173913043481E-2</v>
      </c>
    </row>
    <row r="251" spans="1:15" x14ac:dyDescent="0.3">
      <c r="A251" t="s">
        <v>376</v>
      </c>
      <c r="B251" t="s">
        <v>127</v>
      </c>
      <c r="C251">
        <v>736</v>
      </c>
      <c r="D251">
        <f t="shared" si="17"/>
        <v>1998</v>
      </c>
      <c r="E251">
        <f t="shared" si="18"/>
        <v>12</v>
      </c>
      <c r="L251">
        <f t="shared" si="19"/>
        <v>2018</v>
      </c>
      <c r="M251">
        <f t="shared" si="20"/>
        <v>6</v>
      </c>
      <c r="N251" s="106">
        <v>43252</v>
      </c>
      <c r="O251" s="2">
        <f t="shared" si="21"/>
        <v>2.926666666666667E-2</v>
      </c>
    </row>
    <row r="252" spans="1:15" x14ac:dyDescent="0.3">
      <c r="A252" t="s">
        <v>377</v>
      </c>
      <c r="B252" t="s">
        <v>127</v>
      </c>
      <c r="C252">
        <v>747</v>
      </c>
      <c r="D252">
        <f t="shared" si="17"/>
        <v>1998</v>
      </c>
      <c r="E252">
        <f t="shared" si="18"/>
        <v>12</v>
      </c>
      <c r="L252">
        <f t="shared" si="19"/>
        <v>2018</v>
      </c>
      <c r="M252">
        <f t="shared" si="20"/>
        <v>7</v>
      </c>
      <c r="N252" s="106">
        <v>43282</v>
      </c>
      <c r="O252" s="2">
        <f t="shared" si="21"/>
        <v>2.6831818181818182E-2</v>
      </c>
    </row>
    <row r="253" spans="1:15" x14ac:dyDescent="0.3">
      <c r="A253" t="s">
        <v>378</v>
      </c>
      <c r="B253" t="s">
        <v>127</v>
      </c>
      <c r="C253">
        <v>742</v>
      </c>
      <c r="D253">
        <f t="shared" si="17"/>
        <v>1998</v>
      </c>
      <c r="E253">
        <f t="shared" si="18"/>
        <v>12</v>
      </c>
      <c r="L253">
        <f t="shared" si="19"/>
        <v>2018</v>
      </c>
      <c r="M253">
        <f t="shared" si="20"/>
        <v>8</v>
      </c>
      <c r="N253" s="106">
        <v>43313</v>
      </c>
      <c r="O253" s="2">
        <f t="shared" si="21"/>
        <v>2.7891304347826086E-2</v>
      </c>
    </row>
    <row r="254" spans="1:15" x14ac:dyDescent="0.3">
      <c r="A254" t="s">
        <v>379</v>
      </c>
      <c r="B254" t="s">
        <v>127</v>
      </c>
      <c r="C254">
        <v>738</v>
      </c>
      <c r="D254">
        <f t="shared" si="17"/>
        <v>1999</v>
      </c>
      <c r="E254">
        <f t="shared" si="18"/>
        <v>1</v>
      </c>
      <c r="L254">
        <f t="shared" si="19"/>
        <v>2018</v>
      </c>
      <c r="M254">
        <f t="shared" si="20"/>
        <v>9</v>
      </c>
      <c r="N254" s="106">
        <v>43344</v>
      </c>
      <c r="O254" s="2">
        <f t="shared" si="21"/>
        <v>2.6985000000000002E-2</v>
      </c>
    </row>
    <row r="255" spans="1:15" x14ac:dyDescent="0.3">
      <c r="A255" t="s">
        <v>380</v>
      </c>
      <c r="B255" t="s">
        <v>127</v>
      </c>
      <c r="C255">
        <v>687</v>
      </c>
      <c r="D255">
        <f t="shared" si="17"/>
        <v>1999</v>
      </c>
      <c r="E255">
        <f t="shared" si="18"/>
        <v>1</v>
      </c>
      <c r="L255">
        <f t="shared" si="19"/>
        <v>2018</v>
      </c>
      <c r="M255">
        <f t="shared" si="20"/>
        <v>10</v>
      </c>
      <c r="N255" s="106">
        <v>43374</v>
      </c>
      <c r="O255" s="2">
        <f t="shared" si="21"/>
        <v>2.681304347826087E-2</v>
      </c>
    </row>
    <row r="256" spans="1:15" x14ac:dyDescent="0.3">
      <c r="A256" t="s">
        <v>381</v>
      </c>
      <c r="B256" t="s">
        <v>127</v>
      </c>
      <c r="C256">
        <v>658</v>
      </c>
      <c r="D256">
        <f t="shared" si="17"/>
        <v>1999</v>
      </c>
      <c r="E256">
        <f t="shared" si="18"/>
        <v>1</v>
      </c>
      <c r="L256">
        <f t="shared" si="19"/>
        <v>2018</v>
      </c>
      <c r="M256">
        <f t="shared" si="20"/>
        <v>11</v>
      </c>
      <c r="N256" s="106">
        <v>43405</v>
      </c>
      <c r="O256" s="2">
        <f t="shared" si="21"/>
        <v>3.268181818181818E-2</v>
      </c>
    </row>
    <row r="257" spans="1:15" x14ac:dyDescent="0.3">
      <c r="A257" t="s">
        <v>382</v>
      </c>
      <c r="B257" t="s">
        <v>127</v>
      </c>
      <c r="C257">
        <v>658</v>
      </c>
      <c r="D257">
        <f t="shared" si="17"/>
        <v>1999</v>
      </c>
      <c r="E257">
        <f t="shared" si="18"/>
        <v>1</v>
      </c>
      <c r="L257">
        <f t="shared" si="19"/>
        <v>2018</v>
      </c>
      <c r="M257">
        <f t="shared" si="20"/>
        <v>12</v>
      </c>
      <c r="N257" s="106">
        <v>43435</v>
      </c>
      <c r="O257" s="2">
        <f t="shared" si="21"/>
        <v>3.4138095238095238E-2</v>
      </c>
    </row>
    <row r="258" spans="1:15" x14ac:dyDescent="0.3">
      <c r="A258" t="s">
        <v>383</v>
      </c>
      <c r="B258" t="s">
        <v>127</v>
      </c>
      <c r="C258">
        <v>669</v>
      </c>
      <c r="D258">
        <f t="shared" si="17"/>
        <v>1999</v>
      </c>
      <c r="E258">
        <f t="shared" si="18"/>
        <v>1</v>
      </c>
      <c r="L258">
        <f t="shared" si="19"/>
        <v>2019</v>
      </c>
      <c r="M258">
        <f t="shared" si="20"/>
        <v>1</v>
      </c>
      <c r="N258" s="106">
        <v>43466</v>
      </c>
      <c r="O258" s="2">
        <f t="shared" si="21"/>
        <v>3.2891304347826091E-2</v>
      </c>
    </row>
    <row r="259" spans="1:15" x14ac:dyDescent="0.3">
      <c r="A259" t="s">
        <v>384</v>
      </c>
      <c r="B259" t="s">
        <v>127</v>
      </c>
      <c r="C259">
        <v>692</v>
      </c>
      <c r="D259">
        <f t="shared" ref="D259:D322" si="22">YEAR(A259)</f>
        <v>1999</v>
      </c>
      <c r="E259">
        <f t="shared" ref="E259:E322" si="23">MONTH(A259)</f>
        <v>1</v>
      </c>
      <c r="L259">
        <f t="shared" si="19"/>
        <v>2019</v>
      </c>
      <c r="M259">
        <f t="shared" si="20"/>
        <v>2</v>
      </c>
      <c r="N259" s="106">
        <v>43497</v>
      </c>
      <c r="O259" s="2">
        <f t="shared" si="21"/>
        <v>3.1914999999999999E-2</v>
      </c>
    </row>
    <row r="260" spans="1:15" x14ac:dyDescent="0.3">
      <c r="A260" t="s">
        <v>385</v>
      </c>
      <c r="B260" t="s">
        <v>127</v>
      </c>
      <c r="C260">
        <v>712</v>
      </c>
      <c r="D260">
        <f t="shared" si="22"/>
        <v>1999</v>
      </c>
      <c r="E260">
        <f t="shared" si="23"/>
        <v>1</v>
      </c>
      <c r="L260">
        <f t="shared" si="19"/>
        <v>2019</v>
      </c>
      <c r="M260">
        <f t="shared" si="20"/>
        <v>3</v>
      </c>
      <c r="N260" s="106">
        <v>43525</v>
      </c>
      <c r="O260" s="2">
        <f t="shared" si="21"/>
        <v>3.0947619047619047E-2</v>
      </c>
    </row>
    <row r="261" spans="1:15" x14ac:dyDescent="0.3">
      <c r="A261" t="s">
        <v>386</v>
      </c>
      <c r="B261" t="s">
        <v>127</v>
      </c>
      <c r="C261">
        <v>770</v>
      </c>
      <c r="D261">
        <f t="shared" si="22"/>
        <v>1999</v>
      </c>
      <c r="E261">
        <f t="shared" si="23"/>
        <v>1</v>
      </c>
      <c r="L261">
        <f t="shared" si="19"/>
        <v>2019</v>
      </c>
      <c r="M261">
        <f t="shared" si="20"/>
        <v>4</v>
      </c>
      <c r="N261" s="106">
        <v>43556</v>
      </c>
      <c r="O261" s="2">
        <f t="shared" si="21"/>
        <v>2.9522727272727273E-2</v>
      </c>
    </row>
    <row r="262" spans="1:15" x14ac:dyDescent="0.3">
      <c r="A262" t="s">
        <v>387</v>
      </c>
      <c r="B262" t="s">
        <v>127</v>
      </c>
      <c r="C262">
        <v>909</v>
      </c>
      <c r="D262">
        <f t="shared" si="22"/>
        <v>1999</v>
      </c>
      <c r="E262">
        <f t="shared" si="23"/>
        <v>1</v>
      </c>
      <c r="L262">
        <f t="shared" ref="L262:L325" si="24">YEAR(N262)</f>
        <v>2019</v>
      </c>
      <c r="M262">
        <f t="shared" ref="M262:M325" si="25">MONTH(N262)</f>
        <v>5</v>
      </c>
      <c r="N262" s="106">
        <v>43586</v>
      </c>
      <c r="O262" s="2">
        <f t="shared" ref="O262:O325" si="26">AVERAGEIFS($C$2:$C$7066,$D$2:$D$7066,L262,$E$2:$E$7066,M262)/10000</f>
        <v>3.0926086956521739E-2</v>
      </c>
    </row>
    <row r="263" spans="1:15" x14ac:dyDescent="0.3">
      <c r="A263" t="s">
        <v>388</v>
      </c>
      <c r="B263" t="s">
        <v>127</v>
      </c>
      <c r="C263">
        <v>979</v>
      </c>
      <c r="D263">
        <f t="shared" si="22"/>
        <v>1999</v>
      </c>
      <c r="E263">
        <f t="shared" si="23"/>
        <v>1</v>
      </c>
      <c r="L263">
        <f t="shared" si="24"/>
        <v>2019</v>
      </c>
      <c r="M263">
        <f t="shared" si="25"/>
        <v>6</v>
      </c>
      <c r="N263" s="106">
        <v>43617</v>
      </c>
      <c r="O263" s="2">
        <f t="shared" si="26"/>
        <v>3.3255E-2</v>
      </c>
    </row>
    <row r="264" spans="1:15" x14ac:dyDescent="0.3">
      <c r="A264" t="s">
        <v>389</v>
      </c>
      <c r="B264" t="s">
        <v>127</v>
      </c>
      <c r="C264">
        <v>821</v>
      </c>
      <c r="D264">
        <f t="shared" si="22"/>
        <v>1999</v>
      </c>
      <c r="E264">
        <f t="shared" si="23"/>
        <v>1</v>
      </c>
      <c r="L264">
        <f t="shared" si="24"/>
        <v>2019</v>
      </c>
      <c r="M264">
        <f t="shared" si="25"/>
        <v>7</v>
      </c>
      <c r="N264" s="106">
        <v>43647</v>
      </c>
      <c r="O264" s="2">
        <f t="shared" si="26"/>
        <v>3.2678260869565219E-2</v>
      </c>
    </row>
    <row r="265" spans="1:15" x14ac:dyDescent="0.3">
      <c r="A265" t="s">
        <v>390</v>
      </c>
      <c r="B265" t="s">
        <v>127</v>
      </c>
      <c r="C265">
        <v>816</v>
      </c>
      <c r="D265">
        <f t="shared" si="22"/>
        <v>1999</v>
      </c>
      <c r="E265">
        <f t="shared" si="23"/>
        <v>1</v>
      </c>
      <c r="L265">
        <f t="shared" si="24"/>
        <v>2019</v>
      </c>
      <c r="M265">
        <f t="shared" si="25"/>
        <v>8</v>
      </c>
      <c r="N265" s="106">
        <v>43678</v>
      </c>
      <c r="O265" s="2">
        <f t="shared" si="26"/>
        <v>3.4672727272727272E-2</v>
      </c>
    </row>
    <row r="266" spans="1:15" x14ac:dyDescent="0.3">
      <c r="A266" t="s">
        <v>391</v>
      </c>
      <c r="B266" t="s">
        <v>127</v>
      </c>
      <c r="C266">
        <v>719</v>
      </c>
      <c r="D266">
        <f t="shared" si="22"/>
        <v>1999</v>
      </c>
      <c r="E266">
        <f t="shared" si="23"/>
        <v>1</v>
      </c>
      <c r="L266">
        <f t="shared" si="24"/>
        <v>2019</v>
      </c>
      <c r="M266">
        <f t="shared" si="25"/>
        <v>9</v>
      </c>
      <c r="N266" s="106">
        <v>43709</v>
      </c>
      <c r="O266" s="2">
        <f t="shared" si="26"/>
        <v>3.2000000000000001E-2</v>
      </c>
    </row>
    <row r="267" spans="1:15" x14ac:dyDescent="0.3">
      <c r="A267" t="s">
        <v>392</v>
      </c>
      <c r="B267" t="s">
        <v>127</v>
      </c>
      <c r="C267">
        <v>731</v>
      </c>
      <c r="D267">
        <f t="shared" si="22"/>
        <v>1999</v>
      </c>
      <c r="E267">
        <f t="shared" si="23"/>
        <v>1</v>
      </c>
      <c r="L267">
        <f t="shared" si="24"/>
        <v>2019</v>
      </c>
      <c r="M267">
        <f t="shared" si="25"/>
        <v>10</v>
      </c>
      <c r="N267" s="106">
        <v>43739</v>
      </c>
      <c r="O267" s="2">
        <f t="shared" si="26"/>
        <v>3.0886956521739131E-2</v>
      </c>
    </row>
    <row r="268" spans="1:15" x14ac:dyDescent="0.3">
      <c r="A268" t="s">
        <v>393</v>
      </c>
      <c r="B268" t="s">
        <v>127</v>
      </c>
      <c r="C268">
        <v>805</v>
      </c>
      <c r="D268">
        <f t="shared" si="22"/>
        <v>1999</v>
      </c>
      <c r="E268">
        <f t="shared" si="23"/>
        <v>1</v>
      </c>
      <c r="L268">
        <f t="shared" si="24"/>
        <v>2019</v>
      </c>
      <c r="M268">
        <f t="shared" si="25"/>
        <v>11</v>
      </c>
      <c r="N268" s="106">
        <v>43770</v>
      </c>
      <c r="O268" s="2">
        <f t="shared" si="26"/>
        <v>3.1747619047619045E-2</v>
      </c>
    </row>
    <row r="269" spans="1:15" x14ac:dyDescent="0.3">
      <c r="A269" t="s">
        <v>394</v>
      </c>
      <c r="B269" t="s">
        <v>127</v>
      </c>
      <c r="C269">
        <v>832</v>
      </c>
      <c r="D269">
        <f t="shared" si="22"/>
        <v>1999</v>
      </c>
      <c r="E269">
        <f t="shared" si="23"/>
        <v>1</v>
      </c>
      <c r="L269">
        <f t="shared" si="24"/>
        <v>2019</v>
      </c>
      <c r="M269">
        <f t="shared" si="25"/>
        <v>12</v>
      </c>
      <c r="N269" s="106">
        <v>43800</v>
      </c>
      <c r="O269" s="2">
        <f t="shared" si="26"/>
        <v>3.0490909090909093E-2</v>
      </c>
    </row>
    <row r="270" spans="1:15" x14ac:dyDescent="0.3">
      <c r="A270" t="s">
        <v>395</v>
      </c>
      <c r="B270" t="s">
        <v>127</v>
      </c>
      <c r="C270">
        <v>877</v>
      </c>
      <c r="D270">
        <f t="shared" si="22"/>
        <v>1999</v>
      </c>
      <c r="E270">
        <f t="shared" si="23"/>
        <v>1</v>
      </c>
      <c r="L270">
        <f t="shared" si="24"/>
        <v>2020</v>
      </c>
      <c r="M270">
        <f t="shared" si="25"/>
        <v>1</v>
      </c>
      <c r="N270" s="106">
        <v>43831</v>
      </c>
      <c r="O270" s="2">
        <f t="shared" si="26"/>
        <v>2.9760869565217393E-2</v>
      </c>
    </row>
    <row r="271" spans="1:15" x14ac:dyDescent="0.3">
      <c r="A271" t="s">
        <v>396</v>
      </c>
      <c r="B271" t="s">
        <v>127</v>
      </c>
      <c r="C271">
        <v>855</v>
      </c>
      <c r="D271">
        <f t="shared" si="22"/>
        <v>1999</v>
      </c>
      <c r="E271">
        <f t="shared" si="23"/>
        <v>1</v>
      </c>
      <c r="L271">
        <f t="shared" si="24"/>
        <v>2020</v>
      </c>
      <c r="M271">
        <f t="shared" si="25"/>
        <v>2</v>
      </c>
      <c r="N271" s="106">
        <v>43862</v>
      </c>
      <c r="O271" s="2">
        <f t="shared" si="26"/>
        <v>3.0639999999999997E-2</v>
      </c>
    </row>
    <row r="272" spans="1:15" x14ac:dyDescent="0.3">
      <c r="A272" t="s">
        <v>397</v>
      </c>
      <c r="B272" t="s">
        <v>127</v>
      </c>
      <c r="C272">
        <v>857</v>
      </c>
      <c r="D272">
        <f t="shared" si="22"/>
        <v>1999</v>
      </c>
      <c r="E272">
        <f t="shared" si="23"/>
        <v>1</v>
      </c>
      <c r="L272">
        <f t="shared" si="24"/>
        <v>2020</v>
      </c>
      <c r="M272">
        <f t="shared" si="25"/>
        <v>3</v>
      </c>
      <c r="N272" s="106">
        <v>43891</v>
      </c>
      <c r="O272" s="2">
        <f t="shared" si="26"/>
        <v>5.5731818181818188E-2</v>
      </c>
    </row>
    <row r="273" spans="1:15" x14ac:dyDescent="0.3">
      <c r="A273" t="s">
        <v>398</v>
      </c>
      <c r="B273" t="s">
        <v>127</v>
      </c>
      <c r="C273">
        <v>809</v>
      </c>
      <c r="D273">
        <f t="shared" si="22"/>
        <v>1999</v>
      </c>
      <c r="E273">
        <f t="shared" si="23"/>
        <v>1</v>
      </c>
      <c r="L273">
        <f t="shared" si="24"/>
        <v>2020</v>
      </c>
      <c r="M273">
        <f t="shared" si="25"/>
        <v>4</v>
      </c>
      <c r="N273" s="106">
        <v>43922</v>
      </c>
      <c r="O273" s="2">
        <f t="shared" si="26"/>
        <v>6.761904761904762E-2</v>
      </c>
    </row>
    <row r="274" spans="1:15" x14ac:dyDescent="0.3">
      <c r="A274" t="s">
        <v>399</v>
      </c>
      <c r="B274" t="s">
        <v>127</v>
      </c>
      <c r="C274">
        <v>801</v>
      </c>
      <c r="D274">
        <f t="shared" si="22"/>
        <v>1999</v>
      </c>
      <c r="E274">
        <f t="shared" si="23"/>
        <v>1</v>
      </c>
      <c r="L274">
        <f t="shared" si="24"/>
        <v>2020</v>
      </c>
      <c r="M274">
        <f t="shared" si="25"/>
        <v>5</v>
      </c>
      <c r="N274" s="106">
        <v>43952</v>
      </c>
      <c r="O274" s="2">
        <f t="shared" si="26"/>
        <v>5.8685000000000001E-2</v>
      </c>
    </row>
    <row r="275" spans="1:15" x14ac:dyDescent="0.3">
      <c r="A275" t="s">
        <v>400</v>
      </c>
      <c r="B275" t="s">
        <v>127</v>
      </c>
      <c r="C275">
        <v>760</v>
      </c>
      <c r="D275">
        <f t="shared" si="22"/>
        <v>1999</v>
      </c>
      <c r="E275">
        <f t="shared" si="23"/>
        <v>2</v>
      </c>
      <c r="L275">
        <f t="shared" si="24"/>
        <v>2020</v>
      </c>
      <c r="M275">
        <f t="shared" si="25"/>
        <v>6</v>
      </c>
      <c r="N275" s="106">
        <v>43983</v>
      </c>
      <c r="O275" s="2">
        <f t="shared" si="26"/>
        <v>5.0713636363636364E-2</v>
      </c>
    </row>
    <row r="276" spans="1:15" x14ac:dyDescent="0.3">
      <c r="A276" t="s">
        <v>401</v>
      </c>
      <c r="B276" t="s">
        <v>127</v>
      </c>
      <c r="C276">
        <v>730</v>
      </c>
      <c r="D276">
        <f t="shared" si="22"/>
        <v>1999</v>
      </c>
      <c r="E276">
        <f t="shared" si="23"/>
        <v>2</v>
      </c>
      <c r="L276">
        <f t="shared" si="24"/>
        <v>2020</v>
      </c>
      <c r="M276">
        <f t="shared" si="25"/>
        <v>7</v>
      </c>
      <c r="N276" s="106">
        <v>44013</v>
      </c>
      <c r="O276" s="2">
        <f t="shared" si="26"/>
        <v>5.0617391304347822E-2</v>
      </c>
    </row>
    <row r="277" spans="1:15" x14ac:dyDescent="0.3">
      <c r="A277" t="s">
        <v>402</v>
      </c>
      <c r="B277" t="s">
        <v>127</v>
      </c>
      <c r="C277">
        <v>741</v>
      </c>
      <c r="D277">
        <f t="shared" si="22"/>
        <v>1999</v>
      </c>
      <c r="E277">
        <f t="shared" si="23"/>
        <v>2</v>
      </c>
      <c r="L277">
        <f t="shared" si="24"/>
        <v>2020</v>
      </c>
      <c r="M277">
        <f t="shared" si="25"/>
        <v>8</v>
      </c>
      <c r="N277" s="106">
        <v>44044</v>
      </c>
      <c r="O277" s="2">
        <f t="shared" si="26"/>
        <v>4.6928571428571431E-2</v>
      </c>
    </row>
    <row r="278" spans="1:15" x14ac:dyDescent="0.3">
      <c r="A278" t="s">
        <v>403</v>
      </c>
      <c r="B278" t="s">
        <v>127</v>
      </c>
      <c r="C278">
        <v>716</v>
      </c>
      <c r="D278">
        <f t="shared" si="22"/>
        <v>1999</v>
      </c>
      <c r="E278">
        <f t="shared" si="23"/>
        <v>2</v>
      </c>
      <c r="L278">
        <f t="shared" si="24"/>
        <v>2020</v>
      </c>
      <c r="M278">
        <f t="shared" si="25"/>
        <v>9</v>
      </c>
      <c r="N278" s="106">
        <v>44075</v>
      </c>
      <c r="O278" s="2">
        <f t="shared" si="26"/>
        <v>4.8154545454545457E-2</v>
      </c>
    </row>
    <row r="279" spans="1:15" x14ac:dyDescent="0.3">
      <c r="A279" t="s">
        <v>404</v>
      </c>
      <c r="B279" t="s">
        <v>127</v>
      </c>
      <c r="C279">
        <v>751</v>
      </c>
      <c r="D279">
        <f t="shared" si="22"/>
        <v>1999</v>
      </c>
      <c r="E279">
        <f t="shared" si="23"/>
        <v>2</v>
      </c>
      <c r="L279">
        <f t="shared" si="24"/>
        <v>2020</v>
      </c>
      <c r="M279">
        <f t="shared" si="25"/>
        <v>10</v>
      </c>
      <c r="N279" s="106">
        <v>44105</v>
      </c>
      <c r="O279" s="2">
        <f t="shared" si="26"/>
        <v>4.7827272727272725E-2</v>
      </c>
    </row>
    <row r="280" spans="1:15" x14ac:dyDescent="0.3">
      <c r="A280" t="s">
        <v>405</v>
      </c>
      <c r="B280" t="s">
        <v>127</v>
      </c>
      <c r="C280">
        <v>760</v>
      </c>
      <c r="D280">
        <f t="shared" si="22"/>
        <v>1999</v>
      </c>
      <c r="E280">
        <f t="shared" si="23"/>
        <v>2</v>
      </c>
      <c r="L280">
        <f t="shared" si="24"/>
        <v>2020</v>
      </c>
      <c r="M280">
        <f t="shared" si="25"/>
        <v>11</v>
      </c>
      <c r="N280" s="106">
        <v>44136</v>
      </c>
      <c r="O280" s="2">
        <f t="shared" si="26"/>
        <v>4.3242857142857145E-2</v>
      </c>
    </row>
    <row r="281" spans="1:15" x14ac:dyDescent="0.3">
      <c r="A281" t="s">
        <v>406</v>
      </c>
      <c r="B281" t="s">
        <v>127</v>
      </c>
      <c r="C281">
        <v>783</v>
      </c>
      <c r="D281">
        <f t="shared" si="22"/>
        <v>1999</v>
      </c>
      <c r="E281">
        <f t="shared" si="23"/>
        <v>2</v>
      </c>
      <c r="L281">
        <f t="shared" si="24"/>
        <v>2020</v>
      </c>
      <c r="M281">
        <f t="shared" si="25"/>
        <v>12</v>
      </c>
      <c r="N281" s="106">
        <v>44166</v>
      </c>
      <c r="O281" s="2">
        <f t="shared" si="26"/>
        <v>3.9208695652173914E-2</v>
      </c>
    </row>
    <row r="282" spans="1:15" x14ac:dyDescent="0.3">
      <c r="A282" t="s">
        <v>407</v>
      </c>
      <c r="B282" t="s">
        <v>127</v>
      </c>
      <c r="C282">
        <v>746</v>
      </c>
      <c r="D282">
        <f t="shared" si="22"/>
        <v>1999</v>
      </c>
      <c r="E282">
        <f t="shared" si="23"/>
        <v>2</v>
      </c>
      <c r="L282">
        <f t="shared" si="24"/>
        <v>2021</v>
      </c>
      <c r="M282">
        <f t="shared" si="25"/>
        <v>1</v>
      </c>
      <c r="N282" s="106">
        <v>44197</v>
      </c>
      <c r="O282" s="2">
        <f t="shared" si="26"/>
        <v>3.7352380952380949E-2</v>
      </c>
    </row>
    <row r="283" spans="1:15" x14ac:dyDescent="0.3">
      <c r="A283" t="s">
        <v>408</v>
      </c>
      <c r="B283" t="s">
        <v>127</v>
      </c>
      <c r="C283">
        <v>734</v>
      </c>
      <c r="D283">
        <f t="shared" si="22"/>
        <v>1999</v>
      </c>
      <c r="E283">
        <f t="shared" si="23"/>
        <v>2</v>
      </c>
      <c r="L283">
        <f t="shared" si="24"/>
        <v>2021</v>
      </c>
      <c r="M283">
        <f t="shared" si="25"/>
        <v>2</v>
      </c>
      <c r="N283" s="106">
        <v>44228</v>
      </c>
      <c r="O283" s="2">
        <f t="shared" si="26"/>
        <v>3.5660000000000004E-2</v>
      </c>
    </row>
    <row r="284" spans="1:15" x14ac:dyDescent="0.3">
      <c r="A284" t="s">
        <v>409</v>
      </c>
      <c r="B284" t="s">
        <v>127</v>
      </c>
      <c r="C284">
        <v>692</v>
      </c>
      <c r="D284">
        <f t="shared" si="22"/>
        <v>1999</v>
      </c>
      <c r="E284">
        <f t="shared" si="23"/>
        <v>2</v>
      </c>
      <c r="L284">
        <f t="shared" si="24"/>
        <v>2021</v>
      </c>
      <c r="M284">
        <f t="shared" si="25"/>
        <v>3</v>
      </c>
      <c r="N284" s="106">
        <v>44256</v>
      </c>
      <c r="O284" s="2">
        <f t="shared" si="26"/>
        <v>3.5604347826086957E-2</v>
      </c>
    </row>
    <row r="285" spans="1:15" x14ac:dyDescent="0.3">
      <c r="A285" t="s">
        <v>410</v>
      </c>
      <c r="B285" t="s">
        <v>127</v>
      </c>
      <c r="C285">
        <v>695</v>
      </c>
      <c r="D285">
        <f t="shared" si="22"/>
        <v>1999</v>
      </c>
      <c r="E285">
        <f t="shared" si="23"/>
        <v>2</v>
      </c>
      <c r="L285">
        <f t="shared" si="24"/>
        <v>2021</v>
      </c>
      <c r="M285">
        <f t="shared" si="25"/>
        <v>4</v>
      </c>
      <c r="N285" s="106">
        <v>44287</v>
      </c>
      <c r="O285" s="2">
        <f t="shared" si="26"/>
        <v>3.4586363636363637E-2</v>
      </c>
    </row>
    <row r="286" spans="1:15" x14ac:dyDescent="0.3">
      <c r="A286" t="s">
        <v>411</v>
      </c>
      <c r="B286" t="s">
        <v>127</v>
      </c>
      <c r="C286">
        <v>692</v>
      </c>
      <c r="D286">
        <f t="shared" si="22"/>
        <v>1999</v>
      </c>
      <c r="E286">
        <f t="shared" si="23"/>
        <v>2</v>
      </c>
      <c r="L286">
        <f t="shared" si="24"/>
        <v>2021</v>
      </c>
      <c r="M286">
        <f t="shared" si="25"/>
        <v>5</v>
      </c>
      <c r="N286" s="106">
        <v>44317</v>
      </c>
      <c r="O286" s="2">
        <f t="shared" si="26"/>
        <v>3.3895238095238096E-2</v>
      </c>
    </row>
    <row r="287" spans="1:15" x14ac:dyDescent="0.3">
      <c r="A287" t="s">
        <v>412</v>
      </c>
      <c r="B287" t="s">
        <v>127</v>
      </c>
      <c r="C287">
        <v>703</v>
      </c>
      <c r="D287">
        <f t="shared" si="22"/>
        <v>1999</v>
      </c>
      <c r="E287">
        <f t="shared" si="23"/>
        <v>2</v>
      </c>
      <c r="L287">
        <f t="shared" si="24"/>
        <v>2021</v>
      </c>
      <c r="M287">
        <f t="shared" si="25"/>
        <v>6</v>
      </c>
      <c r="N287" s="106">
        <v>44348</v>
      </c>
      <c r="O287" s="2">
        <f t="shared" si="26"/>
        <v>3.3763636363636364E-2</v>
      </c>
    </row>
    <row r="288" spans="1:15" x14ac:dyDescent="0.3">
      <c r="A288" t="s">
        <v>413</v>
      </c>
      <c r="B288" t="s">
        <v>127</v>
      </c>
      <c r="C288">
        <v>699</v>
      </c>
      <c r="D288">
        <f t="shared" si="22"/>
        <v>1999</v>
      </c>
      <c r="E288">
        <f t="shared" si="23"/>
        <v>2</v>
      </c>
      <c r="L288">
        <f t="shared" si="24"/>
        <v>2021</v>
      </c>
      <c r="M288">
        <f t="shared" si="25"/>
        <v>7</v>
      </c>
      <c r="N288" s="106">
        <v>44378</v>
      </c>
      <c r="O288" s="2">
        <f t="shared" si="26"/>
        <v>3.5586363636363638E-2</v>
      </c>
    </row>
    <row r="289" spans="1:15" x14ac:dyDescent="0.3">
      <c r="A289" t="s">
        <v>414</v>
      </c>
      <c r="B289" t="s">
        <v>127</v>
      </c>
      <c r="C289">
        <v>699</v>
      </c>
      <c r="D289">
        <f t="shared" si="22"/>
        <v>1999</v>
      </c>
      <c r="E289">
        <f t="shared" si="23"/>
        <v>2</v>
      </c>
      <c r="L289">
        <f t="shared" si="24"/>
        <v>2021</v>
      </c>
      <c r="M289">
        <f t="shared" si="25"/>
        <v>8</v>
      </c>
      <c r="N289" s="106">
        <v>44409</v>
      </c>
      <c r="O289" s="2">
        <f t="shared" si="26"/>
        <v>3.6186363636363635E-2</v>
      </c>
    </row>
    <row r="290" spans="1:15" x14ac:dyDescent="0.3">
      <c r="A290" t="s">
        <v>415</v>
      </c>
      <c r="B290" t="s">
        <v>127</v>
      </c>
      <c r="C290">
        <v>722</v>
      </c>
      <c r="D290">
        <f t="shared" si="22"/>
        <v>1999</v>
      </c>
      <c r="E290">
        <f t="shared" si="23"/>
        <v>2</v>
      </c>
      <c r="L290">
        <f t="shared" si="24"/>
        <v>2021</v>
      </c>
      <c r="M290">
        <f t="shared" si="25"/>
        <v>9</v>
      </c>
      <c r="N290" s="106">
        <v>44440</v>
      </c>
      <c r="O290" s="2">
        <f t="shared" si="26"/>
        <v>3.5054545454545456E-2</v>
      </c>
    </row>
    <row r="291" spans="1:15" x14ac:dyDescent="0.3">
      <c r="A291" t="s">
        <v>416</v>
      </c>
      <c r="B291" t="s">
        <v>127</v>
      </c>
      <c r="C291">
        <v>714</v>
      </c>
      <c r="D291">
        <f t="shared" si="22"/>
        <v>1999</v>
      </c>
      <c r="E291">
        <f t="shared" si="23"/>
        <v>2</v>
      </c>
      <c r="L291">
        <f t="shared" si="24"/>
        <v>2021</v>
      </c>
      <c r="M291">
        <f t="shared" si="25"/>
        <v>10</v>
      </c>
      <c r="N291" s="106">
        <v>44470</v>
      </c>
      <c r="O291" s="2">
        <f t="shared" si="26"/>
        <v>3.558095238095238E-2</v>
      </c>
    </row>
    <row r="292" spans="1:15" x14ac:dyDescent="0.3">
      <c r="A292" t="s">
        <v>417</v>
      </c>
      <c r="B292" t="s">
        <v>127</v>
      </c>
      <c r="C292">
        <v>708</v>
      </c>
      <c r="D292">
        <f t="shared" si="22"/>
        <v>1999</v>
      </c>
      <c r="E292">
        <f t="shared" si="23"/>
        <v>2</v>
      </c>
      <c r="L292">
        <f t="shared" si="24"/>
        <v>2021</v>
      </c>
      <c r="M292">
        <f t="shared" si="25"/>
        <v>11</v>
      </c>
      <c r="N292" s="106">
        <v>44501</v>
      </c>
      <c r="O292" s="2">
        <f t="shared" si="26"/>
        <v>3.5954545454545454E-2</v>
      </c>
    </row>
    <row r="293" spans="1:15" x14ac:dyDescent="0.3">
      <c r="A293" t="s">
        <v>418</v>
      </c>
      <c r="B293" t="s">
        <v>127</v>
      </c>
      <c r="C293">
        <v>672</v>
      </c>
      <c r="D293">
        <f t="shared" si="22"/>
        <v>1999</v>
      </c>
      <c r="E293">
        <f t="shared" si="23"/>
        <v>2</v>
      </c>
      <c r="L293">
        <f t="shared" si="24"/>
        <v>2021</v>
      </c>
      <c r="M293">
        <f t="shared" si="25"/>
        <v>12</v>
      </c>
      <c r="N293" s="106">
        <v>44531</v>
      </c>
      <c r="O293" s="2">
        <f t="shared" si="26"/>
        <v>3.577391304347826E-2</v>
      </c>
    </row>
    <row r="294" spans="1:15" x14ac:dyDescent="0.3">
      <c r="A294" t="s">
        <v>419</v>
      </c>
      <c r="B294" t="s">
        <v>127</v>
      </c>
      <c r="C294">
        <v>719</v>
      </c>
      <c r="D294">
        <f t="shared" si="22"/>
        <v>1999</v>
      </c>
      <c r="E294">
        <f t="shared" si="23"/>
        <v>2</v>
      </c>
      <c r="L294">
        <f t="shared" si="24"/>
        <v>2022</v>
      </c>
      <c r="M294">
        <f t="shared" si="25"/>
        <v>1</v>
      </c>
      <c r="N294" s="106">
        <v>44562</v>
      </c>
      <c r="O294" s="2">
        <f t="shared" si="26"/>
        <v>3.5385714285714284E-2</v>
      </c>
    </row>
    <row r="295" spans="1:15" x14ac:dyDescent="0.3">
      <c r="A295" t="s">
        <v>420</v>
      </c>
      <c r="B295" t="s">
        <v>127</v>
      </c>
      <c r="C295">
        <v>677</v>
      </c>
      <c r="D295">
        <f t="shared" si="22"/>
        <v>1999</v>
      </c>
      <c r="E295">
        <f t="shared" si="23"/>
        <v>3</v>
      </c>
      <c r="L295">
        <f t="shared" si="24"/>
        <v>2022</v>
      </c>
      <c r="M295">
        <f t="shared" si="25"/>
        <v>2</v>
      </c>
      <c r="N295" s="106">
        <v>44593</v>
      </c>
      <c r="O295" s="2">
        <f t="shared" si="26"/>
        <v>3.6735000000000004E-2</v>
      </c>
    </row>
    <row r="296" spans="1:15" x14ac:dyDescent="0.3">
      <c r="A296" t="s">
        <v>421</v>
      </c>
      <c r="B296" t="s">
        <v>127</v>
      </c>
      <c r="C296">
        <v>707</v>
      </c>
      <c r="D296">
        <f t="shared" si="22"/>
        <v>1999</v>
      </c>
      <c r="E296">
        <f t="shared" si="23"/>
        <v>3</v>
      </c>
      <c r="L296">
        <f t="shared" si="24"/>
        <v>2022</v>
      </c>
      <c r="M296">
        <f t="shared" si="25"/>
        <v>3</v>
      </c>
      <c r="N296" s="106">
        <v>44621</v>
      </c>
      <c r="O296" s="2">
        <f t="shared" si="26"/>
        <v>3.73E-2</v>
      </c>
    </row>
    <row r="297" spans="1:15" x14ac:dyDescent="0.3">
      <c r="A297" t="s">
        <v>422</v>
      </c>
      <c r="B297" t="s">
        <v>127</v>
      </c>
      <c r="C297">
        <v>696</v>
      </c>
      <c r="D297">
        <f t="shared" si="22"/>
        <v>1999</v>
      </c>
      <c r="E297">
        <f t="shared" si="23"/>
        <v>3</v>
      </c>
      <c r="L297">
        <f t="shared" si="24"/>
        <v>2022</v>
      </c>
      <c r="M297">
        <f t="shared" si="25"/>
        <v>4</v>
      </c>
      <c r="N297" s="106">
        <v>44652</v>
      </c>
      <c r="O297" s="2">
        <f t="shared" si="26"/>
        <v>3.6376190476190479E-2</v>
      </c>
    </row>
    <row r="298" spans="1:15" x14ac:dyDescent="0.3">
      <c r="A298" t="s">
        <v>423</v>
      </c>
      <c r="B298" t="s">
        <v>127</v>
      </c>
      <c r="C298">
        <v>680</v>
      </c>
      <c r="D298">
        <f t="shared" si="22"/>
        <v>1999</v>
      </c>
      <c r="E298">
        <f t="shared" si="23"/>
        <v>3</v>
      </c>
      <c r="L298">
        <f t="shared" si="24"/>
        <v>2022</v>
      </c>
      <c r="M298">
        <f t="shared" si="25"/>
        <v>5</v>
      </c>
      <c r="N298" s="106">
        <v>44682</v>
      </c>
      <c r="O298" s="2">
        <f t="shared" si="26"/>
        <v>3.9859090909090907E-2</v>
      </c>
    </row>
    <row r="299" spans="1:15" x14ac:dyDescent="0.3">
      <c r="A299" t="s">
        <v>424</v>
      </c>
      <c r="B299" t="s">
        <v>127</v>
      </c>
      <c r="C299">
        <v>671</v>
      </c>
      <c r="D299">
        <f t="shared" si="22"/>
        <v>1999</v>
      </c>
      <c r="E299">
        <f t="shared" si="23"/>
        <v>3</v>
      </c>
      <c r="L299">
        <f t="shared" si="24"/>
        <v>2022</v>
      </c>
      <c r="M299">
        <f t="shared" si="25"/>
        <v>6</v>
      </c>
      <c r="N299" s="106">
        <v>44713</v>
      </c>
      <c r="O299" s="2">
        <f t="shared" si="26"/>
        <v>4.2840909090909096E-2</v>
      </c>
    </row>
    <row r="300" spans="1:15" x14ac:dyDescent="0.3">
      <c r="A300" t="s">
        <v>425</v>
      </c>
      <c r="B300" t="s">
        <v>127</v>
      </c>
      <c r="C300">
        <v>680</v>
      </c>
      <c r="D300">
        <f t="shared" si="22"/>
        <v>1999</v>
      </c>
      <c r="E300">
        <f t="shared" si="23"/>
        <v>3</v>
      </c>
      <c r="L300">
        <f t="shared" si="24"/>
        <v>2022</v>
      </c>
      <c r="M300">
        <f t="shared" si="25"/>
        <v>7</v>
      </c>
      <c r="N300" s="106">
        <v>44743</v>
      </c>
      <c r="O300" s="2">
        <f t="shared" si="26"/>
        <v>4.640952380952381E-2</v>
      </c>
    </row>
    <row r="301" spans="1:15" x14ac:dyDescent="0.3">
      <c r="A301" t="s">
        <v>426</v>
      </c>
      <c r="B301" t="s">
        <v>127</v>
      </c>
      <c r="C301">
        <v>674</v>
      </c>
      <c r="D301">
        <f t="shared" si="22"/>
        <v>1999</v>
      </c>
      <c r="E301">
        <f t="shared" si="23"/>
        <v>3</v>
      </c>
      <c r="L301">
        <f t="shared" si="24"/>
        <v>2022</v>
      </c>
      <c r="M301">
        <f t="shared" si="25"/>
        <v>8</v>
      </c>
      <c r="N301" s="106">
        <v>44774</v>
      </c>
      <c r="O301" s="2">
        <f t="shared" si="26"/>
        <v>4.2043478260869564E-2</v>
      </c>
    </row>
    <row r="302" spans="1:15" x14ac:dyDescent="0.3">
      <c r="A302" t="s">
        <v>427</v>
      </c>
      <c r="B302" t="s">
        <v>127</v>
      </c>
      <c r="C302">
        <v>653</v>
      </c>
      <c r="D302">
        <f t="shared" si="22"/>
        <v>1999</v>
      </c>
      <c r="E302">
        <f t="shared" si="23"/>
        <v>3</v>
      </c>
      <c r="L302">
        <f t="shared" si="24"/>
        <v>2022</v>
      </c>
      <c r="M302">
        <f t="shared" si="25"/>
        <v>9</v>
      </c>
      <c r="N302" s="106">
        <v>44805</v>
      </c>
      <c r="O302" s="2">
        <f t="shared" si="26"/>
        <v>4.4381818181818182E-2</v>
      </c>
    </row>
    <row r="303" spans="1:15" x14ac:dyDescent="0.3">
      <c r="A303" t="s">
        <v>428</v>
      </c>
      <c r="B303" t="s">
        <v>127</v>
      </c>
      <c r="C303">
        <v>643</v>
      </c>
      <c r="D303">
        <f t="shared" si="22"/>
        <v>1999</v>
      </c>
      <c r="E303">
        <f t="shared" si="23"/>
        <v>3</v>
      </c>
      <c r="L303">
        <f t="shared" si="24"/>
        <v>2022</v>
      </c>
      <c r="M303">
        <f t="shared" si="25"/>
        <v>10</v>
      </c>
      <c r="N303" s="106">
        <v>44835</v>
      </c>
      <c r="O303" s="2">
        <f t="shared" si="26"/>
        <v>4.4873684210526316E-2</v>
      </c>
    </row>
    <row r="304" spans="1:15" x14ac:dyDescent="0.3">
      <c r="A304" t="s">
        <v>429</v>
      </c>
      <c r="B304" t="s">
        <v>127</v>
      </c>
      <c r="C304">
        <v>631</v>
      </c>
      <c r="D304">
        <f t="shared" si="22"/>
        <v>1999</v>
      </c>
      <c r="E304">
        <f t="shared" si="23"/>
        <v>3</v>
      </c>
      <c r="L304">
        <f t="shared" si="24"/>
        <v>2022</v>
      </c>
      <c r="M304">
        <f t="shared" si="25"/>
        <v>11</v>
      </c>
      <c r="N304" s="106">
        <v>44866</v>
      </c>
      <c r="O304" s="2">
        <f t="shared" si="26"/>
        <v>3.9945454545454541E-2</v>
      </c>
    </row>
    <row r="305" spans="1:15" x14ac:dyDescent="0.3">
      <c r="A305" t="s">
        <v>430</v>
      </c>
      <c r="B305" t="s">
        <v>127</v>
      </c>
      <c r="C305">
        <v>603</v>
      </c>
      <c r="D305">
        <f t="shared" si="22"/>
        <v>1999</v>
      </c>
      <c r="E305">
        <f t="shared" si="23"/>
        <v>3</v>
      </c>
      <c r="L305">
        <f t="shared" si="24"/>
        <v>2022</v>
      </c>
      <c r="M305">
        <f t="shared" si="25"/>
        <v>12</v>
      </c>
      <c r="N305" s="106">
        <v>44896</v>
      </c>
      <c r="O305" s="2">
        <f t="shared" si="26"/>
        <v>3.8899999999999997E-2</v>
      </c>
    </row>
    <row r="306" spans="1:15" x14ac:dyDescent="0.3">
      <c r="A306" t="s">
        <v>431</v>
      </c>
      <c r="B306" t="s">
        <v>127</v>
      </c>
      <c r="C306">
        <v>613</v>
      </c>
      <c r="D306">
        <f t="shared" si="22"/>
        <v>1999</v>
      </c>
      <c r="E306">
        <f t="shared" si="23"/>
        <v>3</v>
      </c>
      <c r="L306">
        <f t="shared" si="24"/>
        <v>2023</v>
      </c>
      <c r="M306">
        <f t="shared" si="25"/>
        <v>1</v>
      </c>
      <c r="N306" s="106">
        <v>44927</v>
      </c>
      <c r="O306" s="2">
        <f t="shared" si="26"/>
        <v>3.7231818181818178E-2</v>
      </c>
    </row>
    <row r="307" spans="1:15" x14ac:dyDescent="0.3">
      <c r="A307" t="s">
        <v>432</v>
      </c>
      <c r="B307" t="s">
        <v>127</v>
      </c>
      <c r="C307">
        <v>610</v>
      </c>
      <c r="D307">
        <f t="shared" si="22"/>
        <v>1999</v>
      </c>
      <c r="E307">
        <f t="shared" si="23"/>
        <v>3</v>
      </c>
      <c r="L307">
        <f t="shared" si="24"/>
        <v>2023</v>
      </c>
      <c r="M307">
        <f t="shared" si="25"/>
        <v>2</v>
      </c>
      <c r="N307" s="106">
        <v>44958</v>
      </c>
      <c r="O307" s="2">
        <f t="shared" si="26"/>
        <v>3.5854999999999998E-2</v>
      </c>
    </row>
    <row r="308" spans="1:15" x14ac:dyDescent="0.3">
      <c r="A308" t="s">
        <v>433</v>
      </c>
      <c r="B308" t="s">
        <v>127</v>
      </c>
      <c r="C308">
        <v>612</v>
      </c>
      <c r="D308">
        <f t="shared" si="22"/>
        <v>1999</v>
      </c>
      <c r="E308">
        <f t="shared" si="23"/>
        <v>3</v>
      </c>
      <c r="L308">
        <f t="shared" si="24"/>
        <v>2023</v>
      </c>
      <c r="M308">
        <f t="shared" si="25"/>
        <v>3</v>
      </c>
      <c r="N308" s="106">
        <v>44986</v>
      </c>
      <c r="O308" s="2">
        <f t="shared" si="26"/>
        <v>4.0069565217391308E-2</v>
      </c>
    </row>
    <row r="309" spans="1:15" x14ac:dyDescent="0.3">
      <c r="A309" t="s">
        <v>434</v>
      </c>
      <c r="B309" t="s">
        <v>127</v>
      </c>
      <c r="C309">
        <v>578</v>
      </c>
      <c r="D309">
        <f t="shared" si="22"/>
        <v>1999</v>
      </c>
      <c r="E309">
        <f t="shared" si="23"/>
        <v>3</v>
      </c>
      <c r="L309">
        <f t="shared" si="24"/>
        <v>2023</v>
      </c>
      <c r="M309">
        <f t="shared" si="25"/>
        <v>4</v>
      </c>
      <c r="N309" s="106">
        <v>45017</v>
      </c>
      <c r="O309" s="2">
        <f t="shared" si="26"/>
        <v>3.9733333333333329E-2</v>
      </c>
    </row>
    <row r="310" spans="1:15" x14ac:dyDescent="0.3">
      <c r="A310" t="s">
        <v>435</v>
      </c>
      <c r="B310" t="s">
        <v>127</v>
      </c>
      <c r="C310">
        <v>590</v>
      </c>
      <c r="D310">
        <f t="shared" si="22"/>
        <v>1999</v>
      </c>
      <c r="E310">
        <f t="shared" si="23"/>
        <v>3</v>
      </c>
      <c r="L310">
        <f t="shared" si="24"/>
        <v>2023</v>
      </c>
      <c r="M310">
        <f t="shared" si="25"/>
        <v>5</v>
      </c>
      <c r="N310" s="106">
        <v>45047</v>
      </c>
      <c r="O310" s="2">
        <f t="shared" si="26"/>
        <v>4.0668181818181819E-2</v>
      </c>
    </row>
    <row r="311" spans="1:15" x14ac:dyDescent="0.3">
      <c r="A311" t="s">
        <v>436</v>
      </c>
      <c r="B311" t="s">
        <v>127</v>
      </c>
      <c r="C311">
        <v>613</v>
      </c>
      <c r="D311">
        <f t="shared" si="22"/>
        <v>1999</v>
      </c>
      <c r="E311">
        <f t="shared" si="23"/>
        <v>3</v>
      </c>
      <c r="L311">
        <f t="shared" si="24"/>
        <v>2023</v>
      </c>
      <c r="M311">
        <f t="shared" si="25"/>
        <v>6</v>
      </c>
      <c r="N311" s="106">
        <v>45078</v>
      </c>
      <c r="O311" s="2">
        <f t="shared" si="26"/>
        <v>3.8809090909090904E-2</v>
      </c>
    </row>
    <row r="312" spans="1:15" x14ac:dyDescent="0.3">
      <c r="A312" t="s">
        <v>437</v>
      </c>
      <c r="B312" t="s">
        <v>127</v>
      </c>
      <c r="C312">
        <v>623</v>
      </c>
      <c r="D312">
        <f t="shared" si="22"/>
        <v>1999</v>
      </c>
      <c r="E312">
        <f t="shared" si="23"/>
        <v>3</v>
      </c>
      <c r="L312">
        <f t="shared" si="24"/>
        <v>2023</v>
      </c>
      <c r="M312">
        <f t="shared" si="25"/>
        <v>7</v>
      </c>
      <c r="N312" s="106">
        <v>45108</v>
      </c>
      <c r="O312" s="2">
        <f t="shared" si="26"/>
        <v>3.6733333333333333E-2</v>
      </c>
    </row>
    <row r="313" spans="1:15" x14ac:dyDescent="0.3">
      <c r="A313" t="s">
        <v>438</v>
      </c>
      <c r="B313" t="s">
        <v>127</v>
      </c>
      <c r="C313">
        <v>614</v>
      </c>
      <c r="D313">
        <f t="shared" si="22"/>
        <v>1999</v>
      </c>
      <c r="E313">
        <f t="shared" si="23"/>
        <v>3</v>
      </c>
      <c r="L313">
        <f t="shared" si="24"/>
        <v>2023</v>
      </c>
      <c r="M313">
        <f t="shared" si="25"/>
        <v>8</v>
      </c>
      <c r="N313" s="106">
        <v>45139</v>
      </c>
      <c r="O313" s="2">
        <f t="shared" si="26"/>
        <v>3.2695652173913042E-2</v>
      </c>
    </row>
    <row r="314" spans="1:15" x14ac:dyDescent="0.3">
      <c r="A314" t="s">
        <v>439</v>
      </c>
      <c r="B314" t="s">
        <v>127</v>
      </c>
      <c r="C314">
        <v>607</v>
      </c>
      <c r="D314">
        <f t="shared" si="22"/>
        <v>1999</v>
      </c>
      <c r="E314">
        <f t="shared" si="23"/>
        <v>3</v>
      </c>
      <c r="L314">
        <f t="shared" si="24"/>
        <v>2023</v>
      </c>
      <c r="M314">
        <f t="shared" si="25"/>
        <v>9</v>
      </c>
      <c r="N314" s="106">
        <v>45170</v>
      </c>
      <c r="O314" s="2">
        <f t="shared" si="26"/>
        <v>3.6790476190476193E-2</v>
      </c>
    </row>
    <row r="315" spans="1:15" x14ac:dyDescent="0.3">
      <c r="A315" t="s">
        <v>440</v>
      </c>
      <c r="B315" t="s">
        <v>127</v>
      </c>
      <c r="C315">
        <v>599</v>
      </c>
      <c r="D315">
        <f t="shared" si="22"/>
        <v>1999</v>
      </c>
      <c r="E315">
        <f t="shared" si="23"/>
        <v>3</v>
      </c>
      <c r="L315">
        <f t="shared" si="24"/>
        <v>2023</v>
      </c>
      <c r="M315">
        <f t="shared" si="25"/>
        <v>10</v>
      </c>
      <c r="N315" s="106">
        <v>45200</v>
      </c>
      <c r="O315" s="2">
        <f t="shared" si="26"/>
        <v>3.7909090909090906E-2</v>
      </c>
    </row>
    <row r="316" spans="1:15" x14ac:dyDescent="0.3">
      <c r="A316" t="s">
        <v>441</v>
      </c>
      <c r="B316" t="s">
        <v>127</v>
      </c>
      <c r="C316">
        <v>603</v>
      </c>
      <c r="D316">
        <f t="shared" si="22"/>
        <v>1999</v>
      </c>
      <c r="E316">
        <f t="shared" si="23"/>
        <v>3</v>
      </c>
      <c r="L316">
        <f t="shared" si="24"/>
        <v>2023</v>
      </c>
      <c r="M316">
        <f t="shared" si="25"/>
        <v>11</v>
      </c>
      <c r="N316" s="106">
        <v>45231</v>
      </c>
      <c r="O316" s="2">
        <f t="shared" si="26"/>
        <v>3.6881818181818182E-2</v>
      </c>
    </row>
    <row r="317" spans="1:15" x14ac:dyDescent="0.3">
      <c r="A317" t="s">
        <v>442</v>
      </c>
      <c r="B317" t="s">
        <v>127</v>
      </c>
      <c r="C317">
        <v>598</v>
      </c>
      <c r="D317">
        <f t="shared" si="22"/>
        <v>1999</v>
      </c>
      <c r="E317">
        <f t="shared" si="23"/>
        <v>3</v>
      </c>
      <c r="L317">
        <f t="shared" si="24"/>
        <v>2023</v>
      </c>
      <c r="M317">
        <f t="shared" si="25"/>
        <v>12</v>
      </c>
      <c r="N317" s="106">
        <v>45261</v>
      </c>
      <c r="O317" s="2">
        <f t="shared" si="26"/>
        <v>3.5152380952380949E-2</v>
      </c>
    </row>
    <row r="318" spans="1:15" x14ac:dyDescent="0.3">
      <c r="A318" t="s">
        <v>443</v>
      </c>
      <c r="B318" t="s">
        <v>127</v>
      </c>
      <c r="C318">
        <v>573</v>
      </c>
      <c r="D318">
        <f t="shared" si="22"/>
        <v>1999</v>
      </c>
      <c r="E318">
        <f t="shared" si="23"/>
        <v>4</v>
      </c>
      <c r="L318">
        <f t="shared" si="24"/>
        <v>2024</v>
      </c>
      <c r="M318">
        <f t="shared" si="25"/>
        <v>1</v>
      </c>
      <c r="N318" s="106">
        <v>45292</v>
      </c>
      <c r="O318" s="2">
        <f t="shared" si="26"/>
        <v>3.4560869565217395E-2</v>
      </c>
    </row>
    <row r="319" spans="1:15" x14ac:dyDescent="0.3">
      <c r="A319" t="s">
        <v>444</v>
      </c>
      <c r="B319" t="s">
        <v>127</v>
      </c>
      <c r="C319">
        <v>589</v>
      </c>
      <c r="D319">
        <f t="shared" si="22"/>
        <v>1999</v>
      </c>
      <c r="E319">
        <f t="shared" si="23"/>
        <v>4</v>
      </c>
      <c r="L319">
        <f t="shared" si="24"/>
        <v>2024</v>
      </c>
      <c r="M319">
        <f t="shared" si="25"/>
        <v>2</v>
      </c>
      <c r="N319" s="106">
        <v>45323</v>
      </c>
      <c r="O319" s="2">
        <f t="shared" si="26"/>
        <v>3.3447619047619045E-2</v>
      </c>
    </row>
    <row r="320" spans="1:15" x14ac:dyDescent="0.3">
      <c r="A320" t="s">
        <v>445</v>
      </c>
      <c r="B320" t="s">
        <v>127</v>
      </c>
      <c r="C320">
        <v>580</v>
      </c>
      <c r="D320">
        <f t="shared" si="22"/>
        <v>1999</v>
      </c>
      <c r="E320">
        <f t="shared" si="23"/>
        <v>4</v>
      </c>
      <c r="L320">
        <f t="shared" si="24"/>
        <v>2024</v>
      </c>
      <c r="M320">
        <f t="shared" si="25"/>
        <v>3</v>
      </c>
      <c r="N320" s="106">
        <v>45352</v>
      </c>
      <c r="O320" s="2">
        <f t="shared" si="26"/>
        <v>3.2442857142857141E-2</v>
      </c>
    </row>
    <row r="321" spans="1:15" x14ac:dyDescent="0.3">
      <c r="A321" t="s">
        <v>446</v>
      </c>
      <c r="B321" t="s">
        <v>127</v>
      </c>
      <c r="C321">
        <v>598</v>
      </c>
      <c r="D321">
        <f t="shared" si="22"/>
        <v>1999</v>
      </c>
      <c r="E321">
        <f t="shared" si="23"/>
        <v>4</v>
      </c>
      <c r="L321">
        <f t="shared" si="24"/>
        <v>2024</v>
      </c>
      <c r="M321">
        <f t="shared" si="25"/>
        <v>4</v>
      </c>
      <c r="N321" s="106">
        <v>45383</v>
      </c>
      <c r="O321" s="2">
        <f t="shared" si="26"/>
        <v>3.1333333333333331E-2</v>
      </c>
    </row>
    <row r="322" spans="1:15" x14ac:dyDescent="0.3">
      <c r="A322" t="s">
        <v>447</v>
      </c>
      <c r="B322" t="s">
        <v>127</v>
      </c>
      <c r="C322">
        <v>588</v>
      </c>
      <c r="D322">
        <f t="shared" si="22"/>
        <v>1999</v>
      </c>
      <c r="E322">
        <f t="shared" si="23"/>
        <v>4</v>
      </c>
      <c r="L322">
        <f t="shared" si="24"/>
        <v>2024</v>
      </c>
      <c r="M322">
        <f t="shared" si="25"/>
        <v>5</v>
      </c>
      <c r="N322" s="106">
        <v>45413</v>
      </c>
      <c r="O322" s="2">
        <f t="shared" si="26"/>
        <v>2.9991304347826087E-2</v>
      </c>
    </row>
    <row r="323" spans="1:15" x14ac:dyDescent="0.3">
      <c r="A323" t="s">
        <v>448</v>
      </c>
      <c r="B323" t="s">
        <v>127</v>
      </c>
      <c r="C323">
        <v>579</v>
      </c>
      <c r="D323">
        <f t="shared" ref="D323:D386" si="27">YEAR(A323)</f>
        <v>1999</v>
      </c>
      <c r="E323">
        <f t="shared" ref="E323:E386" si="28">MONTH(A323)</f>
        <v>4</v>
      </c>
      <c r="L323">
        <f t="shared" si="24"/>
        <v>2024</v>
      </c>
      <c r="M323">
        <f t="shared" si="25"/>
        <v>6</v>
      </c>
      <c r="N323" s="106">
        <v>45444</v>
      </c>
      <c r="O323" s="2">
        <f t="shared" si="26"/>
        <v>3.1574999999999999E-2</v>
      </c>
    </row>
    <row r="324" spans="1:15" x14ac:dyDescent="0.3">
      <c r="A324" t="s">
        <v>449</v>
      </c>
      <c r="B324" t="s">
        <v>127</v>
      </c>
      <c r="C324">
        <v>588</v>
      </c>
      <c r="D324">
        <f t="shared" si="27"/>
        <v>1999</v>
      </c>
      <c r="E324">
        <f t="shared" si="28"/>
        <v>4</v>
      </c>
      <c r="L324">
        <f t="shared" si="24"/>
        <v>2024</v>
      </c>
      <c r="M324">
        <f t="shared" si="25"/>
        <v>7</v>
      </c>
      <c r="N324" s="106">
        <v>45474</v>
      </c>
      <c r="O324" s="2">
        <f t="shared" si="26"/>
        <v>3.1730434782608695E-2</v>
      </c>
    </row>
    <row r="325" spans="1:15" x14ac:dyDescent="0.3">
      <c r="A325" t="s">
        <v>450</v>
      </c>
      <c r="B325" t="s">
        <v>127</v>
      </c>
      <c r="C325">
        <v>568</v>
      </c>
      <c r="D325">
        <f t="shared" si="27"/>
        <v>1999</v>
      </c>
      <c r="E325">
        <f t="shared" si="28"/>
        <v>4</v>
      </c>
      <c r="L325">
        <f t="shared" si="24"/>
        <v>2024</v>
      </c>
      <c r="M325">
        <f t="shared" si="25"/>
        <v>8</v>
      </c>
      <c r="N325" s="106">
        <v>45505</v>
      </c>
      <c r="O325" s="2">
        <f t="shared" si="26"/>
        <v>3.2963636363636362E-2</v>
      </c>
    </row>
    <row r="326" spans="1:15" x14ac:dyDescent="0.3">
      <c r="A326" t="s">
        <v>451</v>
      </c>
      <c r="B326" t="s">
        <v>127</v>
      </c>
      <c r="C326">
        <v>537</v>
      </c>
      <c r="D326">
        <f t="shared" si="27"/>
        <v>1999</v>
      </c>
      <c r="E326">
        <f t="shared" si="28"/>
        <v>4</v>
      </c>
      <c r="L326">
        <f t="shared" ref="L326:L333" si="29">YEAR(N326)</f>
        <v>2024</v>
      </c>
      <c r="M326">
        <f t="shared" ref="M326:M333" si="30">MONTH(N326)</f>
        <v>9</v>
      </c>
      <c r="N326" s="106">
        <v>45536</v>
      </c>
      <c r="O326" s="2">
        <f t="shared" ref="O326:O333" si="31">AVERAGEIFS($C$2:$C$7066,$D$2:$D$7066,L326,$E$2:$E$7066,M326)/10000</f>
        <v>3.3057142857142854E-2</v>
      </c>
    </row>
    <row r="327" spans="1:15" x14ac:dyDescent="0.3">
      <c r="A327" t="s">
        <v>452</v>
      </c>
      <c r="B327" t="s">
        <v>127</v>
      </c>
      <c r="C327">
        <v>541</v>
      </c>
      <c r="D327">
        <f t="shared" si="27"/>
        <v>1999</v>
      </c>
      <c r="E327">
        <f t="shared" si="28"/>
        <v>4</v>
      </c>
      <c r="L327">
        <f t="shared" si="29"/>
        <v>2024</v>
      </c>
      <c r="M327">
        <f t="shared" si="30"/>
        <v>10</v>
      </c>
      <c r="N327" s="106">
        <v>45566</v>
      </c>
      <c r="O327" s="2">
        <f t="shared" si="31"/>
        <v>3.0421739130434781E-2</v>
      </c>
    </row>
    <row r="328" spans="1:15" x14ac:dyDescent="0.3">
      <c r="A328" t="s">
        <v>453</v>
      </c>
      <c r="B328" t="s">
        <v>127</v>
      </c>
      <c r="C328">
        <v>546</v>
      </c>
      <c r="D328">
        <f t="shared" si="27"/>
        <v>1999</v>
      </c>
      <c r="E328">
        <f t="shared" si="28"/>
        <v>4</v>
      </c>
      <c r="L328">
        <f t="shared" si="29"/>
        <v>2024</v>
      </c>
      <c r="M328">
        <f t="shared" si="30"/>
        <v>11</v>
      </c>
      <c r="N328" s="106">
        <v>45597</v>
      </c>
      <c r="O328" s="2">
        <f t="shared" si="31"/>
        <v>3.0304761904761904E-2</v>
      </c>
    </row>
    <row r="329" spans="1:15" x14ac:dyDescent="0.3">
      <c r="A329" t="s">
        <v>454</v>
      </c>
      <c r="B329" t="s">
        <v>127</v>
      </c>
      <c r="C329">
        <v>540</v>
      </c>
      <c r="D329">
        <f t="shared" si="27"/>
        <v>1999</v>
      </c>
      <c r="E329">
        <f t="shared" si="28"/>
        <v>4</v>
      </c>
      <c r="L329">
        <f t="shared" si="29"/>
        <v>2024</v>
      </c>
      <c r="M329">
        <f t="shared" si="30"/>
        <v>12</v>
      </c>
      <c r="N329" s="106">
        <v>45627</v>
      </c>
      <c r="O329" s="2">
        <f t="shared" si="31"/>
        <v>3.1322727272727273E-2</v>
      </c>
    </row>
    <row r="330" spans="1:15" x14ac:dyDescent="0.3">
      <c r="A330" t="s">
        <v>455</v>
      </c>
      <c r="B330" t="s">
        <v>127</v>
      </c>
      <c r="C330">
        <v>548</v>
      </c>
      <c r="D330">
        <f t="shared" si="27"/>
        <v>1999</v>
      </c>
      <c r="E330">
        <f t="shared" si="28"/>
        <v>4</v>
      </c>
      <c r="L330">
        <f t="shared" si="29"/>
        <v>2025</v>
      </c>
      <c r="M330">
        <f t="shared" si="30"/>
        <v>1</v>
      </c>
      <c r="N330" s="106">
        <v>45658</v>
      </c>
      <c r="O330" s="2">
        <f t="shared" si="31"/>
        <v>3.158695652173913E-2</v>
      </c>
    </row>
    <row r="331" spans="1:15" x14ac:dyDescent="0.3">
      <c r="A331" t="s">
        <v>456</v>
      </c>
      <c r="B331" t="s">
        <v>127</v>
      </c>
      <c r="C331">
        <v>554</v>
      </c>
      <c r="D331">
        <f t="shared" si="27"/>
        <v>1999</v>
      </c>
      <c r="E331">
        <f t="shared" si="28"/>
        <v>4</v>
      </c>
      <c r="L331">
        <f t="shared" si="29"/>
        <v>2025</v>
      </c>
      <c r="M331">
        <f t="shared" si="30"/>
        <v>2</v>
      </c>
      <c r="N331" s="106">
        <v>45689</v>
      </c>
      <c r="O331" s="2">
        <f t="shared" si="31"/>
        <v>3.117E-2</v>
      </c>
    </row>
    <row r="332" spans="1:15" x14ac:dyDescent="0.3">
      <c r="A332" t="s">
        <v>457</v>
      </c>
      <c r="B332" t="s">
        <v>127</v>
      </c>
      <c r="C332">
        <v>534</v>
      </c>
      <c r="D332">
        <f t="shared" si="27"/>
        <v>1999</v>
      </c>
      <c r="E332">
        <f t="shared" si="28"/>
        <v>4</v>
      </c>
      <c r="L332">
        <f t="shared" si="29"/>
        <v>2025</v>
      </c>
      <c r="M332">
        <f t="shared" si="30"/>
        <v>3</v>
      </c>
      <c r="N332" s="106">
        <v>45717</v>
      </c>
      <c r="O332" s="2">
        <f t="shared" si="31"/>
        <v>3.2104761904761907E-2</v>
      </c>
    </row>
    <row r="333" spans="1:15" x14ac:dyDescent="0.3">
      <c r="A333" t="s">
        <v>458</v>
      </c>
      <c r="B333" t="s">
        <v>127</v>
      </c>
      <c r="C333">
        <v>538</v>
      </c>
      <c r="D333">
        <f t="shared" si="27"/>
        <v>1999</v>
      </c>
      <c r="E333">
        <f t="shared" si="28"/>
        <v>4</v>
      </c>
      <c r="L333">
        <f t="shared" si="29"/>
        <v>2025</v>
      </c>
      <c r="M333">
        <f t="shared" si="30"/>
        <v>4</v>
      </c>
      <c r="N333" s="106">
        <v>45748</v>
      </c>
      <c r="O333" s="2">
        <f t="shared" si="31"/>
        <v>3.5163636363636362E-2</v>
      </c>
    </row>
    <row r="334" spans="1:15" x14ac:dyDescent="0.3">
      <c r="A334" t="s">
        <v>459</v>
      </c>
      <c r="B334" t="s">
        <v>127</v>
      </c>
      <c r="C334">
        <v>550</v>
      </c>
      <c r="D334">
        <f t="shared" si="27"/>
        <v>1999</v>
      </c>
      <c r="E334">
        <f t="shared" si="28"/>
        <v>4</v>
      </c>
      <c r="L334" s="106"/>
    </row>
    <row r="335" spans="1:15" x14ac:dyDescent="0.3">
      <c r="A335" t="s">
        <v>460</v>
      </c>
      <c r="B335" t="s">
        <v>127</v>
      </c>
      <c r="C335">
        <v>547</v>
      </c>
      <c r="D335">
        <f t="shared" si="27"/>
        <v>1999</v>
      </c>
      <c r="E335">
        <f t="shared" si="28"/>
        <v>4</v>
      </c>
    </row>
    <row r="336" spans="1:15" x14ac:dyDescent="0.3">
      <c r="A336" t="s">
        <v>461</v>
      </c>
      <c r="B336" t="s">
        <v>127</v>
      </c>
      <c r="C336">
        <v>549</v>
      </c>
      <c r="D336">
        <f t="shared" si="27"/>
        <v>1999</v>
      </c>
      <c r="E336">
        <f t="shared" si="28"/>
        <v>4</v>
      </c>
    </row>
    <row r="337" spans="1:5" x14ac:dyDescent="0.3">
      <c r="A337" t="s">
        <v>462</v>
      </c>
      <c r="B337" t="s">
        <v>127</v>
      </c>
      <c r="C337">
        <v>540</v>
      </c>
      <c r="D337">
        <f t="shared" si="27"/>
        <v>1999</v>
      </c>
      <c r="E337">
        <f t="shared" si="28"/>
        <v>4</v>
      </c>
    </row>
    <row r="338" spans="1:5" x14ac:dyDescent="0.3">
      <c r="A338" t="s">
        <v>463</v>
      </c>
      <c r="B338" t="s">
        <v>127</v>
      </c>
      <c r="C338">
        <v>549</v>
      </c>
      <c r="D338">
        <f t="shared" si="27"/>
        <v>1999</v>
      </c>
      <c r="E338">
        <f t="shared" si="28"/>
        <v>4</v>
      </c>
    </row>
    <row r="339" spans="1:5" x14ac:dyDescent="0.3">
      <c r="A339" t="s">
        <v>464</v>
      </c>
      <c r="B339" t="s">
        <v>127</v>
      </c>
      <c r="C339">
        <v>532</v>
      </c>
      <c r="D339">
        <f t="shared" si="27"/>
        <v>1999</v>
      </c>
      <c r="E339">
        <f t="shared" si="28"/>
        <v>4</v>
      </c>
    </row>
    <row r="340" spans="1:5" x14ac:dyDescent="0.3">
      <c r="A340" t="s">
        <v>465</v>
      </c>
      <c r="B340" t="s">
        <v>127</v>
      </c>
      <c r="C340">
        <v>523</v>
      </c>
      <c r="D340">
        <f t="shared" si="27"/>
        <v>1999</v>
      </c>
      <c r="E340">
        <f t="shared" si="28"/>
        <v>5</v>
      </c>
    </row>
    <row r="341" spans="1:5" x14ac:dyDescent="0.3">
      <c r="A341" t="s">
        <v>466</v>
      </c>
      <c r="B341" t="s">
        <v>127</v>
      </c>
      <c r="C341">
        <v>522</v>
      </c>
      <c r="D341">
        <f t="shared" si="27"/>
        <v>1999</v>
      </c>
      <c r="E341">
        <f t="shared" si="28"/>
        <v>5</v>
      </c>
    </row>
    <row r="342" spans="1:5" x14ac:dyDescent="0.3">
      <c r="A342" t="s">
        <v>467</v>
      </c>
      <c r="B342" t="s">
        <v>127</v>
      </c>
      <c r="C342">
        <v>543</v>
      </c>
      <c r="D342">
        <f t="shared" si="27"/>
        <v>1999</v>
      </c>
      <c r="E342">
        <f t="shared" si="28"/>
        <v>5</v>
      </c>
    </row>
    <row r="343" spans="1:5" x14ac:dyDescent="0.3">
      <c r="A343" t="s">
        <v>468</v>
      </c>
      <c r="B343" t="s">
        <v>127</v>
      </c>
      <c r="C343">
        <v>538</v>
      </c>
      <c r="D343">
        <f t="shared" si="27"/>
        <v>1999</v>
      </c>
      <c r="E343">
        <f t="shared" si="28"/>
        <v>5</v>
      </c>
    </row>
    <row r="344" spans="1:5" x14ac:dyDescent="0.3">
      <c r="A344" t="s">
        <v>469</v>
      </c>
      <c r="B344" t="s">
        <v>127</v>
      </c>
      <c r="C344">
        <v>535</v>
      </c>
      <c r="D344">
        <f t="shared" si="27"/>
        <v>1999</v>
      </c>
      <c r="E344">
        <f t="shared" si="28"/>
        <v>5</v>
      </c>
    </row>
    <row r="345" spans="1:5" x14ac:dyDescent="0.3">
      <c r="A345" t="s">
        <v>470</v>
      </c>
      <c r="B345" t="s">
        <v>127</v>
      </c>
      <c r="C345">
        <v>526</v>
      </c>
      <c r="D345">
        <f t="shared" si="27"/>
        <v>1999</v>
      </c>
      <c r="E345">
        <f t="shared" si="28"/>
        <v>5</v>
      </c>
    </row>
    <row r="346" spans="1:5" x14ac:dyDescent="0.3">
      <c r="A346" t="s">
        <v>471</v>
      </c>
      <c r="B346" t="s">
        <v>127</v>
      </c>
      <c r="C346">
        <v>527</v>
      </c>
      <c r="D346">
        <f t="shared" si="27"/>
        <v>1999</v>
      </c>
      <c r="E346">
        <f t="shared" si="28"/>
        <v>5</v>
      </c>
    </row>
    <row r="347" spans="1:5" x14ac:dyDescent="0.3">
      <c r="A347" t="s">
        <v>472</v>
      </c>
      <c r="B347" t="s">
        <v>127</v>
      </c>
      <c r="C347">
        <v>545</v>
      </c>
      <c r="D347">
        <f t="shared" si="27"/>
        <v>1999</v>
      </c>
      <c r="E347">
        <f t="shared" si="28"/>
        <v>5</v>
      </c>
    </row>
    <row r="348" spans="1:5" x14ac:dyDescent="0.3">
      <c r="A348" t="s">
        <v>473</v>
      </c>
      <c r="B348" t="s">
        <v>127</v>
      </c>
      <c r="C348">
        <v>555</v>
      </c>
      <c r="D348">
        <f t="shared" si="27"/>
        <v>1999</v>
      </c>
      <c r="E348">
        <f t="shared" si="28"/>
        <v>5</v>
      </c>
    </row>
    <row r="349" spans="1:5" x14ac:dyDescent="0.3">
      <c r="A349" t="s">
        <v>474</v>
      </c>
      <c r="B349" t="s">
        <v>127</v>
      </c>
      <c r="C349">
        <v>546</v>
      </c>
      <c r="D349">
        <f t="shared" si="27"/>
        <v>1999</v>
      </c>
      <c r="E349">
        <f t="shared" si="28"/>
        <v>5</v>
      </c>
    </row>
    <row r="350" spans="1:5" x14ac:dyDescent="0.3">
      <c r="A350" t="s">
        <v>475</v>
      </c>
      <c r="B350" t="s">
        <v>127</v>
      </c>
      <c r="C350">
        <v>588</v>
      </c>
      <c r="D350">
        <f t="shared" si="27"/>
        <v>1999</v>
      </c>
      <c r="E350">
        <f t="shared" si="28"/>
        <v>5</v>
      </c>
    </row>
    <row r="351" spans="1:5" x14ac:dyDescent="0.3">
      <c r="A351" t="s">
        <v>476</v>
      </c>
      <c r="B351" t="s">
        <v>127</v>
      </c>
      <c r="C351">
        <v>612</v>
      </c>
      <c r="D351">
        <f t="shared" si="27"/>
        <v>1999</v>
      </c>
      <c r="E351">
        <f t="shared" si="28"/>
        <v>5</v>
      </c>
    </row>
    <row r="352" spans="1:5" x14ac:dyDescent="0.3">
      <c r="A352" t="s">
        <v>477</v>
      </c>
      <c r="B352" t="s">
        <v>127</v>
      </c>
      <c r="C352">
        <v>646</v>
      </c>
      <c r="D352">
        <f t="shared" si="27"/>
        <v>1999</v>
      </c>
      <c r="E352">
        <f t="shared" si="28"/>
        <v>5</v>
      </c>
    </row>
    <row r="353" spans="1:5" x14ac:dyDescent="0.3">
      <c r="A353" t="s">
        <v>478</v>
      </c>
      <c r="B353" t="s">
        <v>127</v>
      </c>
      <c r="C353">
        <v>652</v>
      </c>
      <c r="D353">
        <f t="shared" si="27"/>
        <v>1999</v>
      </c>
      <c r="E353">
        <f t="shared" si="28"/>
        <v>5</v>
      </c>
    </row>
    <row r="354" spans="1:5" x14ac:dyDescent="0.3">
      <c r="A354" t="s">
        <v>479</v>
      </c>
      <c r="B354" t="s">
        <v>127</v>
      </c>
      <c r="C354">
        <v>683</v>
      </c>
      <c r="D354">
        <f t="shared" si="27"/>
        <v>1999</v>
      </c>
      <c r="E354">
        <f t="shared" si="28"/>
        <v>5</v>
      </c>
    </row>
    <row r="355" spans="1:5" x14ac:dyDescent="0.3">
      <c r="A355" t="s">
        <v>480</v>
      </c>
      <c r="B355" t="s">
        <v>127</v>
      </c>
      <c r="C355">
        <v>723</v>
      </c>
      <c r="D355">
        <f t="shared" si="27"/>
        <v>1999</v>
      </c>
      <c r="E355">
        <f t="shared" si="28"/>
        <v>5</v>
      </c>
    </row>
    <row r="356" spans="1:5" x14ac:dyDescent="0.3">
      <c r="A356" t="s">
        <v>481</v>
      </c>
      <c r="B356" t="s">
        <v>127</v>
      </c>
      <c r="C356">
        <v>693</v>
      </c>
      <c r="D356">
        <f t="shared" si="27"/>
        <v>1999</v>
      </c>
      <c r="E356">
        <f t="shared" si="28"/>
        <v>5</v>
      </c>
    </row>
    <row r="357" spans="1:5" x14ac:dyDescent="0.3">
      <c r="A357" t="s">
        <v>482</v>
      </c>
      <c r="B357" t="s">
        <v>127</v>
      </c>
      <c r="C357">
        <v>606</v>
      </c>
      <c r="D357">
        <f t="shared" si="27"/>
        <v>1999</v>
      </c>
      <c r="E357">
        <f t="shared" si="28"/>
        <v>5</v>
      </c>
    </row>
    <row r="358" spans="1:5" x14ac:dyDescent="0.3">
      <c r="A358" t="s">
        <v>483</v>
      </c>
      <c r="B358" t="s">
        <v>127</v>
      </c>
      <c r="C358">
        <v>642</v>
      </c>
      <c r="D358">
        <f t="shared" si="27"/>
        <v>1999</v>
      </c>
      <c r="E358">
        <f t="shared" si="28"/>
        <v>5</v>
      </c>
    </row>
    <row r="359" spans="1:5" x14ac:dyDescent="0.3">
      <c r="A359" t="s">
        <v>484</v>
      </c>
      <c r="B359" t="s">
        <v>127</v>
      </c>
      <c r="C359">
        <v>640</v>
      </c>
      <c r="D359">
        <f t="shared" si="27"/>
        <v>1999</v>
      </c>
      <c r="E359">
        <f t="shared" si="28"/>
        <v>5</v>
      </c>
    </row>
    <row r="360" spans="1:5" x14ac:dyDescent="0.3">
      <c r="A360" t="s">
        <v>485</v>
      </c>
      <c r="B360" t="s">
        <v>127</v>
      </c>
      <c r="C360">
        <v>643</v>
      </c>
      <c r="D360">
        <f t="shared" si="27"/>
        <v>1999</v>
      </c>
      <c r="E360">
        <f t="shared" si="28"/>
        <v>6</v>
      </c>
    </row>
    <row r="361" spans="1:5" x14ac:dyDescent="0.3">
      <c r="A361" t="s">
        <v>486</v>
      </c>
      <c r="B361" t="s">
        <v>127</v>
      </c>
      <c r="C361">
        <v>666</v>
      </c>
      <c r="D361">
        <f t="shared" si="27"/>
        <v>1999</v>
      </c>
      <c r="E361">
        <f t="shared" si="28"/>
        <v>6</v>
      </c>
    </row>
    <row r="362" spans="1:5" x14ac:dyDescent="0.3">
      <c r="A362" t="s">
        <v>487</v>
      </c>
      <c r="B362" t="s">
        <v>127</v>
      </c>
      <c r="C362">
        <v>651</v>
      </c>
      <c r="D362">
        <f t="shared" si="27"/>
        <v>1999</v>
      </c>
      <c r="E362">
        <f t="shared" si="28"/>
        <v>6</v>
      </c>
    </row>
    <row r="363" spans="1:5" x14ac:dyDescent="0.3">
      <c r="A363" t="s">
        <v>488</v>
      </c>
      <c r="B363" t="s">
        <v>127</v>
      </c>
      <c r="C363">
        <v>636</v>
      </c>
      <c r="D363">
        <f t="shared" si="27"/>
        <v>1999</v>
      </c>
      <c r="E363">
        <f t="shared" si="28"/>
        <v>6</v>
      </c>
    </row>
    <row r="364" spans="1:5" x14ac:dyDescent="0.3">
      <c r="A364" t="s">
        <v>489</v>
      </c>
      <c r="B364" t="s">
        <v>127</v>
      </c>
      <c r="C364">
        <v>620</v>
      </c>
      <c r="D364">
        <f t="shared" si="27"/>
        <v>1999</v>
      </c>
      <c r="E364">
        <f t="shared" si="28"/>
        <v>6</v>
      </c>
    </row>
    <row r="365" spans="1:5" x14ac:dyDescent="0.3">
      <c r="A365" t="s">
        <v>490</v>
      </c>
      <c r="B365" t="s">
        <v>127</v>
      </c>
      <c r="C365">
        <v>619</v>
      </c>
      <c r="D365">
        <f t="shared" si="27"/>
        <v>1999</v>
      </c>
      <c r="E365">
        <f t="shared" si="28"/>
        <v>6</v>
      </c>
    </row>
    <row r="366" spans="1:5" x14ac:dyDescent="0.3">
      <c r="A366" t="s">
        <v>491</v>
      </c>
      <c r="B366" t="s">
        <v>127</v>
      </c>
      <c r="C366">
        <v>650</v>
      </c>
      <c r="D366">
        <f t="shared" si="27"/>
        <v>1999</v>
      </c>
      <c r="E366">
        <f t="shared" si="28"/>
        <v>6</v>
      </c>
    </row>
    <row r="367" spans="1:5" x14ac:dyDescent="0.3">
      <c r="A367" t="s">
        <v>492</v>
      </c>
      <c r="B367" t="s">
        <v>127</v>
      </c>
      <c r="C367">
        <v>654</v>
      </c>
      <c r="D367">
        <f t="shared" si="27"/>
        <v>1999</v>
      </c>
      <c r="E367">
        <f t="shared" si="28"/>
        <v>6</v>
      </c>
    </row>
    <row r="368" spans="1:5" x14ac:dyDescent="0.3">
      <c r="A368" t="s">
        <v>493</v>
      </c>
      <c r="B368" t="s">
        <v>127</v>
      </c>
      <c r="C368">
        <v>644</v>
      </c>
      <c r="D368">
        <f t="shared" si="27"/>
        <v>1999</v>
      </c>
      <c r="E368">
        <f t="shared" si="28"/>
        <v>6</v>
      </c>
    </row>
    <row r="369" spans="1:5" x14ac:dyDescent="0.3">
      <c r="A369" t="s">
        <v>494</v>
      </c>
      <c r="B369" t="s">
        <v>127</v>
      </c>
      <c r="C369">
        <v>645</v>
      </c>
      <c r="D369">
        <f t="shared" si="27"/>
        <v>1999</v>
      </c>
      <c r="E369">
        <f t="shared" si="28"/>
        <v>6</v>
      </c>
    </row>
    <row r="370" spans="1:5" x14ac:dyDescent="0.3">
      <c r="A370" t="s">
        <v>495</v>
      </c>
      <c r="B370" t="s">
        <v>127</v>
      </c>
      <c r="C370">
        <v>611</v>
      </c>
      <c r="D370">
        <f t="shared" si="27"/>
        <v>1999</v>
      </c>
      <c r="E370">
        <f t="shared" si="28"/>
        <v>6</v>
      </c>
    </row>
    <row r="371" spans="1:5" x14ac:dyDescent="0.3">
      <c r="A371" t="s">
        <v>496</v>
      </c>
      <c r="B371" t="s">
        <v>127</v>
      </c>
      <c r="C371">
        <v>594</v>
      </c>
      <c r="D371">
        <f t="shared" si="27"/>
        <v>1999</v>
      </c>
      <c r="E371">
        <f t="shared" si="28"/>
        <v>6</v>
      </c>
    </row>
    <row r="372" spans="1:5" x14ac:dyDescent="0.3">
      <c r="A372" t="s">
        <v>497</v>
      </c>
      <c r="B372" t="s">
        <v>127</v>
      </c>
      <c r="C372">
        <v>600</v>
      </c>
      <c r="D372">
        <f t="shared" si="27"/>
        <v>1999</v>
      </c>
      <c r="E372">
        <f t="shared" si="28"/>
        <v>6</v>
      </c>
    </row>
    <row r="373" spans="1:5" x14ac:dyDescent="0.3">
      <c r="A373" t="s">
        <v>498</v>
      </c>
      <c r="B373" t="s">
        <v>127</v>
      </c>
      <c r="C373">
        <v>600</v>
      </c>
      <c r="D373">
        <f t="shared" si="27"/>
        <v>1999</v>
      </c>
      <c r="E373">
        <f t="shared" si="28"/>
        <v>6</v>
      </c>
    </row>
    <row r="374" spans="1:5" x14ac:dyDescent="0.3">
      <c r="A374" t="s">
        <v>499</v>
      </c>
      <c r="B374" t="s">
        <v>127</v>
      </c>
      <c r="C374">
        <v>575</v>
      </c>
      <c r="D374">
        <f t="shared" si="27"/>
        <v>1999</v>
      </c>
      <c r="E374">
        <f t="shared" si="28"/>
        <v>6</v>
      </c>
    </row>
    <row r="375" spans="1:5" x14ac:dyDescent="0.3">
      <c r="A375" t="s">
        <v>500</v>
      </c>
      <c r="B375" t="s">
        <v>127</v>
      </c>
      <c r="C375">
        <v>587</v>
      </c>
      <c r="D375">
        <f t="shared" si="27"/>
        <v>1999</v>
      </c>
      <c r="E375">
        <f t="shared" si="28"/>
        <v>6</v>
      </c>
    </row>
    <row r="376" spans="1:5" x14ac:dyDescent="0.3">
      <c r="A376" t="s">
        <v>501</v>
      </c>
      <c r="B376" t="s">
        <v>127</v>
      </c>
      <c r="C376">
        <v>571</v>
      </c>
      <c r="D376">
        <f t="shared" si="27"/>
        <v>1999</v>
      </c>
      <c r="E376">
        <f t="shared" si="28"/>
        <v>6</v>
      </c>
    </row>
    <row r="377" spans="1:5" x14ac:dyDescent="0.3">
      <c r="A377" t="s">
        <v>502</v>
      </c>
      <c r="B377" t="s">
        <v>127</v>
      </c>
      <c r="C377">
        <v>603</v>
      </c>
      <c r="D377">
        <f t="shared" si="27"/>
        <v>1999</v>
      </c>
      <c r="E377">
        <f t="shared" si="28"/>
        <v>6</v>
      </c>
    </row>
    <row r="378" spans="1:5" x14ac:dyDescent="0.3">
      <c r="A378" t="s">
        <v>503</v>
      </c>
      <c r="B378" t="s">
        <v>127</v>
      </c>
      <c r="C378">
        <v>619</v>
      </c>
      <c r="D378">
        <f t="shared" si="27"/>
        <v>1999</v>
      </c>
      <c r="E378">
        <f t="shared" si="28"/>
        <v>6</v>
      </c>
    </row>
    <row r="379" spans="1:5" x14ac:dyDescent="0.3">
      <c r="A379" t="s">
        <v>504</v>
      </c>
      <c r="B379" t="s">
        <v>127</v>
      </c>
      <c r="C379">
        <v>626</v>
      </c>
      <c r="D379">
        <f t="shared" si="27"/>
        <v>1999</v>
      </c>
      <c r="E379">
        <f t="shared" si="28"/>
        <v>6</v>
      </c>
    </row>
    <row r="380" spans="1:5" x14ac:dyDescent="0.3">
      <c r="A380" t="s">
        <v>505</v>
      </c>
      <c r="B380" t="s">
        <v>127</v>
      </c>
      <c r="C380">
        <v>626</v>
      </c>
      <c r="D380">
        <f t="shared" si="27"/>
        <v>1999</v>
      </c>
      <c r="E380">
        <f t="shared" si="28"/>
        <v>6</v>
      </c>
    </row>
    <row r="381" spans="1:5" x14ac:dyDescent="0.3">
      <c r="A381" t="s">
        <v>506</v>
      </c>
      <c r="B381" t="s">
        <v>127</v>
      </c>
      <c r="C381">
        <v>609</v>
      </c>
      <c r="D381">
        <f t="shared" si="27"/>
        <v>1999</v>
      </c>
      <c r="E381">
        <f t="shared" si="28"/>
        <v>6</v>
      </c>
    </row>
    <row r="382" spans="1:5" x14ac:dyDescent="0.3">
      <c r="A382" t="s">
        <v>507</v>
      </c>
      <c r="B382" t="s">
        <v>127</v>
      </c>
      <c r="C382">
        <v>617</v>
      </c>
      <c r="D382">
        <f t="shared" si="27"/>
        <v>1999</v>
      </c>
      <c r="E382">
        <f t="shared" si="28"/>
        <v>7</v>
      </c>
    </row>
    <row r="383" spans="1:5" x14ac:dyDescent="0.3">
      <c r="A383" t="s">
        <v>508</v>
      </c>
      <c r="B383" t="s">
        <v>127</v>
      </c>
      <c r="C383">
        <v>608</v>
      </c>
      <c r="D383">
        <f t="shared" si="27"/>
        <v>1999</v>
      </c>
      <c r="E383">
        <f t="shared" si="28"/>
        <v>7</v>
      </c>
    </row>
    <row r="384" spans="1:5" x14ac:dyDescent="0.3">
      <c r="A384" t="s">
        <v>509</v>
      </c>
      <c r="B384" t="s">
        <v>127</v>
      </c>
      <c r="C384">
        <v>612</v>
      </c>
      <c r="D384">
        <f t="shared" si="27"/>
        <v>1999</v>
      </c>
      <c r="E384">
        <f t="shared" si="28"/>
        <v>7</v>
      </c>
    </row>
    <row r="385" spans="1:5" x14ac:dyDescent="0.3">
      <c r="A385" t="s">
        <v>510</v>
      </c>
      <c r="B385" t="s">
        <v>127</v>
      </c>
      <c r="C385">
        <v>601</v>
      </c>
      <c r="D385">
        <f t="shared" si="27"/>
        <v>1999</v>
      </c>
      <c r="E385">
        <f t="shared" si="28"/>
        <v>7</v>
      </c>
    </row>
    <row r="386" spans="1:5" x14ac:dyDescent="0.3">
      <c r="A386" t="s">
        <v>511</v>
      </c>
      <c r="B386" t="s">
        <v>127</v>
      </c>
      <c r="C386">
        <v>618</v>
      </c>
      <c r="D386">
        <f t="shared" si="27"/>
        <v>1999</v>
      </c>
      <c r="E386">
        <f t="shared" si="28"/>
        <v>7</v>
      </c>
    </row>
    <row r="387" spans="1:5" x14ac:dyDescent="0.3">
      <c r="A387" t="s">
        <v>512</v>
      </c>
      <c r="B387" t="s">
        <v>127</v>
      </c>
      <c r="C387">
        <v>644</v>
      </c>
      <c r="D387">
        <f t="shared" ref="D387:D450" si="32">YEAR(A387)</f>
        <v>1999</v>
      </c>
      <c r="E387">
        <f t="shared" ref="E387:E450" si="33">MONTH(A387)</f>
        <v>7</v>
      </c>
    </row>
    <row r="388" spans="1:5" x14ac:dyDescent="0.3">
      <c r="A388" t="s">
        <v>513</v>
      </c>
      <c r="B388" t="s">
        <v>127</v>
      </c>
      <c r="C388">
        <v>642</v>
      </c>
      <c r="D388">
        <f t="shared" si="32"/>
        <v>1999</v>
      </c>
      <c r="E388">
        <f t="shared" si="33"/>
        <v>7</v>
      </c>
    </row>
    <row r="389" spans="1:5" x14ac:dyDescent="0.3">
      <c r="A389" t="s">
        <v>514</v>
      </c>
      <c r="B389" t="s">
        <v>127</v>
      </c>
      <c r="C389">
        <v>680</v>
      </c>
      <c r="D389">
        <f t="shared" si="32"/>
        <v>1999</v>
      </c>
      <c r="E389">
        <f t="shared" si="33"/>
        <v>7</v>
      </c>
    </row>
    <row r="390" spans="1:5" x14ac:dyDescent="0.3">
      <c r="A390" t="s">
        <v>515</v>
      </c>
      <c r="B390" t="s">
        <v>127</v>
      </c>
      <c r="C390">
        <v>691</v>
      </c>
      <c r="D390">
        <f t="shared" si="32"/>
        <v>1999</v>
      </c>
      <c r="E390">
        <f t="shared" si="33"/>
        <v>7</v>
      </c>
    </row>
    <row r="391" spans="1:5" x14ac:dyDescent="0.3">
      <c r="A391" t="s">
        <v>516</v>
      </c>
      <c r="B391" t="s">
        <v>127</v>
      </c>
      <c r="C391">
        <v>692</v>
      </c>
      <c r="D391">
        <f t="shared" si="32"/>
        <v>1999</v>
      </c>
      <c r="E391">
        <f t="shared" si="33"/>
        <v>7</v>
      </c>
    </row>
    <row r="392" spans="1:5" x14ac:dyDescent="0.3">
      <c r="A392" t="s">
        <v>517</v>
      </c>
      <c r="B392" t="s">
        <v>127</v>
      </c>
      <c r="C392">
        <v>692</v>
      </c>
      <c r="D392">
        <f t="shared" si="32"/>
        <v>1999</v>
      </c>
      <c r="E392">
        <f t="shared" si="33"/>
        <v>7</v>
      </c>
    </row>
    <row r="393" spans="1:5" x14ac:dyDescent="0.3">
      <c r="A393" t="s">
        <v>518</v>
      </c>
      <c r="B393" t="s">
        <v>127</v>
      </c>
      <c r="C393">
        <v>701</v>
      </c>
      <c r="D393">
        <f t="shared" si="32"/>
        <v>1999</v>
      </c>
      <c r="E393">
        <f t="shared" si="33"/>
        <v>7</v>
      </c>
    </row>
    <row r="394" spans="1:5" x14ac:dyDescent="0.3">
      <c r="A394" t="s">
        <v>519</v>
      </c>
      <c r="B394" t="s">
        <v>127</v>
      </c>
      <c r="C394">
        <v>695</v>
      </c>
      <c r="D394">
        <f t="shared" si="32"/>
        <v>1999</v>
      </c>
      <c r="E394">
        <f t="shared" si="33"/>
        <v>7</v>
      </c>
    </row>
    <row r="395" spans="1:5" x14ac:dyDescent="0.3">
      <c r="A395" t="s">
        <v>520</v>
      </c>
      <c r="B395" t="s">
        <v>127</v>
      </c>
      <c r="C395">
        <v>710</v>
      </c>
      <c r="D395">
        <f t="shared" si="32"/>
        <v>1999</v>
      </c>
      <c r="E395">
        <f t="shared" si="33"/>
        <v>7</v>
      </c>
    </row>
    <row r="396" spans="1:5" x14ac:dyDescent="0.3">
      <c r="A396" t="s">
        <v>521</v>
      </c>
      <c r="B396" t="s">
        <v>127</v>
      </c>
      <c r="C396">
        <v>698</v>
      </c>
      <c r="D396">
        <f t="shared" si="32"/>
        <v>1999</v>
      </c>
      <c r="E396">
        <f t="shared" si="33"/>
        <v>7</v>
      </c>
    </row>
    <row r="397" spans="1:5" x14ac:dyDescent="0.3">
      <c r="A397" t="s">
        <v>522</v>
      </c>
      <c r="B397" t="s">
        <v>127</v>
      </c>
      <c r="C397">
        <v>680</v>
      </c>
      <c r="D397">
        <f t="shared" si="32"/>
        <v>1999</v>
      </c>
      <c r="E397">
        <f t="shared" si="33"/>
        <v>7</v>
      </c>
    </row>
    <row r="398" spans="1:5" x14ac:dyDescent="0.3">
      <c r="A398" t="s">
        <v>523</v>
      </c>
      <c r="B398" t="s">
        <v>127</v>
      </c>
      <c r="C398">
        <v>688</v>
      </c>
      <c r="D398">
        <f t="shared" si="32"/>
        <v>1999</v>
      </c>
      <c r="E398">
        <f t="shared" si="33"/>
        <v>7</v>
      </c>
    </row>
    <row r="399" spans="1:5" x14ac:dyDescent="0.3">
      <c r="A399" t="s">
        <v>524</v>
      </c>
      <c r="B399" t="s">
        <v>127</v>
      </c>
      <c r="C399">
        <v>700</v>
      </c>
      <c r="D399">
        <f t="shared" si="32"/>
        <v>1999</v>
      </c>
      <c r="E399">
        <f t="shared" si="33"/>
        <v>7</v>
      </c>
    </row>
    <row r="400" spans="1:5" x14ac:dyDescent="0.3">
      <c r="A400" t="s">
        <v>525</v>
      </c>
      <c r="B400" t="s">
        <v>127</v>
      </c>
      <c r="C400">
        <v>701</v>
      </c>
      <c r="D400">
        <f t="shared" si="32"/>
        <v>1999</v>
      </c>
      <c r="E400">
        <f t="shared" si="33"/>
        <v>7</v>
      </c>
    </row>
    <row r="401" spans="1:5" x14ac:dyDescent="0.3">
      <c r="A401" t="s">
        <v>526</v>
      </c>
      <c r="B401" t="s">
        <v>127</v>
      </c>
      <c r="C401">
        <v>687</v>
      </c>
      <c r="D401">
        <f t="shared" si="32"/>
        <v>1999</v>
      </c>
      <c r="E401">
        <f t="shared" si="33"/>
        <v>7</v>
      </c>
    </row>
    <row r="402" spans="1:5" x14ac:dyDescent="0.3">
      <c r="A402" t="s">
        <v>527</v>
      </c>
      <c r="B402" t="s">
        <v>127</v>
      </c>
      <c r="C402">
        <v>694</v>
      </c>
      <c r="D402">
        <f t="shared" si="32"/>
        <v>1999</v>
      </c>
      <c r="E402">
        <f t="shared" si="33"/>
        <v>7</v>
      </c>
    </row>
    <row r="403" spans="1:5" x14ac:dyDescent="0.3">
      <c r="A403" t="s">
        <v>528</v>
      </c>
      <c r="B403" t="s">
        <v>127</v>
      </c>
      <c r="C403">
        <v>689</v>
      </c>
      <c r="D403">
        <f t="shared" si="32"/>
        <v>1999</v>
      </c>
      <c r="E403">
        <f t="shared" si="33"/>
        <v>7</v>
      </c>
    </row>
    <row r="404" spans="1:5" x14ac:dyDescent="0.3">
      <c r="A404" t="s">
        <v>529</v>
      </c>
      <c r="B404" t="s">
        <v>127</v>
      </c>
      <c r="C404">
        <v>707</v>
      </c>
      <c r="D404">
        <f t="shared" si="32"/>
        <v>1999</v>
      </c>
      <c r="E404">
        <f t="shared" si="33"/>
        <v>8</v>
      </c>
    </row>
    <row r="405" spans="1:5" x14ac:dyDescent="0.3">
      <c r="A405" t="s">
        <v>530</v>
      </c>
      <c r="B405" t="s">
        <v>127</v>
      </c>
      <c r="C405">
        <v>721</v>
      </c>
      <c r="D405">
        <f t="shared" si="32"/>
        <v>1999</v>
      </c>
      <c r="E405">
        <f t="shared" si="33"/>
        <v>8</v>
      </c>
    </row>
    <row r="406" spans="1:5" x14ac:dyDescent="0.3">
      <c r="A406" t="s">
        <v>531</v>
      </c>
      <c r="B406" t="s">
        <v>127</v>
      </c>
      <c r="C406">
        <v>723</v>
      </c>
      <c r="D406">
        <f t="shared" si="32"/>
        <v>1999</v>
      </c>
      <c r="E406">
        <f t="shared" si="33"/>
        <v>8</v>
      </c>
    </row>
    <row r="407" spans="1:5" x14ac:dyDescent="0.3">
      <c r="A407" t="s">
        <v>532</v>
      </c>
      <c r="B407" t="s">
        <v>127</v>
      </c>
      <c r="C407">
        <v>753</v>
      </c>
      <c r="D407">
        <f t="shared" si="32"/>
        <v>1999</v>
      </c>
      <c r="E407">
        <f t="shared" si="33"/>
        <v>8</v>
      </c>
    </row>
    <row r="408" spans="1:5" x14ac:dyDescent="0.3">
      <c r="A408" t="s">
        <v>533</v>
      </c>
      <c r="B408" t="s">
        <v>127</v>
      </c>
      <c r="C408">
        <v>730</v>
      </c>
      <c r="D408">
        <f t="shared" si="32"/>
        <v>1999</v>
      </c>
      <c r="E408">
        <f t="shared" si="33"/>
        <v>8</v>
      </c>
    </row>
    <row r="409" spans="1:5" x14ac:dyDescent="0.3">
      <c r="A409" t="s">
        <v>534</v>
      </c>
      <c r="B409" t="s">
        <v>127</v>
      </c>
      <c r="C409">
        <v>706</v>
      </c>
      <c r="D409">
        <f t="shared" si="32"/>
        <v>1999</v>
      </c>
      <c r="E409">
        <f t="shared" si="33"/>
        <v>8</v>
      </c>
    </row>
    <row r="410" spans="1:5" x14ac:dyDescent="0.3">
      <c r="A410" t="s">
        <v>535</v>
      </c>
      <c r="B410" t="s">
        <v>127</v>
      </c>
      <c r="C410">
        <v>700</v>
      </c>
      <c r="D410">
        <f t="shared" si="32"/>
        <v>1999</v>
      </c>
      <c r="E410">
        <f t="shared" si="33"/>
        <v>8</v>
      </c>
    </row>
    <row r="411" spans="1:5" x14ac:dyDescent="0.3">
      <c r="A411" t="s">
        <v>536</v>
      </c>
      <c r="B411" t="s">
        <v>127</v>
      </c>
      <c r="C411">
        <v>683</v>
      </c>
      <c r="D411">
        <f t="shared" si="32"/>
        <v>1999</v>
      </c>
      <c r="E411">
        <f t="shared" si="33"/>
        <v>8</v>
      </c>
    </row>
    <row r="412" spans="1:5" x14ac:dyDescent="0.3">
      <c r="A412" t="s">
        <v>537</v>
      </c>
      <c r="B412" t="s">
        <v>127</v>
      </c>
      <c r="C412">
        <v>659</v>
      </c>
      <c r="D412">
        <f t="shared" si="32"/>
        <v>1999</v>
      </c>
      <c r="E412">
        <f t="shared" si="33"/>
        <v>8</v>
      </c>
    </row>
    <row r="413" spans="1:5" x14ac:dyDescent="0.3">
      <c r="A413" t="s">
        <v>538</v>
      </c>
      <c r="B413" t="s">
        <v>127</v>
      </c>
      <c r="C413">
        <v>659</v>
      </c>
      <c r="D413">
        <f t="shared" si="32"/>
        <v>1999</v>
      </c>
      <c r="E413">
        <f t="shared" si="33"/>
        <v>8</v>
      </c>
    </row>
    <row r="414" spans="1:5" x14ac:dyDescent="0.3">
      <c r="A414" t="s">
        <v>539</v>
      </c>
      <c r="B414" t="s">
        <v>127</v>
      </c>
      <c r="C414">
        <v>668</v>
      </c>
      <c r="D414">
        <f t="shared" si="32"/>
        <v>1999</v>
      </c>
      <c r="E414">
        <f t="shared" si="33"/>
        <v>8</v>
      </c>
    </row>
    <row r="415" spans="1:5" x14ac:dyDescent="0.3">
      <c r="A415" t="s">
        <v>540</v>
      </c>
      <c r="B415" t="s">
        <v>127</v>
      </c>
      <c r="C415">
        <v>662</v>
      </c>
      <c r="D415">
        <f t="shared" si="32"/>
        <v>1999</v>
      </c>
      <c r="E415">
        <f t="shared" si="33"/>
        <v>8</v>
      </c>
    </row>
    <row r="416" spans="1:5" x14ac:dyDescent="0.3">
      <c r="A416" t="s">
        <v>541</v>
      </c>
      <c r="B416" t="s">
        <v>127</v>
      </c>
      <c r="C416">
        <v>662</v>
      </c>
      <c r="D416">
        <f t="shared" si="32"/>
        <v>1999</v>
      </c>
      <c r="E416">
        <f t="shared" si="33"/>
        <v>8</v>
      </c>
    </row>
    <row r="417" spans="1:5" x14ac:dyDescent="0.3">
      <c r="A417" t="s">
        <v>542</v>
      </c>
      <c r="B417" t="s">
        <v>127</v>
      </c>
      <c r="C417">
        <v>658</v>
      </c>
      <c r="D417">
        <f t="shared" si="32"/>
        <v>1999</v>
      </c>
      <c r="E417">
        <f t="shared" si="33"/>
        <v>8</v>
      </c>
    </row>
    <row r="418" spans="1:5" x14ac:dyDescent="0.3">
      <c r="A418" t="s">
        <v>543</v>
      </c>
      <c r="B418" t="s">
        <v>127</v>
      </c>
      <c r="C418">
        <v>677</v>
      </c>
      <c r="D418">
        <f t="shared" si="32"/>
        <v>1999</v>
      </c>
      <c r="E418">
        <f t="shared" si="33"/>
        <v>8</v>
      </c>
    </row>
    <row r="419" spans="1:5" x14ac:dyDescent="0.3">
      <c r="A419" t="s">
        <v>544</v>
      </c>
      <c r="B419" t="s">
        <v>127</v>
      </c>
      <c r="C419">
        <v>658</v>
      </c>
      <c r="D419">
        <f t="shared" si="32"/>
        <v>1999</v>
      </c>
      <c r="E419">
        <f t="shared" si="33"/>
        <v>8</v>
      </c>
    </row>
    <row r="420" spans="1:5" x14ac:dyDescent="0.3">
      <c r="A420" t="s">
        <v>545</v>
      </c>
      <c r="B420" t="s">
        <v>127</v>
      </c>
      <c r="C420">
        <v>671</v>
      </c>
      <c r="D420">
        <f t="shared" si="32"/>
        <v>1999</v>
      </c>
      <c r="E420">
        <f t="shared" si="33"/>
        <v>8</v>
      </c>
    </row>
    <row r="421" spans="1:5" x14ac:dyDescent="0.3">
      <c r="A421" t="s">
        <v>546</v>
      </c>
      <c r="B421" t="s">
        <v>127</v>
      </c>
      <c r="C421">
        <v>650</v>
      </c>
      <c r="D421">
        <f t="shared" si="32"/>
        <v>1999</v>
      </c>
      <c r="E421">
        <f t="shared" si="33"/>
        <v>8</v>
      </c>
    </row>
    <row r="422" spans="1:5" x14ac:dyDescent="0.3">
      <c r="A422" t="s">
        <v>547</v>
      </c>
      <c r="B422" t="s">
        <v>127</v>
      </c>
      <c r="C422">
        <v>660</v>
      </c>
      <c r="D422">
        <f t="shared" si="32"/>
        <v>1999</v>
      </c>
      <c r="E422">
        <f t="shared" si="33"/>
        <v>8</v>
      </c>
    </row>
    <row r="423" spans="1:5" x14ac:dyDescent="0.3">
      <c r="A423" t="s">
        <v>548</v>
      </c>
      <c r="B423" t="s">
        <v>127</v>
      </c>
      <c r="C423">
        <v>646</v>
      </c>
      <c r="D423">
        <f t="shared" si="32"/>
        <v>1999</v>
      </c>
      <c r="E423">
        <f t="shared" si="33"/>
        <v>8</v>
      </c>
    </row>
    <row r="424" spans="1:5" x14ac:dyDescent="0.3">
      <c r="A424" t="s">
        <v>549</v>
      </c>
      <c r="B424" t="s">
        <v>127</v>
      </c>
      <c r="C424">
        <v>641</v>
      </c>
      <c r="D424">
        <f t="shared" si="32"/>
        <v>1999</v>
      </c>
      <c r="E424">
        <f t="shared" si="33"/>
        <v>8</v>
      </c>
    </row>
    <row r="425" spans="1:5" x14ac:dyDescent="0.3">
      <c r="A425" t="s">
        <v>550</v>
      </c>
      <c r="B425" t="s">
        <v>127</v>
      </c>
      <c r="C425">
        <v>639</v>
      </c>
      <c r="D425">
        <f t="shared" si="32"/>
        <v>1999</v>
      </c>
      <c r="E425">
        <f t="shared" si="33"/>
        <v>8</v>
      </c>
    </row>
    <row r="426" spans="1:5" x14ac:dyDescent="0.3">
      <c r="A426" t="s">
        <v>551</v>
      </c>
      <c r="B426" t="s">
        <v>127</v>
      </c>
      <c r="C426">
        <v>630</v>
      </c>
      <c r="D426">
        <f t="shared" si="32"/>
        <v>1999</v>
      </c>
      <c r="E426">
        <f t="shared" si="33"/>
        <v>9</v>
      </c>
    </row>
    <row r="427" spans="1:5" x14ac:dyDescent="0.3">
      <c r="A427" t="s">
        <v>552</v>
      </c>
      <c r="B427" t="s">
        <v>127</v>
      </c>
      <c r="C427">
        <v>625</v>
      </c>
      <c r="D427">
        <f t="shared" si="32"/>
        <v>1999</v>
      </c>
      <c r="E427">
        <f t="shared" si="33"/>
        <v>9</v>
      </c>
    </row>
    <row r="428" spans="1:5" x14ac:dyDescent="0.3">
      <c r="A428" t="s">
        <v>553</v>
      </c>
      <c r="B428" t="s">
        <v>127</v>
      </c>
      <c r="C428">
        <v>643</v>
      </c>
      <c r="D428">
        <f t="shared" si="32"/>
        <v>1999</v>
      </c>
      <c r="E428">
        <f t="shared" si="33"/>
        <v>9</v>
      </c>
    </row>
    <row r="429" spans="1:5" x14ac:dyDescent="0.3">
      <c r="A429" t="s">
        <v>554</v>
      </c>
      <c r="B429" t="s">
        <v>127</v>
      </c>
      <c r="C429">
        <v>629</v>
      </c>
      <c r="D429">
        <f t="shared" si="32"/>
        <v>1999</v>
      </c>
      <c r="E429">
        <f t="shared" si="33"/>
        <v>9</v>
      </c>
    </row>
    <row r="430" spans="1:5" x14ac:dyDescent="0.3">
      <c r="A430" t="s">
        <v>555</v>
      </c>
      <c r="B430" t="s">
        <v>127</v>
      </c>
      <c r="C430">
        <v>625</v>
      </c>
      <c r="D430">
        <f t="shared" si="32"/>
        <v>1999</v>
      </c>
      <c r="E430">
        <f t="shared" si="33"/>
        <v>9</v>
      </c>
    </row>
    <row r="431" spans="1:5" x14ac:dyDescent="0.3">
      <c r="A431" t="s">
        <v>556</v>
      </c>
      <c r="B431" t="s">
        <v>127</v>
      </c>
      <c r="C431">
        <v>617</v>
      </c>
      <c r="D431">
        <f t="shared" si="32"/>
        <v>1999</v>
      </c>
      <c r="E431">
        <f t="shared" si="33"/>
        <v>9</v>
      </c>
    </row>
    <row r="432" spans="1:5" x14ac:dyDescent="0.3">
      <c r="A432" t="s">
        <v>557</v>
      </c>
      <c r="B432" t="s">
        <v>127</v>
      </c>
      <c r="C432">
        <v>595</v>
      </c>
      <c r="D432">
        <f t="shared" si="32"/>
        <v>1999</v>
      </c>
      <c r="E432">
        <f t="shared" si="33"/>
        <v>9</v>
      </c>
    </row>
    <row r="433" spans="1:5" x14ac:dyDescent="0.3">
      <c r="A433" t="s">
        <v>558</v>
      </c>
      <c r="B433" t="s">
        <v>127</v>
      </c>
      <c r="C433">
        <v>586</v>
      </c>
      <c r="D433">
        <f t="shared" si="32"/>
        <v>1999</v>
      </c>
      <c r="E433">
        <f t="shared" si="33"/>
        <v>9</v>
      </c>
    </row>
    <row r="434" spans="1:5" x14ac:dyDescent="0.3">
      <c r="A434" t="s">
        <v>559</v>
      </c>
      <c r="B434" t="s">
        <v>127</v>
      </c>
      <c r="C434">
        <v>593</v>
      </c>
      <c r="D434">
        <f t="shared" si="32"/>
        <v>1999</v>
      </c>
      <c r="E434">
        <f t="shared" si="33"/>
        <v>9</v>
      </c>
    </row>
    <row r="435" spans="1:5" x14ac:dyDescent="0.3">
      <c r="A435" t="s">
        <v>560</v>
      </c>
      <c r="B435" t="s">
        <v>127</v>
      </c>
      <c r="C435">
        <v>590</v>
      </c>
      <c r="D435">
        <f t="shared" si="32"/>
        <v>1999</v>
      </c>
      <c r="E435">
        <f t="shared" si="33"/>
        <v>9</v>
      </c>
    </row>
    <row r="436" spans="1:5" x14ac:dyDescent="0.3">
      <c r="A436" t="s">
        <v>561</v>
      </c>
      <c r="B436" t="s">
        <v>127</v>
      </c>
      <c r="C436">
        <v>590</v>
      </c>
      <c r="D436">
        <f t="shared" si="32"/>
        <v>1999</v>
      </c>
      <c r="E436">
        <f t="shared" si="33"/>
        <v>9</v>
      </c>
    </row>
    <row r="437" spans="1:5" x14ac:dyDescent="0.3">
      <c r="A437" t="s">
        <v>562</v>
      </c>
      <c r="B437" t="s">
        <v>127</v>
      </c>
      <c r="C437">
        <v>592</v>
      </c>
      <c r="D437">
        <f t="shared" si="32"/>
        <v>1999</v>
      </c>
      <c r="E437">
        <f t="shared" si="33"/>
        <v>9</v>
      </c>
    </row>
    <row r="438" spans="1:5" x14ac:dyDescent="0.3">
      <c r="A438" t="s">
        <v>563</v>
      </c>
      <c r="B438" t="s">
        <v>127</v>
      </c>
      <c r="C438">
        <v>588</v>
      </c>
      <c r="D438">
        <f t="shared" si="32"/>
        <v>1999</v>
      </c>
      <c r="E438">
        <f t="shared" si="33"/>
        <v>9</v>
      </c>
    </row>
    <row r="439" spans="1:5" x14ac:dyDescent="0.3">
      <c r="A439" t="s">
        <v>564</v>
      </c>
      <c r="B439" t="s">
        <v>127</v>
      </c>
      <c r="C439">
        <v>581</v>
      </c>
      <c r="D439">
        <f t="shared" si="32"/>
        <v>1999</v>
      </c>
      <c r="E439">
        <f t="shared" si="33"/>
        <v>9</v>
      </c>
    </row>
    <row r="440" spans="1:5" x14ac:dyDescent="0.3">
      <c r="A440" t="s">
        <v>565</v>
      </c>
      <c r="B440" t="s">
        <v>127</v>
      </c>
      <c r="C440">
        <v>594</v>
      </c>
      <c r="D440">
        <f t="shared" si="32"/>
        <v>1999</v>
      </c>
      <c r="E440">
        <f t="shared" si="33"/>
        <v>9</v>
      </c>
    </row>
    <row r="441" spans="1:5" x14ac:dyDescent="0.3">
      <c r="A441" t="s">
        <v>566</v>
      </c>
      <c r="B441" t="s">
        <v>127</v>
      </c>
      <c r="C441">
        <v>591</v>
      </c>
      <c r="D441">
        <f t="shared" si="32"/>
        <v>1999</v>
      </c>
      <c r="E441">
        <f t="shared" si="33"/>
        <v>9</v>
      </c>
    </row>
    <row r="442" spans="1:5" x14ac:dyDescent="0.3">
      <c r="A442" t="s">
        <v>567</v>
      </c>
      <c r="B442" t="s">
        <v>127</v>
      </c>
      <c r="C442">
        <v>616</v>
      </c>
      <c r="D442">
        <f t="shared" si="32"/>
        <v>1999</v>
      </c>
      <c r="E442">
        <f t="shared" si="33"/>
        <v>9</v>
      </c>
    </row>
    <row r="443" spans="1:5" x14ac:dyDescent="0.3">
      <c r="A443" t="s">
        <v>568</v>
      </c>
      <c r="B443" t="s">
        <v>127</v>
      </c>
      <c r="C443">
        <v>629</v>
      </c>
      <c r="D443">
        <f t="shared" si="32"/>
        <v>1999</v>
      </c>
      <c r="E443">
        <f t="shared" si="33"/>
        <v>9</v>
      </c>
    </row>
    <row r="444" spans="1:5" x14ac:dyDescent="0.3">
      <c r="A444" t="s">
        <v>569</v>
      </c>
      <c r="B444" t="s">
        <v>127</v>
      </c>
      <c r="C444">
        <v>604</v>
      </c>
      <c r="D444">
        <f t="shared" si="32"/>
        <v>1999</v>
      </c>
      <c r="E444">
        <f t="shared" si="33"/>
        <v>9</v>
      </c>
    </row>
    <row r="445" spans="1:5" x14ac:dyDescent="0.3">
      <c r="A445" t="s">
        <v>570</v>
      </c>
      <c r="B445" t="s">
        <v>127</v>
      </c>
      <c r="C445">
        <v>589</v>
      </c>
      <c r="D445">
        <f t="shared" si="32"/>
        <v>1999</v>
      </c>
      <c r="E445">
        <f t="shared" si="33"/>
        <v>9</v>
      </c>
    </row>
    <row r="446" spans="1:5" x14ac:dyDescent="0.3">
      <c r="A446" t="s">
        <v>571</v>
      </c>
      <c r="B446" t="s">
        <v>127</v>
      </c>
      <c r="C446">
        <v>580</v>
      </c>
      <c r="D446">
        <f t="shared" si="32"/>
        <v>1999</v>
      </c>
      <c r="E446">
        <f t="shared" si="33"/>
        <v>9</v>
      </c>
    </row>
    <row r="447" spans="1:5" x14ac:dyDescent="0.3">
      <c r="A447" t="s">
        <v>572</v>
      </c>
      <c r="B447" t="s">
        <v>127</v>
      </c>
      <c r="C447">
        <v>596</v>
      </c>
      <c r="D447">
        <f t="shared" si="32"/>
        <v>1999</v>
      </c>
      <c r="E447">
        <f t="shared" si="33"/>
        <v>9</v>
      </c>
    </row>
    <row r="448" spans="1:5" x14ac:dyDescent="0.3">
      <c r="A448" t="s">
        <v>573</v>
      </c>
      <c r="B448" t="s">
        <v>127</v>
      </c>
      <c r="C448">
        <v>588</v>
      </c>
      <c r="D448">
        <f t="shared" si="32"/>
        <v>1999</v>
      </c>
      <c r="E448">
        <f t="shared" si="33"/>
        <v>10</v>
      </c>
    </row>
    <row r="449" spans="1:5" x14ac:dyDescent="0.3">
      <c r="A449" t="s">
        <v>574</v>
      </c>
      <c r="B449" t="s">
        <v>127</v>
      </c>
      <c r="C449">
        <v>588</v>
      </c>
      <c r="D449">
        <f t="shared" si="32"/>
        <v>1999</v>
      </c>
      <c r="E449">
        <f t="shared" si="33"/>
        <v>10</v>
      </c>
    </row>
    <row r="450" spans="1:5" x14ac:dyDescent="0.3">
      <c r="A450" t="s">
        <v>575</v>
      </c>
      <c r="B450" t="s">
        <v>127</v>
      </c>
      <c r="C450">
        <v>575</v>
      </c>
      <c r="D450">
        <f t="shared" si="32"/>
        <v>1999</v>
      </c>
      <c r="E450">
        <f t="shared" si="33"/>
        <v>10</v>
      </c>
    </row>
    <row r="451" spans="1:5" x14ac:dyDescent="0.3">
      <c r="A451" t="s">
        <v>576</v>
      </c>
      <c r="B451" t="s">
        <v>127</v>
      </c>
      <c r="C451">
        <v>548</v>
      </c>
      <c r="D451">
        <f t="shared" ref="D451:D514" si="34">YEAR(A451)</f>
        <v>1999</v>
      </c>
      <c r="E451">
        <f t="shared" ref="E451:E514" si="35">MONTH(A451)</f>
        <v>10</v>
      </c>
    </row>
    <row r="452" spans="1:5" x14ac:dyDescent="0.3">
      <c r="A452" t="s">
        <v>577</v>
      </c>
      <c r="B452" t="s">
        <v>127</v>
      </c>
      <c r="C452">
        <v>548</v>
      </c>
      <c r="D452">
        <f t="shared" si="34"/>
        <v>1999</v>
      </c>
      <c r="E452">
        <f t="shared" si="35"/>
        <v>10</v>
      </c>
    </row>
    <row r="453" spans="1:5" x14ac:dyDescent="0.3">
      <c r="A453" t="s">
        <v>578</v>
      </c>
      <c r="B453" t="s">
        <v>127</v>
      </c>
      <c r="C453">
        <v>555</v>
      </c>
      <c r="D453">
        <f t="shared" si="34"/>
        <v>1999</v>
      </c>
      <c r="E453">
        <f t="shared" si="35"/>
        <v>10</v>
      </c>
    </row>
    <row r="454" spans="1:5" x14ac:dyDescent="0.3">
      <c r="A454" t="s">
        <v>579</v>
      </c>
      <c r="B454" t="s">
        <v>127</v>
      </c>
      <c r="C454">
        <v>561</v>
      </c>
      <c r="D454">
        <f t="shared" si="34"/>
        <v>1999</v>
      </c>
      <c r="E454">
        <f t="shared" si="35"/>
        <v>10</v>
      </c>
    </row>
    <row r="455" spans="1:5" x14ac:dyDescent="0.3">
      <c r="A455" t="s">
        <v>580</v>
      </c>
      <c r="B455" t="s">
        <v>127</v>
      </c>
      <c r="C455">
        <v>560</v>
      </c>
      <c r="D455">
        <f t="shared" si="34"/>
        <v>1999</v>
      </c>
      <c r="E455">
        <f t="shared" si="35"/>
        <v>10</v>
      </c>
    </row>
    <row r="456" spans="1:5" x14ac:dyDescent="0.3">
      <c r="A456" t="s">
        <v>581</v>
      </c>
      <c r="B456" t="s">
        <v>127</v>
      </c>
      <c r="C456">
        <v>563</v>
      </c>
      <c r="D456">
        <f t="shared" si="34"/>
        <v>1999</v>
      </c>
      <c r="E456">
        <f t="shared" si="35"/>
        <v>10</v>
      </c>
    </row>
    <row r="457" spans="1:5" x14ac:dyDescent="0.3">
      <c r="A457" t="s">
        <v>582</v>
      </c>
      <c r="B457" t="s">
        <v>127</v>
      </c>
      <c r="C457">
        <v>579</v>
      </c>
      <c r="D457">
        <f t="shared" si="34"/>
        <v>1999</v>
      </c>
      <c r="E457">
        <f t="shared" si="35"/>
        <v>10</v>
      </c>
    </row>
    <row r="458" spans="1:5" x14ac:dyDescent="0.3">
      <c r="A458" t="s">
        <v>583</v>
      </c>
      <c r="B458" t="s">
        <v>127</v>
      </c>
      <c r="C458">
        <v>567</v>
      </c>
      <c r="D458">
        <f t="shared" si="34"/>
        <v>1999</v>
      </c>
      <c r="E458">
        <f t="shared" si="35"/>
        <v>10</v>
      </c>
    </row>
    <row r="459" spans="1:5" x14ac:dyDescent="0.3">
      <c r="A459" t="s">
        <v>584</v>
      </c>
      <c r="B459" t="s">
        <v>127</v>
      </c>
      <c r="C459">
        <v>559</v>
      </c>
      <c r="D459">
        <f t="shared" si="34"/>
        <v>1999</v>
      </c>
      <c r="E459">
        <f t="shared" si="35"/>
        <v>10</v>
      </c>
    </row>
    <row r="460" spans="1:5" x14ac:dyDescent="0.3">
      <c r="A460" t="s">
        <v>585</v>
      </c>
      <c r="B460" t="s">
        <v>127</v>
      </c>
      <c r="C460">
        <v>562</v>
      </c>
      <c r="D460">
        <f t="shared" si="34"/>
        <v>1999</v>
      </c>
      <c r="E460">
        <f t="shared" si="35"/>
        <v>10</v>
      </c>
    </row>
    <row r="461" spans="1:5" x14ac:dyDescent="0.3">
      <c r="A461" t="s">
        <v>586</v>
      </c>
      <c r="B461" t="s">
        <v>127</v>
      </c>
      <c r="C461">
        <v>553</v>
      </c>
      <c r="D461">
        <f t="shared" si="34"/>
        <v>1999</v>
      </c>
      <c r="E461">
        <f t="shared" si="35"/>
        <v>10</v>
      </c>
    </row>
    <row r="462" spans="1:5" x14ac:dyDescent="0.3">
      <c r="A462" t="s">
        <v>587</v>
      </c>
      <c r="B462" t="s">
        <v>127</v>
      </c>
      <c r="C462">
        <v>532</v>
      </c>
      <c r="D462">
        <f t="shared" si="34"/>
        <v>1999</v>
      </c>
      <c r="E462">
        <f t="shared" si="35"/>
        <v>10</v>
      </c>
    </row>
    <row r="463" spans="1:5" x14ac:dyDescent="0.3">
      <c r="A463" t="s">
        <v>588</v>
      </c>
      <c r="B463" t="s">
        <v>127</v>
      </c>
      <c r="C463">
        <v>532</v>
      </c>
      <c r="D463">
        <f t="shared" si="34"/>
        <v>1999</v>
      </c>
      <c r="E463">
        <f t="shared" si="35"/>
        <v>10</v>
      </c>
    </row>
    <row r="464" spans="1:5" x14ac:dyDescent="0.3">
      <c r="A464" t="s">
        <v>589</v>
      </c>
      <c r="B464" t="s">
        <v>127</v>
      </c>
      <c r="C464">
        <v>520</v>
      </c>
      <c r="D464">
        <f t="shared" si="34"/>
        <v>1999</v>
      </c>
      <c r="E464">
        <f t="shared" si="35"/>
        <v>10</v>
      </c>
    </row>
    <row r="465" spans="1:5" x14ac:dyDescent="0.3">
      <c r="A465" t="s">
        <v>590</v>
      </c>
      <c r="B465" t="s">
        <v>127</v>
      </c>
      <c r="C465">
        <v>527</v>
      </c>
      <c r="D465">
        <f t="shared" si="34"/>
        <v>1999</v>
      </c>
      <c r="E465">
        <f t="shared" si="35"/>
        <v>10</v>
      </c>
    </row>
    <row r="466" spans="1:5" x14ac:dyDescent="0.3">
      <c r="A466" t="s">
        <v>591</v>
      </c>
      <c r="B466" t="s">
        <v>127</v>
      </c>
      <c r="C466">
        <v>540</v>
      </c>
      <c r="D466">
        <f t="shared" si="34"/>
        <v>1999</v>
      </c>
      <c r="E466">
        <f t="shared" si="35"/>
        <v>10</v>
      </c>
    </row>
    <row r="467" spans="1:5" x14ac:dyDescent="0.3">
      <c r="A467" t="s">
        <v>592</v>
      </c>
      <c r="B467" t="s">
        <v>127</v>
      </c>
      <c r="C467">
        <v>559</v>
      </c>
      <c r="D467">
        <f t="shared" si="34"/>
        <v>1999</v>
      </c>
      <c r="E467">
        <f t="shared" si="35"/>
        <v>10</v>
      </c>
    </row>
    <row r="468" spans="1:5" x14ac:dyDescent="0.3">
      <c r="A468" t="s">
        <v>593</v>
      </c>
      <c r="B468" t="s">
        <v>127</v>
      </c>
      <c r="C468">
        <v>528</v>
      </c>
      <c r="D468">
        <f t="shared" si="34"/>
        <v>1999</v>
      </c>
      <c r="E468">
        <f t="shared" si="35"/>
        <v>11</v>
      </c>
    </row>
    <row r="469" spans="1:5" x14ac:dyDescent="0.3">
      <c r="A469" t="s">
        <v>594</v>
      </c>
      <c r="B469" t="s">
        <v>127</v>
      </c>
      <c r="C469">
        <v>518</v>
      </c>
      <c r="D469">
        <f t="shared" si="34"/>
        <v>1999</v>
      </c>
      <c r="E469">
        <f t="shared" si="35"/>
        <v>11</v>
      </c>
    </row>
    <row r="470" spans="1:5" x14ac:dyDescent="0.3">
      <c r="A470" t="s">
        <v>595</v>
      </c>
      <c r="B470" t="s">
        <v>127</v>
      </c>
      <c r="C470">
        <v>511</v>
      </c>
      <c r="D470">
        <f t="shared" si="34"/>
        <v>1999</v>
      </c>
      <c r="E470">
        <f t="shared" si="35"/>
        <v>11</v>
      </c>
    </row>
    <row r="471" spans="1:5" x14ac:dyDescent="0.3">
      <c r="A471" t="s">
        <v>596</v>
      </c>
      <c r="B471" t="s">
        <v>127</v>
      </c>
      <c r="C471">
        <v>507</v>
      </c>
      <c r="D471">
        <f t="shared" si="34"/>
        <v>1999</v>
      </c>
      <c r="E471">
        <f t="shared" si="35"/>
        <v>11</v>
      </c>
    </row>
    <row r="472" spans="1:5" x14ac:dyDescent="0.3">
      <c r="A472" t="s">
        <v>597</v>
      </c>
      <c r="B472" t="s">
        <v>127</v>
      </c>
      <c r="C472">
        <v>512</v>
      </c>
      <c r="D472">
        <f t="shared" si="34"/>
        <v>1999</v>
      </c>
      <c r="E472">
        <f t="shared" si="35"/>
        <v>11</v>
      </c>
    </row>
    <row r="473" spans="1:5" x14ac:dyDescent="0.3">
      <c r="A473" t="s">
        <v>598</v>
      </c>
      <c r="B473" t="s">
        <v>127</v>
      </c>
      <c r="C473">
        <v>493</v>
      </c>
      <c r="D473">
        <f t="shared" si="34"/>
        <v>1999</v>
      </c>
      <c r="E473">
        <f t="shared" si="35"/>
        <v>11</v>
      </c>
    </row>
    <row r="474" spans="1:5" x14ac:dyDescent="0.3">
      <c r="A474" t="s">
        <v>599</v>
      </c>
      <c r="B474" t="s">
        <v>127</v>
      </c>
      <c r="C474">
        <v>480</v>
      </c>
      <c r="D474">
        <f t="shared" si="34"/>
        <v>1999</v>
      </c>
      <c r="E474">
        <f t="shared" si="35"/>
        <v>11</v>
      </c>
    </row>
    <row r="475" spans="1:5" x14ac:dyDescent="0.3">
      <c r="A475" t="s">
        <v>600</v>
      </c>
      <c r="B475" t="s">
        <v>127</v>
      </c>
      <c r="C475">
        <v>485</v>
      </c>
      <c r="D475">
        <f t="shared" si="34"/>
        <v>1999</v>
      </c>
      <c r="E475">
        <f t="shared" si="35"/>
        <v>11</v>
      </c>
    </row>
    <row r="476" spans="1:5" x14ac:dyDescent="0.3">
      <c r="A476" t="s">
        <v>601</v>
      </c>
      <c r="B476" t="s">
        <v>127</v>
      </c>
      <c r="C476">
        <v>490</v>
      </c>
      <c r="D476">
        <f t="shared" si="34"/>
        <v>1999</v>
      </c>
      <c r="E476">
        <f t="shared" si="35"/>
        <v>11</v>
      </c>
    </row>
    <row r="477" spans="1:5" x14ac:dyDescent="0.3">
      <c r="A477" t="s">
        <v>602</v>
      </c>
      <c r="B477" t="s">
        <v>127</v>
      </c>
      <c r="C477">
        <v>491</v>
      </c>
      <c r="D477">
        <f t="shared" si="34"/>
        <v>1999</v>
      </c>
      <c r="E477">
        <f t="shared" si="35"/>
        <v>11</v>
      </c>
    </row>
    <row r="478" spans="1:5" x14ac:dyDescent="0.3">
      <c r="A478" t="s">
        <v>603</v>
      </c>
      <c r="B478" t="s">
        <v>127</v>
      </c>
      <c r="C478">
        <v>481</v>
      </c>
      <c r="D478">
        <f t="shared" si="34"/>
        <v>1999</v>
      </c>
      <c r="E478">
        <f t="shared" si="35"/>
        <v>11</v>
      </c>
    </row>
    <row r="479" spans="1:5" x14ac:dyDescent="0.3">
      <c r="A479" t="s">
        <v>604</v>
      </c>
      <c r="B479" t="s">
        <v>127</v>
      </c>
      <c r="C479">
        <v>465</v>
      </c>
      <c r="D479">
        <f t="shared" si="34"/>
        <v>1999</v>
      </c>
      <c r="E479">
        <f t="shared" si="35"/>
        <v>11</v>
      </c>
    </row>
    <row r="480" spans="1:5" x14ac:dyDescent="0.3">
      <c r="A480" t="s">
        <v>605</v>
      </c>
      <c r="B480" t="s">
        <v>127</v>
      </c>
      <c r="C480">
        <v>468</v>
      </c>
      <c r="D480">
        <f t="shared" si="34"/>
        <v>1999</v>
      </c>
      <c r="E480">
        <f t="shared" si="35"/>
        <v>11</v>
      </c>
    </row>
    <row r="481" spans="1:5" x14ac:dyDescent="0.3">
      <c r="A481" t="s">
        <v>606</v>
      </c>
      <c r="B481" t="s">
        <v>127</v>
      </c>
      <c r="C481">
        <v>444</v>
      </c>
      <c r="D481">
        <f t="shared" si="34"/>
        <v>1999</v>
      </c>
      <c r="E481">
        <f t="shared" si="35"/>
        <v>11</v>
      </c>
    </row>
    <row r="482" spans="1:5" x14ac:dyDescent="0.3">
      <c r="A482" t="s">
        <v>607</v>
      </c>
      <c r="B482" t="s">
        <v>127</v>
      </c>
      <c r="C482">
        <v>451</v>
      </c>
      <c r="D482">
        <f t="shared" si="34"/>
        <v>1999</v>
      </c>
      <c r="E482">
        <f t="shared" si="35"/>
        <v>11</v>
      </c>
    </row>
    <row r="483" spans="1:5" x14ac:dyDescent="0.3">
      <c r="A483" t="s">
        <v>608</v>
      </c>
      <c r="B483" t="s">
        <v>127</v>
      </c>
      <c r="C483">
        <v>446</v>
      </c>
      <c r="D483">
        <f t="shared" si="34"/>
        <v>1999</v>
      </c>
      <c r="E483">
        <f t="shared" si="35"/>
        <v>11</v>
      </c>
    </row>
    <row r="484" spans="1:5" x14ac:dyDescent="0.3">
      <c r="A484" t="s">
        <v>609</v>
      </c>
      <c r="B484" t="s">
        <v>127</v>
      </c>
      <c r="C484">
        <v>448</v>
      </c>
      <c r="D484">
        <f t="shared" si="34"/>
        <v>1999</v>
      </c>
      <c r="E484">
        <f t="shared" si="35"/>
        <v>11</v>
      </c>
    </row>
    <row r="485" spans="1:5" x14ac:dyDescent="0.3">
      <c r="A485" t="s">
        <v>610</v>
      </c>
      <c r="B485" t="s">
        <v>127</v>
      </c>
      <c r="C485">
        <v>444</v>
      </c>
      <c r="D485">
        <f t="shared" si="34"/>
        <v>1999</v>
      </c>
      <c r="E485">
        <f t="shared" si="35"/>
        <v>11</v>
      </c>
    </row>
    <row r="486" spans="1:5" x14ac:dyDescent="0.3">
      <c r="A486" t="s">
        <v>611</v>
      </c>
      <c r="B486" t="s">
        <v>127</v>
      </c>
      <c r="C486">
        <v>428</v>
      </c>
      <c r="D486">
        <f t="shared" si="34"/>
        <v>1999</v>
      </c>
      <c r="E486">
        <f t="shared" si="35"/>
        <v>11</v>
      </c>
    </row>
    <row r="487" spans="1:5" x14ac:dyDescent="0.3">
      <c r="A487" t="s">
        <v>612</v>
      </c>
      <c r="B487" t="s">
        <v>127</v>
      </c>
      <c r="C487">
        <v>428</v>
      </c>
      <c r="D487">
        <f t="shared" si="34"/>
        <v>1999</v>
      </c>
      <c r="E487">
        <f t="shared" si="35"/>
        <v>11</v>
      </c>
    </row>
    <row r="488" spans="1:5" x14ac:dyDescent="0.3">
      <c r="A488" t="s">
        <v>613</v>
      </c>
      <c r="B488" t="s">
        <v>127</v>
      </c>
      <c r="C488">
        <v>451</v>
      </c>
      <c r="D488">
        <f t="shared" si="34"/>
        <v>1999</v>
      </c>
      <c r="E488">
        <f t="shared" si="35"/>
        <v>11</v>
      </c>
    </row>
    <row r="489" spans="1:5" x14ac:dyDescent="0.3">
      <c r="A489" t="s">
        <v>614</v>
      </c>
      <c r="B489" t="s">
        <v>127</v>
      </c>
      <c r="C489">
        <v>444</v>
      </c>
      <c r="D489">
        <f t="shared" si="34"/>
        <v>1999</v>
      </c>
      <c r="E489">
        <f t="shared" si="35"/>
        <v>12</v>
      </c>
    </row>
    <row r="490" spans="1:5" x14ac:dyDescent="0.3">
      <c r="A490" t="s">
        <v>615</v>
      </c>
      <c r="B490" t="s">
        <v>127</v>
      </c>
      <c r="C490">
        <v>425</v>
      </c>
      <c r="D490">
        <f t="shared" si="34"/>
        <v>1999</v>
      </c>
      <c r="E490">
        <f t="shared" si="35"/>
        <v>12</v>
      </c>
    </row>
    <row r="491" spans="1:5" x14ac:dyDescent="0.3">
      <c r="A491" t="s">
        <v>616</v>
      </c>
      <c r="B491" t="s">
        <v>127</v>
      </c>
      <c r="C491">
        <v>419</v>
      </c>
      <c r="D491">
        <f t="shared" si="34"/>
        <v>1999</v>
      </c>
      <c r="E491">
        <f t="shared" si="35"/>
        <v>12</v>
      </c>
    </row>
    <row r="492" spans="1:5" x14ac:dyDescent="0.3">
      <c r="A492" t="s">
        <v>617</v>
      </c>
      <c r="B492" t="s">
        <v>127</v>
      </c>
      <c r="C492">
        <v>414</v>
      </c>
      <c r="D492">
        <f t="shared" si="34"/>
        <v>1999</v>
      </c>
      <c r="E492">
        <f t="shared" si="35"/>
        <v>12</v>
      </c>
    </row>
    <row r="493" spans="1:5" x14ac:dyDescent="0.3">
      <c r="A493" t="s">
        <v>618</v>
      </c>
      <c r="B493" t="s">
        <v>127</v>
      </c>
      <c r="C493">
        <v>411</v>
      </c>
      <c r="D493">
        <f t="shared" si="34"/>
        <v>1999</v>
      </c>
      <c r="E493">
        <f t="shared" si="35"/>
        <v>12</v>
      </c>
    </row>
    <row r="494" spans="1:5" x14ac:dyDescent="0.3">
      <c r="A494" t="s">
        <v>619</v>
      </c>
      <c r="B494" t="s">
        <v>127</v>
      </c>
      <c r="C494">
        <v>407</v>
      </c>
      <c r="D494">
        <f t="shared" si="34"/>
        <v>1999</v>
      </c>
      <c r="E494">
        <f t="shared" si="35"/>
        <v>12</v>
      </c>
    </row>
    <row r="495" spans="1:5" x14ac:dyDescent="0.3">
      <c r="A495" t="s">
        <v>620</v>
      </c>
      <c r="B495" t="s">
        <v>127</v>
      </c>
      <c r="C495">
        <v>405</v>
      </c>
      <c r="D495">
        <f t="shared" si="34"/>
        <v>1999</v>
      </c>
      <c r="E495">
        <f t="shared" si="35"/>
        <v>12</v>
      </c>
    </row>
    <row r="496" spans="1:5" x14ac:dyDescent="0.3">
      <c r="A496" t="s">
        <v>621</v>
      </c>
      <c r="B496" t="s">
        <v>127</v>
      </c>
      <c r="C496">
        <v>399</v>
      </c>
      <c r="D496">
        <f t="shared" si="34"/>
        <v>1999</v>
      </c>
      <c r="E496">
        <f t="shared" si="35"/>
        <v>12</v>
      </c>
    </row>
    <row r="497" spans="1:5" x14ac:dyDescent="0.3">
      <c r="A497" t="s">
        <v>622</v>
      </c>
      <c r="B497" t="s">
        <v>127</v>
      </c>
      <c r="C497">
        <v>384</v>
      </c>
      <c r="D497">
        <f t="shared" si="34"/>
        <v>1999</v>
      </c>
      <c r="E497">
        <f t="shared" si="35"/>
        <v>12</v>
      </c>
    </row>
    <row r="498" spans="1:5" x14ac:dyDescent="0.3">
      <c r="A498" t="s">
        <v>623</v>
      </c>
      <c r="B498" t="s">
        <v>127</v>
      </c>
      <c r="C498">
        <v>384</v>
      </c>
      <c r="D498">
        <f t="shared" si="34"/>
        <v>1999</v>
      </c>
      <c r="E498">
        <f t="shared" si="35"/>
        <v>12</v>
      </c>
    </row>
    <row r="499" spans="1:5" x14ac:dyDescent="0.3">
      <c r="A499" t="s">
        <v>624</v>
      </c>
      <c r="B499" t="s">
        <v>127</v>
      </c>
      <c r="C499">
        <v>379</v>
      </c>
      <c r="D499">
        <f t="shared" si="34"/>
        <v>1999</v>
      </c>
      <c r="E499">
        <f t="shared" si="35"/>
        <v>12</v>
      </c>
    </row>
    <row r="500" spans="1:5" x14ac:dyDescent="0.3">
      <c r="A500" t="s">
        <v>625</v>
      </c>
      <c r="B500" t="s">
        <v>127</v>
      </c>
      <c r="C500">
        <v>381</v>
      </c>
      <c r="D500">
        <f t="shared" si="34"/>
        <v>1999</v>
      </c>
      <c r="E500">
        <f t="shared" si="35"/>
        <v>12</v>
      </c>
    </row>
    <row r="501" spans="1:5" x14ac:dyDescent="0.3">
      <c r="A501" t="s">
        <v>626</v>
      </c>
      <c r="B501" t="s">
        <v>127</v>
      </c>
      <c r="C501">
        <v>383</v>
      </c>
      <c r="D501">
        <f t="shared" si="34"/>
        <v>1999</v>
      </c>
      <c r="E501">
        <f t="shared" si="35"/>
        <v>12</v>
      </c>
    </row>
    <row r="502" spans="1:5" x14ac:dyDescent="0.3">
      <c r="A502" t="s">
        <v>627</v>
      </c>
      <c r="B502" t="s">
        <v>127</v>
      </c>
      <c r="C502">
        <v>376</v>
      </c>
      <c r="D502">
        <f t="shared" si="34"/>
        <v>1999</v>
      </c>
      <c r="E502">
        <f t="shared" si="35"/>
        <v>12</v>
      </c>
    </row>
    <row r="503" spans="1:5" x14ac:dyDescent="0.3">
      <c r="A503" t="s">
        <v>628</v>
      </c>
      <c r="B503" t="s">
        <v>127</v>
      </c>
      <c r="C503">
        <v>371</v>
      </c>
      <c r="D503">
        <f t="shared" si="34"/>
        <v>1999</v>
      </c>
      <c r="E503">
        <f t="shared" si="35"/>
        <v>12</v>
      </c>
    </row>
    <row r="504" spans="1:5" x14ac:dyDescent="0.3">
      <c r="A504" t="s">
        <v>629</v>
      </c>
      <c r="B504" t="s">
        <v>127</v>
      </c>
      <c r="C504">
        <v>372</v>
      </c>
      <c r="D504">
        <f t="shared" si="34"/>
        <v>1999</v>
      </c>
      <c r="E504">
        <f t="shared" si="35"/>
        <v>12</v>
      </c>
    </row>
    <row r="505" spans="1:5" x14ac:dyDescent="0.3">
      <c r="A505" t="s">
        <v>630</v>
      </c>
      <c r="B505" t="s">
        <v>127</v>
      </c>
      <c r="C505">
        <v>370</v>
      </c>
      <c r="D505">
        <f t="shared" si="34"/>
        <v>1999</v>
      </c>
      <c r="E505">
        <f t="shared" si="35"/>
        <v>12</v>
      </c>
    </row>
    <row r="506" spans="1:5" x14ac:dyDescent="0.3">
      <c r="A506" t="s">
        <v>631</v>
      </c>
      <c r="B506" t="s">
        <v>127</v>
      </c>
      <c r="C506">
        <v>367</v>
      </c>
      <c r="D506">
        <f t="shared" si="34"/>
        <v>1999</v>
      </c>
      <c r="E506">
        <f t="shared" si="35"/>
        <v>12</v>
      </c>
    </row>
    <row r="507" spans="1:5" x14ac:dyDescent="0.3">
      <c r="A507" t="s">
        <v>632</v>
      </c>
      <c r="B507" t="s">
        <v>127</v>
      </c>
      <c r="C507">
        <v>366</v>
      </c>
      <c r="D507">
        <f t="shared" si="34"/>
        <v>1999</v>
      </c>
      <c r="E507">
        <f t="shared" si="35"/>
        <v>12</v>
      </c>
    </row>
    <row r="508" spans="1:5" x14ac:dyDescent="0.3">
      <c r="A508" t="s">
        <v>633</v>
      </c>
      <c r="B508" t="s">
        <v>127</v>
      </c>
      <c r="C508">
        <v>373</v>
      </c>
      <c r="D508">
        <f t="shared" si="34"/>
        <v>1999</v>
      </c>
      <c r="E508">
        <f t="shared" si="35"/>
        <v>12</v>
      </c>
    </row>
    <row r="509" spans="1:5" x14ac:dyDescent="0.3">
      <c r="A509" t="s">
        <v>634</v>
      </c>
      <c r="B509" t="s">
        <v>127</v>
      </c>
      <c r="C509">
        <v>378</v>
      </c>
      <c r="D509">
        <f t="shared" si="34"/>
        <v>1999</v>
      </c>
      <c r="E509">
        <f t="shared" si="35"/>
        <v>12</v>
      </c>
    </row>
    <row r="510" spans="1:5" x14ac:dyDescent="0.3">
      <c r="A510" t="s">
        <v>635</v>
      </c>
      <c r="B510" t="s">
        <v>127</v>
      </c>
      <c r="C510">
        <v>363</v>
      </c>
      <c r="D510">
        <f t="shared" si="34"/>
        <v>1999</v>
      </c>
      <c r="E510">
        <f t="shared" si="35"/>
        <v>12</v>
      </c>
    </row>
    <row r="511" spans="1:5" x14ac:dyDescent="0.3">
      <c r="A511" t="s">
        <v>636</v>
      </c>
      <c r="B511" t="s">
        <v>127</v>
      </c>
      <c r="C511">
        <v>366</v>
      </c>
      <c r="D511">
        <f t="shared" si="34"/>
        <v>2000</v>
      </c>
      <c r="E511">
        <f t="shared" si="35"/>
        <v>1</v>
      </c>
    </row>
    <row r="512" spans="1:5" x14ac:dyDescent="0.3">
      <c r="A512" t="s">
        <v>637</v>
      </c>
      <c r="B512" t="s">
        <v>127</v>
      </c>
      <c r="C512">
        <v>389</v>
      </c>
      <c r="D512">
        <f t="shared" si="34"/>
        <v>2000</v>
      </c>
      <c r="E512">
        <f t="shared" si="35"/>
        <v>1</v>
      </c>
    </row>
    <row r="513" spans="1:5" x14ac:dyDescent="0.3">
      <c r="A513" t="s">
        <v>638</v>
      </c>
      <c r="B513" t="s">
        <v>127</v>
      </c>
      <c r="C513">
        <v>383</v>
      </c>
      <c r="D513">
        <f t="shared" si="34"/>
        <v>2000</v>
      </c>
      <c r="E513">
        <f t="shared" si="35"/>
        <v>1</v>
      </c>
    </row>
    <row r="514" spans="1:5" x14ac:dyDescent="0.3">
      <c r="A514" t="s">
        <v>639</v>
      </c>
      <c r="B514" t="s">
        <v>127</v>
      </c>
      <c r="C514">
        <v>396</v>
      </c>
      <c r="D514">
        <f t="shared" si="34"/>
        <v>2000</v>
      </c>
      <c r="E514">
        <f t="shared" si="35"/>
        <v>1</v>
      </c>
    </row>
    <row r="515" spans="1:5" x14ac:dyDescent="0.3">
      <c r="A515" t="s">
        <v>640</v>
      </c>
      <c r="B515" t="s">
        <v>127</v>
      </c>
      <c r="C515">
        <v>396</v>
      </c>
      <c r="D515">
        <f t="shared" ref="D515:D578" si="36">YEAR(A515)</f>
        <v>2000</v>
      </c>
      <c r="E515">
        <f t="shared" ref="E515:E578" si="37">MONTH(A515)</f>
        <v>1</v>
      </c>
    </row>
    <row r="516" spans="1:5" x14ac:dyDescent="0.3">
      <c r="A516" t="s">
        <v>641</v>
      </c>
      <c r="B516" t="s">
        <v>127</v>
      </c>
      <c r="C516">
        <v>391</v>
      </c>
      <c r="D516">
        <f t="shared" si="36"/>
        <v>2000</v>
      </c>
      <c r="E516">
        <f t="shared" si="37"/>
        <v>1</v>
      </c>
    </row>
    <row r="517" spans="1:5" x14ac:dyDescent="0.3">
      <c r="A517" t="s">
        <v>642</v>
      </c>
      <c r="B517" t="s">
        <v>127</v>
      </c>
      <c r="C517">
        <v>401</v>
      </c>
      <c r="D517">
        <f t="shared" si="36"/>
        <v>2000</v>
      </c>
      <c r="E517">
        <f t="shared" si="37"/>
        <v>1</v>
      </c>
    </row>
    <row r="518" spans="1:5" x14ac:dyDescent="0.3">
      <c r="A518" t="s">
        <v>643</v>
      </c>
      <c r="B518" t="s">
        <v>127</v>
      </c>
      <c r="C518">
        <v>410</v>
      </c>
      <c r="D518">
        <f t="shared" si="36"/>
        <v>2000</v>
      </c>
      <c r="E518">
        <f t="shared" si="37"/>
        <v>1</v>
      </c>
    </row>
    <row r="519" spans="1:5" x14ac:dyDescent="0.3">
      <c r="A519" t="s">
        <v>644</v>
      </c>
      <c r="B519" t="s">
        <v>127</v>
      </c>
      <c r="C519">
        <v>409</v>
      </c>
      <c r="D519">
        <f t="shared" si="36"/>
        <v>2000</v>
      </c>
      <c r="E519">
        <f t="shared" si="37"/>
        <v>1</v>
      </c>
    </row>
    <row r="520" spans="1:5" x14ac:dyDescent="0.3">
      <c r="A520" t="s">
        <v>645</v>
      </c>
      <c r="B520" t="s">
        <v>127</v>
      </c>
      <c r="C520">
        <v>407</v>
      </c>
      <c r="D520">
        <f t="shared" si="36"/>
        <v>2000</v>
      </c>
      <c r="E520">
        <f t="shared" si="37"/>
        <v>1</v>
      </c>
    </row>
    <row r="521" spans="1:5" x14ac:dyDescent="0.3">
      <c r="A521" t="s">
        <v>646</v>
      </c>
      <c r="B521" t="s">
        <v>127</v>
      </c>
      <c r="C521">
        <v>405</v>
      </c>
      <c r="D521">
        <f t="shared" si="36"/>
        <v>2000</v>
      </c>
      <c r="E521">
        <f t="shared" si="37"/>
        <v>1</v>
      </c>
    </row>
    <row r="522" spans="1:5" x14ac:dyDescent="0.3">
      <c r="A522" t="s">
        <v>647</v>
      </c>
      <c r="B522" t="s">
        <v>127</v>
      </c>
      <c r="C522">
        <v>394</v>
      </c>
      <c r="D522">
        <f t="shared" si="36"/>
        <v>2000</v>
      </c>
      <c r="E522">
        <f t="shared" si="37"/>
        <v>1</v>
      </c>
    </row>
    <row r="523" spans="1:5" x14ac:dyDescent="0.3">
      <c r="A523" t="s">
        <v>648</v>
      </c>
      <c r="B523" t="s">
        <v>127</v>
      </c>
      <c r="C523">
        <v>392</v>
      </c>
      <c r="D523">
        <f t="shared" si="36"/>
        <v>2000</v>
      </c>
      <c r="E523">
        <f t="shared" si="37"/>
        <v>1</v>
      </c>
    </row>
    <row r="524" spans="1:5" x14ac:dyDescent="0.3">
      <c r="A524" t="s">
        <v>649</v>
      </c>
      <c r="B524" t="s">
        <v>127</v>
      </c>
      <c r="C524">
        <v>384</v>
      </c>
      <c r="D524">
        <f t="shared" si="36"/>
        <v>2000</v>
      </c>
      <c r="E524">
        <f t="shared" si="37"/>
        <v>1</v>
      </c>
    </row>
    <row r="525" spans="1:5" x14ac:dyDescent="0.3">
      <c r="A525" t="s">
        <v>650</v>
      </c>
      <c r="B525" t="s">
        <v>127</v>
      </c>
      <c r="C525">
        <v>392</v>
      </c>
      <c r="D525">
        <f t="shared" si="36"/>
        <v>2000</v>
      </c>
      <c r="E525">
        <f t="shared" si="37"/>
        <v>1</v>
      </c>
    </row>
    <row r="526" spans="1:5" x14ac:dyDescent="0.3">
      <c r="A526" t="s">
        <v>651</v>
      </c>
      <c r="B526" t="s">
        <v>127</v>
      </c>
      <c r="C526">
        <v>394</v>
      </c>
      <c r="D526">
        <f t="shared" si="36"/>
        <v>2000</v>
      </c>
      <c r="E526">
        <f t="shared" si="37"/>
        <v>1</v>
      </c>
    </row>
    <row r="527" spans="1:5" x14ac:dyDescent="0.3">
      <c r="A527" t="s">
        <v>652</v>
      </c>
      <c r="B527" t="s">
        <v>127</v>
      </c>
      <c r="C527">
        <v>399</v>
      </c>
      <c r="D527">
        <f t="shared" si="36"/>
        <v>2000</v>
      </c>
      <c r="E527">
        <f t="shared" si="37"/>
        <v>1</v>
      </c>
    </row>
    <row r="528" spans="1:5" x14ac:dyDescent="0.3">
      <c r="A528" t="s">
        <v>653</v>
      </c>
      <c r="B528" t="s">
        <v>127</v>
      </c>
      <c r="C528">
        <v>403</v>
      </c>
      <c r="D528">
        <f t="shared" si="36"/>
        <v>2000</v>
      </c>
      <c r="E528">
        <f t="shared" si="37"/>
        <v>1</v>
      </c>
    </row>
    <row r="529" spans="1:5" x14ac:dyDescent="0.3">
      <c r="A529" t="s">
        <v>654</v>
      </c>
      <c r="B529" t="s">
        <v>127</v>
      </c>
      <c r="C529">
        <v>426</v>
      </c>
      <c r="D529">
        <f t="shared" si="36"/>
        <v>2000</v>
      </c>
      <c r="E529">
        <f t="shared" si="37"/>
        <v>1</v>
      </c>
    </row>
    <row r="530" spans="1:5" x14ac:dyDescent="0.3">
      <c r="A530" t="s">
        <v>655</v>
      </c>
      <c r="B530" t="s">
        <v>127</v>
      </c>
      <c r="C530">
        <v>438</v>
      </c>
      <c r="D530">
        <f t="shared" si="36"/>
        <v>2000</v>
      </c>
      <c r="E530">
        <f t="shared" si="37"/>
        <v>1</v>
      </c>
    </row>
    <row r="531" spans="1:5" x14ac:dyDescent="0.3">
      <c r="A531" t="s">
        <v>656</v>
      </c>
      <c r="B531" t="s">
        <v>127</v>
      </c>
      <c r="C531">
        <v>437</v>
      </c>
      <c r="D531">
        <f t="shared" si="36"/>
        <v>2000</v>
      </c>
      <c r="E531">
        <f t="shared" si="37"/>
        <v>2</v>
      </c>
    </row>
    <row r="532" spans="1:5" x14ac:dyDescent="0.3">
      <c r="A532" t="s">
        <v>657</v>
      </c>
      <c r="B532" t="s">
        <v>127</v>
      </c>
      <c r="C532">
        <v>446</v>
      </c>
      <c r="D532">
        <f t="shared" si="36"/>
        <v>2000</v>
      </c>
      <c r="E532">
        <f t="shared" si="37"/>
        <v>2</v>
      </c>
    </row>
    <row r="533" spans="1:5" x14ac:dyDescent="0.3">
      <c r="A533" t="s">
        <v>658</v>
      </c>
      <c r="B533" t="s">
        <v>127</v>
      </c>
      <c r="C533">
        <v>424</v>
      </c>
      <c r="D533">
        <f t="shared" si="36"/>
        <v>2000</v>
      </c>
      <c r="E533">
        <f t="shared" si="37"/>
        <v>2</v>
      </c>
    </row>
    <row r="534" spans="1:5" x14ac:dyDescent="0.3">
      <c r="A534" t="s">
        <v>659</v>
      </c>
      <c r="B534" t="s">
        <v>127</v>
      </c>
      <c r="C534">
        <v>369</v>
      </c>
      <c r="D534">
        <f t="shared" si="36"/>
        <v>2000</v>
      </c>
      <c r="E534">
        <f t="shared" si="37"/>
        <v>2</v>
      </c>
    </row>
    <row r="535" spans="1:5" x14ac:dyDescent="0.3">
      <c r="A535" t="s">
        <v>660</v>
      </c>
      <c r="B535" t="s">
        <v>127</v>
      </c>
      <c r="C535">
        <v>354</v>
      </c>
      <c r="D535">
        <f t="shared" si="36"/>
        <v>2000</v>
      </c>
      <c r="E535">
        <f t="shared" si="37"/>
        <v>2</v>
      </c>
    </row>
    <row r="536" spans="1:5" x14ac:dyDescent="0.3">
      <c r="A536" t="s">
        <v>661</v>
      </c>
      <c r="B536" t="s">
        <v>127</v>
      </c>
      <c r="C536">
        <v>359</v>
      </c>
      <c r="D536">
        <f t="shared" si="36"/>
        <v>2000</v>
      </c>
      <c r="E536">
        <f t="shared" si="37"/>
        <v>2</v>
      </c>
    </row>
    <row r="537" spans="1:5" x14ac:dyDescent="0.3">
      <c r="A537" t="s">
        <v>662</v>
      </c>
      <c r="B537" t="s">
        <v>127</v>
      </c>
      <c r="C537">
        <v>341</v>
      </c>
      <c r="D537">
        <f t="shared" si="36"/>
        <v>2000</v>
      </c>
      <c r="E537">
        <f t="shared" si="37"/>
        <v>2</v>
      </c>
    </row>
    <row r="538" spans="1:5" x14ac:dyDescent="0.3">
      <c r="A538" t="s">
        <v>663</v>
      </c>
      <c r="B538" t="s">
        <v>127</v>
      </c>
      <c r="C538">
        <v>338</v>
      </c>
      <c r="D538">
        <f t="shared" si="36"/>
        <v>2000</v>
      </c>
      <c r="E538">
        <f t="shared" si="37"/>
        <v>2</v>
      </c>
    </row>
    <row r="539" spans="1:5" x14ac:dyDescent="0.3">
      <c r="A539" t="s">
        <v>664</v>
      </c>
      <c r="B539" t="s">
        <v>127</v>
      </c>
      <c r="C539">
        <v>357</v>
      </c>
      <c r="D539">
        <f t="shared" si="36"/>
        <v>2000</v>
      </c>
      <c r="E539">
        <f t="shared" si="37"/>
        <v>2</v>
      </c>
    </row>
    <row r="540" spans="1:5" x14ac:dyDescent="0.3">
      <c r="A540" t="s">
        <v>665</v>
      </c>
      <c r="B540" t="s">
        <v>127</v>
      </c>
      <c r="C540">
        <v>369</v>
      </c>
      <c r="D540">
        <f t="shared" si="36"/>
        <v>2000</v>
      </c>
      <c r="E540">
        <f t="shared" si="37"/>
        <v>2</v>
      </c>
    </row>
    <row r="541" spans="1:5" x14ac:dyDescent="0.3">
      <c r="A541" t="s">
        <v>666</v>
      </c>
      <c r="B541" t="s">
        <v>127</v>
      </c>
      <c r="C541">
        <v>367</v>
      </c>
      <c r="D541">
        <f t="shared" si="36"/>
        <v>2000</v>
      </c>
      <c r="E541">
        <f t="shared" si="37"/>
        <v>2</v>
      </c>
    </row>
    <row r="542" spans="1:5" x14ac:dyDescent="0.3">
      <c r="A542" t="s">
        <v>667</v>
      </c>
      <c r="B542" t="s">
        <v>127</v>
      </c>
      <c r="C542">
        <v>378</v>
      </c>
      <c r="D542">
        <f t="shared" si="36"/>
        <v>2000</v>
      </c>
      <c r="E542">
        <f t="shared" si="37"/>
        <v>2</v>
      </c>
    </row>
    <row r="543" spans="1:5" x14ac:dyDescent="0.3">
      <c r="A543" t="s">
        <v>668</v>
      </c>
      <c r="B543" t="s">
        <v>127</v>
      </c>
      <c r="C543">
        <v>373</v>
      </c>
      <c r="D543">
        <f t="shared" si="36"/>
        <v>2000</v>
      </c>
      <c r="E543">
        <f t="shared" si="37"/>
        <v>2</v>
      </c>
    </row>
    <row r="544" spans="1:5" x14ac:dyDescent="0.3">
      <c r="A544" t="s">
        <v>669</v>
      </c>
      <c r="B544" t="s">
        <v>127</v>
      </c>
      <c r="C544">
        <v>391</v>
      </c>
      <c r="D544">
        <f t="shared" si="36"/>
        <v>2000</v>
      </c>
      <c r="E544">
        <f t="shared" si="37"/>
        <v>2</v>
      </c>
    </row>
    <row r="545" spans="1:5" x14ac:dyDescent="0.3">
      <c r="A545" t="s">
        <v>670</v>
      </c>
      <c r="B545" t="s">
        <v>127</v>
      </c>
      <c r="C545">
        <v>410</v>
      </c>
      <c r="D545">
        <f t="shared" si="36"/>
        <v>2000</v>
      </c>
      <c r="E545">
        <f t="shared" si="37"/>
        <v>2</v>
      </c>
    </row>
    <row r="546" spans="1:5" x14ac:dyDescent="0.3">
      <c r="A546" t="s">
        <v>671</v>
      </c>
      <c r="B546" t="s">
        <v>127</v>
      </c>
      <c r="C546">
        <v>385</v>
      </c>
      <c r="D546">
        <f t="shared" si="36"/>
        <v>2000</v>
      </c>
      <c r="E546">
        <f t="shared" si="37"/>
        <v>2</v>
      </c>
    </row>
    <row r="547" spans="1:5" x14ac:dyDescent="0.3">
      <c r="A547" t="s">
        <v>672</v>
      </c>
      <c r="B547" t="s">
        <v>127</v>
      </c>
      <c r="C547">
        <v>398</v>
      </c>
      <c r="D547">
        <f t="shared" si="36"/>
        <v>2000</v>
      </c>
      <c r="E547">
        <f t="shared" si="37"/>
        <v>2</v>
      </c>
    </row>
    <row r="548" spans="1:5" x14ac:dyDescent="0.3">
      <c r="A548" t="s">
        <v>673</v>
      </c>
      <c r="B548" t="s">
        <v>127</v>
      </c>
      <c r="C548">
        <v>379</v>
      </c>
      <c r="D548">
        <f t="shared" si="36"/>
        <v>2000</v>
      </c>
      <c r="E548">
        <f t="shared" si="37"/>
        <v>2</v>
      </c>
    </row>
    <row r="549" spans="1:5" x14ac:dyDescent="0.3">
      <c r="A549" t="s">
        <v>674</v>
      </c>
      <c r="B549" t="s">
        <v>127</v>
      </c>
      <c r="C549">
        <v>370</v>
      </c>
      <c r="D549">
        <f t="shared" si="36"/>
        <v>2000</v>
      </c>
      <c r="E549">
        <f t="shared" si="37"/>
        <v>2</v>
      </c>
    </row>
    <row r="550" spans="1:5" x14ac:dyDescent="0.3">
      <c r="A550" t="s">
        <v>675</v>
      </c>
      <c r="B550" t="s">
        <v>127</v>
      </c>
      <c r="C550">
        <v>364</v>
      </c>
      <c r="D550">
        <f t="shared" si="36"/>
        <v>2000</v>
      </c>
      <c r="E550">
        <f t="shared" si="37"/>
        <v>2</v>
      </c>
    </row>
    <row r="551" spans="1:5" x14ac:dyDescent="0.3">
      <c r="A551" t="s">
        <v>676</v>
      </c>
      <c r="B551" t="s">
        <v>127</v>
      </c>
      <c r="C551">
        <v>356</v>
      </c>
      <c r="D551">
        <f t="shared" si="36"/>
        <v>2000</v>
      </c>
      <c r="E551">
        <f t="shared" si="37"/>
        <v>3</v>
      </c>
    </row>
    <row r="552" spans="1:5" x14ac:dyDescent="0.3">
      <c r="A552" t="s">
        <v>677</v>
      </c>
      <c r="B552" t="s">
        <v>127</v>
      </c>
      <c r="C552">
        <v>329</v>
      </c>
      <c r="D552">
        <f t="shared" si="36"/>
        <v>2000</v>
      </c>
      <c r="E552">
        <f t="shared" si="37"/>
        <v>3</v>
      </c>
    </row>
    <row r="553" spans="1:5" x14ac:dyDescent="0.3">
      <c r="A553" t="s">
        <v>678</v>
      </c>
      <c r="B553" t="s">
        <v>127</v>
      </c>
      <c r="C553">
        <v>341</v>
      </c>
      <c r="D553">
        <f t="shared" si="36"/>
        <v>2000</v>
      </c>
      <c r="E553">
        <f t="shared" si="37"/>
        <v>3</v>
      </c>
    </row>
    <row r="554" spans="1:5" x14ac:dyDescent="0.3">
      <c r="A554" t="s">
        <v>679</v>
      </c>
      <c r="B554" t="s">
        <v>127</v>
      </c>
      <c r="C554">
        <v>337</v>
      </c>
      <c r="D554">
        <f t="shared" si="36"/>
        <v>2000</v>
      </c>
      <c r="E554">
        <f t="shared" si="37"/>
        <v>3</v>
      </c>
    </row>
    <row r="555" spans="1:5" x14ac:dyDescent="0.3">
      <c r="A555" t="s">
        <v>680</v>
      </c>
      <c r="B555" t="s">
        <v>127</v>
      </c>
      <c r="C555">
        <v>312</v>
      </c>
      <c r="D555">
        <f t="shared" si="36"/>
        <v>2000</v>
      </c>
      <c r="E555">
        <f t="shared" si="37"/>
        <v>3</v>
      </c>
    </row>
    <row r="556" spans="1:5" x14ac:dyDescent="0.3">
      <c r="A556" t="s">
        <v>681</v>
      </c>
      <c r="B556" t="s">
        <v>127</v>
      </c>
      <c r="C556">
        <v>291</v>
      </c>
      <c r="D556">
        <f t="shared" si="36"/>
        <v>2000</v>
      </c>
      <c r="E556">
        <f t="shared" si="37"/>
        <v>3</v>
      </c>
    </row>
    <row r="557" spans="1:5" x14ac:dyDescent="0.3">
      <c r="A557" t="s">
        <v>682</v>
      </c>
      <c r="B557" t="s">
        <v>127</v>
      </c>
      <c r="C557">
        <v>293</v>
      </c>
      <c r="D557">
        <f t="shared" si="36"/>
        <v>2000</v>
      </c>
      <c r="E557">
        <f t="shared" si="37"/>
        <v>3</v>
      </c>
    </row>
    <row r="558" spans="1:5" x14ac:dyDescent="0.3">
      <c r="A558" t="s">
        <v>683</v>
      </c>
      <c r="B558" t="s">
        <v>127</v>
      </c>
      <c r="C558">
        <v>294</v>
      </c>
      <c r="D558">
        <f t="shared" si="36"/>
        <v>2000</v>
      </c>
      <c r="E558">
        <f t="shared" si="37"/>
        <v>3</v>
      </c>
    </row>
    <row r="559" spans="1:5" x14ac:dyDescent="0.3">
      <c r="A559" t="s">
        <v>684</v>
      </c>
      <c r="B559" t="s">
        <v>127</v>
      </c>
      <c r="C559">
        <v>295</v>
      </c>
      <c r="D559">
        <f t="shared" si="36"/>
        <v>2000</v>
      </c>
      <c r="E559">
        <f t="shared" si="37"/>
        <v>3</v>
      </c>
    </row>
    <row r="560" spans="1:5" x14ac:dyDescent="0.3">
      <c r="A560" t="s">
        <v>685</v>
      </c>
      <c r="B560" t="s">
        <v>127</v>
      </c>
      <c r="C560">
        <v>313</v>
      </c>
      <c r="D560">
        <f t="shared" si="36"/>
        <v>2000</v>
      </c>
      <c r="E560">
        <f t="shared" si="37"/>
        <v>3</v>
      </c>
    </row>
    <row r="561" spans="1:5" x14ac:dyDescent="0.3">
      <c r="A561" t="s">
        <v>686</v>
      </c>
      <c r="B561" t="s">
        <v>127</v>
      </c>
      <c r="C561">
        <v>327</v>
      </c>
      <c r="D561">
        <f t="shared" si="36"/>
        <v>2000</v>
      </c>
      <c r="E561">
        <f t="shared" si="37"/>
        <v>3</v>
      </c>
    </row>
    <row r="562" spans="1:5" x14ac:dyDescent="0.3">
      <c r="A562" t="s">
        <v>687</v>
      </c>
      <c r="B562" t="s">
        <v>127</v>
      </c>
      <c r="C562">
        <v>323</v>
      </c>
      <c r="D562">
        <f t="shared" si="36"/>
        <v>2000</v>
      </c>
      <c r="E562">
        <f t="shared" si="37"/>
        <v>3</v>
      </c>
    </row>
    <row r="563" spans="1:5" x14ac:dyDescent="0.3">
      <c r="A563" t="s">
        <v>688</v>
      </c>
      <c r="B563" t="s">
        <v>127</v>
      </c>
      <c r="C563">
        <v>322</v>
      </c>
      <c r="D563">
        <f t="shared" si="36"/>
        <v>2000</v>
      </c>
      <c r="E563">
        <f t="shared" si="37"/>
        <v>3</v>
      </c>
    </row>
    <row r="564" spans="1:5" x14ac:dyDescent="0.3">
      <c r="A564" t="s">
        <v>689</v>
      </c>
      <c r="B564" t="s">
        <v>127</v>
      </c>
      <c r="C564">
        <v>324</v>
      </c>
      <c r="D564">
        <f t="shared" si="36"/>
        <v>2000</v>
      </c>
      <c r="E564">
        <f t="shared" si="37"/>
        <v>3</v>
      </c>
    </row>
    <row r="565" spans="1:5" x14ac:dyDescent="0.3">
      <c r="A565" t="s">
        <v>690</v>
      </c>
      <c r="B565" t="s">
        <v>127</v>
      </c>
      <c r="C565">
        <v>332</v>
      </c>
      <c r="D565">
        <f t="shared" si="36"/>
        <v>2000</v>
      </c>
      <c r="E565">
        <f t="shared" si="37"/>
        <v>3</v>
      </c>
    </row>
    <row r="566" spans="1:5" x14ac:dyDescent="0.3">
      <c r="A566" t="s">
        <v>691</v>
      </c>
      <c r="B566" t="s">
        <v>127</v>
      </c>
      <c r="C566">
        <v>331</v>
      </c>
      <c r="D566">
        <f t="shared" si="36"/>
        <v>2000</v>
      </c>
      <c r="E566">
        <f t="shared" si="37"/>
        <v>3</v>
      </c>
    </row>
    <row r="567" spans="1:5" x14ac:dyDescent="0.3">
      <c r="A567" t="s">
        <v>692</v>
      </c>
      <c r="B567" t="s">
        <v>127</v>
      </c>
      <c r="C567">
        <v>338</v>
      </c>
      <c r="D567">
        <f t="shared" si="36"/>
        <v>2000</v>
      </c>
      <c r="E567">
        <f t="shared" si="37"/>
        <v>3</v>
      </c>
    </row>
    <row r="568" spans="1:5" x14ac:dyDescent="0.3">
      <c r="A568" t="s">
        <v>693</v>
      </c>
      <c r="B568" t="s">
        <v>127</v>
      </c>
      <c r="C568">
        <v>325</v>
      </c>
      <c r="D568">
        <f t="shared" si="36"/>
        <v>2000</v>
      </c>
      <c r="E568">
        <f t="shared" si="37"/>
        <v>3</v>
      </c>
    </row>
    <row r="569" spans="1:5" x14ac:dyDescent="0.3">
      <c r="A569" t="s">
        <v>694</v>
      </c>
      <c r="B569" t="s">
        <v>127</v>
      </c>
      <c r="C569">
        <v>331</v>
      </c>
      <c r="D569">
        <f t="shared" si="36"/>
        <v>2000</v>
      </c>
      <c r="E569">
        <f t="shared" si="37"/>
        <v>3</v>
      </c>
    </row>
    <row r="570" spans="1:5" x14ac:dyDescent="0.3">
      <c r="A570" t="s">
        <v>695</v>
      </c>
      <c r="B570" t="s">
        <v>127</v>
      </c>
      <c r="C570">
        <v>337</v>
      </c>
      <c r="D570">
        <f t="shared" si="36"/>
        <v>2000</v>
      </c>
      <c r="E570">
        <f t="shared" si="37"/>
        <v>3</v>
      </c>
    </row>
    <row r="571" spans="1:5" x14ac:dyDescent="0.3">
      <c r="A571" t="s">
        <v>696</v>
      </c>
      <c r="B571" t="s">
        <v>127</v>
      </c>
      <c r="C571">
        <v>338</v>
      </c>
      <c r="D571">
        <f t="shared" si="36"/>
        <v>2000</v>
      </c>
      <c r="E571">
        <f t="shared" si="37"/>
        <v>3</v>
      </c>
    </row>
    <row r="572" spans="1:5" x14ac:dyDescent="0.3">
      <c r="A572" t="s">
        <v>697</v>
      </c>
      <c r="B572" t="s">
        <v>127</v>
      </c>
      <c r="C572">
        <v>371</v>
      </c>
      <c r="D572">
        <f t="shared" si="36"/>
        <v>2000</v>
      </c>
      <c r="E572">
        <f t="shared" si="37"/>
        <v>3</v>
      </c>
    </row>
    <row r="573" spans="1:5" x14ac:dyDescent="0.3">
      <c r="A573" t="s">
        <v>698</v>
      </c>
      <c r="B573" t="s">
        <v>127</v>
      </c>
      <c r="C573">
        <v>354</v>
      </c>
      <c r="D573">
        <f t="shared" si="36"/>
        <v>2000</v>
      </c>
      <c r="E573">
        <f t="shared" si="37"/>
        <v>3</v>
      </c>
    </row>
    <row r="574" spans="1:5" x14ac:dyDescent="0.3">
      <c r="A574" t="s">
        <v>699</v>
      </c>
      <c r="B574" t="s">
        <v>127</v>
      </c>
      <c r="C574">
        <v>368</v>
      </c>
      <c r="D574">
        <f t="shared" si="36"/>
        <v>2000</v>
      </c>
      <c r="E574">
        <f t="shared" si="37"/>
        <v>4</v>
      </c>
    </row>
    <row r="575" spans="1:5" x14ac:dyDescent="0.3">
      <c r="A575" t="s">
        <v>700</v>
      </c>
      <c r="B575" t="s">
        <v>127</v>
      </c>
      <c r="C575">
        <v>397</v>
      </c>
      <c r="D575">
        <f t="shared" si="36"/>
        <v>2000</v>
      </c>
      <c r="E575">
        <f t="shared" si="37"/>
        <v>4</v>
      </c>
    </row>
    <row r="576" spans="1:5" x14ac:dyDescent="0.3">
      <c r="A576" t="s">
        <v>701</v>
      </c>
      <c r="B576" t="s">
        <v>127</v>
      </c>
      <c r="C576">
        <v>392</v>
      </c>
      <c r="D576">
        <f t="shared" si="36"/>
        <v>2000</v>
      </c>
      <c r="E576">
        <f t="shared" si="37"/>
        <v>4</v>
      </c>
    </row>
    <row r="577" spans="1:5" x14ac:dyDescent="0.3">
      <c r="A577" t="s">
        <v>702</v>
      </c>
      <c r="B577" t="s">
        <v>127</v>
      </c>
      <c r="C577">
        <v>388</v>
      </c>
      <c r="D577">
        <f t="shared" si="36"/>
        <v>2000</v>
      </c>
      <c r="E577">
        <f t="shared" si="37"/>
        <v>4</v>
      </c>
    </row>
    <row r="578" spans="1:5" x14ac:dyDescent="0.3">
      <c r="A578" t="s">
        <v>703</v>
      </c>
      <c r="B578" t="s">
        <v>127</v>
      </c>
      <c r="C578">
        <v>402</v>
      </c>
      <c r="D578">
        <f t="shared" si="36"/>
        <v>2000</v>
      </c>
      <c r="E578">
        <f t="shared" si="37"/>
        <v>4</v>
      </c>
    </row>
    <row r="579" spans="1:5" x14ac:dyDescent="0.3">
      <c r="A579" t="s">
        <v>704</v>
      </c>
      <c r="B579" t="s">
        <v>127</v>
      </c>
      <c r="C579">
        <v>408</v>
      </c>
      <c r="D579">
        <f t="shared" ref="D579:D642" si="38">YEAR(A579)</f>
        <v>2000</v>
      </c>
      <c r="E579">
        <f t="shared" ref="E579:E642" si="39">MONTH(A579)</f>
        <v>4</v>
      </c>
    </row>
    <row r="580" spans="1:5" x14ac:dyDescent="0.3">
      <c r="A580" t="s">
        <v>705</v>
      </c>
      <c r="B580" t="s">
        <v>127</v>
      </c>
      <c r="C580">
        <v>401</v>
      </c>
      <c r="D580">
        <f t="shared" si="38"/>
        <v>2000</v>
      </c>
      <c r="E580">
        <f t="shared" si="39"/>
        <v>4</v>
      </c>
    </row>
    <row r="581" spans="1:5" x14ac:dyDescent="0.3">
      <c r="A581" t="s">
        <v>706</v>
      </c>
      <c r="B581" t="s">
        <v>127</v>
      </c>
      <c r="C581">
        <v>390</v>
      </c>
      <c r="D581">
        <f t="shared" si="38"/>
        <v>2000</v>
      </c>
      <c r="E581">
        <f t="shared" si="39"/>
        <v>4</v>
      </c>
    </row>
    <row r="582" spans="1:5" x14ac:dyDescent="0.3">
      <c r="A582" t="s">
        <v>707</v>
      </c>
      <c r="B582" t="s">
        <v>127</v>
      </c>
      <c r="C582">
        <v>401</v>
      </c>
      <c r="D582">
        <f t="shared" si="38"/>
        <v>2000</v>
      </c>
      <c r="E582">
        <f t="shared" si="39"/>
        <v>4</v>
      </c>
    </row>
    <row r="583" spans="1:5" x14ac:dyDescent="0.3">
      <c r="A583" t="s">
        <v>708</v>
      </c>
      <c r="B583" t="s">
        <v>127</v>
      </c>
      <c r="C583">
        <v>422</v>
      </c>
      <c r="D583">
        <f t="shared" si="38"/>
        <v>2000</v>
      </c>
      <c r="E583">
        <f t="shared" si="39"/>
        <v>4</v>
      </c>
    </row>
    <row r="584" spans="1:5" x14ac:dyDescent="0.3">
      <c r="A584" t="s">
        <v>709</v>
      </c>
      <c r="B584" t="s">
        <v>127</v>
      </c>
      <c r="C584">
        <v>422</v>
      </c>
      <c r="D584">
        <f t="shared" si="38"/>
        <v>2000</v>
      </c>
      <c r="E584">
        <f t="shared" si="39"/>
        <v>4</v>
      </c>
    </row>
    <row r="585" spans="1:5" x14ac:dyDescent="0.3">
      <c r="A585" t="s">
        <v>710</v>
      </c>
      <c r="B585" t="s">
        <v>127</v>
      </c>
      <c r="C585">
        <v>409</v>
      </c>
      <c r="D585">
        <f t="shared" si="38"/>
        <v>2000</v>
      </c>
      <c r="E585">
        <f t="shared" si="39"/>
        <v>4</v>
      </c>
    </row>
    <row r="586" spans="1:5" x14ac:dyDescent="0.3">
      <c r="A586" t="s">
        <v>711</v>
      </c>
      <c r="B586" t="s">
        <v>127</v>
      </c>
      <c r="C586">
        <v>411</v>
      </c>
      <c r="D586">
        <f t="shared" si="38"/>
        <v>2000</v>
      </c>
      <c r="E586">
        <f t="shared" si="39"/>
        <v>4</v>
      </c>
    </row>
    <row r="587" spans="1:5" x14ac:dyDescent="0.3">
      <c r="A587" t="s">
        <v>712</v>
      </c>
      <c r="B587" t="s">
        <v>127</v>
      </c>
      <c r="C587">
        <v>410</v>
      </c>
      <c r="D587">
        <f t="shared" si="38"/>
        <v>2000</v>
      </c>
      <c r="E587">
        <f t="shared" si="39"/>
        <v>4</v>
      </c>
    </row>
    <row r="588" spans="1:5" x14ac:dyDescent="0.3">
      <c r="A588" t="s">
        <v>713</v>
      </c>
      <c r="B588" t="s">
        <v>127</v>
      </c>
      <c r="C588">
        <v>418</v>
      </c>
      <c r="D588">
        <f t="shared" si="38"/>
        <v>2000</v>
      </c>
      <c r="E588">
        <f t="shared" si="39"/>
        <v>4</v>
      </c>
    </row>
    <row r="589" spans="1:5" x14ac:dyDescent="0.3">
      <c r="A589" t="s">
        <v>714</v>
      </c>
      <c r="B589" t="s">
        <v>127</v>
      </c>
      <c r="C589">
        <v>387</v>
      </c>
      <c r="D589">
        <f t="shared" si="38"/>
        <v>2000</v>
      </c>
      <c r="E589">
        <f t="shared" si="39"/>
        <v>4</v>
      </c>
    </row>
    <row r="590" spans="1:5" x14ac:dyDescent="0.3">
      <c r="A590" t="s">
        <v>715</v>
      </c>
      <c r="B590" t="s">
        <v>127</v>
      </c>
      <c r="C590">
        <v>401</v>
      </c>
      <c r="D590">
        <f t="shared" si="38"/>
        <v>2000</v>
      </c>
      <c r="E590">
        <f t="shared" si="39"/>
        <v>4</v>
      </c>
    </row>
    <row r="591" spans="1:5" x14ac:dyDescent="0.3">
      <c r="A591" t="s">
        <v>716</v>
      </c>
      <c r="B591" t="s">
        <v>127</v>
      </c>
      <c r="C591">
        <v>389</v>
      </c>
      <c r="D591">
        <f t="shared" si="38"/>
        <v>2000</v>
      </c>
      <c r="E591">
        <f t="shared" si="39"/>
        <v>4</v>
      </c>
    </row>
    <row r="592" spans="1:5" x14ac:dyDescent="0.3">
      <c r="A592" t="s">
        <v>717</v>
      </c>
      <c r="B592" t="s">
        <v>127</v>
      </c>
      <c r="C592">
        <v>385</v>
      </c>
      <c r="D592">
        <f t="shared" si="38"/>
        <v>2000</v>
      </c>
      <c r="E592">
        <f t="shared" si="39"/>
        <v>4</v>
      </c>
    </row>
    <row r="593" spans="1:5" x14ac:dyDescent="0.3">
      <c r="A593" t="s">
        <v>718</v>
      </c>
      <c r="B593" t="s">
        <v>127</v>
      </c>
      <c r="C593">
        <v>379</v>
      </c>
      <c r="D593">
        <f t="shared" si="38"/>
        <v>2000</v>
      </c>
      <c r="E593">
        <f t="shared" si="39"/>
        <v>5</v>
      </c>
    </row>
    <row r="594" spans="1:5" x14ac:dyDescent="0.3">
      <c r="A594" t="s">
        <v>719</v>
      </c>
      <c r="B594" t="s">
        <v>127</v>
      </c>
      <c r="C594">
        <v>380</v>
      </c>
      <c r="D594">
        <f t="shared" si="38"/>
        <v>2000</v>
      </c>
      <c r="E594">
        <f t="shared" si="39"/>
        <v>5</v>
      </c>
    </row>
    <row r="595" spans="1:5" x14ac:dyDescent="0.3">
      <c r="A595" t="s">
        <v>720</v>
      </c>
      <c r="B595" t="s">
        <v>127</v>
      </c>
      <c r="C595">
        <v>387</v>
      </c>
      <c r="D595">
        <f t="shared" si="38"/>
        <v>2000</v>
      </c>
      <c r="E595">
        <f t="shared" si="39"/>
        <v>5</v>
      </c>
    </row>
    <row r="596" spans="1:5" x14ac:dyDescent="0.3">
      <c r="A596" t="s">
        <v>721</v>
      </c>
      <c r="B596" t="s">
        <v>127</v>
      </c>
      <c r="C596">
        <v>392</v>
      </c>
      <c r="D596">
        <f t="shared" si="38"/>
        <v>2000</v>
      </c>
      <c r="E596">
        <f t="shared" si="39"/>
        <v>5</v>
      </c>
    </row>
    <row r="597" spans="1:5" x14ac:dyDescent="0.3">
      <c r="A597" t="s">
        <v>722</v>
      </c>
      <c r="B597" t="s">
        <v>127</v>
      </c>
      <c r="C597">
        <v>406</v>
      </c>
      <c r="D597">
        <f t="shared" si="38"/>
        <v>2000</v>
      </c>
      <c r="E597">
        <f t="shared" si="39"/>
        <v>5</v>
      </c>
    </row>
    <row r="598" spans="1:5" x14ac:dyDescent="0.3">
      <c r="A598" t="s">
        <v>723</v>
      </c>
      <c r="B598" t="s">
        <v>127</v>
      </c>
      <c r="C598">
        <v>418</v>
      </c>
      <c r="D598">
        <f t="shared" si="38"/>
        <v>2000</v>
      </c>
      <c r="E598">
        <f t="shared" si="39"/>
        <v>5</v>
      </c>
    </row>
    <row r="599" spans="1:5" x14ac:dyDescent="0.3">
      <c r="A599" t="s">
        <v>724</v>
      </c>
      <c r="B599" t="s">
        <v>127</v>
      </c>
      <c r="C599">
        <v>417</v>
      </c>
      <c r="D599">
        <f t="shared" si="38"/>
        <v>2000</v>
      </c>
      <c r="E599">
        <f t="shared" si="39"/>
        <v>5</v>
      </c>
    </row>
    <row r="600" spans="1:5" x14ac:dyDescent="0.3">
      <c r="A600" t="s">
        <v>725</v>
      </c>
      <c r="B600" t="s">
        <v>127</v>
      </c>
      <c r="C600">
        <v>441</v>
      </c>
      <c r="D600">
        <f t="shared" si="38"/>
        <v>2000</v>
      </c>
      <c r="E600">
        <f t="shared" si="39"/>
        <v>5</v>
      </c>
    </row>
    <row r="601" spans="1:5" x14ac:dyDescent="0.3">
      <c r="A601" t="s">
        <v>726</v>
      </c>
      <c r="B601" t="s">
        <v>127</v>
      </c>
      <c r="C601">
        <v>436</v>
      </c>
      <c r="D601">
        <f t="shared" si="38"/>
        <v>2000</v>
      </c>
      <c r="E601">
        <f t="shared" si="39"/>
        <v>5</v>
      </c>
    </row>
    <row r="602" spans="1:5" x14ac:dyDescent="0.3">
      <c r="A602" t="s">
        <v>727</v>
      </c>
      <c r="B602" t="s">
        <v>127</v>
      </c>
      <c r="C602">
        <v>448</v>
      </c>
      <c r="D602">
        <f t="shared" si="38"/>
        <v>2000</v>
      </c>
      <c r="E602">
        <f t="shared" si="39"/>
        <v>5</v>
      </c>
    </row>
    <row r="603" spans="1:5" x14ac:dyDescent="0.3">
      <c r="A603" t="s">
        <v>728</v>
      </c>
      <c r="B603" t="s">
        <v>127</v>
      </c>
      <c r="C603">
        <v>438</v>
      </c>
      <c r="D603">
        <f t="shared" si="38"/>
        <v>2000</v>
      </c>
      <c r="E603">
        <f t="shared" si="39"/>
        <v>5</v>
      </c>
    </row>
    <row r="604" spans="1:5" x14ac:dyDescent="0.3">
      <c r="A604" t="s">
        <v>729</v>
      </c>
      <c r="B604" t="s">
        <v>127</v>
      </c>
      <c r="C604">
        <v>442</v>
      </c>
      <c r="D604">
        <f t="shared" si="38"/>
        <v>2000</v>
      </c>
      <c r="E604">
        <f t="shared" si="39"/>
        <v>5</v>
      </c>
    </row>
    <row r="605" spans="1:5" x14ac:dyDescent="0.3">
      <c r="A605" t="s">
        <v>730</v>
      </c>
      <c r="B605" t="s">
        <v>127</v>
      </c>
      <c r="C605">
        <v>430</v>
      </c>
      <c r="D605">
        <f t="shared" si="38"/>
        <v>2000</v>
      </c>
      <c r="E605">
        <f t="shared" si="39"/>
        <v>5</v>
      </c>
    </row>
    <row r="606" spans="1:5" x14ac:dyDescent="0.3">
      <c r="A606" t="s">
        <v>731</v>
      </c>
      <c r="B606" t="s">
        <v>127</v>
      </c>
      <c r="C606">
        <v>417</v>
      </c>
      <c r="D606">
        <f t="shared" si="38"/>
        <v>2000</v>
      </c>
      <c r="E606">
        <f t="shared" si="39"/>
        <v>5</v>
      </c>
    </row>
    <row r="607" spans="1:5" x14ac:dyDescent="0.3">
      <c r="A607" t="s">
        <v>732</v>
      </c>
      <c r="B607" t="s">
        <v>127</v>
      </c>
      <c r="C607">
        <v>428</v>
      </c>
      <c r="D607">
        <f t="shared" si="38"/>
        <v>2000</v>
      </c>
      <c r="E607">
        <f t="shared" si="39"/>
        <v>5</v>
      </c>
    </row>
    <row r="608" spans="1:5" x14ac:dyDescent="0.3">
      <c r="A608" t="s">
        <v>733</v>
      </c>
      <c r="B608" t="s">
        <v>127</v>
      </c>
      <c r="C608">
        <v>443</v>
      </c>
      <c r="D608">
        <f t="shared" si="38"/>
        <v>2000</v>
      </c>
      <c r="E608">
        <f t="shared" si="39"/>
        <v>5</v>
      </c>
    </row>
    <row r="609" spans="1:5" x14ac:dyDescent="0.3">
      <c r="A609" t="s">
        <v>734</v>
      </c>
      <c r="B609" t="s">
        <v>127</v>
      </c>
      <c r="C609">
        <v>430</v>
      </c>
      <c r="D609">
        <f t="shared" si="38"/>
        <v>2000</v>
      </c>
      <c r="E609">
        <f t="shared" si="39"/>
        <v>5</v>
      </c>
    </row>
    <row r="610" spans="1:5" x14ac:dyDescent="0.3">
      <c r="A610" t="s">
        <v>735</v>
      </c>
      <c r="B610" t="s">
        <v>127</v>
      </c>
      <c r="C610">
        <v>428</v>
      </c>
      <c r="D610">
        <f t="shared" si="38"/>
        <v>2000</v>
      </c>
      <c r="E610">
        <f t="shared" si="39"/>
        <v>5</v>
      </c>
    </row>
    <row r="611" spans="1:5" x14ac:dyDescent="0.3">
      <c r="A611" t="s">
        <v>736</v>
      </c>
      <c r="B611" t="s">
        <v>127</v>
      </c>
      <c r="C611">
        <v>434</v>
      </c>
      <c r="D611">
        <f t="shared" si="38"/>
        <v>2000</v>
      </c>
      <c r="E611">
        <f t="shared" si="39"/>
        <v>5</v>
      </c>
    </row>
    <row r="612" spans="1:5" x14ac:dyDescent="0.3">
      <c r="A612" t="s">
        <v>737</v>
      </c>
      <c r="B612" t="s">
        <v>127</v>
      </c>
      <c r="C612">
        <v>444</v>
      </c>
      <c r="D612">
        <f t="shared" si="38"/>
        <v>2000</v>
      </c>
      <c r="E612">
        <f t="shared" si="39"/>
        <v>5</v>
      </c>
    </row>
    <row r="613" spans="1:5" x14ac:dyDescent="0.3">
      <c r="A613" t="s">
        <v>738</v>
      </c>
      <c r="B613" t="s">
        <v>127</v>
      </c>
      <c r="C613">
        <v>429</v>
      </c>
      <c r="D613">
        <f t="shared" si="38"/>
        <v>2000</v>
      </c>
      <c r="E613">
        <f t="shared" si="39"/>
        <v>5</v>
      </c>
    </row>
    <row r="614" spans="1:5" x14ac:dyDescent="0.3">
      <c r="A614" t="s">
        <v>739</v>
      </c>
      <c r="B614" t="s">
        <v>127</v>
      </c>
      <c r="C614">
        <v>438</v>
      </c>
      <c r="D614">
        <f t="shared" si="38"/>
        <v>2000</v>
      </c>
      <c r="E614">
        <f t="shared" si="39"/>
        <v>5</v>
      </c>
    </row>
    <row r="615" spans="1:5" x14ac:dyDescent="0.3">
      <c r="A615" t="s">
        <v>740</v>
      </c>
      <c r="B615" t="s">
        <v>127</v>
      </c>
      <c r="C615">
        <v>422</v>
      </c>
      <c r="D615">
        <f t="shared" si="38"/>
        <v>2000</v>
      </c>
      <c r="E615">
        <f t="shared" si="39"/>
        <v>6</v>
      </c>
    </row>
    <row r="616" spans="1:5" x14ac:dyDescent="0.3">
      <c r="A616" t="s">
        <v>741</v>
      </c>
      <c r="B616" t="s">
        <v>127</v>
      </c>
      <c r="C616">
        <v>392</v>
      </c>
      <c r="D616">
        <f t="shared" si="38"/>
        <v>2000</v>
      </c>
      <c r="E616">
        <f t="shared" si="39"/>
        <v>6</v>
      </c>
    </row>
    <row r="617" spans="1:5" x14ac:dyDescent="0.3">
      <c r="A617" t="s">
        <v>742</v>
      </c>
      <c r="B617" t="s">
        <v>127</v>
      </c>
      <c r="C617">
        <v>395</v>
      </c>
      <c r="D617">
        <f t="shared" si="38"/>
        <v>2000</v>
      </c>
      <c r="E617">
        <f t="shared" si="39"/>
        <v>6</v>
      </c>
    </row>
    <row r="618" spans="1:5" x14ac:dyDescent="0.3">
      <c r="A618" t="s">
        <v>743</v>
      </c>
      <c r="B618" t="s">
        <v>127</v>
      </c>
      <c r="C618">
        <v>404</v>
      </c>
      <c r="D618">
        <f t="shared" si="38"/>
        <v>2000</v>
      </c>
      <c r="E618">
        <f t="shared" si="39"/>
        <v>6</v>
      </c>
    </row>
    <row r="619" spans="1:5" x14ac:dyDescent="0.3">
      <c r="A619" t="s">
        <v>744</v>
      </c>
      <c r="B619" t="s">
        <v>127</v>
      </c>
      <c r="C619">
        <v>408</v>
      </c>
      <c r="D619">
        <f t="shared" si="38"/>
        <v>2000</v>
      </c>
      <c r="E619">
        <f t="shared" si="39"/>
        <v>6</v>
      </c>
    </row>
    <row r="620" spans="1:5" x14ac:dyDescent="0.3">
      <c r="A620" t="s">
        <v>745</v>
      </c>
      <c r="B620" t="s">
        <v>127</v>
      </c>
      <c r="C620">
        <v>427</v>
      </c>
      <c r="D620">
        <f t="shared" si="38"/>
        <v>2000</v>
      </c>
      <c r="E620">
        <f t="shared" si="39"/>
        <v>6</v>
      </c>
    </row>
    <row r="621" spans="1:5" x14ac:dyDescent="0.3">
      <c r="A621" t="s">
        <v>746</v>
      </c>
      <c r="B621" t="s">
        <v>127</v>
      </c>
      <c r="C621">
        <v>415</v>
      </c>
      <c r="D621">
        <f t="shared" si="38"/>
        <v>2000</v>
      </c>
      <c r="E621">
        <f t="shared" si="39"/>
        <v>6</v>
      </c>
    </row>
    <row r="622" spans="1:5" x14ac:dyDescent="0.3">
      <c r="A622" t="s">
        <v>747</v>
      </c>
      <c r="B622" t="s">
        <v>127</v>
      </c>
      <c r="C622">
        <v>425</v>
      </c>
      <c r="D622">
        <f t="shared" si="38"/>
        <v>2000</v>
      </c>
      <c r="E622">
        <f t="shared" si="39"/>
        <v>6</v>
      </c>
    </row>
    <row r="623" spans="1:5" x14ac:dyDescent="0.3">
      <c r="A623" t="s">
        <v>748</v>
      </c>
      <c r="B623" t="s">
        <v>127</v>
      </c>
      <c r="C623">
        <v>405</v>
      </c>
      <c r="D623">
        <f t="shared" si="38"/>
        <v>2000</v>
      </c>
      <c r="E623">
        <f t="shared" si="39"/>
        <v>6</v>
      </c>
    </row>
    <row r="624" spans="1:5" x14ac:dyDescent="0.3">
      <c r="A624" t="s">
        <v>749</v>
      </c>
      <c r="B624" t="s">
        <v>127</v>
      </c>
      <c r="C624">
        <v>405</v>
      </c>
      <c r="D624">
        <f t="shared" si="38"/>
        <v>2000</v>
      </c>
      <c r="E624">
        <f t="shared" si="39"/>
        <v>6</v>
      </c>
    </row>
    <row r="625" spans="1:5" x14ac:dyDescent="0.3">
      <c r="A625" t="s">
        <v>750</v>
      </c>
      <c r="B625" t="s">
        <v>127</v>
      </c>
      <c r="C625">
        <v>396</v>
      </c>
      <c r="D625">
        <f t="shared" si="38"/>
        <v>2000</v>
      </c>
      <c r="E625">
        <f t="shared" si="39"/>
        <v>6</v>
      </c>
    </row>
    <row r="626" spans="1:5" x14ac:dyDescent="0.3">
      <c r="A626" t="s">
        <v>751</v>
      </c>
      <c r="B626" t="s">
        <v>127</v>
      </c>
      <c r="C626">
        <v>405</v>
      </c>
      <c r="D626">
        <f t="shared" si="38"/>
        <v>2000</v>
      </c>
      <c r="E626">
        <f t="shared" si="39"/>
        <v>6</v>
      </c>
    </row>
    <row r="627" spans="1:5" x14ac:dyDescent="0.3">
      <c r="A627" t="s">
        <v>752</v>
      </c>
      <c r="B627" t="s">
        <v>127</v>
      </c>
      <c r="C627">
        <v>397</v>
      </c>
      <c r="D627">
        <f t="shared" si="38"/>
        <v>2000</v>
      </c>
      <c r="E627">
        <f t="shared" si="39"/>
        <v>6</v>
      </c>
    </row>
    <row r="628" spans="1:5" x14ac:dyDescent="0.3">
      <c r="A628" t="s">
        <v>753</v>
      </c>
      <c r="B628" t="s">
        <v>127</v>
      </c>
      <c r="C628">
        <v>395</v>
      </c>
      <c r="D628">
        <f t="shared" si="38"/>
        <v>2000</v>
      </c>
      <c r="E628">
        <f t="shared" si="39"/>
        <v>6</v>
      </c>
    </row>
    <row r="629" spans="1:5" x14ac:dyDescent="0.3">
      <c r="A629" t="s">
        <v>754</v>
      </c>
      <c r="B629" t="s">
        <v>127</v>
      </c>
      <c r="C629">
        <v>386</v>
      </c>
      <c r="D629">
        <f t="shared" si="38"/>
        <v>2000</v>
      </c>
      <c r="E629">
        <f t="shared" si="39"/>
        <v>6</v>
      </c>
    </row>
    <row r="630" spans="1:5" x14ac:dyDescent="0.3">
      <c r="A630" t="s">
        <v>755</v>
      </c>
      <c r="B630" t="s">
        <v>127</v>
      </c>
      <c r="C630">
        <v>384</v>
      </c>
      <c r="D630">
        <f t="shared" si="38"/>
        <v>2000</v>
      </c>
      <c r="E630">
        <f t="shared" si="39"/>
        <v>6</v>
      </c>
    </row>
    <row r="631" spans="1:5" x14ac:dyDescent="0.3">
      <c r="A631" t="s">
        <v>756</v>
      </c>
      <c r="B631" t="s">
        <v>127</v>
      </c>
      <c r="C631">
        <v>390</v>
      </c>
      <c r="D631">
        <f t="shared" si="38"/>
        <v>2000</v>
      </c>
      <c r="E631">
        <f t="shared" si="39"/>
        <v>6</v>
      </c>
    </row>
    <row r="632" spans="1:5" x14ac:dyDescent="0.3">
      <c r="A632" t="s">
        <v>757</v>
      </c>
      <c r="B632" t="s">
        <v>127</v>
      </c>
      <c r="C632">
        <v>401</v>
      </c>
      <c r="D632">
        <f t="shared" si="38"/>
        <v>2000</v>
      </c>
      <c r="E632">
        <f t="shared" si="39"/>
        <v>6</v>
      </c>
    </row>
    <row r="633" spans="1:5" x14ac:dyDescent="0.3">
      <c r="A633" t="s">
        <v>758</v>
      </c>
      <c r="B633" t="s">
        <v>127</v>
      </c>
      <c r="C633">
        <v>400</v>
      </c>
      <c r="D633">
        <f t="shared" si="38"/>
        <v>2000</v>
      </c>
      <c r="E633">
        <f t="shared" si="39"/>
        <v>6</v>
      </c>
    </row>
    <row r="634" spans="1:5" x14ac:dyDescent="0.3">
      <c r="A634" t="s">
        <v>759</v>
      </c>
      <c r="B634" t="s">
        <v>127</v>
      </c>
      <c r="C634">
        <v>388</v>
      </c>
      <c r="D634">
        <f t="shared" si="38"/>
        <v>2000</v>
      </c>
      <c r="E634">
        <f t="shared" si="39"/>
        <v>6</v>
      </c>
    </row>
    <row r="635" spans="1:5" x14ac:dyDescent="0.3">
      <c r="A635" t="s">
        <v>760</v>
      </c>
      <c r="B635" t="s">
        <v>127</v>
      </c>
      <c r="C635">
        <v>380</v>
      </c>
      <c r="D635">
        <f t="shared" si="38"/>
        <v>2000</v>
      </c>
      <c r="E635">
        <f t="shared" si="39"/>
        <v>6</v>
      </c>
    </row>
    <row r="636" spans="1:5" x14ac:dyDescent="0.3">
      <c r="A636" t="s">
        <v>761</v>
      </c>
      <c r="B636" t="s">
        <v>127</v>
      </c>
      <c r="C636">
        <v>381</v>
      </c>
      <c r="D636">
        <f t="shared" si="38"/>
        <v>2000</v>
      </c>
      <c r="E636">
        <f t="shared" si="39"/>
        <v>6</v>
      </c>
    </row>
    <row r="637" spans="1:5" x14ac:dyDescent="0.3">
      <c r="A637" t="s">
        <v>762</v>
      </c>
      <c r="B637" t="s">
        <v>127</v>
      </c>
      <c r="C637">
        <v>354</v>
      </c>
      <c r="D637">
        <f t="shared" si="38"/>
        <v>2000</v>
      </c>
      <c r="E637">
        <f t="shared" si="39"/>
        <v>7</v>
      </c>
    </row>
    <row r="638" spans="1:5" x14ac:dyDescent="0.3">
      <c r="A638" t="s">
        <v>763</v>
      </c>
      <c r="B638" t="s">
        <v>127</v>
      </c>
      <c r="C638">
        <v>354</v>
      </c>
      <c r="D638">
        <f t="shared" si="38"/>
        <v>2000</v>
      </c>
      <c r="E638">
        <f t="shared" si="39"/>
        <v>7</v>
      </c>
    </row>
    <row r="639" spans="1:5" x14ac:dyDescent="0.3">
      <c r="A639" t="s">
        <v>764</v>
      </c>
      <c r="B639" t="s">
        <v>127</v>
      </c>
      <c r="C639">
        <v>348</v>
      </c>
      <c r="D639">
        <f t="shared" si="38"/>
        <v>2000</v>
      </c>
      <c r="E639">
        <f t="shared" si="39"/>
        <v>7</v>
      </c>
    </row>
    <row r="640" spans="1:5" x14ac:dyDescent="0.3">
      <c r="A640" t="s">
        <v>765</v>
      </c>
      <c r="B640" t="s">
        <v>127</v>
      </c>
      <c r="C640">
        <v>354</v>
      </c>
      <c r="D640">
        <f t="shared" si="38"/>
        <v>2000</v>
      </c>
      <c r="E640">
        <f t="shared" si="39"/>
        <v>7</v>
      </c>
    </row>
    <row r="641" spans="1:5" x14ac:dyDescent="0.3">
      <c r="A641" t="s">
        <v>766</v>
      </c>
      <c r="B641" t="s">
        <v>127</v>
      </c>
      <c r="C641">
        <v>343</v>
      </c>
      <c r="D641">
        <f t="shared" si="38"/>
        <v>2000</v>
      </c>
      <c r="E641">
        <f t="shared" si="39"/>
        <v>7</v>
      </c>
    </row>
    <row r="642" spans="1:5" x14ac:dyDescent="0.3">
      <c r="A642" t="s">
        <v>767</v>
      </c>
      <c r="B642" t="s">
        <v>127</v>
      </c>
      <c r="C642">
        <v>347</v>
      </c>
      <c r="D642">
        <f t="shared" si="38"/>
        <v>2000</v>
      </c>
      <c r="E642">
        <f t="shared" si="39"/>
        <v>7</v>
      </c>
    </row>
    <row r="643" spans="1:5" x14ac:dyDescent="0.3">
      <c r="A643" t="s">
        <v>768</v>
      </c>
      <c r="B643" t="s">
        <v>127</v>
      </c>
      <c r="C643">
        <v>342</v>
      </c>
      <c r="D643">
        <f t="shared" ref="D643:D706" si="40">YEAR(A643)</f>
        <v>2000</v>
      </c>
      <c r="E643">
        <f t="shared" ref="E643:E706" si="41">MONTH(A643)</f>
        <v>7</v>
      </c>
    </row>
    <row r="644" spans="1:5" x14ac:dyDescent="0.3">
      <c r="A644" t="s">
        <v>769</v>
      </c>
      <c r="B644" t="s">
        <v>127</v>
      </c>
      <c r="C644">
        <v>352</v>
      </c>
      <c r="D644">
        <f t="shared" si="40"/>
        <v>2000</v>
      </c>
      <c r="E644">
        <f t="shared" si="41"/>
        <v>7</v>
      </c>
    </row>
    <row r="645" spans="1:5" x14ac:dyDescent="0.3">
      <c r="A645" t="s">
        <v>770</v>
      </c>
      <c r="B645" t="s">
        <v>127</v>
      </c>
      <c r="C645">
        <v>349</v>
      </c>
      <c r="D645">
        <f t="shared" si="40"/>
        <v>2000</v>
      </c>
      <c r="E645">
        <f t="shared" si="41"/>
        <v>7</v>
      </c>
    </row>
    <row r="646" spans="1:5" x14ac:dyDescent="0.3">
      <c r="A646" t="s">
        <v>771</v>
      </c>
      <c r="B646" t="s">
        <v>127</v>
      </c>
      <c r="C646">
        <v>347</v>
      </c>
      <c r="D646">
        <f t="shared" si="40"/>
        <v>2000</v>
      </c>
      <c r="E646">
        <f t="shared" si="41"/>
        <v>7</v>
      </c>
    </row>
    <row r="647" spans="1:5" x14ac:dyDescent="0.3">
      <c r="A647" t="s">
        <v>772</v>
      </c>
      <c r="B647" t="s">
        <v>127</v>
      </c>
      <c r="C647">
        <v>341</v>
      </c>
      <c r="D647">
        <f t="shared" si="40"/>
        <v>2000</v>
      </c>
      <c r="E647">
        <f t="shared" si="41"/>
        <v>7</v>
      </c>
    </row>
    <row r="648" spans="1:5" x14ac:dyDescent="0.3">
      <c r="A648" t="s">
        <v>773</v>
      </c>
      <c r="B648" t="s">
        <v>127</v>
      </c>
      <c r="C648">
        <v>351</v>
      </c>
      <c r="D648">
        <f t="shared" si="40"/>
        <v>2000</v>
      </c>
      <c r="E648">
        <f t="shared" si="41"/>
        <v>7</v>
      </c>
    </row>
    <row r="649" spans="1:5" x14ac:dyDescent="0.3">
      <c r="A649" t="s">
        <v>774</v>
      </c>
      <c r="B649" t="s">
        <v>127</v>
      </c>
      <c r="C649">
        <v>363</v>
      </c>
      <c r="D649">
        <f t="shared" si="40"/>
        <v>2000</v>
      </c>
      <c r="E649">
        <f t="shared" si="41"/>
        <v>7</v>
      </c>
    </row>
    <row r="650" spans="1:5" x14ac:dyDescent="0.3">
      <c r="A650" t="s">
        <v>775</v>
      </c>
      <c r="B650" t="s">
        <v>127</v>
      </c>
      <c r="C650">
        <v>356</v>
      </c>
      <c r="D650">
        <f t="shared" si="40"/>
        <v>2000</v>
      </c>
      <c r="E650">
        <f t="shared" si="41"/>
        <v>7</v>
      </c>
    </row>
    <row r="651" spans="1:5" x14ac:dyDescent="0.3">
      <c r="A651" t="s">
        <v>776</v>
      </c>
      <c r="B651" t="s">
        <v>127</v>
      </c>
      <c r="C651">
        <v>353</v>
      </c>
      <c r="D651">
        <f t="shared" si="40"/>
        <v>2000</v>
      </c>
      <c r="E651">
        <f t="shared" si="41"/>
        <v>7</v>
      </c>
    </row>
    <row r="652" spans="1:5" x14ac:dyDescent="0.3">
      <c r="A652" t="s">
        <v>777</v>
      </c>
      <c r="B652" t="s">
        <v>127</v>
      </c>
      <c r="C652">
        <v>354</v>
      </c>
      <c r="D652">
        <f t="shared" si="40"/>
        <v>2000</v>
      </c>
      <c r="E652">
        <f t="shared" si="41"/>
        <v>7</v>
      </c>
    </row>
    <row r="653" spans="1:5" x14ac:dyDescent="0.3">
      <c r="A653" t="s">
        <v>778</v>
      </c>
      <c r="B653" t="s">
        <v>127</v>
      </c>
      <c r="C653">
        <v>345</v>
      </c>
      <c r="D653">
        <f t="shared" si="40"/>
        <v>2000</v>
      </c>
      <c r="E653">
        <f t="shared" si="41"/>
        <v>7</v>
      </c>
    </row>
    <row r="654" spans="1:5" x14ac:dyDescent="0.3">
      <c r="A654" t="s">
        <v>779</v>
      </c>
      <c r="B654" t="s">
        <v>127</v>
      </c>
      <c r="C654">
        <v>365</v>
      </c>
      <c r="D654">
        <f t="shared" si="40"/>
        <v>2000</v>
      </c>
      <c r="E654">
        <f t="shared" si="41"/>
        <v>7</v>
      </c>
    </row>
    <row r="655" spans="1:5" x14ac:dyDescent="0.3">
      <c r="A655" t="s">
        <v>780</v>
      </c>
      <c r="B655" t="s">
        <v>127</v>
      </c>
      <c r="C655">
        <v>363</v>
      </c>
      <c r="D655">
        <f t="shared" si="40"/>
        <v>2000</v>
      </c>
      <c r="E655">
        <f t="shared" si="41"/>
        <v>7</v>
      </c>
    </row>
    <row r="656" spans="1:5" x14ac:dyDescent="0.3">
      <c r="A656" t="s">
        <v>781</v>
      </c>
      <c r="B656" t="s">
        <v>127</v>
      </c>
      <c r="C656">
        <v>353</v>
      </c>
      <c r="D656">
        <f t="shared" si="40"/>
        <v>2000</v>
      </c>
      <c r="E656">
        <f t="shared" si="41"/>
        <v>7</v>
      </c>
    </row>
    <row r="657" spans="1:5" x14ac:dyDescent="0.3">
      <c r="A657" t="s">
        <v>782</v>
      </c>
      <c r="B657" t="s">
        <v>127</v>
      </c>
      <c r="C657">
        <v>354</v>
      </c>
      <c r="D657">
        <f t="shared" si="40"/>
        <v>2000</v>
      </c>
      <c r="E657">
        <f t="shared" si="41"/>
        <v>8</v>
      </c>
    </row>
    <row r="658" spans="1:5" x14ac:dyDescent="0.3">
      <c r="A658" t="s">
        <v>783</v>
      </c>
      <c r="B658" t="s">
        <v>127</v>
      </c>
      <c r="C658">
        <v>352</v>
      </c>
      <c r="D658">
        <f t="shared" si="40"/>
        <v>2000</v>
      </c>
      <c r="E658">
        <f t="shared" si="41"/>
        <v>8</v>
      </c>
    </row>
    <row r="659" spans="1:5" x14ac:dyDescent="0.3">
      <c r="A659" t="s">
        <v>784</v>
      </c>
      <c r="B659" t="s">
        <v>127</v>
      </c>
      <c r="C659">
        <v>352</v>
      </c>
      <c r="D659">
        <f t="shared" si="40"/>
        <v>2000</v>
      </c>
      <c r="E659">
        <f t="shared" si="41"/>
        <v>8</v>
      </c>
    </row>
    <row r="660" spans="1:5" x14ac:dyDescent="0.3">
      <c r="A660" t="s">
        <v>785</v>
      </c>
      <c r="B660" t="s">
        <v>127</v>
      </c>
      <c r="C660">
        <v>347</v>
      </c>
      <c r="D660">
        <f t="shared" si="40"/>
        <v>2000</v>
      </c>
      <c r="E660">
        <f t="shared" si="41"/>
        <v>8</v>
      </c>
    </row>
    <row r="661" spans="1:5" x14ac:dyDescent="0.3">
      <c r="A661" t="s">
        <v>786</v>
      </c>
      <c r="B661" t="s">
        <v>127</v>
      </c>
      <c r="C661">
        <v>341</v>
      </c>
      <c r="D661">
        <f t="shared" si="40"/>
        <v>2000</v>
      </c>
      <c r="E661">
        <f t="shared" si="41"/>
        <v>8</v>
      </c>
    </row>
    <row r="662" spans="1:5" x14ac:dyDescent="0.3">
      <c r="A662" t="s">
        <v>787</v>
      </c>
      <c r="B662" t="s">
        <v>127</v>
      </c>
      <c r="C662">
        <v>343</v>
      </c>
      <c r="D662">
        <f t="shared" si="40"/>
        <v>2000</v>
      </c>
      <c r="E662">
        <f t="shared" si="41"/>
        <v>8</v>
      </c>
    </row>
    <row r="663" spans="1:5" x14ac:dyDescent="0.3">
      <c r="A663" t="s">
        <v>788</v>
      </c>
      <c r="B663" t="s">
        <v>127</v>
      </c>
      <c r="C663">
        <v>333</v>
      </c>
      <c r="D663">
        <f t="shared" si="40"/>
        <v>2000</v>
      </c>
      <c r="E663">
        <f t="shared" si="41"/>
        <v>8</v>
      </c>
    </row>
    <row r="664" spans="1:5" x14ac:dyDescent="0.3">
      <c r="A664" t="s">
        <v>789</v>
      </c>
      <c r="B664" t="s">
        <v>127</v>
      </c>
      <c r="C664">
        <v>340</v>
      </c>
      <c r="D664">
        <f t="shared" si="40"/>
        <v>2000</v>
      </c>
      <c r="E664">
        <f t="shared" si="41"/>
        <v>8</v>
      </c>
    </row>
    <row r="665" spans="1:5" x14ac:dyDescent="0.3">
      <c r="A665" t="s">
        <v>790</v>
      </c>
      <c r="B665" t="s">
        <v>127</v>
      </c>
      <c r="C665">
        <v>328</v>
      </c>
      <c r="D665">
        <f t="shared" si="40"/>
        <v>2000</v>
      </c>
      <c r="E665">
        <f t="shared" si="41"/>
        <v>8</v>
      </c>
    </row>
    <row r="666" spans="1:5" x14ac:dyDescent="0.3">
      <c r="A666" t="s">
        <v>791</v>
      </c>
      <c r="B666" t="s">
        <v>127</v>
      </c>
      <c r="C666">
        <v>334</v>
      </c>
      <c r="D666">
        <f t="shared" si="40"/>
        <v>2000</v>
      </c>
      <c r="E666">
        <f t="shared" si="41"/>
        <v>8</v>
      </c>
    </row>
    <row r="667" spans="1:5" x14ac:dyDescent="0.3">
      <c r="A667" t="s">
        <v>792</v>
      </c>
      <c r="B667" t="s">
        <v>127</v>
      </c>
      <c r="C667">
        <v>337</v>
      </c>
      <c r="D667">
        <f t="shared" si="40"/>
        <v>2000</v>
      </c>
      <c r="E667">
        <f t="shared" si="41"/>
        <v>8</v>
      </c>
    </row>
    <row r="668" spans="1:5" x14ac:dyDescent="0.3">
      <c r="A668" t="s">
        <v>793</v>
      </c>
      <c r="B668" t="s">
        <v>127</v>
      </c>
      <c r="C668">
        <v>334</v>
      </c>
      <c r="D668">
        <f t="shared" si="40"/>
        <v>2000</v>
      </c>
      <c r="E668">
        <f t="shared" si="41"/>
        <v>8</v>
      </c>
    </row>
    <row r="669" spans="1:5" x14ac:dyDescent="0.3">
      <c r="A669" t="s">
        <v>794</v>
      </c>
      <c r="B669" t="s">
        <v>127</v>
      </c>
      <c r="C669">
        <v>325</v>
      </c>
      <c r="D669">
        <f t="shared" si="40"/>
        <v>2000</v>
      </c>
      <c r="E669">
        <f t="shared" si="41"/>
        <v>8</v>
      </c>
    </row>
    <row r="670" spans="1:5" x14ac:dyDescent="0.3">
      <c r="A670" t="s">
        <v>795</v>
      </c>
      <c r="B670" t="s">
        <v>127</v>
      </c>
      <c r="C670">
        <v>328</v>
      </c>
      <c r="D670">
        <f t="shared" si="40"/>
        <v>2000</v>
      </c>
      <c r="E670">
        <f t="shared" si="41"/>
        <v>8</v>
      </c>
    </row>
    <row r="671" spans="1:5" x14ac:dyDescent="0.3">
      <c r="A671" t="s">
        <v>796</v>
      </c>
      <c r="B671" t="s">
        <v>127</v>
      </c>
      <c r="C671">
        <v>335</v>
      </c>
      <c r="D671">
        <f t="shared" si="40"/>
        <v>2000</v>
      </c>
      <c r="E671">
        <f t="shared" si="41"/>
        <v>8</v>
      </c>
    </row>
    <row r="672" spans="1:5" x14ac:dyDescent="0.3">
      <c r="A672" t="s">
        <v>797</v>
      </c>
      <c r="B672" t="s">
        <v>127</v>
      </c>
      <c r="C672">
        <v>327</v>
      </c>
      <c r="D672">
        <f t="shared" si="40"/>
        <v>2000</v>
      </c>
      <c r="E672">
        <f t="shared" si="41"/>
        <v>8</v>
      </c>
    </row>
    <row r="673" spans="1:5" x14ac:dyDescent="0.3">
      <c r="A673" t="s">
        <v>798</v>
      </c>
      <c r="B673" t="s">
        <v>127</v>
      </c>
      <c r="C673">
        <v>332</v>
      </c>
      <c r="D673">
        <f t="shared" si="40"/>
        <v>2000</v>
      </c>
      <c r="E673">
        <f t="shared" si="41"/>
        <v>8</v>
      </c>
    </row>
    <row r="674" spans="1:5" x14ac:dyDescent="0.3">
      <c r="A674" t="s">
        <v>799</v>
      </c>
      <c r="B674" t="s">
        <v>127</v>
      </c>
      <c r="C674">
        <v>330</v>
      </c>
      <c r="D674">
        <f t="shared" si="40"/>
        <v>2000</v>
      </c>
      <c r="E674">
        <f t="shared" si="41"/>
        <v>8</v>
      </c>
    </row>
    <row r="675" spans="1:5" x14ac:dyDescent="0.3">
      <c r="A675" t="s">
        <v>800</v>
      </c>
      <c r="B675" t="s">
        <v>127</v>
      </c>
      <c r="C675">
        <v>326</v>
      </c>
      <c r="D675">
        <f t="shared" si="40"/>
        <v>2000</v>
      </c>
      <c r="E675">
        <f t="shared" si="41"/>
        <v>8</v>
      </c>
    </row>
    <row r="676" spans="1:5" x14ac:dyDescent="0.3">
      <c r="A676" t="s">
        <v>801</v>
      </c>
      <c r="B676" t="s">
        <v>127</v>
      </c>
      <c r="C676">
        <v>321</v>
      </c>
      <c r="D676">
        <f t="shared" si="40"/>
        <v>2000</v>
      </c>
      <c r="E676">
        <f t="shared" si="41"/>
        <v>8</v>
      </c>
    </row>
    <row r="677" spans="1:5" x14ac:dyDescent="0.3">
      <c r="A677" t="s">
        <v>802</v>
      </c>
      <c r="B677" t="s">
        <v>127</v>
      </c>
      <c r="C677">
        <v>322</v>
      </c>
      <c r="D677">
        <f t="shared" si="40"/>
        <v>2000</v>
      </c>
      <c r="E677">
        <f t="shared" si="41"/>
        <v>8</v>
      </c>
    </row>
    <row r="678" spans="1:5" x14ac:dyDescent="0.3">
      <c r="A678" t="s">
        <v>803</v>
      </c>
      <c r="B678" t="s">
        <v>127</v>
      </c>
      <c r="C678">
        <v>315</v>
      </c>
      <c r="D678">
        <f t="shared" si="40"/>
        <v>2000</v>
      </c>
      <c r="E678">
        <f t="shared" si="41"/>
        <v>8</v>
      </c>
    </row>
    <row r="679" spans="1:5" x14ac:dyDescent="0.3">
      <c r="A679" t="s">
        <v>804</v>
      </c>
      <c r="B679" t="s">
        <v>127</v>
      </c>
      <c r="C679">
        <v>321</v>
      </c>
      <c r="D679">
        <f t="shared" si="40"/>
        <v>2000</v>
      </c>
      <c r="E679">
        <f t="shared" si="41"/>
        <v>8</v>
      </c>
    </row>
    <row r="680" spans="1:5" x14ac:dyDescent="0.3">
      <c r="A680" t="s">
        <v>805</v>
      </c>
      <c r="B680" t="s">
        <v>127</v>
      </c>
      <c r="C680">
        <v>321</v>
      </c>
      <c r="D680">
        <f t="shared" si="40"/>
        <v>2000</v>
      </c>
      <c r="E680">
        <f t="shared" si="41"/>
        <v>9</v>
      </c>
    </row>
    <row r="681" spans="1:5" x14ac:dyDescent="0.3">
      <c r="A681" t="s">
        <v>806</v>
      </c>
      <c r="B681" t="s">
        <v>127</v>
      </c>
      <c r="C681">
        <v>326</v>
      </c>
      <c r="D681">
        <f t="shared" si="40"/>
        <v>2000</v>
      </c>
      <c r="E681">
        <f t="shared" si="41"/>
        <v>9</v>
      </c>
    </row>
    <row r="682" spans="1:5" x14ac:dyDescent="0.3">
      <c r="A682" t="s">
        <v>807</v>
      </c>
      <c r="B682" t="s">
        <v>127</v>
      </c>
      <c r="C682">
        <v>322</v>
      </c>
      <c r="D682">
        <f t="shared" si="40"/>
        <v>2000</v>
      </c>
      <c r="E682">
        <f t="shared" si="41"/>
        <v>9</v>
      </c>
    </row>
    <row r="683" spans="1:5" x14ac:dyDescent="0.3">
      <c r="A683" t="s">
        <v>808</v>
      </c>
      <c r="B683" t="s">
        <v>127</v>
      </c>
      <c r="C683">
        <v>319</v>
      </c>
      <c r="D683">
        <f t="shared" si="40"/>
        <v>2000</v>
      </c>
      <c r="E683">
        <f t="shared" si="41"/>
        <v>9</v>
      </c>
    </row>
    <row r="684" spans="1:5" x14ac:dyDescent="0.3">
      <c r="A684" t="s">
        <v>809</v>
      </c>
      <c r="B684" t="s">
        <v>127</v>
      </c>
      <c r="C684">
        <v>327</v>
      </c>
      <c r="D684">
        <f t="shared" si="40"/>
        <v>2000</v>
      </c>
      <c r="E684">
        <f t="shared" si="41"/>
        <v>9</v>
      </c>
    </row>
    <row r="685" spans="1:5" x14ac:dyDescent="0.3">
      <c r="A685" t="s">
        <v>810</v>
      </c>
      <c r="B685" t="s">
        <v>127</v>
      </c>
      <c r="C685">
        <v>323</v>
      </c>
      <c r="D685">
        <f t="shared" si="40"/>
        <v>2000</v>
      </c>
      <c r="E685">
        <f t="shared" si="41"/>
        <v>9</v>
      </c>
    </row>
    <row r="686" spans="1:5" x14ac:dyDescent="0.3">
      <c r="A686" t="s">
        <v>811</v>
      </c>
      <c r="B686" t="s">
        <v>127</v>
      </c>
      <c r="C686">
        <v>321</v>
      </c>
      <c r="D686">
        <f t="shared" si="40"/>
        <v>2000</v>
      </c>
      <c r="E686">
        <f t="shared" si="41"/>
        <v>9</v>
      </c>
    </row>
    <row r="687" spans="1:5" x14ac:dyDescent="0.3">
      <c r="A687" t="s">
        <v>812</v>
      </c>
      <c r="B687" t="s">
        <v>127</v>
      </c>
      <c r="C687">
        <v>337</v>
      </c>
      <c r="D687">
        <f t="shared" si="40"/>
        <v>2000</v>
      </c>
      <c r="E687">
        <f t="shared" si="41"/>
        <v>9</v>
      </c>
    </row>
    <row r="688" spans="1:5" x14ac:dyDescent="0.3">
      <c r="A688" t="s">
        <v>813</v>
      </c>
      <c r="B688" t="s">
        <v>127</v>
      </c>
      <c r="C688">
        <v>334</v>
      </c>
      <c r="D688">
        <f t="shared" si="40"/>
        <v>2000</v>
      </c>
      <c r="E688">
        <f t="shared" si="41"/>
        <v>9</v>
      </c>
    </row>
    <row r="689" spans="1:5" x14ac:dyDescent="0.3">
      <c r="A689" t="s">
        <v>814</v>
      </c>
      <c r="B689" t="s">
        <v>127</v>
      </c>
      <c r="C689">
        <v>330</v>
      </c>
      <c r="D689">
        <f t="shared" si="40"/>
        <v>2000</v>
      </c>
      <c r="E689">
        <f t="shared" si="41"/>
        <v>9</v>
      </c>
    </row>
    <row r="690" spans="1:5" x14ac:dyDescent="0.3">
      <c r="A690" t="s">
        <v>815</v>
      </c>
      <c r="B690" t="s">
        <v>127</v>
      </c>
      <c r="C690">
        <v>343</v>
      </c>
      <c r="D690">
        <f t="shared" si="40"/>
        <v>2000</v>
      </c>
      <c r="E690">
        <f t="shared" si="41"/>
        <v>9</v>
      </c>
    </row>
    <row r="691" spans="1:5" x14ac:dyDescent="0.3">
      <c r="A691" t="s">
        <v>816</v>
      </c>
      <c r="B691" t="s">
        <v>127</v>
      </c>
      <c r="C691">
        <v>338</v>
      </c>
      <c r="D691">
        <f t="shared" si="40"/>
        <v>2000</v>
      </c>
      <c r="E691">
        <f t="shared" si="41"/>
        <v>9</v>
      </c>
    </row>
    <row r="692" spans="1:5" x14ac:dyDescent="0.3">
      <c r="A692" t="s">
        <v>817</v>
      </c>
      <c r="B692" t="s">
        <v>127</v>
      </c>
      <c r="C692">
        <v>341</v>
      </c>
      <c r="D692">
        <f t="shared" si="40"/>
        <v>2000</v>
      </c>
      <c r="E692">
        <f t="shared" si="41"/>
        <v>9</v>
      </c>
    </row>
    <row r="693" spans="1:5" x14ac:dyDescent="0.3">
      <c r="A693" t="s">
        <v>818</v>
      </c>
      <c r="B693" t="s">
        <v>127</v>
      </c>
      <c r="C693">
        <v>330</v>
      </c>
      <c r="D693">
        <f t="shared" si="40"/>
        <v>2000</v>
      </c>
      <c r="E693">
        <f t="shared" si="41"/>
        <v>9</v>
      </c>
    </row>
    <row r="694" spans="1:5" x14ac:dyDescent="0.3">
      <c r="A694" t="s">
        <v>819</v>
      </c>
      <c r="B694" t="s">
        <v>127</v>
      </c>
      <c r="C694">
        <v>334</v>
      </c>
      <c r="D694">
        <f t="shared" si="40"/>
        <v>2000</v>
      </c>
      <c r="E694">
        <f t="shared" si="41"/>
        <v>9</v>
      </c>
    </row>
    <row r="695" spans="1:5" x14ac:dyDescent="0.3">
      <c r="A695" t="s">
        <v>820</v>
      </c>
      <c r="B695" t="s">
        <v>127</v>
      </c>
      <c r="C695">
        <v>331</v>
      </c>
      <c r="D695">
        <f t="shared" si="40"/>
        <v>2000</v>
      </c>
      <c r="E695">
        <f t="shared" si="41"/>
        <v>9</v>
      </c>
    </row>
    <row r="696" spans="1:5" x14ac:dyDescent="0.3">
      <c r="A696" t="s">
        <v>821</v>
      </c>
      <c r="B696" t="s">
        <v>127</v>
      </c>
      <c r="C696">
        <v>332</v>
      </c>
      <c r="D696">
        <f t="shared" si="40"/>
        <v>2000</v>
      </c>
      <c r="E696">
        <f t="shared" si="41"/>
        <v>9</v>
      </c>
    </row>
    <row r="697" spans="1:5" x14ac:dyDescent="0.3">
      <c r="A697" t="s">
        <v>822</v>
      </c>
      <c r="B697" t="s">
        <v>127</v>
      </c>
      <c r="C697">
        <v>332</v>
      </c>
      <c r="D697">
        <f t="shared" si="40"/>
        <v>2000</v>
      </c>
      <c r="E697">
        <f t="shared" si="41"/>
        <v>9</v>
      </c>
    </row>
    <row r="698" spans="1:5" x14ac:dyDescent="0.3">
      <c r="A698" t="s">
        <v>823</v>
      </c>
      <c r="B698" t="s">
        <v>127</v>
      </c>
      <c r="C698">
        <v>319</v>
      </c>
      <c r="D698">
        <f t="shared" si="40"/>
        <v>2000</v>
      </c>
      <c r="E698">
        <f t="shared" si="41"/>
        <v>9</v>
      </c>
    </row>
    <row r="699" spans="1:5" x14ac:dyDescent="0.3">
      <c r="A699" t="s">
        <v>824</v>
      </c>
      <c r="B699" t="s">
        <v>127</v>
      </c>
      <c r="C699">
        <v>318</v>
      </c>
      <c r="D699">
        <f t="shared" si="40"/>
        <v>2000</v>
      </c>
      <c r="E699">
        <f t="shared" si="41"/>
        <v>9</v>
      </c>
    </row>
    <row r="700" spans="1:5" x14ac:dyDescent="0.3">
      <c r="A700" t="s">
        <v>825</v>
      </c>
      <c r="B700" t="s">
        <v>127</v>
      </c>
      <c r="C700">
        <v>316</v>
      </c>
      <c r="D700">
        <f t="shared" si="40"/>
        <v>2000</v>
      </c>
      <c r="E700">
        <f t="shared" si="41"/>
        <v>10</v>
      </c>
    </row>
    <row r="701" spans="1:5" x14ac:dyDescent="0.3">
      <c r="A701" t="s">
        <v>826</v>
      </c>
      <c r="B701" t="s">
        <v>127</v>
      </c>
      <c r="C701">
        <v>305</v>
      </c>
      <c r="D701">
        <f t="shared" si="40"/>
        <v>2000</v>
      </c>
      <c r="E701">
        <f t="shared" si="41"/>
        <v>10</v>
      </c>
    </row>
    <row r="702" spans="1:5" x14ac:dyDescent="0.3">
      <c r="A702" t="s">
        <v>827</v>
      </c>
      <c r="B702" t="s">
        <v>127</v>
      </c>
      <c r="C702">
        <v>305</v>
      </c>
      <c r="D702">
        <f t="shared" si="40"/>
        <v>2000</v>
      </c>
      <c r="E702">
        <f t="shared" si="41"/>
        <v>10</v>
      </c>
    </row>
    <row r="703" spans="1:5" x14ac:dyDescent="0.3">
      <c r="A703" t="s">
        <v>828</v>
      </c>
      <c r="B703" t="s">
        <v>127</v>
      </c>
      <c r="C703">
        <v>305</v>
      </c>
      <c r="D703">
        <f t="shared" si="40"/>
        <v>2000</v>
      </c>
      <c r="E703">
        <f t="shared" si="41"/>
        <v>10</v>
      </c>
    </row>
    <row r="704" spans="1:5" x14ac:dyDescent="0.3">
      <c r="A704" t="s">
        <v>829</v>
      </c>
      <c r="B704" t="s">
        <v>127</v>
      </c>
      <c r="C704">
        <v>325</v>
      </c>
      <c r="D704">
        <f t="shared" si="40"/>
        <v>2000</v>
      </c>
      <c r="E704">
        <f t="shared" si="41"/>
        <v>10</v>
      </c>
    </row>
    <row r="705" spans="1:5" x14ac:dyDescent="0.3">
      <c r="A705" t="s">
        <v>830</v>
      </c>
      <c r="B705" t="s">
        <v>127</v>
      </c>
      <c r="C705">
        <v>325</v>
      </c>
      <c r="D705">
        <f t="shared" si="40"/>
        <v>2000</v>
      </c>
      <c r="E705">
        <f t="shared" si="41"/>
        <v>10</v>
      </c>
    </row>
    <row r="706" spans="1:5" x14ac:dyDescent="0.3">
      <c r="A706" t="s">
        <v>831</v>
      </c>
      <c r="B706" t="s">
        <v>127</v>
      </c>
      <c r="C706">
        <v>338</v>
      </c>
      <c r="D706">
        <f t="shared" si="40"/>
        <v>2000</v>
      </c>
      <c r="E706">
        <f t="shared" si="41"/>
        <v>10</v>
      </c>
    </row>
    <row r="707" spans="1:5" x14ac:dyDescent="0.3">
      <c r="A707" t="s">
        <v>832</v>
      </c>
      <c r="B707" t="s">
        <v>127</v>
      </c>
      <c r="C707">
        <v>350</v>
      </c>
      <c r="D707">
        <f t="shared" ref="D707:D770" si="42">YEAR(A707)</f>
        <v>2000</v>
      </c>
      <c r="E707">
        <f t="shared" ref="E707:E770" si="43">MONTH(A707)</f>
        <v>10</v>
      </c>
    </row>
    <row r="708" spans="1:5" x14ac:dyDescent="0.3">
      <c r="A708" t="s">
        <v>833</v>
      </c>
      <c r="B708" t="s">
        <v>127</v>
      </c>
      <c r="C708">
        <v>366</v>
      </c>
      <c r="D708">
        <f t="shared" si="42"/>
        <v>2000</v>
      </c>
      <c r="E708">
        <f t="shared" si="43"/>
        <v>10</v>
      </c>
    </row>
    <row r="709" spans="1:5" x14ac:dyDescent="0.3">
      <c r="A709" t="s">
        <v>834</v>
      </c>
      <c r="B709" t="s">
        <v>127</v>
      </c>
      <c r="C709">
        <v>370</v>
      </c>
      <c r="D709">
        <f t="shared" si="42"/>
        <v>2000</v>
      </c>
      <c r="E709">
        <f t="shared" si="43"/>
        <v>10</v>
      </c>
    </row>
    <row r="710" spans="1:5" x14ac:dyDescent="0.3">
      <c r="A710" t="s">
        <v>835</v>
      </c>
      <c r="B710" t="s">
        <v>127</v>
      </c>
      <c r="C710">
        <v>364</v>
      </c>
      <c r="D710">
        <f t="shared" si="42"/>
        <v>2000</v>
      </c>
      <c r="E710">
        <f t="shared" si="43"/>
        <v>10</v>
      </c>
    </row>
    <row r="711" spans="1:5" x14ac:dyDescent="0.3">
      <c r="A711" t="s">
        <v>836</v>
      </c>
      <c r="B711" t="s">
        <v>127</v>
      </c>
      <c r="C711">
        <v>385</v>
      </c>
      <c r="D711">
        <f t="shared" si="42"/>
        <v>2000</v>
      </c>
      <c r="E711">
        <f t="shared" si="43"/>
        <v>10</v>
      </c>
    </row>
    <row r="712" spans="1:5" x14ac:dyDescent="0.3">
      <c r="A712" t="s">
        <v>837</v>
      </c>
      <c r="B712" t="s">
        <v>127</v>
      </c>
      <c r="C712">
        <v>391</v>
      </c>
      <c r="D712">
        <f t="shared" si="42"/>
        <v>2000</v>
      </c>
      <c r="E712">
        <f t="shared" si="43"/>
        <v>10</v>
      </c>
    </row>
    <row r="713" spans="1:5" x14ac:dyDescent="0.3">
      <c r="A713" t="s">
        <v>838</v>
      </c>
      <c r="B713" t="s">
        <v>127</v>
      </c>
      <c r="C713">
        <v>382</v>
      </c>
      <c r="D713">
        <f t="shared" si="42"/>
        <v>2000</v>
      </c>
      <c r="E713">
        <f t="shared" si="43"/>
        <v>10</v>
      </c>
    </row>
    <row r="714" spans="1:5" x14ac:dyDescent="0.3">
      <c r="A714" t="s">
        <v>839</v>
      </c>
      <c r="B714" t="s">
        <v>127</v>
      </c>
      <c r="C714">
        <v>374</v>
      </c>
      <c r="D714">
        <f t="shared" si="42"/>
        <v>2000</v>
      </c>
      <c r="E714">
        <f t="shared" si="43"/>
        <v>10</v>
      </c>
    </row>
    <row r="715" spans="1:5" x14ac:dyDescent="0.3">
      <c r="A715" t="s">
        <v>840</v>
      </c>
      <c r="B715" t="s">
        <v>127</v>
      </c>
      <c r="C715">
        <v>389</v>
      </c>
      <c r="D715">
        <f t="shared" si="42"/>
        <v>2000</v>
      </c>
      <c r="E715">
        <f t="shared" si="43"/>
        <v>10</v>
      </c>
    </row>
    <row r="716" spans="1:5" x14ac:dyDescent="0.3">
      <c r="A716" t="s">
        <v>841</v>
      </c>
      <c r="B716" t="s">
        <v>127</v>
      </c>
      <c r="C716">
        <v>389</v>
      </c>
      <c r="D716">
        <f t="shared" si="42"/>
        <v>2000</v>
      </c>
      <c r="E716">
        <f t="shared" si="43"/>
        <v>10</v>
      </c>
    </row>
    <row r="717" spans="1:5" x14ac:dyDescent="0.3">
      <c r="A717" t="s">
        <v>842</v>
      </c>
      <c r="B717" t="s">
        <v>127</v>
      </c>
      <c r="C717">
        <v>385</v>
      </c>
      <c r="D717">
        <f t="shared" si="42"/>
        <v>2000</v>
      </c>
      <c r="E717">
        <f t="shared" si="43"/>
        <v>10</v>
      </c>
    </row>
    <row r="718" spans="1:5" x14ac:dyDescent="0.3">
      <c r="A718" t="s">
        <v>843</v>
      </c>
      <c r="B718" t="s">
        <v>127</v>
      </c>
      <c r="C718">
        <v>384</v>
      </c>
      <c r="D718">
        <f t="shared" si="42"/>
        <v>2000</v>
      </c>
      <c r="E718">
        <f t="shared" si="43"/>
        <v>10</v>
      </c>
    </row>
    <row r="719" spans="1:5" x14ac:dyDescent="0.3">
      <c r="A719" t="s">
        <v>844</v>
      </c>
      <c r="B719" t="s">
        <v>127</v>
      </c>
      <c r="C719">
        <v>376</v>
      </c>
      <c r="D719">
        <f t="shared" si="42"/>
        <v>2000</v>
      </c>
      <c r="E719">
        <f t="shared" si="43"/>
        <v>10</v>
      </c>
    </row>
    <row r="720" spans="1:5" x14ac:dyDescent="0.3">
      <c r="A720" t="s">
        <v>845</v>
      </c>
      <c r="B720" t="s">
        <v>127</v>
      </c>
      <c r="C720">
        <v>374</v>
      </c>
      <c r="D720">
        <f t="shared" si="42"/>
        <v>2000</v>
      </c>
      <c r="E720">
        <f t="shared" si="43"/>
        <v>10</v>
      </c>
    </row>
    <row r="721" spans="1:5" x14ac:dyDescent="0.3">
      <c r="A721" t="s">
        <v>846</v>
      </c>
      <c r="B721" t="s">
        <v>127</v>
      </c>
      <c r="C721">
        <v>365</v>
      </c>
      <c r="D721">
        <f t="shared" si="42"/>
        <v>2000</v>
      </c>
      <c r="E721">
        <f t="shared" si="43"/>
        <v>10</v>
      </c>
    </row>
    <row r="722" spans="1:5" x14ac:dyDescent="0.3">
      <c r="A722" t="s">
        <v>847</v>
      </c>
      <c r="B722" t="s">
        <v>127</v>
      </c>
      <c r="C722">
        <v>364</v>
      </c>
      <c r="D722">
        <f t="shared" si="42"/>
        <v>2000</v>
      </c>
      <c r="E722">
        <f t="shared" si="43"/>
        <v>11</v>
      </c>
    </row>
    <row r="723" spans="1:5" x14ac:dyDescent="0.3">
      <c r="A723" t="s">
        <v>848</v>
      </c>
      <c r="B723" t="s">
        <v>127</v>
      </c>
      <c r="C723">
        <v>356</v>
      </c>
      <c r="D723">
        <f t="shared" si="42"/>
        <v>2000</v>
      </c>
      <c r="E723">
        <f t="shared" si="43"/>
        <v>11</v>
      </c>
    </row>
    <row r="724" spans="1:5" x14ac:dyDescent="0.3">
      <c r="A724" t="s">
        <v>849</v>
      </c>
      <c r="B724" t="s">
        <v>127</v>
      </c>
      <c r="C724">
        <v>351</v>
      </c>
      <c r="D724">
        <f t="shared" si="42"/>
        <v>2000</v>
      </c>
      <c r="E724">
        <f t="shared" si="43"/>
        <v>11</v>
      </c>
    </row>
    <row r="725" spans="1:5" x14ac:dyDescent="0.3">
      <c r="A725" t="s">
        <v>850</v>
      </c>
      <c r="B725" t="s">
        <v>127</v>
      </c>
      <c r="C725">
        <v>349</v>
      </c>
      <c r="D725">
        <f t="shared" si="42"/>
        <v>2000</v>
      </c>
      <c r="E725">
        <f t="shared" si="43"/>
        <v>11</v>
      </c>
    </row>
    <row r="726" spans="1:5" x14ac:dyDescent="0.3">
      <c r="A726" t="s">
        <v>851</v>
      </c>
      <c r="B726" t="s">
        <v>127</v>
      </c>
      <c r="C726">
        <v>352</v>
      </c>
      <c r="D726">
        <f t="shared" si="42"/>
        <v>2000</v>
      </c>
      <c r="E726">
        <f t="shared" si="43"/>
        <v>11</v>
      </c>
    </row>
    <row r="727" spans="1:5" x14ac:dyDescent="0.3">
      <c r="A727" t="s">
        <v>852</v>
      </c>
      <c r="B727" t="s">
        <v>127</v>
      </c>
      <c r="C727">
        <v>360</v>
      </c>
      <c r="D727">
        <f t="shared" si="42"/>
        <v>2000</v>
      </c>
      <c r="E727">
        <f t="shared" si="43"/>
        <v>11</v>
      </c>
    </row>
    <row r="728" spans="1:5" x14ac:dyDescent="0.3">
      <c r="A728" t="s">
        <v>853</v>
      </c>
      <c r="B728" t="s">
        <v>127</v>
      </c>
      <c r="C728">
        <v>369</v>
      </c>
      <c r="D728">
        <f t="shared" si="42"/>
        <v>2000</v>
      </c>
      <c r="E728">
        <f t="shared" si="43"/>
        <v>11</v>
      </c>
    </row>
    <row r="729" spans="1:5" x14ac:dyDescent="0.3">
      <c r="A729" t="s">
        <v>854</v>
      </c>
      <c r="B729" t="s">
        <v>127</v>
      </c>
      <c r="C729">
        <v>366</v>
      </c>
      <c r="D729">
        <f t="shared" si="42"/>
        <v>2000</v>
      </c>
      <c r="E729">
        <f t="shared" si="43"/>
        <v>11</v>
      </c>
    </row>
    <row r="730" spans="1:5" x14ac:dyDescent="0.3">
      <c r="A730" t="s">
        <v>855</v>
      </c>
      <c r="B730" t="s">
        <v>127</v>
      </c>
      <c r="C730">
        <v>366</v>
      </c>
      <c r="D730">
        <f t="shared" si="42"/>
        <v>2000</v>
      </c>
      <c r="E730">
        <f t="shared" si="43"/>
        <v>11</v>
      </c>
    </row>
    <row r="731" spans="1:5" x14ac:dyDescent="0.3">
      <c r="A731" t="s">
        <v>856</v>
      </c>
      <c r="B731" t="s">
        <v>127</v>
      </c>
      <c r="C731">
        <v>360</v>
      </c>
      <c r="D731">
        <f t="shared" si="42"/>
        <v>2000</v>
      </c>
      <c r="E731">
        <f t="shared" si="43"/>
        <v>11</v>
      </c>
    </row>
    <row r="732" spans="1:5" x14ac:dyDescent="0.3">
      <c r="A732" t="s">
        <v>857</v>
      </c>
      <c r="B732" t="s">
        <v>127</v>
      </c>
      <c r="C732">
        <v>354</v>
      </c>
      <c r="D732">
        <f t="shared" si="42"/>
        <v>2000</v>
      </c>
      <c r="E732">
        <f t="shared" si="43"/>
        <v>11</v>
      </c>
    </row>
    <row r="733" spans="1:5" x14ac:dyDescent="0.3">
      <c r="A733" t="s">
        <v>858</v>
      </c>
      <c r="B733" t="s">
        <v>127</v>
      </c>
      <c r="C733">
        <v>352</v>
      </c>
      <c r="D733">
        <f t="shared" si="42"/>
        <v>2000</v>
      </c>
      <c r="E733">
        <f t="shared" si="43"/>
        <v>11</v>
      </c>
    </row>
    <row r="734" spans="1:5" x14ac:dyDescent="0.3">
      <c r="A734" t="s">
        <v>859</v>
      </c>
      <c r="B734" t="s">
        <v>127</v>
      </c>
      <c r="C734">
        <v>354</v>
      </c>
      <c r="D734">
        <f t="shared" si="42"/>
        <v>2000</v>
      </c>
      <c r="E734">
        <f t="shared" si="43"/>
        <v>11</v>
      </c>
    </row>
    <row r="735" spans="1:5" x14ac:dyDescent="0.3">
      <c r="A735" t="s">
        <v>860</v>
      </c>
      <c r="B735" t="s">
        <v>127</v>
      </c>
      <c r="C735">
        <v>357</v>
      </c>
      <c r="D735">
        <f t="shared" si="42"/>
        <v>2000</v>
      </c>
      <c r="E735">
        <f t="shared" si="43"/>
        <v>11</v>
      </c>
    </row>
    <row r="736" spans="1:5" x14ac:dyDescent="0.3">
      <c r="A736" t="s">
        <v>861</v>
      </c>
      <c r="B736" t="s">
        <v>127</v>
      </c>
      <c r="C736">
        <v>364</v>
      </c>
      <c r="D736">
        <f t="shared" si="42"/>
        <v>2000</v>
      </c>
      <c r="E736">
        <f t="shared" si="43"/>
        <v>11</v>
      </c>
    </row>
    <row r="737" spans="1:5" x14ac:dyDescent="0.3">
      <c r="A737" t="s">
        <v>862</v>
      </c>
      <c r="B737" t="s">
        <v>127</v>
      </c>
      <c r="C737">
        <v>375</v>
      </c>
      <c r="D737">
        <f t="shared" si="42"/>
        <v>2000</v>
      </c>
      <c r="E737">
        <f t="shared" si="43"/>
        <v>11</v>
      </c>
    </row>
    <row r="738" spans="1:5" x14ac:dyDescent="0.3">
      <c r="A738" t="s">
        <v>863</v>
      </c>
      <c r="B738" t="s">
        <v>127</v>
      </c>
      <c r="C738">
        <v>372</v>
      </c>
      <c r="D738">
        <f t="shared" si="42"/>
        <v>2000</v>
      </c>
      <c r="E738">
        <f t="shared" si="43"/>
        <v>11</v>
      </c>
    </row>
    <row r="739" spans="1:5" x14ac:dyDescent="0.3">
      <c r="A739" t="s">
        <v>864</v>
      </c>
      <c r="B739" t="s">
        <v>127</v>
      </c>
      <c r="C739">
        <v>368</v>
      </c>
      <c r="D739">
        <f t="shared" si="42"/>
        <v>2000</v>
      </c>
      <c r="E739">
        <f t="shared" si="43"/>
        <v>11</v>
      </c>
    </row>
    <row r="740" spans="1:5" x14ac:dyDescent="0.3">
      <c r="A740" t="s">
        <v>865</v>
      </c>
      <c r="B740" t="s">
        <v>127</v>
      </c>
      <c r="C740">
        <v>374</v>
      </c>
      <c r="D740">
        <f t="shared" si="42"/>
        <v>2000</v>
      </c>
      <c r="E740">
        <f t="shared" si="43"/>
        <v>11</v>
      </c>
    </row>
    <row r="741" spans="1:5" x14ac:dyDescent="0.3">
      <c r="A741" t="s">
        <v>866</v>
      </c>
      <c r="B741" t="s">
        <v>127</v>
      </c>
      <c r="C741">
        <v>368</v>
      </c>
      <c r="D741">
        <f t="shared" si="42"/>
        <v>2000</v>
      </c>
      <c r="E741">
        <f t="shared" si="43"/>
        <v>11</v>
      </c>
    </row>
    <row r="742" spans="1:5" x14ac:dyDescent="0.3">
      <c r="A742" t="s">
        <v>867</v>
      </c>
      <c r="B742" t="s">
        <v>127</v>
      </c>
      <c r="C742">
        <v>385</v>
      </c>
      <c r="D742">
        <f t="shared" si="42"/>
        <v>2000</v>
      </c>
      <c r="E742">
        <f t="shared" si="43"/>
        <v>11</v>
      </c>
    </row>
    <row r="743" spans="1:5" x14ac:dyDescent="0.3">
      <c r="A743" t="s">
        <v>868</v>
      </c>
      <c r="B743" t="s">
        <v>127</v>
      </c>
      <c r="C743">
        <v>373</v>
      </c>
      <c r="D743">
        <f t="shared" si="42"/>
        <v>2000</v>
      </c>
      <c r="E743">
        <f t="shared" si="43"/>
        <v>12</v>
      </c>
    </row>
    <row r="744" spans="1:5" x14ac:dyDescent="0.3">
      <c r="A744" t="s">
        <v>869</v>
      </c>
      <c r="B744" t="s">
        <v>127</v>
      </c>
      <c r="C744">
        <v>375</v>
      </c>
      <c r="D744">
        <f t="shared" si="42"/>
        <v>2000</v>
      </c>
      <c r="E744">
        <f t="shared" si="43"/>
        <v>12</v>
      </c>
    </row>
    <row r="745" spans="1:5" x14ac:dyDescent="0.3">
      <c r="A745" t="s">
        <v>870</v>
      </c>
      <c r="B745" t="s">
        <v>127</v>
      </c>
      <c r="C745">
        <v>377</v>
      </c>
      <c r="D745">
        <f t="shared" si="42"/>
        <v>2000</v>
      </c>
      <c r="E745">
        <f t="shared" si="43"/>
        <v>12</v>
      </c>
    </row>
    <row r="746" spans="1:5" x14ac:dyDescent="0.3">
      <c r="A746" t="s">
        <v>871</v>
      </c>
      <c r="B746" t="s">
        <v>127</v>
      </c>
      <c r="C746">
        <v>394</v>
      </c>
      <c r="D746">
        <f t="shared" si="42"/>
        <v>2000</v>
      </c>
      <c r="E746">
        <f t="shared" si="43"/>
        <v>12</v>
      </c>
    </row>
    <row r="747" spans="1:5" x14ac:dyDescent="0.3">
      <c r="A747" t="s">
        <v>872</v>
      </c>
      <c r="B747" t="s">
        <v>127</v>
      </c>
      <c r="C747">
        <v>395</v>
      </c>
      <c r="D747">
        <f t="shared" si="42"/>
        <v>2000</v>
      </c>
      <c r="E747">
        <f t="shared" si="43"/>
        <v>12</v>
      </c>
    </row>
    <row r="748" spans="1:5" x14ac:dyDescent="0.3">
      <c r="A748" t="s">
        <v>873</v>
      </c>
      <c r="B748" t="s">
        <v>127</v>
      </c>
      <c r="C748">
        <v>384</v>
      </c>
      <c r="D748">
        <f t="shared" si="42"/>
        <v>2000</v>
      </c>
      <c r="E748">
        <f t="shared" si="43"/>
        <v>12</v>
      </c>
    </row>
    <row r="749" spans="1:5" x14ac:dyDescent="0.3">
      <c r="A749" t="s">
        <v>874</v>
      </c>
      <c r="B749" t="s">
        <v>127</v>
      </c>
      <c r="C749">
        <v>387</v>
      </c>
      <c r="D749">
        <f t="shared" si="42"/>
        <v>2000</v>
      </c>
      <c r="E749">
        <f t="shared" si="43"/>
        <v>12</v>
      </c>
    </row>
    <row r="750" spans="1:5" x14ac:dyDescent="0.3">
      <c r="A750" t="s">
        <v>875</v>
      </c>
      <c r="B750" t="s">
        <v>127</v>
      </c>
      <c r="C750">
        <v>389</v>
      </c>
      <c r="D750">
        <f t="shared" si="42"/>
        <v>2000</v>
      </c>
      <c r="E750">
        <f t="shared" si="43"/>
        <v>12</v>
      </c>
    </row>
    <row r="751" spans="1:5" x14ac:dyDescent="0.3">
      <c r="A751" t="s">
        <v>876</v>
      </c>
      <c r="B751" t="s">
        <v>127</v>
      </c>
      <c r="C751">
        <v>398</v>
      </c>
      <c r="D751">
        <f t="shared" si="42"/>
        <v>2000</v>
      </c>
      <c r="E751">
        <f t="shared" si="43"/>
        <v>12</v>
      </c>
    </row>
    <row r="752" spans="1:5" x14ac:dyDescent="0.3">
      <c r="A752" t="s">
        <v>877</v>
      </c>
      <c r="B752" t="s">
        <v>127</v>
      </c>
      <c r="C752">
        <v>400</v>
      </c>
      <c r="D752">
        <f t="shared" si="42"/>
        <v>2000</v>
      </c>
      <c r="E752">
        <f t="shared" si="43"/>
        <v>12</v>
      </c>
    </row>
    <row r="753" spans="1:5" x14ac:dyDescent="0.3">
      <c r="A753" t="s">
        <v>878</v>
      </c>
      <c r="B753" t="s">
        <v>127</v>
      </c>
      <c r="C753">
        <v>403</v>
      </c>
      <c r="D753">
        <f t="shared" si="42"/>
        <v>2000</v>
      </c>
      <c r="E753">
        <f t="shared" si="43"/>
        <v>12</v>
      </c>
    </row>
    <row r="754" spans="1:5" x14ac:dyDescent="0.3">
      <c r="A754" t="s">
        <v>879</v>
      </c>
      <c r="B754" t="s">
        <v>127</v>
      </c>
      <c r="C754">
        <v>396</v>
      </c>
      <c r="D754">
        <f t="shared" si="42"/>
        <v>2000</v>
      </c>
      <c r="E754">
        <f t="shared" si="43"/>
        <v>12</v>
      </c>
    </row>
    <row r="755" spans="1:5" x14ac:dyDescent="0.3">
      <c r="A755" t="s">
        <v>880</v>
      </c>
      <c r="B755" t="s">
        <v>127</v>
      </c>
      <c r="C755">
        <v>386</v>
      </c>
      <c r="D755">
        <f t="shared" si="42"/>
        <v>2000</v>
      </c>
      <c r="E755">
        <f t="shared" si="43"/>
        <v>12</v>
      </c>
    </row>
    <row r="756" spans="1:5" x14ac:dyDescent="0.3">
      <c r="A756" t="s">
        <v>881</v>
      </c>
      <c r="B756" t="s">
        <v>127</v>
      </c>
      <c r="C756">
        <v>396</v>
      </c>
      <c r="D756">
        <f t="shared" si="42"/>
        <v>2000</v>
      </c>
      <c r="E756">
        <f t="shared" si="43"/>
        <v>12</v>
      </c>
    </row>
    <row r="757" spans="1:5" x14ac:dyDescent="0.3">
      <c r="A757" t="s">
        <v>882</v>
      </c>
      <c r="B757" t="s">
        <v>127</v>
      </c>
      <c r="C757">
        <v>394</v>
      </c>
      <c r="D757">
        <f t="shared" si="42"/>
        <v>2000</v>
      </c>
      <c r="E757">
        <f t="shared" si="43"/>
        <v>12</v>
      </c>
    </row>
    <row r="758" spans="1:5" x14ac:dyDescent="0.3">
      <c r="A758" t="s">
        <v>883</v>
      </c>
      <c r="B758" t="s">
        <v>127</v>
      </c>
      <c r="C758">
        <v>394</v>
      </c>
      <c r="D758">
        <f t="shared" si="42"/>
        <v>2000</v>
      </c>
      <c r="E758">
        <f t="shared" si="43"/>
        <v>12</v>
      </c>
    </row>
    <row r="759" spans="1:5" x14ac:dyDescent="0.3">
      <c r="A759" t="s">
        <v>884</v>
      </c>
      <c r="B759" t="s">
        <v>127</v>
      </c>
      <c r="C759">
        <v>395</v>
      </c>
      <c r="D759">
        <f t="shared" si="42"/>
        <v>2000</v>
      </c>
      <c r="E759">
        <f t="shared" si="43"/>
        <v>12</v>
      </c>
    </row>
    <row r="760" spans="1:5" x14ac:dyDescent="0.3">
      <c r="A760" t="s">
        <v>885</v>
      </c>
      <c r="B760" t="s">
        <v>127</v>
      </c>
      <c r="C760">
        <v>385</v>
      </c>
      <c r="D760">
        <f t="shared" si="42"/>
        <v>2000</v>
      </c>
      <c r="E760">
        <f t="shared" si="43"/>
        <v>12</v>
      </c>
    </row>
    <row r="761" spans="1:5" x14ac:dyDescent="0.3">
      <c r="A761" t="s">
        <v>886</v>
      </c>
      <c r="B761" t="s">
        <v>127</v>
      </c>
      <c r="C761">
        <v>385</v>
      </c>
      <c r="D761">
        <f t="shared" si="42"/>
        <v>2000</v>
      </c>
      <c r="E761">
        <f t="shared" si="43"/>
        <v>12</v>
      </c>
    </row>
    <row r="762" spans="1:5" x14ac:dyDescent="0.3">
      <c r="A762" t="s">
        <v>887</v>
      </c>
      <c r="B762" t="s">
        <v>127</v>
      </c>
      <c r="C762">
        <v>392</v>
      </c>
      <c r="D762">
        <f t="shared" si="42"/>
        <v>2000</v>
      </c>
      <c r="E762">
        <f t="shared" si="43"/>
        <v>12</v>
      </c>
    </row>
    <row r="763" spans="1:5" x14ac:dyDescent="0.3">
      <c r="A763" t="s">
        <v>888</v>
      </c>
      <c r="B763" t="s">
        <v>127</v>
      </c>
      <c r="C763">
        <v>411</v>
      </c>
      <c r="D763">
        <f t="shared" si="42"/>
        <v>2001</v>
      </c>
      <c r="E763">
        <f t="shared" si="43"/>
        <v>1</v>
      </c>
    </row>
    <row r="764" spans="1:5" x14ac:dyDescent="0.3">
      <c r="A764" t="s">
        <v>889</v>
      </c>
      <c r="B764" t="s">
        <v>127</v>
      </c>
      <c r="C764">
        <v>381</v>
      </c>
      <c r="D764">
        <f t="shared" si="42"/>
        <v>2001</v>
      </c>
      <c r="E764">
        <f t="shared" si="43"/>
        <v>1</v>
      </c>
    </row>
    <row r="765" spans="1:5" x14ac:dyDescent="0.3">
      <c r="A765" t="s">
        <v>890</v>
      </c>
      <c r="B765" t="s">
        <v>127</v>
      </c>
      <c r="C765">
        <v>388</v>
      </c>
      <c r="D765">
        <f t="shared" si="42"/>
        <v>2001</v>
      </c>
      <c r="E765">
        <f t="shared" si="43"/>
        <v>1</v>
      </c>
    </row>
    <row r="766" spans="1:5" x14ac:dyDescent="0.3">
      <c r="A766" t="s">
        <v>891</v>
      </c>
      <c r="B766" t="s">
        <v>127</v>
      </c>
      <c r="C766">
        <v>398</v>
      </c>
      <c r="D766">
        <f t="shared" si="42"/>
        <v>2001</v>
      </c>
      <c r="E766">
        <f t="shared" si="43"/>
        <v>1</v>
      </c>
    </row>
    <row r="767" spans="1:5" x14ac:dyDescent="0.3">
      <c r="A767" t="s">
        <v>892</v>
      </c>
      <c r="B767" t="s">
        <v>127</v>
      </c>
      <c r="C767">
        <v>404</v>
      </c>
      <c r="D767">
        <f t="shared" si="42"/>
        <v>2001</v>
      </c>
      <c r="E767">
        <f t="shared" si="43"/>
        <v>1</v>
      </c>
    </row>
    <row r="768" spans="1:5" x14ac:dyDescent="0.3">
      <c r="A768" t="s">
        <v>893</v>
      </c>
      <c r="B768" t="s">
        <v>127</v>
      </c>
      <c r="C768">
        <v>400</v>
      </c>
      <c r="D768">
        <f t="shared" si="42"/>
        <v>2001</v>
      </c>
      <c r="E768">
        <f t="shared" si="43"/>
        <v>1</v>
      </c>
    </row>
    <row r="769" spans="1:5" x14ac:dyDescent="0.3">
      <c r="A769" t="s">
        <v>894</v>
      </c>
      <c r="B769" t="s">
        <v>127</v>
      </c>
      <c r="C769">
        <v>392</v>
      </c>
      <c r="D769">
        <f t="shared" si="42"/>
        <v>2001</v>
      </c>
      <c r="E769">
        <f t="shared" si="43"/>
        <v>1</v>
      </c>
    </row>
    <row r="770" spans="1:5" x14ac:dyDescent="0.3">
      <c r="A770" t="s">
        <v>895</v>
      </c>
      <c r="B770" t="s">
        <v>127</v>
      </c>
      <c r="C770">
        <v>389</v>
      </c>
      <c r="D770">
        <f t="shared" si="42"/>
        <v>2001</v>
      </c>
      <c r="E770">
        <f t="shared" si="43"/>
        <v>1</v>
      </c>
    </row>
    <row r="771" spans="1:5" x14ac:dyDescent="0.3">
      <c r="A771" t="s">
        <v>896</v>
      </c>
      <c r="B771" t="s">
        <v>127</v>
      </c>
      <c r="C771">
        <v>375</v>
      </c>
      <c r="D771">
        <f t="shared" ref="D771:D834" si="44">YEAR(A771)</f>
        <v>2001</v>
      </c>
      <c r="E771">
        <f t="shared" ref="E771:E834" si="45">MONTH(A771)</f>
        <v>1</v>
      </c>
    </row>
    <row r="772" spans="1:5" x14ac:dyDescent="0.3">
      <c r="A772" t="s">
        <v>897</v>
      </c>
      <c r="B772" t="s">
        <v>127</v>
      </c>
      <c r="C772">
        <v>382</v>
      </c>
      <c r="D772">
        <f t="shared" si="44"/>
        <v>2001</v>
      </c>
      <c r="E772">
        <f t="shared" si="45"/>
        <v>1</v>
      </c>
    </row>
    <row r="773" spans="1:5" x14ac:dyDescent="0.3">
      <c r="A773" t="s">
        <v>898</v>
      </c>
      <c r="B773" t="s">
        <v>127</v>
      </c>
      <c r="C773">
        <v>390</v>
      </c>
      <c r="D773">
        <f t="shared" si="44"/>
        <v>2001</v>
      </c>
      <c r="E773">
        <f t="shared" si="45"/>
        <v>1</v>
      </c>
    </row>
    <row r="774" spans="1:5" x14ac:dyDescent="0.3">
      <c r="A774" t="s">
        <v>899</v>
      </c>
      <c r="B774" t="s">
        <v>127</v>
      </c>
      <c r="C774">
        <v>405</v>
      </c>
      <c r="D774">
        <f t="shared" si="44"/>
        <v>2001</v>
      </c>
      <c r="E774">
        <f t="shared" si="45"/>
        <v>1</v>
      </c>
    </row>
    <row r="775" spans="1:5" x14ac:dyDescent="0.3">
      <c r="A775" t="s">
        <v>900</v>
      </c>
      <c r="B775" t="s">
        <v>127</v>
      </c>
      <c r="C775">
        <v>392</v>
      </c>
      <c r="D775">
        <f t="shared" si="44"/>
        <v>2001</v>
      </c>
      <c r="E775">
        <f t="shared" si="45"/>
        <v>1</v>
      </c>
    </row>
    <row r="776" spans="1:5" x14ac:dyDescent="0.3">
      <c r="A776" t="s">
        <v>901</v>
      </c>
      <c r="B776" t="s">
        <v>127</v>
      </c>
      <c r="C776">
        <v>387</v>
      </c>
      <c r="D776">
        <f t="shared" si="44"/>
        <v>2001</v>
      </c>
      <c r="E776">
        <f t="shared" si="45"/>
        <v>1</v>
      </c>
    </row>
    <row r="777" spans="1:5" x14ac:dyDescent="0.3">
      <c r="A777" t="s">
        <v>902</v>
      </c>
      <c r="B777" t="s">
        <v>127</v>
      </c>
      <c r="C777">
        <v>377</v>
      </c>
      <c r="D777">
        <f t="shared" si="44"/>
        <v>2001</v>
      </c>
      <c r="E777">
        <f t="shared" si="45"/>
        <v>1</v>
      </c>
    </row>
    <row r="778" spans="1:5" x14ac:dyDescent="0.3">
      <c r="A778" t="s">
        <v>903</v>
      </c>
      <c r="B778" t="s">
        <v>127</v>
      </c>
      <c r="C778">
        <v>375</v>
      </c>
      <c r="D778">
        <f t="shared" si="44"/>
        <v>2001</v>
      </c>
      <c r="E778">
        <f t="shared" si="45"/>
        <v>1</v>
      </c>
    </row>
    <row r="779" spans="1:5" x14ac:dyDescent="0.3">
      <c r="A779" t="s">
        <v>904</v>
      </c>
      <c r="B779" t="s">
        <v>127</v>
      </c>
      <c r="C779">
        <v>378</v>
      </c>
      <c r="D779">
        <f t="shared" si="44"/>
        <v>2001</v>
      </c>
      <c r="E779">
        <f t="shared" si="45"/>
        <v>1</v>
      </c>
    </row>
    <row r="780" spans="1:5" x14ac:dyDescent="0.3">
      <c r="A780" t="s">
        <v>905</v>
      </c>
      <c r="B780" t="s">
        <v>127</v>
      </c>
      <c r="C780">
        <v>372</v>
      </c>
      <c r="D780">
        <f t="shared" si="44"/>
        <v>2001</v>
      </c>
      <c r="E780">
        <f t="shared" si="45"/>
        <v>1</v>
      </c>
    </row>
    <row r="781" spans="1:5" x14ac:dyDescent="0.3">
      <c r="A781" t="s">
        <v>906</v>
      </c>
      <c r="B781" t="s">
        <v>127</v>
      </c>
      <c r="C781">
        <v>372</v>
      </c>
      <c r="D781">
        <f t="shared" si="44"/>
        <v>2001</v>
      </c>
      <c r="E781">
        <f t="shared" si="45"/>
        <v>1</v>
      </c>
    </row>
    <row r="782" spans="1:5" x14ac:dyDescent="0.3">
      <c r="A782" t="s">
        <v>907</v>
      </c>
      <c r="B782" t="s">
        <v>127</v>
      </c>
      <c r="C782">
        <v>362</v>
      </c>
      <c r="D782">
        <f t="shared" si="44"/>
        <v>2001</v>
      </c>
      <c r="E782">
        <f t="shared" si="45"/>
        <v>1</v>
      </c>
    </row>
    <row r="783" spans="1:5" x14ac:dyDescent="0.3">
      <c r="A783" t="s">
        <v>908</v>
      </c>
      <c r="B783" t="s">
        <v>127</v>
      </c>
      <c r="C783">
        <v>363</v>
      </c>
      <c r="D783">
        <f t="shared" si="44"/>
        <v>2001</v>
      </c>
      <c r="E783">
        <f t="shared" si="45"/>
        <v>1</v>
      </c>
    </row>
    <row r="784" spans="1:5" x14ac:dyDescent="0.3">
      <c r="A784" t="s">
        <v>909</v>
      </c>
      <c r="B784" t="s">
        <v>127</v>
      </c>
      <c r="C784">
        <v>385</v>
      </c>
      <c r="D784">
        <f t="shared" si="44"/>
        <v>2001</v>
      </c>
      <c r="E784">
        <f t="shared" si="45"/>
        <v>2</v>
      </c>
    </row>
    <row r="785" spans="1:5" x14ac:dyDescent="0.3">
      <c r="A785" t="s">
        <v>910</v>
      </c>
      <c r="B785" t="s">
        <v>127</v>
      </c>
      <c r="C785">
        <v>383</v>
      </c>
      <c r="D785">
        <f t="shared" si="44"/>
        <v>2001</v>
      </c>
      <c r="E785">
        <f t="shared" si="45"/>
        <v>2</v>
      </c>
    </row>
    <row r="786" spans="1:5" x14ac:dyDescent="0.3">
      <c r="A786" t="s">
        <v>911</v>
      </c>
      <c r="B786" t="s">
        <v>127</v>
      </c>
      <c r="C786">
        <v>395</v>
      </c>
      <c r="D786">
        <f t="shared" si="44"/>
        <v>2001</v>
      </c>
      <c r="E786">
        <f t="shared" si="45"/>
        <v>2</v>
      </c>
    </row>
    <row r="787" spans="1:5" x14ac:dyDescent="0.3">
      <c r="A787" t="s">
        <v>912</v>
      </c>
      <c r="B787" t="s">
        <v>127</v>
      </c>
      <c r="C787">
        <v>395</v>
      </c>
      <c r="D787">
        <f t="shared" si="44"/>
        <v>2001</v>
      </c>
      <c r="E787">
        <f t="shared" si="45"/>
        <v>2</v>
      </c>
    </row>
    <row r="788" spans="1:5" x14ac:dyDescent="0.3">
      <c r="A788" t="s">
        <v>913</v>
      </c>
      <c r="B788" t="s">
        <v>127</v>
      </c>
      <c r="C788">
        <v>400</v>
      </c>
      <c r="D788">
        <f t="shared" si="44"/>
        <v>2001</v>
      </c>
      <c r="E788">
        <f t="shared" si="45"/>
        <v>2</v>
      </c>
    </row>
    <row r="789" spans="1:5" x14ac:dyDescent="0.3">
      <c r="A789" t="s">
        <v>914</v>
      </c>
      <c r="B789" t="s">
        <v>127</v>
      </c>
      <c r="C789">
        <v>399</v>
      </c>
      <c r="D789">
        <f t="shared" si="44"/>
        <v>2001</v>
      </c>
      <c r="E789">
        <f t="shared" si="45"/>
        <v>2</v>
      </c>
    </row>
    <row r="790" spans="1:5" x14ac:dyDescent="0.3">
      <c r="A790" t="s">
        <v>915</v>
      </c>
      <c r="B790" t="s">
        <v>127</v>
      </c>
      <c r="C790">
        <v>408</v>
      </c>
      <c r="D790">
        <f t="shared" si="44"/>
        <v>2001</v>
      </c>
      <c r="E790">
        <f t="shared" si="45"/>
        <v>2</v>
      </c>
    </row>
    <row r="791" spans="1:5" x14ac:dyDescent="0.3">
      <c r="A791" t="s">
        <v>916</v>
      </c>
      <c r="B791" t="s">
        <v>127</v>
      </c>
      <c r="C791">
        <v>403</v>
      </c>
      <c r="D791">
        <f t="shared" si="44"/>
        <v>2001</v>
      </c>
      <c r="E791">
        <f t="shared" si="45"/>
        <v>2</v>
      </c>
    </row>
    <row r="792" spans="1:5" x14ac:dyDescent="0.3">
      <c r="A792" t="s">
        <v>917</v>
      </c>
      <c r="B792" t="s">
        <v>127</v>
      </c>
      <c r="C792">
        <v>397</v>
      </c>
      <c r="D792">
        <f t="shared" si="44"/>
        <v>2001</v>
      </c>
      <c r="E792">
        <f t="shared" si="45"/>
        <v>2</v>
      </c>
    </row>
    <row r="793" spans="1:5" x14ac:dyDescent="0.3">
      <c r="A793" t="s">
        <v>918</v>
      </c>
      <c r="B793" t="s">
        <v>127</v>
      </c>
      <c r="C793">
        <v>396</v>
      </c>
      <c r="D793">
        <f t="shared" si="44"/>
        <v>2001</v>
      </c>
      <c r="E793">
        <f t="shared" si="45"/>
        <v>2</v>
      </c>
    </row>
    <row r="794" spans="1:5" x14ac:dyDescent="0.3">
      <c r="A794" t="s">
        <v>919</v>
      </c>
      <c r="B794" t="s">
        <v>127</v>
      </c>
      <c r="C794">
        <v>388</v>
      </c>
      <c r="D794">
        <f t="shared" si="44"/>
        <v>2001</v>
      </c>
      <c r="E794">
        <f t="shared" si="45"/>
        <v>2</v>
      </c>
    </row>
    <row r="795" spans="1:5" x14ac:dyDescent="0.3">
      <c r="A795" t="s">
        <v>920</v>
      </c>
      <c r="B795" t="s">
        <v>127</v>
      </c>
      <c r="C795">
        <v>397</v>
      </c>
      <c r="D795">
        <f t="shared" si="44"/>
        <v>2001</v>
      </c>
      <c r="E795">
        <f t="shared" si="45"/>
        <v>2</v>
      </c>
    </row>
    <row r="796" spans="1:5" x14ac:dyDescent="0.3">
      <c r="A796" t="s">
        <v>921</v>
      </c>
      <c r="B796" t="s">
        <v>127</v>
      </c>
      <c r="C796">
        <v>407</v>
      </c>
      <c r="D796">
        <f t="shared" si="44"/>
        <v>2001</v>
      </c>
      <c r="E796">
        <f t="shared" si="45"/>
        <v>2</v>
      </c>
    </row>
    <row r="797" spans="1:5" x14ac:dyDescent="0.3">
      <c r="A797" t="s">
        <v>922</v>
      </c>
      <c r="B797" t="s">
        <v>127</v>
      </c>
      <c r="C797">
        <v>419</v>
      </c>
      <c r="D797">
        <f t="shared" si="44"/>
        <v>2001</v>
      </c>
      <c r="E797">
        <f t="shared" si="45"/>
        <v>2</v>
      </c>
    </row>
    <row r="798" spans="1:5" x14ac:dyDescent="0.3">
      <c r="A798" t="s">
        <v>923</v>
      </c>
      <c r="B798" t="s">
        <v>127</v>
      </c>
      <c r="C798">
        <v>415</v>
      </c>
      <c r="D798">
        <f t="shared" si="44"/>
        <v>2001</v>
      </c>
      <c r="E798">
        <f t="shared" si="45"/>
        <v>2</v>
      </c>
    </row>
    <row r="799" spans="1:5" x14ac:dyDescent="0.3">
      <c r="A799" t="s">
        <v>924</v>
      </c>
      <c r="B799" t="s">
        <v>127</v>
      </c>
      <c r="C799">
        <v>423</v>
      </c>
      <c r="D799">
        <f t="shared" si="44"/>
        <v>2001</v>
      </c>
      <c r="E799">
        <f t="shared" si="45"/>
        <v>2</v>
      </c>
    </row>
    <row r="800" spans="1:5" x14ac:dyDescent="0.3">
      <c r="A800" t="s">
        <v>925</v>
      </c>
      <c r="B800" t="s">
        <v>127</v>
      </c>
      <c r="C800">
        <v>424</v>
      </c>
      <c r="D800">
        <f t="shared" si="44"/>
        <v>2001</v>
      </c>
      <c r="E800">
        <f t="shared" si="45"/>
        <v>2</v>
      </c>
    </row>
    <row r="801" spans="1:5" x14ac:dyDescent="0.3">
      <c r="A801" t="s">
        <v>926</v>
      </c>
      <c r="B801" t="s">
        <v>127</v>
      </c>
      <c r="C801">
        <v>425</v>
      </c>
      <c r="D801">
        <f t="shared" si="44"/>
        <v>2001</v>
      </c>
      <c r="E801">
        <f t="shared" si="45"/>
        <v>2</v>
      </c>
    </row>
    <row r="802" spans="1:5" x14ac:dyDescent="0.3">
      <c r="A802" t="s">
        <v>927</v>
      </c>
      <c r="B802" t="s">
        <v>127</v>
      </c>
      <c r="C802">
        <v>428</v>
      </c>
      <c r="D802">
        <f t="shared" si="44"/>
        <v>2001</v>
      </c>
      <c r="E802">
        <f t="shared" si="45"/>
        <v>2</v>
      </c>
    </row>
    <row r="803" spans="1:5" x14ac:dyDescent="0.3">
      <c r="A803" t="s">
        <v>928</v>
      </c>
      <c r="B803" t="s">
        <v>127</v>
      </c>
      <c r="C803">
        <v>416</v>
      </c>
      <c r="D803">
        <f t="shared" si="44"/>
        <v>2001</v>
      </c>
      <c r="E803">
        <f t="shared" si="45"/>
        <v>3</v>
      </c>
    </row>
    <row r="804" spans="1:5" x14ac:dyDescent="0.3">
      <c r="A804" t="s">
        <v>929</v>
      </c>
      <c r="B804" t="s">
        <v>127</v>
      </c>
      <c r="C804">
        <v>402</v>
      </c>
      <c r="D804">
        <f t="shared" si="44"/>
        <v>2001</v>
      </c>
      <c r="E804">
        <f t="shared" si="45"/>
        <v>3</v>
      </c>
    </row>
    <row r="805" spans="1:5" x14ac:dyDescent="0.3">
      <c r="A805" t="s">
        <v>930</v>
      </c>
      <c r="B805" t="s">
        <v>127</v>
      </c>
      <c r="C805">
        <v>395</v>
      </c>
      <c r="D805">
        <f t="shared" si="44"/>
        <v>2001</v>
      </c>
      <c r="E805">
        <f t="shared" si="45"/>
        <v>3</v>
      </c>
    </row>
    <row r="806" spans="1:5" x14ac:dyDescent="0.3">
      <c r="A806" t="s">
        <v>931</v>
      </c>
      <c r="B806" t="s">
        <v>127</v>
      </c>
      <c r="C806">
        <v>394</v>
      </c>
      <c r="D806">
        <f t="shared" si="44"/>
        <v>2001</v>
      </c>
      <c r="E806">
        <f t="shared" si="45"/>
        <v>3</v>
      </c>
    </row>
    <row r="807" spans="1:5" x14ac:dyDescent="0.3">
      <c r="A807" t="s">
        <v>932</v>
      </c>
      <c r="B807" t="s">
        <v>127</v>
      </c>
      <c r="C807">
        <v>390</v>
      </c>
      <c r="D807">
        <f t="shared" si="44"/>
        <v>2001</v>
      </c>
      <c r="E807">
        <f t="shared" si="45"/>
        <v>3</v>
      </c>
    </row>
    <row r="808" spans="1:5" x14ac:dyDescent="0.3">
      <c r="A808" t="s">
        <v>933</v>
      </c>
      <c r="B808" t="s">
        <v>127</v>
      </c>
      <c r="C808">
        <v>402</v>
      </c>
      <c r="D808">
        <f t="shared" si="44"/>
        <v>2001</v>
      </c>
      <c r="E808">
        <f t="shared" si="45"/>
        <v>3</v>
      </c>
    </row>
    <row r="809" spans="1:5" x14ac:dyDescent="0.3">
      <c r="A809" t="s">
        <v>934</v>
      </c>
      <c r="B809" t="s">
        <v>127</v>
      </c>
      <c r="C809">
        <v>396</v>
      </c>
      <c r="D809">
        <f t="shared" si="44"/>
        <v>2001</v>
      </c>
      <c r="E809">
        <f t="shared" si="45"/>
        <v>3</v>
      </c>
    </row>
    <row r="810" spans="1:5" x14ac:dyDescent="0.3">
      <c r="A810" t="s">
        <v>935</v>
      </c>
      <c r="B810" t="s">
        <v>127</v>
      </c>
      <c r="C810">
        <v>405</v>
      </c>
      <c r="D810">
        <f t="shared" si="44"/>
        <v>2001</v>
      </c>
      <c r="E810">
        <f t="shared" si="45"/>
        <v>3</v>
      </c>
    </row>
    <row r="811" spans="1:5" x14ac:dyDescent="0.3">
      <c r="A811" t="s">
        <v>936</v>
      </c>
      <c r="B811" t="s">
        <v>127</v>
      </c>
      <c r="C811">
        <v>401</v>
      </c>
      <c r="D811">
        <f t="shared" si="44"/>
        <v>2001</v>
      </c>
      <c r="E811">
        <f t="shared" si="45"/>
        <v>3</v>
      </c>
    </row>
    <row r="812" spans="1:5" x14ac:dyDescent="0.3">
      <c r="A812" t="s">
        <v>937</v>
      </c>
      <c r="B812" t="s">
        <v>127</v>
      </c>
      <c r="C812">
        <v>409</v>
      </c>
      <c r="D812">
        <f t="shared" si="44"/>
        <v>2001</v>
      </c>
      <c r="E812">
        <f t="shared" si="45"/>
        <v>3</v>
      </c>
    </row>
    <row r="813" spans="1:5" x14ac:dyDescent="0.3">
      <c r="A813" t="s">
        <v>938</v>
      </c>
      <c r="B813" t="s">
        <v>127</v>
      </c>
      <c r="C813">
        <v>409</v>
      </c>
      <c r="D813">
        <f t="shared" si="44"/>
        <v>2001</v>
      </c>
      <c r="E813">
        <f t="shared" si="45"/>
        <v>3</v>
      </c>
    </row>
    <row r="814" spans="1:5" x14ac:dyDescent="0.3">
      <c r="A814" t="s">
        <v>939</v>
      </c>
      <c r="B814" t="s">
        <v>127</v>
      </c>
      <c r="C814">
        <v>420</v>
      </c>
      <c r="D814">
        <f t="shared" si="44"/>
        <v>2001</v>
      </c>
      <c r="E814">
        <f t="shared" si="45"/>
        <v>3</v>
      </c>
    </row>
    <row r="815" spans="1:5" x14ac:dyDescent="0.3">
      <c r="A815" t="s">
        <v>940</v>
      </c>
      <c r="B815" t="s">
        <v>127</v>
      </c>
      <c r="C815">
        <v>418</v>
      </c>
      <c r="D815">
        <f t="shared" si="44"/>
        <v>2001</v>
      </c>
      <c r="E815">
        <f t="shared" si="45"/>
        <v>3</v>
      </c>
    </row>
    <row r="816" spans="1:5" x14ac:dyDescent="0.3">
      <c r="A816" t="s">
        <v>941</v>
      </c>
      <c r="B816" t="s">
        <v>127</v>
      </c>
      <c r="C816">
        <v>414</v>
      </c>
      <c r="D816">
        <f t="shared" si="44"/>
        <v>2001</v>
      </c>
      <c r="E816">
        <f t="shared" si="45"/>
        <v>3</v>
      </c>
    </row>
    <row r="817" spans="1:5" x14ac:dyDescent="0.3">
      <c r="A817" t="s">
        <v>942</v>
      </c>
      <c r="B817" t="s">
        <v>127</v>
      </c>
      <c r="C817">
        <v>414</v>
      </c>
      <c r="D817">
        <f t="shared" si="44"/>
        <v>2001</v>
      </c>
      <c r="E817">
        <f t="shared" si="45"/>
        <v>3</v>
      </c>
    </row>
    <row r="818" spans="1:5" x14ac:dyDescent="0.3">
      <c r="A818" t="s">
        <v>943</v>
      </c>
      <c r="B818" t="s">
        <v>127</v>
      </c>
      <c r="C818">
        <v>435</v>
      </c>
      <c r="D818">
        <f t="shared" si="44"/>
        <v>2001</v>
      </c>
      <c r="E818">
        <f t="shared" si="45"/>
        <v>3</v>
      </c>
    </row>
    <row r="819" spans="1:5" x14ac:dyDescent="0.3">
      <c r="A819" t="s">
        <v>944</v>
      </c>
      <c r="B819" t="s">
        <v>127</v>
      </c>
      <c r="C819">
        <v>439</v>
      </c>
      <c r="D819">
        <f t="shared" si="44"/>
        <v>2001</v>
      </c>
      <c r="E819">
        <f t="shared" si="45"/>
        <v>3</v>
      </c>
    </row>
    <row r="820" spans="1:5" x14ac:dyDescent="0.3">
      <c r="A820" t="s">
        <v>945</v>
      </c>
      <c r="B820" t="s">
        <v>127</v>
      </c>
      <c r="C820">
        <v>429</v>
      </c>
      <c r="D820">
        <f t="shared" si="44"/>
        <v>2001</v>
      </c>
      <c r="E820">
        <f t="shared" si="45"/>
        <v>3</v>
      </c>
    </row>
    <row r="821" spans="1:5" x14ac:dyDescent="0.3">
      <c r="A821" t="s">
        <v>946</v>
      </c>
      <c r="B821" t="s">
        <v>127</v>
      </c>
      <c r="C821">
        <v>413</v>
      </c>
      <c r="D821">
        <f t="shared" si="44"/>
        <v>2001</v>
      </c>
      <c r="E821">
        <f t="shared" si="45"/>
        <v>3</v>
      </c>
    </row>
    <row r="822" spans="1:5" x14ac:dyDescent="0.3">
      <c r="A822" t="s">
        <v>947</v>
      </c>
      <c r="B822" t="s">
        <v>127</v>
      </c>
      <c r="C822">
        <v>412</v>
      </c>
      <c r="D822">
        <f t="shared" si="44"/>
        <v>2001</v>
      </c>
      <c r="E822">
        <f t="shared" si="45"/>
        <v>3</v>
      </c>
    </row>
    <row r="823" spans="1:5" x14ac:dyDescent="0.3">
      <c r="A823" t="s">
        <v>948</v>
      </c>
      <c r="B823" t="s">
        <v>127</v>
      </c>
      <c r="C823">
        <v>416</v>
      </c>
      <c r="D823">
        <f t="shared" si="44"/>
        <v>2001</v>
      </c>
      <c r="E823">
        <f t="shared" si="45"/>
        <v>3</v>
      </c>
    </row>
    <row r="824" spans="1:5" x14ac:dyDescent="0.3">
      <c r="A824" t="s">
        <v>949</v>
      </c>
      <c r="B824" t="s">
        <v>127</v>
      </c>
      <c r="C824">
        <v>414</v>
      </c>
      <c r="D824">
        <f t="shared" si="44"/>
        <v>2001</v>
      </c>
      <c r="E824">
        <f t="shared" si="45"/>
        <v>3</v>
      </c>
    </row>
    <row r="825" spans="1:5" x14ac:dyDescent="0.3">
      <c r="A825" t="s">
        <v>950</v>
      </c>
      <c r="B825" t="s">
        <v>127</v>
      </c>
      <c r="C825">
        <v>406</v>
      </c>
      <c r="D825">
        <f t="shared" si="44"/>
        <v>2001</v>
      </c>
      <c r="E825">
        <f t="shared" si="45"/>
        <v>4</v>
      </c>
    </row>
    <row r="826" spans="1:5" x14ac:dyDescent="0.3">
      <c r="A826" t="s">
        <v>951</v>
      </c>
      <c r="B826" t="s">
        <v>127</v>
      </c>
      <c r="C826">
        <v>402</v>
      </c>
      <c r="D826">
        <f t="shared" si="44"/>
        <v>2001</v>
      </c>
      <c r="E826">
        <f t="shared" si="45"/>
        <v>4</v>
      </c>
    </row>
    <row r="827" spans="1:5" x14ac:dyDescent="0.3">
      <c r="A827" t="s">
        <v>952</v>
      </c>
      <c r="B827" t="s">
        <v>127</v>
      </c>
      <c r="C827">
        <v>396</v>
      </c>
      <c r="D827">
        <f t="shared" si="44"/>
        <v>2001</v>
      </c>
      <c r="E827">
        <f t="shared" si="45"/>
        <v>4</v>
      </c>
    </row>
    <row r="828" spans="1:5" x14ac:dyDescent="0.3">
      <c r="A828" t="s">
        <v>953</v>
      </c>
      <c r="B828" t="s">
        <v>127</v>
      </c>
      <c r="C828">
        <v>387</v>
      </c>
      <c r="D828">
        <f t="shared" si="44"/>
        <v>2001</v>
      </c>
      <c r="E828">
        <f t="shared" si="45"/>
        <v>4</v>
      </c>
    </row>
    <row r="829" spans="1:5" x14ac:dyDescent="0.3">
      <c r="A829" t="s">
        <v>954</v>
      </c>
      <c r="B829" t="s">
        <v>127</v>
      </c>
      <c r="C829">
        <v>395</v>
      </c>
      <c r="D829">
        <f t="shared" si="44"/>
        <v>2001</v>
      </c>
      <c r="E829">
        <f t="shared" si="45"/>
        <v>4</v>
      </c>
    </row>
    <row r="830" spans="1:5" x14ac:dyDescent="0.3">
      <c r="A830" t="s">
        <v>955</v>
      </c>
      <c r="B830" t="s">
        <v>127</v>
      </c>
      <c r="C830">
        <v>395</v>
      </c>
      <c r="D830">
        <f t="shared" si="44"/>
        <v>2001</v>
      </c>
      <c r="E830">
        <f t="shared" si="45"/>
        <v>4</v>
      </c>
    </row>
    <row r="831" spans="1:5" x14ac:dyDescent="0.3">
      <c r="A831" t="s">
        <v>956</v>
      </c>
      <c r="B831" t="s">
        <v>127</v>
      </c>
      <c r="C831">
        <v>366</v>
      </c>
      <c r="D831">
        <f t="shared" si="44"/>
        <v>2001</v>
      </c>
      <c r="E831">
        <f t="shared" si="45"/>
        <v>4</v>
      </c>
    </row>
    <row r="832" spans="1:5" x14ac:dyDescent="0.3">
      <c r="A832" t="s">
        <v>957</v>
      </c>
      <c r="B832" t="s">
        <v>127</v>
      </c>
      <c r="C832">
        <v>371</v>
      </c>
      <c r="D832">
        <f t="shared" si="44"/>
        <v>2001</v>
      </c>
      <c r="E832">
        <f t="shared" si="45"/>
        <v>4</v>
      </c>
    </row>
    <row r="833" spans="1:5" x14ac:dyDescent="0.3">
      <c r="A833" t="s">
        <v>958</v>
      </c>
      <c r="B833" t="s">
        <v>127</v>
      </c>
      <c r="C833">
        <v>366</v>
      </c>
      <c r="D833">
        <f t="shared" si="44"/>
        <v>2001</v>
      </c>
      <c r="E833">
        <f t="shared" si="45"/>
        <v>4</v>
      </c>
    </row>
    <row r="834" spans="1:5" x14ac:dyDescent="0.3">
      <c r="A834" t="s">
        <v>959</v>
      </c>
      <c r="B834" t="s">
        <v>127</v>
      </c>
      <c r="C834">
        <v>366</v>
      </c>
      <c r="D834">
        <f t="shared" si="44"/>
        <v>2001</v>
      </c>
      <c r="E834">
        <f t="shared" si="45"/>
        <v>4</v>
      </c>
    </row>
    <row r="835" spans="1:5" x14ac:dyDescent="0.3">
      <c r="A835" t="s">
        <v>960</v>
      </c>
      <c r="B835" t="s">
        <v>127</v>
      </c>
      <c r="C835">
        <v>371</v>
      </c>
      <c r="D835">
        <f t="shared" ref="D835:D898" si="46">YEAR(A835)</f>
        <v>2001</v>
      </c>
      <c r="E835">
        <f t="shared" ref="E835:E898" si="47">MONTH(A835)</f>
        <v>4</v>
      </c>
    </row>
    <row r="836" spans="1:5" x14ac:dyDescent="0.3">
      <c r="A836" t="s">
        <v>961</v>
      </c>
      <c r="B836" t="s">
        <v>127</v>
      </c>
      <c r="C836">
        <v>374</v>
      </c>
      <c r="D836">
        <f t="shared" si="46"/>
        <v>2001</v>
      </c>
      <c r="E836">
        <f t="shared" si="47"/>
        <v>4</v>
      </c>
    </row>
    <row r="837" spans="1:5" x14ac:dyDescent="0.3">
      <c r="A837" t="s">
        <v>962</v>
      </c>
      <c r="B837" t="s">
        <v>127</v>
      </c>
      <c r="C837">
        <v>364</v>
      </c>
      <c r="D837">
        <f t="shared" si="46"/>
        <v>2001</v>
      </c>
      <c r="E837">
        <f t="shared" si="47"/>
        <v>4</v>
      </c>
    </row>
    <row r="838" spans="1:5" x14ac:dyDescent="0.3">
      <c r="A838" t="s">
        <v>963</v>
      </c>
      <c r="B838" t="s">
        <v>127</v>
      </c>
      <c r="C838">
        <v>375</v>
      </c>
      <c r="D838">
        <f t="shared" si="46"/>
        <v>2001</v>
      </c>
      <c r="E838">
        <f t="shared" si="47"/>
        <v>4</v>
      </c>
    </row>
    <row r="839" spans="1:5" x14ac:dyDescent="0.3">
      <c r="A839" t="s">
        <v>964</v>
      </c>
      <c r="B839" t="s">
        <v>127</v>
      </c>
      <c r="C839">
        <v>399</v>
      </c>
      <c r="D839">
        <f t="shared" si="46"/>
        <v>2001</v>
      </c>
      <c r="E839">
        <f t="shared" si="47"/>
        <v>4</v>
      </c>
    </row>
    <row r="840" spans="1:5" x14ac:dyDescent="0.3">
      <c r="A840" t="s">
        <v>965</v>
      </c>
      <c r="B840" t="s">
        <v>127</v>
      </c>
      <c r="C840">
        <v>386</v>
      </c>
      <c r="D840">
        <f t="shared" si="46"/>
        <v>2001</v>
      </c>
      <c r="E840">
        <f t="shared" si="47"/>
        <v>4</v>
      </c>
    </row>
    <row r="841" spans="1:5" x14ac:dyDescent="0.3">
      <c r="A841" t="s">
        <v>966</v>
      </c>
      <c r="B841" t="s">
        <v>127</v>
      </c>
      <c r="C841">
        <v>378</v>
      </c>
      <c r="D841">
        <f t="shared" si="46"/>
        <v>2001</v>
      </c>
      <c r="E841">
        <f t="shared" si="47"/>
        <v>4</v>
      </c>
    </row>
    <row r="842" spans="1:5" x14ac:dyDescent="0.3">
      <c r="A842" t="s">
        <v>967</v>
      </c>
      <c r="B842" t="s">
        <v>127</v>
      </c>
      <c r="C842">
        <v>379</v>
      </c>
      <c r="D842">
        <f t="shared" si="46"/>
        <v>2001</v>
      </c>
      <c r="E842">
        <f t="shared" si="47"/>
        <v>4</v>
      </c>
    </row>
    <row r="843" spans="1:5" x14ac:dyDescent="0.3">
      <c r="A843" t="s">
        <v>968</v>
      </c>
      <c r="B843" t="s">
        <v>127</v>
      </c>
      <c r="C843">
        <v>367</v>
      </c>
      <c r="D843">
        <f t="shared" si="46"/>
        <v>2001</v>
      </c>
      <c r="E843">
        <f t="shared" si="47"/>
        <v>4</v>
      </c>
    </row>
    <row r="844" spans="1:5" x14ac:dyDescent="0.3">
      <c r="A844" t="s">
        <v>969</v>
      </c>
      <c r="B844" t="s">
        <v>127</v>
      </c>
      <c r="C844">
        <v>347</v>
      </c>
      <c r="D844">
        <f t="shared" si="46"/>
        <v>2001</v>
      </c>
      <c r="E844">
        <f t="shared" si="47"/>
        <v>4</v>
      </c>
    </row>
    <row r="845" spans="1:5" x14ac:dyDescent="0.3">
      <c r="A845" t="s">
        <v>970</v>
      </c>
      <c r="B845" t="s">
        <v>127</v>
      </c>
      <c r="C845">
        <v>366</v>
      </c>
      <c r="D845">
        <f t="shared" si="46"/>
        <v>2001</v>
      </c>
      <c r="E845">
        <f t="shared" si="47"/>
        <v>5</v>
      </c>
    </row>
    <row r="846" spans="1:5" x14ac:dyDescent="0.3">
      <c r="A846" t="s">
        <v>971</v>
      </c>
      <c r="B846" t="s">
        <v>127</v>
      </c>
      <c r="C846">
        <v>368</v>
      </c>
      <c r="D846">
        <f t="shared" si="46"/>
        <v>2001</v>
      </c>
      <c r="E846">
        <f t="shared" si="47"/>
        <v>5</v>
      </c>
    </row>
    <row r="847" spans="1:5" x14ac:dyDescent="0.3">
      <c r="A847" t="s">
        <v>972</v>
      </c>
      <c r="B847" t="s">
        <v>127</v>
      </c>
      <c r="C847">
        <v>366</v>
      </c>
      <c r="D847">
        <f t="shared" si="46"/>
        <v>2001</v>
      </c>
      <c r="E847">
        <f t="shared" si="47"/>
        <v>5</v>
      </c>
    </row>
    <row r="848" spans="1:5" x14ac:dyDescent="0.3">
      <c r="A848" t="s">
        <v>973</v>
      </c>
      <c r="B848" t="s">
        <v>127</v>
      </c>
      <c r="C848">
        <v>366</v>
      </c>
      <c r="D848">
        <f t="shared" si="46"/>
        <v>2001</v>
      </c>
      <c r="E848">
        <f t="shared" si="47"/>
        <v>5</v>
      </c>
    </row>
    <row r="849" spans="1:5" x14ac:dyDescent="0.3">
      <c r="A849" t="s">
        <v>974</v>
      </c>
      <c r="B849" t="s">
        <v>127</v>
      </c>
      <c r="C849">
        <v>363</v>
      </c>
      <c r="D849">
        <f t="shared" si="46"/>
        <v>2001</v>
      </c>
      <c r="E849">
        <f t="shared" si="47"/>
        <v>5</v>
      </c>
    </row>
    <row r="850" spans="1:5" x14ac:dyDescent="0.3">
      <c r="A850" t="s">
        <v>975</v>
      </c>
      <c r="B850" t="s">
        <v>127</v>
      </c>
      <c r="C850">
        <v>362</v>
      </c>
      <c r="D850">
        <f t="shared" si="46"/>
        <v>2001</v>
      </c>
      <c r="E850">
        <f t="shared" si="47"/>
        <v>5</v>
      </c>
    </row>
    <row r="851" spans="1:5" x14ac:dyDescent="0.3">
      <c r="A851" t="s">
        <v>976</v>
      </c>
      <c r="B851" t="s">
        <v>127</v>
      </c>
      <c r="C851">
        <v>367</v>
      </c>
      <c r="D851">
        <f t="shared" si="46"/>
        <v>2001</v>
      </c>
      <c r="E851">
        <f t="shared" si="47"/>
        <v>5</v>
      </c>
    </row>
    <row r="852" spans="1:5" x14ac:dyDescent="0.3">
      <c r="A852" t="s">
        <v>977</v>
      </c>
      <c r="B852" t="s">
        <v>127</v>
      </c>
      <c r="C852">
        <v>354</v>
      </c>
      <c r="D852">
        <f t="shared" si="46"/>
        <v>2001</v>
      </c>
      <c r="E852">
        <f t="shared" si="47"/>
        <v>5</v>
      </c>
    </row>
    <row r="853" spans="1:5" x14ac:dyDescent="0.3">
      <c r="A853" t="s">
        <v>978</v>
      </c>
      <c r="B853" t="s">
        <v>127</v>
      </c>
      <c r="C853">
        <v>343</v>
      </c>
      <c r="D853">
        <f t="shared" si="46"/>
        <v>2001</v>
      </c>
      <c r="E853">
        <f t="shared" si="47"/>
        <v>5</v>
      </c>
    </row>
    <row r="854" spans="1:5" x14ac:dyDescent="0.3">
      <c r="A854" t="s">
        <v>979</v>
      </c>
      <c r="B854" t="s">
        <v>127</v>
      </c>
      <c r="C854">
        <v>343</v>
      </c>
      <c r="D854">
        <f t="shared" si="46"/>
        <v>2001</v>
      </c>
      <c r="E854">
        <f t="shared" si="47"/>
        <v>5</v>
      </c>
    </row>
    <row r="855" spans="1:5" x14ac:dyDescent="0.3">
      <c r="A855" t="s">
        <v>980</v>
      </c>
      <c r="B855" t="s">
        <v>127</v>
      </c>
      <c r="C855">
        <v>337</v>
      </c>
      <c r="D855">
        <f t="shared" si="46"/>
        <v>2001</v>
      </c>
      <c r="E855">
        <f t="shared" si="47"/>
        <v>5</v>
      </c>
    </row>
    <row r="856" spans="1:5" x14ac:dyDescent="0.3">
      <c r="A856" t="s">
        <v>981</v>
      </c>
      <c r="B856" t="s">
        <v>127</v>
      </c>
      <c r="C856">
        <v>341</v>
      </c>
      <c r="D856">
        <f t="shared" si="46"/>
        <v>2001</v>
      </c>
      <c r="E856">
        <f t="shared" si="47"/>
        <v>5</v>
      </c>
    </row>
    <row r="857" spans="1:5" x14ac:dyDescent="0.3">
      <c r="A857" t="s">
        <v>982</v>
      </c>
      <c r="B857" t="s">
        <v>127</v>
      </c>
      <c r="C857">
        <v>331</v>
      </c>
      <c r="D857">
        <f t="shared" si="46"/>
        <v>2001</v>
      </c>
      <c r="E857">
        <f t="shared" si="47"/>
        <v>5</v>
      </c>
    </row>
    <row r="858" spans="1:5" x14ac:dyDescent="0.3">
      <c r="A858" t="s">
        <v>983</v>
      </c>
      <c r="B858" t="s">
        <v>127</v>
      </c>
      <c r="C858">
        <v>324</v>
      </c>
      <c r="D858">
        <f t="shared" si="46"/>
        <v>2001</v>
      </c>
      <c r="E858">
        <f t="shared" si="47"/>
        <v>5</v>
      </c>
    </row>
    <row r="859" spans="1:5" x14ac:dyDescent="0.3">
      <c r="A859" t="s">
        <v>984</v>
      </c>
      <c r="B859" t="s">
        <v>127</v>
      </c>
      <c r="C859">
        <v>327</v>
      </c>
      <c r="D859">
        <f t="shared" si="46"/>
        <v>2001</v>
      </c>
      <c r="E859">
        <f t="shared" si="47"/>
        <v>5</v>
      </c>
    </row>
    <row r="860" spans="1:5" x14ac:dyDescent="0.3">
      <c r="A860" t="s">
        <v>985</v>
      </c>
      <c r="B860" t="s">
        <v>127</v>
      </c>
      <c r="C860">
        <v>318</v>
      </c>
      <c r="D860">
        <f t="shared" si="46"/>
        <v>2001</v>
      </c>
      <c r="E860">
        <f t="shared" si="47"/>
        <v>5</v>
      </c>
    </row>
    <row r="861" spans="1:5" x14ac:dyDescent="0.3">
      <c r="A861" t="s">
        <v>986</v>
      </c>
      <c r="B861" t="s">
        <v>127</v>
      </c>
      <c r="C861">
        <v>322</v>
      </c>
      <c r="D861">
        <f t="shared" si="46"/>
        <v>2001</v>
      </c>
      <c r="E861">
        <f t="shared" si="47"/>
        <v>5</v>
      </c>
    </row>
    <row r="862" spans="1:5" x14ac:dyDescent="0.3">
      <c r="A862" t="s">
        <v>987</v>
      </c>
      <c r="B862" t="s">
        <v>127</v>
      </c>
      <c r="C862">
        <v>317</v>
      </c>
      <c r="D862">
        <f t="shared" si="46"/>
        <v>2001</v>
      </c>
      <c r="E862">
        <f t="shared" si="47"/>
        <v>5</v>
      </c>
    </row>
    <row r="863" spans="1:5" x14ac:dyDescent="0.3">
      <c r="A863" t="s">
        <v>988</v>
      </c>
      <c r="B863" t="s">
        <v>127</v>
      </c>
      <c r="C863">
        <v>317</v>
      </c>
      <c r="D863">
        <f t="shared" si="46"/>
        <v>2001</v>
      </c>
      <c r="E863">
        <f t="shared" si="47"/>
        <v>5</v>
      </c>
    </row>
    <row r="864" spans="1:5" x14ac:dyDescent="0.3">
      <c r="A864" t="s">
        <v>989</v>
      </c>
      <c r="B864" t="s">
        <v>127</v>
      </c>
      <c r="C864">
        <v>316</v>
      </c>
      <c r="D864">
        <f t="shared" si="46"/>
        <v>2001</v>
      </c>
      <c r="E864">
        <f t="shared" si="47"/>
        <v>5</v>
      </c>
    </row>
    <row r="865" spans="1:5" x14ac:dyDescent="0.3">
      <c r="A865" t="s">
        <v>990</v>
      </c>
      <c r="B865" t="s">
        <v>127</v>
      </c>
      <c r="C865">
        <v>322</v>
      </c>
      <c r="D865">
        <f t="shared" si="46"/>
        <v>2001</v>
      </c>
      <c r="E865">
        <f t="shared" si="47"/>
        <v>5</v>
      </c>
    </row>
    <row r="866" spans="1:5" x14ac:dyDescent="0.3">
      <c r="A866" t="s">
        <v>991</v>
      </c>
      <c r="B866" t="s">
        <v>127</v>
      </c>
      <c r="C866">
        <v>326</v>
      </c>
      <c r="D866">
        <f t="shared" si="46"/>
        <v>2001</v>
      </c>
      <c r="E866">
        <f t="shared" si="47"/>
        <v>5</v>
      </c>
    </row>
    <row r="867" spans="1:5" x14ac:dyDescent="0.3">
      <c r="A867" t="s">
        <v>992</v>
      </c>
      <c r="B867" t="s">
        <v>127</v>
      </c>
      <c r="C867">
        <v>322</v>
      </c>
      <c r="D867">
        <f t="shared" si="46"/>
        <v>2001</v>
      </c>
      <c r="E867">
        <f t="shared" si="47"/>
        <v>6</v>
      </c>
    </row>
    <row r="868" spans="1:5" x14ac:dyDescent="0.3">
      <c r="A868" t="s">
        <v>993</v>
      </c>
      <c r="B868" t="s">
        <v>127</v>
      </c>
      <c r="C868">
        <v>322</v>
      </c>
      <c r="D868">
        <f t="shared" si="46"/>
        <v>2001</v>
      </c>
      <c r="E868">
        <f t="shared" si="47"/>
        <v>6</v>
      </c>
    </row>
    <row r="869" spans="1:5" x14ac:dyDescent="0.3">
      <c r="A869" t="s">
        <v>994</v>
      </c>
      <c r="B869" t="s">
        <v>127</v>
      </c>
      <c r="C869">
        <v>322</v>
      </c>
      <c r="D869">
        <f t="shared" si="46"/>
        <v>2001</v>
      </c>
      <c r="E869">
        <f t="shared" si="47"/>
        <v>6</v>
      </c>
    </row>
    <row r="870" spans="1:5" x14ac:dyDescent="0.3">
      <c r="A870" t="s">
        <v>995</v>
      </c>
      <c r="B870" t="s">
        <v>127</v>
      </c>
      <c r="C870">
        <v>320</v>
      </c>
      <c r="D870">
        <f t="shared" si="46"/>
        <v>2001</v>
      </c>
      <c r="E870">
        <f t="shared" si="47"/>
        <v>6</v>
      </c>
    </row>
    <row r="871" spans="1:5" x14ac:dyDescent="0.3">
      <c r="A871" t="s">
        <v>996</v>
      </c>
      <c r="B871" t="s">
        <v>127</v>
      </c>
      <c r="C871">
        <v>315</v>
      </c>
      <c r="D871">
        <f t="shared" si="46"/>
        <v>2001</v>
      </c>
      <c r="E871">
        <f t="shared" si="47"/>
        <v>6</v>
      </c>
    </row>
    <row r="872" spans="1:5" x14ac:dyDescent="0.3">
      <c r="A872" t="s">
        <v>997</v>
      </c>
      <c r="B872" t="s">
        <v>127</v>
      </c>
      <c r="C872">
        <v>308</v>
      </c>
      <c r="D872">
        <f t="shared" si="46"/>
        <v>2001</v>
      </c>
      <c r="E872">
        <f t="shared" si="47"/>
        <v>6</v>
      </c>
    </row>
    <row r="873" spans="1:5" x14ac:dyDescent="0.3">
      <c r="A873" t="s">
        <v>998</v>
      </c>
      <c r="B873" t="s">
        <v>127</v>
      </c>
      <c r="C873">
        <v>310</v>
      </c>
      <c r="D873">
        <f t="shared" si="46"/>
        <v>2001</v>
      </c>
      <c r="E873">
        <f t="shared" si="47"/>
        <v>6</v>
      </c>
    </row>
    <row r="874" spans="1:5" x14ac:dyDescent="0.3">
      <c r="A874" t="s">
        <v>999</v>
      </c>
      <c r="B874" t="s">
        <v>127</v>
      </c>
      <c r="C874">
        <v>313</v>
      </c>
      <c r="D874">
        <f t="shared" si="46"/>
        <v>2001</v>
      </c>
      <c r="E874">
        <f t="shared" si="47"/>
        <v>6</v>
      </c>
    </row>
    <row r="875" spans="1:5" x14ac:dyDescent="0.3">
      <c r="A875" t="s">
        <v>1000</v>
      </c>
      <c r="B875" t="s">
        <v>127</v>
      </c>
      <c r="C875">
        <v>312</v>
      </c>
      <c r="D875">
        <f t="shared" si="46"/>
        <v>2001</v>
      </c>
      <c r="E875">
        <f t="shared" si="47"/>
        <v>6</v>
      </c>
    </row>
    <row r="876" spans="1:5" x14ac:dyDescent="0.3">
      <c r="A876" t="s">
        <v>1001</v>
      </c>
      <c r="B876" t="s">
        <v>127</v>
      </c>
      <c r="C876">
        <v>313</v>
      </c>
      <c r="D876">
        <f t="shared" si="46"/>
        <v>2001</v>
      </c>
      <c r="E876">
        <f t="shared" si="47"/>
        <v>6</v>
      </c>
    </row>
    <row r="877" spans="1:5" x14ac:dyDescent="0.3">
      <c r="A877" t="s">
        <v>1002</v>
      </c>
      <c r="B877" t="s">
        <v>127</v>
      </c>
      <c r="C877">
        <v>311</v>
      </c>
      <c r="D877">
        <f t="shared" si="46"/>
        <v>2001</v>
      </c>
      <c r="E877">
        <f t="shared" si="47"/>
        <v>6</v>
      </c>
    </row>
    <row r="878" spans="1:5" x14ac:dyDescent="0.3">
      <c r="A878" t="s">
        <v>1003</v>
      </c>
      <c r="B878" t="s">
        <v>127</v>
      </c>
      <c r="C878">
        <v>318</v>
      </c>
      <c r="D878">
        <f t="shared" si="46"/>
        <v>2001</v>
      </c>
      <c r="E878">
        <f t="shared" si="47"/>
        <v>6</v>
      </c>
    </row>
    <row r="879" spans="1:5" x14ac:dyDescent="0.3">
      <c r="A879" t="s">
        <v>1004</v>
      </c>
      <c r="B879" t="s">
        <v>127</v>
      </c>
      <c r="C879">
        <v>317</v>
      </c>
      <c r="D879">
        <f t="shared" si="46"/>
        <v>2001</v>
      </c>
      <c r="E879">
        <f t="shared" si="47"/>
        <v>6</v>
      </c>
    </row>
    <row r="880" spans="1:5" x14ac:dyDescent="0.3">
      <c r="A880" t="s">
        <v>1005</v>
      </c>
      <c r="B880" t="s">
        <v>127</v>
      </c>
      <c r="C880">
        <v>319</v>
      </c>
      <c r="D880">
        <f t="shared" si="46"/>
        <v>2001</v>
      </c>
      <c r="E880">
        <f t="shared" si="47"/>
        <v>6</v>
      </c>
    </row>
    <row r="881" spans="1:5" x14ac:dyDescent="0.3">
      <c r="A881" t="s">
        <v>1006</v>
      </c>
      <c r="B881" t="s">
        <v>127</v>
      </c>
      <c r="C881">
        <v>317</v>
      </c>
      <c r="D881">
        <f t="shared" si="46"/>
        <v>2001</v>
      </c>
      <c r="E881">
        <f t="shared" si="47"/>
        <v>6</v>
      </c>
    </row>
    <row r="882" spans="1:5" x14ac:dyDescent="0.3">
      <c r="A882" t="s">
        <v>1007</v>
      </c>
      <c r="B882" t="s">
        <v>127</v>
      </c>
      <c r="C882">
        <v>325</v>
      </c>
      <c r="D882">
        <f t="shared" si="46"/>
        <v>2001</v>
      </c>
      <c r="E882">
        <f t="shared" si="47"/>
        <v>6</v>
      </c>
    </row>
    <row r="883" spans="1:5" x14ac:dyDescent="0.3">
      <c r="A883" t="s">
        <v>1008</v>
      </c>
      <c r="B883" t="s">
        <v>127</v>
      </c>
      <c r="C883">
        <v>325</v>
      </c>
      <c r="D883">
        <f t="shared" si="46"/>
        <v>2001</v>
      </c>
      <c r="E883">
        <f t="shared" si="47"/>
        <v>6</v>
      </c>
    </row>
    <row r="884" spans="1:5" x14ac:dyDescent="0.3">
      <c r="A884" t="s">
        <v>1009</v>
      </c>
      <c r="B884" t="s">
        <v>127</v>
      </c>
      <c r="C884">
        <v>315</v>
      </c>
      <c r="D884">
        <f t="shared" si="46"/>
        <v>2001</v>
      </c>
      <c r="E884">
        <f t="shared" si="47"/>
        <v>6</v>
      </c>
    </row>
    <row r="885" spans="1:5" x14ac:dyDescent="0.3">
      <c r="A885" t="s">
        <v>1010</v>
      </c>
      <c r="B885" t="s">
        <v>127</v>
      </c>
      <c r="C885">
        <v>313</v>
      </c>
      <c r="D885">
        <f t="shared" si="46"/>
        <v>2001</v>
      </c>
      <c r="E885">
        <f t="shared" si="47"/>
        <v>6</v>
      </c>
    </row>
    <row r="886" spans="1:5" x14ac:dyDescent="0.3">
      <c r="A886" t="s">
        <v>1011</v>
      </c>
      <c r="B886" t="s">
        <v>127</v>
      </c>
      <c r="C886">
        <v>310</v>
      </c>
      <c r="D886">
        <f t="shared" si="46"/>
        <v>2001</v>
      </c>
      <c r="E886">
        <f t="shared" si="47"/>
        <v>6</v>
      </c>
    </row>
    <row r="887" spans="1:5" x14ac:dyDescent="0.3">
      <c r="A887" t="s">
        <v>1012</v>
      </c>
      <c r="B887" t="s">
        <v>127</v>
      </c>
      <c r="C887">
        <v>310</v>
      </c>
      <c r="D887">
        <f t="shared" si="46"/>
        <v>2001</v>
      </c>
      <c r="E887">
        <f t="shared" si="47"/>
        <v>6</v>
      </c>
    </row>
    <row r="888" spans="1:5" x14ac:dyDescent="0.3">
      <c r="A888" t="s">
        <v>1013</v>
      </c>
      <c r="B888" t="s">
        <v>127</v>
      </c>
      <c r="C888">
        <v>310</v>
      </c>
      <c r="D888">
        <f t="shared" si="46"/>
        <v>2001</v>
      </c>
      <c r="E888">
        <f t="shared" si="47"/>
        <v>7</v>
      </c>
    </row>
    <row r="889" spans="1:5" x14ac:dyDescent="0.3">
      <c r="A889" t="s">
        <v>1014</v>
      </c>
      <c r="B889" t="s">
        <v>127</v>
      </c>
      <c r="C889">
        <v>312</v>
      </c>
      <c r="D889">
        <f t="shared" si="46"/>
        <v>2001</v>
      </c>
      <c r="E889">
        <f t="shared" si="47"/>
        <v>7</v>
      </c>
    </row>
    <row r="890" spans="1:5" x14ac:dyDescent="0.3">
      <c r="A890" t="s">
        <v>1015</v>
      </c>
      <c r="B890" t="s">
        <v>127</v>
      </c>
      <c r="C890">
        <v>311</v>
      </c>
      <c r="D890">
        <f t="shared" si="46"/>
        <v>2001</v>
      </c>
      <c r="E890">
        <f t="shared" si="47"/>
        <v>7</v>
      </c>
    </row>
    <row r="891" spans="1:5" x14ac:dyDescent="0.3">
      <c r="A891" t="s">
        <v>1016</v>
      </c>
      <c r="B891" t="s">
        <v>127</v>
      </c>
      <c r="C891">
        <v>326</v>
      </c>
      <c r="D891">
        <f t="shared" si="46"/>
        <v>2001</v>
      </c>
      <c r="E891">
        <f t="shared" si="47"/>
        <v>7</v>
      </c>
    </row>
    <row r="892" spans="1:5" x14ac:dyDescent="0.3">
      <c r="A892" t="s">
        <v>1017</v>
      </c>
      <c r="B892" t="s">
        <v>127</v>
      </c>
      <c r="C892">
        <v>323</v>
      </c>
      <c r="D892">
        <f t="shared" si="46"/>
        <v>2001</v>
      </c>
      <c r="E892">
        <f t="shared" si="47"/>
        <v>7</v>
      </c>
    </row>
    <row r="893" spans="1:5" x14ac:dyDescent="0.3">
      <c r="A893" t="s">
        <v>1018</v>
      </c>
      <c r="B893" t="s">
        <v>127</v>
      </c>
      <c r="C893">
        <v>337</v>
      </c>
      <c r="D893">
        <f t="shared" si="46"/>
        <v>2001</v>
      </c>
      <c r="E893">
        <f t="shared" si="47"/>
        <v>7</v>
      </c>
    </row>
    <row r="894" spans="1:5" x14ac:dyDescent="0.3">
      <c r="A894" t="s">
        <v>1019</v>
      </c>
      <c r="B894" t="s">
        <v>127</v>
      </c>
      <c r="C894">
        <v>349</v>
      </c>
      <c r="D894">
        <f t="shared" si="46"/>
        <v>2001</v>
      </c>
      <c r="E894">
        <f t="shared" si="47"/>
        <v>7</v>
      </c>
    </row>
    <row r="895" spans="1:5" x14ac:dyDescent="0.3">
      <c r="A895" t="s">
        <v>1020</v>
      </c>
      <c r="B895" t="s">
        <v>127</v>
      </c>
      <c r="C895">
        <v>361</v>
      </c>
      <c r="D895">
        <f t="shared" si="46"/>
        <v>2001</v>
      </c>
      <c r="E895">
        <f t="shared" si="47"/>
        <v>7</v>
      </c>
    </row>
    <row r="896" spans="1:5" x14ac:dyDescent="0.3">
      <c r="A896" t="s">
        <v>1021</v>
      </c>
      <c r="B896" t="s">
        <v>127</v>
      </c>
      <c r="C896">
        <v>361</v>
      </c>
      <c r="D896">
        <f t="shared" si="46"/>
        <v>2001</v>
      </c>
      <c r="E896">
        <f t="shared" si="47"/>
        <v>7</v>
      </c>
    </row>
    <row r="897" spans="1:5" x14ac:dyDescent="0.3">
      <c r="A897" t="s">
        <v>1022</v>
      </c>
      <c r="B897" t="s">
        <v>127</v>
      </c>
      <c r="C897">
        <v>364</v>
      </c>
      <c r="D897">
        <f t="shared" si="46"/>
        <v>2001</v>
      </c>
      <c r="E897">
        <f t="shared" si="47"/>
        <v>7</v>
      </c>
    </row>
    <row r="898" spans="1:5" x14ac:dyDescent="0.3">
      <c r="A898" t="s">
        <v>1023</v>
      </c>
      <c r="B898" t="s">
        <v>127</v>
      </c>
      <c r="C898">
        <v>348</v>
      </c>
      <c r="D898">
        <f t="shared" si="46"/>
        <v>2001</v>
      </c>
      <c r="E898">
        <f t="shared" si="47"/>
        <v>7</v>
      </c>
    </row>
    <row r="899" spans="1:5" x14ac:dyDescent="0.3">
      <c r="A899" t="s">
        <v>1024</v>
      </c>
      <c r="B899" t="s">
        <v>127</v>
      </c>
      <c r="C899">
        <v>357</v>
      </c>
      <c r="D899">
        <f t="shared" ref="D899:D962" si="48">YEAR(A899)</f>
        <v>2001</v>
      </c>
      <c r="E899">
        <f t="shared" ref="E899:E962" si="49">MONTH(A899)</f>
        <v>7</v>
      </c>
    </row>
    <row r="900" spans="1:5" x14ac:dyDescent="0.3">
      <c r="A900" t="s">
        <v>1025</v>
      </c>
      <c r="B900" t="s">
        <v>127</v>
      </c>
      <c r="C900">
        <v>349</v>
      </c>
      <c r="D900">
        <f t="shared" si="48"/>
        <v>2001</v>
      </c>
      <c r="E900">
        <f t="shared" si="49"/>
        <v>7</v>
      </c>
    </row>
    <row r="901" spans="1:5" x14ac:dyDescent="0.3">
      <c r="A901" t="s">
        <v>1026</v>
      </c>
      <c r="B901" t="s">
        <v>127</v>
      </c>
      <c r="C901">
        <v>346</v>
      </c>
      <c r="D901">
        <f t="shared" si="48"/>
        <v>2001</v>
      </c>
      <c r="E901">
        <f t="shared" si="49"/>
        <v>7</v>
      </c>
    </row>
    <row r="902" spans="1:5" x14ac:dyDescent="0.3">
      <c r="A902" t="s">
        <v>1027</v>
      </c>
      <c r="B902" t="s">
        <v>127</v>
      </c>
      <c r="C902">
        <v>339</v>
      </c>
      <c r="D902">
        <f t="shared" si="48"/>
        <v>2001</v>
      </c>
      <c r="E902">
        <f t="shared" si="49"/>
        <v>7</v>
      </c>
    </row>
    <row r="903" spans="1:5" x14ac:dyDescent="0.3">
      <c r="A903" t="s">
        <v>1028</v>
      </c>
      <c r="B903" t="s">
        <v>127</v>
      </c>
      <c r="C903">
        <v>333</v>
      </c>
      <c r="D903">
        <f t="shared" si="48"/>
        <v>2001</v>
      </c>
      <c r="E903">
        <f t="shared" si="49"/>
        <v>7</v>
      </c>
    </row>
    <row r="904" spans="1:5" x14ac:dyDescent="0.3">
      <c r="A904" t="s">
        <v>1029</v>
      </c>
      <c r="B904" t="s">
        <v>127</v>
      </c>
      <c r="C904">
        <v>335</v>
      </c>
      <c r="D904">
        <f t="shared" si="48"/>
        <v>2001</v>
      </c>
      <c r="E904">
        <f t="shared" si="49"/>
        <v>7</v>
      </c>
    </row>
    <row r="905" spans="1:5" x14ac:dyDescent="0.3">
      <c r="A905" t="s">
        <v>1030</v>
      </c>
      <c r="B905" t="s">
        <v>127</v>
      </c>
      <c r="C905">
        <v>340</v>
      </c>
      <c r="D905">
        <f t="shared" si="48"/>
        <v>2001</v>
      </c>
      <c r="E905">
        <f t="shared" si="49"/>
        <v>7</v>
      </c>
    </row>
    <row r="906" spans="1:5" x14ac:dyDescent="0.3">
      <c r="A906" t="s">
        <v>1031</v>
      </c>
      <c r="B906" t="s">
        <v>127</v>
      </c>
      <c r="C906">
        <v>347</v>
      </c>
      <c r="D906">
        <f t="shared" si="48"/>
        <v>2001</v>
      </c>
      <c r="E906">
        <f t="shared" si="49"/>
        <v>7</v>
      </c>
    </row>
    <row r="907" spans="1:5" x14ac:dyDescent="0.3">
      <c r="A907" t="s">
        <v>1032</v>
      </c>
      <c r="B907" t="s">
        <v>127</v>
      </c>
      <c r="C907">
        <v>353</v>
      </c>
      <c r="D907">
        <f t="shared" si="48"/>
        <v>2001</v>
      </c>
      <c r="E907">
        <f t="shared" si="49"/>
        <v>7</v>
      </c>
    </row>
    <row r="908" spans="1:5" x14ac:dyDescent="0.3">
      <c r="A908" t="s">
        <v>1033</v>
      </c>
      <c r="B908" t="s">
        <v>127</v>
      </c>
      <c r="C908">
        <v>360</v>
      </c>
      <c r="D908">
        <f t="shared" si="48"/>
        <v>2001</v>
      </c>
      <c r="E908">
        <f t="shared" si="49"/>
        <v>7</v>
      </c>
    </row>
    <row r="909" spans="1:5" x14ac:dyDescent="0.3">
      <c r="A909" t="s">
        <v>1034</v>
      </c>
      <c r="B909" t="s">
        <v>127</v>
      </c>
      <c r="C909">
        <v>356</v>
      </c>
      <c r="D909">
        <f t="shared" si="48"/>
        <v>2001</v>
      </c>
      <c r="E909">
        <f t="shared" si="49"/>
        <v>8</v>
      </c>
    </row>
    <row r="910" spans="1:5" x14ac:dyDescent="0.3">
      <c r="A910" t="s">
        <v>1035</v>
      </c>
      <c r="B910" t="s">
        <v>127</v>
      </c>
      <c r="C910">
        <v>343</v>
      </c>
      <c r="D910">
        <f t="shared" si="48"/>
        <v>2001</v>
      </c>
      <c r="E910">
        <f t="shared" si="49"/>
        <v>8</v>
      </c>
    </row>
    <row r="911" spans="1:5" x14ac:dyDescent="0.3">
      <c r="A911" t="s">
        <v>1036</v>
      </c>
      <c r="B911" t="s">
        <v>127</v>
      </c>
      <c r="C911">
        <v>335</v>
      </c>
      <c r="D911">
        <f t="shared" si="48"/>
        <v>2001</v>
      </c>
      <c r="E911">
        <f t="shared" si="49"/>
        <v>8</v>
      </c>
    </row>
    <row r="912" spans="1:5" x14ac:dyDescent="0.3">
      <c r="A912" t="s">
        <v>1037</v>
      </c>
      <c r="B912" t="s">
        <v>127</v>
      </c>
      <c r="C912">
        <v>340</v>
      </c>
      <c r="D912">
        <f t="shared" si="48"/>
        <v>2001</v>
      </c>
      <c r="E912">
        <f t="shared" si="49"/>
        <v>8</v>
      </c>
    </row>
    <row r="913" spans="1:5" x14ac:dyDescent="0.3">
      <c r="A913" t="s">
        <v>1038</v>
      </c>
      <c r="B913" t="s">
        <v>127</v>
      </c>
      <c r="C913">
        <v>339</v>
      </c>
      <c r="D913">
        <f t="shared" si="48"/>
        <v>2001</v>
      </c>
      <c r="E913">
        <f t="shared" si="49"/>
        <v>8</v>
      </c>
    </row>
    <row r="914" spans="1:5" x14ac:dyDescent="0.3">
      <c r="A914" t="s">
        <v>1039</v>
      </c>
      <c r="B914" t="s">
        <v>127</v>
      </c>
      <c r="C914">
        <v>349</v>
      </c>
      <c r="D914">
        <f t="shared" si="48"/>
        <v>2001</v>
      </c>
      <c r="E914">
        <f t="shared" si="49"/>
        <v>8</v>
      </c>
    </row>
    <row r="915" spans="1:5" x14ac:dyDescent="0.3">
      <c r="A915" t="s">
        <v>1040</v>
      </c>
      <c r="B915" t="s">
        <v>127</v>
      </c>
      <c r="C915">
        <v>342</v>
      </c>
      <c r="D915">
        <f t="shared" si="48"/>
        <v>2001</v>
      </c>
      <c r="E915">
        <f t="shared" si="49"/>
        <v>8</v>
      </c>
    </row>
    <row r="916" spans="1:5" x14ac:dyDescent="0.3">
      <c r="A916" t="s">
        <v>1041</v>
      </c>
      <c r="B916" t="s">
        <v>127</v>
      </c>
      <c r="C916">
        <v>343</v>
      </c>
      <c r="D916">
        <f t="shared" si="48"/>
        <v>2001</v>
      </c>
      <c r="E916">
        <f t="shared" si="49"/>
        <v>8</v>
      </c>
    </row>
    <row r="917" spans="1:5" x14ac:dyDescent="0.3">
      <c r="A917" t="s">
        <v>1042</v>
      </c>
      <c r="B917" t="s">
        <v>127</v>
      </c>
      <c r="C917">
        <v>345</v>
      </c>
      <c r="D917">
        <f t="shared" si="48"/>
        <v>2001</v>
      </c>
      <c r="E917">
        <f t="shared" si="49"/>
        <v>8</v>
      </c>
    </row>
    <row r="918" spans="1:5" x14ac:dyDescent="0.3">
      <c r="A918" t="s">
        <v>1043</v>
      </c>
      <c r="B918" t="s">
        <v>127</v>
      </c>
      <c r="C918">
        <v>346</v>
      </c>
      <c r="D918">
        <f t="shared" si="48"/>
        <v>2001</v>
      </c>
      <c r="E918">
        <f t="shared" si="49"/>
        <v>8</v>
      </c>
    </row>
    <row r="919" spans="1:5" x14ac:dyDescent="0.3">
      <c r="A919" t="s">
        <v>1044</v>
      </c>
      <c r="B919" t="s">
        <v>127</v>
      </c>
      <c r="C919">
        <v>340</v>
      </c>
      <c r="D919">
        <f t="shared" si="48"/>
        <v>2001</v>
      </c>
      <c r="E919">
        <f t="shared" si="49"/>
        <v>8</v>
      </c>
    </row>
    <row r="920" spans="1:5" x14ac:dyDescent="0.3">
      <c r="A920" t="s">
        <v>1045</v>
      </c>
      <c r="B920" t="s">
        <v>127</v>
      </c>
      <c r="C920">
        <v>344</v>
      </c>
      <c r="D920">
        <f t="shared" si="48"/>
        <v>2001</v>
      </c>
      <c r="E920">
        <f t="shared" si="49"/>
        <v>8</v>
      </c>
    </row>
    <row r="921" spans="1:5" x14ac:dyDescent="0.3">
      <c r="A921" t="s">
        <v>1046</v>
      </c>
      <c r="B921" t="s">
        <v>127</v>
      </c>
      <c r="C921">
        <v>352</v>
      </c>
      <c r="D921">
        <f t="shared" si="48"/>
        <v>2001</v>
      </c>
      <c r="E921">
        <f t="shared" si="49"/>
        <v>8</v>
      </c>
    </row>
    <row r="922" spans="1:5" x14ac:dyDescent="0.3">
      <c r="A922" t="s">
        <v>1047</v>
      </c>
      <c r="B922" t="s">
        <v>127</v>
      </c>
      <c r="C922">
        <v>351</v>
      </c>
      <c r="D922">
        <f t="shared" si="48"/>
        <v>2001</v>
      </c>
      <c r="E922">
        <f t="shared" si="49"/>
        <v>8</v>
      </c>
    </row>
    <row r="923" spans="1:5" x14ac:dyDescent="0.3">
      <c r="A923" t="s">
        <v>1048</v>
      </c>
      <c r="B923" t="s">
        <v>127</v>
      </c>
      <c r="C923">
        <v>357</v>
      </c>
      <c r="D923">
        <f t="shared" si="48"/>
        <v>2001</v>
      </c>
      <c r="E923">
        <f t="shared" si="49"/>
        <v>8</v>
      </c>
    </row>
    <row r="924" spans="1:5" x14ac:dyDescent="0.3">
      <c r="A924" t="s">
        <v>1049</v>
      </c>
      <c r="B924" t="s">
        <v>127</v>
      </c>
      <c r="C924">
        <v>346</v>
      </c>
      <c r="D924">
        <f t="shared" si="48"/>
        <v>2001</v>
      </c>
      <c r="E924">
        <f t="shared" si="49"/>
        <v>8</v>
      </c>
    </row>
    <row r="925" spans="1:5" x14ac:dyDescent="0.3">
      <c r="A925" t="s">
        <v>1050</v>
      </c>
      <c r="B925" t="s">
        <v>127</v>
      </c>
      <c r="C925">
        <v>343</v>
      </c>
      <c r="D925">
        <f t="shared" si="48"/>
        <v>2001</v>
      </c>
      <c r="E925">
        <f t="shared" si="49"/>
        <v>8</v>
      </c>
    </row>
    <row r="926" spans="1:5" x14ac:dyDescent="0.3">
      <c r="A926" t="s">
        <v>1051</v>
      </c>
      <c r="B926" t="s">
        <v>127</v>
      </c>
      <c r="C926">
        <v>343</v>
      </c>
      <c r="D926">
        <f t="shared" si="48"/>
        <v>2001</v>
      </c>
      <c r="E926">
        <f t="shared" si="49"/>
        <v>8</v>
      </c>
    </row>
    <row r="927" spans="1:5" x14ac:dyDescent="0.3">
      <c r="A927" t="s">
        <v>1052</v>
      </c>
      <c r="B927" t="s">
        <v>127</v>
      </c>
      <c r="C927">
        <v>339</v>
      </c>
      <c r="D927">
        <f t="shared" si="48"/>
        <v>2001</v>
      </c>
      <c r="E927">
        <f t="shared" si="49"/>
        <v>8</v>
      </c>
    </row>
    <row r="928" spans="1:5" x14ac:dyDescent="0.3">
      <c r="A928" t="s">
        <v>1053</v>
      </c>
      <c r="B928" t="s">
        <v>127</v>
      </c>
      <c r="C928">
        <v>349</v>
      </c>
      <c r="D928">
        <f t="shared" si="48"/>
        <v>2001</v>
      </c>
      <c r="E928">
        <f t="shared" si="49"/>
        <v>8</v>
      </c>
    </row>
    <row r="929" spans="1:5" x14ac:dyDescent="0.3">
      <c r="A929" t="s">
        <v>1054</v>
      </c>
      <c r="B929" t="s">
        <v>127</v>
      </c>
      <c r="C929">
        <v>354</v>
      </c>
      <c r="D929">
        <f t="shared" si="48"/>
        <v>2001</v>
      </c>
      <c r="E929">
        <f t="shared" si="49"/>
        <v>8</v>
      </c>
    </row>
    <row r="930" spans="1:5" x14ac:dyDescent="0.3">
      <c r="A930" t="s">
        <v>1055</v>
      </c>
      <c r="B930" t="s">
        <v>127</v>
      </c>
      <c r="C930">
        <v>357</v>
      </c>
      <c r="D930">
        <f t="shared" si="48"/>
        <v>2001</v>
      </c>
      <c r="E930">
        <f t="shared" si="49"/>
        <v>8</v>
      </c>
    </row>
    <row r="931" spans="1:5" x14ac:dyDescent="0.3">
      <c r="A931" t="s">
        <v>1056</v>
      </c>
      <c r="B931" t="s">
        <v>127</v>
      </c>
      <c r="C931">
        <v>354</v>
      </c>
      <c r="D931">
        <f t="shared" si="48"/>
        <v>2001</v>
      </c>
      <c r="E931">
        <f t="shared" si="49"/>
        <v>8</v>
      </c>
    </row>
    <row r="932" spans="1:5" x14ac:dyDescent="0.3">
      <c r="A932" t="s">
        <v>1057</v>
      </c>
      <c r="B932" t="s">
        <v>127</v>
      </c>
      <c r="C932">
        <v>334</v>
      </c>
      <c r="D932">
        <f t="shared" si="48"/>
        <v>2001</v>
      </c>
      <c r="E932">
        <f t="shared" si="49"/>
        <v>9</v>
      </c>
    </row>
    <row r="933" spans="1:5" x14ac:dyDescent="0.3">
      <c r="A933" t="s">
        <v>1058</v>
      </c>
      <c r="B933" t="s">
        <v>127</v>
      </c>
      <c r="C933">
        <v>334</v>
      </c>
      <c r="D933">
        <f t="shared" si="48"/>
        <v>2001</v>
      </c>
      <c r="E933">
        <f t="shared" si="49"/>
        <v>9</v>
      </c>
    </row>
    <row r="934" spans="1:5" x14ac:dyDescent="0.3">
      <c r="A934" t="s">
        <v>1059</v>
      </c>
      <c r="B934" t="s">
        <v>127</v>
      </c>
      <c r="C934">
        <v>352</v>
      </c>
      <c r="D934">
        <f t="shared" si="48"/>
        <v>2001</v>
      </c>
      <c r="E934">
        <f t="shared" si="49"/>
        <v>9</v>
      </c>
    </row>
    <row r="935" spans="1:5" x14ac:dyDescent="0.3">
      <c r="A935" t="s">
        <v>1060</v>
      </c>
      <c r="B935" t="s">
        <v>127</v>
      </c>
      <c r="C935">
        <v>357</v>
      </c>
      <c r="D935">
        <f t="shared" si="48"/>
        <v>2001</v>
      </c>
      <c r="E935">
        <f t="shared" si="49"/>
        <v>9</v>
      </c>
    </row>
    <row r="936" spans="1:5" x14ac:dyDescent="0.3">
      <c r="A936" t="s">
        <v>1061</v>
      </c>
      <c r="B936" t="s">
        <v>127</v>
      </c>
      <c r="C936">
        <v>352</v>
      </c>
      <c r="D936">
        <f t="shared" si="48"/>
        <v>2001</v>
      </c>
      <c r="E936">
        <f t="shared" si="49"/>
        <v>9</v>
      </c>
    </row>
    <row r="937" spans="1:5" x14ac:dyDescent="0.3">
      <c r="A937" t="s">
        <v>1062</v>
      </c>
      <c r="B937" t="s">
        <v>127</v>
      </c>
      <c r="C937">
        <v>352</v>
      </c>
      <c r="D937">
        <f t="shared" si="48"/>
        <v>2001</v>
      </c>
      <c r="E937">
        <f t="shared" si="49"/>
        <v>9</v>
      </c>
    </row>
    <row r="938" spans="1:5" x14ac:dyDescent="0.3">
      <c r="A938" t="s">
        <v>1063</v>
      </c>
      <c r="B938" t="s">
        <v>127</v>
      </c>
      <c r="C938">
        <v>352</v>
      </c>
      <c r="D938">
        <f t="shared" si="48"/>
        <v>2001</v>
      </c>
      <c r="E938">
        <f t="shared" si="49"/>
        <v>9</v>
      </c>
    </row>
    <row r="939" spans="1:5" x14ac:dyDescent="0.3">
      <c r="A939" t="s">
        <v>1064</v>
      </c>
      <c r="B939" t="s">
        <v>127</v>
      </c>
      <c r="C939">
        <v>416</v>
      </c>
      <c r="D939">
        <f t="shared" si="48"/>
        <v>2001</v>
      </c>
      <c r="E939">
        <f t="shared" si="49"/>
        <v>9</v>
      </c>
    </row>
    <row r="940" spans="1:5" x14ac:dyDescent="0.3">
      <c r="A940" t="s">
        <v>1065</v>
      </c>
      <c r="B940" t="s">
        <v>127</v>
      </c>
      <c r="C940">
        <v>405</v>
      </c>
      <c r="D940">
        <f t="shared" si="48"/>
        <v>2001</v>
      </c>
      <c r="E940">
        <f t="shared" si="49"/>
        <v>9</v>
      </c>
    </row>
    <row r="941" spans="1:5" x14ac:dyDescent="0.3">
      <c r="A941" t="s">
        <v>1066</v>
      </c>
      <c r="B941" t="s">
        <v>127</v>
      </c>
      <c r="C941">
        <v>397</v>
      </c>
      <c r="D941">
        <f t="shared" si="48"/>
        <v>2001</v>
      </c>
      <c r="E941">
        <f t="shared" si="49"/>
        <v>9</v>
      </c>
    </row>
    <row r="942" spans="1:5" x14ac:dyDescent="0.3">
      <c r="A942" t="s">
        <v>1067</v>
      </c>
      <c r="B942" t="s">
        <v>127</v>
      </c>
      <c r="C942">
        <v>396</v>
      </c>
      <c r="D942">
        <f t="shared" si="48"/>
        <v>2001</v>
      </c>
      <c r="E942">
        <f t="shared" si="49"/>
        <v>9</v>
      </c>
    </row>
    <row r="943" spans="1:5" x14ac:dyDescent="0.3">
      <c r="A943" t="s">
        <v>1068</v>
      </c>
      <c r="B943" t="s">
        <v>127</v>
      </c>
      <c r="C943">
        <v>404</v>
      </c>
      <c r="D943">
        <f t="shared" si="48"/>
        <v>2001</v>
      </c>
      <c r="E943">
        <f t="shared" si="49"/>
        <v>9</v>
      </c>
    </row>
    <row r="944" spans="1:5" x14ac:dyDescent="0.3">
      <c r="A944" t="s">
        <v>1069</v>
      </c>
      <c r="B944" t="s">
        <v>127</v>
      </c>
      <c r="C944">
        <v>420</v>
      </c>
      <c r="D944">
        <f t="shared" si="48"/>
        <v>2001</v>
      </c>
      <c r="E944">
        <f t="shared" si="49"/>
        <v>9</v>
      </c>
    </row>
    <row r="945" spans="1:5" x14ac:dyDescent="0.3">
      <c r="A945" t="s">
        <v>1070</v>
      </c>
      <c r="B945" t="s">
        <v>127</v>
      </c>
      <c r="C945">
        <v>426</v>
      </c>
      <c r="D945">
        <f t="shared" si="48"/>
        <v>2001</v>
      </c>
      <c r="E945">
        <f t="shared" si="49"/>
        <v>9</v>
      </c>
    </row>
    <row r="946" spans="1:5" x14ac:dyDescent="0.3">
      <c r="A946" t="s">
        <v>1071</v>
      </c>
      <c r="B946" t="s">
        <v>127</v>
      </c>
      <c r="C946">
        <v>424</v>
      </c>
      <c r="D946">
        <f t="shared" si="48"/>
        <v>2001</v>
      </c>
      <c r="E946">
        <f t="shared" si="49"/>
        <v>9</v>
      </c>
    </row>
    <row r="947" spans="1:5" x14ac:dyDescent="0.3">
      <c r="A947" t="s">
        <v>1072</v>
      </c>
      <c r="B947" t="s">
        <v>127</v>
      </c>
      <c r="C947">
        <v>443</v>
      </c>
      <c r="D947">
        <f t="shared" si="48"/>
        <v>2001</v>
      </c>
      <c r="E947">
        <f t="shared" si="49"/>
        <v>9</v>
      </c>
    </row>
    <row r="948" spans="1:5" x14ac:dyDescent="0.3">
      <c r="A948" t="s">
        <v>1073</v>
      </c>
      <c r="B948" t="s">
        <v>127</v>
      </c>
      <c r="C948">
        <v>457</v>
      </c>
      <c r="D948">
        <f t="shared" si="48"/>
        <v>2001</v>
      </c>
      <c r="E948">
        <f t="shared" si="49"/>
        <v>9</v>
      </c>
    </row>
    <row r="949" spans="1:5" x14ac:dyDescent="0.3">
      <c r="A949" t="s">
        <v>1074</v>
      </c>
      <c r="B949" t="s">
        <v>127</v>
      </c>
      <c r="C949">
        <v>431</v>
      </c>
      <c r="D949">
        <f t="shared" si="48"/>
        <v>2001</v>
      </c>
      <c r="E949">
        <f t="shared" si="49"/>
        <v>9</v>
      </c>
    </row>
    <row r="950" spans="1:5" x14ac:dyDescent="0.3">
      <c r="A950" t="s">
        <v>1075</v>
      </c>
      <c r="B950" t="s">
        <v>127</v>
      </c>
      <c r="C950">
        <v>436</v>
      </c>
      <c r="D950">
        <f t="shared" si="48"/>
        <v>2001</v>
      </c>
      <c r="E950">
        <f t="shared" si="49"/>
        <v>10</v>
      </c>
    </row>
    <row r="951" spans="1:5" x14ac:dyDescent="0.3">
      <c r="A951" t="s">
        <v>1076</v>
      </c>
      <c r="B951" t="s">
        <v>127</v>
      </c>
      <c r="C951">
        <v>440</v>
      </c>
      <c r="D951">
        <f t="shared" si="48"/>
        <v>2001</v>
      </c>
      <c r="E951">
        <f t="shared" si="49"/>
        <v>10</v>
      </c>
    </row>
    <row r="952" spans="1:5" x14ac:dyDescent="0.3">
      <c r="A952" t="s">
        <v>1077</v>
      </c>
      <c r="B952" t="s">
        <v>127</v>
      </c>
      <c r="C952">
        <v>433</v>
      </c>
      <c r="D952">
        <f t="shared" si="48"/>
        <v>2001</v>
      </c>
      <c r="E952">
        <f t="shared" si="49"/>
        <v>10</v>
      </c>
    </row>
    <row r="953" spans="1:5" x14ac:dyDescent="0.3">
      <c r="A953" t="s">
        <v>1078</v>
      </c>
      <c r="B953" t="s">
        <v>127</v>
      </c>
      <c r="C953">
        <v>441</v>
      </c>
      <c r="D953">
        <f t="shared" si="48"/>
        <v>2001</v>
      </c>
      <c r="E953">
        <f t="shared" si="49"/>
        <v>10</v>
      </c>
    </row>
    <row r="954" spans="1:5" x14ac:dyDescent="0.3">
      <c r="A954" t="s">
        <v>1079</v>
      </c>
      <c r="B954" t="s">
        <v>127</v>
      </c>
      <c r="C954">
        <v>443</v>
      </c>
      <c r="D954">
        <f t="shared" si="48"/>
        <v>2001</v>
      </c>
      <c r="E954">
        <f t="shared" si="49"/>
        <v>10</v>
      </c>
    </row>
    <row r="955" spans="1:5" x14ac:dyDescent="0.3">
      <c r="A955" t="s">
        <v>1080</v>
      </c>
      <c r="B955" t="s">
        <v>127</v>
      </c>
      <c r="C955">
        <v>428</v>
      </c>
      <c r="D955">
        <f t="shared" si="48"/>
        <v>2001</v>
      </c>
      <c r="E955">
        <f t="shared" si="49"/>
        <v>10</v>
      </c>
    </row>
    <row r="956" spans="1:5" x14ac:dyDescent="0.3">
      <c r="A956" t="s">
        <v>1081</v>
      </c>
      <c r="B956" t="s">
        <v>127</v>
      </c>
      <c r="C956">
        <v>412</v>
      </c>
      <c r="D956">
        <f t="shared" si="48"/>
        <v>2001</v>
      </c>
      <c r="E956">
        <f t="shared" si="49"/>
        <v>10</v>
      </c>
    </row>
    <row r="957" spans="1:5" x14ac:dyDescent="0.3">
      <c r="A957" t="s">
        <v>1082</v>
      </c>
      <c r="B957" t="s">
        <v>127</v>
      </c>
      <c r="C957">
        <v>399</v>
      </c>
      <c r="D957">
        <f t="shared" si="48"/>
        <v>2001</v>
      </c>
      <c r="E957">
        <f t="shared" si="49"/>
        <v>10</v>
      </c>
    </row>
    <row r="958" spans="1:5" x14ac:dyDescent="0.3">
      <c r="A958" t="s">
        <v>1083</v>
      </c>
      <c r="B958" t="s">
        <v>127</v>
      </c>
      <c r="C958">
        <v>403</v>
      </c>
      <c r="D958">
        <f t="shared" si="48"/>
        <v>2001</v>
      </c>
      <c r="E958">
        <f t="shared" si="49"/>
        <v>10</v>
      </c>
    </row>
    <row r="959" spans="1:5" x14ac:dyDescent="0.3">
      <c r="A959" t="s">
        <v>1084</v>
      </c>
      <c r="B959" t="s">
        <v>127</v>
      </c>
      <c r="C959">
        <v>393</v>
      </c>
      <c r="D959">
        <f t="shared" si="48"/>
        <v>2001</v>
      </c>
      <c r="E959">
        <f t="shared" si="49"/>
        <v>10</v>
      </c>
    </row>
    <row r="960" spans="1:5" x14ac:dyDescent="0.3">
      <c r="A960" t="s">
        <v>1085</v>
      </c>
      <c r="B960" t="s">
        <v>127</v>
      </c>
      <c r="C960">
        <v>384</v>
      </c>
      <c r="D960">
        <f t="shared" si="48"/>
        <v>2001</v>
      </c>
      <c r="E960">
        <f t="shared" si="49"/>
        <v>10</v>
      </c>
    </row>
    <row r="961" spans="1:5" x14ac:dyDescent="0.3">
      <c r="A961" t="s">
        <v>1086</v>
      </c>
      <c r="B961" t="s">
        <v>127</v>
      </c>
      <c r="C961">
        <v>386</v>
      </c>
      <c r="D961">
        <f t="shared" si="48"/>
        <v>2001</v>
      </c>
      <c r="E961">
        <f t="shared" si="49"/>
        <v>10</v>
      </c>
    </row>
    <row r="962" spans="1:5" x14ac:dyDescent="0.3">
      <c r="A962" t="s">
        <v>1087</v>
      </c>
      <c r="B962" t="s">
        <v>127</v>
      </c>
      <c r="C962">
        <v>391</v>
      </c>
      <c r="D962">
        <f t="shared" si="48"/>
        <v>2001</v>
      </c>
      <c r="E962">
        <f t="shared" si="49"/>
        <v>10</v>
      </c>
    </row>
    <row r="963" spans="1:5" x14ac:dyDescent="0.3">
      <c r="A963" t="s">
        <v>1088</v>
      </c>
      <c r="B963" t="s">
        <v>127</v>
      </c>
      <c r="C963">
        <v>377</v>
      </c>
      <c r="D963">
        <f t="shared" ref="D963:D1026" si="50">YEAR(A963)</f>
        <v>2001</v>
      </c>
      <c r="E963">
        <f t="shared" ref="E963:E1026" si="51">MONTH(A963)</f>
        <v>10</v>
      </c>
    </row>
    <row r="964" spans="1:5" x14ac:dyDescent="0.3">
      <c r="A964" t="s">
        <v>1089</v>
      </c>
      <c r="B964" t="s">
        <v>127</v>
      </c>
      <c r="C964">
        <v>375</v>
      </c>
      <c r="D964">
        <f t="shared" si="50"/>
        <v>2001</v>
      </c>
      <c r="E964">
        <f t="shared" si="51"/>
        <v>10</v>
      </c>
    </row>
    <row r="965" spans="1:5" x14ac:dyDescent="0.3">
      <c r="A965" t="s">
        <v>1090</v>
      </c>
      <c r="B965" t="s">
        <v>127</v>
      </c>
      <c r="C965">
        <v>374</v>
      </c>
      <c r="D965">
        <f t="shared" si="50"/>
        <v>2001</v>
      </c>
      <c r="E965">
        <f t="shared" si="51"/>
        <v>10</v>
      </c>
    </row>
    <row r="966" spans="1:5" x14ac:dyDescent="0.3">
      <c r="A966" t="s">
        <v>1091</v>
      </c>
      <c r="B966" t="s">
        <v>127</v>
      </c>
      <c r="C966">
        <v>380</v>
      </c>
      <c r="D966">
        <f t="shared" si="50"/>
        <v>2001</v>
      </c>
      <c r="E966">
        <f t="shared" si="51"/>
        <v>10</v>
      </c>
    </row>
    <row r="967" spans="1:5" x14ac:dyDescent="0.3">
      <c r="A967" t="s">
        <v>1092</v>
      </c>
      <c r="B967" t="s">
        <v>127</v>
      </c>
      <c r="C967">
        <v>385</v>
      </c>
      <c r="D967">
        <f t="shared" si="50"/>
        <v>2001</v>
      </c>
      <c r="E967">
        <f t="shared" si="51"/>
        <v>10</v>
      </c>
    </row>
    <row r="968" spans="1:5" x14ac:dyDescent="0.3">
      <c r="A968" t="s">
        <v>1093</v>
      </c>
      <c r="B968" t="s">
        <v>127</v>
      </c>
      <c r="C968">
        <v>386</v>
      </c>
      <c r="D968">
        <f t="shared" si="50"/>
        <v>2001</v>
      </c>
      <c r="E968">
        <f t="shared" si="51"/>
        <v>10</v>
      </c>
    </row>
    <row r="969" spans="1:5" x14ac:dyDescent="0.3">
      <c r="A969" t="s">
        <v>1094</v>
      </c>
      <c r="B969" t="s">
        <v>127</v>
      </c>
      <c r="C969">
        <v>398</v>
      </c>
      <c r="D969">
        <f t="shared" si="50"/>
        <v>2001</v>
      </c>
      <c r="E969">
        <f t="shared" si="51"/>
        <v>10</v>
      </c>
    </row>
    <row r="970" spans="1:5" x14ac:dyDescent="0.3">
      <c r="A970" t="s">
        <v>1095</v>
      </c>
      <c r="B970" t="s">
        <v>127</v>
      </c>
      <c r="C970">
        <v>404</v>
      </c>
      <c r="D970">
        <f t="shared" si="50"/>
        <v>2001</v>
      </c>
      <c r="E970">
        <f t="shared" si="51"/>
        <v>10</v>
      </c>
    </row>
    <row r="971" spans="1:5" x14ac:dyDescent="0.3">
      <c r="A971" t="s">
        <v>1096</v>
      </c>
      <c r="B971" t="s">
        <v>127</v>
      </c>
      <c r="C971">
        <v>412</v>
      </c>
      <c r="D971">
        <f t="shared" si="50"/>
        <v>2001</v>
      </c>
      <c r="E971">
        <f t="shared" si="51"/>
        <v>10</v>
      </c>
    </row>
    <row r="972" spans="1:5" x14ac:dyDescent="0.3">
      <c r="A972" t="s">
        <v>1097</v>
      </c>
      <c r="B972" t="s">
        <v>127</v>
      </c>
      <c r="C972">
        <v>415</v>
      </c>
      <c r="D972">
        <f t="shared" si="50"/>
        <v>2001</v>
      </c>
      <c r="E972">
        <f t="shared" si="51"/>
        <v>11</v>
      </c>
    </row>
    <row r="973" spans="1:5" x14ac:dyDescent="0.3">
      <c r="A973" t="s">
        <v>1098</v>
      </c>
      <c r="B973" t="s">
        <v>127</v>
      </c>
      <c r="C973">
        <v>402</v>
      </c>
      <c r="D973">
        <f t="shared" si="50"/>
        <v>2001</v>
      </c>
      <c r="E973">
        <f t="shared" si="51"/>
        <v>11</v>
      </c>
    </row>
    <row r="974" spans="1:5" x14ac:dyDescent="0.3">
      <c r="A974" t="s">
        <v>1099</v>
      </c>
      <c r="B974" t="s">
        <v>127</v>
      </c>
      <c r="C974">
        <v>398</v>
      </c>
      <c r="D974">
        <f t="shared" si="50"/>
        <v>2001</v>
      </c>
      <c r="E974">
        <f t="shared" si="51"/>
        <v>11</v>
      </c>
    </row>
    <row r="975" spans="1:5" x14ac:dyDescent="0.3">
      <c r="A975" t="s">
        <v>1100</v>
      </c>
      <c r="B975" t="s">
        <v>127</v>
      </c>
      <c r="C975">
        <v>396</v>
      </c>
      <c r="D975">
        <f t="shared" si="50"/>
        <v>2001</v>
      </c>
      <c r="E975">
        <f t="shared" si="51"/>
        <v>11</v>
      </c>
    </row>
    <row r="976" spans="1:5" x14ac:dyDescent="0.3">
      <c r="A976" t="s">
        <v>1101</v>
      </c>
      <c r="B976" t="s">
        <v>127</v>
      </c>
      <c r="C976">
        <v>402</v>
      </c>
      <c r="D976">
        <f t="shared" si="50"/>
        <v>2001</v>
      </c>
      <c r="E976">
        <f t="shared" si="51"/>
        <v>11</v>
      </c>
    </row>
    <row r="977" spans="1:5" x14ac:dyDescent="0.3">
      <c r="A977" t="s">
        <v>1102</v>
      </c>
      <c r="B977" t="s">
        <v>127</v>
      </c>
      <c r="C977">
        <v>391</v>
      </c>
      <c r="D977">
        <f t="shared" si="50"/>
        <v>2001</v>
      </c>
      <c r="E977">
        <f t="shared" si="51"/>
        <v>11</v>
      </c>
    </row>
    <row r="978" spans="1:5" x14ac:dyDescent="0.3">
      <c r="A978" t="s">
        <v>1103</v>
      </c>
      <c r="B978" t="s">
        <v>127</v>
      </c>
      <c r="C978">
        <v>392</v>
      </c>
      <c r="D978">
        <f t="shared" si="50"/>
        <v>2001</v>
      </c>
      <c r="E978">
        <f t="shared" si="51"/>
        <v>11</v>
      </c>
    </row>
    <row r="979" spans="1:5" x14ac:dyDescent="0.3">
      <c r="A979" t="s">
        <v>1104</v>
      </c>
      <c r="B979" t="s">
        <v>127</v>
      </c>
      <c r="C979">
        <v>392</v>
      </c>
      <c r="D979">
        <f t="shared" si="50"/>
        <v>2001</v>
      </c>
      <c r="E979">
        <f t="shared" si="51"/>
        <v>11</v>
      </c>
    </row>
    <row r="980" spans="1:5" x14ac:dyDescent="0.3">
      <c r="A980" t="s">
        <v>1105</v>
      </c>
      <c r="B980" t="s">
        <v>127</v>
      </c>
      <c r="C980">
        <v>381</v>
      </c>
      <c r="D980">
        <f t="shared" si="50"/>
        <v>2001</v>
      </c>
      <c r="E980">
        <f t="shared" si="51"/>
        <v>11</v>
      </c>
    </row>
    <row r="981" spans="1:5" x14ac:dyDescent="0.3">
      <c r="A981" t="s">
        <v>1106</v>
      </c>
      <c r="B981" t="s">
        <v>127</v>
      </c>
      <c r="C981">
        <v>368</v>
      </c>
      <c r="D981">
        <f t="shared" si="50"/>
        <v>2001</v>
      </c>
      <c r="E981">
        <f t="shared" si="51"/>
        <v>11</v>
      </c>
    </row>
    <row r="982" spans="1:5" x14ac:dyDescent="0.3">
      <c r="A982" t="s">
        <v>1107</v>
      </c>
      <c r="B982" t="s">
        <v>127</v>
      </c>
      <c r="C982">
        <v>348</v>
      </c>
      <c r="D982">
        <f t="shared" si="50"/>
        <v>2001</v>
      </c>
      <c r="E982">
        <f t="shared" si="51"/>
        <v>11</v>
      </c>
    </row>
    <row r="983" spans="1:5" x14ac:dyDescent="0.3">
      <c r="A983" t="s">
        <v>1108</v>
      </c>
      <c r="B983" t="s">
        <v>127</v>
      </c>
      <c r="C983">
        <v>344</v>
      </c>
      <c r="D983">
        <f t="shared" si="50"/>
        <v>2001</v>
      </c>
      <c r="E983">
        <f t="shared" si="51"/>
        <v>11</v>
      </c>
    </row>
    <row r="984" spans="1:5" x14ac:dyDescent="0.3">
      <c r="A984" t="s">
        <v>1109</v>
      </c>
      <c r="B984" t="s">
        <v>127</v>
      </c>
      <c r="C984">
        <v>357</v>
      </c>
      <c r="D984">
        <f t="shared" si="50"/>
        <v>2001</v>
      </c>
      <c r="E984">
        <f t="shared" si="51"/>
        <v>11</v>
      </c>
    </row>
    <row r="985" spans="1:5" x14ac:dyDescent="0.3">
      <c r="A985" t="s">
        <v>1110</v>
      </c>
      <c r="B985" t="s">
        <v>127</v>
      </c>
      <c r="C985">
        <v>344</v>
      </c>
      <c r="D985">
        <f t="shared" si="50"/>
        <v>2001</v>
      </c>
      <c r="E985">
        <f t="shared" si="51"/>
        <v>11</v>
      </c>
    </row>
    <row r="986" spans="1:5" x14ac:dyDescent="0.3">
      <c r="A986" t="s">
        <v>1111</v>
      </c>
      <c r="B986" t="s">
        <v>127</v>
      </c>
      <c r="C986">
        <v>340</v>
      </c>
      <c r="D986">
        <f t="shared" si="50"/>
        <v>2001</v>
      </c>
      <c r="E986">
        <f t="shared" si="51"/>
        <v>11</v>
      </c>
    </row>
    <row r="987" spans="1:5" x14ac:dyDescent="0.3">
      <c r="A987" t="s">
        <v>1112</v>
      </c>
      <c r="B987" t="s">
        <v>127</v>
      </c>
      <c r="C987">
        <v>340</v>
      </c>
      <c r="D987">
        <f t="shared" si="50"/>
        <v>2001</v>
      </c>
      <c r="E987">
        <f t="shared" si="51"/>
        <v>11</v>
      </c>
    </row>
    <row r="988" spans="1:5" x14ac:dyDescent="0.3">
      <c r="A988" t="s">
        <v>1113</v>
      </c>
      <c r="B988" t="s">
        <v>127</v>
      </c>
      <c r="C988">
        <v>335</v>
      </c>
      <c r="D988">
        <f t="shared" si="50"/>
        <v>2001</v>
      </c>
      <c r="E988">
        <f t="shared" si="51"/>
        <v>11</v>
      </c>
    </row>
    <row r="989" spans="1:5" x14ac:dyDescent="0.3">
      <c r="A989" t="s">
        <v>1114</v>
      </c>
      <c r="B989" t="s">
        <v>127</v>
      </c>
      <c r="C989">
        <v>336</v>
      </c>
      <c r="D989">
        <f t="shared" si="50"/>
        <v>2001</v>
      </c>
      <c r="E989">
        <f t="shared" si="51"/>
        <v>11</v>
      </c>
    </row>
    <row r="990" spans="1:5" x14ac:dyDescent="0.3">
      <c r="A990" t="s">
        <v>1115</v>
      </c>
      <c r="B990" t="s">
        <v>127</v>
      </c>
      <c r="C990">
        <v>337</v>
      </c>
      <c r="D990">
        <f t="shared" si="50"/>
        <v>2001</v>
      </c>
      <c r="E990">
        <f t="shared" si="51"/>
        <v>11</v>
      </c>
    </row>
    <row r="991" spans="1:5" x14ac:dyDescent="0.3">
      <c r="A991" t="s">
        <v>1116</v>
      </c>
      <c r="B991" t="s">
        <v>127</v>
      </c>
      <c r="C991">
        <v>357</v>
      </c>
      <c r="D991">
        <f t="shared" si="50"/>
        <v>2001</v>
      </c>
      <c r="E991">
        <f t="shared" si="51"/>
        <v>11</v>
      </c>
    </row>
    <row r="992" spans="1:5" x14ac:dyDescent="0.3">
      <c r="A992" t="s">
        <v>1117</v>
      </c>
      <c r="B992" t="s">
        <v>127</v>
      </c>
      <c r="C992">
        <v>357</v>
      </c>
      <c r="D992">
        <f t="shared" si="50"/>
        <v>2001</v>
      </c>
      <c r="E992">
        <f t="shared" si="51"/>
        <v>11</v>
      </c>
    </row>
    <row r="993" spans="1:5" x14ac:dyDescent="0.3">
      <c r="A993" t="s">
        <v>1118</v>
      </c>
      <c r="B993" t="s">
        <v>127</v>
      </c>
      <c r="C993">
        <v>351</v>
      </c>
      <c r="D993">
        <f t="shared" si="50"/>
        <v>2001</v>
      </c>
      <c r="E993">
        <f t="shared" si="51"/>
        <v>12</v>
      </c>
    </row>
    <row r="994" spans="1:5" x14ac:dyDescent="0.3">
      <c r="A994" t="s">
        <v>1119</v>
      </c>
      <c r="B994" t="s">
        <v>127</v>
      </c>
      <c r="C994">
        <v>348</v>
      </c>
      <c r="D994">
        <f t="shared" si="50"/>
        <v>2001</v>
      </c>
      <c r="E994">
        <f t="shared" si="51"/>
        <v>12</v>
      </c>
    </row>
    <row r="995" spans="1:5" x14ac:dyDescent="0.3">
      <c r="A995" t="s">
        <v>1120</v>
      </c>
      <c r="B995" t="s">
        <v>127</v>
      </c>
      <c r="C995">
        <v>325</v>
      </c>
      <c r="D995">
        <f t="shared" si="50"/>
        <v>2001</v>
      </c>
      <c r="E995">
        <f t="shared" si="51"/>
        <v>12</v>
      </c>
    </row>
    <row r="996" spans="1:5" x14ac:dyDescent="0.3">
      <c r="A996" t="s">
        <v>1121</v>
      </c>
      <c r="B996" t="s">
        <v>127</v>
      </c>
      <c r="C996">
        <v>320</v>
      </c>
      <c r="D996">
        <f t="shared" si="50"/>
        <v>2001</v>
      </c>
      <c r="E996">
        <f t="shared" si="51"/>
        <v>12</v>
      </c>
    </row>
    <row r="997" spans="1:5" x14ac:dyDescent="0.3">
      <c r="A997" t="s">
        <v>1122</v>
      </c>
      <c r="B997" t="s">
        <v>127</v>
      </c>
      <c r="C997">
        <v>316</v>
      </c>
      <c r="D997">
        <f t="shared" si="50"/>
        <v>2001</v>
      </c>
      <c r="E997">
        <f t="shared" si="51"/>
        <v>12</v>
      </c>
    </row>
    <row r="998" spans="1:5" x14ac:dyDescent="0.3">
      <c r="A998" t="s">
        <v>1123</v>
      </c>
      <c r="B998" t="s">
        <v>127</v>
      </c>
      <c r="C998">
        <v>318</v>
      </c>
      <c r="D998">
        <f t="shared" si="50"/>
        <v>2001</v>
      </c>
      <c r="E998">
        <f t="shared" si="51"/>
        <v>12</v>
      </c>
    </row>
    <row r="999" spans="1:5" x14ac:dyDescent="0.3">
      <c r="A999" t="s">
        <v>1124</v>
      </c>
      <c r="B999" t="s">
        <v>127</v>
      </c>
      <c r="C999">
        <v>313</v>
      </c>
      <c r="D999">
        <f t="shared" si="50"/>
        <v>2001</v>
      </c>
      <c r="E999">
        <f t="shared" si="51"/>
        <v>12</v>
      </c>
    </row>
    <row r="1000" spans="1:5" x14ac:dyDescent="0.3">
      <c r="A1000" t="s">
        <v>1125</v>
      </c>
      <c r="B1000" t="s">
        <v>127</v>
      </c>
      <c r="C1000">
        <v>312</v>
      </c>
      <c r="D1000">
        <f t="shared" si="50"/>
        <v>2001</v>
      </c>
      <c r="E1000">
        <f t="shared" si="51"/>
        <v>12</v>
      </c>
    </row>
    <row r="1001" spans="1:5" x14ac:dyDescent="0.3">
      <c r="A1001" t="s">
        <v>1126</v>
      </c>
      <c r="B1001" t="s">
        <v>127</v>
      </c>
      <c r="C1001">
        <v>300</v>
      </c>
      <c r="D1001">
        <f t="shared" si="50"/>
        <v>2001</v>
      </c>
      <c r="E1001">
        <f t="shared" si="51"/>
        <v>12</v>
      </c>
    </row>
    <row r="1002" spans="1:5" x14ac:dyDescent="0.3">
      <c r="A1002" t="s">
        <v>1127</v>
      </c>
      <c r="B1002" t="s">
        <v>127</v>
      </c>
      <c r="C1002">
        <v>291</v>
      </c>
      <c r="D1002">
        <f t="shared" si="50"/>
        <v>2001</v>
      </c>
      <c r="E1002">
        <f t="shared" si="51"/>
        <v>12</v>
      </c>
    </row>
    <row r="1003" spans="1:5" x14ac:dyDescent="0.3">
      <c r="A1003" t="s">
        <v>1128</v>
      </c>
      <c r="B1003" t="s">
        <v>127</v>
      </c>
      <c r="C1003">
        <v>298</v>
      </c>
      <c r="D1003">
        <f t="shared" si="50"/>
        <v>2001</v>
      </c>
      <c r="E1003">
        <f t="shared" si="51"/>
        <v>12</v>
      </c>
    </row>
    <row r="1004" spans="1:5" x14ac:dyDescent="0.3">
      <c r="A1004" t="s">
        <v>1129</v>
      </c>
      <c r="B1004" t="s">
        <v>127</v>
      </c>
      <c r="C1004">
        <v>307</v>
      </c>
      <c r="D1004">
        <f t="shared" si="50"/>
        <v>2001</v>
      </c>
      <c r="E1004">
        <f t="shared" si="51"/>
        <v>12</v>
      </c>
    </row>
    <row r="1005" spans="1:5" x14ac:dyDescent="0.3">
      <c r="A1005" t="s">
        <v>1130</v>
      </c>
      <c r="B1005" t="s">
        <v>127</v>
      </c>
      <c r="C1005">
        <v>318</v>
      </c>
      <c r="D1005">
        <f t="shared" si="50"/>
        <v>2001</v>
      </c>
      <c r="E1005">
        <f t="shared" si="51"/>
        <v>12</v>
      </c>
    </row>
    <row r="1006" spans="1:5" x14ac:dyDescent="0.3">
      <c r="A1006" t="s">
        <v>1131</v>
      </c>
      <c r="B1006" t="s">
        <v>127</v>
      </c>
      <c r="C1006">
        <v>320</v>
      </c>
      <c r="D1006">
        <f t="shared" si="50"/>
        <v>2001</v>
      </c>
      <c r="E1006">
        <f t="shared" si="51"/>
        <v>12</v>
      </c>
    </row>
    <row r="1007" spans="1:5" x14ac:dyDescent="0.3">
      <c r="A1007" t="s">
        <v>1132</v>
      </c>
      <c r="B1007" t="s">
        <v>127</v>
      </c>
      <c r="C1007">
        <v>314</v>
      </c>
      <c r="D1007">
        <f t="shared" si="50"/>
        <v>2001</v>
      </c>
      <c r="E1007">
        <f t="shared" si="51"/>
        <v>12</v>
      </c>
    </row>
    <row r="1008" spans="1:5" x14ac:dyDescent="0.3">
      <c r="A1008" t="s">
        <v>1133</v>
      </c>
      <c r="B1008" t="s">
        <v>127</v>
      </c>
      <c r="C1008">
        <v>309</v>
      </c>
      <c r="D1008">
        <f t="shared" si="50"/>
        <v>2001</v>
      </c>
      <c r="E1008">
        <f t="shared" si="51"/>
        <v>12</v>
      </c>
    </row>
    <row r="1009" spans="1:5" x14ac:dyDescent="0.3">
      <c r="A1009" t="s">
        <v>1134</v>
      </c>
      <c r="B1009" t="s">
        <v>127</v>
      </c>
      <c r="C1009">
        <v>303</v>
      </c>
      <c r="D1009">
        <f t="shared" si="50"/>
        <v>2001</v>
      </c>
      <c r="E1009">
        <f t="shared" si="51"/>
        <v>12</v>
      </c>
    </row>
    <row r="1010" spans="1:5" x14ac:dyDescent="0.3">
      <c r="A1010" t="s">
        <v>1135</v>
      </c>
      <c r="B1010" t="s">
        <v>127</v>
      </c>
      <c r="C1010">
        <v>299</v>
      </c>
      <c r="D1010">
        <f t="shared" si="50"/>
        <v>2001</v>
      </c>
      <c r="E1010">
        <f t="shared" si="51"/>
        <v>12</v>
      </c>
    </row>
    <row r="1011" spans="1:5" x14ac:dyDescent="0.3">
      <c r="A1011" t="s">
        <v>1136</v>
      </c>
      <c r="B1011" t="s">
        <v>127</v>
      </c>
      <c r="C1011">
        <v>302</v>
      </c>
      <c r="D1011">
        <f t="shared" si="50"/>
        <v>2001</v>
      </c>
      <c r="E1011">
        <f t="shared" si="51"/>
        <v>12</v>
      </c>
    </row>
    <row r="1012" spans="1:5" x14ac:dyDescent="0.3">
      <c r="A1012" t="s">
        <v>1137</v>
      </c>
      <c r="B1012" t="s">
        <v>127</v>
      </c>
      <c r="C1012">
        <v>308</v>
      </c>
      <c r="D1012">
        <f t="shared" si="50"/>
        <v>2001</v>
      </c>
      <c r="E1012">
        <f t="shared" si="51"/>
        <v>12</v>
      </c>
    </row>
    <row r="1013" spans="1:5" x14ac:dyDescent="0.3">
      <c r="A1013" t="s">
        <v>1138</v>
      </c>
      <c r="B1013" t="s">
        <v>127</v>
      </c>
      <c r="C1013">
        <v>296</v>
      </c>
      <c r="D1013">
        <f t="shared" si="50"/>
        <v>2002</v>
      </c>
      <c r="E1013">
        <f t="shared" si="51"/>
        <v>1</v>
      </c>
    </row>
    <row r="1014" spans="1:5" x14ac:dyDescent="0.3">
      <c r="A1014" t="s">
        <v>1139</v>
      </c>
      <c r="B1014" t="s">
        <v>127</v>
      </c>
      <c r="C1014">
        <v>291</v>
      </c>
      <c r="D1014">
        <f t="shared" si="50"/>
        <v>2002</v>
      </c>
      <c r="E1014">
        <f t="shared" si="51"/>
        <v>1</v>
      </c>
    </row>
    <row r="1015" spans="1:5" x14ac:dyDescent="0.3">
      <c r="A1015" t="s">
        <v>1140</v>
      </c>
      <c r="B1015" t="s">
        <v>127</v>
      </c>
      <c r="C1015">
        <v>291</v>
      </c>
      <c r="D1015">
        <f t="shared" si="50"/>
        <v>2002</v>
      </c>
      <c r="E1015">
        <f t="shared" si="51"/>
        <v>1</v>
      </c>
    </row>
    <row r="1016" spans="1:5" x14ac:dyDescent="0.3">
      <c r="A1016" t="s">
        <v>1141</v>
      </c>
      <c r="B1016" t="s">
        <v>127</v>
      </c>
      <c r="C1016">
        <v>304</v>
      </c>
      <c r="D1016">
        <f t="shared" si="50"/>
        <v>2002</v>
      </c>
      <c r="E1016">
        <f t="shared" si="51"/>
        <v>1</v>
      </c>
    </row>
    <row r="1017" spans="1:5" x14ac:dyDescent="0.3">
      <c r="A1017" t="s">
        <v>1142</v>
      </c>
      <c r="B1017" t="s">
        <v>127</v>
      </c>
      <c r="C1017">
        <v>304</v>
      </c>
      <c r="D1017">
        <f t="shared" si="50"/>
        <v>2002</v>
      </c>
      <c r="E1017">
        <f t="shared" si="51"/>
        <v>1</v>
      </c>
    </row>
    <row r="1018" spans="1:5" x14ac:dyDescent="0.3">
      <c r="A1018" t="s">
        <v>1143</v>
      </c>
      <c r="B1018" t="s">
        <v>127</v>
      </c>
      <c r="C1018">
        <v>306</v>
      </c>
      <c r="D1018">
        <f t="shared" si="50"/>
        <v>2002</v>
      </c>
      <c r="E1018">
        <f t="shared" si="51"/>
        <v>1</v>
      </c>
    </row>
    <row r="1019" spans="1:5" x14ac:dyDescent="0.3">
      <c r="A1019" t="s">
        <v>1144</v>
      </c>
      <c r="B1019" t="s">
        <v>127</v>
      </c>
      <c r="C1019">
        <v>318</v>
      </c>
      <c r="D1019">
        <f t="shared" si="50"/>
        <v>2002</v>
      </c>
      <c r="E1019">
        <f t="shared" si="51"/>
        <v>1</v>
      </c>
    </row>
    <row r="1020" spans="1:5" x14ac:dyDescent="0.3">
      <c r="A1020" t="s">
        <v>1145</v>
      </c>
      <c r="B1020" t="s">
        <v>127</v>
      </c>
      <c r="C1020">
        <v>324</v>
      </c>
      <c r="D1020">
        <f t="shared" si="50"/>
        <v>2002</v>
      </c>
      <c r="E1020">
        <f t="shared" si="51"/>
        <v>1</v>
      </c>
    </row>
    <row r="1021" spans="1:5" x14ac:dyDescent="0.3">
      <c r="A1021" t="s">
        <v>1146</v>
      </c>
      <c r="B1021" t="s">
        <v>127</v>
      </c>
      <c r="C1021">
        <v>319</v>
      </c>
      <c r="D1021">
        <f t="shared" si="50"/>
        <v>2002</v>
      </c>
      <c r="E1021">
        <f t="shared" si="51"/>
        <v>1</v>
      </c>
    </row>
    <row r="1022" spans="1:5" x14ac:dyDescent="0.3">
      <c r="A1022" t="s">
        <v>1147</v>
      </c>
      <c r="B1022" t="s">
        <v>127</v>
      </c>
      <c r="C1022">
        <v>320</v>
      </c>
      <c r="D1022">
        <f t="shared" si="50"/>
        <v>2002</v>
      </c>
      <c r="E1022">
        <f t="shared" si="51"/>
        <v>1</v>
      </c>
    </row>
    <row r="1023" spans="1:5" x14ac:dyDescent="0.3">
      <c r="A1023" t="s">
        <v>1148</v>
      </c>
      <c r="B1023" t="s">
        <v>127</v>
      </c>
      <c r="C1023">
        <v>322</v>
      </c>
      <c r="D1023">
        <f t="shared" si="50"/>
        <v>2002</v>
      </c>
      <c r="E1023">
        <f t="shared" si="51"/>
        <v>1</v>
      </c>
    </row>
    <row r="1024" spans="1:5" x14ac:dyDescent="0.3">
      <c r="A1024" t="s">
        <v>1149</v>
      </c>
      <c r="B1024" t="s">
        <v>127</v>
      </c>
      <c r="C1024">
        <v>309</v>
      </c>
      <c r="D1024">
        <f t="shared" si="50"/>
        <v>2002</v>
      </c>
      <c r="E1024">
        <f t="shared" si="51"/>
        <v>1</v>
      </c>
    </row>
    <row r="1025" spans="1:5" x14ac:dyDescent="0.3">
      <c r="A1025" t="s">
        <v>1150</v>
      </c>
      <c r="B1025" t="s">
        <v>127</v>
      </c>
      <c r="C1025">
        <v>304</v>
      </c>
      <c r="D1025">
        <f t="shared" si="50"/>
        <v>2002</v>
      </c>
      <c r="E1025">
        <f t="shared" si="51"/>
        <v>1</v>
      </c>
    </row>
    <row r="1026" spans="1:5" x14ac:dyDescent="0.3">
      <c r="A1026" t="s">
        <v>1151</v>
      </c>
      <c r="B1026" t="s">
        <v>127</v>
      </c>
      <c r="C1026">
        <v>301</v>
      </c>
      <c r="D1026">
        <f t="shared" si="50"/>
        <v>2002</v>
      </c>
      <c r="E1026">
        <f t="shared" si="51"/>
        <v>1</v>
      </c>
    </row>
    <row r="1027" spans="1:5" x14ac:dyDescent="0.3">
      <c r="A1027" t="s">
        <v>1152</v>
      </c>
      <c r="B1027" t="s">
        <v>127</v>
      </c>
      <c r="C1027">
        <v>292</v>
      </c>
      <c r="D1027">
        <f t="shared" ref="D1027:D1090" si="52">YEAR(A1027)</f>
        <v>2002</v>
      </c>
      <c r="E1027">
        <f t="shared" ref="E1027:E1090" si="53">MONTH(A1027)</f>
        <v>1</v>
      </c>
    </row>
    <row r="1028" spans="1:5" x14ac:dyDescent="0.3">
      <c r="A1028" t="s">
        <v>1153</v>
      </c>
      <c r="B1028" t="s">
        <v>127</v>
      </c>
      <c r="C1028">
        <v>290</v>
      </c>
      <c r="D1028">
        <f t="shared" si="52"/>
        <v>2002</v>
      </c>
      <c r="E1028">
        <f t="shared" si="53"/>
        <v>1</v>
      </c>
    </row>
    <row r="1029" spans="1:5" x14ac:dyDescent="0.3">
      <c r="A1029" t="s">
        <v>1154</v>
      </c>
      <c r="B1029" t="s">
        <v>127</v>
      </c>
      <c r="C1029">
        <v>292</v>
      </c>
      <c r="D1029">
        <f t="shared" si="52"/>
        <v>2002</v>
      </c>
      <c r="E1029">
        <f t="shared" si="53"/>
        <v>1</v>
      </c>
    </row>
    <row r="1030" spans="1:5" x14ac:dyDescent="0.3">
      <c r="A1030" t="s">
        <v>1155</v>
      </c>
      <c r="B1030" t="s">
        <v>127</v>
      </c>
      <c r="C1030">
        <v>293</v>
      </c>
      <c r="D1030">
        <f t="shared" si="52"/>
        <v>2002</v>
      </c>
      <c r="E1030">
        <f t="shared" si="53"/>
        <v>1</v>
      </c>
    </row>
    <row r="1031" spans="1:5" x14ac:dyDescent="0.3">
      <c r="A1031" t="s">
        <v>1156</v>
      </c>
      <c r="B1031" t="s">
        <v>127</v>
      </c>
      <c r="C1031">
        <v>310</v>
      </c>
      <c r="D1031">
        <f t="shared" si="52"/>
        <v>2002</v>
      </c>
      <c r="E1031">
        <f t="shared" si="53"/>
        <v>1</v>
      </c>
    </row>
    <row r="1032" spans="1:5" x14ac:dyDescent="0.3">
      <c r="A1032" t="s">
        <v>1157</v>
      </c>
      <c r="B1032" t="s">
        <v>127</v>
      </c>
      <c r="C1032">
        <v>311</v>
      </c>
      <c r="D1032">
        <f t="shared" si="52"/>
        <v>2002</v>
      </c>
      <c r="E1032">
        <f t="shared" si="53"/>
        <v>1</v>
      </c>
    </row>
    <row r="1033" spans="1:5" x14ac:dyDescent="0.3">
      <c r="A1033" t="s">
        <v>1158</v>
      </c>
      <c r="B1033" t="s">
        <v>127</v>
      </c>
      <c r="C1033">
        <v>304</v>
      </c>
      <c r="D1033">
        <f t="shared" si="52"/>
        <v>2002</v>
      </c>
      <c r="E1033">
        <f t="shared" si="53"/>
        <v>1</v>
      </c>
    </row>
    <row r="1034" spans="1:5" x14ac:dyDescent="0.3">
      <c r="A1034" t="s">
        <v>1159</v>
      </c>
      <c r="B1034" t="s">
        <v>127</v>
      </c>
      <c r="C1034">
        <v>300</v>
      </c>
      <c r="D1034">
        <f t="shared" si="52"/>
        <v>2002</v>
      </c>
      <c r="E1034">
        <f t="shared" si="53"/>
        <v>2</v>
      </c>
    </row>
    <row r="1035" spans="1:5" x14ac:dyDescent="0.3">
      <c r="A1035" t="s">
        <v>1160</v>
      </c>
      <c r="B1035" t="s">
        <v>127</v>
      </c>
      <c r="C1035">
        <v>304</v>
      </c>
      <c r="D1035">
        <f t="shared" si="52"/>
        <v>2002</v>
      </c>
      <c r="E1035">
        <f t="shared" si="53"/>
        <v>2</v>
      </c>
    </row>
    <row r="1036" spans="1:5" x14ac:dyDescent="0.3">
      <c r="A1036" t="s">
        <v>1161</v>
      </c>
      <c r="B1036" t="s">
        <v>127</v>
      </c>
      <c r="C1036">
        <v>302</v>
      </c>
      <c r="D1036">
        <f t="shared" si="52"/>
        <v>2002</v>
      </c>
      <c r="E1036">
        <f t="shared" si="53"/>
        <v>2</v>
      </c>
    </row>
    <row r="1037" spans="1:5" x14ac:dyDescent="0.3">
      <c r="A1037" t="s">
        <v>1162</v>
      </c>
      <c r="B1037" t="s">
        <v>127</v>
      </c>
      <c r="C1037">
        <v>291</v>
      </c>
      <c r="D1037">
        <f t="shared" si="52"/>
        <v>2002</v>
      </c>
      <c r="E1037">
        <f t="shared" si="53"/>
        <v>2</v>
      </c>
    </row>
    <row r="1038" spans="1:5" x14ac:dyDescent="0.3">
      <c r="A1038" t="s">
        <v>1163</v>
      </c>
      <c r="B1038" t="s">
        <v>127</v>
      </c>
      <c r="C1038">
        <v>294</v>
      </c>
      <c r="D1038">
        <f t="shared" si="52"/>
        <v>2002</v>
      </c>
      <c r="E1038">
        <f t="shared" si="53"/>
        <v>2</v>
      </c>
    </row>
    <row r="1039" spans="1:5" x14ac:dyDescent="0.3">
      <c r="A1039" t="s">
        <v>1164</v>
      </c>
      <c r="B1039" t="s">
        <v>127</v>
      </c>
      <c r="C1039">
        <v>291</v>
      </c>
      <c r="D1039">
        <f t="shared" si="52"/>
        <v>2002</v>
      </c>
      <c r="E1039">
        <f t="shared" si="53"/>
        <v>2</v>
      </c>
    </row>
    <row r="1040" spans="1:5" x14ac:dyDescent="0.3">
      <c r="A1040" t="s">
        <v>1165</v>
      </c>
      <c r="B1040" t="s">
        <v>127</v>
      </c>
      <c r="C1040">
        <v>288</v>
      </c>
      <c r="D1040">
        <f t="shared" si="52"/>
        <v>2002</v>
      </c>
      <c r="E1040">
        <f t="shared" si="53"/>
        <v>2</v>
      </c>
    </row>
    <row r="1041" spans="1:5" x14ac:dyDescent="0.3">
      <c r="A1041" t="s">
        <v>1166</v>
      </c>
      <c r="B1041" t="s">
        <v>127</v>
      </c>
      <c r="C1041">
        <v>280</v>
      </c>
      <c r="D1041">
        <f t="shared" si="52"/>
        <v>2002</v>
      </c>
      <c r="E1041">
        <f t="shared" si="53"/>
        <v>2</v>
      </c>
    </row>
    <row r="1042" spans="1:5" x14ac:dyDescent="0.3">
      <c r="A1042" t="s">
        <v>1167</v>
      </c>
      <c r="B1042" t="s">
        <v>127</v>
      </c>
      <c r="C1042">
        <v>279</v>
      </c>
      <c r="D1042">
        <f t="shared" si="52"/>
        <v>2002</v>
      </c>
      <c r="E1042">
        <f t="shared" si="53"/>
        <v>2</v>
      </c>
    </row>
    <row r="1043" spans="1:5" x14ac:dyDescent="0.3">
      <c r="A1043" t="s">
        <v>1168</v>
      </c>
      <c r="B1043" t="s">
        <v>127</v>
      </c>
      <c r="C1043">
        <v>281</v>
      </c>
      <c r="D1043">
        <f t="shared" si="52"/>
        <v>2002</v>
      </c>
      <c r="E1043">
        <f t="shared" si="53"/>
        <v>2</v>
      </c>
    </row>
    <row r="1044" spans="1:5" x14ac:dyDescent="0.3">
      <c r="A1044" t="s">
        <v>1169</v>
      </c>
      <c r="B1044" t="s">
        <v>127</v>
      </c>
      <c r="C1044">
        <v>285</v>
      </c>
      <c r="D1044">
        <f t="shared" si="52"/>
        <v>2002</v>
      </c>
      <c r="E1044">
        <f t="shared" si="53"/>
        <v>2</v>
      </c>
    </row>
    <row r="1045" spans="1:5" x14ac:dyDescent="0.3">
      <c r="A1045" t="s">
        <v>1170</v>
      </c>
      <c r="B1045" t="s">
        <v>127</v>
      </c>
      <c r="C1045">
        <v>280</v>
      </c>
      <c r="D1045">
        <f t="shared" si="52"/>
        <v>2002</v>
      </c>
      <c r="E1045">
        <f t="shared" si="53"/>
        <v>2</v>
      </c>
    </row>
    <row r="1046" spans="1:5" x14ac:dyDescent="0.3">
      <c r="A1046" t="s">
        <v>1171</v>
      </c>
      <c r="B1046" t="s">
        <v>127</v>
      </c>
      <c r="C1046">
        <v>279</v>
      </c>
      <c r="D1046">
        <f t="shared" si="52"/>
        <v>2002</v>
      </c>
      <c r="E1046">
        <f t="shared" si="53"/>
        <v>2</v>
      </c>
    </row>
    <row r="1047" spans="1:5" x14ac:dyDescent="0.3">
      <c r="A1047" t="s">
        <v>1172</v>
      </c>
      <c r="B1047" t="s">
        <v>127</v>
      </c>
      <c r="C1047">
        <v>280</v>
      </c>
      <c r="D1047">
        <f t="shared" si="52"/>
        <v>2002</v>
      </c>
      <c r="E1047">
        <f t="shared" si="53"/>
        <v>2</v>
      </c>
    </row>
    <row r="1048" spans="1:5" x14ac:dyDescent="0.3">
      <c r="A1048" t="s">
        <v>1173</v>
      </c>
      <c r="B1048" t="s">
        <v>127</v>
      </c>
      <c r="C1048">
        <v>280</v>
      </c>
      <c r="D1048">
        <f t="shared" si="52"/>
        <v>2002</v>
      </c>
      <c r="E1048">
        <f t="shared" si="53"/>
        <v>2</v>
      </c>
    </row>
    <row r="1049" spans="1:5" x14ac:dyDescent="0.3">
      <c r="A1049" t="s">
        <v>1174</v>
      </c>
      <c r="B1049" t="s">
        <v>127</v>
      </c>
      <c r="C1049">
        <v>276</v>
      </c>
      <c r="D1049">
        <f t="shared" si="52"/>
        <v>2002</v>
      </c>
      <c r="E1049">
        <f t="shared" si="53"/>
        <v>2</v>
      </c>
    </row>
    <row r="1050" spans="1:5" x14ac:dyDescent="0.3">
      <c r="A1050" t="s">
        <v>1175</v>
      </c>
      <c r="B1050" t="s">
        <v>127</v>
      </c>
      <c r="C1050">
        <v>276</v>
      </c>
      <c r="D1050">
        <f t="shared" si="52"/>
        <v>2002</v>
      </c>
      <c r="E1050">
        <f t="shared" si="53"/>
        <v>2</v>
      </c>
    </row>
    <row r="1051" spans="1:5" x14ac:dyDescent="0.3">
      <c r="A1051" t="s">
        <v>1176</v>
      </c>
      <c r="B1051" t="s">
        <v>127</v>
      </c>
      <c r="C1051">
        <v>279</v>
      </c>
      <c r="D1051">
        <f t="shared" si="52"/>
        <v>2002</v>
      </c>
      <c r="E1051">
        <f t="shared" si="53"/>
        <v>2</v>
      </c>
    </row>
    <row r="1052" spans="1:5" x14ac:dyDescent="0.3">
      <c r="A1052" t="s">
        <v>1177</v>
      </c>
      <c r="B1052" t="s">
        <v>127</v>
      </c>
      <c r="C1052">
        <v>272</v>
      </c>
      <c r="D1052">
        <f t="shared" si="52"/>
        <v>2002</v>
      </c>
      <c r="E1052">
        <f t="shared" si="53"/>
        <v>2</v>
      </c>
    </row>
    <row r="1053" spans="1:5" x14ac:dyDescent="0.3">
      <c r="A1053" t="s">
        <v>1178</v>
      </c>
      <c r="B1053" t="s">
        <v>127</v>
      </c>
      <c r="C1053">
        <v>264</v>
      </c>
      <c r="D1053">
        <f t="shared" si="52"/>
        <v>2002</v>
      </c>
      <c r="E1053">
        <f t="shared" si="53"/>
        <v>3</v>
      </c>
    </row>
    <row r="1054" spans="1:5" x14ac:dyDescent="0.3">
      <c r="A1054" t="s">
        <v>1179</v>
      </c>
      <c r="B1054" t="s">
        <v>127</v>
      </c>
      <c r="C1054">
        <v>266</v>
      </c>
      <c r="D1054">
        <f t="shared" si="52"/>
        <v>2002</v>
      </c>
      <c r="E1054">
        <f t="shared" si="53"/>
        <v>3</v>
      </c>
    </row>
    <row r="1055" spans="1:5" x14ac:dyDescent="0.3">
      <c r="A1055" t="s">
        <v>1180</v>
      </c>
      <c r="B1055" t="s">
        <v>127</v>
      </c>
      <c r="C1055">
        <v>266</v>
      </c>
      <c r="D1055">
        <f t="shared" si="52"/>
        <v>2002</v>
      </c>
      <c r="E1055">
        <f t="shared" si="53"/>
        <v>3</v>
      </c>
    </row>
    <row r="1056" spans="1:5" x14ac:dyDescent="0.3">
      <c r="A1056" t="s">
        <v>1181</v>
      </c>
      <c r="B1056" t="s">
        <v>127</v>
      </c>
      <c r="C1056">
        <v>266</v>
      </c>
      <c r="D1056">
        <f t="shared" si="52"/>
        <v>2002</v>
      </c>
      <c r="E1056">
        <f t="shared" si="53"/>
        <v>3</v>
      </c>
    </row>
    <row r="1057" spans="1:5" x14ac:dyDescent="0.3">
      <c r="A1057" t="s">
        <v>1182</v>
      </c>
      <c r="B1057" t="s">
        <v>127</v>
      </c>
      <c r="C1057">
        <v>249</v>
      </c>
      <c r="D1057">
        <f t="shared" si="52"/>
        <v>2002</v>
      </c>
      <c r="E1057">
        <f t="shared" si="53"/>
        <v>3</v>
      </c>
    </row>
    <row r="1058" spans="1:5" x14ac:dyDescent="0.3">
      <c r="A1058" t="s">
        <v>1183</v>
      </c>
      <c r="B1058" t="s">
        <v>127</v>
      </c>
      <c r="C1058">
        <v>246</v>
      </c>
      <c r="D1058">
        <f t="shared" si="52"/>
        <v>2002</v>
      </c>
      <c r="E1058">
        <f t="shared" si="53"/>
        <v>3</v>
      </c>
    </row>
    <row r="1059" spans="1:5" x14ac:dyDescent="0.3">
      <c r="A1059" t="s">
        <v>1184</v>
      </c>
      <c r="B1059" t="s">
        <v>127</v>
      </c>
      <c r="C1059">
        <v>243</v>
      </c>
      <c r="D1059">
        <f t="shared" si="52"/>
        <v>2002</v>
      </c>
      <c r="E1059">
        <f t="shared" si="53"/>
        <v>3</v>
      </c>
    </row>
    <row r="1060" spans="1:5" x14ac:dyDescent="0.3">
      <c r="A1060" t="s">
        <v>1185</v>
      </c>
      <c r="B1060" t="s">
        <v>127</v>
      </c>
      <c r="C1060">
        <v>247</v>
      </c>
      <c r="D1060">
        <f t="shared" si="52"/>
        <v>2002</v>
      </c>
      <c r="E1060">
        <f t="shared" si="53"/>
        <v>3</v>
      </c>
    </row>
    <row r="1061" spans="1:5" x14ac:dyDescent="0.3">
      <c r="A1061" t="s">
        <v>1186</v>
      </c>
      <c r="B1061" t="s">
        <v>127</v>
      </c>
      <c r="C1061">
        <v>248</v>
      </c>
      <c r="D1061">
        <f t="shared" si="52"/>
        <v>2002</v>
      </c>
      <c r="E1061">
        <f t="shared" si="53"/>
        <v>3</v>
      </c>
    </row>
    <row r="1062" spans="1:5" x14ac:dyDescent="0.3">
      <c r="A1062" t="s">
        <v>1187</v>
      </c>
      <c r="B1062" t="s">
        <v>127</v>
      </c>
      <c r="C1062">
        <v>233</v>
      </c>
      <c r="D1062">
        <f t="shared" si="52"/>
        <v>2002</v>
      </c>
      <c r="E1062">
        <f t="shared" si="53"/>
        <v>3</v>
      </c>
    </row>
    <row r="1063" spans="1:5" x14ac:dyDescent="0.3">
      <c r="A1063" t="s">
        <v>1188</v>
      </c>
      <c r="B1063" t="s">
        <v>127</v>
      </c>
      <c r="C1063">
        <v>243</v>
      </c>
      <c r="D1063">
        <f t="shared" si="52"/>
        <v>2002</v>
      </c>
      <c r="E1063">
        <f t="shared" si="53"/>
        <v>3</v>
      </c>
    </row>
    <row r="1064" spans="1:5" x14ac:dyDescent="0.3">
      <c r="A1064" t="s">
        <v>1189</v>
      </c>
      <c r="B1064" t="s">
        <v>127</v>
      </c>
      <c r="C1064">
        <v>249</v>
      </c>
      <c r="D1064">
        <f t="shared" si="52"/>
        <v>2002</v>
      </c>
      <c r="E1064">
        <f t="shared" si="53"/>
        <v>3</v>
      </c>
    </row>
    <row r="1065" spans="1:5" x14ac:dyDescent="0.3">
      <c r="A1065" t="s">
        <v>1190</v>
      </c>
      <c r="B1065" t="s">
        <v>127</v>
      </c>
      <c r="C1065">
        <v>247</v>
      </c>
      <c r="D1065">
        <f t="shared" si="52"/>
        <v>2002</v>
      </c>
      <c r="E1065">
        <f t="shared" si="53"/>
        <v>3</v>
      </c>
    </row>
    <row r="1066" spans="1:5" x14ac:dyDescent="0.3">
      <c r="A1066" t="s">
        <v>1191</v>
      </c>
      <c r="B1066" t="s">
        <v>127</v>
      </c>
      <c r="C1066">
        <v>244</v>
      </c>
      <c r="D1066">
        <f t="shared" si="52"/>
        <v>2002</v>
      </c>
      <c r="E1066">
        <f t="shared" si="53"/>
        <v>3</v>
      </c>
    </row>
    <row r="1067" spans="1:5" x14ac:dyDescent="0.3">
      <c r="A1067" t="s">
        <v>1192</v>
      </c>
      <c r="B1067" t="s">
        <v>127</v>
      </c>
      <c r="C1067">
        <v>252</v>
      </c>
      <c r="D1067">
        <f t="shared" si="52"/>
        <v>2002</v>
      </c>
      <c r="E1067">
        <f t="shared" si="53"/>
        <v>3</v>
      </c>
    </row>
    <row r="1068" spans="1:5" x14ac:dyDescent="0.3">
      <c r="A1068" t="s">
        <v>1193</v>
      </c>
      <c r="B1068" t="s">
        <v>127</v>
      </c>
      <c r="C1068">
        <v>254</v>
      </c>
      <c r="D1068">
        <f t="shared" si="52"/>
        <v>2002</v>
      </c>
      <c r="E1068">
        <f t="shared" si="53"/>
        <v>3</v>
      </c>
    </row>
    <row r="1069" spans="1:5" x14ac:dyDescent="0.3">
      <c r="A1069" t="s">
        <v>1194</v>
      </c>
      <c r="B1069" t="s">
        <v>127</v>
      </c>
      <c r="C1069">
        <v>258</v>
      </c>
      <c r="D1069">
        <f t="shared" si="52"/>
        <v>2002</v>
      </c>
      <c r="E1069">
        <f t="shared" si="53"/>
        <v>3</v>
      </c>
    </row>
    <row r="1070" spans="1:5" x14ac:dyDescent="0.3">
      <c r="A1070" t="s">
        <v>1195</v>
      </c>
      <c r="B1070" t="s">
        <v>127</v>
      </c>
      <c r="C1070">
        <v>259</v>
      </c>
      <c r="D1070">
        <f t="shared" si="52"/>
        <v>2002</v>
      </c>
      <c r="E1070">
        <f t="shared" si="53"/>
        <v>3</v>
      </c>
    </row>
    <row r="1071" spans="1:5" x14ac:dyDescent="0.3">
      <c r="A1071" t="s">
        <v>1196</v>
      </c>
      <c r="B1071" t="s">
        <v>127</v>
      </c>
      <c r="C1071">
        <v>260</v>
      </c>
      <c r="D1071">
        <f t="shared" si="52"/>
        <v>2002</v>
      </c>
      <c r="E1071">
        <f t="shared" si="53"/>
        <v>3</v>
      </c>
    </row>
    <row r="1072" spans="1:5" x14ac:dyDescent="0.3">
      <c r="A1072" t="s">
        <v>1197</v>
      </c>
      <c r="B1072" t="s">
        <v>127</v>
      </c>
      <c r="C1072">
        <v>251</v>
      </c>
      <c r="D1072">
        <f t="shared" si="52"/>
        <v>2002</v>
      </c>
      <c r="E1072">
        <f t="shared" si="53"/>
        <v>3</v>
      </c>
    </row>
    <row r="1073" spans="1:5" x14ac:dyDescent="0.3">
      <c r="A1073" t="s">
        <v>1198</v>
      </c>
      <c r="B1073" t="s">
        <v>127</v>
      </c>
      <c r="C1073">
        <v>251</v>
      </c>
      <c r="D1073">
        <f t="shared" si="52"/>
        <v>2002</v>
      </c>
      <c r="E1073">
        <f t="shared" si="53"/>
        <v>4</v>
      </c>
    </row>
    <row r="1074" spans="1:5" x14ac:dyDescent="0.3">
      <c r="A1074" t="s">
        <v>1199</v>
      </c>
      <c r="B1074" t="s">
        <v>127</v>
      </c>
      <c r="C1074">
        <v>252</v>
      </c>
      <c r="D1074">
        <f t="shared" si="52"/>
        <v>2002</v>
      </c>
      <c r="E1074">
        <f t="shared" si="53"/>
        <v>4</v>
      </c>
    </row>
    <row r="1075" spans="1:5" x14ac:dyDescent="0.3">
      <c r="A1075" t="s">
        <v>1200</v>
      </c>
      <c r="B1075" t="s">
        <v>127</v>
      </c>
      <c r="C1075">
        <v>251</v>
      </c>
      <c r="D1075">
        <f t="shared" si="52"/>
        <v>2002</v>
      </c>
      <c r="E1075">
        <f t="shared" si="53"/>
        <v>4</v>
      </c>
    </row>
    <row r="1076" spans="1:5" x14ac:dyDescent="0.3">
      <c r="A1076" t="s">
        <v>1201</v>
      </c>
      <c r="B1076" t="s">
        <v>127</v>
      </c>
      <c r="C1076">
        <v>243</v>
      </c>
      <c r="D1076">
        <f t="shared" si="52"/>
        <v>2002</v>
      </c>
      <c r="E1076">
        <f t="shared" si="53"/>
        <v>4</v>
      </c>
    </row>
    <row r="1077" spans="1:5" x14ac:dyDescent="0.3">
      <c r="A1077" t="s">
        <v>1202</v>
      </c>
      <c r="B1077" t="s">
        <v>127</v>
      </c>
      <c r="C1077">
        <v>249</v>
      </c>
      <c r="D1077">
        <f t="shared" si="52"/>
        <v>2002</v>
      </c>
      <c r="E1077">
        <f t="shared" si="53"/>
        <v>4</v>
      </c>
    </row>
    <row r="1078" spans="1:5" x14ac:dyDescent="0.3">
      <c r="A1078" t="s">
        <v>1203</v>
      </c>
      <c r="B1078" t="s">
        <v>127</v>
      </c>
      <c r="C1078">
        <v>242</v>
      </c>
      <c r="D1078">
        <f t="shared" si="52"/>
        <v>2002</v>
      </c>
      <c r="E1078">
        <f t="shared" si="53"/>
        <v>4</v>
      </c>
    </row>
    <row r="1079" spans="1:5" x14ac:dyDescent="0.3">
      <c r="A1079" t="s">
        <v>1204</v>
      </c>
      <c r="B1079" t="s">
        <v>127</v>
      </c>
      <c r="C1079">
        <v>237</v>
      </c>
      <c r="D1079">
        <f t="shared" si="52"/>
        <v>2002</v>
      </c>
      <c r="E1079">
        <f t="shared" si="53"/>
        <v>4</v>
      </c>
    </row>
    <row r="1080" spans="1:5" x14ac:dyDescent="0.3">
      <c r="A1080" t="s">
        <v>1205</v>
      </c>
      <c r="B1080" t="s">
        <v>127</v>
      </c>
      <c r="C1080">
        <v>233</v>
      </c>
      <c r="D1080">
        <f t="shared" si="52"/>
        <v>2002</v>
      </c>
      <c r="E1080">
        <f t="shared" si="53"/>
        <v>4</v>
      </c>
    </row>
    <row r="1081" spans="1:5" x14ac:dyDescent="0.3">
      <c r="A1081" t="s">
        <v>1206</v>
      </c>
      <c r="B1081" t="s">
        <v>127</v>
      </c>
      <c r="C1081">
        <v>236</v>
      </c>
      <c r="D1081">
        <f t="shared" si="52"/>
        <v>2002</v>
      </c>
      <c r="E1081">
        <f t="shared" si="53"/>
        <v>4</v>
      </c>
    </row>
    <row r="1082" spans="1:5" x14ac:dyDescent="0.3">
      <c r="A1082" t="s">
        <v>1207</v>
      </c>
      <c r="B1082" t="s">
        <v>127</v>
      </c>
      <c r="C1082">
        <v>240</v>
      </c>
      <c r="D1082">
        <f t="shared" si="52"/>
        <v>2002</v>
      </c>
      <c r="E1082">
        <f t="shared" si="53"/>
        <v>4</v>
      </c>
    </row>
    <row r="1083" spans="1:5" x14ac:dyDescent="0.3">
      <c r="A1083" t="s">
        <v>1208</v>
      </c>
      <c r="B1083" t="s">
        <v>127</v>
      </c>
      <c r="C1083">
        <v>243</v>
      </c>
      <c r="D1083">
        <f t="shared" si="52"/>
        <v>2002</v>
      </c>
      <c r="E1083">
        <f t="shared" si="53"/>
        <v>4</v>
      </c>
    </row>
    <row r="1084" spans="1:5" x14ac:dyDescent="0.3">
      <c r="A1084" t="s">
        <v>1209</v>
      </c>
      <c r="B1084" t="s">
        <v>127</v>
      </c>
      <c r="C1084">
        <v>241</v>
      </c>
      <c r="D1084">
        <f t="shared" si="52"/>
        <v>2002</v>
      </c>
      <c r="E1084">
        <f t="shared" si="53"/>
        <v>4</v>
      </c>
    </row>
    <row r="1085" spans="1:5" x14ac:dyDescent="0.3">
      <c r="A1085" t="s">
        <v>1210</v>
      </c>
      <c r="B1085" t="s">
        <v>127</v>
      </c>
      <c r="C1085">
        <v>241</v>
      </c>
      <c r="D1085">
        <f t="shared" si="52"/>
        <v>2002</v>
      </c>
      <c r="E1085">
        <f t="shared" si="53"/>
        <v>4</v>
      </c>
    </row>
    <row r="1086" spans="1:5" x14ac:dyDescent="0.3">
      <c r="A1086" t="s">
        <v>1211</v>
      </c>
      <c r="B1086" t="s">
        <v>127</v>
      </c>
      <c r="C1086">
        <v>237</v>
      </c>
      <c r="D1086">
        <f t="shared" si="52"/>
        <v>2002</v>
      </c>
      <c r="E1086">
        <f t="shared" si="53"/>
        <v>4</v>
      </c>
    </row>
    <row r="1087" spans="1:5" x14ac:dyDescent="0.3">
      <c r="A1087" t="s">
        <v>1212</v>
      </c>
      <c r="B1087" t="s">
        <v>127</v>
      </c>
      <c r="C1087">
        <v>238</v>
      </c>
      <c r="D1087">
        <f t="shared" si="52"/>
        <v>2002</v>
      </c>
      <c r="E1087">
        <f t="shared" si="53"/>
        <v>4</v>
      </c>
    </row>
    <row r="1088" spans="1:5" x14ac:dyDescent="0.3">
      <c r="A1088" t="s">
        <v>1213</v>
      </c>
      <c r="B1088" t="s">
        <v>127</v>
      </c>
      <c r="C1088">
        <v>238</v>
      </c>
      <c r="D1088">
        <f t="shared" si="52"/>
        <v>2002</v>
      </c>
      <c r="E1088">
        <f t="shared" si="53"/>
        <v>4</v>
      </c>
    </row>
    <row r="1089" spans="1:5" x14ac:dyDescent="0.3">
      <c r="A1089" t="s">
        <v>1214</v>
      </c>
      <c r="B1089" t="s">
        <v>127</v>
      </c>
      <c r="C1089">
        <v>237</v>
      </c>
      <c r="D1089">
        <f t="shared" si="52"/>
        <v>2002</v>
      </c>
      <c r="E1089">
        <f t="shared" si="53"/>
        <v>4</v>
      </c>
    </row>
    <row r="1090" spans="1:5" x14ac:dyDescent="0.3">
      <c r="A1090" t="s">
        <v>1215</v>
      </c>
      <c r="B1090" t="s">
        <v>127</v>
      </c>
      <c r="C1090">
        <v>248</v>
      </c>
      <c r="D1090">
        <f t="shared" si="52"/>
        <v>2002</v>
      </c>
      <c r="E1090">
        <f t="shared" si="53"/>
        <v>4</v>
      </c>
    </row>
    <row r="1091" spans="1:5" x14ac:dyDescent="0.3">
      <c r="A1091" t="s">
        <v>1216</v>
      </c>
      <c r="B1091" t="s">
        <v>127</v>
      </c>
      <c r="C1091">
        <v>249</v>
      </c>
      <c r="D1091">
        <f t="shared" ref="D1091:D1154" si="54">YEAR(A1091)</f>
        <v>2002</v>
      </c>
      <c r="E1091">
        <f t="shared" ref="E1091:E1154" si="55">MONTH(A1091)</f>
        <v>4</v>
      </c>
    </row>
    <row r="1092" spans="1:5" x14ac:dyDescent="0.3">
      <c r="A1092" t="s">
        <v>1217</v>
      </c>
      <c r="B1092" t="s">
        <v>127</v>
      </c>
      <c r="C1092">
        <v>249</v>
      </c>
      <c r="D1092">
        <f t="shared" si="54"/>
        <v>2002</v>
      </c>
      <c r="E1092">
        <f t="shared" si="55"/>
        <v>4</v>
      </c>
    </row>
    <row r="1093" spans="1:5" x14ac:dyDescent="0.3">
      <c r="A1093" t="s">
        <v>1218</v>
      </c>
      <c r="B1093" t="s">
        <v>127</v>
      </c>
      <c r="C1093">
        <v>246</v>
      </c>
      <c r="D1093">
        <f t="shared" si="54"/>
        <v>2002</v>
      </c>
      <c r="E1093">
        <f t="shared" si="55"/>
        <v>4</v>
      </c>
    </row>
    <row r="1094" spans="1:5" x14ac:dyDescent="0.3">
      <c r="A1094" t="s">
        <v>1219</v>
      </c>
      <c r="B1094" t="s">
        <v>127</v>
      </c>
      <c r="C1094">
        <v>246</v>
      </c>
      <c r="D1094">
        <f t="shared" si="54"/>
        <v>2002</v>
      </c>
      <c r="E1094">
        <f t="shared" si="55"/>
        <v>4</v>
      </c>
    </row>
    <row r="1095" spans="1:5" x14ac:dyDescent="0.3">
      <c r="A1095" t="s">
        <v>1220</v>
      </c>
      <c r="B1095" t="s">
        <v>127</v>
      </c>
      <c r="C1095">
        <v>266</v>
      </c>
      <c r="D1095">
        <f t="shared" si="54"/>
        <v>2002</v>
      </c>
      <c r="E1095">
        <f t="shared" si="55"/>
        <v>5</v>
      </c>
    </row>
    <row r="1096" spans="1:5" x14ac:dyDescent="0.3">
      <c r="A1096" t="s">
        <v>1221</v>
      </c>
      <c r="B1096" t="s">
        <v>127</v>
      </c>
      <c r="C1096">
        <v>266</v>
      </c>
      <c r="D1096">
        <f t="shared" si="54"/>
        <v>2002</v>
      </c>
      <c r="E1096">
        <f t="shared" si="55"/>
        <v>5</v>
      </c>
    </row>
    <row r="1097" spans="1:5" x14ac:dyDescent="0.3">
      <c r="A1097" t="s">
        <v>1222</v>
      </c>
      <c r="B1097" t="s">
        <v>127</v>
      </c>
      <c r="C1097">
        <v>266</v>
      </c>
      <c r="D1097">
        <f t="shared" si="54"/>
        <v>2002</v>
      </c>
      <c r="E1097">
        <f t="shared" si="55"/>
        <v>5</v>
      </c>
    </row>
    <row r="1098" spans="1:5" x14ac:dyDescent="0.3">
      <c r="A1098" t="s">
        <v>1223</v>
      </c>
      <c r="B1098" t="s">
        <v>127</v>
      </c>
      <c r="C1098">
        <v>268</v>
      </c>
      <c r="D1098">
        <f t="shared" si="54"/>
        <v>2002</v>
      </c>
      <c r="E1098">
        <f t="shared" si="55"/>
        <v>5</v>
      </c>
    </row>
    <row r="1099" spans="1:5" x14ac:dyDescent="0.3">
      <c r="A1099" t="s">
        <v>1224</v>
      </c>
      <c r="B1099" t="s">
        <v>127</v>
      </c>
      <c r="C1099">
        <v>264</v>
      </c>
      <c r="D1099">
        <f t="shared" si="54"/>
        <v>2002</v>
      </c>
      <c r="E1099">
        <f t="shared" si="55"/>
        <v>5</v>
      </c>
    </row>
    <row r="1100" spans="1:5" x14ac:dyDescent="0.3">
      <c r="A1100" t="s">
        <v>1225</v>
      </c>
      <c r="B1100" t="s">
        <v>127</v>
      </c>
      <c r="C1100">
        <v>251</v>
      </c>
      <c r="D1100">
        <f t="shared" si="54"/>
        <v>2002</v>
      </c>
      <c r="E1100">
        <f t="shared" si="55"/>
        <v>5</v>
      </c>
    </row>
    <row r="1101" spans="1:5" x14ac:dyDescent="0.3">
      <c r="A1101" t="s">
        <v>1226</v>
      </c>
      <c r="B1101" t="s">
        <v>127</v>
      </c>
      <c r="C1101">
        <v>257</v>
      </c>
      <c r="D1101">
        <f t="shared" si="54"/>
        <v>2002</v>
      </c>
      <c r="E1101">
        <f t="shared" si="55"/>
        <v>5</v>
      </c>
    </row>
    <row r="1102" spans="1:5" x14ac:dyDescent="0.3">
      <c r="A1102" t="s">
        <v>1227</v>
      </c>
      <c r="B1102" t="s">
        <v>127</v>
      </c>
      <c r="C1102">
        <v>261</v>
      </c>
      <c r="D1102">
        <f t="shared" si="54"/>
        <v>2002</v>
      </c>
      <c r="E1102">
        <f t="shared" si="55"/>
        <v>5</v>
      </c>
    </row>
    <row r="1103" spans="1:5" x14ac:dyDescent="0.3">
      <c r="A1103" t="s">
        <v>1228</v>
      </c>
      <c r="B1103" t="s">
        <v>127</v>
      </c>
      <c r="C1103">
        <v>252</v>
      </c>
      <c r="D1103">
        <f t="shared" si="54"/>
        <v>2002</v>
      </c>
      <c r="E1103">
        <f t="shared" si="55"/>
        <v>5</v>
      </c>
    </row>
    <row r="1104" spans="1:5" x14ac:dyDescent="0.3">
      <c r="A1104" t="s">
        <v>1229</v>
      </c>
      <c r="B1104" t="s">
        <v>127</v>
      </c>
      <c r="C1104">
        <v>247</v>
      </c>
      <c r="D1104">
        <f t="shared" si="54"/>
        <v>2002</v>
      </c>
      <c r="E1104">
        <f t="shared" si="55"/>
        <v>5</v>
      </c>
    </row>
    <row r="1105" spans="1:5" x14ac:dyDescent="0.3">
      <c r="A1105" t="s">
        <v>1230</v>
      </c>
      <c r="B1105" t="s">
        <v>127</v>
      </c>
      <c r="C1105">
        <v>250</v>
      </c>
      <c r="D1105">
        <f t="shared" si="54"/>
        <v>2002</v>
      </c>
      <c r="E1105">
        <f t="shared" si="55"/>
        <v>5</v>
      </c>
    </row>
    <row r="1106" spans="1:5" x14ac:dyDescent="0.3">
      <c r="A1106" t="s">
        <v>1231</v>
      </c>
      <c r="B1106" t="s">
        <v>127</v>
      </c>
      <c r="C1106">
        <v>247</v>
      </c>
      <c r="D1106">
        <f t="shared" si="54"/>
        <v>2002</v>
      </c>
      <c r="E1106">
        <f t="shared" si="55"/>
        <v>5</v>
      </c>
    </row>
    <row r="1107" spans="1:5" x14ac:dyDescent="0.3">
      <c r="A1107" t="s">
        <v>1232</v>
      </c>
      <c r="B1107" t="s">
        <v>127</v>
      </c>
      <c r="C1107">
        <v>245</v>
      </c>
      <c r="D1107">
        <f t="shared" si="54"/>
        <v>2002</v>
      </c>
      <c r="E1107">
        <f t="shared" si="55"/>
        <v>5</v>
      </c>
    </row>
    <row r="1108" spans="1:5" x14ac:dyDescent="0.3">
      <c r="A1108" t="s">
        <v>1233</v>
      </c>
      <c r="B1108" t="s">
        <v>127</v>
      </c>
      <c r="C1108">
        <v>250</v>
      </c>
      <c r="D1108">
        <f t="shared" si="54"/>
        <v>2002</v>
      </c>
      <c r="E1108">
        <f t="shared" si="55"/>
        <v>5</v>
      </c>
    </row>
    <row r="1109" spans="1:5" x14ac:dyDescent="0.3">
      <c r="A1109" t="s">
        <v>1234</v>
      </c>
      <c r="B1109" t="s">
        <v>127</v>
      </c>
      <c r="C1109">
        <v>254</v>
      </c>
      <c r="D1109">
        <f t="shared" si="54"/>
        <v>2002</v>
      </c>
      <c r="E1109">
        <f t="shared" si="55"/>
        <v>5</v>
      </c>
    </row>
    <row r="1110" spans="1:5" x14ac:dyDescent="0.3">
      <c r="A1110" t="s">
        <v>1235</v>
      </c>
      <c r="B1110" t="s">
        <v>127</v>
      </c>
      <c r="C1110">
        <v>260</v>
      </c>
      <c r="D1110">
        <f t="shared" si="54"/>
        <v>2002</v>
      </c>
      <c r="E1110">
        <f t="shared" si="55"/>
        <v>5</v>
      </c>
    </row>
    <row r="1111" spans="1:5" x14ac:dyDescent="0.3">
      <c r="A1111" t="s">
        <v>1236</v>
      </c>
      <c r="B1111" t="s">
        <v>127</v>
      </c>
      <c r="C1111">
        <v>256</v>
      </c>
      <c r="D1111">
        <f t="shared" si="54"/>
        <v>2002</v>
      </c>
      <c r="E1111">
        <f t="shared" si="55"/>
        <v>5</v>
      </c>
    </row>
    <row r="1112" spans="1:5" x14ac:dyDescent="0.3">
      <c r="A1112" t="s">
        <v>1237</v>
      </c>
      <c r="B1112" t="s">
        <v>127</v>
      </c>
      <c r="C1112">
        <v>259</v>
      </c>
      <c r="D1112">
        <f t="shared" si="54"/>
        <v>2002</v>
      </c>
      <c r="E1112">
        <f t="shared" si="55"/>
        <v>5</v>
      </c>
    </row>
    <row r="1113" spans="1:5" x14ac:dyDescent="0.3">
      <c r="A1113" t="s">
        <v>1238</v>
      </c>
      <c r="B1113" t="s">
        <v>127</v>
      </c>
      <c r="C1113">
        <v>260</v>
      </c>
      <c r="D1113">
        <f t="shared" si="54"/>
        <v>2002</v>
      </c>
      <c r="E1113">
        <f t="shared" si="55"/>
        <v>5</v>
      </c>
    </row>
    <row r="1114" spans="1:5" x14ac:dyDescent="0.3">
      <c r="A1114" t="s">
        <v>1239</v>
      </c>
      <c r="B1114" t="s">
        <v>127</v>
      </c>
      <c r="C1114">
        <v>264</v>
      </c>
      <c r="D1114">
        <f t="shared" si="54"/>
        <v>2002</v>
      </c>
      <c r="E1114">
        <f t="shared" si="55"/>
        <v>5</v>
      </c>
    </row>
    <row r="1115" spans="1:5" x14ac:dyDescent="0.3">
      <c r="A1115" t="s">
        <v>1240</v>
      </c>
      <c r="B1115" t="s">
        <v>127</v>
      </c>
      <c r="C1115">
        <v>264</v>
      </c>
      <c r="D1115">
        <f t="shared" si="54"/>
        <v>2002</v>
      </c>
      <c r="E1115">
        <f t="shared" si="55"/>
        <v>5</v>
      </c>
    </row>
    <row r="1116" spans="1:5" x14ac:dyDescent="0.3">
      <c r="A1116" t="s">
        <v>1241</v>
      </c>
      <c r="B1116" t="s">
        <v>127</v>
      </c>
      <c r="C1116">
        <v>265</v>
      </c>
      <c r="D1116">
        <f t="shared" si="54"/>
        <v>2002</v>
      </c>
      <c r="E1116">
        <f t="shared" si="55"/>
        <v>5</v>
      </c>
    </row>
    <row r="1117" spans="1:5" x14ac:dyDescent="0.3">
      <c r="A1117" t="s">
        <v>1242</v>
      </c>
      <c r="B1117" t="s">
        <v>127</v>
      </c>
      <c r="C1117">
        <v>265</v>
      </c>
      <c r="D1117">
        <f t="shared" si="54"/>
        <v>2002</v>
      </c>
      <c r="E1117">
        <f t="shared" si="55"/>
        <v>6</v>
      </c>
    </row>
    <row r="1118" spans="1:5" x14ac:dyDescent="0.3">
      <c r="A1118" t="s">
        <v>1243</v>
      </c>
      <c r="B1118" t="s">
        <v>127</v>
      </c>
      <c r="C1118">
        <v>269</v>
      </c>
      <c r="D1118">
        <f t="shared" si="54"/>
        <v>2002</v>
      </c>
      <c r="E1118">
        <f t="shared" si="55"/>
        <v>6</v>
      </c>
    </row>
    <row r="1119" spans="1:5" x14ac:dyDescent="0.3">
      <c r="A1119" t="s">
        <v>1244</v>
      </c>
      <c r="B1119" t="s">
        <v>127</v>
      </c>
      <c r="C1119">
        <v>270</v>
      </c>
      <c r="D1119">
        <f t="shared" si="54"/>
        <v>2002</v>
      </c>
      <c r="E1119">
        <f t="shared" si="55"/>
        <v>6</v>
      </c>
    </row>
    <row r="1120" spans="1:5" x14ac:dyDescent="0.3">
      <c r="A1120" t="s">
        <v>1245</v>
      </c>
      <c r="B1120" t="s">
        <v>127</v>
      </c>
      <c r="C1120">
        <v>291</v>
      </c>
      <c r="D1120">
        <f t="shared" si="54"/>
        <v>2002</v>
      </c>
      <c r="E1120">
        <f t="shared" si="55"/>
        <v>6</v>
      </c>
    </row>
    <row r="1121" spans="1:5" x14ac:dyDescent="0.3">
      <c r="A1121" t="s">
        <v>1246</v>
      </c>
      <c r="B1121" t="s">
        <v>127</v>
      </c>
      <c r="C1121">
        <v>278</v>
      </c>
      <c r="D1121">
        <f t="shared" si="54"/>
        <v>2002</v>
      </c>
      <c r="E1121">
        <f t="shared" si="55"/>
        <v>6</v>
      </c>
    </row>
    <row r="1122" spans="1:5" x14ac:dyDescent="0.3">
      <c r="A1122" t="s">
        <v>1247</v>
      </c>
      <c r="B1122" t="s">
        <v>127</v>
      </c>
      <c r="C1122">
        <v>277</v>
      </c>
      <c r="D1122">
        <f t="shared" si="54"/>
        <v>2002</v>
      </c>
      <c r="E1122">
        <f t="shared" si="55"/>
        <v>6</v>
      </c>
    </row>
    <row r="1123" spans="1:5" x14ac:dyDescent="0.3">
      <c r="A1123" t="s">
        <v>1248</v>
      </c>
      <c r="B1123" t="s">
        <v>127</v>
      </c>
      <c r="C1123">
        <v>287</v>
      </c>
      <c r="D1123">
        <f t="shared" si="54"/>
        <v>2002</v>
      </c>
      <c r="E1123">
        <f t="shared" si="55"/>
        <v>6</v>
      </c>
    </row>
    <row r="1124" spans="1:5" x14ac:dyDescent="0.3">
      <c r="A1124" t="s">
        <v>1249</v>
      </c>
      <c r="B1124" t="s">
        <v>127</v>
      </c>
      <c r="C1124">
        <v>296</v>
      </c>
      <c r="D1124">
        <f t="shared" si="54"/>
        <v>2002</v>
      </c>
      <c r="E1124">
        <f t="shared" si="55"/>
        <v>6</v>
      </c>
    </row>
    <row r="1125" spans="1:5" x14ac:dyDescent="0.3">
      <c r="A1125" t="s">
        <v>1250</v>
      </c>
      <c r="B1125" t="s">
        <v>127</v>
      </c>
      <c r="C1125">
        <v>292</v>
      </c>
      <c r="D1125">
        <f t="shared" si="54"/>
        <v>2002</v>
      </c>
      <c r="E1125">
        <f t="shared" si="55"/>
        <v>6</v>
      </c>
    </row>
    <row r="1126" spans="1:5" x14ac:dyDescent="0.3">
      <c r="A1126" t="s">
        <v>1251</v>
      </c>
      <c r="B1126" t="s">
        <v>127</v>
      </c>
      <c r="C1126">
        <v>308</v>
      </c>
      <c r="D1126">
        <f t="shared" si="54"/>
        <v>2002</v>
      </c>
      <c r="E1126">
        <f t="shared" si="55"/>
        <v>6</v>
      </c>
    </row>
    <row r="1127" spans="1:5" x14ac:dyDescent="0.3">
      <c r="A1127" t="s">
        <v>1252</v>
      </c>
      <c r="B1127" t="s">
        <v>127</v>
      </c>
      <c r="C1127">
        <v>290</v>
      </c>
      <c r="D1127">
        <f t="shared" si="54"/>
        <v>2002</v>
      </c>
      <c r="E1127">
        <f t="shared" si="55"/>
        <v>6</v>
      </c>
    </row>
    <row r="1128" spans="1:5" x14ac:dyDescent="0.3">
      <c r="A1128" t="s">
        <v>1253</v>
      </c>
      <c r="B1128" t="s">
        <v>127</v>
      </c>
      <c r="C1128">
        <v>291</v>
      </c>
      <c r="D1128">
        <f t="shared" si="54"/>
        <v>2002</v>
      </c>
      <c r="E1128">
        <f t="shared" si="55"/>
        <v>6</v>
      </c>
    </row>
    <row r="1129" spans="1:5" x14ac:dyDescent="0.3">
      <c r="A1129" t="s">
        <v>1254</v>
      </c>
      <c r="B1129" t="s">
        <v>127</v>
      </c>
      <c r="C1129">
        <v>311</v>
      </c>
      <c r="D1129">
        <f t="shared" si="54"/>
        <v>2002</v>
      </c>
      <c r="E1129">
        <f t="shared" si="55"/>
        <v>6</v>
      </c>
    </row>
    <row r="1130" spans="1:5" x14ac:dyDescent="0.3">
      <c r="A1130" t="s">
        <v>1255</v>
      </c>
      <c r="B1130" t="s">
        <v>127</v>
      </c>
      <c r="C1130">
        <v>318</v>
      </c>
      <c r="D1130">
        <f t="shared" si="54"/>
        <v>2002</v>
      </c>
      <c r="E1130">
        <f t="shared" si="55"/>
        <v>6</v>
      </c>
    </row>
    <row r="1131" spans="1:5" x14ac:dyDescent="0.3">
      <c r="A1131" t="s">
        <v>1256</v>
      </c>
      <c r="B1131" t="s">
        <v>127</v>
      </c>
      <c r="C1131">
        <v>350</v>
      </c>
      <c r="D1131">
        <f t="shared" si="54"/>
        <v>2002</v>
      </c>
      <c r="E1131">
        <f t="shared" si="55"/>
        <v>6</v>
      </c>
    </row>
    <row r="1132" spans="1:5" x14ac:dyDescent="0.3">
      <c r="A1132" t="s">
        <v>1257</v>
      </c>
      <c r="B1132" t="s">
        <v>127</v>
      </c>
      <c r="C1132">
        <v>338</v>
      </c>
      <c r="D1132">
        <f t="shared" si="54"/>
        <v>2002</v>
      </c>
      <c r="E1132">
        <f t="shared" si="55"/>
        <v>6</v>
      </c>
    </row>
    <row r="1133" spans="1:5" x14ac:dyDescent="0.3">
      <c r="A1133" t="s">
        <v>1258</v>
      </c>
      <c r="B1133" t="s">
        <v>127</v>
      </c>
      <c r="C1133">
        <v>317</v>
      </c>
      <c r="D1133">
        <f t="shared" si="54"/>
        <v>2002</v>
      </c>
      <c r="E1133">
        <f t="shared" si="55"/>
        <v>6</v>
      </c>
    </row>
    <row r="1134" spans="1:5" x14ac:dyDescent="0.3">
      <c r="A1134" t="s">
        <v>1259</v>
      </c>
      <c r="B1134" t="s">
        <v>127</v>
      </c>
      <c r="C1134">
        <v>336</v>
      </c>
      <c r="D1134">
        <f t="shared" si="54"/>
        <v>2002</v>
      </c>
      <c r="E1134">
        <f t="shared" si="55"/>
        <v>6</v>
      </c>
    </row>
    <row r="1135" spans="1:5" x14ac:dyDescent="0.3">
      <c r="A1135" t="s">
        <v>1260</v>
      </c>
      <c r="B1135" t="s">
        <v>127</v>
      </c>
      <c r="C1135">
        <v>325</v>
      </c>
      <c r="D1135">
        <f t="shared" si="54"/>
        <v>2002</v>
      </c>
      <c r="E1135">
        <f t="shared" si="55"/>
        <v>6</v>
      </c>
    </row>
    <row r="1136" spans="1:5" x14ac:dyDescent="0.3">
      <c r="A1136" t="s">
        <v>1261</v>
      </c>
      <c r="B1136" t="s">
        <v>127</v>
      </c>
      <c r="C1136">
        <v>323</v>
      </c>
      <c r="D1136">
        <f t="shared" si="54"/>
        <v>2002</v>
      </c>
      <c r="E1136">
        <f t="shared" si="55"/>
        <v>6</v>
      </c>
    </row>
    <row r="1137" spans="1:5" x14ac:dyDescent="0.3">
      <c r="A1137" t="s">
        <v>1262</v>
      </c>
      <c r="B1137" t="s">
        <v>127</v>
      </c>
      <c r="C1137">
        <v>325</v>
      </c>
      <c r="D1137">
        <f t="shared" si="54"/>
        <v>2002</v>
      </c>
      <c r="E1137">
        <f t="shared" si="55"/>
        <v>7</v>
      </c>
    </row>
    <row r="1138" spans="1:5" x14ac:dyDescent="0.3">
      <c r="A1138" t="s">
        <v>1263</v>
      </c>
      <c r="B1138" t="s">
        <v>127</v>
      </c>
      <c r="C1138">
        <v>342</v>
      </c>
      <c r="D1138">
        <f t="shared" si="54"/>
        <v>2002</v>
      </c>
      <c r="E1138">
        <f t="shared" si="55"/>
        <v>7</v>
      </c>
    </row>
    <row r="1139" spans="1:5" x14ac:dyDescent="0.3">
      <c r="A1139" t="s">
        <v>1264</v>
      </c>
      <c r="B1139" t="s">
        <v>127</v>
      </c>
      <c r="C1139">
        <v>344</v>
      </c>
      <c r="D1139">
        <f t="shared" si="54"/>
        <v>2002</v>
      </c>
      <c r="E1139">
        <f t="shared" si="55"/>
        <v>7</v>
      </c>
    </row>
    <row r="1140" spans="1:5" x14ac:dyDescent="0.3">
      <c r="A1140" t="s">
        <v>1265</v>
      </c>
      <c r="B1140" t="s">
        <v>127</v>
      </c>
      <c r="C1140">
        <v>332</v>
      </c>
      <c r="D1140">
        <f t="shared" si="54"/>
        <v>2002</v>
      </c>
      <c r="E1140">
        <f t="shared" si="55"/>
        <v>7</v>
      </c>
    </row>
    <row r="1141" spans="1:5" x14ac:dyDescent="0.3">
      <c r="A1141" t="s">
        <v>1266</v>
      </c>
      <c r="B1141" t="s">
        <v>127</v>
      </c>
      <c r="C1141">
        <v>332</v>
      </c>
      <c r="D1141">
        <f t="shared" si="54"/>
        <v>2002</v>
      </c>
      <c r="E1141">
        <f t="shared" si="55"/>
        <v>7</v>
      </c>
    </row>
    <row r="1142" spans="1:5" x14ac:dyDescent="0.3">
      <c r="A1142" t="s">
        <v>1267</v>
      </c>
      <c r="B1142" t="s">
        <v>127</v>
      </c>
      <c r="C1142">
        <v>332</v>
      </c>
      <c r="D1142">
        <f t="shared" si="54"/>
        <v>2002</v>
      </c>
      <c r="E1142">
        <f t="shared" si="55"/>
        <v>7</v>
      </c>
    </row>
    <row r="1143" spans="1:5" x14ac:dyDescent="0.3">
      <c r="A1143" t="s">
        <v>1268</v>
      </c>
      <c r="B1143" t="s">
        <v>127</v>
      </c>
      <c r="C1143">
        <v>331</v>
      </c>
      <c r="D1143">
        <f t="shared" si="54"/>
        <v>2002</v>
      </c>
      <c r="E1143">
        <f t="shared" si="55"/>
        <v>7</v>
      </c>
    </row>
    <row r="1144" spans="1:5" x14ac:dyDescent="0.3">
      <c r="A1144" t="s">
        <v>1269</v>
      </c>
      <c r="B1144" t="s">
        <v>127</v>
      </c>
      <c r="C1144">
        <v>331</v>
      </c>
      <c r="D1144">
        <f t="shared" si="54"/>
        <v>2002</v>
      </c>
      <c r="E1144">
        <f t="shared" si="55"/>
        <v>7</v>
      </c>
    </row>
    <row r="1145" spans="1:5" x14ac:dyDescent="0.3">
      <c r="A1145" t="s">
        <v>1270</v>
      </c>
      <c r="B1145" t="s">
        <v>127</v>
      </c>
      <c r="C1145">
        <v>323</v>
      </c>
      <c r="D1145">
        <f t="shared" si="54"/>
        <v>2002</v>
      </c>
      <c r="E1145">
        <f t="shared" si="55"/>
        <v>7</v>
      </c>
    </row>
    <row r="1146" spans="1:5" x14ac:dyDescent="0.3">
      <c r="A1146" t="s">
        <v>1271</v>
      </c>
      <c r="B1146" t="s">
        <v>127</v>
      </c>
      <c r="C1146">
        <v>326</v>
      </c>
      <c r="D1146">
        <f t="shared" si="54"/>
        <v>2002</v>
      </c>
      <c r="E1146">
        <f t="shared" si="55"/>
        <v>7</v>
      </c>
    </row>
    <row r="1147" spans="1:5" x14ac:dyDescent="0.3">
      <c r="A1147" t="s">
        <v>1272</v>
      </c>
      <c r="B1147" t="s">
        <v>127</v>
      </c>
      <c r="C1147">
        <v>320</v>
      </c>
      <c r="D1147">
        <f t="shared" si="54"/>
        <v>2002</v>
      </c>
      <c r="E1147">
        <f t="shared" si="55"/>
        <v>7</v>
      </c>
    </row>
    <row r="1148" spans="1:5" x14ac:dyDescent="0.3">
      <c r="A1148" t="s">
        <v>1273</v>
      </c>
      <c r="B1148" t="s">
        <v>127</v>
      </c>
      <c r="C1148">
        <v>324</v>
      </c>
      <c r="D1148">
        <f t="shared" si="54"/>
        <v>2002</v>
      </c>
      <c r="E1148">
        <f t="shared" si="55"/>
        <v>7</v>
      </c>
    </row>
    <row r="1149" spans="1:5" x14ac:dyDescent="0.3">
      <c r="A1149" t="s">
        <v>1274</v>
      </c>
      <c r="B1149" t="s">
        <v>127</v>
      </c>
      <c r="C1149">
        <v>317</v>
      </c>
      <c r="D1149">
        <f t="shared" si="54"/>
        <v>2002</v>
      </c>
      <c r="E1149">
        <f t="shared" si="55"/>
        <v>7</v>
      </c>
    </row>
    <row r="1150" spans="1:5" x14ac:dyDescent="0.3">
      <c r="A1150" t="s">
        <v>1275</v>
      </c>
      <c r="B1150" t="s">
        <v>127</v>
      </c>
      <c r="C1150">
        <v>321</v>
      </c>
      <c r="D1150">
        <f t="shared" si="54"/>
        <v>2002</v>
      </c>
      <c r="E1150">
        <f t="shared" si="55"/>
        <v>7</v>
      </c>
    </row>
    <row r="1151" spans="1:5" x14ac:dyDescent="0.3">
      <c r="A1151" t="s">
        <v>1276</v>
      </c>
      <c r="B1151" t="s">
        <v>127</v>
      </c>
      <c r="C1151">
        <v>332</v>
      </c>
      <c r="D1151">
        <f t="shared" si="54"/>
        <v>2002</v>
      </c>
      <c r="E1151">
        <f t="shared" si="55"/>
        <v>7</v>
      </c>
    </row>
    <row r="1152" spans="1:5" x14ac:dyDescent="0.3">
      <c r="A1152" t="s">
        <v>1277</v>
      </c>
      <c r="B1152" t="s">
        <v>127</v>
      </c>
      <c r="C1152">
        <v>352</v>
      </c>
      <c r="D1152">
        <f t="shared" si="54"/>
        <v>2002</v>
      </c>
      <c r="E1152">
        <f t="shared" si="55"/>
        <v>7</v>
      </c>
    </row>
    <row r="1153" spans="1:5" x14ac:dyDescent="0.3">
      <c r="A1153" t="s">
        <v>1278</v>
      </c>
      <c r="B1153" t="s">
        <v>127</v>
      </c>
      <c r="C1153">
        <v>348</v>
      </c>
      <c r="D1153">
        <f t="shared" si="54"/>
        <v>2002</v>
      </c>
      <c r="E1153">
        <f t="shared" si="55"/>
        <v>7</v>
      </c>
    </row>
    <row r="1154" spans="1:5" x14ac:dyDescent="0.3">
      <c r="A1154" t="s">
        <v>1279</v>
      </c>
      <c r="B1154" t="s">
        <v>127</v>
      </c>
      <c r="C1154">
        <v>372</v>
      </c>
      <c r="D1154">
        <f t="shared" si="54"/>
        <v>2002</v>
      </c>
      <c r="E1154">
        <f t="shared" si="55"/>
        <v>7</v>
      </c>
    </row>
    <row r="1155" spans="1:5" x14ac:dyDescent="0.3">
      <c r="A1155" t="s">
        <v>1280</v>
      </c>
      <c r="B1155" t="s">
        <v>127</v>
      </c>
      <c r="C1155">
        <v>380</v>
      </c>
      <c r="D1155">
        <f t="shared" ref="D1155:D1218" si="56">YEAR(A1155)</f>
        <v>2002</v>
      </c>
      <c r="E1155">
        <f t="shared" ref="E1155:E1218" si="57">MONTH(A1155)</f>
        <v>7</v>
      </c>
    </row>
    <row r="1156" spans="1:5" x14ac:dyDescent="0.3">
      <c r="A1156" t="s">
        <v>1281</v>
      </c>
      <c r="B1156" t="s">
        <v>127</v>
      </c>
      <c r="C1156">
        <v>375</v>
      </c>
      <c r="D1156">
        <f t="shared" si="56"/>
        <v>2002</v>
      </c>
      <c r="E1156">
        <f t="shared" si="57"/>
        <v>7</v>
      </c>
    </row>
    <row r="1157" spans="1:5" x14ac:dyDescent="0.3">
      <c r="A1157" t="s">
        <v>1282</v>
      </c>
      <c r="B1157" t="s">
        <v>127</v>
      </c>
      <c r="C1157">
        <v>383</v>
      </c>
      <c r="D1157">
        <f t="shared" si="56"/>
        <v>2002</v>
      </c>
      <c r="E1157">
        <f t="shared" si="57"/>
        <v>7</v>
      </c>
    </row>
    <row r="1158" spans="1:5" x14ac:dyDescent="0.3">
      <c r="A1158" t="s">
        <v>1283</v>
      </c>
      <c r="B1158" t="s">
        <v>127</v>
      </c>
      <c r="C1158">
        <v>390</v>
      </c>
      <c r="D1158">
        <f t="shared" si="56"/>
        <v>2002</v>
      </c>
      <c r="E1158">
        <f t="shared" si="57"/>
        <v>7</v>
      </c>
    </row>
    <row r="1159" spans="1:5" x14ac:dyDescent="0.3">
      <c r="A1159" t="s">
        <v>1284</v>
      </c>
      <c r="B1159" t="s">
        <v>127</v>
      </c>
      <c r="C1159">
        <v>381</v>
      </c>
      <c r="D1159">
        <f t="shared" si="56"/>
        <v>2002</v>
      </c>
      <c r="E1159">
        <f t="shared" si="57"/>
        <v>8</v>
      </c>
    </row>
    <row r="1160" spans="1:5" x14ac:dyDescent="0.3">
      <c r="A1160" t="s">
        <v>1285</v>
      </c>
      <c r="B1160" t="s">
        <v>127</v>
      </c>
      <c r="C1160">
        <v>390</v>
      </c>
      <c r="D1160">
        <f t="shared" si="56"/>
        <v>2002</v>
      </c>
      <c r="E1160">
        <f t="shared" si="57"/>
        <v>8</v>
      </c>
    </row>
    <row r="1161" spans="1:5" x14ac:dyDescent="0.3">
      <c r="A1161" t="s">
        <v>1286</v>
      </c>
      <c r="B1161" t="s">
        <v>127</v>
      </c>
      <c r="C1161">
        <v>406</v>
      </c>
      <c r="D1161">
        <f t="shared" si="56"/>
        <v>2002</v>
      </c>
      <c r="E1161">
        <f t="shared" si="57"/>
        <v>8</v>
      </c>
    </row>
    <row r="1162" spans="1:5" x14ac:dyDescent="0.3">
      <c r="A1162" t="s">
        <v>1287</v>
      </c>
      <c r="B1162" t="s">
        <v>127</v>
      </c>
      <c r="C1162">
        <v>392</v>
      </c>
      <c r="D1162">
        <f t="shared" si="56"/>
        <v>2002</v>
      </c>
      <c r="E1162">
        <f t="shared" si="57"/>
        <v>8</v>
      </c>
    </row>
    <row r="1163" spans="1:5" x14ac:dyDescent="0.3">
      <c r="A1163" t="s">
        <v>1288</v>
      </c>
      <c r="B1163" t="s">
        <v>127</v>
      </c>
      <c r="C1163">
        <v>392</v>
      </c>
      <c r="D1163">
        <f t="shared" si="56"/>
        <v>2002</v>
      </c>
      <c r="E1163">
        <f t="shared" si="57"/>
        <v>8</v>
      </c>
    </row>
    <row r="1164" spans="1:5" x14ac:dyDescent="0.3">
      <c r="A1164" t="s">
        <v>1289</v>
      </c>
      <c r="B1164" t="s">
        <v>127</v>
      </c>
      <c r="C1164">
        <v>354</v>
      </c>
      <c r="D1164">
        <f t="shared" si="56"/>
        <v>2002</v>
      </c>
      <c r="E1164">
        <f t="shared" si="57"/>
        <v>8</v>
      </c>
    </row>
    <row r="1165" spans="1:5" x14ac:dyDescent="0.3">
      <c r="A1165" t="s">
        <v>1290</v>
      </c>
      <c r="B1165" t="s">
        <v>127</v>
      </c>
      <c r="C1165">
        <v>378</v>
      </c>
      <c r="D1165">
        <f t="shared" si="56"/>
        <v>2002</v>
      </c>
      <c r="E1165">
        <f t="shared" si="57"/>
        <v>8</v>
      </c>
    </row>
    <row r="1166" spans="1:5" x14ac:dyDescent="0.3">
      <c r="A1166" t="s">
        <v>1291</v>
      </c>
      <c r="B1166" t="s">
        <v>127</v>
      </c>
      <c r="C1166">
        <v>402</v>
      </c>
      <c r="D1166">
        <f t="shared" si="56"/>
        <v>2002</v>
      </c>
      <c r="E1166">
        <f t="shared" si="57"/>
        <v>8</v>
      </c>
    </row>
    <row r="1167" spans="1:5" x14ac:dyDescent="0.3">
      <c r="A1167" t="s">
        <v>1292</v>
      </c>
      <c r="B1167" t="s">
        <v>127</v>
      </c>
      <c r="C1167">
        <v>415</v>
      </c>
      <c r="D1167">
        <f t="shared" si="56"/>
        <v>2002</v>
      </c>
      <c r="E1167">
        <f t="shared" si="57"/>
        <v>8</v>
      </c>
    </row>
    <row r="1168" spans="1:5" x14ac:dyDescent="0.3">
      <c r="A1168" t="s">
        <v>1293</v>
      </c>
      <c r="B1168" t="s">
        <v>127</v>
      </c>
      <c r="C1168">
        <v>418</v>
      </c>
      <c r="D1168">
        <f t="shared" si="56"/>
        <v>2002</v>
      </c>
      <c r="E1168">
        <f t="shared" si="57"/>
        <v>8</v>
      </c>
    </row>
    <row r="1169" spans="1:5" x14ac:dyDescent="0.3">
      <c r="A1169" t="s">
        <v>1294</v>
      </c>
      <c r="B1169" t="s">
        <v>127</v>
      </c>
      <c r="C1169">
        <v>408</v>
      </c>
      <c r="D1169">
        <f t="shared" si="56"/>
        <v>2002</v>
      </c>
      <c r="E1169">
        <f t="shared" si="57"/>
        <v>8</v>
      </c>
    </row>
    <row r="1170" spans="1:5" x14ac:dyDescent="0.3">
      <c r="A1170" t="s">
        <v>1295</v>
      </c>
      <c r="B1170" t="s">
        <v>127</v>
      </c>
      <c r="C1170">
        <v>387</v>
      </c>
      <c r="D1170">
        <f t="shared" si="56"/>
        <v>2002</v>
      </c>
      <c r="E1170">
        <f t="shared" si="57"/>
        <v>8</v>
      </c>
    </row>
    <row r="1171" spans="1:5" x14ac:dyDescent="0.3">
      <c r="A1171" t="s">
        <v>1296</v>
      </c>
      <c r="B1171" t="s">
        <v>127</v>
      </c>
      <c r="C1171">
        <v>379</v>
      </c>
      <c r="D1171">
        <f t="shared" si="56"/>
        <v>2002</v>
      </c>
      <c r="E1171">
        <f t="shared" si="57"/>
        <v>8</v>
      </c>
    </row>
    <row r="1172" spans="1:5" x14ac:dyDescent="0.3">
      <c r="A1172" t="s">
        <v>1297</v>
      </c>
      <c r="B1172" t="s">
        <v>127</v>
      </c>
      <c r="C1172">
        <v>381</v>
      </c>
      <c r="D1172">
        <f t="shared" si="56"/>
        <v>2002</v>
      </c>
      <c r="E1172">
        <f t="shared" si="57"/>
        <v>8</v>
      </c>
    </row>
    <row r="1173" spans="1:5" x14ac:dyDescent="0.3">
      <c r="A1173" t="s">
        <v>1298</v>
      </c>
      <c r="B1173" t="s">
        <v>127</v>
      </c>
      <c r="C1173">
        <v>368</v>
      </c>
      <c r="D1173">
        <f t="shared" si="56"/>
        <v>2002</v>
      </c>
      <c r="E1173">
        <f t="shared" si="57"/>
        <v>8</v>
      </c>
    </row>
    <row r="1174" spans="1:5" x14ac:dyDescent="0.3">
      <c r="A1174" t="s">
        <v>1299</v>
      </c>
      <c r="B1174" t="s">
        <v>127</v>
      </c>
      <c r="C1174">
        <v>364</v>
      </c>
      <c r="D1174">
        <f t="shared" si="56"/>
        <v>2002</v>
      </c>
      <c r="E1174">
        <f t="shared" si="57"/>
        <v>8</v>
      </c>
    </row>
    <row r="1175" spans="1:5" x14ac:dyDescent="0.3">
      <c r="A1175" t="s">
        <v>1300</v>
      </c>
      <c r="B1175" t="s">
        <v>127</v>
      </c>
      <c r="C1175">
        <v>362</v>
      </c>
      <c r="D1175">
        <f t="shared" si="56"/>
        <v>2002</v>
      </c>
      <c r="E1175">
        <f t="shared" si="57"/>
        <v>8</v>
      </c>
    </row>
    <row r="1176" spans="1:5" x14ac:dyDescent="0.3">
      <c r="A1176" t="s">
        <v>1301</v>
      </c>
      <c r="B1176" t="s">
        <v>127</v>
      </c>
      <c r="C1176">
        <v>357</v>
      </c>
      <c r="D1176">
        <f t="shared" si="56"/>
        <v>2002</v>
      </c>
      <c r="E1176">
        <f t="shared" si="57"/>
        <v>8</v>
      </c>
    </row>
    <row r="1177" spans="1:5" x14ac:dyDescent="0.3">
      <c r="A1177" t="s">
        <v>1302</v>
      </c>
      <c r="B1177" t="s">
        <v>127</v>
      </c>
      <c r="C1177">
        <v>347</v>
      </c>
      <c r="D1177">
        <f t="shared" si="56"/>
        <v>2002</v>
      </c>
      <c r="E1177">
        <f t="shared" si="57"/>
        <v>8</v>
      </c>
    </row>
    <row r="1178" spans="1:5" x14ac:dyDescent="0.3">
      <c r="A1178" t="s">
        <v>1303</v>
      </c>
      <c r="B1178" t="s">
        <v>127</v>
      </c>
      <c r="C1178">
        <v>354</v>
      </c>
      <c r="D1178">
        <f t="shared" si="56"/>
        <v>2002</v>
      </c>
      <c r="E1178">
        <f t="shared" si="57"/>
        <v>8</v>
      </c>
    </row>
    <row r="1179" spans="1:5" x14ac:dyDescent="0.3">
      <c r="A1179" t="s">
        <v>1304</v>
      </c>
      <c r="B1179" t="s">
        <v>127</v>
      </c>
      <c r="C1179">
        <v>362</v>
      </c>
      <c r="D1179">
        <f t="shared" si="56"/>
        <v>2002</v>
      </c>
      <c r="E1179">
        <f t="shared" si="57"/>
        <v>8</v>
      </c>
    </row>
    <row r="1180" spans="1:5" x14ac:dyDescent="0.3">
      <c r="A1180" t="s">
        <v>1305</v>
      </c>
      <c r="B1180" t="s">
        <v>127</v>
      </c>
      <c r="C1180">
        <v>360</v>
      </c>
      <c r="D1180">
        <f t="shared" si="56"/>
        <v>2002</v>
      </c>
      <c r="E1180">
        <f t="shared" si="57"/>
        <v>8</v>
      </c>
    </row>
    <row r="1181" spans="1:5" x14ac:dyDescent="0.3">
      <c r="A1181" t="s">
        <v>1306</v>
      </c>
      <c r="B1181" t="s">
        <v>127</v>
      </c>
      <c r="C1181">
        <v>387</v>
      </c>
      <c r="D1181">
        <f t="shared" si="56"/>
        <v>2002</v>
      </c>
      <c r="E1181">
        <f t="shared" si="57"/>
        <v>9</v>
      </c>
    </row>
    <row r="1182" spans="1:5" x14ac:dyDescent="0.3">
      <c r="A1182" t="s">
        <v>1307</v>
      </c>
      <c r="B1182" t="s">
        <v>127</v>
      </c>
      <c r="C1182">
        <v>387</v>
      </c>
      <c r="D1182">
        <f t="shared" si="56"/>
        <v>2002</v>
      </c>
      <c r="E1182">
        <f t="shared" si="57"/>
        <v>9</v>
      </c>
    </row>
    <row r="1183" spans="1:5" x14ac:dyDescent="0.3">
      <c r="A1183" t="s">
        <v>1308</v>
      </c>
      <c r="B1183" t="s">
        <v>127</v>
      </c>
      <c r="C1183">
        <v>397</v>
      </c>
      <c r="D1183">
        <f t="shared" si="56"/>
        <v>2002</v>
      </c>
      <c r="E1183">
        <f t="shared" si="57"/>
        <v>9</v>
      </c>
    </row>
    <row r="1184" spans="1:5" x14ac:dyDescent="0.3">
      <c r="A1184" t="s">
        <v>1309</v>
      </c>
      <c r="B1184" t="s">
        <v>127</v>
      </c>
      <c r="C1184">
        <v>381</v>
      </c>
      <c r="D1184">
        <f t="shared" si="56"/>
        <v>2002</v>
      </c>
      <c r="E1184">
        <f t="shared" si="57"/>
        <v>9</v>
      </c>
    </row>
    <row r="1185" spans="1:5" x14ac:dyDescent="0.3">
      <c r="A1185" t="s">
        <v>1310</v>
      </c>
      <c r="B1185" t="s">
        <v>127</v>
      </c>
      <c r="C1185">
        <v>376</v>
      </c>
      <c r="D1185">
        <f t="shared" si="56"/>
        <v>2002</v>
      </c>
      <c r="E1185">
        <f t="shared" si="57"/>
        <v>9</v>
      </c>
    </row>
    <row r="1186" spans="1:5" x14ac:dyDescent="0.3">
      <c r="A1186" t="s">
        <v>1311</v>
      </c>
      <c r="B1186" t="s">
        <v>127</v>
      </c>
      <c r="C1186">
        <v>384</v>
      </c>
      <c r="D1186">
        <f t="shared" si="56"/>
        <v>2002</v>
      </c>
      <c r="E1186">
        <f t="shared" si="57"/>
        <v>9</v>
      </c>
    </row>
    <row r="1187" spans="1:5" x14ac:dyDescent="0.3">
      <c r="A1187" t="s">
        <v>1312</v>
      </c>
      <c r="B1187" t="s">
        <v>127</v>
      </c>
      <c r="C1187">
        <v>370</v>
      </c>
      <c r="D1187">
        <f t="shared" si="56"/>
        <v>2002</v>
      </c>
      <c r="E1187">
        <f t="shared" si="57"/>
        <v>9</v>
      </c>
    </row>
    <row r="1188" spans="1:5" x14ac:dyDescent="0.3">
      <c r="A1188" t="s">
        <v>1313</v>
      </c>
      <c r="B1188" t="s">
        <v>127</v>
      </c>
      <c r="C1188">
        <v>383</v>
      </c>
      <c r="D1188">
        <f t="shared" si="56"/>
        <v>2002</v>
      </c>
      <c r="E1188">
        <f t="shared" si="57"/>
        <v>9</v>
      </c>
    </row>
    <row r="1189" spans="1:5" x14ac:dyDescent="0.3">
      <c r="A1189" t="s">
        <v>1314</v>
      </c>
      <c r="B1189" t="s">
        <v>127</v>
      </c>
      <c r="C1189">
        <v>392</v>
      </c>
      <c r="D1189">
        <f t="shared" si="56"/>
        <v>2002</v>
      </c>
      <c r="E1189">
        <f t="shared" si="57"/>
        <v>9</v>
      </c>
    </row>
    <row r="1190" spans="1:5" x14ac:dyDescent="0.3">
      <c r="A1190" t="s">
        <v>1315</v>
      </c>
      <c r="B1190" t="s">
        <v>127</v>
      </c>
      <c r="C1190">
        <v>393</v>
      </c>
      <c r="D1190">
        <f t="shared" si="56"/>
        <v>2002</v>
      </c>
      <c r="E1190">
        <f t="shared" si="57"/>
        <v>9</v>
      </c>
    </row>
    <row r="1191" spans="1:5" x14ac:dyDescent="0.3">
      <c r="A1191" t="s">
        <v>1316</v>
      </c>
      <c r="B1191" t="s">
        <v>127</v>
      </c>
      <c r="C1191">
        <v>399</v>
      </c>
      <c r="D1191">
        <f t="shared" si="56"/>
        <v>2002</v>
      </c>
      <c r="E1191">
        <f t="shared" si="57"/>
        <v>9</v>
      </c>
    </row>
    <row r="1192" spans="1:5" x14ac:dyDescent="0.3">
      <c r="A1192" t="s">
        <v>1317</v>
      </c>
      <c r="B1192" t="s">
        <v>127</v>
      </c>
      <c r="C1192">
        <v>403</v>
      </c>
      <c r="D1192">
        <f t="shared" si="56"/>
        <v>2002</v>
      </c>
      <c r="E1192">
        <f t="shared" si="57"/>
        <v>9</v>
      </c>
    </row>
    <row r="1193" spans="1:5" x14ac:dyDescent="0.3">
      <c r="A1193" t="s">
        <v>1318</v>
      </c>
      <c r="B1193" t="s">
        <v>127</v>
      </c>
      <c r="C1193">
        <v>414</v>
      </c>
      <c r="D1193">
        <f t="shared" si="56"/>
        <v>2002</v>
      </c>
      <c r="E1193">
        <f t="shared" si="57"/>
        <v>9</v>
      </c>
    </row>
    <row r="1194" spans="1:5" x14ac:dyDescent="0.3">
      <c r="A1194" t="s">
        <v>1319</v>
      </c>
      <c r="B1194" t="s">
        <v>127</v>
      </c>
      <c r="C1194">
        <v>423</v>
      </c>
      <c r="D1194">
        <f t="shared" si="56"/>
        <v>2002</v>
      </c>
      <c r="E1194">
        <f t="shared" si="57"/>
        <v>9</v>
      </c>
    </row>
    <row r="1195" spans="1:5" x14ac:dyDescent="0.3">
      <c r="A1195" t="s">
        <v>1320</v>
      </c>
      <c r="B1195" t="s">
        <v>127</v>
      </c>
      <c r="C1195">
        <v>439</v>
      </c>
      <c r="D1195">
        <f t="shared" si="56"/>
        <v>2002</v>
      </c>
      <c r="E1195">
        <f t="shared" si="57"/>
        <v>9</v>
      </c>
    </row>
    <row r="1196" spans="1:5" x14ac:dyDescent="0.3">
      <c r="A1196" t="s">
        <v>1321</v>
      </c>
      <c r="B1196" t="s">
        <v>127</v>
      </c>
      <c r="C1196">
        <v>442</v>
      </c>
      <c r="D1196">
        <f t="shared" si="56"/>
        <v>2002</v>
      </c>
      <c r="E1196">
        <f t="shared" si="57"/>
        <v>9</v>
      </c>
    </row>
    <row r="1197" spans="1:5" x14ac:dyDescent="0.3">
      <c r="A1197" t="s">
        <v>1322</v>
      </c>
      <c r="B1197" t="s">
        <v>127</v>
      </c>
      <c r="C1197">
        <v>417</v>
      </c>
      <c r="D1197">
        <f t="shared" si="56"/>
        <v>2002</v>
      </c>
      <c r="E1197">
        <f t="shared" si="57"/>
        <v>9</v>
      </c>
    </row>
    <row r="1198" spans="1:5" x14ac:dyDescent="0.3">
      <c r="A1198" t="s">
        <v>1323</v>
      </c>
      <c r="B1198" t="s">
        <v>127</v>
      </c>
      <c r="C1198">
        <v>417</v>
      </c>
      <c r="D1198">
        <f t="shared" si="56"/>
        <v>2002</v>
      </c>
      <c r="E1198">
        <f t="shared" si="57"/>
        <v>9</v>
      </c>
    </row>
    <row r="1199" spans="1:5" x14ac:dyDescent="0.3">
      <c r="A1199" t="s">
        <v>1324</v>
      </c>
      <c r="B1199" t="s">
        <v>127</v>
      </c>
      <c r="C1199">
        <v>436</v>
      </c>
      <c r="D1199">
        <f t="shared" si="56"/>
        <v>2002</v>
      </c>
      <c r="E1199">
        <f t="shared" si="57"/>
        <v>9</v>
      </c>
    </row>
    <row r="1200" spans="1:5" x14ac:dyDescent="0.3">
      <c r="A1200" t="s">
        <v>1325</v>
      </c>
      <c r="B1200" t="s">
        <v>127</v>
      </c>
      <c r="C1200">
        <v>436</v>
      </c>
      <c r="D1200">
        <f t="shared" si="56"/>
        <v>2002</v>
      </c>
      <c r="E1200">
        <f t="shared" si="57"/>
        <v>9</v>
      </c>
    </row>
    <row r="1201" spans="1:5" x14ac:dyDescent="0.3">
      <c r="A1201" t="s">
        <v>1326</v>
      </c>
      <c r="B1201" t="s">
        <v>127</v>
      </c>
      <c r="C1201">
        <v>415</v>
      </c>
      <c r="D1201">
        <f t="shared" si="56"/>
        <v>2002</v>
      </c>
      <c r="E1201">
        <f t="shared" si="57"/>
        <v>10</v>
      </c>
    </row>
    <row r="1202" spans="1:5" x14ac:dyDescent="0.3">
      <c r="A1202" t="s">
        <v>1327</v>
      </c>
      <c r="B1202" t="s">
        <v>127</v>
      </c>
      <c r="C1202">
        <v>413</v>
      </c>
      <c r="D1202">
        <f t="shared" si="56"/>
        <v>2002</v>
      </c>
      <c r="E1202">
        <f t="shared" si="57"/>
        <v>10</v>
      </c>
    </row>
    <row r="1203" spans="1:5" x14ac:dyDescent="0.3">
      <c r="A1203" t="s">
        <v>1328</v>
      </c>
      <c r="B1203" t="s">
        <v>127</v>
      </c>
      <c r="C1203">
        <v>412</v>
      </c>
      <c r="D1203">
        <f t="shared" si="56"/>
        <v>2002</v>
      </c>
      <c r="E1203">
        <f t="shared" si="57"/>
        <v>10</v>
      </c>
    </row>
    <row r="1204" spans="1:5" x14ac:dyDescent="0.3">
      <c r="A1204" t="s">
        <v>1329</v>
      </c>
      <c r="B1204" t="s">
        <v>127</v>
      </c>
      <c r="C1204">
        <v>405</v>
      </c>
      <c r="D1204">
        <f t="shared" si="56"/>
        <v>2002</v>
      </c>
      <c r="E1204">
        <f t="shared" si="57"/>
        <v>10</v>
      </c>
    </row>
    <row r="1205" spans="1:5" x14ac:dyDescent="0.3">
      <c r="A1205" t="s">
        <v>1330</v>
      </c>
      <c r="B1205" t="s">
        <v>127</v>
      </c>
      <c r="C1205">
        <v>411</v>
      </c>
      <c r="D1205">
        <f t="shared" si="56"/>
        <v>2002</v>
      </c>
      <c r="E1205">
        <f t="shared" si="57"/>
        <v>10</v>
      </c>
    </row>
    <row r="1206" spans="1:5" x14ac:dyDescent="0.3">
      <c r="A1206" t="s">
        <v>1331</v>
      </c>
      <c r="B1206" t="s">
        <v>127</v>
      </c>
      <c r="C1206">
        <v>413</v>
      </c>
      <c r="D1206">
        <f t="shared" si="56"/>
        <v>2002</v>
      </c>
      <c r="E1206">
        <f t="shared" si="57"/>
        <v>10</v>
      </c>
    </row>
    <row r="1207" spans="1:5" x14ac:dyDescent="0.3">
      <c r="A1207" t="s">
        <v>1332</v>
      </c>
      <c r="B1207" t="s">
        <v>127</v>
      </c>
      <c r="C1207">
        <v>428</v>
      </c>
      <c r="D1207">
        <f t="shared" si="56"/>
        <v>2002</v>
      </c>
      <c r="E1207">
        <f t="shared" si="57"/>
        <v>10</v>
      </c>
    </row>
    <row r="1208" spans="1:5" x14ac:dyDescent="0.3">
      <c r="A1208" t="s">
        <v>1333</v>
      </c>
      <c r="B1208" t="s">
        <v>127</v>
      </c>
      <c r="C1208">
        <v>430</v>
      </c>
      <c r="D1208">
        <f t="shared" si="56"/>
        <v>2002</v>
      </c>
      <c r="E1208">
        <f t="shared" si="57"/>
        <v>10</v>
      </c>
    </row>
    <row r="1209" spans="1:5" x14ac:dyDescent="0.3">
      <c r="A1209" t="s">
        <v>1334</v>
      </c>
      <c r="B1209" t="s">
        <v>127</v>
      </c>
      <c r="C1209">
        <v>416</v>
      </c>
      <c r="D1209">
        <f t="shared" si="56"/>
        <v>2002</v>
      </c>
      <c r="E1209">
        <f t="shared" si="57"/>
        <v>10</v>
      </c>
    </row>
    <row r="1210" spans="1:5" x14ac:dyDescent="0.3">
      <c r="A1210" t="s">
        <v>1335</v>
      </c>
      <c r="B1210" t="s">
        <v>127</v>
      </c>
      <c r="C1210">
        <v>416</v>
      </c>
      <c r="D1210">
        <f t="shared" si="56"/>
        <v>2002</v>
      </c>
      <c r="E1210">
        <f t="shared" si="57"/>
        <v>10</v>
      </c>
    </row>
    <row r="1211" spans="1:5" x14ac:dyDescent="0.3">
      <c r="A1211" t="s">
        <v>1336</v>
      </c>
      <c r="B1211" t="s">
        <v>127</v>
      </c>
      <c r="C1211">
        <v>386</v>
      </c>
      <c r="D1211">
        <f t="shared" si="56"/>
        <v>2002</v>
      </c>
      <c r="E1211">
        <f t="shared" si="57"/>
        <v>10</v>
      </c>
    </row>
    <row r="1212" spans="1:5" x14ac:dyDescent="0.3">
      <c r="A1212" t="s">
        <v>1337</v>
      </c>
      <c r="B1212" t="s">
        <v>127</v>
      </c>
      <c r="C1212">
        <v>378</v>
      </c>
      <c r="D1212">
        <f t="shared" si="56"/>
        <v>2002</v>
      </c>
      <c r="E1212">
        <f t="shared" si="57"/>
        <v>10</v>
      </c>
    </row>
    <row r="1213" spans="1:5" x14ac:dyDescent="0.3">
      <c r="A1213" t="s">
        <v>1338</v>
      </c>
      <c r="B1213" t="s">
        <v>127</v>
      </c>
      <c r="C1213">
        <v>366</v>
      </c>
      <c r="D1213">
        <f t="shared" si="56"/>
        <v>2002</v>
      </c>
      <c r="E1213">
        <f t="shared" si="57"/>
        <v>10</v>
      </c>
    </row>
    <row r="1214" spans="1:5" x14ac:dyDescent="0.3">
      <c r="A1214" t="s">
        <v>1339</v>
      </c>
      <c r="B1214" t="s">
        <v>127</v>
      </c>
      <c r="C1214">
        <v>362</v>
      </c>
      <c r="D1214">
        <f t="shared" si="56"/>
        <v>2002</v>
      </c>
      <c r="E1214">
        <f t="shared" si="57"/>
        <v>10</v>
      </c>
    </row>
    <row r="1215" spans="1:5" x14ac:dyDescent="0.3">
      <c r="A1215" t="s">
        <v>1340</v>
      </c>
      <c r="B1215" t="s">
        <v>127</v>
      </c>
      <c r="C1215">
        <v>352</v>
      </c>
      <c r="D1215">
        <f t="shared" si="56"/>
        <v>2002</v>
      </c>
      <c r="E1215">
        <f t="shared" si="57"/>
        <v>10</v>
      </c>
    </row>
    <row r="1216" spans="1:5" x14ac:dyDescent="0.3">
      <c r="A1216" t="s">
        <v>1341</v>
      </c>
      <c r="B1216" t="s">
        <v>127</v>
      </c>
      <c r="C1216">
        <v>351</v>
      </c>
      <c r="D1216">
        <f t="shared" si="56"/>
        <v>2002</v>
      </c>
      <c r="E1216">
        <f t="shared" si="57"/>
        <v>10</v>
      </c>
    </row>
    <row r="1217" spans="1:5" x14ac:dyDescent="0.3">
      <c r="A1217" t="s">
        <v>1342</v>
      </c>
      <c r="B1217" t="s">
        <v>127</v>
      </c>
      <c r="C1217">
        <v>350</v>
      </c>
      <c r="D1217">
        <f t="shared" si="56"/>
        <v>2002</v>
      </c>
      <c r="E1217">
        <f t="shared" si="57"/>
        <v>10</v>
      </c>
    </row>
    <row r="1218" spans="1:5" x14ac:dyDescent="0.3">
      <c r="A1218" t="s">
        <v>1343</v>
      </c>
      <c r="B1218" t="s">
        <v>127</v>
      </c>
      <c r="C1218">
        <v>356</v>
      </c>
      <c r="D1218">
        <f t="shared" si="56"/>
        <v>2002</v>
      </c>
      <c r="E1218">
        <f t="shared" si="57"/>
        <v>10</v>
      </c>
    </row>
    <row r="1219" spans="1:5" x14ac:dyDescent="0.3">
      <c r="A1219" t="s">
        <v>1344</v>
      </c>
      <c r="B1219" t="s">
        <v>127</v>
      </c>
      <c r="C1219">
        <v>356</v>
      </c>
      <c r="D1219">
        <f t="shared" ref="D1219:D1282" si="58">YEAR(A1219)</f>
        <v>2002</v>
      </c>
      <c r="E1219">
        <f t="shared" ref="E1219:E1282" si="59">MONTH(A1219)</f>
        <v>10</v>
      </c>
    </row>
    <row r="1220" spans="1:5" x14ac:dyDescent="0.3">
      <c r="A1220" t="s">
        <v>1345</v>
      </c>
      <c r="B1220" t="s">
        <v>127</v>
      </c>
      <c r="C1220">
        <v>360</v>
      </c>
      <c r="D1220">
        <f t="shared" si="58"/>
        <v>2002</v>
      </c>
      <c r="E1220">
        <f t="shared" si="59"/>
        <v>10</v>
      </c>
    </row>
    <row r="1221" spans="1:5" x14ac:dyDescent="0.3">
      <c r="A1221" t="s">
        <v>1346</v>
      </c>
      <c r="B1221" t="s">
        <v>127</v>
      </c>
      <c r="C1221">
        <v>380</v>
      </c>
      <c r="D1221">
        <f t="shared" si="58"/>
        <v>2002</v>
      </c>
      <c r="E1221">
        <f t="shared" si="59"/>
        <v>10</v>
      </c>
    </row>
    <row r="1222" spans="1:5" x14ac:dyDescent="0.3">
      <c r="A1222" t="s">
        <v>1347</v>
      </c>
      <c r="B1222" t="s">
        <v>127</v>
      </c>
      <c r="C1222">
        <v>374</v>
      </c>
      <c r="D1222">
        <f t="shared" si="58"/>
        <v>2002</v>
      </c>
      <c r="E1222">
        <f t="shared" si="59"/>
        <v>10</v>
      </c>
    </row>
    <row r="1223" spans="1:5" x14ac:dyDescent="0.3">
      <c r="A1223" t="s">
        <v>1348</v>
      </c>
      <c r="B1223" t="s">
        <v>127</v>
      </c>
      <c r="C1223">
        <v>372</v>
      </c>
      <c r="D1223">
        <f t="shared" si="58"/>
        <v>2002</v>
      </c>
      <c r="E1223">
        <f t="shared" si="59"/>
        <v>10</v>
      </c>
    </row>
    <row r="1224" spans="1:5" x14ac:dyDescent="0.3">
      <c r="A1224" t="s">
        <v>1349</v>
      </c>
      <c r="B1224" t="s">
        <v>127</v>
      </c>
      <c r="C1224">
        <v>366</v>
      </c>
      <c r="D1224">
        <f t="shared" si="58"/>
        <v>2002</v>
      </c>
      <c r="E1224">
        <f t="shared" si="59"/>
        <v>11</v>
      </c>
    </row>
    <row r="1225" spans="1:5" x14ac:dyDescent="0.3">
      <c r="A1225" t="s">
        <v>1350</v>
      </c>
      <c r="B1225" t="s">
        <v>127</v>
      </c>
      <c r="C1225">
        <v>358</v>
      </c>
      <c r="D1225">
        <f t="shared" si="58"/>
        <v>2002</v>
      </c>
      <c r="E1225">
        <f t="shared" si="59"/>
        <v>11</v>
      </c>
    </row>
    <row r="1226" spans="1:5" x14ac:dyDescent="0.3">
      <c r="A1226" t="s">
        <v>1351</v>
      </c>
      <c r="B1226" t="s">
        <v>127</v>
      </c>
      <c r="C1226">
        <v>355</v>
      </c>
      <c r="D1226">
        <f t="shared" si="58"/>
        <v>2002</v>
      </c>
      <c r="E1226">
        <f t="shared" si="59"/>
        <v>11</v>
      </c>
    </row>
    <row r="1227" spans="1:5" x14ac:dyDescent="0.3">
      <c r="A1227" t="s">
        <v>1352</v>
      </c>
      <c r="B1227" t="s">
        <v>127</v>
      </c>
      <c r="C1227">
        <v>358</v>
      </c>
      <c r="D1227">
        <f t="shared" si="58"/>
        <v>2002</v>
      </c>
      <c r="E1227">
        <f t="shared" si="59"/>
        <v>11</v>
      </c>
    </row>
    <row r="1228" spans="1:5" x14ac:dyDescent="0.3">
      <c r="A1228" t="s">
        <v>1353</v>
      </c>
      <c r="B1228" t="s">
        <v>127</v>
      </c>
      <c r="C1228">
        <v>366</v>
      </c>
      <c r="D1228">
        <f t="shared" si="58"/>
        <v>2002</v>
      </c>
      <c r="E1228">
        <f t="shared" si="59"/>
        <v>11</v>
      </c>
    </row>
    <row r="1229" spans="1:5" x14ac:dyDescent="0.3">
      <c r="A1229" t="s">
        <v>1354</v>
      </c>
      <c r="B1229" t="s">
        <v>127</v>
      </c>
      <c r="C1229">
        <v>369</v>
      </c>
      <c r="D1229">
        <f t="shared" si="58"/>
        <v>2002</v>
      </c>
      <c r="E1229">
        <f t="shared" si="59"/>
        <v>11</v>
      </c>
    </row>
    <row r="1230" spans="1:5" x14ac:dyDescent="0.3">
      <c r="A1230" t="s">
        <v>1355</v>
      </c>
      <c r="B1230" t="s">
        <v>127</v>
      </c>
      <c r="C1230">
        <v>369</v>
      </c>
      <c r="D1230">
        <f t="shared" si="58"/>
        <v>2002</v>
      </c>
      <c r="E1230">
        <f t="shared" si="59"/>
        <v>11</v>
      </c>
    </row>
    <row r="1231" spans="1:5" x14ac:dyDescent="0.3">
      <c r="A1231" t="s">
        <v>1356</v>
      </c>
      <c r="B1231" t="s">
        <v>127</v>
      </c>
      <c r="C1231">
        <v>375</v>
      </c>
      <c r="D1231">
        <f t="shared" si="58"/>
        <v>2002</v>
      </c>
      <c r="E1231">
        <f t="shared" si="59"/>
        <v>11</v>
      </c>
    </row>
    <row r="1232" spans="1:5" x14ac:dyDescent="0.3">
      <c r="A1232" t="s">
        <v>1357</v>
      </c>
      <c r="B1232" t="s">
        <v>127</v>
      </c>
      <c r="C1232">
        <v>378</v>
      </c>
      <c r="D1232">
        <f t="shared" si="58"/>
        <v>2002</v>
      </c>
      <c r="E1232">
        <f t="shared" si="59"/>
        <v>11</v>
      </c>
    </row>
    <row r="1233" spans="1:5" x14ac:dyDescent="0.3">
      <c r="A1233" t="s">
        <v>1358</v>
      </c>
      <c r="B1233" t="s">
        <v>127</v>
      </c>
      <c r="C1233">
        <v>361</v>
      </c>
      <c r="D1233">
        <f t="shared" si="58"/>
        <v>2002</v>
      </c>
      <c r="E1233">
        <f t="shared" si="59"/>
        <v>11</v>
      </c>
    </row>
    <row r="1234" spans="1:5" x14ac:dyDescent="0.3">
      <c r="A1234" t="s">
        <v>1359</v>
      </c>
      <c r="B1234" t="s">
        <v>127</v>
      </c>
      <c r="C1234">
        <v>355</v>
      </c>
      <c r="D1234">
        <f t="shared" si="58"/>
        <v>2002</v>
      </c>
      <c r="E1234">
        <f t="shared" si="59"/>
        <v>11</v>
      </c>
    </row>
    <row r="1235" spans="1:5" x14ac:dyDescent="0.3">
      <c r="A1235" t="s">
        <v>1360</v>
      </c>
      <c r="B1235" t="s">
        <v>127</v>
      </c>
      <c r="C1235">
        <v>348</v>
      </c>
      <c r="D1235">
        <f t="shared" si="58"/>
        <v>2002</v>
      </c>
      <c r="E1235">
        <f t="shared" si="59"/>
        <v>11</v>
      </c>
    </row>
    <row r="1236" spans="1:5" x14ac:dyDescent="0.3">
      <c r="A1236" t="s">
        <v>1361</v>
      </c>
      <c r="B1236" t="s">
        <v>127</v>
      </c>
      <c r="C1236">
        <v>346</v>
      </c>
      <c r="D1236">
        <f t="shared" si="58"/>
        <v>2002</v>
      </c>
      <c r="E1236">
        <f t="shared" si="59"/>
        <v>11</v>
      </c>
    </row>
    <row r="1237" spans="1:5" x14ac:dyDescent="0.3">
      <c r="A1237" t="s">
        <v>1362</v>
      </c>
      <c r="B1237" t="s">
        <v>127</v>
      </c>
      <c r="C1237">
        <v>332</v>
      </c>
      <c r="D1237">
        <f t="shared" si="58"/>
        <v>2002</v>
      </c>
      <c r="E1237">
        <f t="shared" si="59"/>
        <v>11</v>
      </c>
    </row>
    <row r="1238" spans="1:5" x14ac:dyDescent="0.3">
      <c r="A1238" t="s">
        <v>1363</v>
      </c>
      <c r="B1238" t="s">
        <v>127</v>
      </c>
      <c r="C1238">
        <v>325</v>
      </c>
      <c r="D1238">
        <f t="shared" si="58"/>
        <v>2002</v>
      </c>
      <c r="E1238">
        <f t="shared" si="59"/>
        <v>11</v>
      </c>
    </row>
    <row r="1239" spans="1:5" x14ac:dyDescent="0.3">
      <c r="A1239" t="s">
        <v>1364</v>
      </c>
      <c r="B1239" t="s">
        <v>127</v>
      </c>
      <c r="C1239">
        <v>319</v>
      </c>
      <c r="D1239">
        <f t="shared" si="58"/>
        <v>2002</v>
      </c>
      <c r="E1239">
        <f t="shared" si="59"/>
        <v>11</v>
      </c>
    </row>
    <row r="1240" spans="1:5" x14ac:dyDescent="0.3">
      <c r="A1240" t="s">
        <v>1365</v>
      </c>
      <c r="B1240" t="s">
        <v>127</v>
      </c>
      <c r="C1240">
        <v>322</v>
      </c>
      <c r="D1240">
        <f t="shared" si="58"/>
        <v>2002</v>
      </c>
      <c r="E1240">
        <f t="shared" si="59"/>
        <v>11</v>
      </c>
    </row>
    <row r="1241" spans="1:5" x14ac:dyDescent="0.3">
      <c r="A1241" t="s">
        <v>1366</v>
      </c>
      <c r="B1241" t="s">
        <v>127</v>
      </c>
      <c r="C1241">
        <v>336</v>
      </c>
      <c r="D1241">
        <f t="shared" si="58"/>
        <v>2002</v>
      </c>
      <c r="E1241">
        <f t="shared" si="59"/>
        <v>11</v>
      </c>
    </row>
    <row r="1242" spans="1:5" x14ac:dyDescent="0.3">
      <c r="A1242" t="s">
        <v>1367</v>
      </c>
      <c r="B1242" t="s">
        <v>127</v>
      </c>
      <c r="C1242">
        <v>318</v>
      </c>
      <c r="D1242">
        <f t="shared" si="58"/>
        <v>2002</v>
      </c>
      <c r="E1242">
        <f t="shared" si="59"/>
        <v>11</v>
      </c>
    </row>
    <row r="1243" spans="1:5" x14ac:dyDescent="0.3">
      <c r="A1243" t="s">
        <v>1368</v>
      </c>
      <c r="B1243" t="s">
        <v>127</v>
      </c>
      <c r="C1243">
        <v>311</v>
      </c>
      <c r="D1243">
        <f t="shared" si="58"/>
        <v>2002</v>
      </c>
      <c r="E1243">
        <f t="shared" si="59"/>
        <v>11</v>
      </c>
    </row>
    <row r="1244" spans="1:5" x14ac:dyDescent="0.3">
      <c r="A1244" t="s">
        <v>1369</v>
      </c>
      <c r="B1244" t="s">
        <v>127</v>
      </c>
      <c r="C1244">
        <v>311</v>
      </c>
      <c r="D1244">
        <f t="shared" si="58"/>
        <v>2002</v>
      </c>
      <c r="E1244">
        <f t="shared" si="59"/>
        <v>12</v>
      </c>
    </row>
    <row r="1245" spans="1:5" x14ac:dyDescent="0.3">
      <c r="A1245" t="s">
        <v>1370</v>
      </c>
      <c r="B1245" t="s">
        <v>127</v>
      </c>
      <c r="C1245">
        <v>310</v>
      </c>
      <c r="D1245">
        <f t="shared" si="58"/>
        <v>2002</v>
      </c>
      <c r="E1245">
        <f t="shared" si="59"/>
        <v>12</v>
      </c>
    </row>
    <row r="1246" spans="1:5" x14ac:dyDescent="0.3">
      <c r="A1246" t="s">
        <v>1371</v>
      </c>
      <c r="B1246" t="s">
        <v>127</v>
      </c>
      <c r="C1246">
        <v>316</v>
      </c>
      <c r="D1246">
        <f t="shared" si="58"/>
        <v>2002</v>
      </c>
      <c r="E1246">
        <f t="shared" si="59"/>
        <v>12</v>
      </c>
    </row>
    <row r="1247" spans="1:5" x14ac:dyDescent="0.3">
      <c r="A1247" t="s">
        <v>1372</v>
      </c>
      <c r="B1247" t="s">
        <v>127</v>
      </c>
      <c r="C1247">
        <v>325</v>
      </c>
      <c r="D1247">
        <f t="shared" si="58"/>
        <v>2002</v>
      </c>
      <c r="E1247">
        <f t="shared" si="59"/>
        <v>12</v>
      </c>
    </row>
    <row r="1248" spans="1:5" x14ac:dyDescent="0.3">
      <c r="A1248" t="s">
        <v>1373</v>
      </c>
      <c r="B1248" t="s">
        <v>127</v>
      </c>
      <c r="C1248">
        <v>316</v>
      </c>
      <c r="D1248">
        <f t="shared" si="58"/>
        <v>2002</v>
      </c>
      <c r="E1248">
        <f t="shared" si="59"/>
        <v>12</v>
      </c>
    </row>
    <row r="1249" spans="1:5" x14ac:dyDescent="0.3">
      <c r="A1249" t="s">
        <v>1374</v>
      </c>
      <c r="B1249" t="s">
        <v>127</v>
      </c>
      <c r="C1249">
        <v>318</v>
      </c>
      <c r="D1249">
        <f t="shared" si="58"/>
        <v>2002</v>
      </c>
      <c r="E1249">
        <f t="shared" si="59"/>
        <v>12</v>
      </c>
    </row>
    <row r="1250" spans="1:5" x14ac:dyDescent="0.3">
      <c r="A1250" t="s">
        <v>1375</v>
      </c>
      <c r="B1250" t="s">
        <v>127</v>
      </c>
      <c r="C1250">
        <v>317</v>
      </c>
      <c r="D1250">
        <f t="shared" si="58"/>
        <v>2002</v>
      </c>
      <c r="E1250">
        <f t="shared" si="59"/>
        <v>12</v>
      </c>
    </row>
    <row r="1251" spans="1:5" x14ac:dyDescent="0.3">
      <c r="A1251" t="s">
        <v>1376</v>
      </c>
      <c r="B1251" t="s">
        <v>127</v>
      </c>
      <c r="C1251">
        <v>316</v>
      </c>
      <c r="D1251">
        <f t="shared" si="58"/>
        <v>2002</v>
      </c>
      <c r="E1251">
        <f t="shared" si="59"/>
        <v>12</v>
      </c>
    </row>
    <row r="1252" spans="1:5" x14ac:dyDescent="0.3">
      <c r="A1252" t="s">
        <v>1377</v>
      </c>
      <c r="B1252" t="s">
        <v>127</v>
      </c>
      <c r="C1252">
        <v>315</v>
      </c>
      <c r="D1252">
        <f t="shared" si="58"/>
        <v>2002</v>
      </c>
      <c r="E1252">
        <f t="shared" si="59"/>
        <v>12</v>
      </c>
    </row>
    <row r="1253" spans="1:5" x14ac:dyDescent="0.3">
      <c r="A1253" t="s">
        <v>1378</v>
      </c>
      <c r="B1253" t="s">
        <v>127</v>
      </c>
      <c r="C1253">
        <v>305</v>
      </c>
      <c r="D1253">
        <f t="shared" si="58"/>
        <v>2002</v>
      </c>
      <c r="E1253">
        <f t="shared" si="59"/>
        <v>12</v>
      </c>
    </row>
    <row r="1254" spans="1:5" x14ac:dyDescent="0.3">
      <c r="A1254" t="s">
        <v>1379</v>
      </c>
      <c r="B1254" t="s">
        <v>127</v>
      </c>
      <c r="C1254">
        <v>300</v>
      </c>
      <c r="D1254">
        <f t="shared" si="58"/>
        <v>2002</v>
      </c>
      <c r="E1254">
        <f t="shared" si="59"/>
        <v>12</v>
      </c>
    </row>
    <row r="1255" spans="1:5" x14ac:dyDescent="0.3">
      <c r="A1255" t="s">
        <v>1380</v>
      </c>
      <c r="B1255" t="s">
        <v>127</v>
      </c>
      <c r="C1255">
        <v>302</v>
      </c>
      <c r="D1255">
        <f t="shared" si="58"/>
        <v>2002</v>
      </c>
      <c r="E1255">
        <f t="shared" si="59"/>
        <v>12</v>
      </c>
    </row>
    <row r="1256" spans="1:5" x14ac:dyDescent="0.3">
      <c r="A1256" t="s">
        <v>1381</v>
      </c>
      <c r="B1256" t="s">
        <v>127</v>
      </c>
      <c r="C1256">
        <v>297</v>
      </c>
      <c r="D1256">
        <f t="shared" si="58"/>
        <v>2002</v>
      </c>
      <c r="E1256">
        <f t="shared" si="59"/>
        <v>12</v>
      </c>
    </row>
    <row r="1257" spans="1:5" x14ac:dyDescent="0.3">
      <c r="A1257" t="s">
        <v>1382</v>
      </c>
      <c r="B1257" t="s">
        <v>127</v>
      </c>
      <c r="C1257">
        <v>305</v>
      </c>
      <c r="D1257">
        <f t="shared" si="58"/>
        <v>2002</v>
      </c>
      <c r="E1257">
        <f t="shared" si="59"/>
        <v>12</v>
      </c>
    </row>
    <row r="1258" spans="1:5" x14ac:dyDescent="0.3">
      <c r="A1258" t="s">
        <v>1383</v>
      </c>
      <c r="B1258" t="s">
        <v>127</v>
      </c>
      <c r="C1258">
        <v>307</v>
      </c>
      <c r="D1258">
        <f t="shared" si="58"/>
        <v>2002</v>
      </c>
      <c r="E1258">
        <f t="shared" si="59"/>
        <v>12</v>
      </c>
    </row>
    <row r="1259" spans="1:5" x14ac:dyDescent="0.3">
      <c r="A1259" t="s">
        <v>1384</v>
      </c>
      <c r="B1259" t="s">
        <v>127</v>
      </c>
      <c r="C1259">
        <v>302</v>
      </c>
      <c r="D1259">
        <f t="shared" si="58"/>
        <v>2002</v>
      </c>
      <c r="E1259">
        <f t="shared" si="59"/>
        <v>12</v>
      </c>
    </row>
    <row r="1260" spans="1:5" x14ac:dyDescent="0.3">
      <c r="A1260" t="s">
        <v>1385</v>
      </c>
      <c r="B1260" t="s">
        <v>127</v>
      </c>
      <c r="C1260">
        <v>312</v>
      </c>
      <c r="D1260">
        <f t="shared" si="58"/>
        <v>2002</v>
      </c>
      <c r="E1260">
        <f t="shared" si="59"/>
        <v>12</v>
      </c>
    </row>
    <row r="1261" spans="1:5" x14ac:dyDescent="0.3">
      <c r="A1261" t="s">
        <v>1386</v>
      </c>
      <c r="B1261" t="s">
        <v>127</v>
      </c>
      <c r="C1261">
        <v>309</v>
      </c>
      <c r="D1261">
        <f t="shared" si="58"/>
        <v>2002</v>
      </c>
      <c r="E1261">
        <f t="shared" si="59"/>
        <v>12</v>
      </c>
    </row>
    <row r="1262" spans="1:5" x14ac:dyDescent="0.3">
      <c r="A1262" t="s">
        <v>1387</v>
      </c>
      <c r="B1262" t="s">
        <v>127</v>
      </c>
      <c r="C1262">
        <v>316</v>
      </c>
      <c r="D1262">
        <f t="shared" si="58"/>
        <v>2002</v>
      </c>
      <c r="E1262">
        <f t="shared" si="59"/>
        <v>12</v>
      </c>
    </row>
    <row r="1263" spans="1:5" x14ac:dyDescent="0.3">
      <c r="A1263" t="s">
        <v>1388</v>
      </c>
      <c r="B1263" t="s">
        <v>127</v>
      </c>
      <c r="C1263">
        <v>324</v>
      </c>
      <c r="D1263">
        <f t="shared" si="58"/>
        <v>2002</v>
      </c>
      <c r="E1263">
        <f t="shared" si="59"/>
        <v>12</v>
      </c>
    </row>
    <row r="1264" spans="1:5" x14ac:dyDescent="0.3">
      <c r="A1264" t="s">
        <v>1389</v>
      </c>
      <c r="B1264" t="s">
        <v>127</v>
      </c>
      <c r="C1264">
        <v>331</v>
      </c>
      <c r="D1264">
        <f t="shared" si="58"/>
        <v>2002</v>
      </c>
      <c r="E1264">
        <f t="shared" si="59"/>
        <v>12</v>
      </c>
    </row>
    <row r="1265" spans="1:5" x14ac:dyDescent="0.3">
      <c r="A1265" t="s">
        <v>1390</v>
      </c>
      <c r="B1265" t="s">
        <v>127</v>
      </c>
      <c r="C1265">
        <v>305</v>
      </c>
      <c r="D1265">
        <f t="shared" si="58"/>
        <v>2003</v>
      </c>
      <c r="E1265">
        <f t="shared" si="59"/>
        <v>1</v>
      </c>
    </row>
    <row r="1266" spans="1:5" x14ac:dyDescent="0.3">
      <c r="A1266" t="s">
        <v>1391</v>
      </c>
      <c r="B1266" t="s">
        <v>127</v>
      </c>
      <c r="C1266">
        <v>305</v>
      </c>
      <c r="D1266">
        <f t="shared" si="58"/>
        <v>2003</v>
      </c>
      <c r="E1266">
        <f t="shared" si="59"/>
        <v>1</v>
      </c>
    </row>
    <row r="1267" spans="1:5" x14ac:dyDescent="0.3">
      <c r="A1267" t="s">
        <v>1392</v>
      </c>
      <c r="B1267" t="s">
        <v>127</v>
      </c>
      <c r="C1267">
        <v>300</v>
      </c>
      <c r="D1267">
        <f t="shared" si="58"/>
        <v>2003</v>
      </c>
      <c r="E1267">
        <f t="shared" si="59"/>
        <v>1</v>
      </c>
    </row>
    <row r="1268" spans="1:5" x14ac:dyDescent="0.3">
      <c r="A1268" t="s">
        <v>1393</v>
      </c>
      <c r="B1268" t="s">
        <v>127</v>
      </c>
      <c r="C1268">
        <v>303</v>
      </c>
      <c r="D1268">
        <f t="shared" si="58"/>
        <v>2003</v>
      </c>
      <c r="E1268">
        <f t="shared" si="59"/>
        <v>1</v>
      </c>
    </row>
    <row r="1269" spans="1:5" x14ac:dyDescent="0.3">
      <c r="A1269" t="s">
        <v>1394</v>
      </c>
      <c r="B1269" t="s">
        <v>127</v>
      </c>
      <c r="C1269">
        <v>299</v>
      </c>
      <c r="D1269">
        <f t="shared" si="58"/>
        <v>2003</v>
      </c>
      <c r="E1269">
        <f t="shared" si="59"/>
        <v>1</v>
      </c>
    </row>
    <row r="1270" spans="1:5" x14ac:dyDescent="0.3">
      <c r="A1270" t="s">
        <v>1395</v>
      </c>
      <c r="B1270" t="s">
        <v>127</v>
      </c>
      <c r="C1270">
        <v>285</v>
      </c>
      <c r="D1270">
        <f t="shared" si="58"/>
        <v>2003</v>
      </c>
      <c r="E1270">
        <f t="shared" si="59"/>
        <v>1</v>
      </c>
    </row>
    <row r="1271" spans="1:5" x14ac:dyDescent="0.3">
      <c r="A1271" t="s">
        <v>1396</v>
      </c>
      <c r="B1271" t="s">
        <v>127</v>
      </c>
      <c r="C1271">
        <v>285</v>
      </c>
      <c r="D1271">
        <f t="shared" si="58"/>
        <v>2003</v>
      </c>
      <c r="E1271">
        <f t="shared" si="59"/>
        <v>1</v>
      </c>
    </row>
    <row r="1272" spans="1:5" x14ac:dyDescent="0.3">
      <c r="A1272" t="s">
        <v>1397</v>
      </c>
      <c r="B1272" t="s">
        <v>127</v>
      </c>
      <c r="C1272">
        <v>287</v>
      </c>
      <c r="D1272">
        <f t="shared" si="58"/>
        <v>2003</v>
      </c>
      <c r="E1272">
        <f t="shared" si="59"/>
        <v>1</v>
      </c>
    </row>
    <row r="1273" spans="1:5" x14ac:dyDescent="0.3">
      <c r="A1273" t="s">
        <v>1398</v>
      </c>
      <c r="B1273" t="s">
        <v>127</v>
      </c>
      <c r="C1273">
        <v>298</v>
      </c>
      <c r="D1273">
        <f t="shared" si="58"/>
        <v>2003</v>
      </c>
      <c r="E1273">
        <f t="shared" si="59"/>
        <v>1</v>
      </c>
    </row>
    <row r="1274" spans="1:5" x14ac:dyDescent="0.3">
      <c r="A1274" t="s">
        <v>1399</v>
      </c>
      <c r="B1274" t="s">
        <v>127</v>
      </c>
      <c r="C1274">
        <v>300</v>
      </c>
      <c r="D1274">
        <f t="shared" si="58"/>
        <v>2003</v>
      </c>
      <c r="E1274">
        <f t="shared" si="59"/>
        <v>1</v>
      </c>
    </row>
    <row r="1275" spans="1:5" x14ac:dyDescent="0.3">
      <c r="A1275" t="s">
        <v>1400</v>
      </c>
      <c r="B1275" t="s">
        <v>127</v>
      </c>
      <c r="C1275">
        <v>301</v>
      </c>
      <c r="D1275">
        <f t="shared" si="58"/>
        <v>2003</v>
      </c>
      <c r="E1275">
        <f t="shared" si="59"/>
        <v>1</v>
      </c>
    </row>
    <row r="1276" spans="1:5" x14ac:dyDescent="0.3">
      <c r="A1276" t="s">
        <v>1401</v>
      </c>
      <c r="B1276" t="s">
        <v>127</v>
      </c>
      <c r="C1276">
        <v>313</v>
      </c>
      <c r="D1276">
        <f t="shared" si="58"/>
        <v>2003</v>
      </c>
      <c r="E1276">
        <f t="shared" si="59"/>
        <v>1</v>
      </c>
    </row>
    <row r="1277" spans="1:5" x14ac:dyDescent="0.3">
      <c r="A1277" t="s">
        <v>1402</v>
      </c>
      <c r="B1277" t="s">
        <v>127</v>
      </c>
      <c r="C1277">
        <v>319</v>
      </c>
      <c r="D1277">
        <f t="shared" si="58"/>
        <v>2003</v>
      </c>
      <c r="E1277">
        <f t="shared" si="59"/>
        <v>1</v>
      </c>
    </row>
    <row r="1278" spans="1:5" x14ac:dyDescent="0.3">
      <c r="A1278" t="s">
        <v>1403</v>
      </c>
      <c r="B1278" t="s">
        <v>127</v>
      </c>
      <c r="C1278">
        <v>329</v>
      </c>
      <c r="D1278">
        <f t="shared" si="58"/>
        <v>2003</v>
      </c>
      <c r="E1278">
        <f t="shared" si="59"/>
        <v>1</v>
      </c>
    </row>
    <row r="1279" spans="1:5" x14ac:dyDescent="0.3">
      <c r="A1279" t="s">
        <v>1404</v>
      </c>
      <c r="B1279" t="s">
        <v>127</v>
      </c>
      <c r="C1279">
        <v>329</v>
      </c>
      <c r="D1279">
        <f t="shared" si="58"/>
        <v>2003</v>
      </c>
      <c r="E1279">
        <f t="shared" si="59"/>
        <v>1</v>
      </c>
    </row>
    <row r="1280" spans="1:5" x14ac:dyDescent="0.3">
      <c r="A1280" t="s">
        <v>1405</v>
      </c>
      <c r="B1280" t="s">
        <v>127</v>
      </c>
      <c r="C1280">
        <v>337</v>
      </c>
      <c r="D1280">
        <f t="shared" si="58"/>
        <v>2003</v>
      </c>
      <c r="E1280">
        <f t="shared" si="59"/>
        <v>1</v>
      </c>
    </row>
    <row r="1281" spans="1:5" x14ac:dyDescent="0.3">
      <c r="A1281" t="s">
        <v>1406</v>
      </c>
      <c r="B1281" t="s">
        <v>127</v>
      </c>
      <c r="C1281">
        <v>332</v>
      </c>
      <c r="D1281">
        <f t="shared" si="58"/>
        <v>2003</v>
      </c>
      <c r="E1281">
        <f t="shared" si="59"/>
        <v>1</v>
      </c>
    </row>
    <row r="1282" spans="1:5" x14ac:dyDescent="0.3">
      <c r="A1282" t="s">
        <v>1407</v>
      </c>
      <c r="B1282" t="s">
        <v>127</v>
      </c>
      <c r="C1282">
        <v>329</v>
      </c>
      <c r="D1282">
        <f t="shared" si="58"/>
        <v>2003</v>
      </c>
      <c r="E1282">
        <f t="shared" si="59"/>
        <v>1</v>
      </c>
    </row>
    <row r="1283" spans="1:5" x14ac:dyDescent="0.3">
      <c r="A1283" t="s">
        <v>1408</v>
      </c>
      <c r="B1283" t="s">
        <v>127</v>
      </c>
      <c r="C1283">
        <v>325</v>
      </c>
      <c r="D1283">
        <f t="shared" ref="D1283:D1346" si="60">YEAR(A1283)</f>
        <v>2003</v>
      </c>
      <c r="E1283">
        <f t="shared" ref="E1283:E1346" si="61">MONTH(A1283)</f>
        <v>1</v>
      </c>
    </row>
    <row r="1284" spans="1:5" x14ac:dyDescent="0.3">
      <c r="A1284" t="s">
        <v>1409</v>
      </c>
      <c r="B1284" t="s">
        <v>127</v>
      </c>
      <c r="C1284">
        <v>328</v>
      </c>
      <c r="D1284">
        <f t="shared" si="60"/>
        <v>2003</v>
      </c>
      <c r="E1284">
        <f t="shared" si="61"/>
        <v>1</v>
      </c>
    </row>
    <row r="1285" spans="1:5" x14ac:dyDescent="0.3">
      <c r="A1285" t="s">
        <v>1410</v>
      </c>
      <c r="B1285" t="s">
        <v>127</v>
      </c>
      <c r="C1285">
        <v>329</v>
      </c>
      <c r="D1285">
        <f t="shared" si="60"/>
        <v>2003</v>
      </c>
      <c r="E1285">
        <f t="shared" si="61"/>
        <v>1</v>
      </c>
    </row>
    <row r="1286" spans="1:5" x14ac:dyDescent="0.3">
      <c r="A1286" t="s">
        <v>1411</v>
      </c>
      <c r="B1286" t="s">
        <v>127</v>
      </c>
      <c r="C1286">
        <v>325</v>
      </c>
      <c r="D1286">
        <f t="shared" si="60"/>
        <v>2003</v>
      </c>
      <c r="E1286">
        <f t="shared" si="61"/>
        <v>2</v>
      </c>
    </row>
    <row r="1287" spans="1:5" x14ac:dyDescent="0.3">
      <c r="A1287" t="s">
        <v>1412</v>
      </c>
      <c r="B1287" t="s">
        <v>127</v>
      </c>
      <c r="C1287">
        <v>332</v>
      </c>
      <c r="D1287">
        <f t="shared" si="60"/>
        <v>2003</v>
      </c>
      <c r="E1287">
        <f t="shared" si="61"/>
        <v>2</v>
      </c>
    </row>
    <row r="1288" spans="1:5" x14ac:dyDescent="0.3">
      <c r="A1288" t="s">
        <v>1413</v>
      </c>
      <c r="B1288" t="s">
        <v>127</v>
      </c>
      <c r="C1288">
        <v>324</v>
      </c>
      <c r="D1288">
        <f t="shared" si="60"/>
        <v>2003</v>
      </c>
      <c r="E1288">
        <f t="shared" si="61"/>
        <v>2</v>
      </c>
    </row>
    <row r="1289" spans="1:5" x14ac:dyDescent="0.3">
      <c r="A1289" t="s">
        <v>1414</v>
      </c>
      <c r="B1289" t="s">
        <v>127</v>
      </c>
      <c r="C1289">
        <v>325</v>
      </c>
      <c r="D1289">
        <f t="shared" si="60"/>
        <v>2003</v>
      </c>
      <c r="E1289">
        <f t="shared" si="61"/>
        <v>2</v>
      </c>
    </row>
    <row r="1290" spans="1:5" x14ac:dyDescent="0.3">
      <c r="A1290" t="s">
        <v>1415</v>
      </c>
      <c r="B1290" t="s">
        <v>127</v>
      </c>
      <c r="C1290">
        <v>327</v>
      </c>
      <c r="D1290">
        <f t="shared" si="60"/>
        <v>2003</v>
      </c>
      <c r="E1290">
        <f t="shared" si="61"/>
        <v>2</v>
      </c>
    </row>
    <row r="1291" spans="1:5" x14ac:dyDescent="0.3">
      <c r="A1291" t="s">
        <v>1416</v>
      </c>
      <c r="B1291" t="s">
        <v>127</v>
      </c>
      <c r="C1291">
        <v>320</v>
      </c>
      <c r="D1291">
        <f t="shared" si="60"/>
        <v>2003</v>
      </c>
      <c r="E1291">
        <f t="shared" si="61"/>
        <v>2</v>
      </c>
    </row>
    <row r="1292" spans="1:5" x14ac:dyDescent="0.3">
      <c r="A1292" t="s">
        <v>1417</v>
      </c>
      <c r="B1292" t="s">
        <v>127</v>
      </c>
      <c r="C1292">
        <v>318</v>
      </c>
      <c r="D1292">
        <f t="shared" si="60"/>
        <v>2003</v>
      </c>
      <c r="E1292">
        <f t="shared" si="61"/>
        <v>2</v>
      </c>
    </row>
    <row r="1293" spans="1:5" x14ac:dyDescent="0.3">
      <c r="A1293" t="s">
        <v>1418</v>
      </c>
      <c r="B1293" t="s">
        <v>127</v>
      </c>
      <c r="C1293">
        <v>323</v>
      </c>
      <c r="D1293">
        <f t="shared" si="60"/>
        <v>2003</v>
      </c>
      <c r="E1293">
        <f t="shared" si="61"/>
        <v>2</v>
      </c>
    </row>
    <row r="1294" spans="1:5" x14ac:dyDescent="0.3">
      <c r="A1294" t="s">
        <v>1419</v>
      </c>
      <c r="B1294" t="s">
        <v>127</v>
      </c>
      <c r="C1294">
        <v>332</v>
      </c>
      <c r="D1294">
        <f t="shared" si="60"/>
        <v>2003</v>
      </c>
      <c r="E1294">
        <f t="shared" si="61"/>
        <v>2</v>
      </c>
    </row>
    <row r="1295" spans="1:5" x14ac:dyDescent="0.3">
      <c r="A1295" t="s">
        <v>1420</v>
      </c>
      <c r="B1295" t="s">
        <v>127</v>
      </c>
      <c r="C1295">
        <v>323</v>
      </c>
      <c r="D1295">
        <f t="shared" si="60"/>
        <v>2003</v>
      </c>
      <c r="E1295">
        <f t="shared" si="61"/>
        <v>2</v>
      </c>
    </row>
    <row r="1296" spans="1:5" x14ac:dyDescent="0.3">
      <c r="A1296" t="s">
        <v>1421</v>
      </c>
      <c r="B1296" t="s">
        <v>127</v>
      </c>
      <c r="C1296">
        <v>317</v>
      </c>
      <c r="D1296">
        <f t="shared" si="60"/>
        <v>2003</v>
      </c>
      <c r="E1296">
        <f t="shared" si="61"/>
        <v>2</v>
      </c>
    </row>
    <row r="1297" spans="1:5" x14ac:dyDescent="0.3">
      <c r="A1297" t="s">
        <v>1422</v>
      </c>
      <c r="B1297" t="s">
        <v>127</v>
      </c>
      <c r="C1297">
        <v>321</v>
      </c>
      <c r="D1297">
        <f t="shared" si="60"/>
        <v>2003</v>
      </c>
      <c r="E1297">
        <f t="shared" si="61"/>
        <v>2</v>
      </c>
    </row>
    <row r="1298" spans="1:5" x14ac:dyDescent="0.3">
      <c r="A1298" t="s">
        <v>1423</v>
      </c>
      <c r="B1298" t="s">
        <v>127</v>
      </c>
      <c r="C1298">
        <v>317</v>
      </c>
      <c r="D1298">
        <f t="shared" si="60"/>
        <v>2003</v>
      </c>
      <c r="E1298">
        <f t="shared" si="61"/>
        <v>2</v>
      </c>
    </row>
    <row r="1299" spans="1:5" x14ac:dyDescent="0.3">
      <c r="A1299" t="s">
        <v>1424</v>
      </c>
      <c r="B1299" t="s">
        <v>127</v>
      </c>
      <c r="C1299">
        <v>308</v>
      </c>
      <c r="D1299">
        <f t="shared" si="60"/>
        <v>2003</v>
      </c>
      <c r="E1299">
        <f t="shared" si="61"/>
        <v>2</v>
      </c>
    </row>
    <row r="1300" spans="1:5" x14ac:dyDescent="0.3">
      <c r="A1300" t="s">
        <v>1425</v>
      </c>
      <c r="B1300" t="s">
        <v>127</v>
      </c>
      <c r="C1300">
        <v>318</v>
      </c>
      <c r="D1300">
        <f t="shared" si="60"/>
        <v>2003</v>
      </c>
      <c r="E1300">
        <f t="shared" si="61"/>
        <v>2</v>
      </c>
    </row>
    <row r="1301" spans="1:5" x14ac:dyDescent="0.3">
      <c r="A1301" t="s">
        <v>1426</v>
      </c>
      <c r="B1301" t="s">
        <v>127</v>
      </c>
      <c r="C1301">
        <v>321</v>
      </c>
      <c r="D1301">
        <f t="shared" si="60"/>
        <v>2003</v>
      </c>
      <c r="E1301">
        <f t="shared" si="61"/>
        <v>2</v>
      </c>
    </row>
    <row r="1302" spans="1:5" x14ac:dyDescent="0.3">
      <c r="A1302" t="s">
        <v>1427</v>
      </c>
      <c r="B1302" t="s">
        <v>127</v>
      </c>
      <c r="C1302">
        <v>325</v>
      </c>
      <c r="D1302">
        <f t="shared" si="60"/>
        <v>2003</v>
      </c>
      <c r="E1302">
        <f t="shared" si="61"/>
        <v>2</v>
      </c>
    </row>
    <row r="1303" spans="1:5" x14ac:dyDescent="0.3">
      <c r="A1303" t="s">
        <v>1428</v>
      </c>
      <c r="B1303" t="s">
        <v>127</v>
      </c>
      <c r="C1303">
        <v>324</v>
      </c>
      <c r="D1303">
        <f t="shared" si="60"/>
        <v>2003</v>
      </c>
      <c r="E1303">
        <f t="shared" si="61"/>
        <v>2</v>
      </c>
    </row>
    <row r="1304" spans="1:5" x14ac:dyDescent="0.3">
      <c r="A1304" t="s">
        <v>1429</v>
      </c>
      <c r="B1304" t="s">
        <v>127</v>
      </c>
      <c r="C1304">
        <v>324</v>
      </c>
      <c r="D1304">
        <f t="shared" si="60"/>
        <v>2003</v>
      </c>
      <c r="E1304">
        <f t="shared" si="61"/>
        <v>2</v>
      </c>
    </row>
    <row r="1305" spans="1:5" x14ac:dyDescent="0.3">
      <c r="A1305" t="s">
        <v>1430</v>
      </c>
      <c r="B1305" t="s">
        <v>127</v>
      </c>
      <c r="C1305">
        <v>322</v>
      </c>
      <c r="D1305">
        <f t="shared" si="60"/>
        <v>2003</v>
      </c>
      <c r="E1305">
        <f t="shared" si="61"/>
        <v>3</v>
      </c>
    </row>
    <row r="1306" spans="1:5" x14ac:dyDescent="0.3">
      <c r="A1306" t="s">
        <v>1431</v>
      </c>
      <c r="B1306" t="s">
        <v>127</v>
      </c>
      <c r="C1306">
        <v>323</v>
      </c>
      <c r="D1306">
        <f t="shared" si="60"/>
        <v>2003</v>
      </c>
      <c r="E1306">
        <f t="shared" si="61"/>
        <v>3</v>
      </c>
    </row>
    <row r="1307" spans="1:5" x14ac:dyDescent="0.3">
      <c r="A1307" t="s">
        <v>1432</v>
      </c>
      <c r="B1307" t="s">
        <v>127</v>
      </c>
      <c r="C1307">
        <v>319</v>
      </c>
      <c r="D1307">
        <f t="shared" si="60"/>
        <v>2003</v>
      </c>
      <c r="E1307">
        <f t="shared" si="61"/>
        <v>3</v>
      </c>
    </row>
    <row r="1308" spans="1:5" x14ac:dyDescent="0.3">
      <c r="A1308" t="s">
        <v>1433</v>
      </c>
      <c r="B1308" t="s">
        <v>127</v>
      </c>
      <c r="C1308">
        <v>313</v>
      </c>
      <c r="D1308">
        <f t="shared" si="60"/>
        <v>2003</v>
      </c>
      <c r="E1308">
        <f t="shared" si="61"/>
        <v>3</v>
      </c>
    </row>
    <row r="1309" spans="1:5" x14ac:dyDescent="0.3">
      <c r="A1309" t="s">
        <v>1434</v>
      </c>
      <c r="B1309" t="s">
        <v>127</v>
      </c>
      <c r="C1309">
        <v>315</v>
      </c>
      <c r="D1309">
        <f t="shared" si="60"/>
        <v>2003</v>
      </c>
      <c r="E1309">
        <f t="shared" si="61"/>
        <v>3</v>
      </c>
    </row>
    <row r="1310" spans="1:5" x14ac:dyDescent="0.3">
      <c r="A1310" t="s">
        <v>1435</v>
      </c>
      <c r="B1310" t="s">
        <v>127</v>
      </c>
      <c r="C1310">
        <v>320</v>
      </c>
      <c r="D1310">
        <f t="shared" si="60"/>
        <v>2003</v>
      </c>
      <c r="E1310">
        <f t="shared" si="61"/>
        <v>3</v>
      </c>
    </row>
    <row r="1311" spans="1:5" x14ac:dyDescent="0.3">
      <c r="A1311" t="s">
        <v>1436</v>
      </c>
      <c r="B1311" t="s">
        <v>127</v>
      </c>
      <c r="C1311">
        <v>316</v>
      </c>
      <c r="D1311">
        <f t="shared" si="60"/>
        <v>2003</v>
      </c>
      <c r="E1311">
        <f t="shared" si="61"/>
        <v>3</v>
      </c>
    </row>
    <row r="1312" spans="1:5" x14ac:dyDescent="0.3">
      <c r="A1312" t="s">
        <v>1437</v>
      </c>
      <c r="B1312" t="s">
        <v>127</v>
      </c>
      <c r="C1312">
        <v>313</v>
      </c>
      <c r="D1312">
        <f t="shared" si="60"/>
        <v>2003</v>
      </c>
      <c r="E1312">
        <f t="shared" si="61"/>
        <v>3</v>
      </c>
    </row>
    <row r="1313" spans="1:5" x14ac:dyDescent="0.3">
      <c r="A1313" t="s">
        <v>1438</v>
      </c>
      <c r="B1313" t="s">
        <v>127</v>
      </c>
      <c r="C1313">
        <v>303</v>
      </c>
      <c r="D1313">
        <f t="shared" si="60"/>
        <v>2003</v>
      </c>
      <c r="E1313">
        <f t="shared" si="61"/>
        <v>3</v>
      </c>
    </row>
    <row r="1314" spans="1:5" x14ac:dyDescent="0.3">
      <c r="A1314" t="s">
        <v>1439</v>
      </c>
      <c r="B1314" t="s">
        <v>127</v>
      </c>
      <c r="C1314">
        <v>302</v>
      </c>
      <c r="D1314">
        <f t="shared" si="60"/>
        <v>2003</v>
      </c>
      <c r="E1314">
        <f t="shared" si="61"/>
        <v>3</v>
      </c>
    </row>
    <row r="1315" spans="1:5" x14ac:dyDescent="0.3">
      <c r="A1315" t="s">
        <v>1440</v>
      </c>
      <c r="B1315" t="s">
        <v>127</v>
      </c>
      <c r="C1315">
        <v>302</v>
      </c>
      <c r="D1315">
        <f t="shared" si="60"/>
        <v>2003</v>
      </c>
      <c r="E1315">
        <f t="shared" si="61"/>
        <v>3</v>
      </c>
    </row>
    <row r="1316" spans="1:5" x14ac:dyDescent="0.3">
      <c r="A1316" t="s">
        <v>1441</v>
      </c>
      <c r="B1316" t="s">
        <v>127</v>
      </c>
      <c r="C1316">
        <v>289</v>
      </c>
      <c r="D1316">
        <f t="shared" si="60"/>
        <v>2003</v>
      </c>
      <c r="E1316">
        <f t="shared" si="61"/>
        <v>3</v>
      </c>
    </row>
    <row r="1317" spans="1:5" x14ac:dyDescent="0.3">
      <c r="A1317" t="s">
        <v>1442</v>
      </c>
      <c r="B1317" t="s">
        <v>127</v>
      </c>
      <c r="C1317">
        <v>293</v>
      </c>
      <c r="D1317">
        <f t="shared" si="60"/>
        <v>2003</v>
      </c>
      <c r="E1317">
        <f t="shared" si="61"/>
        <v>3</v>
      </c>
    </row>
    <row r="1318" spans="1:5" x14ac:dyDescent="0.3">
      <c r="A1318" t="s">
        <v>1443</v>
      </c>
      <c r="B1318" t="s">
        <v>127</v>
      </c>
      <c r="C1318">
        <v>287</v>
      </c>
      <c r="D1318">
        <f t="shared" si="60"/>
        <v>2003</v>
      </c>
      <c r="E1318">
        <f t="shared" si="61"/>
        <v>3</v>
      </c>
    </row>
    <row r="1319" spans="1:5" x14ac:dyDescent="0.3">
      <c r="A1319" t="s">
        <v>1444</v>
      </c>
      <c r="B1319" t="s">
        <v>127</v>
      </c>
      <c r="C1319">
        <v>280</v>
      </c>
      <c r="D1319">
        <f t="shared" si="60"/>
        <v>2003</v>
      </c>
      <c r="E1319">
        <f t="shared" si="61"/>
        <v>3</v>
      </c>
    </row>
    <row r="1320" spans="1:5" x14ac:dyDescent="0.3">
      <c r="A1320" t="s">
        <v>1445</v>
      </c>
      <c r="B1320" t="s">
        <v>127</v>
      </c>
      <c r="C1320">
        <v>292</v>
      </c>
      <c r="D1320">
        <f t="shared" si="60"/>
        <v>2003</v>
      </c>
      <c r="E1320">
        <f t="shared" si="61"/>
        <v>3</v>
      </c>
    </row>
    <row r="1321" spans="1:5" x14ac:dyDescent="0.3">
      <c r="A1321" t="s">
        <v>1446</v>
      </c>
      <c r="B1321" t="s">
        <v>127</v>
      </c>
      <c r="C1321">
        <v>289</v>
      </c>
      <c r="D1321">
        <f t="shared" si="60"/>
        <v>2003</v>
      </c>
      <c r="E1321">
        <f t="shared" si="61"/>
        <v>3</v>
      </c>
    </row>
    <row r="1322" spans="1:5" x14ac:dyDescent="0.3">
      <c r="A1322" t="s">
        <v>1447</v>
      </c>
      <c r="B1322" t="s">
        <v>127</v>
      </c>
      <c r="C1322">
        <v>287</v>
      </c>
      <c r="D1322">
        <f t="shared" si="60"/>
        <v>2003</v>
      </c>
      <c r="E1322">
        <f t="shared" si="61"/>
        <v>3</v>
      </c>
    </row>
    <row r="1323" spans="1:5" x14ac:dyDescent="0.3">
      <c r="A1323" t="s">
        <v>1448</v>
      </c>
      <c r="B1323" t="s">
        <v>127</v>
      </c>
      <c r="C1323">
        <v>287</v>
      </c>
      <c r="D1323">
        <f t="shared" si="60"/>
        <v>2003</v>
      </c>
      <c r="E1323">
        <f t="shared" si="61"/>
        <v>3</v>
      </c>
    </row>
    <row r="1324" spans="1:5" x14ac:dyDescent="0.3">
      <c r="A1324" t="s">
        <v>1449</v>
      </c>
      <c r="B1324" t="s">
        <v>127</v>
      </c>
      <c r="C1324">
        <v>290</v>
      </c>
      <c r="D1324">
        <f t="shared" si="60"/>
        <v>2003</v>
      </c>
      <c r="E1324">
        <f t="shared" si="61"/>
        <v>3</v>
      </c>
    </row>
    <row r="1325" spans="1:5" x14ac:dyDescent="0.3">
      <c r="A1325" t="s">
        <v>1450</v>
      </c>
      <c r="B1325" t="s">
        <v>127</v>
      </c>
      <c r="C1325">
        <v>291</v>
      </c>
      <c r="D1325">
        <f t="shared" si="60"/>
        <v>2003</v>
      </c>
      <c r="E1325">
        <f t="shared" si="61"/>
        <v>3</v>
      </c>
    </row>
    <row r="1326" spans="1:5" x14ac:dyDescent="0.3">
      <c r="A1326" t="s">
        <v>1451</v>
      </c>
      <c r="B1326" t="s">
        <v>127</v>
      </c>
      <c r="C1326">
        <v>286</v>
      </c>
      <c r="D1326">
        <f t="shared" si="60"/>
        <v>2003</v>
      </c>
      <c r="E1326">
        <f t="shared" si="61"/>
        <v>4</v>
      </c>
    </row>
    <row r="1327" spans="1:5" x14ac:dyDescent="0.3">
      <c r="A1327" t="s">
        <v>1452</v>
      </c>
      <c r="B1327" t="s">
        <v>127</v>
      </c>
      <c r="C1327">
        <v>271</v>
      </c>
      <c r="D1327">
        <f t="shared" si="60"/>
        <v>2003</v>
      </c>
      <c r="E1327">
        <f t="shared" si="61"/>
        <v>4</v>
      </c>
    </row>
    <row r="1328" spans="1:5" x14ac:dyDescent="0.3">
      <c r="A1328" t="s">
        <v>1453</v>
      </c>
      <c r="B1328" t="s">
        <v>127</v>
      </c>
      <c r="C1328">
        <v>258</v>
      </c>
      <c r="D1328">
        <f t="shared" si="60"/>
        <v>2003</v>
      </c>
      <c r="E1328">
        <f t="shared" si="61"/>
        <v>4</v>
      </c>
    </row>
    <row r="1329" spans="1:5" x14ac:dyDescent="0.3">
      <c r="A1329" t="s">
        <v>1454</v>
      </c>
      <c r="B1329" t="s">
        <v>127</v>
      </c>
      <c r="C1329">
        <v>262</v>
      </c>
      <c r="D1329">
        <f t="shared" si="60"/>
        <v>2003</v>
      </c>
      <c r="E1329">
        <f t="shared" si="61"/>
        <v>4</v>
      </c>
    </row>
    <row r="1330" spans="1:5" x14ac:dyDescent="0.3">
      <c r="A1330" t="s">
        <v>1455</v>
      </c>
      <c r="B1330" t="s">
        <v>127</v>
      </c>
      <c r="C1330">
        <v>256</v>
      </c>
      <c r="D1330">
        <f t="shared" si="60"/>
        <v>2003</v>
      </c>
      <c r="E1330">
        <f t="shared" si="61"/>
        <v>4</v>
      </c>
    </row>
    <row r="1331" spans="1:5" x14ac:dyDescent="0.3">
      <c r="A1331" t="s">
        <v>1456</v>
      </c>
      <c r="B1331" t="s">
        <v>127</v>
      </c>
      <c r="C1331">
        <v>268</v>
      </c>
      <c r="D1331">
        <f t="shared" si="60"/>
        <v>2003</v>
      </c>
      <c r="E1331">
        <f t="shared" si="61"/>
        <v>4</v>
      </c>
    </row>
    <row r="1332" spans="1:5" x14ac:dyDescent="0.3">
      <c r="A1332" t="s">
        <v>1457</v>
      </c>
      <c r="B1332" t="s">
        <v>127</v>
      </c>
      <c r="C1332">
        <v>275</v>
      </c>
      <c r="D1332">
        <f t="shared" si="60"/>
        <v>2003</v>
      </c>
      <c r="E1332">
        <f t="shared" si="61"/>
        <v>4</v>
      </c>
    </row>
    <row r="1333" spans="1:5" x14ac:dyDescent="0.3">
      <c r="A1333" t="s">
        <v>1458</v>
      </c>
      <c r="B1333" t="s">
        <v>127</v>
      </c>
      <c r="C1333">
        <v>275</v>
      </c>
      <c r="D1333">
        <f t="shared" si="60"/>
        <v>2003</v>
      </c>
      <c r="E1333">
        <f t="shared" si="61"/>
        <v>4</v>
      </c>
    </row>
    <row r="1334" spans="1:5" x14ac:dyDescent="0.3">
      <c r="A1334" t="s">
        <v>1459</v>
      </c>
      <c r="B1334" t="s">
        <v>127</v>
      </c>
      <c r="C1334">
        <v>274</v>
      </c>
      <c r="D1334">
        <f t="shared" si="60"/>
        <v>2003</v>
      </c>
      <c r="E1334">
        <f t="shared" si="61"/>
        <v>4</v>
      </c>
    </row>
    <row r="1335" spans="1:5" x14ac:dyDescent="0.3">
      <c r="A1335" t="s">
        <v>1460</v>
      </c>
      <c r="B1335" t="s">
        <v>127</v>
      </c>
      <c r="C1335">
        <v>265</v>
      </c>
      <c r="D1335">
        <f t="shared" si="60"/>
        <v>2003</v>
      </c>
      <c r="E1335">
        <f t="shared" si="61"/>
        <v>4</v>
      </c>
    </row>
    <row r="1336" spans="1:5" x14ac:dyDescent="0.3">
      <c r="A1336" t="s">
        <v>1461</v>
      </c>
      <c r="B1336" t="s">
        <v>127</v>
      </c>
      <c r="C1336">
        <v>264</v>
      </c>
      <c r="D1336">
        <f t="shared" si="60"/>
        <v>2003</v>
      </c>
      <c r="E1336">
        <f t="shared" si="61"/>
        <v>4</v>
      </c>
    </row>
    <row r="1337" spans="1:5" x14ac:dyDescent="0.3">
      <c r="A1337" t="s">
        <v>1462</v>
      </c>
      <c r="B1337" t="s">
        <v>127</v>
      </c>
      <c r="C1337">
        <v>268</v>
      </c>
      <c r="D1337">
        <f t="shared" si="60"/>
        <v>2003</v>
      </c>
      <c r="E1337">
        <f t="shared" si="61"/>
        <v>4</v>
      </c>
    </row>
    <row r="1338" spans="1:5" x14ac:dyDescent="0.3">
      <c r="A1338" t="s">
        <v>1463</v>
      </c>
      <c r="B1338" t="s">
        <v>127</v>
      </c>
      <c r="C1338">
        <v>268</v>
      </c>
      <c r="D1338">
        <f t="shared" si="60"/>
        <v>2003</v>
      </c>
      <c r="E1338">
        <f t="shared" si="61"/>
        <v>4</v>
      </c>
    </row>
    <row r="1339" spans="1:5" x14ac:dyDescent="0.3">
      <c r="A1339" t="s">
        <v>1464</v>
      </c>
      <c r="B1339" t="s">
        <v>127</v>
      </c>
      <c r="C1339">
        <v>261</v>
      </c>
      <c r="D1339">
        <f t="shared" si="60"/>
        <v>2003</v>
      </c>
      <c r="E1339">
        <f t="shared" si="61"/>
        <v>4</v>
      </c>
    </row>
    <row r="1340" spans="1:5" x14ac:dyDescent="0.3">
      <c r="A1340" t="s">
        <v>1465</v>
      </c>
      <c r="B1340" t="s">
        <v>127</v>
      </c>
      <c r="C1340">
        <v>257</v>
      </c>
      <c r="D1340">
        <f t="shared" si="60"/>
        <v>2003</v>
      </c>
      <c r="E1340">
        <f t="shared" si="61"/>
        <v>4</v>
      </c>
    </row>
    <row r="1341" spans="1:5" x14ac:dyDescent="0.3">
      <c r="A1341" t="s">
        <v>1466</v>
      </c>
      <c r="B1341" t="s">
        <v>127</v>
      </c>
      <c r="C1341">
        <v>252</v>
      </c>
      <c r="D1341">
        <f t="shared" si="60"/>
        <v>2003</v>
      </c>
      <c r="E1341">
        <f t="shared" si="61"/>
        <v>4</v>
      </c>
    </row>
    <row r="1342" spans="1:5" x14ac:dyDescent="0.3">
      <c r="A1342" t="s">
        <v>1467</v>
      </c>
      <c r="B1342" t="s">
        <v>127</v>
      </c>
      <c r="C1342">
        <v>255</v>
      </c>
      <c r="D1342">
        <f t="shared" si="60"/>
        <v>2003</v>
      </c>
      <c r="E1342">
        <f t="shared" si="61"/>
        <v>4</v>
      </c>
    </row>
    <row r="1343" spans="1:5" x14ac:dyDescent="0.3">
      <c r="A1343" t="s">
        <v>1468</v>
      </c>
      <c r="B1343" t="s">
        <v>127</v>
      </c>
      <c r="C1343">
        <v>256</v>
      </c>
      <c r="D1343">
        <f t="shared" si="60"/>
        <v>2003</v>
      </c>
      <c r="E1343">
        <f t="shared" si="61"/>
        <v>4</v>
      </c>
    </row>
    <row r="1344" spans="1:5" x14ac:dyDescent="0.3">
      <c r="A1344" t="s">
        <v>1469</v>
      </c>
      <c r="B1344" t="s">
        <v>127</v>
      </c>
      <c r="C1344">
        <v>250</v>
      </c>
      <c r="D1344">
        <f t="shared" si="60"/>
        <v>2003</v>
      </c>
      <c r="E1344">
        <f t="shared" si="61"/>
        <v>4</v>
      </c>
    </row>
    <row r="1345" spans="1:5" x14ac:dyDescent="0.3">
      <c r="A1345" t="s">
        <v>1470</v>
      </c>
      <c r="B1345" t="s">
        <v>127</v>
      </c>
      <c r="C1345">
        <v>245</v>
      </c>
      <c r="D1345">
        <f t="shared" si="60"/>
        <v>2003</v>
      </c>
      <c r="E1345">
        <f t="shared" si="61"/>
        <v>4</v>
      </c>
    </row>
    <row r="1346" spans="1:5" x14ac:dyDescent="0.3">
      <c r="A1346" t="s">
        <v>1471</v>
      </c>
      <c r="B1346" t="s">
        <v>127</v>
      </c>
      <c r="C1346">
        <v>227</v>
      </c>
      <c r="D1346">
        <f t="shared" si="60"/>
        <v>2003</v>
      </c>
      <c r="E1346">
        <f t="shared" si="61"/>
        <v>4</v>
      </c>
    </row>
    <row r="1347" spans="1:5" x14ac:dyDescent="0.3">
      <c r="A1347" t="s">
        <v>1472</v>
      </c>
      <c r="B1347" t="s">
        <v>127</v>
      </c>
      <c r="C1347">
        <v>222</v>
      </c>
      <c r="D1347">
        <f t="shared" ref="D1347:D1410" si="62">YEAR(A1347)</f>
        <v>2003</v>
      </c>
      <c r="E1347">
        <f t="shared" ref="E1347:E1410" si="63">MONTH(A1347)</f>
        <v>5</v>
      </c>
    </row>
    <row r="1348" spans="1:5" x14ac:dyDescent="0.3">
      <c r="A1348" t="s">
        <v>1473</v>
      </c>
      <c r="B1348" t="s">
        <v>127</v>
      </c>
      <c r="C1348">
        <v>213</v>
      </c>
      <c r="D1348">
        <f t="shared" si="62"/>
        <v>2003</v>
      </c>
      <c r="E1348">
        <f t="shared" si="63"/>
        <v>5</v>
      </c>
    </row>
    <row r="1349" spans="1:5" x14ac:dyDescent="0.3">
      <c r="A1349" t="s">
        <v>1474</v>
      </c>
      <c r="B1349" t="s">
        <v>127</v>
      </c>
      <c r="C1349">
        <v>216</v>
      </c>
      <c r="D1349">
        <f t="shared" si="62"/>
        <v>2003</v>
      </c>
      <c r="E1349">
        <f t="shared" si="63"/>
        <v>5</v>
      </c>
    </row>
    <row r="1350" spans="1:5" x14ac:dyDescent="0.3">
      <c r="A1350" t="s">
        <v>1475</v>
      </c>
      <c r="B1350" t="s">
        <v>127</v>
      </c>
      <c r="C1350">
        <v>226</v>
      </c>
      <c r="D1350">
        <f t="shared" si="62"/>
        <v>2003</v>
      </c>
      <c r="E1350">
        <f t="shared" si="63"/>
        <v>5</v>
      </c>
    </row>
    <row r="1351" spans="1:5" x14ac:dyDescent="0.3">
      <c r="A1351" t="s">
        <v>1476</v>
      </c>
      <c r="B1351" t="s">
        <v>127</v>
      </c>
      <c r="C1351">
        <v>222</v>
      </c>
      <c r="D1351">
        <f t="shared" si="62"/>
        <v>2003</v>
      </c>
      <c r="E1351">
        <f t="shared" si="63"/>
        <v>5</v>
      </c>
    </row>
    <row r="1352" spans="1:5" x14ac:dyDescent="0.3">
      <c r="A1352" t="s">
        <v>1477</v>
      </c>
      <c r="B1352" t="s">
        <v>127</v>
      </c>
      <c r="C1352">
        <v>220</v>
      </c>
      <c r="D1352">
        <f t="shared" si="62"/>
        <v>2003</v>
      </c>
      <c r="E1352">
        <f t="shared" si="63"/>
        <v>5</v>
      </c>
    </row>
    <row r="1353" spans="1:5" x14ac:dyDescent="0.3">
      <c r="A1353" t="s">
        <v>1478</v>
      </c>
      <c r="B1353" t="s">
        <v>127</v>
      </c>
      <c r="C1353">
        <v>220</v>
      </c>
      <c r="D1353">
        <f t="shared" si="62"/>
        <v>2003</v>
      </c>
      <c r="E1353">
        <f t="shared" si="63"/>
        <v>5</v>
      </c>
    </row>
    <row r="1354" spans="1:5" x14ac:dyDescent="0.3">
      <c r="A1354" t="s">
        <v>1479</v>
      </c>
      <c r="B1354" t="s">
        <v>127</v>
      </c>
      <c r="C1354">
        <v>216</v>
      </c>
      <c r="D1354">
        <f t="shared" si="62"/>
        <v>2003</v>
      </c>
      <c r="E1354">
        <f t="shared" si="63"/>
        <v>5</v>
      </c>
    </row>
    <row r="1355" spans="1:5" x14ac:dyDescent="0.3">
      <c r="A1355" t="s">
        <v>1480</v>
      </c>
      <c r="B1355" t="s">
        <v>127</v>
      </c>
      <c r="C1355">
        <v>205</v>
      </c>
      <c r="D1355">
        <f t="shared" si="62"/>
        <v>2003</v>
      </c>
      <c r="E1355">
        <f t="shared" si="63"/>
        <v>5</v>
      </c>
    </row>
    <row r="1356" spans="1:5" x14ac:dyDescent="0.3">
      <c r="A1356" t="s">
        <v>1481</v>
      </c>
      <c r="B1356" t="s">
        <v>127</v>
      </c>
      <c r="C1356">
        <v>219</v>
      </c>
      <c r="D1356">
        <f t="shared" si="62"/>
        <v>2003</v>
      </c>
      <c r="E1356">
        <f t="shared" si="63"/>
        <v>5</v>
      </c>
    </row>
    <row r="1357" spans="1:5" x14ac:dyDescent="0.3">
      <c r="A1357" t="s">
        <v>1482</v>
      </c>
      <c r="B1357" t="s">
        <v>127</v>
      </c>
      <c r="C1357">
        <v>226</v>
      </c>
      <c r="D1357">
        <f t="shared" si="62"/>
        <v>2003</v>
      </c>
      <c r="E1357">
        <f t="shared" si="63"/>
        <v>5</v>
      </c>
    </row>
    <row r="1358" spans="1:5" x14ac:dyDescent="0.3">
      <c r="A1358" t="s">
        <v>1483</v>
      </c>
      <c r="B1358" t="s">
        <v>127</v>
      </c>
      <c r="C1358">
        <v>231</v>
      </c>
      <c r="D1358">
        <f t="shared" si="62"/>
        <v>2003</v>
      </c>
      <c r="E1358">
        <f t="shared" si="63"/>
        <v>5</v>
      </c>
    </row>
    <row r="1359" spans="1:5" x14ac:dyDescent="0.3">
      <c r="A1359" t="s">
        <v>1484</v>
      </c>
      <c r="B1359" t="s">
        <v>127</v>
      </c>
      <c r="C1359">
        <v>232</v>
      </c>
      <c r="D1359">
        <f t="shared" si="62"/>
        <v>2003</v>
      </c>
      <c r="E1359">
        <f t="shared" si="63"/>
        <v>5</v>
      </c>
    </row>
    <row r="1360" spans="1:5" x14ac:dyDescent="0.3">
      <c r="A1360" t="s">
        <v>1485</v>
      </c>
      <c r="B1360" t="s">
        <v>127</v>
      </c>
      <c r="C1360">
        <v>244</v>
      </c>
      <c r="D1360">
        <f t="shared" si="62"/>
        <v>2003</v>
      </c>
      <c r="E1360">
        <f t="shared" si="63"/>
        <v>5</v>
      </c>
    </row>
    <row r="1361" spans="1:5" x14ac:dyDescent="0.3">
      <c r="A1361" t="s">
        <v>1486</v>
      </c>
      <c r="B1361" t="s">
        <v>127</v>
      </c>
      <c r="C1361">
        <v>239</v>
      </c>
      <c r="D1361">
        <f t="shared" si="62"/>
        <v>2003</v>
      </c>
      <c r="E1361">
        <f t="shared" si="63"/>
        <v>5</v>
      </c>
    </row>
    <row r="1362" spans="1:5" x14ac:dyDescent="0.3">
      <c r="A1362" t="s">
        <v>1487</v>
      </c>
      <c r="B1362" t="s">
        <v>127</v>
      </c>
      <c r="C1362">
        <v>238</v>
      </c>
      <c r="D1362">
        <f t="shared" si="62"/>
        <v>2003</v>
      </c>
      <c r="E1362">
        <f t="shared" si="63"/>
        <v>5</v>
      </c>
    </row>
    <row r="1363" spans="1:5" x14ac:dyDescent="0.3">
      <c r="A1363" t="s">
        <v>1488</v>
      </c>
      <c r="B1363" t="s">
        <v>127</v>
      </c>
      <c r="C1363">
        <v>239</v>
      </c>
      <c r="D1363">
        <f t="shared" si="62"/>
        <v>2003</v>
      </c>
      <c r="E1363">
        <f t="shared" si="63"/>
        <v>5</v>
      </c>
    </row>
    <row r="1364" spans="1:5" x14ac:dyDescent="0.3">
      <c r="A1364" t="s">
        <v>1489</v>
      </c>
      <c r="B1364" t="s">
        <v>127</v>
      </c>
      <c r="C1364">
        <v>232</v>
      </c>
      <c r="D1364">
        <f t="shared" si="62"/>
        <v>2003</v>
      </c>
      <c r="E1364">
        <f t="shared" si="63"/>
        <v>5</v>
      </c>
    </row>
    <row r="1365" spans="1:5" x14ac:dyDescent="0.3">
      <c r="A1365" t="s">
        <v>1490</v>
      </c>
      <c r="B1365" t="s">
        <v>127</v>
      </c>
      <c r="C1365">
        <v>234</v>
      </c>
      <c r="D1365">
        <f t="shared" si="62"/>
        <v>2003</v>
      </c>
      <c r="E1365">
        <f t="shared" si="63"/>
        <v>5</v>
      </c>
    </row>
    <row r="1366" spans="1:5" x14ac:dyDescent="0.3">
      <c r="A1366" t="s">
        <v>1491</v>
      </c>
      <c r="B1366" t="s">
        <v>127</v>
      </c>
      <c r="C1366">
        <v>236</v>
      </c>
      <c r="D1366">
        <f t="shared" si="62"/>
        <v>2003</v>
      </c>
      <c r="E1366">
        <f t="shared" si="63"/>
        <v>5</v>
      </c>
    </row>
    <row r="1367" spans="1:5" x14ac:dyDescent="0.3">
      <c r="A1367" t="s">
        <v>1492</v>
      </c>
      <c r="B1367" t="s">
        <v>127</v>
      </c>
      <c r="C1367">
        <v>236</v>
      </c>
      <c r="D1367">
        <f t="shared" si="62"/>
        <v>2003</v>
      </c>
      <c r="E1367">
        <f t="shared" si="63"/>
        <v>5</v>
      </c>
    </row>
    <row r="1368" spans="1:5" x14ac:dyDescent="0.3">
      <c r="A1368" t="s">
        <v>1493</v>
      </c>
      <c r="B1368" t="s">
        <v>127</v>
      </c>
      <c r="C1368">
        <v>233</v>
      </c>
      <c r="D1368">
        <f t="shared" si="62"/>
        <v>2003</v>
      </c>
      <c r="E1368">
        <f t="shared" si="63"/>
        <v>6</v>
      </c>
    </row>
    <row r="1369" spans="1:5" x14ac:dyDescent="0.3">
      <c r="A1369" t="s">
        <v>1494</v>
      </c>
      <c r="B1369" t="s">
        <v>127</v>
      </c>
      <c r="C1369">
        <v>233</v>
      </c>
      <c r="D1369">
        <f t="shared" si="62"/>
        <v>2003</v>
      </c>
      <c r="E1369">
        <f t="shared" si="63"/>
        <v>6</v>
      </c>
    </row>
    <row r="1370" spans="1:5" x14ac:dyDescent="0.3">
      <c r="A1370" t="s">
        <v>1495</v>
      </c>
      <c r="B1370" t="s">
        <v>127</v>
      </c>
      <c r="C1370">
        <v>235</v>
      </c>
      <c r="D1370">
        <f t="shared" si="62"/>
        <v>2003</v>
      </c>
      <c r="E1370">
        <f t="shared" si="63"/>
        <v>6</v>
      </c>
    </row>
    <row r="1371" spans="1:5" x14ac:dyDescent="0.3">
      <c r="A1371" t="s">
        <v>1496</v>
      </c>
      <c r="B1371" t="s">
        <v>127</v>
      </c>
      <c r="C1371">
        <v>229</v>
      </c>
      <c r="D1371">
        <f t="shared" si="62"/>
        <v>2003</v>
      </c>
      <c r="E1371">
        <f t="shared" si="63"/>
        <v>6</v>
      </c>
    </row>
    <row r="1372" spans="1:5" x14ac:dyDescent="0.3">
      <c r="A1372" t="s">
        <v>1497</v>
      </c>
      <c r="B1372" t="s">
        <v>127</v>
      </c>
      <c r="C1372">
        <v>228</v>
      </c>
      <c r="D1372">
        <f t="shared" si="62"/>
        <v>2003</v>
      </c>
      <c r="E1372">
        <f t="shared" si="63"/>
        <v>6</v>
      </c>
    </row>
    <row r="1373" spans="1:5" x14ac:dyDescent="0.3">
      <c r="A1373" t="s">
        <v>1498</v>
      </c>
      <c r="B1373" t="s">
        <v>127</v>
      </c>
      <c r="C1373">
        <v>230</v>
      </c>
      <c r="D1373">
        <f t="shared" si="62"/>
        <v>2003</v>
      </c>
      <c r="E1373">
        <f t="shared" si="63"/>
        <v>6</v>
      </c>
    </row>
    <row r="1374" spans="1:5" x14ac:dyDescent="0.3">
      <c r="A1374" t="s">
        <v>1499</v>
      </c>
      <c r="B1374" t="s">
        <v>127</v>
      </c>
      <c r="C1374">
        <v>233</v>
      </c>
      <c r="D1374">
        <f t="shared" si="62"/>
        <v>2003</v>
      </c>
      <c r="E1374">
        <f t="shared" si="63"/>
        <v>6</v>
      </c>
    </row>
    <row r="1375" spans="1:5" x14ac:dyDescent="0.3">
      <c r="A1375" t="s">
        <v>1500</v>
      </c>
      <c r="B1375" t="s">
        <v>127</v>
      </c>
      <c r="C1375">
        <v>235</v>
      </c>
      <c r="D1375">
        <f t="shared" si="62"/>
        <v>2003</v>
      </c>
      <c r="E1375">
        <f t="shared" si="63"/>
        <v>6</v>
      </c>
    </row>
    <row r="1376" spans="1:5" x14ac:dyDescent="0.3">
      <c r="A1376" t="s">
        <v>1501</v>
      </c>
      <c r="B1376" t="s">
        <v>127</v>
      </c>
      <c r="C1376">
        <v>230</v>
      </c>
      <c r="D1376">
        <f t="shared" si="62"/>
        <v>2003</v>
      </c>
      <c r="E1376">
        <f t="shared" si="63"/>
        <v>6</v>
      </c>
    </row>
    <row r="1377" spans="1:5" x14ac:dyDescent="0.3">
      <c r="A1377" t="s">
        <v>1502</v>
      </c>
      <c r="B1377" t="s">
        <v>127</v>
      </c>
      <c r="C1377">
        <v>226</v>
      </c>
      <c r="D1377">
        <f t="shared" si="62"/>
        <v>2003</v>
      </c>
      <c r="E1377">
        <f t="shared" si="63"/>
        <v>6</v>
      </c>
    </row>
    <row r="1378" spans="1:5" x14ac:dyDescent="0.3">
      <c r="A1378" t="s">
        <v>1503</v>
      </c>
      <c r="B1378" t="s">
        <v>127</v>
      </c>
      <c r="C1378">
        <v>222</v>
      </c>
      <c r="D1378">
        <f t="shared" si="62"/>
        <v>2003</v>
      </c>
      <c r="E1378">
        <f t="shared" si="63"/>
        <v>6</v>
      </c>
    </row>
    <row r="1379" spans="1:5" x14ac:dyDescent="0.3">
      <c r="A1379" t="s">
        <v>1504</v>
      </c>
      <c r="B1379" t="s">
        <v>127</v>
      </c>
      <c r="C1379">
        <v>219</v>
      </c>
      <c r="D1379">
        <f t="shared" si="62"/>
        <v>2003</v>
      </c>
      <c r="E1379">
        <f t="shared" si="63"/>
        <v>6</v>
      </c>
    </row>
    <row r="1380" spans="1:5" x14ac:dyDescent="0.3">
      <c r="A1380" t="s">
        <v>1505</v>
      </c>
      <c r="B1380" t="s">
        <v>127</v>
      </c>
      <c r="C1380">
        <v>221</v>
      </c>
      <c r="D1380">
        <f t="shared" si="62"/>
        <v>2003</v>
      </c>
      <c r="E1380">
        <f t="shared" si="63"/>
        <v>6</v>
      </c>
    </row>
    <row r="1381" spans="1:5" x14ac:dyDescent="0.3">
      <c r="A1381" t="s">
        <v>1506</v>
      </c>
      <c r="B1381" t="s">
        <v>127</v>
      </c>
      <c r="C1381">
        <v>229</v>
      </c>
      <c r="D1381">
        <f t="shared" si="62"/>
        <v>2003</v>
      </c>
      <c r="E1381">
        <f t="shared" si="63"/>
        <v>6</v>
      </c>
    </row>
    <row r="1382" spans="1:5" x14ac:dyDescent="0.3">
      <c r="A1382" t="s">
        <v>1507</v>
      </c>
      <c r="B1382" t="s">
        <v>127</v>
      </c>
      <c r="C1382">
        <v>234</v>
      </c>
      <c r="D1382">
        <f t="shared" si="62"/>
        <v>2003</v>
      </c>
      <c r="E1382">
        <f t="shared" si="63"/>
        <v>6</v>
      </c>
    </row>
    <row r="1383" spans="1:5" x14ac:dyDescent="0.3">
      <c r="A1383" t="s">
        <v>1508</v>
      </c>
      <c r="B1383" t="s">
        <v>127</v>
      </c>
      <c r="C1383">
        <v>235</v>
      </c>
      <c r="D1383">
        <f t="shared" si="62"/>
        <v>2003</v>
      </c>
      <c r="E1383">
        <f t="shared" si="63"/>
        <v>6</v>
      </c>
    </row>
    <row r="1384" spans="1:5" x14ac:dyDescent="0.3">
      <c r="A1384" t="s">
        <v>1509</v>
      </c>
      <c r="B1384" t="s">
        <v>127</v>
      </c>
      <c r="C1384">
        <v>236</v>
      </c>
      <c r="D1384">
        <f t="shared" si="62"/>
        <v>2003</v>
      </c>
      <c r="E1384">
        <f t="shared" si="63"/>
        <v>6</v>
      </c>
    </row>
    <row r="1385" spans="1:5" x14ac:dyDescent="0.3">
      <c r="A1385" t="s">
        <v>1510</v>
      </c>
      <c r="B1385" t="s">
        <v>127</v>
      </c>
      <c r="C1385">
        <v>232</v>
      </c>
      <c r="D1385">
        <f t="shared" si="62"/>
        <v>2003</v>
      </c>
      <c r="E1385">
        <f t="shared" si="63"/>
        <v>6</v>
      </c>
    </row>
    <row r="1386" spans="1:5" x14ac:dyDescent="0.3">
      <c r="A1386" t="s">
        <v>1511</v>
      </c>
      <c r="B1386" t="s">
        <v>127</v>
      </c>
      <c r="C1386">
        <v>229</v>
      </c>
      <c r="D1386">
        <f t="shared" si="62"/>
        <v>2003</v>
      </c>
      <c r="E1386">
        <f t="shared" si="63"/>
        <v>6</v>
      </c>
    </row>
    <row r="1387" spans="1:5" x14ac:dyDescent="0.3">
      <c r="A1387" t="s">
        <v>1512</v>
      </c>
      <c r="B1387" t="s">
        <v>127</v>
      </c>
      <c r="C1387">
        <v>231</v>
      </c>
      <c r="D1387">
        <f t="shared" si="62"/>
        <v>2003</v>
      </c>
      <c r="E1387">
        <f t="shared" si="63"/>
        <v>6</v>
      </c>
    </row>
    <row r="1388" spans="1:5" x14ac:dyDescent="0.3">
      <c r="A1388" t="s">
        <v>1513</v>
      </c>
      <c r="B1388" t="s">
        <v>127</v>
      </c>
      <c r="C1388">
        <v>237</v>
      </c>
      <c r="D1388">
        <f t="shared" si="62"/>
        <v>2003</v>
      </c>
      <c r="E1388">
        <f t="shared" si="63"/>
        <v>6</v>
      </c>
    </row>
    <row r="1389" spans="1:5" x14ac:dyDescent="0.3">
      <c r="A1389" t="s">
        <v>1514</v>
      </c>
      <c r="B1389" t="s">
        <v>127</v>
      </c>
      <c r="C1389">
        <v>239</v>
      </c>
      <c r="D1389">
        <f t="shared" si="62"/>
        <v>2003</v>
      </c>
      <c r="E1389">
        <f t="shared" si="63"/>
        <v>7</v>
      </c>
    </row>
    <row r="1390" spans="1:5" x14ac:dyDescent="0.3">
      <c r="A1390" t="s">
        <v>1515</v>
      </c>
      <c r="B1390" t="s">
        <v>127</v>
      </c>
      <c r="C1390">
        <v>245</v>
      </c>
      <c r="D1390">
        <f t="shared" si="62"/>
        <v>2003</v>
      </c>
      <c r="E1390">
        <f t="shared" si="63"/>
        <v>7</v>
      </c>
    </row>
    <row r="1391" spans="1:5" x14ac:dyDescent="0.3">
      <c r="A1391" t="s">
        <v>1516</v>
      </c>
      <c r="B1391" t="s">
        <v>127</v>
      </c>
      <c r="C1391">
        <v>249</v>
      </c>
      <c r="D1391">
        <f t="shared" si="62"/>
        <v>2003</v>
      </c>
      <c r="E1391">
        <f t="shared" si="63"/>
        <v>7</v>
      </c>
    </row>
    <row r="1392" spans="1:5" x14ac:dyDescent="0.3">
      <c r="A1392" t="s">
        <v>1517</v>
      </c>
      <c r="B1392" t="s">
        <v>127</v>
      </c>
      <c r="C1392">
        <v>259</v>
      </c>
      <c r="D1392">
        <f t="shared" si="62"/>
        <v>2003</v>
      </c>
      <c r="E1392">
        <f t="shared" si="63"/>
        <v>7</v>
      </c>
    </row>
    <row r="1393" spans="1:5" x14ac:dyDescent="0.3">
      <c r="A1393" t="s">
        <v>1518</v>
      </c>
      <c r="B1393" t="s">
        <v>127</v>
      </c>
      <c r="C1393">
        <v>260</v>
      </c>
      <c r="D1393">
        <f t="shared" si="62"/>
        <v>2003</v>
      </c>
      <c r="E1393">
        <f t="shared" si="63"/>
        <v>7</v>
      </c>
    </row>
    <row r="1394" spans="1:5" x14ac:dyDescent="0.3">
      <c r="A1394" t="s">
        <v>1519</v>
      </c>
      <c r="B1394" t="s">
        <v>127</v>
      </c>
      <c r="C1394">
        <v>255</v>
      </c>
      <c r="D1394">
        <f t="shared" si="62"/>
        <v>2003</v>
      </c>
      <c r="E1394">
        <f t="shared" si="63"/>
        <v>7</v>
      </c>
    </row>
    <row r="1395" spans="1:5" x14ac:dyDescent="0.3">
      <c r="A1395" t="s">
        <v>1520</v>
      </c>
      <c r="B1395" t="s">
        <v>127</v>
      </c>
      <c r="C1395">
        <v>252</v>
      </c>
      <c r="D1395">
        <f t="shared" si="62"/>
        <v>2003</v>
      </c>
      <c r="E1395">
        <f t="shared" si="63"/>
        <v>7</v>
      </c>
    </row>
    <row r="1396" spans="1:5" x14ac:dyDescent="0.3">
      <c r="A1396" t="s">
        <v>1521</v>
      </c>
      <c r="B1396" t="s">
        <v>127</v>
      </c>
      <c r="C1396">
        <v>248</v>
      </c>
      <c r="D1396">
        <f t="shared" si="62"/>
        <v>2003</v>
      </c>
      <c r="E1396">
        <f t="shared" si="63"/>
        <v>7</v>
      </c>
    </row>
    <row r="1397" spans="1:5" x14ac:dyDescent="0.3">
      <c r="A1397" t="s">
        <v>1522</v>
      </c>
      <c r="B1397" t="s">
        <v>127</v>
      </c>
      <c r="C1397">
        <v>240</v>
      </c>
      <c r="D1397">
        <f t="shared" si="62"/>
        <v>2003</v>
      </c>
      <c r="E1397">
        <f t="shared" si="63"/>
        <v>7</v>
      </c>
    </row>
    <row r="1398" spans="1:5" x14ac:dyDescent="0.3">
      <c r="A1398" t="s">
        <v>1523</v>
      </c>
      <c r="B1398" t="s">
        <v>127</v>
      </c>
      <c r="C1398">
        <v>234</v>
      </c>
      <c r="D1398">
        <f t="shared" si="62"/>
        <v>2003</v>
      </c>
      <c r="E1398">
        <f t="shared" si="63"/>
        <v>7</v>
      </c>
    </row>
    <row r="1399" spans="1:5" x14ac:dyDescent="0.3">
      <c r="A1399" t="s">
        <v>1524</v>
      </c>
      <c r="B1399" t="s">
        <v>127</v>
      </c>
      <c r="C1399">
        <v>233</v>
      </c>
      <c r="D1399">
        <f t="shared" si="62"/>
        <v>2003</v>
      </c>
      <c r="E1399">
        <f t="shared" si="63"/>
        <v>7</v>
      </c>
    </row>
    <row r="1400" spans="1:5" x14ac:dyDescent="0.3">
      <c r="A1400" t="s">
        <v>1525</v>
      </c>
      <c r="B1400" t="s">
        <v>127</v>
      </c>
      <c r="C1400">
        <v>227</v>
      </c>
      <c r="D1400">
        <f t="shared" si="62"/>
        <v>2003</v>
      </c>
      <c r="E1400">
        <f t="shared" si="63"/>
        <v>7</v>
      </c>
    </row>
    <row r="1401" spans="1:5" x14ac:dyDescent="0.3">
      <c r="A1401" t="s">
        <v>1526</v>
      </c>
      <c r="B1401" t="s">
        <v>127</v>
      </c>
      <c r="C1401">
        <v>221</v>
      </c>
      <c r="D1401">
        <f t="shared" si="62"/>
        <v>2003</v>
      </c>
      <c r="E1401">
        <f t="shared" si="63"/>
        <v>7</v>
      </c>
    </row>
    <row r="1402" spans="1:5" x14ac:dyDescent="0.3">
      <c r="A1402" t="s">
        <v>1527</v>
      </c>
      <c r="B1402" t="s">
        <v>127</v>
      </c>
      <c r="C1402">
        <v>211</v>
      </c>
      <c r="D1402">
        <f t="shared" si="62"/>
        <v>2003</v>
      </c>
      <c r="E1402">
        <f t="shared" si="63"/>
        <v>7</v>
      </c>
    </row>
    <row r="1403" spans="1:5" x14ac:dyDescent="0.3">
      <c r="A1403" t="s">
        <v>1528</v>
      </c>
      <c r="B1403" t="s">
        <v>127</v>
      </c>
      <c r="C1403">
        <v>214</v>
      </c>
      <c r="D1403">
        <f t="shared" si="62"/>
        <v>2003</v>
      </c>
      <c r="E1403">
        <f t="shared" si="63"/>
        <v>7</v>
      </c>
    </row>
    <row r="1404" spans="1:5" x14ac:dyDescent="0.3">
      <c r="A1404" t="s">
        <v>1529</v>
      </c>
      <c r="B1404" t="s">
        <v>127</v>
      </c>
      <c r="C1404">
        <v>221</v>
      </c>
      <c r="D1404">
        <f t="shared" si="62"/>
        <v>2003</v>
      </c>
      <c r="E1404">
        <f t="shared" si="63"/>
        <v>7</v>
      </c>
    </row>
    <row r="1405" spans="1:5" x14ac:dyDescent="0.3">
      <c r="A1405" t="s">
        <v>1530</v>
      </c>
      <c r="B1405" t="s">
        <v>127</v>
      </c>
      <c r="C1405">
        <v>218</v>
      </c>
      <c r="D1405">
        <f t="shared" si="62"/>
        <v>2003</v>
      </c>
      <c r="E1405">
        <f t="shared" si="63"/>
        <v>7</v>
      </c>
    </row>
    <row r="1406" spans="1:5" x14ac:dyDescent="0.3">
      <c r="A1406" t="s">
        <v>1531</v>
      </c>
      <c r="B1406" t="s">
        <v>127</v>
      </c>
      <c r="C1406">
        <v>219</v>
      </c>
      <c r="D1406">
        <f t="shared" si="62"/>
        <v>2003</v>
      </c>
      <c r="E1406">
        <f t="shared" si="63"/>
        <v>7</v>
      </c>
    </row>
    <row r="1407" spans="1:5" x14ac:dyDescent="0.3">
      <c r="A1407" t="s">
        <v>1532</v>
      </c>
      <c r="B1407" t="s">
        <v>127</v>
      </c>
      <c r="C1407">
        <v>215</v>
      </c>
      <c r="D1407">
        <f t="shared" si="62"/>
        <v>2003</v>
      </c>
      <c r="E1407">
        <f t="shared" si="63"/>
        <v>7</v>
      </c>
    </row>
    <row r="1408" spans="1:5" x14ac:dyDescent="0.3">
      <c r="A1408" t="s">
        <v>1533</v>
      </c>
      <c r="B1408" t="s">
        <v>127</v>
      </c>
      <c r="C1408">
        <v>223</v>
      </c>
      <c r="D1408">
        <f t="shared" si="62"/>
        <v>2003</v>
      </c>
      <c r="E1408">
        <f t="shared" si="63"/>
        <v>7</v>
      </c>
    </row>
    <row r="1409" spans="1:5" x14ac:dyDescent="0.3">
      <c r="A1409" t="s">
        <v>1534</v>
      </c>
      <c r="B1409" t="s">
        <v>127</v>
      </c>
      <c r="C1409">
        <v>230</v>
      </c>
      <c r="D1409">
        <f t="shared" si="62"/>
        <v>2003</v>
      </c>
      <c r="E1409">
        <f t="shared" si="63"/>
        <v>7</v>
      </c>
    </row>
    <row r="1410" spans="1:5" x14ac:dyDescent="0.3">
      <c r="A1410" t="s">
        <v>1535</v>
      </c>
      <c r="B1410" t="s">
        <v>127</v>
      </c>
      <c r="C1410">
        <v>230</v>
      </c>
      <c r="D1410">
        <f t="shared" si="62"/>
        <v>2003</v>
      </c>
      <c r="E1410">
        <f t="shared" si="63"/>
        <v>7</v>
      </c>
    </row>
    <row r="1411" spans="1:5" x14ac:dyDescent="0.3">
      <c r="A1411" t="s">
        <v>1536</v>
      </c>
      <c r="B1411" t="s">
        <v>127</v>
      </c>
      <c r="C1411">
        <v>253</v>
      </c>
      <c r="D1411">
        <f t="shared" ref="D1411:D1474" si="64">YEAR(A1411)</f>
        <v>2003</v>
      </c>
      <c r="E1411">
        <f t="shared" ref="E1411:E1474" si="65">MONTH(A1411)</f>
        <v>8</v>
      </c>
    </row>
    <row r="1412" spans="1:5" x14ac:dyDescent="0.3">
      <c r="A1412" t="s">
        <v>1537</v>
      </c>
      <c r="B1412" t="s">
        <v>127</v>
      </c>
      <c r="C1412">
        <v>264</v>
      </c>
      <c r="D1412">
        <f t="shared" si="64"/>
        <v>2003</v>
      </c>
      <c r="E1412">
        <f t="shared" si="65"/>
        <v>8</v>
      </c>
    </row>
    <row r="1413" spans="1:5" x14ac:dyDescent="0.3">
      <c r="A1413" t="s">
        <v>1538</v>
      </c>
      <c r="B1413" t="s">
        <v>127</v>
      </c>
      <c r="C1413">
        <v>256</v>
      </c>
      <c r="D1413">
        <f t="shared" si="64"/>
        <v>2003</v>
      </c>
      <c r="E1413">
        <f t="shared" si="65"/>
        <v>8</v>
      </c>
    </row>
    <row r="1414" spans="1:5" x14ac:dyDescent="0.3">
      <c r="A1414" t="s">
        <v>1539</v>
      </c>
      <c r="B1414" t="s">
        <v>127</v>
      </c>
      <c r="C1414">
        <v>260</v>
      </c>
      <c r="D1414">
        <f t="shared" si="64"/>
        <v>2003</v>
      </c>
      <c r="E1414">
        <f t="shared" si="65"/>
        <v>8</v>
      </c>
    </row>
    <row r="1415" spans="1:5" x14ac:dyDescent="0.3">
      <c r="A1415" t="s">
        <v>1540</v>
      </c>
      <c r="B1415" t="s">
        <v>127</v>
      </c>
      <c r="C1415">
        <v>247</v>
      </c>
      <c r="D1415">
        <f t="shared" si="64"/>
        <v>2003</v>
      </c>
      <c r="E1415">
        <f t="shared" si="65"/>
        <v>8</v>
      </c>
    </row>
    <row r="1416" spans="1:5" x14ac:dyDescent="0.3">
      <c r="A1416" t="s">
        <v>1541</v>
      </c>
      <c r="B1416" t="s">
        <v>127</v>
      </c>
      <c r="C1416">
        <v>226</v>
      </c>
      <c r="D1416">
        <f t="shared" si="64"/>
        <v>2003</v>
      </c>
      <c r="E1416">
        <f t="shared" si="65"/>
        <v>8</v>
      </c>
    </row>
    <row r="1417" spans="1:5" x14ac:dyDescent="0.3">
      <c r="A1417" t="s">
        <v>1542</v>
      </c>
      <c r="B1417" t="s">
        <v>127</v>
      </c>
      <c r="C1417">
        <v>220</v>
      </c>
      <c r="D1417">
        <f t="shared" si="64"/>
        <v>2003</v>
      </c>
      <c r="E1417">
        <f t="shared" si="65"/>
        <v>8</v>
      </c>
    </row>
    <row r="1418" spans="1:5" x14ac:dyDescent="0.3">
      <c r="A1418" t="s">
        <v>1543</v>
      </c>
      <c r="B1418" t="s">
        <v>127</v>
      </c>
      <c r="C1418">
        <v>225</v>
      </c>
      <c r="D1418">
        <f t="shared" si="64"/>
        <v>2003</v>
      </c>
      <c r="E1418">
        <f t="shared" si="65"/>
        <v>8</v>
      </c>
    </row>
    <row r="1419" spans="1:5" x14ac:dyDescent="0.3">
      <c r="A1419" t="s">
        <v>1544</v>
      </c>
      <c r="B1419" t="s">
        <v>127</v>
      </c>
      <c r="C1419">
        <v>227</v>
      </c>
      <c r="D1419">
        <f t="shared" si="64"/>
        <v>2003</v>
      </c>
      <c r="E1419">
        <f t="shared" si="65"/>
        <v>8</v>
      </c>
    </row>
    <row r="1420" spans="1:5" x14ac:dyDescent="0.3">
      <c r="A1420" t="s">
        <v>1545</v>
      </c>
      <c r="B1420" t="s">
        <v>127</v>
      </c>
      <c r="C1420">
        <v>230</v>
      </c>
      <c r="D1420">
        <f t="shared" si="64"/>
        <v>2003</v>
      </c>
      <c r="E1420">
        <f t="shared" si="65"/>
        <v>8</v>
      </c>
    </row>
    <row r="1421" spans="1:5" x14ac:dyDescent="0.3">
      <c r="A1421" t="s">
        <v>1546</v>
      </c>
      <c r="B1421" t="s">
        <v>127</v>
      </c>
      <c r="C1421">
        <v>230</v>
      </c>
      <c r="D1421">
        <f t="shared" si="64"/>
        <v>2003</v>
      </c>
      <c r="E1421">
        <f t="shared" si="65"/>
        <v>8</v>
      </c>
    </row>
    <row r="1422" spans="1:5" x14ac:dyDescent="0.3">
      <c r="A1422" t="s">
        <v>1547</v>
      </c>
      <c r="B1422" t="s">
        <v>127</v>
      </c>
      <c r="C1422">
        <v>231</v>
      </c>
      <c r="D1422">
        <f t="shared" si="64"/>
        <v>2003</v>
      </c>
      <c r="E1422">
        <f t="shared" si="65"/>
        <v>8</v>
      </c>
    </row>
    <row r="1423" spans="1:5" x14ac:dyDescent="0.3">
      <c r="A1423" t="s">
        <v>1548</v>
      </c>
      <c r="B1423" t="s">
        <v>127</v>
      </c>
      <c r="C1423">
        <v>224</v>
      </c>
      <c r="D1423">
        <f t="shared" si="64"/>
        <v>2003</v>
      </c>
      <c r="E1423">
        <f t="shared" si="65"/>
        <v>8</v>
      </c>
    </row>
    <row r="1424" spans="1:5" x14ac:dyDescent="0.3">
      <c r="A1424" t="s">
        <v>1549</v>
      </c>
      <c r="B1424" t="s">
        <v>127</v>
      </c>
      <c r="C1424">
        <v>221</v>
      </c>
      <c r="D1424">
        <f t="shared" si="64"/>
        <v>2003</v>
      </c>
      <c r="E1424">
        <f t="shared" si="65"/>
        <v>8</v>
      </c>
    </row>
    <row r="1425" spans="1:5" x14ac:dyDescent="0.3">
      <c r="A1425" t="s">
        <v>1550</v>
      </c>
      <c r="B1425" t="s">
        <v>127</v>
      </c>
      <c r="C1425">
        <v>218</v>
      </c>
      <c r="D1425">
        <f t="shared" si="64"/>
        <v>2003</v>
      </c>
      <c r="E1425">
        <f t="shared" si="65"/>
        <v>8</v>
      </c>
    </row>
    <row r="1426" spans="1:5" x14ac:dyDescent="0.3">
      <c r="A1426" t="s">
        <v>1551</v>
      </c>
      <c r="B1426" t="s">
        <v>127</v>
      </c>
      <c r="C1426">
        <v>218</v>
      </c>
      <c r="D1426">
        <f t="shared" si="64"/>
        <v>2003</v>
      </c>
      <c r="E1426">
        <f t="shared" si="65"/>
        <v>8</v>
      </c>
    </row>
    <row r="1427" spans="1:5" x14ac:dyDescent="0.3">
      <c r="A1427" t="s">
        <v>1552</v>
      </c>
      <c r="B1427" t="s">
        <v>127</v>
      </c>
      <c r="C1427">
        <v>217</v>
      </c>
      <c r="D1427">
        <f t="shared" si="64"/>
        <v>2003</v>
      </c>
      <c r="E1427">
        <f t="shared" si="65"/>
        <v>8</v>
      </c>
    </row>
    <row r="1428" spans="1:5" x14ac:dyDescent="0.3">
      <c r="A1428" t="s">
        <v>1553</v>
      </c>
      <c r="B1428" t="s">
        <v>127</v>
      </c>
      <c r="C1428">
        <v>217</v>
      </c>
      <c r="D1428">
        <f t="shared" si="64"/>
        <v>2003</v>
      </c>
      <c r="E1428">
        <f t="shared" si="65"/>
        <v>8</v>
      </c>
    </row>
    <row r="1429" spans="1:5" x14ac:dyDescent="0.3">
      <c r="A1429" t="s">
        <v>1554</v>
      </c>
      <c r="B1429" t="s">
        <v>127</v>
      </c>
      <c r="C1429">
        <v>214</v>
      </c>
      <c r="D1429">
        <f t="shared" si="64"/>
        <v>2003</v>
      </c>
      <c r="E1429">
        <f t="shared" si="65"/>
        <v>8</v>
      </c>
    </row>
    <row r="1430" spans="1:5" x14ac:dyDescent="0.3">
      <c r="A1430" t="s">
        <v>1555</v>
      </c>
      <c r="B1430" t="s">
        <v>127</v>
      </c>
      <c r="C1430">
        <v>220</v>
      </c>
      <c r="D1430">
        <f t="shared" si="64"/>
        <v>2003</v>
      </c>
      <c r="E1430">
        <f t="shared" si="65"/>
        <v>8</v>
      </c>
    </row>
    <row r="1431" spans="1:5" x14ac:dyDescent="0.3">
      <c r="A1431" t="s">
        <v>1556</v>
      </c>
      <c r="B1431" t="s">
        <v>127</v>
      </c>
      <c r="C1431">
        <v>220</v>
      </c>
      <c r="D1431">
        <f t="shared" si="64"/>
        <v>2003</v>
      </c>
      <c r="E1431">
        <f t="shared" si="65"/>
        <v>8</v>
      </c>
    </row>
    <row r="1432" spans="1:5" x14ac:dyDescent="0.3">
      <c r="A1432" t="s">
        <v>1557</v>
      </c>
      <c r="B1432" t="s">
        <v>127</v>
      </c>
      <c r="C1432">
        <v>212</v>
      </c>
      <c r="D1432">
        <f t="shared" si="64"/>
        <v>2003</v>
      </c>
      <c r="E1432">
        <f t="shared" si="65"/>
        <v>9</v>
      </c>
    </row>
    <row r="1433" spans="1:5" x14ac:dyDescent="0.3">
      <c r="A1433" t="s">
        <v>1558</v>
      </c>
      <c r="B1433" t="s">
        <v>127</v>
      </c>
      <c r="C1433">
        <v>214</v>
      </c>
      <c r="D1433">
        <f t="shared" si="64"/>
        <v>2003</v>
      </c>
      <c r="E1433">
        <f t="shared" si="65"/>
        <v>9</v>
      </c>
    </row>
    <row r="1434" spans="1:5" x14ac:dyDescent="0.3">
      <c r="A1434" t="s">
        <v>1559</v>
      </c>
      <c r="B1434" t="s">
        <v>127</v>
      </c>
      <c r="C1434">
        <v>211</v>
      </c>
      <c r="D1434">
        <f t="shared" si="64"/>
        <v>2003</v>
      </c>
      <c r="E1434">
        <f t="shared" si="65"/>
        <v>9</v>
      </c>
    </row>
    <row r="1435" spans="1:5" x14ac:dyDescent="0.3">
      <c r="A1435" t="s">
        <v>1560</v>
      </c>
      <c r="B1435" t="s">
        <v>127</v>
      </c>
      <c r="C1435">
        <v>211</v>
      </c>
      <c r="D1435">
        <f t="shared" si="64"/>
        <v>2003</v>
      </c>
      <c r="E1435">
        <f t="shared" si="65"/>
        <v>9</v>
      </c>
    </row>
    <row r="1436" spans="1:5" x14ac:dyDescent="0.3">
      <c r="A1436" t="s">
        <v>1561</v>
      </c>
      <c r="B1436" t="s">
        <v>127</v>
      </c>
      <c r="C1436">
        <v>207</v>
      </c>
      <c r="D1436">
        <f t="shared" si="64"/>
        <v>2003</v>
      </c>
      <c r="E1436">
        <f t="shared" si="65"/>
        <v>9</v>
      </c>
    </row>
    <row r="1437" spans="1:5" x14ac:dyDescent="0.3">
      <c r="A1437" t="s">
        <v>1562</v>
      </c>
      <c r="B1437" t="s">
        <v>127</v>
      </c>
      <c r="C1437">
        <v>210</v>
      </c>
      <c r="D1437">
        <f t="shared" si="64"/>
        <v>2003</v>
      </c>
      <c r="E1437">
        <f t="shared" si="65"/>
        <v>9</v>
      </c>
    </row>
    <row r="1438" spans="1:5" x14ac:dyDescent="0.3">
      <c r="A1438" t="s">
        <v>1563</v>
      </c>
      <c r="B1438" t="s">
        <v>127</v>
      </c>
      <c r="C1438">
        <v>208</v>
      </c>
      <c r="D1438">
        <f t="shared" si="64"/>
        <v>2003</v>
      </c>
      <c r="E1438">
        <f t="shared" si="65"/>
        <v>9</v>
      </c>
    </row>
    <row r="1439" spans="1:5" x14ac:dyDescent="0.3">
      <c r="A1439" t="s">
        <v>1564</v>
      </c>
      <c r="B1439" t="s">
        <v>127</v>
      </c>
      <c r="C1439">
        <v>207</v>
      </c>
      <c r="D1439">
        <f t="shared" si="64"/>
        <v>2003</v>
      </c>
      <c r="E1439">
        <f t="shared" si="65"/>
        <v>9</v>
      </c>
    </row>
    <row r="1440" spans="1:5" x14ac:dyDescent="0.3">
      <c r="A1440" t="s">
        <v>1565</v>
      </c>
      <c r="B1440" t="s">
        <v>127</v>
      </c>
      <c r="C1440">
        <v>210</v>
      </c>
      <c r="D1440">
        <f t="shared" si="64"/>
        <v>2003</v>
      </c>
      <c r="E1440">
        <f t="shared" si="65"/>
        <v>9</v>
      </c>
    </row>
    <row r="1441" spans="1:5" x14ac:dyDescent="0.3">
      <c r="A1441" t="s">
        <v>1566</v>
      </c>
      <c r="B1441" t="s">
        <v>127</v>
      </c>
      <c r="C1441">
        <v>212</v>
      </c>
      <c r="D1441">
        <f t="shared" si="64"/>
        <v>2003</v>
      </c>
      <c r="E1441">
        <f t="shared" si="65"/>
        <v>9</v>
      </c>
    </row>
    <row r="1442" spans="1:5" x14ac:dyDescent="0.3">
      <c r="A1442" t="s">
        <v>1567</v>
      </c>
      <c r="B1442" t="s">
        <v>127</v>
      </c>
      <c r="C1442">
        <v>210</v>
      </c>
      <c r="D1442">
        <f t="shared" si="64"/>
        <v>2003</v>
      </c>
      <c r="E1442">
        <f t="shared" si="65"/>
        <v>9</v>
      </c>
    </row>
    <row r="1443" spans="1:5" x14ac:dyDescent="0.3">
      <c r="A1443" t="s">
        <v>1568</v>
      </c>
      <c r="B1443" t="s">
        <v>127</v>
      </c>
      <c r="C1443">
        <v>210</v>
      </c>
      <c r="D1443">
        <f t="shared" si="64"/>
        <v>2003</v>
      </c>
      <c r="E1443">
        <f t="shared" si="65"/>
        <v>9</v>
      </c>
    </row>
    <row r="1444" spans="1:5" x14ac:dyDescent="0.3">
      <c r="A1444" t="s">
        <v>1569</v>
      </c>
      <c r="B1444" t="s">
        <v>127</v>
      </c>
      <c r="C1444">
        <v>209</v>
      </c>
      <c r="D1444">
        <f t="shared" si="64"/>
        <v>2003</v>
      </c>
      <c r="E1444">
        <f t="shared" si="65"/>
        <v>9</v>
      </c>
    </row>
    <row r="1445" spans="1:5" x14ac:dyDescent="0.3">
      <c r="A1445" t="s">
        <v>1570</v>
      </c>
      <c r="B1445" t="s">
        <v>127</v>
      </c>
      <c r="C1445">
        <v>203</v>
      </c>
      <c r="D1445">
        <f t="shared" si="64"/>
        <v>2003</v>
      </c>
      <c r="E1445">
        <f t="shared" si="65"/>
        <v>9</v>
      </c>
    </row>
    <row r="1446" spans="1:5" x14ac:dyDescent="0.3">
      <c r="A1446" t="s">
        <v>1571</v>
      </c>
      <c r="B1446" t="s">
        <v>127</v>
      </c>
      <c r="C1446">
        <v>202</v>
      </c>
      <c r="D1446">
        <f t="shared" si="64"/>
        <v>2003</v>
      </c>
      <c r="E1446">
        <f t="shared" si="65"/>
        <v>9</v>
      </c>
    </row>
    <row r="1447" spans="1:5" x14ac:dyDescent="0.3">
      <c r="A1447" t="s">
        <v>1572</v>
      </c>
      <c r="B1447" t="s">
        <v>127</v>
      </c>
      <c r="C1447">
        <v>205</v>
      </c>
      <c r="D1447">
        <f t="shared" si="64"/>
        <v>2003</v>
      </c>
      <c r="E1447">
        <f t="shared" si="65"/>
        <v>9</v>
      </c>
    </row>
    <row r="1448" spans="1:5" x14ac:dyDescent="0.3">
      <c r="A1448" t="s">
        <v>1573</v>
      </c>
      <c r="B1448" t="s">
        <v>127</v>
      </c>
      <c r="C1448">
        <v>203</v>
      </c>
      <c r="D1448">
        <f t="shared" si="64"/>
        <v>2003</v>
      </c>
      <c r="E1448">
        <f t="shared" si="65"/>
        <v>9</v>
      </c>
    </row>
    <row r="1449" spans="1:5" x14ac:dyDescent="0.3">
      <c r="A1449" t="s">
        <v>1574</v>
      </c>
      <c r="B1449" t="s">
        <v>127</v>
      </c>
      <c r="C1449">
        <v>196</v>
      </c>
      <c r="D1449">
        <f t="shared" si="64"/>
        <v>2003</v>
      </c>
      <c r="E1449">
        <f t="shared" si="65"/>
        <v>9</v>
      </c>
    </row>
    <row r="1450" spans="1:5" x14ac:dyDescent="0.3">
      <c r="A1450" t="s">
        <v>1575</v>
      </c>
      <c r="B1450" t="s">
        <v>127</v>
      </c>
      <c r="C1450">
        <v>200</v>
      </c>
      <c r="D1450">
        <f t="shared" si="64"/>
        <v>2003</v>
      </c>
      <c r="E1450">
        <f t="shared" si="65"/>
        <v>9</v>
      </c>
    </row>
    <row r="1451" spans="1:5" x14ac:dyDescent="0.3">
      <c r="A1451" t="s">
        <v>1576</v>
      </c>
      <c r="B1451" t="s">
        <v>127</v>
      </c>
      <c r="C1451">
        <v>203</v>
      </c>
      <c r="D1451">
        <f t="shared" si="64"/>
        <v>2003</v>
      </c>
      <c r="E1451">
        <f t="shared" si="65"/>
        <v>9</v>
      </c>
    </row>
    <row r="1452" spans="1:5" x14ac:dyDescent="0.3">
      <c r="A1452" t="s">
        <v>1577</v>
      </c>
      <c r="B1452" t="s">
        <v>127</v>
      </c>
      <c r="C1452">
        <v>212</v>
      </c>
      <c r="D1452">
        <f t="shared" si="64"/>
        <v>2003</v>
      </c>
      <c r="E1452">
        <f t="shared" si="65"/>
        <v>9</v>
      </c>
    </row>
    <row r="1453" spans="1:5" x14ac:dyDescent="0.3">
      <c r="A1453" t="s">
        <v>1578</v>
      </c>
      <c r="B1453" t="s">
        <v>127</v>
      </c>
      <c r="C1453">
        <v>211</v>
      </c>
      <c r="D1453">
        <f t="shared" si="64"/>
        <v>2003</v>
      </c>
      <c r="E1453">
        <f t="shared" si="65"/>
        <v>10</v>
      </c>
    </row>
    <row r="1454" spans="1:5" x14ac:dyDescent="0.3">
      <c r="A1454" t="s">
        <v>1579</v>
      </c>
      <c r="B1454" t="s">
        <v>127</v>
      </c>
      <c r="C1454">
        <v>211</v>
      </c>
      <c r="D1454">
        <f t="shared" si="64"/>
        <v>2003</v>
      </c>
      <c r="E1454">
        <f t="shared" si="65"/>
        <v>10</v>
      </c>
    </row>
    <row r="1455" spans="1:5" x14ac:dyDescent="0.3">
      <c r="A1455" t="s">
        <v>1580</v>
      </c>
      <c r="B1455" t="s">
        <v>127</v>
      </c>
      <c r="C1455">
        <v>205</v>
      </c>
      <c r="D1455">
        <f t="shared" si="64"/>
        <v>2003</v>
      </c>
      <c r="E1455">
        <f t="shared" si="65"/>
        <v>10</v>
      </c>
    </row>
    <row r="1456" spans="1:5" x14ac:dyDescent="0.3">
      <c r="A1456" t="s">
        <v>1581</v>
      </c>
      <c r="B1456" t="s">
        <v>127</v>
      </c>
      <c r="C1456">
        <v>209</v>
      </c>
      <c r="D1456">
        <f t="shared" si="64"/>
        <v>2003</v>
      </c>
      <c r="E1456">
        <f t="shared" si="65"/>
        <v>10</v>
      </c>
    </row>
    <row r="1457" spans="1:5" x14ac:dyDescent="0.3">
      <c r="A1457" t="s">
        <v>1582</v>
      </c>
      <c r="B1457" t="s">
        <v>127</v>
      </c>
      <c r="C1457">
        <v>207</v>
      </c>
      <c r="D1457">
        <f t="shared" si="64"/>
        <v>2003</v>
      </c>
      <c r="E1457">
        <f t="shared" si="65"/>
        <v>10</v>
      </c>
    </row>
    <row r="1458" spans="1:5" x14ac:dyDescent="0.3">
      <c r="A1458" t="s">
        <v>1583</v>
      </c>
      <c r="B1458" t="s">
        <v>127</v>
      </c>
      <c r="C1458">
        <v>205</v>
      </c>
      <c r="D1458">
        <f t="shared" si="64"/>
        <v>2003</v>
      </c>
      <c r="E1458">
        <f t="shared" si="65"/>
        <v>10</v>
      </c>
    </row>
    <row r="1459" spans="1:5" x14ac:dyDescent="0.3">
      <c r="A1459" t="s">
        <v>1584</v>
      </c>
      <c r="B1459" t="s">
        <v>127</v>
      </c>
      <c r="C1459">
        <v>204</v>
      </c>
      <c r="D1459">
        <f t="shared" si="64"/>
        <v>2003</v>
      </c>
      <c r="E1459">
        <f t="shared" si="65"/>
        <v>10</v>
      </c>
    </row>
    <row r="1460" spans="1:5" x14ac:dyDescent="0.3">
      <c r="A1460" t="s">
        <v>1585</v>
      </c>
      <c r="B1460" t="s">
        <v>127</v>
      </c>
      <c r="C1460">
        <v>203</v>
      </c>
      <c r="D1460">
        <f t="shared" si="64"/>
        <v>2003</v>
      </c>
      <c r="E1460">
        <f t="shared" si="65"/>
        <v>10</v>
      </c>
    </row>
    <row r="1461" spans="1:5" x14ac:dyDescent="0.3">
      <c r="A1461" t="s">
        <v>1586</v>
      </c>
      <c r="B1461" t="s">
        <v>127</v>
      </c>
      <c r="C1461">
        <v>203</v>
      </c>
      <c r="D1461">
        <f t="shared" si="64"/>
        <v>2003</v>
      </c>
      <c r="E1461">
        <f t="shared" si="65"/>
        <v>10</v>
      </c>
    </row>
    <row r="1462" spans="1:5" x14ac:dyDescent="0.3">
      <c r="A1462" t="s">
        <v>1587</v>
      </c>
      <c r="B1462" t="s">
        <v>127</v>
      </c>
      <c r="C1462">
        <v>200</v>
      </c>
      <c r="D1462">
        <f t="shared" si="64"/>
        <v>2003</v>
      </c>
      <c r="E1462">
        <f t="shared" si="65"/>
        <v>10</v>
      </c>
    </row>
    <row r="1463" spans="1:5" x14ac:dyDescent="0.3">
      <c r="A1463" t="s">
        <v>1588</v>
      </c>
      <c r="B1463" t="s">
        <v>127</v>
      </c>
      <c r="C1463">
        <v>201</v>
      </c>
      <c r="D1463">
        <f t="shared" si="64"/>
        <v>2003</v>
      </c>
      <c r="E1463">
        <f t="shared" si="65"/>
        <v>10</v>
      </c>
    </row>
    <row r="1464" spans="1:5" x14ac:dyDescent="0.3">
      <c r="A1464" t="s">
        <v>1589</v>
      </c>
      <c r="B1464" t="s">
        <v>127</v>
      </c>
      <c r="C1464">
        <v>198</v>
      </c>
      <c r="D1464">
        <f t="shared" si="64"/>
        <v>2003</v>
      </c>
      <c r="E1464">
        <f t="shared" si="65"/>
        <v>10</v>
      </c>
    </row>
    <row r="1465" spans="1:5" x14ac:dyDescent="0.3">
      <c r="A1465" t="s">
        <v>1590</v>
      </c>
      <c r="B1465" t="s">
        <v>127</v>
      </c>
      <c r="C1465">
        <v>210</v>
      </c>
      <c r="D1465">
        <f t="shared" si="64"/>
        <v>2003</v>
      </c>
      <c r="E1465">
        <f t="shared" si="65"/>
        <v>10</v>
      </c>
    </row>
    <row r="1466" spans="1:5" x14ac:dyDescent="0.3">
      <c r="A1466" t="s">
        <v>1591</v>
      </c>
      <c r="B1466" t="s">
        <v>127</v>
      </c>
      <c r="C1466">
        <v>211</v>
      </c>
      <c r="D1466">
        <f t="shared" si="64"/>
        <v>2003</v>
      </c>
      <c r="E1466">
        <f t="shared" si="65"/>
        <v>10</v>
      </c>
    </row>
    <row r="1467" spans="1:5" x14ac:dyDescent="0.3">
      <c r="A1467" t="s">
        <v>1592</v>
      </c>
      <c r="B1467" t="s">
        <v>127</v>
      </c>
      <c r="C1467">
        <v>209</v>
      </c>
      <c r="D1467">
        <f t="shared" si="64"/>
        <v>2003</v>
      </c>
      <c r="E1467">
        <f t="shared" si="65"/>
        <v>10</v>
      </c>
    </row>
    <row r="1468" spans="1:5" x14ac:dyDescent="0.3">
      <c r="A1468" t="s">
        <v>1593</v>
      </c>
      <c r="B1468" t="s">
        <v>127</v>
      </c>
      <c r="C1468">
        <v>221</v>
      </c>
      <c r="D1468">
        <f t="shared" si="64"/>
        <v>2003</v>
      </c>
      <c r="E1468">
        <f t="shared" si="65"/>
        <v>10</v>
      </c>
    </row>
    <row r="1469" spans="1:5" x14ac:dyDescent="0.3">
      <c r="A1469" t="s">
        <v>1594</v>
      </c>
      <c r="B1469" t="s">
        <v>127</v>
      </c>
      <c r="C1469">
        <v>218</v>
      </c>
      <c r="D1469">
        <f t="shared" si="64"/>
        <v>2003</v>
      </c>
      <c r="E1469">
        <f t="shared" si="65"/>
        <v>10</v>
      </c>
    </row>
    <row r="1470" spans="1:5" x14ac:dyDescent="0.3">
      <c r="A1470" t="s">
        <v>1595</v>
      </c>
      <c r="B1470" t="s">
        <v>127</v>
      </c>
      <c r="C1470">
        <v>217</v>
      </c>
      <c r="D1470">
        <f t="shared" si="64"/>
        <v>2003</v>
      </c>
      <c r="E1470">
        <f t="shared" si="65"/>
        <v>10</v>
      </c>
    </row>
    <row r="1471" spans="1:5" x14ac:dyDescent="0.3">
      <c r="A1471" t="s">
        <v>1596</v>
      </c>
      <c r="B1471" t="s">
        <v>127</v>
      </c>
      <c r="C1471">
        <v>213</v>
      </c>
      <c r="D1471">
        <f t="shared" si="64"/>
        <v>2003</v>
      </c>
      <c r="E1471">
        <f t="shared" si="65"/>
        <v>10</v>
      </c>
    </row>
    <row r="1472" spans="1:5" x14ac:dyDescent="0.3">
      <c r="A1472" t="s">
        <v>1597</v>
      </c>
      <c r="B1472" t="s">
        <v>127</v>
      </c>
      <c r="C1472">
        <v>215</v>
      </c>
      <c r="D1472">
        <f t="shared" si="64"/>
        <v>2003</v>
      </c>
      <c r="E1472">
        <f t="shared" si="65"/>
        <v>10</v>
      </c>
    </row>
    <row r="1473" spans="1:5" x14ac:dyDescent="0.3">
      <c r="A1473" t="s">
        <v>1598</v>
      </c>
      <c r="B1473" t="s">
        <v>127</v>
      </c>
      <c r="C1473">
        <v>204</v>
      </c>
      <c r="D1473">
        <f t="shared" si="64"/>
        <v>2003</v>
      </c>
      <c r="E1473">
        <f t="shared" si="65"/>
        <v>10</v>
      </c>
    </row>
    <row r="1474" spans="1:5" x14ac:dyDescent="0.3">
      <c r="A1474" t="s">
        <v>1599</v>
      </c>
      <c r="B1474" t="s">
        <v>127</v>
      </c>
      <c r="C1474">
        <v>204</v>
      </c>
      <c r="D1474">
        <f t="shared" si="64"/>
        <v>2003</v>
      </c>
      <c r="E1474">
        <f t="shared" si="65"/>
        <v>10</v>
      </c>
    </row>
    <row r="1475" spans="1:5" x14ac:dyDescent="0.3">
      <c r="A1475" t="s">
        <v>1600</v>
      </c>
      <c r="B1475" t="s">
        <v>127</v>
      </c>
      <c r="C1475">
        <v>202</v>
      </c>
      <c r="D1475">
        <f t="shared" ref="D1475:D1538" si="66">YEAR(A1475)</f>
        <v>2003</v>
      </c>
      <c r="E1475">
        <f t="shared" ref="E1475:E1538" si="67">MONTH(A1475)</f>
        <v>10</v>
      </c>
    </row>
    <row r="1476" spans="1:5" x14ac:dyDescent="0.3">
      <c r="A1476" t="s">
        <v>1601</v>
      </c>
      <c r="B1476" t="s">
        <v>127</v>
      </c>
      <c r="C1476">
        <v>199</v>
      </c>
      <c r="D1476">
        <f t="shared" si="66"/>
        <v>2003</v>
      </c>
      <c r="E1476">
        <f t="shared" si="67"/>
        <v>11</v>
      </c>
    </row>
    <row r="1477" spans="1:5" x14ac:dyDescent="0.3">
      <c r="A1477" t="s">
        <v>1602</v>
      </c>
      <c r="B1477" t="s">
        <v>127</v>
      </c>
      <c r="C1477">
        <v>199</v>
      </c>
      <c r="D1477">
        <f t="shared" si="66"/>
        <v>2003</v>
      </c>
      <c r="E1477">
        <f t="shared" si="67"/>
        <v>11</v>
      </c>
    </row>
    <row r="1478" spans="1:5" x14ac:dyDescent="0.3">
      <c r="A1478" t="s">
        <v>1603</v>
      </c>
      <c r="B1478" t="s">
        <v>127</v>
      </c>
      <c r="C1478">
        <v>196</v>
      </c>
      <c r="D1478">
        <f t="shared" si="66"/>
        <v>2003</v>
      </c>
      <c r="E1478">
        <f t="shared" si="67"/>
        <v>11</v>
      </c>
    </row>
    <row r="1479" spans="1:5" x14ac:dyDescent="0.3">
      <c r="A1479" t="s">
        <v>1604</v>
      </c>
      <c r="B1479" t="s">
        <v>127</v>
      </c>
      <c r="C1479">
        <v>192</v>
      </c>
      <c r="D1479">
        <f t="shared" si="66"/>
        <v>2003</v>
      </c>
      <c r="E1479">
        <f t="shared" si="67"/>
        <v>11</v>
      </c>
    </row>
    <row r="1480" spans="1:5" x14ac:dyDescent="0.3">
      <c r="A1480" t="s">
        <v>1605</v>
      </c>
      <c r="B1480" t="s">
        <v>127</v>
      </c>
      <c r="C1480">
        <v>191</v>
      </c>
      <c r="D1480">
        <f t="shared" si="66"/>
        <v>2003</v>
      </c>
      <c r="E1480">
        <f t="shared" si="67"/>
        <v>11</v>
      </c>
    </row>
    <row r="1481" spans="1:5" x14ac:dyDescent="0.3">
      <c r="A1481" t="s">
        <v>1606</v>
      </c>
      <c r="B1481" t="s">
        <v>127</v>
      </c>
      <c r="C1481">
        <v>188</v>
      </c>
      <c r="D1481">
        <f t="shared" si="66"/>
        <v>2003</v>
      </c>
      <c r="E1481">
        <f t="shared" si="67"/>
        <v>11</v>
      </c>
    </row>
    <row r="1482" spans="1:5" x14ac:dyDescent="0.3">
      <c r="A1482" t="s">
        <v>1607</v>
      </c>
      <c r="B1482" t="s">
        <v>127</v>
      </c>
      <c r="C1482">
        <v>188</v>
      </c>
      <c r="D1482">
        <f t="shared" si="66"/>
        <v>2003</v>
      </c>
      <c r="E1482">
        <f t="shared" si="67"/>
        <v>11</v>
      </c>
    </row>
    <row r="1483" spans="1:5" x14ac:dyDescent="0.3">
      <c r="A1483" t="s">
        <v>1608</v>
      </c>
      <c r="B1483" t="s">
        <v>127</v>
      </c>
      <c r="C1483">
        <v>187</v>
      </c>
      <c r="D1483">
        <f t="shared" si="66"/>
        <v>2003</v>
      </c>
      <c r="E1483">
        <f t="shared" si="67"/>
        <v>11</v>
      </c>
    </row>
    <row r="1484" spans="1:5" x14ac:dyDescent="0.3">
      <c r="A1484" t="s">
        <v>1609</v>
      </c>
      <c r="B1484" t="s">
        <v>127</v>
      </c>
      <c r="C1484">
        <v>195</v>
      </c>
      <c r="D1484">
        <f t="shared" si="66"/>
        <v>2003</v>
      </c>
      <c r="E1484">
        <f t="shared" si="67"/>
        <v>11</v>
      </c>
    </row>
    <row r="1485" spans="1:5" x14ac:dyDescent="0.3">
      <c r="A1485" t="s">
        <v>1610</v>
      </c>
      <c r="B1485" t="s">
        <v>127</v>
      </c>
      <c r="C1485">
        <v>203</v>
      </c>
      <c r="D1485">
        <f t="shared" si="66"/>
        <v>2003</v>
      </c>
      <c r="E1485">
        <f t="shared" si="67"/>
        <v>11</v>
      </c>
    </row>
    <row r="1486" spans="1:5" x14ac:dyDescent="0.3">
      <c r="A1486" t="s">
        <v>1611</v>
      </c>
      <c r="B1486" t="s">
        <v>127</v>
      </c>
      <c r="C1486">
        <v>205</v>
      </c>
      <c r="D1486">
        <f t="shared" si="66"/>
        <v>2003</v>
      </c>
      <c r="E1486">
        <f t="shared" si="67"/>
        <v>11</v>
      </c>
    </row>
    <row r="1487" spans="1:5" x14ac:dyDescent="0.3">
      <c r="A1487" t="s">
        <v>1612</v>
      </c>
      <c r="B1487" t="s">
        <v>127</v>
      </c>
      <c r="C1487">
        <v>205</v>
      </c>
      <c r="D1487">
        <f t="shared" si="66"/>
        <v>2003</v>
      </c>
      <c r="E1487">
        <f t="shared" si="67"/>
        <v>11</v>
      </c>
    </row>
    <row r="1488" spans="1:5" x14ac:dyDescent="0.3">
      <c r="A1488" t="s">
        <v>1613</v>
      </c>
      <c r="B1488" t="s">
        <v>127</v>
      </c>
      <c r="C1488">
        <v>204</v>
      </c>
      <c r="D1488">
        <f t="shared" si="66"/>
        <v>2003</v>
      </c>
      <c r="E1488">
        <f t="shared" si="67"/>
        <v>11</v>
      </c>
    </row>
    <row r="1489" spans="1:5" x14ac:dyDescent="0.3">
      <c r="A1489" t="s">
        <v>1614</v>
      </c>
      <c r="B1489" t="s">
        <v>127</v>
      </c>
      <c r="C1489">
        <v>211</v>
      </c>
      <c r="D1489">
        <f t="shared" si="66"/>
        <v>2003</v>
      </c>
      <c r="E1489">
        <f t="shared" si="67"/>
        <v>11</v>
      </c>
    </row>
    <row r="1490" spans="1:5" x14ac:dyDescent="0.3">
      <c r="A1490" t="s">
        <v>1615</v>
      </c>
      <c r="B1490" t="s">
        <v>127</v>
      </c>
      <c r="C1490">
        <v>212</v>
      </c>
      <c r="D1490">
        <f t="shared" si="66"/>
        <v>2003</v>
      </c>
      <c r="E1490">
        <f t="shared" si="67"/>
        <v>11</v>
      </c>
    </row>
    <row r="1491" spans="1:5" x14ac:dyDescent="0.3">
      <c r="A1491" t="s">
        <v>1616</v>
      </c>
      <c r="B1491" t="s">
        <v>127</v>
      </c>
      <c r="C1491">
        <v>209</v>
      </c>
      <c r="D1491">
        <f t="shared" si="66"/>
        <v>2003</v>
      </c>
      <c r="E1491">
        <f t="shared" si="67"/>
        <v>11</v>
      </c>
    </row>
    <row r="1492" spans="1:5" x14ac:dyDescent="0.3">
      <c r="A1492" t="s">
        <v>1617</v>
      </c>
      <c r="B1492" t="s">
        <v>127</v>
      </c>
      <c r="C1492">
        <v>214</v>
      </c>
      <c r="D1492">
        <f t="shared" si="66"/>
        <v>2003</v>
      </c>
      <c r="E1492">
        <f t="shared" si="67"/>
        <v>11</v>
      </c>
    </row>
    <row r="1493" spans="1:5" x14ac:dyDescent="0.3">
      <c r="A1493" t="s">
        <v>1618</v>
      </c>
      <c r="B1493" t="s">
        <v>127</v>
      </c>
      <c r="C1493">
        <v>215</v>
      </c>
      <c r="D1493">
        <f t="shared" si="66"/>
        <v>2003</v>
      </c>
      <c r="E1493">
        <f t="shared" si="67"/>
        <v>11</v>
      </c>
    </row>
    <row r="1494" spans="1:5" x14ac:dyDescent="0.3">
      <c r="A1494" t="s">
        <v>1619</v>
      </c>
      <c r="B1494" t="s">
        <v>127</v>
      </c>
      <c r="C1494">
        <v>208</v>
      </c>
      <c r="D1494">
        <f t="shared" si="66"/>
        <v>2003</v>
      </c>
      <c r="E1494">
        <f t="shared" si="67"/>
        <v>11</v>
      </c>
    </row>
    <row r="1495" spans="1:5" x14ac:dyDescent="0.3">
      <c r="A1495" t="s">
        <v>1620</v>
      </c>
      <c r="B1495" t="s">
        <v>127</v>
      </c>
      <c r="C1495">
        <v>206</v>
      </c>
      <c r="D1495">
        <f t="shared" si="66"/>
        <v>2003</v>
      </c>
      <c r="E1495">
        <f t="shared" si="67"/>
        <v>12</v>
      </c>
    </row>
    <row r="1496" spans="1:5" x14ac:dyDescent="0.3">
      <c r="A1496" t="s">
        <v>1621</v>
      </c>
      <c r="B1496" t="s">
        <v>127</v>
      </c>
      <c r="C1496">
        <v>208</v>
      </c>
      <c r="D1496">
        <f t="shared" si="66"/>
        <v>2003</v>
      </c>
      <c r="E1496">
        <f t="shared" si="67"/>
        <v>12</v>
      </c>
    </row>
    <row r="1497" spans="1:5" x14ac:dyDescent="0.3">
      <c r="A1497" t="s">
        <v>1622</v>
      </c>
      <c r="B1497" t="s">
        <v>127</v>
      </c>
      <c r="C1497">
        <v>204</v>
      </c>
      <c r="D1497">
        <f t="shared" si="66"/>
        <v>2003</v>
      </c>
      <c r="E1497">
        <f t="shared" si="67"/>
        <v>12</v>
      </c>
    </row>
    <row r="1498" spans="1:5" x14ac:dyDescent="0.3">
      <c r="A1498" t="s">
        <v>1623</v>
      </c>
      <c r="B1498" t="s">
        <v>127</v>
      </c>
      <c r="C1498">
        <v>199</v>
      </c>
      <c r="D1498">
        <f t="shared" si="66"/>
        <v>2003</v>
      </c>
      <c r="E1498">
        <f t="shared" si="67"/>
        <v>12</v>
      </c>
    </row>
    <row r="1499" spans="1:5" x14ac:dyDescent="0.3">
      <c r="A1499" t="s">
        <v>1624</v>
      </c>
      <c r="B1499" t="s">
        <v>127</v>
      </c>
      <c r="C1499">
        <v>209</v>
      </c>
      <c r="D1499">
        <f t="shared" si="66"/>
        <v>2003</v>
      </c>
      <c r="E1499">
        <f t="shared" si="67"/>
        <v>12</v>
      </c>
    </row>
    <row r="1500" spans="1:5" x14ac:dyDescent="0.3">
      <c r="A1500" t="s">
        <v>1625</v>
      </c>
      <c r="B1500" t="s">
        <v>127</v>
      </c>
      <c r="C1500">
        <v>204</v>
      </c>
      <c r="D1500">
        <f t="shared" si="66"/>
        <v>2003</v>
      </c>
      <c r="E1500">
        <f t="shared" si="67"/>
        <v>12</v>
      </c>
    </row>
    <row r="1501" spans="1:5" x14ac:dyDescent="0.3">
      <c r="A1501" t="s">
        <v>1626</v>
      </c>
      <c r="B1501" t="s">
        <v>127</v>
      </c>
      <c r="C1501">
        <v>200</v>
      </c>
      <c r="D1501">
        <f t="shared" si="66"/>
        <v>2003</v>
      </c>
      <c r="E1501">
        <f t="shared" si="67"/>
        <v>12</v>
      </c>
    </row>
    <row r="1502" spans="1:5" x14ac:dyDescent="0.3">
      <c r="A1502" t="s">
        <v>1627</v>
      </c>
      <c r="B1502" t="s">
        <v>127</v>
      </c>
      <c r="C1502">
        <v>201</v>
      </c>
      <c r="D1502">
        <f t="shared" si="66"/>
        <v>2003</v>
      </c>
      <c r="E1502">
        <f t="shared" si="67"/>
        <v>12</v>
      </c>
    </row>
    <row r="1503" spans="1:5" x14ac:dyDescent="0.3">
      <c r="A1503" t="s">
        <v>1628</v>
      </c>
      <c r="B1503" t="s">
        <v>127</v>
      </c>
      <c r="C1503">
        <v>204</v>
      </c>
      <c r="D1503">
        <f t="shared" si="66"/>
        <v>2003</v>
      </c>
      <c r="E1503">
        <f t="shared" si="67"/>
        <v>12</v>
      </c>
    </row>
    <row r="1504" spans="1:5" x14ac:dyDescent="0.3">
      <c r="A1504" t="s">
        <v>1629</v>
      </c>
      <c r="B1504" t="s">
        <v>127</v>
      </c>
      <c r="C1504">
        <v>212</v>
      </c>
      <c r="D1504">
        <f t="shared" si="66"/>
        <v>2003</v>
      </c>
      <c r="E1504">
        <f t="shared" si="67"/>
        <v>12</v>
      </c>
    </row>
    <row r="1505" spans="1:5" x14ac:dyDescent="0.3">
      <c r="A1505" t="s">
        <v>1630</v>
      </c>
      <c r="B1505" t="s">
        <v>127</v>
      </c>
      <c r="C1505">
        <v>211</v>
      </c>
      <c r="D1505">
        <f t="shared" si="66"/>
        <v>2003</v>
      </c>
      <c r="E1505">
        <f t="shared" si="67"/>
        <v>12</v>
      </c>
    </row>
    <row r="1506" spans="1:5" x14ac:dyDescent="0.3">
      <c r="A1506" t="s">
        <v>1631</v>
      </c>
      <c r="B1506" t="s">
        <v>127</v>
      </c>
      <c r="C1506">
        <v>212</v>
      </c>
      <c r="D1506">
        <f t="shared" si="66"/>
        <v>2003</v>
      </c>
      <c r="E1506">
        <f t="shared" si="67"/>
        <v>12</v>
      </c>
    </row>
    <row r="1507" spans="1:5" x14ac:dyDescent="0.3">
      <c r="A1507" t="s">
        <v>1632</v>
      </c>
      <c r="B1507" t="s">
        <v>127</v>
      </c>
      <c r="C1507">
        <v>212</v>
      </c>
      <c r="D1507">
        <f t="shared" si="66"/>
        <v>2003</v>
      </c>
      <c r="E1507">
        <f t="shared" si="67"/>
        <v>12</v>
      </c>
    </row>
    <row r="1508" spans="1:5" x14ac:dyDescent="0.3">
      <c r="A1508" t="s">
        <v>1633</v>
      </c>
      <c r="B1508" t="s">
        <v>127</v>
      </c>
      <c r="C1508">
        <v>207</v>
      </c>
      <c r="D1508">
        <f t="shared" si="66"/>
        <v>2003</v>
      </c>
      <c r="E1508">
        <f t="shared" si="67"/>
        <v>12</v>
      </c>
    </row>
    <row r="1509" spans="1:5" x14ac:dyDescent="0.3">
      <c r="A1509" t="s">
        <v>1634</v>
      </c>
      <c r="B1509" t="s">
        <v>127</v>
      </c>
      <c r="C1509">
        <v>207</v>
      </c>
      <c r="D1509">
        <f t="shared" si="66"/>
        <v>2003</v>
      </c>
      <c r="E1509">
        <f t="shared" si="67"/>
        <v>12</v>
      </c>
    </row>
    <row r="1510" spans="1:5" x14ac:dyDescent="0.3">
      <c r="A1510" t="s">
        <v>1635</v>
      </c>
      <c r="B1510" t="s">
        <v>127</v>
      </c>
      <c r="C1510">
        <v>203</v>
      </c>
      <c r="D1510">
        <f t="shared" si="66"/>
        <v>2003</v>
      </c>
      <c r="E1510">
        <f t="shared" si="67"/>
        <v>12</v>
      </c>
    </row>
    <row r="1511" spans="1:5" x14ac:dyDescent="0.3">
      <c r="A1511" t="s">
        <v>1636</v>
      </c>
      <c r="B1511" t="s">
        <v>127</v>
      </c>
      <c r="C1511">
        <v>202</v>
      </c>
      <c r="D1511">
        <f t="shared" si="66"/>
        <v>2003</v>
      </c>
      <c r="E1511">
        <f t="shared" si="67"/>
        <v>12</v>
      </c>
    </row>
    <row r="1512" spans="1:5" x14ac:dyDescent="0.3">
      <c r="A1512" t="s">
        <v>1637</v>
      </c>
      <c r="B1512" t="s">
        <v>127</v>
      </c>
      <c r="C1512">
        <v>200</v>
      </c>
      <c r="D1512">
        <f t="shared" si="66"/>
        <v>2003</v>
      </c>
      <c r="E1512">
        <f t="shared" si="67"/>
        <v>12</v>
      </c>
    </row>
    <row r="1513" spans="1:5" x14ac:dyDescent="0.3">
      <c r="A1513" t="s">
        <v>1638</v>
      </c>
      <c r="B1513" t="s">
        <v>127</v>
      </c>
      <c r="C1513">
        <v>206</v>
      </c>
      <c r="D1513">
        <f t="shared" si="66"/>
        <v>2003</v>
      </c>
      <c r="E1513">
        <f t="shared" si="67"/>
        <v>12</v>
      </c>
    </row>
    <row r="1514" spans="1:5" x14ac:dyDescent="0.3">
      <c r="A1514" t="s">
        <v>1639</v>
      </c>
      <c r="B1514" t="s">
        <v>127</v>
      </c>
      <c r="C1514">
        <v>203</v>
      </c>
      <c r="D1514">
        <f t="shared" si="66"/>
        <v>2003</v>
      </c>
      <c r="E1514">
        <f t="shared" si="67"/>
        <v>12</v>
      </c>
    </row>
    <row r="1515" spans="1:5" x14ac:dyDescent="0.3">
      <c r="A1515" t="s">
        <v>1640</v>
      </c>
      <c r="B1515" t="s">
        <v>127</v>
      </c>
      <c r="C1515">
        <v>199</v>
      </c>
      <c r="D1515">
        <f t="shared" si="66"/>
        <v>2003</v>
      </c>
      <c r="E1515">
        <f t="shared" si="67"/>
        <v>12</v>
      </c>
    </row>
    <row r="1516" spans="1:5" x14ac:dyDescent="0.3">
      <c r="A1516" t="s">
        <v>1641</v>
      </c>
      <c r="B1516" t="s">
        <v>127</v>
      </c>
      <c r="C1516">
        <v>199</v>
      </c>
      <c r="D1516">
        <f t="shared" si="66"/>
        <v>2003</v>
      </c>
      <c r="E1516">
        <f t="shared" si="67"/>
        <v>12</v>
      </c>
    </row>
    <row r="1517" spans="1:5" x14ac:dyDescent="0.3">
      <c r="A1517" t="s">
        <v>1642</v>
      </c>
      <c r="B1517" t="s">
        <v>127</v>
      </c>
      <c r="C1517">
        <v>189</v>
      </c>
      <c r="D1517">
        <f t="shared" si="66"/>
        <v>2004</v>
      </c>
      <c r="E1517">
        <f t="shared" si="67"/>
        <v>1</v>
      </c>
    </row>
    <row r="1518" spans="1:5" x14ac:dyDescent="0.3">
      <c r="A1518" t="s">
        <v>1643</v>
      </c>
      <c r="B1518" t="s">
        <v>127</v>
      </c>
      <c r="C1518">
        <v>180</v>
      </c>
      <c r="D1518">
        <f t="shared" si="66"/>
        <v>2004</v>
      </c>
      <c r="E1518">
        <f t="shared" si="67"/>
        <v>1</v>
      </c>
    </row>
    <row r="1519" spans="1:5" x14ac:dyDescent="0.3">
      <c r="A1519" t="s">
        <v>1644</v>
      </c>
      <c r="B1519" t="s">
        <v>127</v>
      </c>
      <c r="C1519">
        <v>187</v>
      </c>
      <c r="D1519">
        <f t="shared" si="66"/>
        <v>2004</v>
      </c>
      <c r="E1519">
        <f t="shared" si="67"/>
        <v>1</v>
      </c>
    </row>
    <row r="1520" spans="1:5" x14ac:dyDescent="0.3">
      <c r="A1520" t="s">
        <v>1645</v>
      </c>
      <c r="B1520" t="s">
        <v>127</v>
      </c>
      <c r="C1520">
        <v>182</v>
      </c>
      <c r="D1520">
        <f t="shared" si="66"/>
        <v>2004</v>
      </c>
      <c r="E1520">
        <f t="shared" si="67"/>
        <v>1</v>
      </c>
    </row>
    <row r="1521" spans="1:5" x14ac:dyDescent="0.3">
      <c r="A1521" t="s">
        <v>1646</v>
      </c>
      <c r="B1521" t="s">
        <v>127</v>
      </c>
      <c r="C1521">
        <v>180</v>
      </c>
      <c r="D1521">
        <f t="shared" si="66"/>
        <v>2004</v>
      </c>
      <c r="E1521">
        <f t="shared" si="67"/>
        <v>1</v>
      </c>
    </row>
    <row r="1522" spans="1:5" x14ac:dyDescent="0.3">
      <c r="A1522" t="s">
        <v>1647</v>
      </c>
      <c r="B1522" t="s">
        <v>127</v>
      </c>
      <c r="C1522">
        <v>186</v>
      </c>
      <c r="D1522">
        <f t="shared" si="66"/>
        <v>2004</v>
      </c>
      <c r="E1522">
        <f t="shared" si="67"/>
        <v>1</v>
      </c>
    </row>
    <row r="1523" spans="1:5" x14ac:dyDescent="0.3">
      <c r="A1523" t="s">
        <v>1648</v>
      </c>
      <c r="B1523" t="s">
        <v>127</v>
      </c>
      <c r="C1523">
        <v>182</v>
      </c>
      <c r="D1523">
        <f t="shared" si="66"/>
        <v>2004</v>
      </c>
      <c r="E1523">
        <f t="shared" si="67"/>
        <v>1</v>
      </c>
    </row>
    <row r="1524" spans="1:5" x14ac:dyDescent="0.3">
      <c r="A1524" t="s">
        <v>1649</v>
      </c>
      <c r="B1524" t="s">
        <v>127</v>
      </c>
      <c r="C1524">
        <v>188</v>
      </c>
      <c r="D1524">
        <f t="shared" si="66"/>
        <v>2004</v>
      </c>
      <c r="E1524">
        <f t="shared" si="67"/>
        <v>1</v>
      </c>
    </row>
    <row r="1525" spans="1:5" x14ac:dyDescent="0.3">
      <c r="A1525" t="s">
        <v>1650</v>
      </c>
      <c r="B1525" t="s">
        <v>127</v>
      </c>
      <c r="C1525">
        <v>190</v>
      </c>
      <c r="D1525">
        <f t="shared" si="66"/>
        <v>2004</v>
      </c>
      <c r="E1525">
        <f t="shared" si="67"/>
        <v>1</v>
      </c>
    </row>
    <row r="1526" spans="1:5" x14ac:dyDescent="0.3">
      <c r="A1526" t="s">
        <v>1651</v>
      </c>
      <c r="B1526" t="s">
        <v>127</v>
      </c>
      <c r="C1526">
        <v>191</v>
      </c>
      <c r="D1526">
        <f t="shared" si="66"/>
        <v>2004</v>
      </c>
      <c r="E1526">
        <f t="shared" si="67"/>
        <v>1</v>
      </c>
    </row>
    <row r="1527" spans="1:5" x14ac:dyDescent="0.3">
      <c r="A1527" t="s">
        <v>1652</v>
      </c>
      <c r="B1527" t="s">
        <v>127</v>
      </c>
      <c r="C1527">
        <v>193</v>
      </c>
      <c r="D1527">
        <f t="shared" si="66"/>
        <v>2004</v>
      </c>
      <c r="E1527">
        <f t="shared" si="67"/>
        <v>1</v>
      </c>
    </row>
    <row r="1528" spans="1:5" x14ac:dyDescent="0.3">
      <c r="A1528" t="s">
        <v>1653</v>
      </c>
      <c r="B1528" t="s">
        <v>127</v>
      </c>
      <c r="C1528">
        <v>189</v>
      </c>
      <c r="D1528">
        <f t="shared" si="66"/>
        <v>2004</v>
      </c>
      <c r="E1528">
        <f t="shared" si="67"/>
        <v>1</v>
      </c>
    </row>
    <row r="1529" spans="1:5" x14ac:dyDescent="0.3">
      <c r="A1529" t="s">
        <v>1654</v>
      </c>
      <c r="B1529" t="s">
        <v>127</v>
      </c>
      <c r="C1529">
        <v>189</v>
      </c>
      <c r="D1529">
        <f t="shared" si="66"/>
        <v>2004</v>
      </c>
      <c r="E1529">
        <f t="shared" si="67"/>
        <v>1</v>
      </c>
    </row>
    <row r="1530" spans="1:5" x14ac:dyDescent="0.3">
      <c r="A1530" t="s">
        <v>1655</v>
      </c>
      <c r="B1530" t="s">
        <v>127</v>
      </c>
      <c r="C1530">
        <v>195</v>
      </c>
      <c r="D1530">
        <f t="shared" si="66"/>
        <v>2004</v>
      </c>
      <c r="E1530">
        <f t="shared" si="67"/>
        <v>1</v>
      </c>
    </row>
    <row r="1531" spans="1:5" x14ac:dyDescent="0.3">
      <c r="A1531" t="s">
        <v>1656</v>
      </c>
      <c r="B1531" t="s">
        <v>127</v>
      </c>
      <c r="C1531">
        <v>193</v>
      </c>
      <c r="D1531">
        <f t="shared" si="66"/>
        <v>2004</v>
      </c>
      <c r="E1531">
        <f t="shared" si="67"/>
        <v>1</v>
      </c>
    </row>
    <row r="1532" spans="1:5" x14ac:dyDescent="0.3">
      <c r="A1532" t="s">
        <v>1657</v>
      </c>
      <c r="B1532" t="s">
        <v>127</v>
      </c>
      <c r="C1532">
        <v>195</v>
      </c>
      <c r="D1532">
        <f t="shared" si="66"/>
        <v>2004</v>
      </c>
      <c r="E1532">
        <f t="shared" si="67"/>
        <v>1</v>
      </c>
    </row>
    <row r="1533" spans="1:5" x14ac:dyDescent="0.3">
      <c r="A1533" t="s">
        <v>1658</v>
      </c>
      <c r="B1533" t="s">
        <v>127</v>
      </c>
      <c r="C1533">
        <v>194</v>
      </c>
      <c r="D1533">
        <f t="shared" si="66"/>
        <v>2004</v>
      </c>
      <c r="E1533">
        <f t="shared" si="67"/>
        <v>1</v>
      </c>
    </row>
    <row r="1534" spans="1:5" x14ac:dyDescent="0.3">
      <c r="A1534" t="s">
        <v>1659</v>
      </c>
      <c r="B1534" t="s">
        <v>127</v>
      </c>
      <c r="C1534">
        <v>195</v>
      </c>
      <c r="D1534">
        <f t="shared" si="66"/>
        <v>2004</v>
      </c>
      <c r="E1534">
        <f t="shared" si="67"/>
        <v>1</v>
      </c>
    </row>
    <row r="1535" spans="1:5" x14ac:dyDescent="0.3">
      <c r="A1535" t="s">
        <v>1660</v>
      </c>
      <c r="B1535" t="s">
        <v>127</v>
      </c>
      <c r="C1535">
        <v>202</v>
      </c>
      <c r="D1535">
        <f t="shared" si="66"/>
        <v>2004</v>
      </c>
      <c r="E1535">
        <f t="shared" si="67"/>
        <v>1</v>
      </c>
    </row>
    <row r="1536" spans="1:5" x14ac:dyDescent="0.3">
      <c r="A1536" t="s">
        <v>1661</v>
      </c>
      <c r="B1536" t="s">
        <v>127</v>
      </c>
      <c r="C1536">
        <v>204</v>
      </c>
      <c r="D1536">
        <f t="shared" si="66"/>
        <v>2004</v>
      </c>
      <c r="E1536">
        <f t="shared" si="67"/>
        <v>1</v>
      </c>
    </row>
    <row r="1537" spans="1:5" x14ac:dyDescent="0.3">
      <c r="A1537" t="s">
        <v>1662</v>
      </c>
      <c r="B1537" t="s">
        <v>127</v>
      </c>
      <c r="C1537">
        <v>206</v>
      </c>
      <c r="D1537">
        <f t="shared" si="66"/>
        <v>2004</v>
      </c>
      <c r="E1537">
        <f t="shared" si="67"/>
        <v>2</v>
      </c>
    </row>
    <row r="1538" spans="1:5" x14ac:dyDescent="0.3">
      <c r="A1538" t="s">
        <v>1663</v>
      </c>
      <c r="B1538" t="s">
        <v>127</v>
      </c>
      <c r="C1538">
        <v>205</v>
      </c>
      <c r="D1538">
        <f t="shared" si="66"/>
        <v>2004</v>
      </c>
      <c r="E1538">
        <f t="shared" si="67"/>
        <v>2</v>
      </c>
    </row>
    <row r="1539" spans="1:5" x14ac:dyDescent="0.3">
      <c r="A1539" t="s">
        <v>1664</v>
      </c>
      <c r="B1539" t="s">
        <v>127</v>
      </c>
      <c r="C1539">
        <v>201</v>
      </c>
      <c r="D1539">
        <f t="shared" ref="D1539:D1602" si="68">YEAR(A1539)</f>
        <v>2004</v>
      </c>
      <c r="E1539">
        <f t="shared" ref="E1539:E1602" si="69">MONTH(A1539)</f>
        <v>2</v>
      </c>
    </row>
    <row r="1540" spans="1:5" x14ac:dyDescent="0.3">
      <c r="A1540" t="s">
        <v>1665</v>
      </c>
      <c r="B1540" t="s">
        <v>127</v>
      </c>
      <c r="C1540">
        <v>201</v>
      </c>
      <c r="D1540">
        <f t="shared" si="68"/>
        <v>2004</v>
      </c>
      <c r="E1540">
        <f t="shared" si="69"/>
        <v>2</v>
      </c>
    </row>
    <row r="1541" spans="1:5" x14ac:dyDescent="0.3">
      <c r="A1541" t="s">
        <v>1666</v>
      </c>
      <c r="B1541" t="s">
        <v>127</v>
      </c>
      <c r="C1541">
        <v>200</v>
      </c>
      <c r="D1541">
        <f t="shared" si="68"/>
        <v>2004</v>
      </c>
      <c r="E1541">
        <f t="shared" si="69"/>
        <v>2</v>
      </c>
    </row>
    <row r="1542" spans="1:5" x14ac:dyDescent="0.3">
      <c r="A1542" t="s">
        <v>1667</v>
      </c>
      <c r="B1542" t="s">
        <v>127</v>
      </c>
      <c r="C1542">
        <v>197</v>
      </c>
      <c r="D1542">
        <f t="shared" si="68"/>
        <v>2004</v>
      </c>
      <c r="E1542">
        <f t="shared" si="69"/>
        <v>2</v>
      </c>
    </row>
    <row r="1543" spans="1:5" x14ac:dyDescent="0.3">
      <c r="A1543" t="s">
        <v>1668</v>
      </c>
      <c r="B1543" t="s">
        <v>127</v>
      </c>
      <c r="C1543">
        <v>196</v>
      </c>
      <c r="D1543">
        <f t="shared" si="68"/>
        <v>2004</v>
      </c>
      <c r="E1543">
        <f t="shared" si="69"/>
        <v>2</v>
      </c>
    </row>
    <row r="1544" spans="1:5" x14ac:dyDescent="0.3">
      <c r="A1544" t="s">
        <v>1669</v>
      </c>
      <c r="B1544" t="s">
        <v>127</v>
      </c>
      <c r="C1544">
        <v>193</v>
      </c>
      <c r="D1544">
        <f t="shared" si="68"/>
        <v>2004</v>
      </c>
      <c r="E1544">
        <f t="shared" si="69"/>
        <v>2</v>
      </c>
    </row>
    <row r="1545" spans="1:5" x14ac:dyDescent="0.3">
      <c r="A1545" t="s">
        <v>1670</v>
      </c>
      <c r="B1545" t="s">
        <v>127</v>
      </c>
      <c r="C1545">
        <v>188</v>
      </c>
      <c r="D1545">
        <f t="shared" si="68"/>
        <v>2004</v>
      </c>
      <c r="E1545">
        <f t="shared" si="69"/>
        <v>2</v>
      </c>
    </row>
    <row r="1546" spans="1:5" x14ac:dyDescent="0.3">
      <c r="A1546" t="s">
        <v>1671</v>
      </c>
      <c r="B1546" t="s">
        <v>127</v>
      </c>
      <c r="C1546">
        <v>186</v>
      </c>
      <c r="D1546">
        <f t="shared" si="68"/>
        <v>2004</v>
      </c>
      <c r="E1546">
        <f t="shared" si="69"/>
        <v>2</v>
      </c>
    </row>
    <row r="1547" spans="1:5" x14ac:dyDescent="0.3">
      <c r="A1547" t="s">
        <v>1672</v>
      </c>
      <c r="B1547" t="s">
        <v>127</v>
      </c>
      <c r="C1547">
        <v>188</v>
      </c>
      <c r="D1547">
        <f t="shared" si="68"/>
        <v>2004</v>
      </c>
      <c r="E1547">
        <f t="shared" si="69"/>
        <v>2</v>
      </c>
    </row>
    <row r="1548" spans="1:5" x14ac:dyDescent="0.3">
      <c r="A1548" t="s">
        <v>1673</v>
      </c>
      <c r="B1548" t="s">
        <v>127</v>
      </c>
      <c r="C1548">
        <v>187</v>
      </c>
      <c r="D1548">
        <f t="shared" si="68"/>
        <v>2004</v>
      </c>
      <c r="E1548">
        <f t="shared" si="69"/>
        <v>2</v>
      </c>
    </row>
    <row r="1549" spans="1:5" x14ac:dyDescent="0.3">
      <c r="A1549" t="s">
        <v>1674</v>
      </c>
      <c r="B1549" t="s">
        <v>127</v>
      </c>
      <c r="C1549">
        <v>189</v>
      </c>
      <c r="D1549">
        <f t="shared" si="68"/>
        <v>2004</v>
      </c>
      <c r="E1549">
        <f t="shared" si="69"/>
        <v>2</v>
      </c>
    </row>
    <row r="1550" spans="1:5" x14ac:dyDescent="0.3">
      <c r="A1550" t="s">
        <v>1675</v>
      </c>
      <c r="B1550" t="s">
        <v>127</v>
      </c>
      <c r="C1550">
        <v>189</v>
      </c>
      <c r="D1550">
        <f t="shared" si="68"/>
        <v>2004</v>
      </c>
      <c r="E1550">
        <f t="shared" si="69"/>
        <v>2</v>
      </c>
    </row>
    <row r="1551" spans="1:5" x14ac:dyDescent="0.3">
      <c r="A1551" t="s">
        <v>1676</v>
      </c>
      <c r="B1551" t="s">
        <v>127</v>
      </c>
      <c r="C1551">
        <v>189</v>
      </c>
      <c r="D1551">
        <f t="shared" si="68"/>
        <v>2004</v>
      </c>
      <c r="E1551">
        <f t="shared" si="69"/>
        <v>2</v>
      </c>
    </row>
    <row r="1552" spans="1:5" x14ac:dyDescent="0.3">
      <c r="A1552" t="s">
        <v>1677</v>
      </c>
      <c r="B1552" t="s">
        <v>127</v>
      </c>
      <c r="C1552">
        <v>190</v>
      </c>
      <c r="D1552">
        <f t="shared" si="68"/>
        <v>2004</v>
      </c>
      <c r="E1552">
        <f t="shared" si="69"/>
        <v>2</v>
      </c>
    </row>
    <row r="1553" spans="1:5" x14ac:dyDescent="0.3">
      <c r="A1553" t="s">
        <v>1678</v>
      </c>
      <c r="B1553" t="s">
        <v>127</v>
      </c>
      <c r="C1553">
        <v>190</v>
      </c>
      <c r="D1553">
        <f t="shared" si="68"/>
        <v>2004</v>
      </c>
      <c r="E1553">
        <f t="shared" si="69"/>
        <v>2</v>
      </c>
    </row>
    <row r="1554" spans="1:5" x14ac:dyDescent="0.3">
      <c r="A1554" t="s">
        <v>1679</v>
      </c>
      <c r="B1554" t="s">
        <v>127</v>
      </c>
      <c r="C1554">
        <v>187</v>
      </c>
      <c r="D1554">
        <f t="shared" si="68"/>
        <v>2004</v>
      </c>
      <c r="E1554">
        <f t="shared" si="69"/>
        <v>2</v>
      </c>
    </row>
    <row r="1555" spans="1:5" x14ac:dyDescent="0.3">
      <c r="A1555" t="s">
        <v>1680</v>
      </c>
      <c r="B1555" t="s">
        <v>127</v>
      </c>
      <c r="C1555">
        <v>189</v>
      </c>
      <c r="D1555">
        <f t="shared" si="68"/>
        <v>2004</v>
      </c>
      <c r="E1555">
        <f t="shared" si="69"/>
        <v>2</v>
      </c>
    </row>
    <row r="1556" spans="1:5" x14ac:dyDescent="0.3">
      <c r="A1556" t="s">
        <v>1681</v>
      </c>
      <c r="B1556" t="s">
        <v>127</v>
      </c>
      <c r="C1556">
        <v>184</v>
      </c>
      <c r="D1556">
        <f t="shared" si="68"/>
        <v>2004</v>
      </c>
      <c r="E1556">
        <f t="shared" si="69"/>
        <v>3</v>
      </c>
    </row>
    <row r="1557" spans="1:5" x14ac:dyDescent="0.3">
      <c r="A1557" t="s">
        <v>1682</v>
      </c>
      <c r="B1557" t="s">
        <v>127</v>
      </c>
      <c r="C1557">
        <v>183</v>
      </c>
      <c r="D1557">
        <f t="shared" si="68"/>
        <v>2004</v>
      </c>
      <c r="E1557">
        <f t="shared" si="69"/>
        <v>3</v>
      </c>
    </row>
    <row r="1558" spans="1:5" x14ac:dyDescent="0.3">
      <c r="A1558" t="s">
        <v>1683</v>
      </c>
      <c r="B1558" t="s">
        <v>127</v>
      </c>
      <c r="C1558">
        <v>181</v>
      </c>
      <c r="D1558">
        <f t="shared" si="68"/>
        <v>2004</v>
      </c>
      <c r="E1558">
        <f t="shared" si="69"/>
        <v>3</v>
      </c>
    </row>
    <row r="1559" spans="1:5" x14ac:dyDescent="0.3">
      <c r="A1559" t="s">
        <v>1684</v>
      </c>
      <c r="B1559" t="s">
        <v>127</v>
      </c>
      <c r="C1559">
        <v>183</v>
      </c>
      <c r="D1559">
        <f t="shared" si="68"/>
        <v>2004</v>
      </c>
      <c r="E1559">
        <f t="shared" si="69"/>
        <v>3</v>
      </c>
    </row>
    <row r="1560" spans="1:5" x14ac:dyDescent="0.3">
      <c r="A1560" t="s">
        <v>1685</v>
      </c>
      <c r="B1560" t="s">
        <v>127</v>
      </c>
      <c r="C1560">
        <v>187</v>
      </c>
      <c r="D1560">
        <f t="shared" si="68"/>
        <v>2004</v>
      </c>
      <c r="E1560">
        <f t="shared" si="69"/>
        <v>3</v>
      </c>
    </row>
    <row r="1561" spans="1:5" x14ac:dyDescent="0.3">
      <c r="A1561" t="s">
        <v>1686</v>
      </c>
      <c r="B1561" t="s">
        <v>127</v>
      </c>
      <c r="C1561">
        <v>186</v>
      </c>
      <c r="D1561">
        <f t="shared" si="68"/>
        <v>2004</v>
      </c>
      <c r="E1561">
        <f t="shared" si="69"/>
        <v>3</v>
      </c>
    </row>
    <row r="1562" spans="1:5" x14ac:dyDescent="0.3">
      <c r="A1562" t="s">
        <v>1687</v>
      </c>
      <c r="B1562" t="s">
        <v>127</v>
      </c>
      <c r="C1562">
        <v>185</v>
      </c>
      <c r="D1562">
        <f t="shared" si="68"/>
        <v>2004</v>
      </c>
      <c r="E1562">
        <f t="shared" si="69"/>
        <v>3</v>
      </c>
    </row>
    <row r="1563" spans="1:5" x14ac:dyDescent="0.3">
      <c r="A1563" t="s">
        <v>1688</v>
      </c>
      <c r="B1563" t="s">
        <v>127</v>
      </c>
      <c r="C1563">
        <v>186</v>
      </c>
      <c r="D1563">
        <f t="shared" si="68"/>
        <v>2004</v>
      </c>
      <c r="E1563">
        <f t="shared" si="69"/>
        <v>3</v>
      </c>
    </row>
    <row r="1564" spans="1:5" x14ac:dyDescent="0.3">
      <c r="A1564" t="s">
        <v>1689</v>
      </c>
      <c r="B1564" t="s">
        <v>127</v>
      </c>
      <c r="C1564">
        <v>190</v>
      </c>
      <c r="D1564">
        <f t="shared" si="68"/>
        <v>2004</v>
      </c>
      <c r="E1564">
        <f t="shared" si="69"/>
        <v>3</v>
      </c>
    </row>
    <row r="1565" spans="1:5" x14ac:dyDescent="0.3">
      <c r="A1565" t="s">
        <v>1690</v>
      </c>
      <c r="B1565" t="s">
        <v>127</v>
      </c>
      <c r="C1565">
        <v>190</v>
      </c>
      <c r="D1565">
        <f t="shared" si="68"/>
        <v>2004</v>
      </c>
      <c r="E1565">
        <f t="shared" si="69"/>
        <v>3</v>
      </c>
    </row>
    <row r="1566" spans="1:5" x14ac:dyDescent="0.3">
      <c r="A1566" t="s">
        <v>1691</v>
      </c>
      <c r="B1566" t="s">
        <v>127</v>
      </c>
      <c r="C1566">
        <v>189</v>
      </c>
      <c r="D1566">
        <f t="shared" si="68"/>
        <v>2004</v>
      </c>
      <c r="E1566">
        <f t="shared" si="69"/>
        <v>3</v>
      </c>
    </row>
    <row r="1567" spans="1:5" x14ac:dyDescent="0.3">
      <c r="A1567" t="s">
        <v>1692</v>
      </c>
      <c r="B1567" t="s">
        <v>127</v>
      </c>
      <c r="C1567">
        <v>193</v>
      </c>
      <c r="D1567">
        <f t="shared" si="68"/>
        <v>2004</v>
      </c>
      <c r="E1567">
        <f t="shared" si="69"/>
        <v>3</v>
      </c>
    </row>
    <row r="1568" spans="1:5" x14ac:dyDescent="0.3">
      <c r="A1568" t="s">
        <v>1693</v>
      </c>
      <c r="B1568" t="s">
        <v>127</v>
      </c>
      <c r="C1568">
        <v>190</v>
      </c>
      <c r="D1568">
        <f t="shared" si="68"/>
        <v>2004</v>
      </c>
      <c r="E1568">
        <f t="shared" si="69"/>
        <v>3</v>
      </c>
    </row>
    <row r="1569" spans="1:5" x14ac:dyDescent="0.3">
      <c r="A1569" t="s">
        <v>1694</v>
      </c>
      <c r="B1569" t="s">
        <v>127</v>
      </c>
      <c r="C1569">
        <v>188</v>
      </c>
      <c r="D1569">
        <f t="shared" si="68"/>
        <v>2004</v>
      </c>
      <c r="E1569">
        <f t="shared" si="69"/>
        <v>3</v>
      </c>
    </row>
    <row r="1570" spans="1:5" x14ac:dyDescent="0.3">
      <c r="A1570" t="s">
        <v>1695</v>
      </c>
      <c r="B1570" t="s">
        <v>127</v>
      </c>
      <c r="C1570">
        <v>187</v>
      </c>
      <c r="D1570">
        <f t="shared" si="68"/>
        <v>2004</v>
      </c>
      <c r="E1570">
        <f t="shared" si="69"/>
        <v>3</v>
      </c>
    </row>
    <row r="1571" spans="1:5" x14ac:dyDescent="0.3">
      <c r="A1571" t="s">
        <v>1696</v>
      </c>
      <c r="B1571" t="s">
        <v>127</v>
      </c>
      <c r="C1571">
        <v>189</v>
      </c>
      <c r="D1571">
        <f t="shared" si="68"/>
        <v>2004</v>
      </c>
      <c r="E1571">
        <f t="shared" si="69"/>
        <v>3</v>
      </c>
    </row>
    <row r="1572" spans="1:5" x14ac:dyDescent="0.3">
      <c r="A1572" t="s">
        <v>1697</v>
      </c>
      <c r="B1572" t="s">
        <v>127</v>
      </c>
      <c r="C1572">
        <v>184</v>
      </c>
      <c r="D1572">
        <f t="shared" si="68"/>
        <v>2004</v>
      </c>
      <c r="E1572">
        <f t="shared" si="69"/>
        <v>3</v>
      </c>
    </row>
    <row r="1573" spans="1:5" x14ac:dyDescent="0.3">
      <c r="A1573" t="s">
        <v>1698</v>
      </c>
      <c r="B1573" t="s">
        <v>127</v>
      </c>
      <c r="C1573">
        <v>185</v>
      </c>
      <c r="D1573">
        <f t="shared" si="68"/>
        <v>2004</v>
      </c>
      <c r="E1573">
        <f t="shared" si="69"/>
        <v>3</v>
      </c>
    </row>
    <row r="1574" spans="1:5" x14ac:dyDescent="0.3">
      <c r="A1574" t="s">
        <v>1699</v>
      </c>
      <c r="B1574" t="s">
        <v>127</v>
      </c>
      <c r="C1574">
        <v>185</v>
      </c>
      <c r="D1574">
        <f t="shared" si="68"/>
        <v>2004</v>
      </c>
      <c r="E1574">
        <f t="shared" si="69"/>
        <v>3</v>
      </c>
    </row>
    <row r="1575" spans="1:5" x14ac:dyDescent="0.3">
      <c r="A1575" t="s">
        <v>1700</v>
      </c>
      <c r="B1575" t="s">
        <v>127</v>
      </c>
      <c r="C1575">
        <v>179</v>
      </c>
      <c r="D1575">
        <f t="shared" si="68"/>
        <v>2004</v>
      </c>
      <c r="E1575">
        <f t="shared" si="69"/>
        <v>3</v>
      </c>
    </row>
    <row r="1576" spans="1:5" x14ac:dyDescent="0.3">
      <c r="A1576" t="s">
        <v>1701</v>
      </c>
      <c r="B1576" t="s">
        <v>127</v>
      </c>
      <c r="C1576">
        <v>180</v>
      </c>
      <c r="D1576">
        <f t="shared" si="68"/>
        <v>2004</v>
      </c>
      <c r="E1576">
        <f t="shared" si="69"/>
        <v>3</v>
      </c>
    </row>
    <row r="1577" spans="1:5" x14ac:dyDescent="0.3">
      <c r="A1577" t="s">
        <v>1702</v>
      </c>
      <c r="B1577" t="s">
        <v>127</v>
      </c>
      <c r="C1577">
        <v>177</v>
      </c>
      <c r="D1577">
        <f t="shared" si="68"/>
        <v>2004</v>
      </c>
      <c r="E1577">
        <f t="shared" si="69"/>
        <v>3</v>
      </c>
    </row>
    <row r="1578" spans="1:5" x14ac:dyDescent="0.3">
      <c r="A1578" t="s">
        <v>1703</v>
      </c>
      <c r="B1578" t="s">
        <v>127</v>
      </c>
      <c r="C1578">
        <v>183</v>
      </c>
      <c r="D1578">
        <f t="shared" si="68"/>
        <v>2004</v>
      </c>
      <c r="E1578">
        <f t="shared" si="69"/>
        <v>3</v>
      </c>
    </row>
    <row r="1579" spans="1:5" x14ac:dyDescent="0.3">
      <c r="A1579" t="s">
        <v>1704</v>
      </c>
      <c r="B1579" t="s">
        <v>127</v>
      </c>
      <c r="C1579">
        <v>180</v>
      </c>
      <c r="D1579">
        <f t="shared" si="68"/>
        <v>2004</v>
      </c>
      <c r="E1579">
        <f t="shared" si="69"/>
        <v>4</v>
      </c>
    </row>
    <row r="1580" spans="1:5" x14ac:dyDescent="0.3">
      <c r="A1580" t="s">
        <v>1705</v>
      </c>
      <c r="B1580" t="s">
        <v>127</v>
      </c>
      <c r="C1580">
        <v>173</v>
      </c>
      <c r="D1580">
        <f t="shared" si="68"/>
        <v>2004</v>
      </c>
      <c r="E1580">
        <f t="shared" si="69"/>
        <v>4</v>
      </c>
    </row>
    <row r="1581" spans="1:5" x14ac:dyDescent="0.3">
      <c r="A1581" t="s">
        <v>1706</v>
      </c>
      <c r="B1581" t="s">
        <v>127</v>
      </c>
      <c r="C1581">
        <v>169</v>
      </c>
      <c r="D1581">
        <f t="shared" si="68"/>
        <v>2004</v>
      </c>
      <c r="E1581">
        <f t="shared" si="69"/>
        <v>4</v>
      </c>
    </row>
    <row r="1582" spans="1:5" x14ac:dyDescent="0.3">
      <c r="A1582" t="s">
        <v>1707</v>
      </c>
      <c r="B1582" t="s">
        <v>127</v>
      </c>
      <c r="C1582">
        <v>169</v>
      </c>
      <c r="D1582">
        <f t="shared" si="68"/>
        <v>2004</v>
      </c>
      <c r="E1582">
        <f t="shared" si="69"/>
        <v>4</v>
      </c>
    </row>
    <row r="1583" spans="1:5" x14ac:dyDescent="0.3">
      <c r="A1583" t="s">
        <v>1708</v>
      </c>
      <c r="B1583" t="s">
        <v>127</v>
      </c>
      <c r="C1583">
        <v>169</v>
      </c>
      <c r="D1583">
        <f t="shared" si="68"/>
        <v>2004</v>
      </c>
      <c r="E1583">
        <f t="shared" si="69"/>
        <v>4</v>
      </c>
    </row>
    <row r="1584" spans="1:5" x14ac:dyDescent="0.3">
      <c r="A1584" t="s">
        <v>1709</v>
      </c>
      <c r="B1584" t="s">
        <v>127</v>
      </c>
      <c r="C1584">
        <v>170</v>
      </c>
      <c r="D1584">
        <f t="shared" si="68"/>
        <v>2004</v>
      </c>
      <c r="E1584">
        <f t="shared" si="69"/>
        <v>4</v>
      </c>
    </row>
    <row r="1585" spans="1:5" x14ac:dyDescent="0.3">
      <c r="A1585" t="s">
        <v>1710</v>
      </c>
      <c r="B1585" t="s">
        <v>127</v>
      </c>
      <c r="C1585">
        <v>170</v>
      </c>
      <c r="D1585">
        <f t="shared" si="68"/>
        <v>2004</v>
      </c>
      <c r="E1585">
        <f t="shared" si="69"/>
        <v>4</v>
      </c>
    </row>
    <row r="1586" spans="1:5" x14ac:dyDescent="0.3">
      <c r="A1586" t="s">
        <v>1711</v>
      </c>
      <c r="B1586" t="s">
        <v>127</v>
      </c>
      <c r="C1586">
        <v>168</v>
      </c>
      <c r="D1586">
        <f t="shared" si="68"/>
        <v>2004</v>
      </c>
      <c r="E1586">
        <f t="shared" si="69"/>
        <v>4</v>
      </c>
    </row>
    <row r="1587" spans="1:5" x14ac:dyDescent="0.3">
      <c r="A1587" t="s">
        <v>1712</v>
      </c>
      <c r="B1587" t="s">
        <v>127</v>
      </c>
      <c r="C1587">
        <v>166</v>
      </c>
      <c r="D1587">
        <f t="shared" si="68"/>
        <v>2004</v>
      </c>
      <c r="E1587">
        <f t="shared" si="69"/>
        <v>4</v>
      </c>
    </row>
    <row r="1588" spans="1:5" x14ac:dyDescent="0.3">
      <c r="A1588" t="s">
        <v>1713</v>
      </c>
      <c r="B1588" t="s">
        <v>127</v>
      </c>
      <c r="C1588">
        <v>172</v>
      </c>
      <c r="D1588">
        <f t="shared" si="68"/>
        <v>2004</v>
      </c>
      <c r="E1588">
        <f t="shared" si="69"/>
        <v>4</v>
      </c>
    </row>
    <row r="1589" spans="1:5" x14ac:dyDescent="0.3">
      <c r="A1589" t="s">
        <v>1714</v>
      </c>
      <c r="B1589" t="s">
        <v>127</v>
      </c>
      <c r="C1589">
        <v>174</v>
      </c>
      <c r="D1589">
        <f t="shared" si="68"/>
        <v>2004</v>
      </c>
      <c r="E1589">
        <f t="shared" si="69"/>
        <v>4</v>
      </c>
    </row>
    <row r="1590" spans="1:5" x14ac:dyDescent="0.3">
      <c r="A1590" t="s">
        <v>1715</v>
      </c>
      <c r="B1590" t="s">
        <v>127</v>
      </c>
      <c r="C1590">
        <v>178</v>
      </c>
      <c r="D1590">
        <f t="shared" si="68"/>
        <v>2004</v>
      </c>
      <c r="E1590">
        <f t="shared" si="69"/>
        <v>4</v>
      </c>
    </row>
    <row r="1591" spans="1:5" x14ac:dyDescent="0.3">
      <c r="A1591" t="s">
        <v>1716</v>
      </c>
      <c r="B1591" t="s">
        <v>127</v>
      </c>
      <c r="C1591">
        <v>178</v>
      </c>
      <c r="D1591">
        <f t="shared" si="68"/>
        <v>2004</v>
      </c>
      <c r="E1591">
        <f t="shared" si="69"/>
        <v>4</v>
      </c>
    </row>
    <row r="1592" spans="1:5" x14ac:dyDescent="0.3">
      <c r="A1592" t="s">
        <v>1717</v>
      </c>
      <c r="B1592" t="s">
        <v>127</v>
      </c>
      <c r="C1592">
        <v>177</v>
      </c>
      <c r="D1592">
        <f t="shared" si="68"/>
        <v>2004</v>
      </c>
      <c r="E1592">
        <f t="shared" si="69"/>
        <v>4</v>
      </c>
    </row>
    <row r="1593" spans="1:5" x14ac:dyDescent="0.3">
      <c r="A1593" t="s">
        <v>1718</v>
      </c>
      <c r="B1593" t="s">
        <v>127</v>
      </c>
      <c r="C1593">
        <v>182</v>
      </c>
      <c r="D1593">
        <f t="shared" si="68"/>
        <v>2004</v>
      </c>
      <c r="E1593">
        <f t="shared" si="69"/>
        <v>4</v>
      </c>
    </row>
    <row r="1594" spans="1:5" x14ac:dyDescent="0.3">
      <c r="A1594" t="s">
        <v>1719</v>
      </c>
      <c r="B1594" t="s">
        <v>127</v>
      </c>
      <c r="C1594">
        <v>180</v>
      </c>
      <c r="D1594">
        <f t="shared" si="68"/>
        <v>2004</v>
      </c>
      <c r="E1594">
        <f t="shared" si="69"/>
        <v>4</v>
      </c>
    </row>
    <row r="1595" spans="1:5" x14ac:dyDescent="0.3">
      <c r="A1595" t="s">
        <v>1720</v>
      </c>
      <c r="B1595" t="s">
        <v>127</v>
      </c>
      <c r="C1595">
        <v>178</v>
      </c>
      <c r="D1595">
        <f t="shared" si="68"/>
        <v>2004</v>
      </c>
      <c r="E1595">
        <f t="shared" si="69"/>
        <v>4</v>
      </c>
    </row>
    <row r="1596" spans="1:5" x14ac:dyDescent="0.3">
      <c r="A1596" t="s">
        <v>1721</v>
      </c>
      <c r="B1596" t="s">
        <v>127</v>
      </c>
      <c r="C1596">
        <v>182</v>
      </c>
      <c r="D1596">
        <f t="shared" si="68"/>
        <v>2004</v>
      </c>
      <c r="E1596">
        <f t="shared" si="69"/>
        <v>4</v>
      </c>
    </row>
    <row r="1597" spans="1:5" x14ac:dyDescent="0.3">
      <c r="A1597" t="s">
        <v>1722</v>
      </c>
      <c r="B1597" t="s">
        <v>127</v>
      </c>
      <c r="C1597">
        <v>190</v>
      </c>
      <c r="D1597">
        <f t="shared" si="68"/>
        <v>2004</v>
      </c>
      <c r="E1597">
        <f t="shared" si="69"/>
        <v>4</v>
      </c>
    </row>
    <row r="1598" spans="1:5" x14ac:dyDescent="0.3">
      <c r="A1598" t="s">
        <v>1723</v>
      </c>
      <c r="B1598" t="s">
        <v>127</v>
      </c>
      <c r="C1598">
        <v>208</v>
      </c>
      <c r="D1598">
        <f t="shared" si="68"/>
        <v>2004</v>
      </c>
      <c r="E1598">
        <f t="shared" si="69"/>
        <v>4</v>
      </c>
    </row>
    <row r="1599" spans="1:5" x14ac:dyDescent="0.3">
      <c r="A1599" t="s">
        <v>1724</v>
      </c>
      <c r="B1599" t="s">
        <v>127</v>
      </c>
      <c r="C1599">
        <v>215</v>
      </c>
      <c r="D1599">
        <f t="shared" si="68"/>
        <v>2004</v>
      </c>
      <c r="E1599">
        <f t="shared" si="69"/>
        <v>4</v>
      </c>
    </row>
    <row r="1600" spans="1:5" x14ac:dyDescent="0.3">
      <c r="A1600" t="s">
        <v>1725</v>
      </c>
      <c r="B1600" t="s">
        <v>127</v>
      </c>
      <c r="C1600">
        <v>201</v>
      </c>
      <c r="D1600">
        <f t="shared" si="68"/>
        <v>2004</v>
      </c>
      <c r="E1600">
        <f t="shared" si="69"/>
        <v>4</v>
      </c>
    </row>
    <row r="1601" spans="1:5" x14ac:dyDescent="0.3">
      <c r="A1601" t="s">
        <v>1726</v>
      </c>
      <c r="B1601" t="s">
        <v>127</v>
      </c>
      <c r="C1601">
        <v>213</v>
      </c>
      <c r="D1601">
        <f t="shared" si="68"/>
        <v>2004</v>
      </c>
      <c r="E1601">
        <f t="shared" si="69"/>
        <v>5</v>
      </c>
    </row>
    <row r="1602" spans="1:5" x14ac:dyDescent="0.3">
      <c r="A1602" t="s">
        <v>1727</v>
      </c>
      <c r="B1602" t="s">
        <v>127</v>
      </c>
      <c r="C1602">
        <v>214</v>
      </c>
      <c r="D1602">
        <f t="shared" si="68"/>
        <v>2004</v>
      </c>
      <c r="E1602">
        <f t="shared" si="69"/>
        <v>5</v>
      </c>
    </row>
    <row r="1603" spans="1:5" x14ac:dyDescent="0.3">
      <c r="A1603" t="s">
        <v>1728</v>
      </c>
      <c r="B1603" t="s">
        <v>127</v>
      </c>
      <c r="C1603">
        <v>214</v>
      </c>
      <c r="D1603">
        <f t="shared" ref="D1603:D1666" si="70">YEAR(A1603)</f>
        <v>2004</v>
      </c>
      <c r="E1603">
        <f t="shared" ref="E1603:E1666" si="71">MONTH(A1603)</f>
        <v>5</v>
      </c>
    </row>
    <row r="1604" spans="1:5" x14ac:dyDescent="0.3">
      <c r="A1604" t="s">
        <v>1729</v>
      </c>
      <c r="B1604" t="s">
        <v>127</v>
      </c>
      <c r="C1604">
        <v>235</v>
      </c>
      <c r="D1604">
        <f t="shared" si="70"/>
        <v>2004</v>
      </c>
      <c r="E1604">
        <f t="shared" si="71"/>
        <v>5</v>
      </c>
    </row>
    <row r="1605" spans="1:5" x14ac:dyDescent="0.3">
      <c r="A1605" t="s">
        <v>1730</v>
      </c>
      <c r="B1605" t="s">
        <v>127</v>
      </c>
      <c r="C1605">
        <v>229</v>
      </c>
      <c r="D1605">
        <f t="shared" si="70"/>
        <v>2004</v>
      </c>
      <c r="E1605">
        <f t="shared" si="71"/>
        <v>5</v>
      </c>
    </row>
    <row r="1606" spans="1:5" x14ac:dyDescent="0.3">
      <c r="A1606" t="s">
        <v>1731</v>
      </c>
      <c r="B1606" t="s">
        <v>127</v>
      </c>
      <c r="C1606">
        <v>255</v>
      </c>
      <c r="D1606">
        <f t="shared" si="70"/>
        <v>2004</v>
      </c>
      <c r="E1606">
        <f t="shared" si="71"/>
        <v>5</v>
      </c>
    </row>
    <row r="1607" spans="1:5" x14ac:dyDescent="0.3">
      <c r="A1607" t="s">
        <v>1732</v>
      </c>
      <c r="B1607" t="s">
        <v>127</v>
      </c>
      <c r="C1607">
        <v>230</v>
      </c>
      <c r="D1607">
        <f t="shared" si="70"/>
        <v>2004</v>
      </c>
      <c r="E1607">
        <f t="shared" si="71"/>
        <v>5</v>
      </c>
    </row>
    <row r="1608" spans="1:5" x14ac:dyDescent="0.3">
      <c r="A1608" t="s">
        <v>1733</v>
      </c>
      <c r="B1608" t="s">
        <v>127</v>
      </c>
      <c r="C1608">
        <v>235</v>
      </c>
      <c r="D1608">
        <f t="shared" si="70"/>
        <v>2004</v>
      </c>
      <c r="E1608">
        <f t="shared" si="71"/>
        <v>5</v>
      </c>
    </row>
    <row r="1609" spans="1:5" x14ac:dyDescent="0.3">
      <c r="A1609" t="s">
        <v>1734</v>
      </c>
      <c r="B1609" t="s">
        <v>127</v>
      </c>
      <c r="C1609">
        <v>223</v>
      </c>
      <c r="D1609">
        <f t="shared" si="70"/>
        <v>2004</v>
      </c>
      <c r="E1609">
        <f t="shared" si="71"/>
        <v>5</v>
      </c>
    </row>
    <row r="1610" spans="1:5" x14ac:dyDescent="0.3">
      <c r="A1610" t="s">
        <v>1735</v>
      </c>
      <c r="B1610" t="s">
        <v>127</v>
      </c>
      <c r="C1610">
        <v>208</v>
      </c>
      <c r="D1610">
        <f t="shared" si="70"/>
        <v>2004</v>
      </c>
      <c r="E1610">
        <f t="shared" si="71"/>
        <v>5</v>
      </c>
    </row>
    <row r="1611" spans="1:5" x14ac:dyDescent="0.3">
      <c r="A1611" t="s">
        <v>1736</v>
      </c>
      <c r="B1611" t="s">
        <v>127</v>
      </c>
      <c r="C1611">
        <v>209</v>
      </c>
      <c r="D1611">
        <f t="shared" si="70"/>
        <v>2004</v>
      </c>
      <c r="E1611">
        <f t="shared" si="71"/>
        <v>5</v>
      </c>
    </row>
    <row r="1612" spans="1:5" x14ac:dyDescent="0.3">
      <c r="A1612" t="s">
        <v>1737</v>
      </c>
      <c r="B1612" t="s">
        <v>127</v>
      </c>
      <c r="C1612">
        <v>202</v>
      </c>
      <c r="D1612">
        <f t="shared" si="70"/>
        <v>2004</v>
      </c>
      <c r="E1612">
        <f t="shared" si="71"/>
        <v>5</v>
      </c>
    </row>
    <row r="1613" spans="1:5" x14ac:dyDescent="0.3">
      <c r="A1613" t="s">
        <v>1738</v>
      </c>
      <c r="B1613" t="s">
        <v>127</v>
      </c>
      <c r="C1613">
        <v>203</v>
      </c>
      <c r="D1613">
        <f t="shared" si="70"/>
        <v>2004</v>
      </c>
      <c r="E1613">
        <f t="shared" si="71"/>
        <v>5</v>
      </c>
    </row>
    <row r="1614" spans="1:5" x14ac:dyDescent="0.3">
      <c r="A1614" t="s">
        <v>1739</v>
      </c>
      <c r="B1614" t="s">
        <v>127</v>
      </c>
      <c r="C1614">
        <v>213</v>
      </c>
      <c r="D1614">
        <f t="shared" si="70"/>
        <v>2004</v>
      </c>
      <c r="E1614">
        <f t="shared" si="71"/>
        <v>5</v>
      </c>
    </row>
    <row r="1615" spans="1:5" x14ac:dyDescent="0.3">
      <c r="A1615" t="s">
        <v>1740</v>
      </c>
      <c r="B1615" t="s">
        <v>127</v>
      </c>
      <c r="C1615">
        <v>208</v>
      </c>
      <c r="D1615">
        <f t="shared" si="70"/>
        <v>2004</v>
      </c>
      <c r="E1615">
        <f t="shared" si="71"/>
        <v>5</v>
      </c>
    </row>
    <row r="1616" spans="1:5" x14ac:dyDescent="0.3">
      <c r="A1616" t="s">
        <v>1741</v>
      </c>
      <c r="B1616" t="s">
        <v>127</v>
      </c>
      <c r="C1616">
        <v>208</v>
      </c>
      <c r="D1616">
        <f t="shared" si="70"/>
        <v>2004</v>
      </c>
      <c r="E1616">
        <f t="shared" si="71"/>
        <v>5</v>
      </c>
    </row>
    <row r="1617" spans="1:5" x14ac:dyDescent="0.3">
      <c r="A1617" t="s">
        <v>1742</v>
      </c>
      <c r="B1617" t="s">
        <v>127</v>
      </c>
      <c r="C1617">
        <v>207</v>
      </c>
      <c r="D1617">
        <f t="shared" si="70"/>
        <v>2004</v>
      </c>
      <c r="E1617">
        <f t="shared" si="71"/>
        <v>5</v>
      </c>
    </row>
    <row r="1618" spans="1:5" x14ac:dyDescent="0.3">
      <c r="A1618" t="s">
        <v>1743</v>
      </c>
      <c r="B1618" t="s">
        <v>127</v>
      </c>
      <c r="C1618">
        <v>208</v>
      </c>
      <c r="D1618">
        <f t="shared" si="70"/>
        <v>2004</v>
      </c>
      <c r="E1618">
        <f t="shared" si="71"/>
        <v>5</v>
      </c>
    </row>
    <row r="1619" spans="1:5" x14ac:dyDescent="0.3">
      <c r="A1619" t="s">
        <v>1744</v>
      </c>
      <c r="B1619" t="s">
        <v>127</v>
      </c>
      <c r="C1619">
        <v>209</v>
      </c>
      <c r="D1619">
        <f t="shared" si="70"/>
        <v>2004</v>
      </c>
      <c r="E1619">
        <f t="shared" si="71"/>
        <v>5</v>
      </c>
    </row>
    <row r="1620" spans="1:5" x14ac:dyDescent="0.3">
      <c r="A1620" t="s">
        <v>1745</v>
      </c>
      <c r="B1620" t="s">
        <v>127</v>
      </c>
      <c r="C1620">
        <v>208</v>
      </c>
      <c r="D1620">
        <f t="shared" si="70"/>
        <v>2004</v>
      </c>
      <c r="E1620">
        <f t="shared" si="71"/>
        <v>5</v>
      </c>
    </row>
    <row r="1621" spans="1:5" x14ac:dyDescent="0.3">
      <c r="A1621" t="s">
        <v>1746</v>
      </c>
      <c r="B1621" t="s">
        <v>127</v>
      </c>
      <c r="C1621">
        <v>210</v>
      </c>
      <c r="D1621">
        <f t="shared" si="70"/>
        <v>2004</v>
      </c>
      <c r="E1621">
        <f t="shared" si="71"/>
        <v>6</v>
      </c>
    </row>
    <row r="1622" spans="1:5" x14ac:dyDescent="0.3">
      <c r="A1622" t="s">
        <v>1747</v>
      </c>
      <c r="B1622" t="s">
        <v>127</v>
      </c>
      <c r="C1622">
        <v>212</v>
      </c>
      <c r="D1622">
        <f t="shared" si="70"/>
        <v>2004</v>
      </c>
      <c r="E1622">
        <f t="shared" si="71"/>
        <v>6</v>
      </c>
    </row>
    <row r="1623" spans="1:5" x14ac:dyDescent="0.3">
      <c r="A1623" t="s">
        <v>1748</v>
      </c>
      <c r="B1623" t="s">
        <v>127</v>
      </c>
      <c r="C1623">
        <v>215</v>
      </c>
      <c r="D1623">
        <f t="shared" si="70"/>
        <v>2004</v>
      </c>
      <c r="E1623">
        <f t="shared" si="71"/>
        <v>6</v>
      </c>
    </row>
    <row r="1624" spans="1:5" x14ac:dyDescent="0.3">
      <c r="A1624" t="s">
        <v>1749</v>
      </c>
      <c r="B1624" t="s">
        <v>127</v>
      </c>
      <c r="C1624">
        <v>211</v>
      </c>
      <c r="D1624">
        <f t="shared" si="70"/>
        <v>2004</v>
      </c>
      <c r="E1624">
        <f t="shared" si="71"/>
        <v>6</v>
      </c>
    </row>
    <row r="1625" spans="1:5" x14ac:dyDescent="0.3">
      <c r="A1625" t="s">
        <v>1750</v>
      </c>
      <c r="B1625" t="s">
        <v>127</v>
      </c>
      <c r="C1625">
        <v>206</v>
      </c>
      <c r="D1625">
        <f t="shared" si="70"/>
        <v>2004</v>
      </c>
      <c r="E1625">
        <f t="shared" si="71"/>
        <v>6</v>
      </c>
    </row>
    <row r="1626" spans="1:5" x14ac:dyDescent="0.3">
      <c r="A1626" t="s">
        <v>1751</v>
      </c>
      <c r="B1626" t="s">
        <v>127</v>
      </c>
      <c r="C1626">
        <v>207</v>
      </c>
      <c r="D1626">
        <f t="shared" si="70"/>
        <v>2004</v>
      </c>
      <c r="E1626">
        <f t="shared" si="71"/>
        <v>6</v>
      </c>
    </row>
    <row r="1627" spans="1:5" x14ac:dyDescent="0.3">
      <c r="A1627" t="s">
        <v>1752</v>
      </c>
      <c r="B1627" t="s">
        <v>127</v>
      </c>
      <c r="C1627">
        <v>205</v>
      </c>
      <c r="D1627">
        <f t="shared" si="70"/>
        <v>2004</v>
      </c>
      <c r="E1627">
        <f t="shared" si="71"/>
        <v>6</v>
      </c>
    </row>
    <row r="1628" spans="1:5" x14ac:dyDescent="0.3">
      <c r="A1628" t="s">
        <v>1753</v>
      </c>
      <c r="B1628" t="s">
        <v>127</v>
      </c>
      <c r="C1628">
        <v>210</v>
      </c>
      <c r="D1628">
        <f t="shared" si="70"/>
        <v>2004</v>
      </c>
      <c r="E1628">
        <f t="shared" si="71"/>
        <v>6</v>
      </c>
    </row>
    <row r="1629" spans="1:5" x14ac:dyDescent="0.3">
      <c r="A1629" t="s">
        <v>1754</v>
      </c>
      <c r="B1629" t="s">
        <v>127</v>
      </c>
      <c r="C1629">
        <v>210</v>
      </c>
      <c r="D1629">
        <f t="shared" si="70"/>
        <v>2004</v>
      </c>
      <c r="E1629">
        <f t="shared" si="71"/>
        <v>6</v>
      </c>
    </row>
    <row r="1630" spans="1:5" x14ac:dyDescent="0.3">
      <c r="A1630" t="s">
        <v>1755</v>
      </c>
      <c r="B1630" t="s">
        <v>127</v>
      </c>
      <c r="C1630">
        <v>214</v>
      </c>
      <c r="D1630">
        <f t="shared" si="70"/>
        <v>2004</v>
      </c>
      <c r="E1630">
        <f t="shared" si="71"/>
        <v>6</v>
      </c>
    </row>
    <row r="1631" spans="1:5" x14ac:dyDescent="0.3">
      <c r="A1631" t="s">
        <v>1756</v>
      </c>
      <c r="B1631" t="s">
        <v>127</v>
      </c>
      <c r="C1631">
        <v>218</v>
      </c>
      <c r="D1631">
        <f t="shared" si="70"/>
        <v>2004</v>
      </c>
      <c r="E1631">
        <f t="shared" si="71"/>
        <v>6</v>
      </c>
    </row>
    <row r="1632" spans="1:5" x14ac:dyDescent="0.3">
      <c r="A1632" t="s">
        <v>1757</v>
      </c>
      <c r="B1632" t="s">
        <v>127</v>
      </c>
      <c r="C1632">
        <v>214</v>
      </c>
      <c r="D1632">
        <f t="shared" si="70"/>
        <v>2004</v>
      </c>
      <c r="E1632">
        <f t="shared" si="71"/>
        <v>6</v>
      </c>
    </row>
    <row r="1633" spans="1:5" x14ac:dyDescent="0.3">
      <c r="A1633" t="s">
        <v>1758</v>
      </c>
      <c r="B1633" t="s">
        <v>127</v>
      </c>
      <c r="C1633">
        <v>216</v>
      </c>
      <c r="D1633">
        <f t="shared" si="70"/>
        <v>2004</v>
      </c>
      <c r="E1633">
        <f t="shared" si="71"/>
        <v>6</v>
      </c>
    </row>
    <row r="1634" spans="1:5" x14ac:dyDescent="0.3">
      <c r="A1634" t="s">
        <v>1759</v>
      </c>
      <c r="B1634" t="s">
        <v>127</v>
      </c>
      <c r="C1634">
        <v>215</v>
      </c>
      <c r="D1634">
        <f t="shared" si="70"/>
        <v>2004</v>
      </c>
      <c r="E1634">
        <f t="shared" si="71"/>
        <v>6</v>
      </c>
    </row>
    <row r="1635" spans="1:5" x14ac:dyDescent="0.3">
      <c r="A1635" t="s">
        <v>1760</v>
      </c>
      <c r="B1635" t="s">
        <v>127</v>
      </c>
      <c r="C1635">
        <v>215</v>
      </c>
      <c r="D1635">
        <f t="shared" si="70"/>
        <v>2004</v>
      </c>
      <c r="E1635">
        <f t="shared" si="71"/>
        <v>6</v>
      </c>
    </row>
    <row r="1636" spans="1:5" x14ac:dyDescent="0.3">
      <c r="A1636" t="s">
        <v>1761</v>
      </c>
      <c r="B1636" t="s">
        <v>127</v>
      </c>
      <c r="C1636">
        <v>215</v>
      </c>
      <c r="D1636">
        <f t="shared" si="70"/>
        <v>2004</v>
      </c>
      <c r="E1636">
        <f t="shared" si="71"/>
        <v>6</v>
      </c>
    </row>
    <row r="1637" spans="1:5" x14ac:dyDescent="0.3">
      <c r="A1637" t="s">
        <v>1762</v>
      </c>
      <c r="B1637" t="s">
        <v>127</v>
      </c>
      <c r="C1637">
        <v>216</v>
      </c>
      <c r="D1637">
        <f t="shared" si="70"/>
        <v>2004</v>
      </c>
      <c r="E1637">
        <f t="shared" si="71"/>
        <v>6</v>
      </c>
    </row>
    <row r="1638" spans="1:5" x14ac:dyDescent="0.3">
      <c r="A1638" t="s">
        <v>1763</v>
      </c>
      <c r="B1638" t="s">
        <v>127</v>
      </c>
      <c r="C1638">
        <v>215</v>
      </c>
      <c r="D1638">
        <f t="shared" si="70"/>
        <v>2004</v>
      </c>
      <c r="E1638">
        <f t="shared" si="71"/>
        <v>6</v>
      </c>
    </row>
    <row r="1639" spans="1:5" x14ac:dyDescent="0.3">
      <c r="A1639" t="s">
        <v>1764</v>
      </c>
      <c r="B1639" t="s">
        <v>127</v>
      </c>
      <c r="C1639">
        <v>215</v>
      </c>
      <c r="D1639">
        <f t="shared" si="70"/>
        <v>2004</v>
      </c>
      <c r="E1639">
        <f t="shared" si="71"/>
        <v>6</v>
      </c>
    </row>
    <row r="1640" spans="1:5" x14ac:dyDescent="0.3">
      <c r="A1640" t="s">
        <v>1765</v>
      </c>
      <c r="B1640" t="s">
        <v>127</v>
      </c>
      <c r="C1640">
        <v>214</v>
      </c>
      <c r="D1640">
        <f t="shared" si="70"/>
        <v>2004</v>
      </c>
      <c r="E1640">
        <f t="shared" si="71"/>
        <v>6</v>
      </c>
    </row>
    <row r="1641" spans="1:5" x14ac:dyDescent="0.3">
      <c r="A1641" t="s">
        <v>1766</v>
      </c>
      <c r="B1641" t="s">
        <v>127</v>
      </c>
      <c r="C1641">
        <v>216</v>
      </c>
      <c r="D1641">
        <f t="shared" si="70"/>
        <v>2004</v>
      </c>
      <c r="E1641">
        <f t="shared" si="71"/>
        <v>6</v>
      </c>
    </row>
    <row r="1642" spans="1:5" x14ac:dyDescent="0.3">
      <c r="A1642" t="s">
        <v>1767</v>
      </c>
      <c r="B1642" t="s">
        <v>127</v>
      </c>
      <c r="C1642">
        <v>215</v>
      </c>
      <c r="D1642">
        <f t="shared" si="70"/>
        <v>2004</v>
      </c>
      <c r="E1642">
        <f t="shared" si="71"/>
        <v>6</v>
      </c>
    </row>
    <row r="1643" spans="1:5" x14ac:dyDescent="0.3">
      <c r="A1643" t="s">
        <v>1768</v>
      </c>
      <c r="B1643" t="s">
        <v>127</v>
      </c>
      <c r="C1643">
        <v>213</v>
      </c>
      <c r="D1643">
        <f t="shared" si="70"/>
        <v>2004</v>
      </c>
      <c r="E1643">
        <f t="shared" si="71"/>
        <v>7</v>
      </c>
    </row>
    <row r="1644" spans="1:5" x14ac:dyDescent="0.3">
      <c r="A1644" t="s">
        <v>1769</v>
      </c>
      <c r="B1644" t="s">
        <v>127</v>
      </c>
      <c r="C1644">
        <v>212</v>
      </c>
      <c r="D1644">
        <f t="shared" si="70"/>
        <v>2004</v>
      </c>
      <c r="E1644">
        <f t="shared" si="71"/>
        <v>7</v>
      </c>
    </row>
    <row r="1645" spans="1:5" x14ac:dyDescent="0.3">
      <c r="A1645" t="s">
        <v>1770</v>
      </c>
      <c r="B1645" t="s">
        <v>127</v>
      </c>
      <c r="C1645">
        <v>212</v>
      </c>
      <c r="D1645">
        <f t="shared" si="70"/>
        <v>2004</v>
      </c>
      <c r="E1645">
        <f t="shared" si="71"/>
        <v>7</v>
      </c>
    </row>
    <row r="1646" spans="1:5" x14ac:dyDescent="0.3">
      <c r="A1646" t="s">
        <v>1771</v>
      </c>
      <c r="B1646" t="s">
        <v>127</v>
      </c>
      <c r="C1646">
        <v>209</v>
      </c>
      <c r="D1646">
        <f t="shared" si="70"/>
        <v>2004</v>
      </c>
      <c r="E1646">
        <f t="shared" si="71"/>
        <v>7</v>
      </c>
    </row>
    <row r="1647" spans="1:5" x14ac:dyDescent="0.3">
      <c r="A1647" t="s">
        <v>1772</v>
      </c>
      <c r="B1647" t="s">
        <v>127</v>
      </c>
      <c r="C1647">
        <v>210</v>
      </c>
      <c r="D1647">
        <f t="shared" si="70"/>
        <v>2004</v>
      </c>
      <c r="E1647">
        <f t="shared" si="71"/>
        <v>7</v>
      </c>
    </row>
    <row r="1648" spans="1:5" x14ac:dyDescent="0.3">
      <c r="A1648" t="s">
        <v>1773</v>
      </c>
      <c r="B1648" t="s">
        <v>127</v>
      </c>
      <c r="C1648">
        <v>210</v>
      </c>
      <c r="D1648">
        <f t="shared" si="70"/>
        <v>2004</v>
      </c>
      <c r="E1648">
        <f t="shared" si="71"/>
        <v>7</v>
      </c>
    </row>
    <row r="1649" spans="1:5" x14ac:dyDescent="0.3">
      <c r="A1649" t="s">
        <v>1774</v>
      </c>
      <c r="B1649" t="s">
        <v>127</v>
      </c>
      <c r="C1649">
        <v>215</v>
      </c>
      <c r="D1649">
        <f t="shared" si="70"/>
        <v>2004</v>
      </c>
      <c r="E1649">
        <f t="shared" si="71"/>
        <v>7</v>
      </c>
    </row>
    <row r="1650" spans="1:5" x14ac:dyDescent="0.3">
      <c r="A1650" t="s">
        <v>1775</v>
      </c>
      <c r="B1650" t="s">
        <v>127</v>
      </c>
      <c r="C1650">
        <v>215</v>
      </c>
      <c r="D1650">
        <f t="shared" si="70"/>
        <v>2004</v>
      </c>
      <c r="E1650">
        <f t="shared" si="71"/>
        <v>7</v>
      </c>
    </row>
    <row r="1651" spans="1:5" x14ac:dyDescent="0.3">
      <c r="A1651" t="s">
        <v>1776</v>
      </c>
      <c r="B1651" t="s">
        <v>127</v>
      </c>
      <c r="C1651">
        <v>212</v>
      </c>
      <c r="D1651">
        <f t="shared" si="70"/>
        <v>2004</v>
      </c>
      <c r="E1651">
        <f t="shared" si="71"/>
        <v>7</v>
      </c>
    </row>
    <row r="1652" spans="1:5" x14ac:dyDescent="0.3">
      <c r="A1652" t="s">
        <v>1777</v>
      </c>
      <c r="B1652" t="s">
        <v>127</v>
      </c>
      <c r="C1652">
        <v>209</v>
      </c>
      <c r="D1652">
        <f t="shared" si="70"/>
        <v>2004</v>
      </c>
      <c r="E1652">
        <f t="shared" si="71"/>
        <v>7</v>
      </c>
    </row>
    <row r="1653" spans="1:5" x14ac:dyDescent="0.3">
      <c r="A1653" t="s">
        <v>1778</v>
      </c>
      <c r="B1653" t="s">
        <v>127</v>
      </c>
      <c r="C1653">
        <v>209</v>
      </c>
      <c r="D1653">
        <f t="shared" si="70"/>
        <v>2004</v>
      </c>
      <c r="E1653">
        <f t="shared" si="71"/>
        <v>7</v>
      </c>
    </row>
    <row r="1654" spans="1:5" x14ac:dyDescent="0.3">
      <c r="A1654" t="s">
        <v>1779</v>
      </c>
      <c r="B1654" t="s">
        <v>127</v>
      </c>
      <c r="C1654">
        <v>203</v>
      </c>
      <c r="D1654">
        <f t="shared" si="70"/>
        <v>2004</v>
      </c>
      <c r="E1654">
        <f t="shared" si="71"/>
        <v>7</v>
      </c>
    </row>
    <row r="1655" spans="1:5" x14ac:dyDescent="0.3">
      <c r="A1655" t="s">
        <v>1780</v>
      </c>
      <c r="B1655" t="s">
        <v>127</v>
      </c>
      <c r="C1655">
        <v>199</v>
      </c>
      <c r="D1655">
        <f t="shared" si="70"/>
        <v>2004</v>
      </c>
      <c r="E1655">
        <f t="shared" si="71"/>
        <v>7</v>
      </c>
    </row>
    <row r="1656" spans="1:5" x14ac:dyDescent="0.3">
      <c r="A1656" t="s">
        <v>1781</v>
      </c>
      <c r="B1656" t="s">
        <v>127</v>
      </c>
      <c r="C1656">
        <v>196</v>
      </c>
      <c r="D1656">
        <f t="shared" si="70"/>
        <v>2004</v>
      </c>
      <c r="E1656">
        <f t="shared" si="71"/>
        <v>7</v>
      </c>
    </row>
    <row r="1657" spans="1:5" x14ac:dyDescent="0.3">
      <c r="A1657" t="s">
        <v>1782</v>
      </c>
      <c r="B1657" t="s">
        <v>127</v>
      </c>
      <c r="C1657">
        <v>199</v>
      </c>
      <c r="D1657">
        <f t="shared" si="70"/>
        <v>2004</v>
      </c>
      <c r="E1657">
        <f t="shared" si="71"/>
        <v>7</v>
      </c>
    </row>
    <row r="1658" spans="1:5" x14ac:dyDescent="0.3">
      <c r="A1658" t="s">
        <v>1783</v>
      </c>
      <c r="B1658" t="s">
        <v>127</v>
      </c>
      <c r="C1658">
        <v>200</v>
      </c>
      <c r="D1658">
        <f t="shared" si="70"/>
        <v>2004</v>
      </c>
      <c r="E1658">
        <f t="shared" si="71"/>
        <v>7</v>
      </c>
    </row>
    <row r="1659" spans="1:5" x14ac:dyDescent="0.3">
      <c r="A1659" t="s">
        <v>1784</v>
      </c>
      <c r="B1659" t="s">
        <v>127</v>
      </c>
      <c r="C1659">
        <v>196</v>
      </c>
      <c r="D1659">
        <f t="shared" si="70"/>
        <v>2004</v>
      </c>
      <c r="E1659">
        <f t="shared" si="71"/>
        <v>7</v>
      </c>
    </row>
    <row r="1660" spans="1:5" x14ac:dyDescent="0.3">
      <c r="A1660" t="s">
        <v>1785</v>
      </c>
      <c r="B1660" t="s">
        <v>127</v>
      </c>
      <c r="C1660">
        <v>198</v>
      </c>
      <c r="D1660">
        <f t="shared" si="70"/>
        <v>2004</v>
      </c>
      <c r="E1660">
        <f t="shared" si="71"/>
        <v>7</v>
      </c>
    </row>
    <row r="1661" spans="1:5" x14ac:dyDescent="0.3">
      <c r="A1661" t="s">
        <v>1786</v>
      </c>
      <c r="B1661" t="s">
        <v>127</v>
      </c>
      <c r="C1661">
        <v>199</v>
      </c>
      <c r="D1661">
        <f t="shared" si="70"/>
        <v>2004</v>
      </c>
      <c r="E1661">
        <f t="shared" si="71"/>
        <v>7</v>
      </c>
    </row>
    <row r="1662" spans="1:5" x14ac:dyDescent="0.3">
      <c r="A1662" t="s">
        <v>1787</v>
      </c>
      <c r="B1662" t="s">
        <v>127</v>
      </c>
      <c r="C1662">
        <v>198</v>
      </c>
      <c r="D1662">
        <f t="shared" si="70"/>
        <v>2004</v>
      </c>
      <c r="E1662">
        <f t="shared" si="71"/>
        <v>7</v>
      </c>
    </row>
    <row r="1663" spans="1:5" x14ac:dyDescent="0.3">
      <c r="A1663" t="s">
        <v>1788</v>
      </c>
      <c r="B1663" t="s">
        <v>127</v>
      </c>
      <c r="C1663">
        <v>198</v>
      </c>
      <c r="D1663">
        <f t="shared" si="70"/>
        <v>2004</v>
      </c>
      <c r="E1663">
        <f t="shared" si="71"/>
        <v>7</v>
      </c>
    </row>
    <row r="1664" spans="1:5" x14ac:dyDescent="0.3">
      <c r="A1664" t="s">
        <v>1789</v>
      </c>
      <c r="B1664" t="s">
        <v>127</v>
      </c>
      <c r="C1664">
        <v>200</v>
      </c>
      <c r="D1664">
        <f t="shared" si="70"/>
        <v>2004</v>
      </c>
      <c r="E1664">
        <f t="shared" si="71"/>
        <v>7</v>
      </c>
    </row>
    <row r="1665" spans="1:5" x14ac:dyDescent="0.3">
      <c r="A1665" t="s">
        <v>1790</v>
      </c>
      <c r="B1665" t="s">
        <v>127</v>
      </c>
      <c r="C1665">
        <v>202</v>
      </c>
      <c r="D1665">
        <f t="shared" si="70"/>
        <v>2004</v>
      </c>
      <c r="E1665">
        <f t="shared" si="71"/>
        <v>8</v>
      </c>
    </row>
    <row r="1666" spans="1:5" x14ac:dyDescent="0.3">
      <c r="A1666" t="s">
        <v>1791</v>
      </c>
      <c r="B1666" t="s">
        <v>127</v>
      </c>
      <c r="C1666">
        <v>198</v>
      </c>
      <c r="D1666">
        <f t="shared" si="70"/>
        <v>2004</v>
      </c>
      <c r="E1666">
        <f t="shared" si="71"/>
        <v>8</v>
      </c>
    </row>
    <row r="1667" spans="1:5" x14ac:dyDescent="0.3">
      <c r="A1667" t="s">
        <v>1792</v>
      </c>
      <c r="B1667" t="s">
        <v>127</v>
      </c>
      <c r="C1667">
        <v>197</v>
      </c>
      <c r="D1667">
        <f t="shared" ref="D1667:D1730" si="72">YEAR(A1667)</f>
        <v>2004</v>
      </c>
      <c r="E1667">
        <f t="shared" ref="E1667:E1730" si="73">MONTH(A1667)</f>
        <v>8</v>
      </c>
    </row>
    <row r="1668" spans="1:5" x14ac:dyDescent="0.3">
      <c r="A1668" t="s">
        <v>1793</v>
      </c>
      <c r="B1668" t="s">
        <v>127</v>
      </c>
      <c r="C1668">
        <v>200</v>
      </c>
      <c r="D1668">
        <f t="shared" si="72"/>
        <v>2004</v>
      </c>
      <c r="E1668">
        <f t="shared" si="73"/>
        <v>8</v>
      </c>
    </row>
    <row r="1669" spans="1:5" x14ac:dyDescent="0.3">
      <c r="A1669" t="s">
        <v>1794</v>
      </c>
      <c r="B1669" t="s">
        <v>127</v>
      </c>
      <c r="C1669">
        <v>199</v>
      </c>
      <c r="D1669">
        <f t="shared" si="72"/>
        <v>2004</v>
      </c>
      <c r="E1669">
        <f t="shared" si="73"/>
        <v>8</v>
      </c>
    </row>
    <row r="1670" spans="1:5" x14ac:dyDescent="0.3">
      <c r="A1670" t="s">
        <v>1795</v>
      </c>
      <c r="B1670" t="s">
        <v>127</v>
      </c>
      <c r="C1670">
        <v>197</v>
      </c>
      <c r="D1670">
        <f t="shared" si="72"/>
        <v>2004</v>
      </c>
      <c r="E1670">
        <f t="shared" si="73"/>
        <v>8</v>
      </c>
    </row>
    <row r="1671" spans="1:5" x14ac:dyDescent="0.3">
      <c r="A1671" t="s">
        <v>1796</v>
      </c>
      <c r="B1671" t="s">
        <v>127</v>
      </c>
      <c r="C1671">
        <v>198</v>
      </c>
      <c r="D1671">
        <f t="shared" si="72"/>
        <v>2004</v>
      </c>
      <c r="E1671">
        <f t="shared" si="73"/>
        <v>8</v>
      </c>
    </row>
    <row r="1672" spans="1:5" x14ac:dyDescent="0.3">
      <c r="A1672" t="s">
        <v>1797</v>
      </c>
      <c r="B1672" t="s">
        <v>127</v>
      </c>
      <c r="C1672">
        <v>197</v>
      </c>
      <c r="D1672">
        <f t="shared" si="72"/>
        <v>2004</v>
      </c>
      <c r="E1672">
        <f t="shared" si="73"/>
        <v>8</v>
      </c>
    </row>
    <row r="1673" spans="1:5" x14ac:dyDescent="0.3">
      <c r="A1673" t="s">
        <v>1798</v>
      </c>
      <c r="B1673" t="s">
        <v>127</v>
      </c>
      <c r="C1673">
        <v>199</v>
      </c>
      <c r="D1673">
        <f t="shared" si="72"/>
        <v>2004</v>
      </c>
      <c r="E1673">
        <f t="shared" si="73"/>
        <v>8</v>
      </c>
    </row>
    <row r="1674" spans="1:5" x14ac:dyDescent="0.3">
      <c r="A1674" t="s">
        <v>1799</v>
      </c>
      <c r="B1674" t="s">
        <v>127</v>
      </c>
      <c r="C1674">
        <v>196</v>
      </c>
      <c r="D1674">
        <f t="shared" si="72"/>
        <v>2004</v>
      </c>
      <c r="E1674">
        <f t="shared" si="73"/>
        <v>8</v>
      </c>
    </row>
    <row r="1675" spans="1:5" x14ac:dyDescent="0.3">
      <c r="A1675" t="s">
        <v>1800</v>
      </c>
      <c r="B1675" t="s">
        <v>127</v>
      </c>
      <c r="C1675">
        <v>196</v>
      </c>
      <c r="D1675">
        <f t="shared" si="72"/>
        <v>2004</v>
      </c>
      <c r="E1675">
        <f t="shared" si="73"/>
        <v>8</v>
      </c>
    </row>
    <row r="1676" spans="1:5" x14ac:dyDescent="0.3">
      <c r="A1676" t="s">
        <v>1801</v>
      </c>
      <c r="B1676" t="s">
        <v>127</v>
      </c>
      <c r="C1676">
        <v>192</v>
      </c>
      <c r="D1676">
        <f t="shared" si="72"/>
        <v>2004</v>
      </c>
      <c r="E1676">
        <f t="shared" si="73"/>
        <v>8</v>
      </c>
    </row>
    <row r="1677" spans="1:5" x14ac:dyDescent="0.3">
      <c r="A1677" t="s">
        <v>1802</v>
      </c>
      <c r="B1677" t="s">
        <v>127</v>
      </c>
      <c r="C1677">
        <v>188</v>
      </c>
      <c r="D1677">
        <f t="shared" si="72"/>
        <v>2004</v>
      </c>
      <c r="E1677">
        <f t="shared" si="73"/>
        <v>8</v>
      </c>
    </row>
    <row r="1678" spans="1:5" x14ac:dyDescent="0.3">
      <c r="A1678" t="s">
        <v>1803</v>
      </c>
      <c r="B1678" t="s">
        <v>127</v>
      </c>
      <c r="C1678">
        <v>188</v>
      </c>
      <c r="D1678">
        <f t="shared" si="72"/>
        <v>2004</v>
      </c>
      <c r="E1678">
        <f t="shared" si="73"/>
        <v>8</v>
      </c>
    </row>
    <row r="1679" spans="1:5" x14ac:dyDescent="0.3">
      <c r="A1679" t="s">
        <v>1804</v>
      </c>
      <c r="B1679" t="s">
        <v>127</v>
      </c>
      <c r="C1679">
        <v>186</v>
      </c>
      <c r="D1679">
        <f t="shared" si="72"/>
        <v>2004</v>
      </c>
      <c r="E1679">
        <f t="shared" si="73"/>
        <v>8</v>
      </c>
    </row>
    <row r="1680" spans="1:5" x14ac:dyDescent="0.3">
      <c r="A1680" t="s">
        <v>1805</v>
      </c>
      <c r="B1680" t="s">
        <v>127</v>
      </c>
      <c r="C1680">
        <v>184</v>
      </c>
      <c r="D1680">
        <f t="shared" si="72"/>
        <v>2004</v>
      </c>
      <c r="E1680">
        <f t="shared" si="73"/>
        <v>8</v>
      </c>
    </row>
    <row r="1681" spans="1:5" x14ac:dyDescent="0.3">
      <c r="A1681" t="s">
        <v>1806</v>
      </c>
      <c r="B1681" t="s">
        <v>127</v>
      </c>
      <c r="C1681">
        <v>184</v>
      </c>
      <c r="D1681">
        <f t="shared" si="72"/>
        <v>2004</v>
      </c>
      <c r="E1681">
        <f t="shared" si="73"/>
        <v>8</v>
      </c>
    </row>
    <row r="1682" spans="1:5" x14ac:dyDescent="0.3">
      <c r="A1682" t="s">
        <v>1807</v>
      </c>
      <c r="B1682" t="s">
        <v>127</v>
      </c>
      <c r="C1682">
        <v>184</v>
      </c>
      <c r="D1682">
        <f t="shared" si="72"/>
        <v>2004</v>
      </c>
      <c r="E1682">
        <f t="shared" si="73"/>
        <v>8</v>
      </c>
    </row>
    <row r="1683" spans="1:5" x14ac:dyDescent="0.3">
      <c r="A1683" t="s">
        <v>1808</v>
      </c>
      <c r="B1683" t="s">
        <v>127</v>
      </c>
      <c r="C1683">
        <v>186</v>
      </c>
      <c r="D1683">
        <f t="shared" si="72"/>
        <v>2004</v>
      </c>
      <c r="E1683">
        <f t="shared" si="73"/>
        <v>8</v>
      </c>
    </row>
    <row r="1684" spans="1:5" x14ac:dyDescent="0.3">
      <c r="A1684" t="s">
        <v>1809</v>
      </c>
      <c r="B1684" t="s">
        <v>127</v>
      </c>
      <c r="C1684">
        <v>186</v>
      </c>
      <c r="D1684">
        <f t="shared" si="72"/>
        <v>2004</v>
      </c>
      <c r="E1684">
        <f t="shared" si="73"/>
        <v>8</v>
      </c>
    </row>
    <row r="1685" spans="1:5" x14ac:dyDescent="0.3">
      <c r="A1685" t="s">
        <v>1810</v>
      </c>
      <c r="B1685" t="s">
        <v>127</v>
      </c>
      <c r="C1685">
        <v>187</v>
      </c>
      <c r="D1685">
        <f t="shared" si="72"/>
        <v>2004</v>
      </c>
      <c r="E1685">
        <f t="shared" si="73"/>
        <v>8</v>
      </c>
    </row>
    <row r="1686" spans="1:5" x14ac:dyDescent="0.3">
      <c r="A1686" t="s">
        <v>1811</v>
      </c>
      <c r="B1686" t="s">
        <v>127</v>
      </c>
      <c r="C1686">
        <v>183</v>
      </c>
      <c r="D1686">
        <f t="shared" si="72"/>
        <v>2004</v>
      </c>
      <c r="E1686">
        <f t="shared" si="73"/>
        <v>8</v>
      </c>
    </row>
    <row r="1687" spans="1:5" x14ac:dyDescent="0.3">
      <c r="A1687" t="s">
        <v>1812</v>
      </c>
      <c r="B1687" t="s">
        <v>127</v>
      </c>
      <c r="C1687">
        <v>183</v>
      </c>
      <c r="D1687">
        <f t="shared" si="72"/>
        <v>2004</v>
      </c>
      <c r="E1687">
        <f t="shared" si="73"/>
        <v>9</v>
      </c>
    </row>
    <row r="1688" spans="1:5" x14ac:dyDescent="0.3">
      <c r="A1688" t="s">
        <v>1813</v>
      </c>
      <c r="B1688" t="s">
        <v>127</v>
      </c>
      <c r="C1688">
        <v>183</v>
      </c>
      <c r="D1688">
        <f t="shared" si="72"/>
        <v>2004</v>
      </c>
      <c r="E1688">
        <f t="shared" si="73"/>
        <v>9</v>
      </c>
    </row>
    <row r="1689" spans="1:5" x14ac:dyDescent="0.3">
      <c r="A1689" t="s">
        <v>1814</v>
      </c>
      <c r="B1689" t="s">
        <v>127</v>
      </c>
      <c r="C1689">
        <v>182</v>
      </c>
      <c r="D1689">
        <f t="shared" si="72"/>
        <v>2004</v>
      </c>
      <c r="E1689">
        <f t="shared" si="73"/>
        <v>9</v>
      </c>
    </row>
    <row r="1690" spans="1:5" x14ac:dyDescent="0.3">
      <c r="A1690" t="s">
        <v>1815</v>
      </c>
      <c r="B1690" t="s">
        <v>127</v>
      </c>
      <c r="C1690">
        <v>185</v>
      </c>
      <c r="D1690">
        <f t="shared" si="72"/>
        <v>2004</v>
      </c>
      <c r="E1690">
        <f t="shared" si="73"/>
        <v>9</v>
      </c>
    </row>
    <row r="1691" spans="1:5" x14ac:dyDescent="0.3">
      <c r="A1691" t="s">
        <v>1816</v>
      </c>
      <c r="B1691" t="s">
        <v>127</v>
      </c>
      <c r="C1691">
        <v>187</v>
      </c>
      <c r="D1691">
        <f t="shared" si="72"/>
        <v>2004</v>
      </c>
      <c r="E1691">
        <f t="shared" si="73"/>
        <v>9</v>
      </c>
    </row>
    <row r="1692" spans="1:5" x14ac:dyDescent="0.3">
      <c r="A1692" t="s">
        <v>1817</v>
      </c>
      <c r="B1692" t="s">
        <v>127</v>
      </c>
      <c r="C1692">
        <v>184</v>
      </c>
      <c r="D1692">
        <f t="shared" si="72"/>
        <v>2004</v>
      </c>
      <c r="E1692">
        <f t="shared" si="73"/>
        <v>9</v>
      </c>
    </row>
    <row r="1693" spans="1:5" x14ac:dyDescent="0.3">
      <c r="A1693" t="s">
        <v>1818</v>
      </c>
      <c r="B1693" t="s">
        <v>127</v>
      </c>
      <c r="C1693">
        <v>188</v>
      </c>
      <c r="D1693">
        <f t="shared" si="72"/>
        <v>2004</v>
      </c>
      <c r="E1693">
        <f t="shared" si="73"/>
        <v>9</v>
      </c>
    </row>
    <row r="1694" spans="1:5" x14ac:dyDescent="0.3">
      <c r="A1694" t="s">
        <v>1819</v>
      </c>
      <c r="B1694" t="s">
        <v>127</v>
      </c>
      <c r="C1694">
        <v>189</v>
      </c>
      <c r="D1694">
        <f t="shared" si="72"/>
        <v>2004</v>
      </c>
      <c r="E1694">
        <f t="shared" si="73"/>
        <v>9</v>
      </c>
    </row>
    <row r="1695" spans="1:5" x14ac:dyDescent="0.3">
      <c r="A1695" t="s">
        <v>1820</v>
      </c>
      <c r="B1695" t="s">
        <v>127</v>
      </c>
      <c r="C1695">
        <v>187</v>
      </c>
      <c r="D1695">
        <f t="shared" si="72"/>
        <v>2004</v>
      </c>
      <c r="E1695">
        <f t="shared" si="73"/>
        <v>9</v>
      </c>
    </row>
    <row r="1696" spans="1:5" x14ac:dyDescent="0.3">
      <c r="A1696" t="s">
        <v>1821</v>
      </c>
      <c r="B1696" t="s">
        <v>127</v>
      </c>
      <c r="C1696">
        <v>185</v>
      </c>
      <c r="D1696">
        <f t="shared" si="72"/>
        <v>2004</v>
      </c>
      <c r="E1696">
        <f t="shared" si="73"/>
        <v>9</v>
      </c>
    </row>
    <row r="1697" spans="1:5" x14ac:dyDescent="0.3">
      <c r="A1697" t="s">
        <v>1822</v>
      </c>
      <c r="B1697" t="s">
        <v>127</v>
      </c>
      <c r="C1697">
        <v>180</v>
      </c>
      <c r="D1697">
        <f t="shared" si="72"/>
        <v>2004</v>
      </c>
      <c r="E1697">
        <f t="shared" si="73"/>
        <v>9</v>
      </c>
    </row>
    <row r="1698" spans="1:5" x14ac:dyDescent="0.3">
      <c r="A1698" t="s">
        <v>1823</v>
      </c>
      <c r="B1698" t="s">
        <v>127</v>
      </c>
      <c r="C1698">
        <v>180</v>
      </c>
      <c r="D1698">
        <f t="shared" si="72"/>
        <v>2004</v>
      </c>
      <c r="E1698">
        <f t="shared" si="73"/>
        <v>9</v>
      </c>
    </row>
    <row r="1699" spans="1:5" x14ac:dyDescent="0.3">
      <c r="A1699" t="s">
        <v>1824</v>
      </c>
      <c r="B1699" t="s">
        <v>127</v>
      </c>
      <c r="C1699">
        <v>175</v>
      </c>
      <c r="D1699">
        <f t="shared" si="72"/>
        <v>2004</v>
      </c>
      <c r="E1699">
        <f t="shared" si="73"/>
        <v>9</v>
      </c>
    </row>
    <row r="1700" spans="1:5" x14ac:dyDescent="0.3">
      <c r="A1700" t="s">
        <v>1825</v>
      </c>
      <c r="B1700" t="s">
        <v>127</v>
      </c>
      <c r="C1700">
        <v>174</v>
      </c>
      <c r="D1700">
        <f t="shared" si="72"/>
        <v>2004</v>
      </c>
      <c r="E1700">
        <f t="shared" si="73"/>
        <v>9</v>
      </c>
    </row>
    <row r="1701" spans="1:5" x14ac:dyDescent="0.3">
      <c r="A1701" t="s">
        <v>1826</v>
      </c>
      <c r="B1701" t="s">
        <v>127</v>
      </c>
      <c r="C1701">
        <v>180</v>
      </c>
      <c r="D1701">
        <f t="shared" si="72"/>
        <v>2004</v>
      </c>
      <c r="E1701">
        <f t="shared" si="73"/>
        <v>9</v>
      </c>
    </row>
    <row r="1702" spans="1:5" x14ac:dyDescent="0.3">
      <c r="A1702" t="s">
        <v>1827</v>
      </c>
      <c r="B1702" t="s">
        <v>127</v>
      </c>
      <c r="C1702">
        <v>187</v>
      </c>
      <c r="D1702">
        <f t="shared" si="72"/>
        <v>2004</v>
      </c>
      <c r="E1702">
        <f t="shared" si="73"/>
        <v>9</v>
      </c>
    </row>
    <row r="1703" spans="1:5" x14ac:dyDescent="0.3">
      <c r="A1703" t="s">
        <v>1828</v>
      </c>
      <c r="B1703" t="s">
        <v>127</v>
      </c>
      <c r="C1703">
        <v>191</v>
      </c>
      <c r="D1703">
        <f t="shared" si="72"/>
        <v>2004</v>
      </c>
      <c r="E1703">
        <f t="shared" si="73"/>
        <v>9</v>
      </c>
    </row>
    <row r="1704" spans="1:5" x14ac:dyDescent="0.3">
      <c r="A1704" t="s">
        <v>1829</v>
      </c>
      <c r="B1704" t="s">
        <v>127</v>
      </c>
      <c r="C1704">
        <v>195</v>
      </c>
      <c r="D1704">
        <f t="shared" si="72"/>
        <v>2004</v>
      </c>
      <c r="E1704">
        <f t="shared" si="73"/>
        <v>9</v>
      </c>
    </row>
    <row r="1705" spans="1:5" x14ac:dyDescent="0.3">
      <c r="A1705" t="s">
        <v>1830</v>
      </c>
      <c r="B1705" t="s">
        <v>127</v>
      </c>
      <c r="C1705">
        <v>193</v>
      </c>
      <c r="D1705">
        <f t="shared" si="72"/>
        <v>2004</v>
      </c>
      <c r="E1705">
        <f t="shared" si="73"/>
        <v>9</v>
      </c>
    </row>
    <row r="1706" spans="1:5" x14ac:dyDescent="0.3">
      <c r="A1706" t="s">
        <v>1831</v>
      </c>
      <c r="B1706" t="s">
        <v>127</v>
      </c>
      <c r="C1706">
        <v>190</v>
      </c>
      <c r="D1706">
        <f t="shared" si="72"/>
        <v>2004</v>
      </c>
      <c r="E1706">
        <f t="shared" si="73"/>
        <v>9</v>
      </c>
    </row>
    <row r="1707" spans="1:5" x14ac:dyDescent="0.3">
      <c r="A1707" t="s">
        <v>1832</v>
      </c>
      <c r="B1707" t="s">
        <v>127</v>
      </c>
      <c r="C1707">
        <v>188</v>
      </c>
      <c r="D1707">
        <f t="shared" si="72"/>
        <v>2004</v>
      </c>
      <c r="E1707">
        <f t="shared" si="73"/>
        <v>9</v>
      </c>
    </row>
    <row r="1708" spans="1:5" x14ac:dyDescent="0.3">
      <c r="A1708" t="s">
        <v>1833</v>
      </c>
      <c r="B1708" t="s">
        <v>127</v>
      </c>
      <c r="C1708">
        <v>185</v>
      </c>
      <c r="D1708">
        <f t="shared" si="72"/>
        <v>2004</v>
      </c>
      <c r="E1708">
        <f t="shared" si="73"/>
        <v>10</v>
      </c>
    </row>
    <row r="1709" spans="1:5" x14ac:dyDescent="0.3">
      <c r="A1709" t="s">
        <v>1834</v>
      </c>
      <c r="B1709" t="s">
        <v>127</v>
      </c>
      <c r="C1709">
        <v>182</v>
      </c>
      <c r="D1709">
        <f t="shared" si="72"/>
        <v>2004</v>
      </c>
      <c r="E1709">
        <f t="shared" si="73"/>
        <v>10</v>
      </c>
    </row>
    <row r="1710" spans="1:5" x14ac:dyDescent="0.3">
      <c r="A1710" t="s">
        <v>1835</v>
      </c>
      <c r="B1710" t="s">
        <v>127</v>
      </c>
      <c r="C1710">
        <v>181</v>
      </c>
      <c r="D1710">
        <f t="shared" si="72"/>
        <v>2004</v>
      </c>
      <c r="E1710">
        <f t="shared" si="73"/>
        <v>10</v>
      </c>
    </row>
    <row r="1711" spans="1:5" x14ac:dyDescent="0.3">
      <c r="A1711" t="s">
        <v>1836</v>
      </c>
      <c r="B1711" t="s">
        <v>127</v>
      </c>
      <c r="C1711">
        <v>181</v>
      </c>
      <c r="D1711">
        <f t="shared" si="72"/>
        <v>2004</v>
      </c>
      <c r="E1711">
        <f t="shared" si="73"/>
        <v>10</v>
      </c>
    </row>
    <row r="1712" spans="1:5" x14ac:dyDescent="0.3">
      <c r="A1712" t="s">
        <v>1837</v>
      </c>
      <c r="B1712" t="s">
        <v>127</v>
      </c>
      <c r="C1712">
        <v>181</v>
      </c>
      <c r="D1712">
        <f t="shared" si="72"/>
        <v>2004</v>
      </c>
      <c r="E1712">
        <f t="shared" si="73"/>
        <v>10</v>
      </c>
    </row>
    <row r="1713" spans="1:5" x14ac:dyDescent="0.3">
      <c r="A1713" t="s">
        <v>1838</v>
      </c>
      <c r="B1713" t="s">
        <v>127</v>
      </c>
      <c r="C1713">
        <v>180</v>
      </c>
      <c r="D1713">
        <f t="shared" si="72"/>
        <v>2004</v>
      </c>
      <c r="E1713">
        <f t="shared" si="73"/>
        <v>10</v>
      </c>
    </row>
    <row r="1714" spans="1:5" x14ac:dyDescent="0.3">
      <c r="A1714" t="s">
        <v>1839</v>
      </c>
      <c r="B1714" t="s">
        <v>127</v>
      </c>
      <c r="C1714">
        <v>179</v>
      </c>
      <c r="D1714">
        <f t="shared" si="72"/>
        <v>2004</v>
      </c>
      <c r="E1714">
        <f t="shared" si="73"/>
        <v>10</v>
      </c>
    </row>
    <row r="1715" spans="1:5" x14ac:dyDescent="0.3">
      <c r="A1715" t="s">
        <v>1840</v>
      </c>
      <c r="B1715" t="s">
        <v>127</v>
      </c>
      <c r="C1715">
        <v>183</v>
      </c>
      <c r="D1715">
        <f t="shared" si="72"/>
        <v>2004</v>
      </c>
      <c r="E1715">
        <f t="shared" si="73"/>
        <v>10</v>
      </c>
    </row>
    <row r="1716" spans="1:5" x14ac:dyDescent="0.3">
      <c r="A1716" t="s">
        <v>1841</v>
      </c>
      <c r="B1716" t="s">
        <v>127</v>
      </c>
      <c r="C1716">
        <v>189</v>
      </c>
      <c r="D1716">
        <f t="shared" si="72"/>
        <v>2004</v>
      </c>
      <c r="E1716">
        <f t="shared" si="73"/>
        <v>10</v>
      </c>
    </row>
    <row r="1717" spans="1:5" x14ac:dyDescent="0.3">
      <c r="A1717" t="s">
        <v>1842</v>
      </c>
      <c r="B1717" t="s">
        <v>127</v>
      </c>
      <c r="C1717">
        <v>189</v>
      </c>
      <c r="D1717">
        <f t="shared" si="72"/>
        <v>2004</v>
      </c>
      <c r="E1717">
        <f t="shared" si="73"/>
        <v>10</v>
      </c>
    </row>
    <row r="1718" spans="1:5" x14ac:dyDescent="0.3">
      <c r="A1718" t="s">
        <v>1843</v>
      </c>
      <c r="B1718" t="s">
        <v>127</v>
      </c>
      <c r="C1718">
        <v>190</v>
      </c>
      <c r="D1718">
        <f t="shared" si="72"/>
        <v>2004</v>
      </c>
      <c r="E1718">
        <f t="shared" si="73"/>
        <v>10</v>
      </c>
    </row>
    <row r="1719" spans="1:5" x14ac:dyDescent="0.3">
      <c r="A1719" t="s">
        <v>1844</v>
      </c>
      <c r="B1719" t="s">
        <v>127</v>
      </c>
      <c r="C1719">
        <v>193</v>
      </c>
      <c r="D1719">
        <f t="shared" si="72"/>
        <v>2004</v>
      </c>
      <c r="E1719">
        <f t="shared" si="73"/>
        <v>10</v>
      </c>
    </row>
    <row r="1720" spans="1:5" x14ac:dyDescent="0.3">
      <c r="A1720" t="s">
        <v>1845</v>
      </c>
      <c r="B1720" t="s">
        <v>127</v>
      </c>
      <c r="C1720">
        <v>193</v>
      </c>
      <c r="D1720">
        <f t="shared" si="72"/>
        <v>2004</v>
      </c>
      <c r="E1720">
        <f t="shared" si="73"/>
        <v>10</v>
      </c>
    </row>
    <row r="1721" spans="1:5" x14ac:dyDescent="0.3">
      <c r="A1721" t="s">
        <v>1846</v>
      </c>
      <c r="B1721" t="s">
        <v>127</v>
      </c>
      <c r="C1721">
        <v>190</v>
      </c>
      <c r="D1721">
        <f t="shared" si="72"/>
        <v>2004</v>
      </c>
      <c r="E1721">
        <f t="shared" si="73"/>
        <v>10</v>
      </c>
    </row>
    <row r="1722" spans="1:5" x14ac:dyDescent="0.3">
      <c r="A1722" t="s">
        <v>1847</v>
      </c>
      <c r="B1722" t="s">
        <v>127</v>
      </c>
      <c r="C1722">
        <v>189</v>
      </c>
      <c r="D1722">
        <f t="shared" si="72"/>
        <v>2004</v>
      </c>
      <c r="E1722">
        <f t="shared" si="73"/>
        <v>10</v>
      </c>
    </row>
    <row r="1723" spans="1:5" x14ac:dyDescent="0.3">
      <c r="A1723" t="s">
        <v>1848</v>
      </c>
      <c r="B1723" t="s">
        <v>127</v>
      </c>
      <c r="C1723">
        <v>194</v>
      </c>
      <c r="D1723">
        <f t="shared" si="72"/>
        <v>2004</v>
      </c>
      <c r="E1723">
        <f t="shared" si="73"/>
        <v>10</v>
      </c>
    </row>
    <row r="1724" spans="1:5" x14ac:dyDescent="0.3">
      <c r="A1724" t="s">
        <v>1849</v>
      </c>
      <c r="B1724" t="s">
        <v>127</v>
      </c>
      <c r="C1724">
        <v>192</v>
      </c>
      <c r="D1724">
        <f t="shared" si="72"/>
        <v>2004</v>
      </c>
      <c r="E1724">
        <f t="shared" si="73"/>
        <v>10</v>
      </c>
    </row>
    <row r="1725" spans="1:5" x14ac:dyDescent="0.3">
      <c r="A1725" t="s">
        <v>1850</v>
      </c>
      <c r="B1725" t="s">
        <v>127</v>
      </c>
      <c r="C1725">
        <v>185</v>
      </c>
      <c r="D1725">
        <f t="shared" si="72"/>
        <v>2004</v>
      </c>
      <c r="E1725">
        <f t="shared" si="73"/>
        <v>10</v>
      </c>
    </row>
    <row r="1726" spans="1:5" x14ac:dyDescent="0.3">
      <c r="A1726" t="s">
        <v>1851</v>
      </c>
      <c r="B1726" t="s">
        <v>127</v>
      </c>
      <c r="C1726">
        <v>182</v>
      </c>
      <c r="D1726">
        <f t="shared" si="72"/>
        <v>2004</v>
      </c>
      <c r="E1726">
        <f t="shared" si="73"/>
        <v>10</v>
      </c>
    </row>
    <row r="1727" spans="1:5" x14ac:dyDescent="0.3">
      <c r="A1727" t="s">
        <v>1852</v>
      </c>
      <c r="B1727" t="s">
        <v>127</v>
      </c>
      <c r="C1727">
        <v>183</v>
      </c>
      <c r="D1727">
        <f t="shared" si="72"/>
        <v>2004</v>
      </c>
      <c r="E1727">
        <f t="shared" si="73"/>
        <v>10</v>
      </c>
    </row>
    <row r="1728" spans="1:5" x14ac:dyDescent="0.3">
      <c r="A1728" t="s">
        <v>1853</v>
      </c>
      <c r="B1728" t="s">
        <v>127</v>
      </c>
      <c r="C1728">
        <v>180</v>
      </c>
      <c r="D1728">
        <f t="shared" si="72"/>
        <v>2004</v>
      </c>
      <c r="E1728">
        <f t="shared" si="73"/>
        <v>11</v>
      </c>
    </row>
    <row r="1729" spans="1:5" x14ac:dyDescent="0.3">
      <c r="A1729" t="s">
        <v>1854</v>
      </c>
      <c r="B1729" t="s">
        <v>127</v>
      </c>
      <c r="C1729">
        <v>180</v>
      </c>
      <c r="D1729">
        <f t="shared" si="72"/>
        <v>2004</v>
      </c>
      <c r="E1729">
        <f t="shared" si="73"/>
        <v>11</v>
      </c>
    </row>
    <row r="1730" spans="1:5" x14ac:dyDescent="0.3">
      <c r="A1730" t="s">
        <v>1855</v>
      </c>
      <c r="B1730" t="s">
        <v>127</v>
      </c>
      <c r="C1730">
        <v>179</v>
      </c>
      <c r="D1730">
        <f t="shared" si="72"/>
        <v>2004</v>
      </c>
      <c r="E1730">
        <f t="shared" si="73"/>
        <v>11</v>
      </c>
    </row>
    <row r="1731" spans="1:5" x14ac:dyDescent="0.3">
      <c r="A1731" t="s">
        <v>1856</v>
      </c>
      <c r="B1731" t="s">
        <v>127</v>
      </c>
      <c r="C1731">
        <v>178</v>
      </c>
      <c r="D1731">
        <f t="shared" ref="D1731:D1794" si="74">YEAR(A1731)</f>
        <v>2004</v>
      </c>
      <c r="E1731">
        <f t="shared" ref="E1731:E1794" si="75">MONTH(A1731)</f>
        <v>11</v>
      </c>
    </row>
    <row r="1732" spans="1:5" x14ac:dyDescent="0.3">
      <c r="A1732" t="s">
        <v>1857</v>
      </c>
      <c r="B1732" t="s">
        <v>127</v>
      </c>
      <c r="C1732">
        <v>173</v>
      </c>
      <c r="D1732">
        <f t="shared" si="74"/>
        <v>2004</v>
      </c>
      <c r="E1732">
        <f t="shared" si="75"/>
        <v>11</v>
      </c>
    </row>
    <row r="1733" spans="1:5" x14ac:dyDescent="0.3">
      <c r="A1733" t="s">
        <v>1858</v>
      </c>
      <c r="B1733" t="s">
        <v>127</v>
      </c>
      <c r="C1733">
        <v>172</v>
      </c>
      <c r="D1733">
        <f t="shared" si="74"/>
        <v>2004</v>
      </c>
      <c r="E1733">
        <f t="shared" si="75"/>
        <v>11</v>
      </c>
    </row>
    <row r="1734" spans="1:5" x14ac:dyDescent="0.3">
      <c r="A1734" t="s">
        <v>1859</v>
      </c>
      <c r="B1734" t="s">
        <v>127</v>
      </c>
      <c r="C1734">
        <v>172</v>
      </c>
      <c r="D1734">
        <f t="shared" si="74"/>
        <v>2004</v>
      </c>
      <c r="E1734">
        <f t="shared" si="75"/>
        <v>11</v>
      </c>
    </row>
    <row r="1735" spans="1:5" x14ac:dyDescent="0.3">
      <c r="A1735" t="s">
        <v>1860</v>
      </c>
      <c r="B1735" t="s">
        <v>127</v>
      </c>
      <c r="C1735">
        <v>168</v>
      </c>
      <c r="D1735">
        <f t="shared" si="74"/>
        <v>2004</v>
      </c>
      <c r="E1735">
        <f t="shared" si="75"/>
        <v>11</v>
      </c>
    </row>
    <row r="1736" spans="1:5" x14ac:dyDescent="0.3">
      <c r="A1736" t="s">
        <v>1861</v>
      </c>
      <c r="B1736" t="s">
        <v>127</v>
      </c>
      <c r="C1736">
        <v>168</v>
      </c>
      <c r="D1736">
        <f t="shared" si="74"/>
        <v>2004</v>
      </c>
      <c r="E1736">
        <f t="shared" si="75"/>
        <v>11</v>
      </c>
    </row>
    <row r="1737" spans="1:5" x14ac:dyDescent="0.3">
      <c r="A1737" t="s">
        <v>1862</v>
      </c>
      <c r="B1737" t="s">
        <v>127</v>
      </c>
      <c r="C1737">
        <v>168</v>
      </c>
      <c r="D1737">
        <f t="shared" si="74"/>
        <v>2004</v>
      </c>
      <c r="E1737">
        <f t="shared" si="75"/>
        <v>11</v>
      </c>
    </row>
    <row r="1738" spans="1:5" x14ac:dyDescent="0.3">
      <c r="A1738" t="s">
        <v>1863</v>
      </c>
      <c r="B1738" t="s">
        <v>127</v>
      </c>
      <c r="C1738">
        <v>169</v>
      </c>
      <c r="D1738">
        <f t="shared" si="74"/>
        <v>2004</v>
      </c>
      <c r="E1738">
        <f t="shared" si="75"/>
        <v>11</v>
      </c>
    </row>
    <row r="1739" spans="1:5" x14ac:dyDescent="0.3">
      <c r="A1739" t="s">
        <v>1864</v>
      </c>
      <c r="B1739" t="s">
        <v>127</v>
      </c>
      <c r="C1739">
        <v>170</v>
      </c>
      <c r="D1739">
        <f t="shared" si="74"/>
        <v>2004</v>
      </c>
      <c r="E1739">
        <f t="shared" si="75"/>
        <v>11</v>
      </c>
    </row>
    <row r="1740" spans="1:5" x14ac:dyDescent="0.3">
      <c r="A1740" t="s">
        <v>1865</v>
      </c>
      <c r="B1740" t="s">
        <v>127</v>
      </c>
      <c r="C1740">
        <v>171</v>
      </c>
      <c r="D1740">
        <f t="shared" si="74"/>
        <v>2004</v>
      </c>
      <c r="E1740">
        <f t="shared" si="75"/>
        <v>11</v>
      </c>
    </row>
    <row r="1741" spans="1:5" x14ac:dyDescent="0.3">
      <c r="A1741" t="s">
        <v>1866</v>
      </c>
      <c r="B1741" t="s">
        <v>127</v>
      </c>
      <c r="C1741">
        <v>171</v>
      </c>
      <c r="D1741">
        <f t="shared" si="74"/>
        <v>2004</v>
      </c>
      <c r="E1741">
        <f t="shared" si="75"/>
        <v>11</v>
      </c>
    </row>
    <row r="1742" spans="1:5" x14ac:dyDescent="0.3">
      <c r="A1742" t="s">
        <v>1867</v>
      </c>
      <c r="B1742" t="s">
        <v>127</v>
      </c>
      <c r="C1742">
        <v>171</v>
      </c>
      <c r="D1742">
        <f t="shared" si="74"/>
        <v>2004</v>
      </c>
      <c r="E1742">
        <f t="shared" si="75"/>
        <v>11</v>
      </c>
    </row>
    <row r="1743" spans="1:5" x14ac:dyDescent="0.3">
      <c r="A1743" t="s">
        <v>1868</v>
      </c>
      <c r="B1743" t="s">
        <v>127</v>
      </c>
      <c r="C1743">
        <v>169</v>
      </c>
      <c r="D1743">
        <f t="shared" si="74"/>
        <v>2004</v>
      </c>
      <c r="E1743">
        <f t="shared" si="75"/>
        <v>11</v>
      </c>
    </row>
    <row r="1744" spans="1:5" x14ac:dyDescent="0.3">
      <c r="A1744" t="s">
        <v>1869</v>
      </c>
      <c r="B1744" t="s">
        <v>127</v>
      </c>
      <c r="C1744">
        <v>171</v>
      </c>
      <c r="D1744">
        <f t="shared" si="74"/>
        <v>2004</v>
      </c>
      <c r="E1744">
        <f t="shared" si="75"/>
        <v>11</v>
      </c>
    </row>
    <row r="1745" spans="1:5" x14ac:dyDescent="0.3">
      <c r="A1745" t="s">
        <v>1870</v>
      </c>
      <c r="B1745" t="s">
        <v>127</v>
      </c>
      <c r="C1745">
        <v>168</v>
      </c>
      <c r="D1745">
        <f t="shared" si="74"/>
        <v>2004</v>
      </c>
      <c r="E1745">
        <f t="shared" si="75"/>
        <v>11</v>
      </c>
    </row>
    <row r="1746" spans="1:5" x14ac:dyDescent="0.3">
      <c r="A1746" t="s">
        <v>1871</v>
      </c>
      <c r="B1746" t="s">
        <v>127</v>
      </c>
      <c r="C1746">
        <v>168</v>
      </c>
      <c r="D1746">
        <f t="shared" si="74"/>
        <v>2004</v>
      </c>
      <c r="E1746">
        <f t="shared" si="75"/>
        <v>11</v>
      </c>
    </row>
    <row r="1747" spans="1:5" x14ac:dyDescent="0.3">
      <c r="A1747" t="s">
        <v>1872</v>
      </c>
      <c r="B1747" t="s">
        <v>127</v>
      </c>
      <c r="C1747">
        <v>167</v>
      </c>
      <c r="D1747">
        <f t="shared" si="74"/>
        <v>2004</v>
      </c>
      <c r="E1747">
        <f t="shared" si="75"/>
        <v>11</v>
      </c>
    </row>
    <row r="1748" spans="1:5" x14ac:dyDescent="0.3">
      <c r="A1748" t="s">
        <v>1873</v>
      </c>
      <c r="B1748" t="s">
        <v>127</v>
      </c>
      <c r="C1748">
        <v>167</v>
      </c>
      <c r="D1748">
        <f t="shared" si="74"/>
        <v>2004</v>
      </c>
      <c r="E1748">
        <f t="shared" si="75"/>
        <v>11</v>
      </c>
    </row>
    <row r="1749" spans="1:5" x14ac:dyDescent="0.3">
      <c r="A1749" t="s">
        <v>1874</v>
      </c>
      <c r="B1749" t="s">
        <v>127</v>
      </c>
      <c r="C1749">
        <v>172</v>
      </c>
      <c r="D1749">
        <f t="shared" si="74"/>
        <v>2004</v>
      </c>
      <c r="E1749">
        <f t="shared" si="75"/>
        <v>11</v>
      </c>
    </row>
    <row r="1750" spans="1:5" x14ac:dyDescent="0.3">
      <c r="A1750" t="s">
        <v>1875</v>
      </c>
      <c r="B1750" t="s">
        <v>127</v>
      </c>
      <c r="C1750">
        <v>170</v>
      </c>
      <c r="D1750">
        <f t="shared" si="74"/>
        <v>2004</v>
      </c>
      <c r="E1750">
        <f t="shared" si="75"/>
        <v>12</v>
      </c>
    </row>
    <row r="1751" spans="1:5" x14ac:dyDescent="0.3">
      <c r="A1751" t="s">
        <v>1876</v>
      </c>
      <c r="B1751" t="s">
        <v>127</v>
      </c>
      <c r="C1751">
        <v>171</v>
      </c>
      <c r="D1751">
        <f t="shared" si="74"/>
        <v>2004</v>
      </c>
      <c r="E1751">
        <f t="shared" si="75"/>
        <v>12</v>
      </c>
    </row>
    <row r="1752" spans="1:5" x14ac:dyDescent="0.3">
      <c r="A1752" t="s">
        <v>1877</v>
      </c>
      <c r="B1752" t="s">
        <v>127</v>
      </c>
      <c r="C1752">
        <v>171</v>
      </c>
      <c r="D1752">
        <f t="shared" si="74"/>
        <v>2004</v>
      </c>
      <c r="E1752">
        <f t="shared" si="75"/>
        <v>12</v>
      </c>
    </row>
    <row r="1753" spans="1:5" x14ac:dyDescent="0.3">
      <c r="A1753" t="s">
        <v>1878</v>
      </c>
      <c r="B1753" t="s">
        <v>127</v>
      </c>
      <c r="C1753">
        <v>172</v>
      </c>
      <c r="D1753">
        <f t="shared" si="74"/>
        <v>2004</v>
      </c>
      <c r="E1753">
        <f t="shared" si="75"/>
        <v>12</v>
      </c>
    </row>
    <row r="1754" spans="1:5" x14ac:dyDescent="0.3">
      <c r="A1754" t="s">
        <v>1879</v>
      </c>
      <c r="B1754" t="s">
        <v>127</v>
      </c>
      <c r="C1754">
        <v>168</v>
      </c>
      <c r="D1754">
        <f t="shared" si="74"/>
        <v>2004</v>
      </c>
      <c r="E1754">
        <f t="shared" si="75"/>
        <v>12</v>
      </c>
    </row>
    <row r="1755" spans="1:5" x14ac:dyDescent="0.3">
      <c r="A1755" t="s">
        <v>1880</v>
      </c>
      <c r="B1755" t="s">
        <v>127</v>
      </c>
      <c r="C1755">
        <v>171</v>
      </c>
      <c r="D1755">
        <f t="shared" si="74"/>
        <v>2004</v>
      </c>
      <c r="E1755">
        <f t="shared" si="75"/>
        <v>12</v>
      </c>
    </row>
    <row r="1756" spans="1:5" x14ac:dyDescent="0.3">
      <c r="A1756" t="s">
        <v>1881</v>
      </c>
      <c r="B1756" t="s">
        <v>127</v>
      </c>
      <c r="C1756">
        <v>171</v>
      </c>
      <c r="D1756">
        <f t="shared" si="74"/>
        <v>2004</v>
      </c>
      <c r="E1756">
        <f t="shared" si="75"/>
        <v>12</v>
      </c>
    </row>
    <row r="1757" spans="1:5" x14ac:dyDescent="0.3">
      <c r="A1757" t="s">
        <v>1882</v>
      </c>
      <c r="B1757" t="s">
        <v>127</v>
      </c>
      <c r="C1757">
        <v>174</v>
      </c>
      <c r="D1757">
        <f t="shared" si="74"/>
        <v>2004</v>
      </c>
      <c r="E1757">
        <f t="shared" si="75"/>
        <v>12</v>
      </c>
    </row>
    <row r="1758" spans="1:5" x14ac:dyDescent="0.3">
      <c r="A1758" t="s">
        <v>1883</v>
      </c>
      <c r="B1758" t="s">
        <v>127</v>
      </c>
      <c r="C1758">
        <v>173</v>
      </c>
      <c r="D1758">
        <f t="shared" si="74"/>
        <v>2004</v>
      </c>
      <c r="E1758">
        <f t="shared" si="75"/>
        <v>12</v>
      </c>
    </row>
    <row r="1759" spans="1:5" x14ac:dyDescent="0.3">
      <c r="A1759" t="s">
        <v>1884</v>
      </c>
      <c r="B1759" t="s">
        <v>127</v>
      </c>
      <c r="C1759">
        <v>172</v>
      </c>
      <c r="D1759">
        <f t="shared" si="74"/>
        <v>2004</v>
      </c>
      <c r="E1759">
        <f t="shared" si="75"/>
        <v>12</v>
      </c>
    </row>
    <row r="1760" spans="1:5" x14ac:dyDescent="0.3">
      <c r="A1760" t="s">
        <v>1885</v>
      </c>
      <c r="B1760" t="s">
        <v>127</v>
      </c>
      <c r="C1760">
        <v>169</v>
      </c>
      <c r="D1760">
        <f t="shared" si="74"/>
        <v>2004</v>
      </c>
      <c r="E1760">
        <f t="shared" si="75"/>
        <v>12</v>
      </c>
    </row>
    <row r="1761" spans="1:5" x14ac:dyDescent="0.3">
      <c r="A1761" t="s">
        <v>1886</v>
      </c>
      <c r="B1761" t="s">
        <v>127</v>
      </c>
      <c r="C1761">
        <v>166</v>
      </c>
      <c r="D1761">
        <f t="shared" si="74"/>
        <v>2004</v>
      </c>
      <c r="E1761">
        <f t="shared" si="75"/>
        <v>12</v>
      </c>
    </row>
    <row r="1762" spans="1:5" x14ac:dyDescent="0.3">
      <c r="A1762" t="s">
        <v>1887</v>
      </c>
      <c r="B1762" t="s">
        <v>127</v>
      </c>
      <c r="C1762">
        <v>162</v>
      </c>
      <c r="D1762">
        <f t="shared" si="74"/>
        <v>2004</v>
      </c>
      <c r="E1762">
        <f t="shared" si="75"/>
        <v>12</v>
      </c>
    </row>
    <row r="1763" spans="1:5" x14ac:dyDescent="0.3">
      <c r="A1763" t="s">
        <v>1888</v>
      </c>
      <c r="B1763" t="s">
        <v>127</v>
      </c>
      <c r="C1763">
        <v>162</v>
      </c>
      <c r="D1763">
        <f t="shared" si="74"/>
        <v>2004</v>
      </c>
      <c r="E1763">
        <f t="shared" si="75"/>
        <v>12</v>
      </c>
    </row>
    <row r="1764" spans="1:5" x14ac:dyDescent="0.3">
      <c r="A1764" t="s">
        <v>1889</v>
      </c>
      <c r="B1764" t="s">
        <v>127</v>
      </c>
      <c r="C1764">
        <v>163</v>
      </c>
      <c r="D1764">
        <f t="shared" si="74"/>
        <v>2004</v>
      </c>
      <c r="E1764">
        <f t="shared" si="75"/>
        <v>12</v>
      </c>
    </row>
    <row r="1765" spans="1:5" x14ac:dyDescent="0.3">
      <c r="A1765" t="s">
        <v>1890</v>
      </c>
      <c r="B1765" t="s">
        <v>127</v>
      </c>
      <c r="C1765">
        <v>162</v>
      </c>
      <c r="D1765">
        <f t="shared" si="74"/>
        <v>2004</v>
      </c>
      <c r="E1765">
        <f t="shared" si="75"/>
        <v>12</v>
      </c>
    </row>
    <row r="1766" spans="1:5" x14ac:dyDescent="0.3">
      <c r="A1766" t="s">
        <v>1891</v>
      </c>
      <c r="B1766" t="s">
        <v>127</v>
      </c>
      <c r="C1766">
        <v>162</v>
      </c>
      <c r="D1766">
        <f t="shared" si="74"/>
        <v>2004</v>
      </c>
      <c r="E1766">
        <f t="shared" si="75"/>
        <v>12</v>
      </c>
    </row>
    <row r="1767" spans="1:5" x14ac:dyDescent="0.3">
      <c r="A1767" t="s">
        <v>1892</v>
      </c>
      <c r="B1767" t="s">
        <v>127</v>
      </c>
      <c r="C1767">
        <v>163</v>
      </c>
      <c r="D1767">
        <f t="shared" si="74"/>
        <v>2004</v>
      </c>
      <c r="E1767">
        <f t="shared" si="75"/>
        <v>12</v>
      </c>
    </row>
    <row r="1768" spans="1:5" x14ac:dyDescent="0.3">
      <c r="A1768" t="s">
        <v>1893</v>
      </c>
      <c r="B1768" t="s">
        <v>127</v>
      </c>
      <c r="C1768">
        <v>154</v>
      </c>
      <c r="D1768">
        <f t="shared" si="74"/>
        <v>2004</v>
      </c>
      <c r="E1768">
        <f t="shared" si="75"/>
        <v>12</v>
      </c>
    </row>
    <row r="1769" spans="1:5" x14ac:dyDescent="0.3">
      <c r="A1769" t="s">
        <v>1894</v>
      </c>
      <c r="B1769" t="s">
        <v>127</v>
      </c>
      <c r="C1769">
        <v>160</v>
      </c>
      <c r="D1769">
        <f t="shared" si="74"/>
        <v>2004</v>
      </c>
      <c r="E1769">
        <f t="shared" si="75"/>
        <v>12</v>
      </c>
    </row>
    <row r="1770" spans="1:5" x14ac:dyDescent="0.3">
      <c r="A1770" t="s">
        <v>1895</v>
      </c>
      <c r="B1770" t="s">
        <v>127</v>
      </c>
      <c r="C1770">
        <v>160</v>
      </c>
      <c r="D1770">
        <f t="shared" si="74"/>
        <v>2004</v>
      </c>
      <c r="E1770">
        <f t="shared" si="75"/>
        <v>12</v>
      </c>
    </row>
    <row r="1771" spans="1:5" x14ac:dyDescent="0.3">
      <c r="A1771" t="s">
        <v>1896</v>
      </c>
      <c r="B1771" t="s">
        <v>127</v>
      </c>
      <c r="C1771">
        <v>163</v>
      </c>
      <c r="D1771">
        <f t="shared" si="74"/>
        <v>2004</v>
      </c>
      <c r="E1771">
        <f t="shared" si="75"/>
        <v>12</v>
      </c>
    </row>
    <row r="1772" spans="1:5" x14ac:dyDescent="0.3">
      <c r="A1772" t="s">
        <v>1897</v>
      </c>
      <c r="B1772" t="s">
        <v>127</v>
      </c>
      <c r="C1772">
        <v>166</v>
      </c>
      <c r="D1772">
        <f t="shared" si="74"/>
        <v>2004</v>
      </c>
      <c r="E1772">
        <f t="shared" si="75"/>
        <v>12</v>
      </c>
    </row>
    <row r="1773" spans="1:5" x14ac:dyDescent="0.3">
      <c r="A1773" t="s">
        <v>1898</v>
      </c>
      <c r="B1773" t="s">
        <v>127</v>
      </c>
      <c r="C1773">
        <v>166</v>
      </c>
      <c r="D1773">
        <f t="shared" si="74"/>
        <v>2005</v>
      </c>
      <c r="E1773">
        <f t="shared" si="75"/>
        <v>1</v>
      </c>
    </row>
    <row r="1774" spans="1:5" x14ac:dyDescent="0.3">
      <c r="A1774" t="s">
        <v>1899</v>
      </c>
      <c r="B1774" t="s">
        <v>127</v>
      </c>
      <c r="C1774">
        <v>166</v>
      </c>
      <c r="D1774">
        <f t="shared" si="74"/>
        <v>2005</v>
      </c>
      <c r="E1774">
        <f t="shared" si="75"/>
        <v>1</v>
      </c>
    </row>
    <row r="1775" spans="1:5" x14ac:dyDescent="0.3">
      <c r="A1775" t="s">
        <v>1900</v>
      </c>
      <c r="B1775" t="s">
        <v>127</v>
      </c>
      <c r="C1775">
        <v>168</v>
      </c>
      <c r="D1775">
        <f t="shared" si="74"/>
        <v>2005</v>
      </c>
      <c r="E1775">
        <f t="shared" si="75"/>
        <v>1</v>
      </c>
    </row>
    <row r="1776" spans="1:5" x14ac:dyDescent="0.3">
      <c r="A1776" t="s">
        <v>1901</v>
      </c>
      <c r="B1776" t="s">
        <v>127</v>
      </c>
      <c r="C1776">
        <v>168</v>
      </c>
      <c r="D1776">
        <f t="shared" si="74"/>
        <v>2005</v>
      </c>
      <c r="E1776">
        <f t="shared" si="75"/>
        <v>1</v>
      </c>
    </row>
    <row r="1777" spans="1:5" x14ac:dyDescent="0.3">
      <c r="A1777" t="s">
        <v>1902</v>
      </c>
      <c r="B1777" t="s">
        <v>127</v>
      </c>
      <c r="C1777">
        <v>169</v>
      </c>
      <c r="D1777">
        <f t="shared" si="74"/>
        <v>2005</v>
      </c>
      <c r="E1777">
        <f t="shared" si="75"/>
        <v>1</v>
      </c>
    </row>
    <row r="1778" spans="1:5" x14ac:dyDescent="0.3">
      <c r="A1778" t="s">
        <v>1903</v>
      </c>
      <c r="B1778" t="s">
        <v>127</v>
      </c>
      <c r="C1778">
        <v>172</v>
      </c>
      <c r="D1778">
        <f t="shared" si="74"/>
        <v>2005</v>
      </c>
      <c r="E1778">
        <f t="shared" si="75"/>
        <v>1</v>
      </c>
    </row>
    <row r="1779" spans="1:5" x14ac:dyDescent="0.3">
      <c r="A1779" t="s">
        <v>1904</v>
      </c>
      <c r="B1779" t="s">
        <v>127</v>
      </c>
      <c r="C1779">
        <v>173</v>
      </c>
      <c r="D1779">
        <f t="shared" si="74"/>
        <v>2005</v>
      </c>
      <c r="E1779">
        <f t="shared" si="75"/>
        <v>1</v>
      </c>
    </row>
    <row r="1780" spans="1:5" x14ac:dyDescent="0.3">
      <c r="A1780" t="s">
        <v>1905</v>
      </c>
      <c r="B1780" t="s">
        <v>127</v>
      </c>
      <c r="C1780">
        <v>168</v>
      </c>
      <c r="D1780">
        <f t="shared" si="74"/>
        <v>2005</v>
      </c>
      <c r="E1780">
        <f t="shared" si="75"/>
        <v>1</v>
      </c>
    </row>
    <row r="1781" spans="1:5" x14ac:dyDescent="0.3">
      <c r="A1781" t="s">
        <v>1906</v>
      </c>
      <c r="B1781" t="s">
        <v>127</v>
      </c>
      <c r="C1781">
        <v>170</v>
      </c>
      <c r="D1781">
        <f t="shared" si="74"/>
        <v>2005</v>
      </c>
      <c r="E1781">
        <f t="shared" si="75"/>
        <v>1</v>
      </c>
    </row>
    <row r="1782" spans="1:5" x14ac:dyDescent="0.3">
      <c r="A1782" t="s">
        <v>1907</v>
      </c>
      <c r="B1782" t="s">
        <v>127</v>
      </c>
      <c r="C1782">
        <v>173</v>
      </c>
      <c r="D1782">
        <f t="shared" si="74"/>
        <v>2005</v>
      </c>
      <c r="E1782">
        <f t="shared" si="75"/>
        <v>1</v>
      </c>
    </row>
    <row r="1783" spans="1:5" x14ac:dyDescent="0.3">
      <c r="A1783" t="s">
        <v>1908</v>
      </c>
      <c r="B1783" t="s">
        <v>127</v>
      </c>
      <c r="C1783">
        <v>173</v>
      </c>
      <c r="D1783">
        <f t="shared" si="74"/>
        <v>2005</v>
      </c>
      <c r="E1783">
        <f t="shared" si="75"/>
        <v>1</v>
      </c>
    </row>
    <row r="1784" spans="1:5" x14ac:dyDescent="0.3">
      <c r="A1784" t="s">
        <v>1909</v>
      </c>
      <c r="B1784" t="s">
        <v>127</v>
      </c>
      <c r="C1784">
        <v>176</v>
      </c>
      <c r="D1784">
        <f t="shared" si="74"/>
        <v>2005</v>
      </c>
      <c r="E1784">
        <f t="shared" si="75"/>
        <v>1</v>
      </c>
    </row>
    <row r="1785" spans="1:5" x14ac:dyDescent="0.3">
      <c r="A1785" t="s">
        <v>1910</v>
      </c>
      <c r="B1785" t="s">
        <v>127</v>
      </c>
      <c r="C1785">
        <v>174</v>
      </c>
      <c r="D1785">
        <f t="shared" si="74"/>
        <v>2005</v>
      </c>
      <c r="E1785">
        <f t="shared" si="75"/>
        <v>1</v>
      </c>
    </row>
    <row r="1786" spans="1:5" x14ac:dyDescent="0.3">
      <c r="A1786" t="s">
        <v>1911</v>
      </c>
      <c r="B1786" t="s">
        <v>127</v>
      </c>
      <c r="C1786">
        <v>174</v>
      </c>
      <c r="D1786">
        <f t="shared" si="74"/>
        <v>2005</v>
      </c>
      <c r="E1786">
        <f t="shared" si="75"/>
        <v>1</v>
      </c>
    </row>
    <row r="1787" spans="1:5" x14ac:dyDescent="0.3">
      <c r="A1787" t="s">
        <v>1912</v>
      </c>
      <c r="B1787" t="s">
        <v>127</v>
      </c>
      <c r="C1787">
        <v>170</v>
      </c>
      <c r="D1787">
        <f t="shared" si="74"/>
        <v>2005</v>
      </c>
      <c r="E1787">
        <f t="shared" si="75"/>
        <v>1</v>
      </c>
    </row>
    <row r="1788" spans="1:5" x14ac:dyDescent="0.3">
      <c r="A1788" t="s">
        <v>1913</v>
      </c>
      <c r="B1788" t="s">
        <v>127</v>
      </c>
      <c r="C1788">
        <v>171</v>
      </c>
      <c r="D1788">
        <f t="shared" si="74"/>
        <v>2005</v>
      </c>
      <c r="E1788">
        <f t="shared" si="75"/>
        <v>1</v>
      </c>
    </row>
    <row r="1789" spans="1:5" x14ac:dyDescent="0.3">
      <c r="A1789" t="s">
        <v>1914</v>
      </c>
      <c r="B1789" t="s">
        <v>127</v>
      </c>
      <c r="C1789">
        <v>167</v>
      </c>
      <c r="D1789">
        <f t="shared" si="74"/>
        <v>2005</v>
      </c>
      <c r="E1789">
        <f t="shared" si="75"/>
        <v>1</v>
      </c>
    </row>
    <row r="1790" spans="1:5" x14ac:dyDescent="0.3">
      <c r="A1790" t="s">
        <v>1915</v>
      </c>
      <c r="B1790" t="s">
        <v>127</v>
      </c>
      <c r="C1790">
        <v>166</v>
      </c>
      <c r="D1790">
        <f t="shared" si="74"/>
        <v>2005</v>
      </c>
      <c r="E1790">
        <f t="shared" si="75"/>
        <v>1</v>
      </c>
    </row>
    <row r="1791" spans="1:5" x14ac:dyDescent="0.3">
      <c r="A1791" t="s">
        <v>1916</v>
      </c>
      <c r="B1791" t="s">
        <v>127</v>
      </c>
      <c r="C1791">
        <v>165</v>
      </c>
      <c r="D1791">
        <f t="shared" si="74"/>
        <v>2005</v>
      </c>
      <c r="E1791">
        <f t="shared" si="75"/>
        <v>1</v>
      </c>
    </row>
    <row r="1792" spans="1:5" x14ac:dyDescent="0.3">
      <c r="A1792" t="s">
        <v>1917</v>
      </c>
      <c r="B1792" t="s">
        <v>127</v>
      </c>
      <c r="C1792">
        <v>168</v>
      </c>
      <c r="D1792">
        <f t="shared" si="74"/>
        <v>2005</v>
      </c>
      <c r="E1792">
        <f t="shared" si="75"/>
        <v>1</v>
      </c>
    </row>
    <row r="1793" spans="1:5" x14ac:dyDescent="0.3">
      <c r="A1793" t="s">
        <v>1918</v>
      </c>
      <c r="B1793" t="s">
        <v>127</v>
      </c>
      <c r="C1793">
        <v>162</v>
      </c>
      <c r="D1793">
        <f t="shared" si="74"/>
        <v>2005</v>
      </c>
      <c r="E1793">
        <f t="shared" si="75"/>
        <v>1</v>
      </c>
    </row>
    <row r="1794" spans="1:5" x14ac:dyDescent="0.3">
      <c r="A1794" t="s">
        <v>1919</v>
      </c>
      <c r="B1794" t="s">
        <v>127</v>
      </c>
      <c r="C1794">
        <v>163</v>
      </c>
      <c r="D1794">
        <f t="shared" si="74"/>
        <v>2005</v>
      </c>
      <c r="E1794">
        <f t="shared" si="75"/>
        <v>2</v>
      </c>
    </row>
    <row r="1795" spans="1:5" x14ac:dyDescent="0.3">
      <c r="A1795" t="s">
        <v>1920</v>
      </c>
      <c r="B1795" t="s">
        <v>127</v>
      </c>
      <c r="C1795">
        <v>163</v>
      </c>
      <c r="D1795">
        <f t="shared" ref="D1795:D1858" si="76">YEAR(A1795)</f>
        <v>2005</v>
      </c>
      <c r="E1795">
        <f t="shared" ref="E1795:E1858" si="77">MONTH(A1795)</f>
        <v>2</v>
      </c>
    </row>
    <row r="1796" spans="1:5" x14ac:dyDescent="0.3">
      <c r="A1796" t="s">
        <v>1921</v>
      </c>
      <c r="B1796" t="s">
        <v>127</v>
      </c>
      <c r="C1796">
        <v>162</v>
      </c>
      <c r="D1796">
        <f t="shared" si="76"/>
        <v>2005</v>
      </c>
      <c r="E1796">
        <f t="shared" si="77"/>
        <v>2</v>
      </c>
    </row>
    <row r="1797" spans="1:5" x14ac:dyDescent="0.3">
      <c r="A1797" t="s">
        <v>1922</v>
      </c>
      <c r="B1797" t="s">
        <v>127</v>
      </c>
      <c r="C1797">
        <v>158</v>
      </c>
      <c r="D1797">
        <f t="shared" si="76"/>
        <v>2005</v>
      </c>
      <c r="E1797">
        <f t="shared" si="77"/>
        <v>2</v>
      </c>
    </row>
    <row r="1798" spans="1:5" x14ac:dyDescent="0.3">
      <c r="A1798" t="s">
        <v>1923</v>
      </c>
      <c r="B1798" t="s">
        <v>127</v>
      </c>
      <c r="C1798">
        <v>157</v>
      </c>
      <c r="D1798">
        <f t="shared" si="76"/>
        <v>2005</v>
      </c>
      <c r="E1798">
        <f t="shared" si="77"/>
        <v>2</v>
      </c>
    </row>
    <row r="1799" spans="1:5" x14ac:dyDescent="0.3">
      <c r="A1799" t="s">
        <v>1924</v>
      </c>
      <c r="B1799" t="s">
        <v>127</v>
      </c>
      <c r="C1799">
        <v>157</v>
      </c>
      <c r="D1799">
        <f t="shared" si="76"/>
        <v>2005</v>
      </c>
      <c r="E1799">
        <f t="shared" si="77"/>
        <v>2</v>
      </c>
    </row>
    <row r="1800" spans="1:5" x14ac:dyDescent="0.3">
      <c r="A1800" t="s">
        <v>1925</v>
      </c>
      <c r="B1800" t="s">
        <v>127</v>
      </c>
      <c r="C1800">
        <v>160</v>
      </c>
      <c r="D1800">
        <f t="shared" si="76"/>
        <v>2005</v>
      </c>
      <c r="E1800">
        <f t="shared" si="77"/>
        <v>2</v>
      </c>
    </row>
    <row r="1801" spans="1:5" x14ac:dyDescent="0.3">
      <c r="A1801" t="s">
        <v>1926</v>
      </c>
      <c r="B1801" t="s">
        <v>127</v>
      </c>
      <c r="C1801">
        <v>159</v>
      </c>
      <c r="D1801">
        <f t="shared" si="76"/>
        <v>2005</v>
      </c>
      <c r="E1801">
        <f t="shared" si="77"/>
        <v>2</v>
      </c>
    </row>
    <row r="1802" spans="1:5" x14ac:dyDescent="0.3">
      <c r="A1802" t="s">
        <v>1927</v>
      </c>
      <c r="B1802" t="s">
        <v>127</v>
      </c>
      <c r="C1802">
        <v>157</v>
      </c>
      <c r="D1802">
        <f t="shared" si="76"/>
        <v>2005</v>
      </c>
      <c r="E1802">
        <f t="shared" si="77"/>
        <v>2</v>
      </c>
    </row>
    <row r="1803" spans="1:5" x14ac:dyDescent="0.3">
      <c r="A1803" t="s">
        <v>1928</v>
      </c>
      <c r="B1803" t="s">
        <v>127</v>
      </c>
      <c r="C1803">
        <v>159</v>
      </c>
      <c r="D1803">
        <f t="shared" si="76"/>
        <v>2005</v>
      </c>
      <c r="E1803">
        <f t="shared" si="77"/>
        <v>2</v>
      </c>
    </row>
    <row r="1804" spans="1:5" x14ac:dyDescent="0.3">
      <c r="A1804" t="s">
        <v>1929</v>
      </c>
      <c r="B1804" t="s">
        <v>127</v>
      </c>
      <c r="C1804">
        <v>157</v>
      </c>
      <c r="D1804">
        <f t="shared" si="76"/>
        <v>2005</v>
      </c>
      <c r="E1804">
        <f t="shared" si="77"/>
        <v>2</v>
      </c>
    </row>
    <row r="1805" spans="1:5" x14ac:dyDescent="0.3">
      <c r="A1805" t="s">
        <v>1930</v>
      </c>
      <c r="B1805" t="s">
        <v>127</v>
      </c>
      <c r="C1805">
        <v>156</v>
      </c>
      <c r="D1805">
        <f t="shared" si="76"/>
        <v>2005</v>
      </c>
      <c r="E1805">
        <f t="shared" si="77"/>
        <v>2</v>
      </c>
    </row>
    <row r="1806" spans="1:5" x14ac:dyDescent="0.3">
      <c r="A1806" t="s">
        <v>1931</v>
      </c>
      <c r="B1806" t="s">
        <v>127</v>
      </c>
      <c r="C1806">
        <v>153</v>
      </c>
      <c r="D1806">
        <f t="shared" si="76"/>
        <v>2005</v>
      </c>
      <c r="E1806">
        <f t="shared" si="77"/>
        <v>2</v>
      </c>
    </row>
    <row r="1807" spans="1:5" x14ac:dyDescent="0.3">
      <c r="A1807" t="s">
        <v>1932</v>
      </c>
      <c r="B1807" t="s">
        <v>127</v>
      </c>
      <c r="C1807">
        <v>153</v>
      </c>
      <c r="D1807">
        <f t="shared" si="76"/>
        <v>2005</v>
      </c>
      <c r="E1807">
        <f t="shared" si="77"/>
        <v>2</v>
      </c>
    </row>
    <row r="1808" spans="1:5" x14ac:dyDescent="0.3">
      <c r="A1808" t="s">
        <v>1933</v>
      </c>
      <c r="B1808" t="s">
        <v>127</v>
      </c>
      <c r="C1808">
        <v>151</v>
      </c>
      <c r="D1808">
        <f t="shared" si="76"/>
        <v>2005</v>
      </c>
      <c r="E1808">
        <f t="shared" si="77"/>
        <v>2</v>
      </c>
    </row>
    <row r="1809" spans="1:5" x14ac:dyDescent="0.3">
      <c r="A1809" t="s">
        <v>1934</v>
      </c>
      <c r="B1809" t="s">
        <v>127</v>
      </c>
      <c r="C1809">
        <v>155</v>
      </c>
      <c r="D1809">
        <f t="shared" si="76"/>
        <v>2005</v>
      </c>
      <c r="E1809">
        <f t="shared" si="77"/>
        <v>2</v>
      </c>
    </row>
    <row r="1810" spans="1:5" x14ac:dyDescent="0.3">
      <c r="A1810" t="s">
        <v>1935</v>
      </c>
      <c r="B1810" t="s">
        <v>127</v>
      </c>
      <c r="C1810">
        <v>157</v>
      </c>
      <c r="D1810">
        <f t="shared" si="76"/>
        <v>2005</v>
      </c>
      <c r="E1810">
        <f t="shared" si="77"/>
        <v>2</v>
      </c>
    </row>
    <row r="1811" spans="1:5" x14ac:dyDescent="0.3">
      <c r="A1811" t="s">
        <v>1936</v>
      </c>
      <c r="B1811" t="s">
        <v>127</v>
      </c>
      <c r="C1811">
        <v>155</v>
      </c>
      <c r="D1811">
        <f t="shared" si="76"/>
        <v>2005</v>
      </c>
      <c r="E1811">
        <f t="shared" si="77"/>
        <v>2</v>
      </c>
    </row>
    <row r="1812" spans="1:5" x14ac:dyDescent="0.3">
      <c r="A1812" t="s">
        <v>1937</v>
      </c>
      <c r="B1812" t="s">
        <v>127</v>
      </c>
      <c r="C1812">
        <v>157</v>
      </c>
      <c r="D1812">
        <f t="shared" si="76"/>
        <v>2005</v>
      </c>
      <c r="E1812">
        <f t="shared" si="77"/>
        <v>2</v>
      </c>
    </row>
    <row r="1813" spans="1:5" x14ac:dyDescent="0.3">
      <c r="A1813" t="s">
        <v>1938</v>
      </c>
      <c r="B1813" t="s">
        <v>127</v>
      </c>
      <c r="C1813">
        <v>153</v>
      </c>
      <c r="D1813">
        <f t="shared" si="76"/>
        <v>2005</v>
      </c>
      <c r="E1813">
        <f t="shared" si="77"/>
        <v>2</v>
      </c>
    </row>
    <row r="1814" spans="1:5" x14ac:dyDescent="0.3">
      <c r="A1814" t="s">
        <v>1939</v>
      </c>
      <c r="B1814" t="s">
        <v>127</v>
      </c>
      <c r="C1814">
        <v>155</v>
      </c>
      <c r="D1814">
        <f t="shared" si="76"/>
        <v>2005</v>
      </c>
      <c r="E1814">
        <f t="shared" si="77"/>
        <v>3</v>
      </c>
    </row>
    <row r="1815" spans="1:5" x14ac:dyDescent="0.3">
      <c r="A1815" t="s">
        <v>1940</v>
      </c>
      <c r="B1815" t="s">
        <v>127</v>
      </c>
      <c r="C1815">
        <v>153</v>
      </c>
      <c r="D1815">
        <f t="shared" si="76"/>
        <v>2005</v>
      </c>
      <c r="E1815">
        <f t="shared" si="77"/>
        <v>3</v>
      </c>
    </row>
    <row r="1816" spans="1:5" x14ac:dyDescent="0.3">
      <c r="A1816" t="s">
        <v>1941</v>
      </c>
      <c r="B1816" t="s">
        <v>127</v>
      </c>
      <c r="C1816">
        <v>152</v>
      </c>
      <c r="D1816">
        <f t="shared" si="76"/>
        <v>2005</v>
      </c>
      <c r="E1816">
        <f t="shared" si="77"/>
        <v>3</v>
      </c>
    </row>
    <row r="1817" spans="1:5" x14ac:dyDescent="0.3">
      <c r="A1817" t="s">
        <v>1942</v>
      </c>
      <c r="B1817" t="s">
        <v>127</v>
      </c>
      <c r="C1817">
        <v>148</v>
      </c>
      <c r="D1817">
        <f t="shared" si="76"/>
        <v>2005</v>
      </c>
      <c r="E1817">
        <f t="shared" si="77"/>
        <v>3</v>
      </c>
    </row>
    <row r="1818" spans="1:5" x14ac:dyDescent="0.3">
      <c r="A1818" t="s">
        <v>1943</v>
      </c>
      <c r="B1818" t="s">
        <v>127</v>
      </c>
      <c r="C1818">
        <v>145</v>
      </c>
      <c r="D1818">
        <f t="shared" si="76"/>
        <v>2005</v>
      </c>
      <c r="E1818">
        <f t="shared" si="77"/>
        <v>3</v>
      </c>
    </row>
    <row r="1819" spans="1:5" x14ac:dyDescent="0.3">
      <c r="A1819" t="s">
        <v>1944</v>
      </c>
      <c r="B1819" t="s">
        <v>127</v>
      </c>
      <c r="C1819">
        <v>144</v>
      </c>
      <c r="D1819">
        <f t="shared" si="76"/>
        <v>2005</v>
      </c>
      <c r="E1819">
        <f t="shared" si="77"/>
        <v>3</v>
      </c>
    </row>
    <row r="1820" spans="1:5" x14ac:dyDescent="0.3">
      <c r="A1820" t="s">
        <v>1945</v>
      </c>
      <c r="B1820" t="s">
        <v>127</v>
      </c>
      <c r="C1820">
        <v>147</v>
      </c>
      <c r="D1820">
        <f t="shared" si="76"/>
        <v>2005</v>
      </c>
      <c r="E1820">
        <f t="shared" si="77"/>
        <v>3</v>
      </c>
    </row>
    <row r="1821" spans="1:5" x14ac:dyDescent="0.3">
      <c r="A1821" t="s">
        <v>1946</v>
      </c>
      <c r="B1821" t="s">
        <v>127</v>
      </c>
      <c r="C1821">
        <v>148</v>
      </c>
      <c r="D1821">
        <f t="shared" si="76"/>
        <v>2005</v>
      </c>
      <c r="E1821">
        <f t="shared" si="77"/>
        <v>3</v>
      </c>
    </row>
    <row r="1822" spans="1:5" x14ac:dyDescent="0.3">
      <c r="A1822" t="s">
        <v>1947</v>
      </c>
      <c r="B1822" t="s">
        <v>127</v>
      </c>
      <c r="C1822">
        <v>146</v>
      </c>
      <c r="D1822">
        <f t="shared" si="76"/>
        <v>2005</v>
      </c>
      <c r="E1822">
        <f t="shared" si="77"/>
        <v>3</v>
      </c>
    </row>
    <row r="1823" spans="1:5" x14ac:dyDescent="0.3">
      <c r="A1823" t="s">
        <v>1948</v>
      </c>
      <c r="B1823" t="s">
        <v>127</v>
      </c>
      <c r="C1823">
        <v>146</v>
      </c>
      <c r="D1823">
        <f t="shared" si="76"/>
        <v>2005</v>
      </c>
      <c r="E1823">
        <f t="shared" si="77"/>
        <v>3</v>
      </c>
    </row>
    <row r="1824" spans="1:5" x14ac:dyDescent="0.3">
      <c r="A1824" t="s">
        <v>1949</v>
      </c>
      <c r="B1824" t="s">
        <v>127</v>
      </c>
      <c r="C1824">
        <v>163</v>
      </c>
      <c r="D1824">
        <f t="shared" si="76"/>
        <v>2005</v>
      </c>
      <c r="E1824">
        <f t="shared" si="77"/>
        <v>3</v>
      </c>
    </row>
    <row r="1825" spans="1:5" x14ac:dyDescent="0.3">
      <c r="A1825" t="s">
        <v>1950</v>
      </c>
      <c r="B1825" t="s">
        <v>127</v>
      </c>
      <c r="C1825">
        <v>173</v>
      </c>
      <c r="D1825">
        <f t="shared" si="76"/>
        <v>2005</v>
      </c>
      <c r="E1825">
        <f t="shared" si="77"/>
        <v>3</v>
      </c>
    </row>
    <row r="1826" spans="1:5" x14ac:dyDescent="0.3">
      <c r="A1826" t="s">
        <v>1951</v>
      </c>
      <c r="B1826" t="s">
        <v>127</v>
      </c>
      <c r="C1826">
        <v>170</v>
      </c>
      <c r="D1826">
        <f t="shared" si="76"/>
        <v>2005</v>
      </c>
      <c r="E1826">
        <f t="shared" si="77"/>
        <v>3</v>
      </c>
    </row>
    <row r="1827" spans="1:5" x14ac:dyDescent="0.3">
      <c r="A1827" t="s">
        <v>1952</v>
      </c>
      <c r="B1827" t="s">
        <v>127</v>
      </c>
      <c r="C1827">
        <v>168</v>
      </c>
      <c r="D1827">
        <f t="shared" si="76"/>
        <v>2005</v>
      </c>
      <c r="E1827">
        <f t="shared" si="77"/>
        <v>3</v>
      </c>
    </row>
    <row r="1828" spans="1:5" x14ac:dyDescent="0.3">
      <c r="A1828" t="s">
        <v>1953</v>
      </c>
      <c r="B1828" t="s">
        <v>127</v>
      </c>
      <c r="C1828">
        <v>177</v>
      </c>
      <c r="D1828">
        <f t="shared" si="76"/>
        <v>2005</v>
      </c>
      <c r="E1828">
        <f t="shared" si="77"/>
        <v>3</v>
      </c>
    </row>
    <row r="1829" spans="1:5" x14ac:dyDescent="0.3">
      <c r="A1829" t="s">
        <v>1954</v>
      </c>
      <c r="B1829" t="s">
        <v>127</v>
      </c>
      <c r="C1829">
        <v>179</v>
      </c>
      <c r="D1829">
        <f t="shared" si="76"/>
        <v>2005</v>
      </c>
      <c r="E1829">
        <f t="shared" si="77"/>
        <v>3</v>
      </c>
    </row>
    <row r="1830" spans="1:5" x14ac:dyDescent="0.3">
      <c r="A1830" t="s">
        <v>1955</v>
      </c>
      <c r="B1830" t="s">
        <v>127</v>
      </c>
      <c r="C1830">
        <v>185</v>
      </c>
      <c r="D1830">
        <f t="shared" si="76"/>
        <v>2005</v>
      </c>
      <c r="E1830">
        <f t="shared" si="77"/>
        <v>3</v>
      </c>
    </row>
    <row r="1831" spans="1:5" x14ac:dyDescent="0.3">
      <c r="A1831" t="s">
        <v>1956</v>
      </c>
      <c r="B1831" t="s">
        <v>127</v>
      </c>
      <c r="C1831">
        <v>188</v>
      </c>
      <c r="D1831">
        <f t="shared" si="76"/>
        <v>2005</v>
      </c>
      <c r="E1831">
        <f t="shared" si="77"/>
        <v>3</v>
      </c>
    </row>
    <row r="1832" spans="1:5" x14ac:dyDescent="0.3">
      <c r="A1832" t="s">
        <v>1957</v>
      </c>
      <c r="B1832" t="s">
        <v>127</v>
      </c>
      <c r="C1832">
        <v>190</v>
      </c>
      <c r="D1832">
        <f t="shared" si="76"/>
        <v>2005</v>
      </c>
      <c r="E1832">
        <f t="shared" si="77"/>
        <v>3</v>
      </c>
    </row>
    <row r="1833" spans="1:5" x14ac:dyDescent="0.3">
      <c r="A1833" t="s">
        <v>1958</v>
      </c>
      <c r="B1833" t="s">
        <v>127</v>
      </c>
      <c r="C1833">
        <v>187</v>
      </c>
      <c r="D1833">
        <f t="shared" si="76"/>
        <v>2005</v>
      </c>
      <c r="E1833">
        <f t="shared" si="77"/>
        <v>3</v>
      </c>
    </row>
    <row r="1834" spans="1:5" x14ac:dyDescent="0.3">
      <c r="A1834" t="s">
        <v>1959</v>
      </c>
      <c r="B1834" t="s">
        <v>127</v>
      </c>
      <c r="C1834">
        <v>182</v>
      </c>
      <c r="D1834">
        <f t="shared" si="76"/>
        <v>2005</v>
      </c>
      <c r="E1834">
        <f t="shared" si="77"/>
        <v>3</v>
      </c>
    </row>
    <row r="1835" spans="1:5" x14ac:dyDescent="0.3">
      <c r="A1835" t="s">
        <v>1960</v>
      </c>
      <c r="B1835" t="s">
        <v>127</v>
      </c>
      <c r="C1835">
        <v>180</v>
      </c>
      <c r="D1835">
        <f t="shared" si="76"/>
        <v>2005</v>
      </c>
      <c r="E1835">
        <f t="shared" si="77"/>
        <v>3</v>
      </c>
    </row>
    <row r="1836" spans="1:5" x14ac:dyDescent="0.3">
      <c r="A1836" t="s">
        <v>1961</v>
      </c>
      <c r="B1836" t="s">
        <v>127</v>
      </c>
      <c r="C1836">
        <v>181</v>
      </c>
      <c r="D1836">
        <f t="shared" si="76"/>
        <v>2005</v>
      </c>
      <c r="E1836">
        <f t="shared" si="77"/>
        <v>4</v>
      </c>
    </row>
    <row r="1837" spans="1:5" x14ac:dyDescent="0.3">
      <c r="A1837" t="s">
        <v>1962</v>
      </c>
      <c r="B1837" t="s">
        <v>127</v>
      </c>
      <c r="C1837">
        <v>189</v>
      </c>
      <c r="D1837">
        <f t="shared" si="76"/>
        <v>2005</v>
      </c>
      <c r="E1837">
        <f t="shared" si="77"/>
        <v>4</v>
      </c>
    </row>
    <row r="1838" spans="1:5" x14ac:dyDescent="0.3">
      <c r="A1838" t="s">
        <v>1963</v>
      </c>
      <c r="B1838" t="s">
        <v>127</v>
      </c>
      <c r="C1838">
        <v>191</v>
      </c>
      <c r="D1838">
        <f t="shared" si="76"/>
        <v>2005</v>
      </c>
      <c r="E1838">
        <f t="shared" si="77"/>
        <v>4</v>
      </c>
    </row>
    <row r="1839" spans="1:5" x14ac:dyDescent="0.3">
      <c r="A1839" t="s">
        <v>1964</v>
      </c>
      <c r="B1839" t="s">
        <v>127</v>
      </c>
      <c r="C1839">
        <v>187</v>
      </c>
      <c r="D1839">
        <f t="shared" si="76"/>
        <v>2005</v>
      </c>
      <c r="E1839">
        <f t="shared" si="77"/>
        <v>4</v>
      </c>
    </row>
    <row r="1840" spans="1:5" x14ac:dyDescent="0.3">
      <c r="A1840" t="s">
        <v>1965</v>
      </c>
      <c r="B1840" t="s">
        <v>127</v>
      </c>
      <c r="C1840">
        <v>182</v>
      </c>
      <c r="D1840">
        <f t="shared" si="76"/>
        <v>2005</v>
      </c>
      <c r="E1840">
        <f t="shared" si="77"/>
        <v>4</v>
      </c>
    </row>
    <row r="1841" spans="1:5" x14ac:dyDescent="0.3">
      <c r="A1841" t="s">
        <v>1966</v>
      </c>
      <c r="B1841" t="s">
        <v>127</v>
      </c>
      <c r="C1841">
        <v>179</v>
      </c>
      <c r="D1841">
        <f t="shared" si="76"/>
        <v>2005</v>
      </c>
      <c r="E1841">
        <f t="shared" si="77"/>
        <v>4</v>
      </c>
    </row>
    <row r="1842" spans="1:5" x14ac:dyDescent="0.3">
      <c r="A1842" t="s">
        <v>1967</v>
      </c>
      <c r="B1842" t="s">
        <v>127</v>
      </c>
      <c r="C1842">
        <v>182</v>
      </c>
      <c r="D1842">
        <f t="shared" si="76"/>
        <v>2005</v>
      </c>
      <c r="E1842">
        <f t="shared" si="77"/>
        <v>4</v>
      </c>
    </row>
    <row r="1843" spans="1:5" x14ac:dyDescent="0.3">
      <c r="A1843" t="s">
        <v>1968</v>
      </c>
      <c r="B1843" t="s">
        <v>127</v>
      </c>
      <c r="C1843">
        <v>180</v>
      </c>
      <c r="D1843">
        <f t="shared" si="76"/>
        <v>2005</v>
      </c>
      <c r="E1843">
        <f t="shared" si="77"/>
        <v>4</v>
      </c>
    </row>
    <row r="1844" spans="1:5" x14ac:dyDescent="0.3">
      <c r="A1844" t="s">
        <v>1969</v>
      </c>
      <c r="B1844" t="s">
        <v>127</v>
      </c>
      <c r="C1844">
        <v>177</v>
      </c>
      <c r="D1844">
        <f t="shared" si="76"/>
        <v>2005</v>
      </c>
      <c r="E1844">
        <f t="shared" si="77"/>
        <v>4</v>
      </c>
    </row>
    <row r="1845" spans="1:5" x14ac:dyDescent="0.3">
      <c r="A1845" t="s">
        <v>1970</v>
      </c>
      <c r="B1845" t="s">
        <v>127</v>
      </c>
      <c r="C1845">
        <v>188</v>
      </c>
      <c r="D1845">
        <f t="shared" si="76"/>
        <v>2005</v>
      </c>
      <c r="E1845">
        <f t="shared" si="77"/>
        <v>4</v>
      </c>
    </row>
    <row r="1846" spans="1:5" x14ac:dyDescent="0.3">
      <c r="A1846" t="s">
        <v>1971</v>
      </c>
      <c r="B1846" t="s">
        <v>127</v>
      </c>
      <c r="C1846">
        <v>204</v>
      </c>
      <c r="D1846">
        <f t="shared" si="76"/>
        <v>2005</v>
      </c>
      <c r="E1846">
        <f t="shared" si="77"/>
        <v>4</v>
      </c>
    </row>
    <row r="1847" spans="1:5" x14ac:dyDescent="0.3">
      <c r="A1847" t="s">
        <v>1972</v>
      </c>
      <c r="B1847" t="s">
        <v>127</v>
      </c>
      <c r="C1847">
        <v>203</v>
      </c>
      <c r="D1847">
        <f t="shared" si="76"/>
        <v>2005</v>
      </c>
      <c r="E1847">
        <f t="shared" si="77"/>
        <v>4</v>
      </c>
    </row>
    <row r="1848" spans="1:5" x14ac:dyDescent="0.3">
      <c r="A1848" t="s">
        <v>1973</v>
      </c>
      <c r="B1848" t="s">
        <v>127</v>
      </c>
      <c r="C1848">
        <v>192</v>
      </c>
      <c r="D1848">
        <f t="shared" si="76"/>
        <v>2005</v>
      </c>
      <c r="E1848">
        <f t="shared" si="77"/>
        <v>4</v>
      </c>
    </row>
    <row r="1849" spans="1:5" x14ac:dyDescent="0.3">
      <c r="A1849" t="s">
        <v>1974</v>
      </c>
      <c r="B1849" t="s">
        <v>127</v>
      </c>
      <c r="C1849">
        <v>190</v>
      </c>
      <c r="D1849">
        <f t="shared" si="76"/>
        <v>2005</v>
      </c>
      <c r="E1849">
        <f t="shared" si="77"/>
        <v>4</v>
      </c>
    </row>
    <row r="1850" spans="1:5" x14ac:dyDescent="0.3">
      <c r="A1850" t="s">
        <v>1975</v>
      </c>
      <c r="B1850" t="s">
        <v>127</v>
      </c>
      <c r="C1850">
        <v>178</v>
      </c>
      <c r="D1850">
        <f t="shared" si="76"/>
        <v>2005</v>
      </c>
      <c r="E1850">
        <f t="shared" si="77"/>
        <v>4</v>
      </c>
    </row>
    <row r="1851" spans="1:5" x14ac:dyDescent="0.3">
      <c r="A1851" t="s">
        <v>1976</v>
      </c>
      <c r="B1851" t="s">
        <v>127</v>
      </c>
      <c r="C1851">
        <v>180</v>
      </c>
      <c r="D1851">
        <f t="shared" si="76"/>
        <v>2005</v>
      </c>
      <c r="E1851">
        <f t="shared" si="77"/>
        <v>4</v>
      </c>
    </row>
    <row r="1852" spans="1:5" x14ac:dyDescent="0.3">
      <c r="A1852" t="s">
        <v>1977</v>
      </c>
      <c r="B1852" t="s">
        <v>127</v>
      </c>
      <c r="C1852">
        <v>180</v>
      </c>
      <c r="D1852">
        <f t="shared" si="76"/>
        <v>2005</v>
      </c>
      <c r="E1852">
        <f t="shared" si="77"/>
        <v>4</v>
      </c>
    </row>
    <row r="1853" spans="1:5" x14ac:dyDescent="0.3">
      <c r="A1853" t="s">
        <v>1978</v>
      </c>
      <c r="B1853" t="s">
        <v>127</v>
      </c>
      <c r="C1853">
        <v>182</v>
      </c>
      <c r="D1853">
        <f t="shared" si="76"/>
        <v>2005</v>
      </c>
      <c r="E1853">
        <f t="shared" si="77"/>
        <v>4</v>
      </c>
    </row>
    <row r="1854" spans="1:5" x14ac:dyDescent="0.3">
      <c r="A1854" t="s">
        <v>1979</v>
      </c>
      <c r="B1854" t="s">
        <v>127</v>
      </c>
      <c r="C1854">
        <v>184</v>
      </c>
      <c r="D1854">
        <f t="shared" si="76"/>
        <v>2005</v>
      </c>
      <c r="E1854">
        <f t="shared" si="77"/>
        <v>4</v>
      </c>
    </row>
    <row r="1855" spans="1:5" x14ac:dyDescent="0.3">
      <c r="A1855" t="s">
        <v>1980</v>
      </c>
      <c r="B1855" t="s">
        <v>127</v>
      </c>
      <c r="C1855">
        <v>195</v>
      </c>
      <c r="D1855">
        <f t="shared" si="76"/>
        <v>2005</v>
      </c>
      <c r="E1855">
        <f t="shared" si="77"/>
        <v>4</v>
      </c>
    </row>
    <row r="1856" spans="1:5" x14ac:dyDescent="0.3">
      <c r="A1856" t="s">
        <v>1981</v>
      </c>
      <c r="B1856" t="s">
        <v>127</v>
      </c>
      <c r="C1856">
        <v>188</v>
      </c>
      <c r="D1856">
        <f t="shared" si="76"/>
        <v>2005</v>
      </c>
      <c r="E1856">
        <f t="shared" si="77"/>
        <v>4</v>
      </c>
    </row>
    <row r="1857" spans="1:5" x14ac:dyDescent="0.3">
      <c r="A1857" t="s">
        <v>1982</v>
      </c>
      <c r="B1857" t="s">
        <v>127</v>
      </c>
      <c r="C1857">
        <v>189</v>
      </c>
      <c r="D1857">
        <f t="shared" si="76"/>
        <v>2005</v>
      </c>
      <c r="E1857">
        <f t="shared" si="77"/>
        <v>5</v>
      </c>
    </row>
    <row r="1858" spans="1:5" x14ac:dyDescent="0.3">
      <c r="A1858" t="s">
        <v>1983</v>
      </c>
      <c r="B1858" t="s">
        <v>127</v>
      </c>
      <c r="C1858">
        <v>185</v>
      </c>
      <c r="D1858">
        <f t="shared" si="76"/>
        <v>2005</v>
      </c>
      <c r="E1858">
        <f t="shared" si="77"/>
        <v>5</v>
      </c>
    </row>
    <row r="1859" spans="1:5" x14ac:dyDescent="0.3">
      <c r="A1859" t="s">
        <v>1984</v>
      </c>
      <c r="B1859" t="s">
        <v>127</v>
      </c>
      <c r="C1859">
        <v>179</v>
      </c>
      <c r="D1859">
        <f t="shared" ref="D1859:D1922" si="78">YEAR(A1859)</f>
        <v>2005</v>
      </c>
      <c r="E1859">
        <f t="shared" ref="E1859:E1922" si="79">MONTH(A1859)</f>
        <v>5</v>
      </c>
    </row>
    <row r="1860" spans="1:5" x14ac:dyDescent="0.3">
      <c r="A1860" t="s">
        <v>1985</v>
      </c>
      <c r="B1860" t="s">
        <v>127</v>
      </c>
      <c r="C1860">
        <v>181</v>
      </c>
      <c r="D1860">
        <f t="shared" si="78"/>
        <v>2005</v>
      </c>
      <c r="E1860">
        <f t="shared" si="79"/>
        <v>5</v>
      </c>
    </row>
    <row r="1861" spans="1:5" x14ac:dyDescent="0.3">
      <c r="A1861" t="s">
        <v>1986</v>
      </c>
      <c r="B1861" t="s">
        <v>127</v>
      </c>
      <c r="C1861">
        <v>176</v>
      </c>
      <c r="D1861">
        <f t="shared" si="78"/>
        <v>2005</v>
      </c>
      <c r="E1861">
        <f t="shared" si="79"/>
        <v>5</v>
      </c>
    </row>
    <row r="1862" spans="1:5" x14ac:dyDescent="0.3">
      <c r="A1862" t="s">
        <v>1987</v>
      </c>
      <c r="B1862" t="s">
        <v>127</v>
      </c>
      <c r="C1862">
        <v>175</v>
      </c>
      <c r="D1862">
        <f t="shared" si="78"/>
        <v>2005</v>
      </c>
      <c r="E1862">
        <f t="shared" si="79"/>
        <v>5</v>
      </c>
    </row>
    <row r="1863" spans="1:5" x14ac:dyDescent="0.3">
      <c r="A1863" t="s">
        <v>1988</v>
      </c>
      <c r="B1863" t="s">
        <v>127</v>
      </c>
      <c r="C1863">
        <v>183</v>
      </c>
      <c r="D1863">
        <f t="shared" si="78"/>
        <v>2005</v>
      </c>
      <c r="E1863">
        <f t="shared" si="79"/>
        <v>5</v>
      </c>
    </row>
    <row r="1864" spans="1:5" x14ac:dyDescent="0.3">
      <c r="A1864" t="s">
        <v>1989</v>
      </c>
      <c r="B1864" t="s">
        <v>127</v>
      </c>
      <c r="C1864">
        <v>185</v>
      </c>
      <c r="D1864">
        <f t="shared" si="78"/>
        <v>2005</v>
      </c>
      <c r="E1864">
        <f t="shared" si="79"/>
        <v>5</v>
      </c>
    </row>
    <row r="1865" spans="1:5" x14ac:dyDescent="0.3">
      <c r="A1865" t="s">
        <v>1990</v>
      </c>
      <c r="B1865" t="s">
        <v>127</v>
      </c>
      <c r="C1865">
        <v>185</v>
      </c>
      <c r="D1865">
        <f t="shared" si="78"/>
        <v>2005</v>
      </c>
      <c r="E1865">
        <f t="shared" si="79"/>
        <v>5</v>
      </c>
    </row>
    <row r="1866" spans="1:5" x14ac:dyDescent="0.3">
      <c r="A1866" t="s">
        <v>1991</v>
      </c>
      <c r="B1866" t="s">
        <v>127</v>
      </c>
      <c r="C1866">
        <v>191</v>
      </c>
      <c r="D1866">
        <f t="shared" si="78"/>
        <v>2005</v>
      </c>
      <c r="E1866">
        <f t="shared" si="79"/>
        <v>5</v>
      </c>
    </row>
    <row r="1867" spans="1:5" x14ac:dyDescent="0.3">
      <c r="A1867" t="s">
        <v>1992</v>
      </c>
      <c r="B1867" t="s">
        <v>127</v>
      </c>
      <c r="C1867">
        <v>191</v>
      </c>
      <c r="D1867">
        <f t="shared" si="78"/>
        <v>2005</v>
      </c>
      <c r="E1867">
        <f t="shared" si="79"/>
        <v>5</v>
      </c>
    </row>
    <row r="1868" spans="1:5" x14ac:dyDescent="0.3">
      <c r="A1868" t="s">
        <v>1993</v>
      </c>
      <c r="B1868" t="s">
        <v>127</v>
      </c>
      <c r="C1868">
        <v>193</v>
      </c>
      <c r="D1868">
        <f t="shared" si="78"/>
        <v>2005</v>
      </c>
      <c r="E1868">
        <f t="shared" si="79"/>
        <v>5</v>
      </c>
    </row>
    <row r="1869" spans="1:5" x14ac:dyDescent="0.3">
      <c r="A1869" t="s">
        <v>1994</v>
      </c>
      <c r="B1869" t="s">
        <v>127</v>
      </c>
      <c r="C1869">
        <v>189</v>
      </c>
      <c r="D1869">
        <f t="shared" si="78"/>
        <v>2005</v>
      </c>
      <c r="E1869">
        <f t="shared" si="79"/>
        <v>5</v>
      </c>
    </row>
    <row r="1870" spans="1:5" x14ac:dyDescent="0.3">
      <c r="A1870" t="s">
        <v>1995</v>
      </c>
      <c r="B1870" t="s">
        <v>127</v>
      </c>
      <c r="C1870">
        <v>185</v>
      </c>
      <c r="D1870">
        <f t="shared" si="78"/>
        <v>2005</v>
      </c>
      <c r="E1870">
        <f t="shared" si="79"/>
        <v>5</v>
      </c>
    </row>
    <row r="1871" spans="1:5" x14ac:dyDescent="0.3">
      <c r="A1871" t="s">
        <v>1996</v>
      </c>
      <c r="B1871" t="s">
        <v>127</v>
      </c>
      <c r="C1871">
        <v>179</v>
      </c>
      <c r="D1871">
        <f t="shared" si="78"/>
        <v>2005</v>
      </c>
      <c r="E1871">
        <f t="shared" si="79"/>
        <v>5</v>
      </c>
    </row>
    <row r="1872" spans="1:5" x14ac:dyDescent="0.3">
      <c r="A1872" t="s">
        <v>1997</v>
      </c>
      <c r="B1872" t="s">
        <v>127</v>
      </c>
      <c r="C1872">
        <v>179</v>
      </c>
      <c r="D1872">
        <f t="shared" si="78"/>
        <v>2005</v>
      </c>
      <c r="E1872">
        <f t="shared" si="79"/>
        <v>5</v>
      </c>
    </row>
    <row r="1873" spans="1:5" x14ac:dyDescent="0.3">
      <c r="A1873" t="s">
        <v>1998</v>
      </c>
      <c r="B1873" t="s">
        <v>127</v>
      </c>
      <c r="C1873">
        <v>180</v>
      </c>
      <c r="D1873">
        <f t="shared" si="78"/>
        <v>2005</v>
      </c>
      <c r="E1873">
        <f t="shared" si="79"/>
        <v>5</v>
      </c>
    </row>
    <row r="1874" spans="1:5" x14ac:dyDescent="0.3">
      <c r="A1874" t="s">
        <v>1999</v>
      </c>
      <c r="B1874" t="s">
        <v>127</v>
      </c>
      <c r="C1874">
        <v>172</v>
      </c>
      <c r="D1874">
        <f t="shared" si="78"/>
        <v>2005</v>
      </c>
      <c r="E1874">
        <f t="shared" si="79"/>
        <v>5</v>
      </c>
    </row>
    <row r="1875" spans="1:5" x14ac:dyDescent="0.3">
      <c r="A1875" t="s">
        <v>2000</v>
      </c>
      <c r="B1875" t="s">
        <v>127</v>
      </c>
      <c r="C1875">
        <v>171</v>
      </c>
      <c r="D1875">
        <f t="shared" si="78"/>
        <v>2005</v>
      </c>
      <c r="E1875">
        <f t="shared" si="79"/>
        <v>5</v>
      </c>
    </row>
    <row r="1876" spans="1:5" x14ac:dyDescent="0.3">
      <c r="A1876" t="s">
        <v>2001</v>
      </c>
      <c r="B1876" t="s">
        <v>127</v>
      </c>
      <c r="C1876">
        <v>170</v>
      </c>
      <c r="D1876">
        <f t="shared" si="78"/>
        <v>2005</v>
      </c>
      <c r="E1876">
        <f t="shared" si="79"/>
        <v>5</v>
      </c>
    </row>
    <row r="1877" spans="1:5" x14ac:dyDescent="0.3">
      <c r="A1877" t="s">
        <v>2002</v>
      </c>
      <c r="B1877" t="s">
        <v>127</v>
      </c>
      <c r="C1877">
        <v>170</v>
      </c>
      <c r="D1877">
        <f t="shared" si="78"/>
        <v>2005</v>
      </c>
      <c r="E1877">
        <f t="shared" si="79"/>
        <v>5</v>
      </c>
    </row>
    <row r="1878" spans="1:5" x14ac:dyDescent="0.3">
      <c r="A1878" t="s">
        <v>2003</v>
      </c>
      <c r="B1878" t="s">
        <v>127</v>
      </c>
      <c r="C1878">
        <v>164</v>
      </c>
      <c r="D1878">
        <f t="shared" si="78"/>
        <v>2005</v>
      </c>
      <c r="E1878">
        <f t="shared" si="79"/>
        <v>5</v>
      </c>
    </row>
    <row r="1879" spans="1:5" x14ac:dyDescent="0.3">
      <c r="A1879" t="s">
        <v>2004</v>
      </c>
      <c r="B1879" t="s">
        <v>127</v>
      </c>
      <c r="C1879">
        <v>170</v>
      </c>
      <c r="D1879">
        <f t="shared" si="78"/>
        <v>2005</v>
      </c>
      <c r="E1879">
        <f t="shared" si="79"/>
        <v>6</v>
      </c>
    </row>
    <row r="1880" spans="1:5" x14ac:dyDescent="0.3">
      <c r="A1880" t="s">
        <v>2005</v>
      </c>
      <c r="B1880" t="s">
        <v>127</v>
      </c>
      <c r="C1880">
        <v>171</v>
      </c>
      <c r="D1880">
        <f t="shared" si="78"/>
        <v>2005</v>
      </c>
      <c r="E1880">
        <f t="shared" si="79"/>
        <v>6</v>
      </c>
    </row>
    <row r="1881" spans="1:5" x14ac:dyDescent="0.3">
      <c r="A1881" t="s">
        <v>2006</v>
      </c>
      <c r="B1881" t="s">
        <v>127</v>
      </c>
      <c r="C1881">
        <v>170</v>
      </c>
      <c r="D1881">
        <f t="shared" si="78"/>
        <v>2005</v>
      </c>
      <c r="E1881">
        <f t="shared" si="79"/>
        <v>6</v>
      </c>
    </row>
    <row r="1882" spans="1:5" x14ac:dyDescent="0.3">
      <c r="A1882" t="s">
        <v>2007</v>
      </c>
      <c r="B1882" t="s">
        <v>127</v>
      </c>
      <c r="C1882">
        <v>172</v>
      </c>
      <c r="D1882">
        <f t="shared" si="78"/>
        <v>2005</v>
      </c>
      <c r="E1882">
        <f t="shared" si="79"/>
        <v>6</v>
      </c>
    </row>
    <row r="1883" spans="1:5" x14ac:dyDescent="0.3">
      <c r="A1883" t="s">
        <v>2008</v>
      </c>
      <c r="B1883" t="s">
        <v>127</v>
      </c>
      <c r="C1883">
        <v>175</v>
      </c>
      <c r="D1883">
        <f t="shared" si="78"/>
        <v>2005</v>
      </c>
      <c r="E1883">
        <f t="shared" si="79"/>
        <v>6</v>
      </c>
    </row>
    <row r="1884" spans="1:5" x14ac:dyDescent="0.3">
      <c r="A1884" t="s">
        <v>2009</v>
      </c>
      <c r="B1884" t="s">
        <v>127</v>
      </c>
      <c r="C1884">
        <v>177</v>
      </c>
      <c r="D1884">
        <f t="shared" si="78"/>
        <v>2005</v>
      </c>
      <c r="E1884">
        <f t="shared" si="79"/>
        <v>6</v>
      </c>
    </row>
    <row r="1885" spans="1:5" x14ac:dyDescent="0.3">
      <c r="A1885" t="s">
        <v>2010</v>
      </c>
      <c r="B1885" t="s">
        <v>127</v>
      </c>
      <c r="C1885">
        <v>178</v>
      </c>
      <c r="D1885">
        <f t="shared" si="78"/>
        <v>2005</v>
      </c>
      <c r="E1885">
        <f t="shared" si="79"/>
        <v>6</v>
      </c>
    </row>
    <row r="1886" spans="1:5" x14ac:dyDescent="0.3">
      <c r="A1886" t="s">
        <v>2011</v>
      </c>
      <c r="B1886" t="s">
        <v>127</v>
      </c>
      <c r="C1886">
        <v>173</v>
      </c>
      <c r="D1886">
        <f t="shared" si="78"/>
        <v>2005</v>
      </c>
      <c r="E1886">
        <f t="shared" si="79"/>
        <v>6</v>
      </c>
    </row>
    <row r="1887" spans="1:5" x14ac:dyDescent="0.3">
      <c r="A1887" t="s">
        <v>2012</v>
      </c>
      <c r="B1887" t="s">
        <v>127</v>
      </c>
      <c r="C1887">
        <v>170</v>
      </c>
      <c r="D1887">
        <f t="shared" si="78"/>
        <v>2005</v>
      </c>
      <c r="E1887">
        <f t="shared" si="79"/>
        <v>6</v>
      </c>
    </row>
    <row r="1888" spans="1:5" x14ac:dyDescent="0.3">
      <c r="A1888" t="s">
        <v>2013</v>
      </c>
      <c r="B1888" t="s">
        <v>127</v>
      </c>
      <c r="C1888">
        <v>170</v>
      </c>
      <c r="D1888">
        <f t="shared" si="78"/>
        <v>2005</v>
      </c>
      <c r="E1888">
        <f t="shared" si="79"/>
        <v>6</v>
      </c>
    </row>
    <row r="1889" spans="1:5" x14ac:dyDescent="0.3">
      <c r="A1889" t="s">
        <v>2014</v>
      </c>
      <c r="B1889" t="s">
        <v>127</v>
      </c>
      <c r="C1889">
        <v>169</v>
      </c>
      <c r="D1889">
        <f t="shared" si="78"/>
        <v>2005</v>
      </c>
      <c r="E1889">
        <f t="shared" si="79"/>
        <v>6</v>
      </c>
    </row>
    <row r="1890" spans="1:5" x14ac:dyDescent="0.3">
      <c r="A1890" t="s">
        <v>2015</v>
      </c>
      <c r="B1890" t="s">
        <v>127</v>
      </c>
      <c r="C1890">
        <v>170</v>
      </c>
      <c r="D1890">
        <f t="shared" si="78"/>
        <v>2005</v>
      </c>
      <c r="E1890">
        <f t="shared" si="79"/>
        <v>6</v>
      </c>
    </row>
    <row r="1891" spans="1:5" x14ac:dyDescent="0.3">
      <c r="A1891" t="s">
        <v>2016</v>
      </c>
      <c r="B1891" t="s">
        <v>127</v>
      </c>
      <c r="C1891">
        <v>169</v>
      </c>
      <c r="D1891">
        <f t="shared" si="78"/>
        <v>2005</v>
      </c>
      <c r="E1891">
        <f t="shared" si="79"/>
        <v>6</v>
      </c>
    </row>
    <row r="1892" spans="1:5" x14ac:dyDescent="0.3">
      <c r="A1892" t="s">
        <v>2017</v>
      </c>
      <c r="B1892" t="s">
        <v>127</v>
      </c>
      <c r="C1892">
        <v>169</v>
      </c>
      <c r="D1892">
        <f t="shared" si="78"/>
        <v>2005</v>
      </c>
      <c r="E1892">
        <f t="shared" si="79"/>
        <v>6</v>
      </c>
    </row>
    <row r="1893" spans="1:5" x14ac:dyDescent="0.3">
      <c r="A1893" t="s">
        <v>2018</v>
      </c>
      <c r="B1893" t="s">
        <v>127</v>
      </c>
      <c r="C1893">
        <v>168</v>
      </c>
      <c r="D1893">
        <f t="shared" si="78"/>
        <v>2005</v>
      </c>
      <c r="E1893">
        <f t="shared" si="79"/>
        <v>6</v>
      </c>
    </row>
    <row r="1894" spans="1:5" x14ac:dyDescent="0.3">
      <c r="A1894" t="s">
        <v>2019</v>
      </c>
      <c r="B1894" t="s">
        <v>127</v>
      </c>
      <c r="C1894">
        <v>171</v>
      </c>
      <c r="D1894">
        <f t="shared" si="78"/>
        <v>2005</v>
      </c>
      <c r="E1894">
        <f t="shared" si="79"/>
        <v>6</v>
      </c>
    </row>
    <row r="1895" spans="1:5" x14ac:dyDescent="0.3">
      <c r="A1895" t="s">
        <v>2020</v>
      </c>
      <c r="B1895" t="s">
        <v>127</v>
      </c>
      <c r="C1895">
        <v>174</v>
      </c>
      <c r="D1895">
        <f t="shared" si="78"/>
        <v>2005</v>
      </c>
      <c r="E1895">
        <f t="shared" si="79"/>
        <v>6</v>
      </c>
    </row>
    <row r="1896" spans="1:5" x14ac:dyDescent="0.3">
      <c r="A1896" t="s">
        <v>2021</v>
      </c>
      <c r="B1896" t="s">
        <v>127</v>
      </c>
      <c r="C1896">
        <v>177</v>
      </c>
      <c r="D1896">
        <f t="shared" si="78"/>
        <v>2005</v>
      </c>
      <c r="E1896">
        <f t="shared" si="79"/>
        <v>6</v>
      </c>
    </row>
    <row r="1897" spans="1:5" x14ac:dyDescent="0.3">
      <c r="A1897" t="s">
        <v>2022</v>
      </c>
      <c r="B1897" t="s">
        <v>127</v>
      </c>
      <c r="C1897">
        <v>179</v>
      </c>
      <c r="D1897">
        <f t="shared" si="78"/>
        <v>2005</v>
      </c>
      <c r="E1897">
        <f t="shared" si="79"/>
        <v>6</v>
      </c>
    </row>
    <row r="1898" spans="1:5" x14ac:dyDescent="0.3">
      <c r="A1898" t="s">
        <v>2023</v>
      </c>
      <c r="B1898" t="s">
        <v>127</v>
      </c>
      <c r="C1898">
        <v>174</v>
      </c>
      <c r="D1898">
        <f t="shared" si="78"/>
        <v>2005</v>
      </c>
      <c r="E1898">
        <f t="shared" si="79"/>
        <v>6</v>
      </c>
    </row>
    <row r="1899" spans="1:5" x14ac:dyDescent="0.3">
      <c r="A1899" t="s">
        <v>2024</v>
      </c>
      <c r="B1899" t="s">
        <v>127</v>
      </c>
      <c r="C1899">
        <v>171</v>
      </c>
      <c r="D1899">
        <f t="shared" si="78"/>
        <v>2005</v>
      </c>
      <c r="E1899">
        <f t="shared" si="79"/>
        <v>6</v>
      </c>
    </row>
    <row r="1900" spans="1:5" x14ac:dyDescent="0.3">
      <c r="A1900" t="s">
        <v>2025</v>
      </c>
      <c r="B1900" t="s">
        <v>127</v>
      </c>
      <c r="C1900">
        <v>168</v>
      </c>
      <c r="D1900">
        <f t="shared" si="78"/>
        <v>2005</v>
      </c>
      <c r="E1900">
        <f t="shared" si="79"/>
        <v>6</v>
      </c>
    </row>
    <row r="1901" spans="1:5" x14ac:dyDescent="0.3">
      <c r="A1901" t="s">
        <v>2026</v>
      </c>
      <c r="B1901" t="s">
        <v>127</v>
      </c>
      <c r="C1901">
        <v>162</v>
      </c>
      <c r="D1901">
        <f t="shared" si="78"/>
        <v>2005</v>
      </c>
      <c r="E1901">
        <f t="shared" si="79"/>
        <v>7</v>
      </c>
    </row>
    <row r="1902" spans="1:5" x14ac:dyDescent="0.3">
      <c r="A1902" t="s">
        <v>2027</v>
      </c>
      <c r="B1902" t="s">
        <v>127</v>
      </c>
      <c r="C1902">
        <v>162</v>
      </c>
      <c r="D1902">
        <f t="shared" si="78"/>
        <v>2005</v>
      </c>
      <c r="E1902">
        <f t="shared" si="79"/>
        <v>7</v>
      </c>
    </row>
    <row r="1903" spans="1:5" x14ac:dyDescent="0.3">
      <c r="A1903" t="s">
        <v>2028</v>
      </c>
      <c r="B1903" t="s">
        <v>127</v>
      </c>
      <c r="C1903">
        <v>164</v>
      </c>
      <c r="D1903">
        <f t="shared" si="78"/>
        <v>2005</v>
      </c>
      <c r="E1903">
        <f t="shared" si="79"/>
        <v>7</v>
      </c>
    </row>
    <row r="1904" spans="1:5" x14ac:dyDescent="0.3">
      <c r="A1904" t="s">
        <v>2029</v>
      </c>
      <c r="B1904" t="s">
        <v>127</v>
      </c>
      <c r="C1904">
        <v>166</v>
      </c>
      <c r="D1904">
        <f t="shared" si="78"/>
        <v>2005</v>
      </c>
      <c r="E1904">
        <f t="shared" si="79"/>
        <v>7</v>
      </c>
    </row>
    <row r="1905" spans="1:5" x14ac:dyDescent="0.3">
      <c r="A1905" t="s">
        <v>2030</v>
      </c>
      <c r="B1905" t="s">
        <v>127</v>
      </c>
      <c r="C1905">
        <v>168</v>
      </c>
      <c r="D1905">
        <f t="shared" si="78"/>
        <v>2005</v>
      </c>
      <c r="E1905">
        <f t="shared" si="79"/>
        <v>7</v>
      </c>
    </row>
    <row r="1906" spans="1:5" x14ac:dyDescent="0.3">
      <c r="A1906" t="s">
        <v>2031</v>
      </c>
      <c r="B1906" t="s">
        <v>127</v>
      </c>
      <c r="C1906">
        <v>163</v>
      </c>
      <c r="D1906">
        <f t="shared" si="78"/>
        <v>2005</v>
      </c>
      <c r="E1906">
        <f t="shared" si="79"/>
        <v>7</v>
      </c>
    </row>
    <row r="1907" spans="1:5" x14ac:dyDescent="0.3">
      <c r="A1907" t="s">
        <v>2032</v>
      </c>
      <c r="B1907" t="s">
        <v>127</v>
      </c>
      <c r="C1907">
        <v>162</v>
      </c>
      <c r="D1907">
        <f t="shared" si="78"/>
        <v>2005</v>
      </c>
      <c r="E1907">
        <f t="shared" si="79"/>
        <v>7</v>
      </c>
    </row>
    <row r="1908" spans="1:5" x14ac:dyDescent="0.3">
      <c r="A1908" t="s">
        <v>2033</v>
      </c>
      <c r="B1908" t="s">
        <v>127</v>
      </c>
      <c r="C1908">
        <v>162</v>
      </c>
      <c r="D1908">
        <f t="shared" si="78"/>
        <v>2005</v>
      </c>
      <c r="E1908">
        <f t="shared" si="79"/>
        <v>7</v>
      </c>
    </row>
    <row r="1909" spans="1:5" x14ac:dyDescent="0.3">
      <c r="A1909" t="s">
        <v>2034</v>
      </c>
      <c r="B1909" t="s">
        <v>127</v>
      </c>
      <c r="C1909">
        <v>162</v>
      </c>
      <c r="D1909">
        <f t="shared" si="78"/>
        <v>2005</v>
      </c>
      <c r="E1909">
        <f t="shared" si="79"/>
        <v>7</v>
      </c>
    </row>
    <row r="1910" spans="1:5" x14ac:dyDescent="0.3">
      <c r="A1910" t="s">
        <v>2035</v>
      </c>
      <c r="B1910" t="s">
        <v>127</v>
      </c>
      <c r="C1910">
        <v>157</v>
      </c>
      <c r="D1910">
        <f t="shared" si="78"/>
        <v>2005</v>
      </c>
      <c r="E1910">
        <f t="shared" si="79"/>
        <v>7</v>
      </c>
    </row>
    <row r="1911" spans="1:5" x14ac:dyDescent="0.3">
      <c r="A1911" t="s">
        <v>2036</v>
      </c>
      <c r="B1911" t="s">
        <v>127</v>
      </c>
      <c r="C1911">
        <v>157</v>
      </c>
      <c r="D1911">
        <f t="shared" si="78"/>
        <v>2005</v>
      </c>
      <c r="E1911">
        <f t="shared" si="79"/>
        <v>7</v>
      </c>
    </row>
    <row r="1912" spans="1:5" x14ac:dyDescent="0.3">
      <c r="A1912" t="s">
        <v>2037</v>
      </c>
      <c r="B1912" t="s">
        <v>127</v>
      </c>
      <c r="C1912">
        <v>157</v>
      </c>
      <c r="D1912">
        <f t="shared" si="78"/>
        <v>2005</v>
      </c>
      <c r="E1912">
        <f t="shared" si="79"/>
        <v>7</v>
      </c>
    </row>
    <row r="1913" spans="1:5" x14ac:dyDescent="0.3">
      <c r="A1913" t="s">
        <v>2038</v>
      </c>
      <c r="B1913" t="s">
        <v>127</v>
      </c>
      <c r="C1913">
        <v>158</v>
      </c>
      <c r="D1913">
        <f t="shared" si="78"/>
        <v>2005</v>
      </c>
      <c r="E1913">
        <f t="shared" si="79"/>
        <v>7</v>
      </c>
    </row>
    <row r="1914" spans="1:5" x14ac:dyDescent="0.3">
      <c r="A1914" t="s">
        <v>2039</v>
      </c>
      <c r="B1914" t="s">
        <v>127</v>
      </c>
      <c r="C1914">
        <v>155</v>
      </c>
      <c r="D1914">
        <f t="shared" si="78"/>
        <v>2005</v>
      </c>
      <c r="E1914">
        <f t="shared" si="79"/>
        <v>7</v>
      </c>
    </row>
    <row r="1915" spans="1:5" x14ac:dyDescent="0.3">
      <c r="A1915" t="s">
        <v>2040</v>
      </c>
      <c r="B1915" t="s">
        <v>127</v>
      </c>
      <c r="C1915">
        <v>154</v>
      </c>
      <c r="D1915">
        <f t="shared" si="78"/>
        <v>2005</v>
      </c>
      <c r="E1915">
        <f t="shared" si="79"/>
        <v>7</v>
      </c>
    </row>
    <row r="1916" spans="1:5" x14ac:dyDescent="0.3">
      <c r="A1916" t="s">
        <v>2041</v>
      </c>
      <c r="B1916" t="s">
        <v>127</v>
      </c>
      <c r="C1916">
        <v>158</v>
      </c>
      <c r="D1916">
        <f t="shared" si="78"/>
        <v>2005</v>
      </c>
      <c r="E1916">
        <f t="shared" si="79"/>
        <v>7</v>
      </c>
    </row>
    <row r="1917" spans="1:5" x14ac:dyDescent="0.3">
      <c r="A1917" t="s">
        <v>2042</v>
      </c>
      <c r="B1917" t="s">
        <v>127</v>
      </c>
      <c r="C1917">
        <v>158</v>
      </c>
      <c r="D1917">
        <f t="shared" si="78"/>
        <v>2005</v>
      </c>
      <c r="E1917">
        <f t="shared" si="79"/>
        <v>7</v>
      </c>
    </row>
    <row r="1918" spans="1:5" x14ac:dyDescent="0.3">
      <c r="A1918" t="s">
        <v>2043</v>
      </c>
      <c r="B1918" t="s">
        <v>127</v>
      </c>
      <c r="C1918">
        <v>157</v>
      </c>
      <c r="D1918">
        <f t="shared" si="78"/>
        <v>2005</v>
      </c>
      <c r="E1918">
        <f t="shared" si="79"/>
        <v>7</v>
      </c>
    </row>
    <row r="1919" spans="1:5" x14ac:dyDescent="0.3">
      <c r="A1919" t="s">
        <v>2044</v>
      </c>
      <c r="B1919" t="s">
        <v>127</v>
      </c>
      <c r="C1919">
        <v>155</v>
      </c>
      <c r="D1919">
        <f t="shared" si="78"/>
        <v>2005</v>
      </c>
      <c r="E1919">
        <f t="shared" si="79"/>
        <v>7</v>
      </c>
    </row>
    <row r="1920" spans="1:5" x14ac:dyDescent="0.3">
      <c r="A1920" t="s">
        <v>2045</v>
      </c>
      <c r="B1920" t="s">
        <v>127</v>
      </c>
      <c r="C1920">
        <v>154</v>
      </c>
      <c r="D1920">
        <f t="shared" si="78"/>
        <v>2005</v>
      </c>
      <c r="E1920">
        <f t="shared" si="79"/>
        <v>7</v>
      </c>
    </row>
    <row r="1921" spans="1:5" x14ac:dyDescent="0.3">
      <c r="A1921" t="s">
        <v>2046</v>
      </c>
      <c r="B1921" t="s">
        <v>127</v>
      </c>
      <c r="C1921">
        <v>152</v>
      </c>
      <c r="D1921">
        <f t="shared" si="78"/>
        <v>2005</v>
      </c>
      <c r="E1921">
        <f t="shared" si="79"/>
        <v>7</v>
      </c>
    </row>
    <row r="1922" spans="1:5" x14ac:dyDescent="0.3">
      <c r="A1922" t="s">
        <v>2047</v>
      </c>
      <c r="B1922" t="s">
        <v>127</v>
      </c>
      <c r="C1922">
        <v>152</v>
      </c>
      <c r="D1922">
        <f t="shared" si="78"/>
        <v>2005</v>
      </c>
      <c r="E1922">
        <f t="shared" si="79"/>
        <v>8</v>
      </c>
    </row>
    <row r="1923" spans="1:5" x14ac:dyDescent="0.3">
      <c r="A1923" t="s">
        <v>2048</v>
      </c>
      <c r="B1923" t="s">
        <v>127</v>
      </c>
      <c r="C1923">
        <v>150</v>
      </c>
      <c r="D1923">
        <f t="shared" ref="D1923:D1986" si="80">YEAR(A1923)</f>
        <v>2005</v>
      </c>
      <c r="E1923">
        <f t="shared" ref="E1923:E1986" si="81">MONTH(A1923)</f>
        <v>8</v>
      </c>
    </row>
    <row r="1924" spans="1:5" x14ac:dyDescent="0.3">
      <c r="A1924" t="s">
        <v>2049</v>
      </c>
      <c r="B1924" t="s">
        <v>127</v>
      </c>
      <c r="C1924">
        <v>150</v>
      </c>
      <c r="D1924">
        <f t="shared" si="80"/>
        <v>2005</v>
      </c>
      <c r="E1924">
        <f t="shared" si="81"/>
        <v>8</v>
      </c>
    </row>
    <row r="1925" spans="1:5" x14ac:dyDescent="0.3">
      <c r="A1925" t="s">
        <v>2050</v>
      </c>
      <c r="B1925" t="s">
        <v>127</v>
      </c>
      <c r="C1925">
        <v>149</v>
      </c>
      <c r="D1925">
        <f t="shared" si="80"/>
        <v>2005</v>
      </c>
      <c r="E1925">
        <f t="shared" si="81"/>
        <v>8</v>
      </c>
    </row>
    <row r="1926" spans="1:5" x14ac:dyDescent="0.3">
      <c r="A1926" t="s">
        <v>2051</v>
      </c>
      <c r="B1926" t="s">
        <v>127</v>
      </c>
      <c r="C1926">
        <v>148</v>
      </c>
      <c r="D1926">
        <f t="shared" si="80"/>
        <v>2005</v>
      </c>
      <c r="E1926">
        <f t="shared" si="81"/>
        <v>8</v>
      </c>
    </row>
    <row r="1927" spans="1:5" x14ac:dyDescent="0.3">
      <c r="A1927" t="s">
        <v>2052</v>
      </c>
      <c r="B1927" t="s">
        <v>127</v>
      </c>
      <c r="C1927">
        <v>148</v>
      </c>
      <c r="D1927">
        <f t="shared" si="80"/>
        <v>2005</v>
      </c>
      <c r="E1927">
        <f t="shared" si="81"/>
        <v>8</v>
      </c>
    </row>
    <row r="1928" spans="1:5" x14ac:dyDescent="0.3">
      <c r="A1928" t="s">
        <v>2053</v>
      </c>
      <c r="B1928" t="s">
        <v>127</v>
      </c>
      <c r="C1928">
        <v>148</v>
      </c>
      <c r="D1928">
        <f t="shared" si="80"/>
        <v>2005</v>
      </c>
      <c r="E1928">
        <f t="shared" si="81"/>
        <v>8</v>
      </c>
    </row>
    <row r="1929" spans="1:5" x14ac:dyDescent="0.3">
      <c r="A1929" t="s">
        <v>2054</v>
      </c>
      <c r="B1929" t="s">
        <v>127</v>
      </c>
      <c r="C1929">
        <v>146</v>
      </c>
      <c r="D1929">
        <f t="shared" si="80"/>
        <v>2005</v>
      </c>
      <c r="E1929">
        <f t="shared" si="81"/>
        <v>8</v>
      </c>
    </row>
    <row r="1930" spans="1:5" x14ac:dyDescent="0.3">
      <c r="A1930" t="s">
        <v>2055</v>
      </c>
      <c r="B1930" t="s">
        <v>127</v>
      </c>
      <c r="C1930">
        <v>150</v>
      </c>
      <c r="D1930">
        <f t="shared" si="80"/>
        <v>2005</v>
      </c>
      <c r="E1930">
        <f t="shared" si="81"/>
        <v>8</v>
      </c>
    </row>
    <row r="1931" spans="1:5" x14ac:dyDescent="0.3">
      <c r="A1931" t="s">
        <v>2056</v>
      </c>
      <c r="B1931" t="s">
        <v>127</v>
      </c>
      <c r="C1931">
        <v>153</v>
      </c>
      <c r="D1931">
        <f t="shared" si="80"/>
        <v>2005</v>
      </c>
      <c r="E1931">
        <f t="shared" si="81"/>
        <v>8</v>
      </c>
    </row>
    <row r="1932" spans="1:5" x14ac:dyDescent="0.3">
      <c r="A1932" t="s">
        <v>2057</v>
      </c>
      <c r="B1932" t="s">
        <v>127</v>
      </c>
      <c r="C1932">
        <v>149</v>
      </c>
      <c r="D1932">
        <f t="shared" si="80"/>
        <v>2005</v>
      </c>
      <c r="E1932">
        <f t="shared" si="81"/>
        <v>8</v>
      </c>
    </row>
    <row r="1933" spans="1:5" x14ac:dyDescent="0.3">
      <c r="A1933" t="s">
        <v>2058</v>
      </c>
      <c r="B1933" t="s">
        <v>127</v>
      </c>
      <c r="C1933">
        <v>150</v>
      </c>
      <c r="D1933">
        <f t="shared" si="80"/>
        <v>2005</v>
      </c>
      <c r="E1933">
        <f t="shared" si="81"/>
        <v>8</v>
      </c>
    </row>
    <row r="1934" spans="1:5" x14ac:dyDescent="0.3">
      <c r="A1934" t="s">
        <v>2059</v>
      </c>
      <c r="B1934" t="s">
        <v>127</v>
      </c>
      <c r="C1934">
        <v>149</v>
      </c>
      <c r="D1934">
        <f t="shared" si="80"/>
        <v>2005</v>
      </c>
      <c r="E1934">
        <f t="shared" si="81"/>
        <v>8</v>
      </c>
    </row>
    <row r="1935" spans="1:5" x14ac:dyDescent="0.3">
      <c r="A1935" t="s">
        <v>2060</v>
      </c>
      <c r="B1935" t="s">
        <v>127</v>
      </c>
      <c r="C1935">
        <v>150</v>
      </c>
      <c r="D1935">
        <f t="shared" si="80"/>
        <v>2005</v>
      </c>
      <c r="E1935">
        <f t="shared" si="81"/>
        <v>8</v>
      </c>
    </row>
    <row r="1936" spans="1:5" x14ac:dyDescent="0.3">
      <c r="A1936" t="s">
        <v>2061</v>
      </c>
      <c r="B1936" t="s">
        <v>127</v>
      </c>
      <c r="C1936">
        <v>152</v>
      </c>
      <c r="D1936">
        <f t="shared" si="80"/>
        <v>2005</v>
      </c>
      <c r="E1936">
        <f t="shared" si="81"/>
        <v>8</v>
      </c>
    </row>
    <row r="1937" spans="1:5" x14ac:dyDescent="0.3">
      <c r="A1937" t="s">
        <v>2062</v>
      </c>
      <c r="B1937" t="s">
        <v>127</v>
      </c>
      <c r="C1937">
        <v>150</v>
      </c>
      <c r="D1937">
        <f t="shared" si="80"/>
        <v>2005</v>
      </c>
      <c r="E1937">
        <f t="shared" si="81"/>
        <v>8</v>
      </c>
    </row>
    <row r="1938" spans="1:5" x14ac:dyDescent="0.3">
      <c r="A1938" t="s">
        <v>2063</v>
      </c>
      <c r="B1938" t="s">
        <v>127</v>
      </c>
      <c r="C1938">
        <v>151</v>
      </c>
      <c r="D1938">
        <f t="shared" si="80"/>
        <v>2005</v>
      </c>
      <c r="E1938">
        <f t="shared" si="81"/>
        <v>8</v>
      </c>
    </row>
    <row r="1939" spans="1:5" x14ac:dyDescent="0.3">
      <c r="A1939" t="s">
        <v>2064</v>
      </c>
      <c r="B1939" t="s">
        <v>127</v>
      </c>
      <c r="C1939">
        <v>152</v>
      </c>
      <c r="D1939">
        <f t="shared" si="80"/>
        <v>2005</v>
      </c>
      <c r="E1939">
        <f t="shared" si="81"/>
        <v>8</v>
      </c>
    </row>
    <row r="1940" spans="1:5" x14ac:dyDescent="0.3">
      <c r="A1940" t="s">
        <v>2065</v>
      </c>
      <c r="B1940" t="s">
        <v>127</v>
      </c>
      <c r="C1940">
        <v>151</v>
      </c>
      <c r="D1940">
        <f t="shared" si="80"/>
        <v>2005</v>
      </c>
      <c r="E1940">
        <f t="shared" si="81"/>
        <v>8</v>
      </c>
    </row>
    <row r="1941" spans="1:5" x14ac:dyDescent="0.3">
      <c r="A1941" t="s">
        <v>2066</v>
      </c>
      <c r="B1941" t="s">
        <v>127</v>
      </c>
      <c r="C1941">
        <v>148</v>
      </c>
      <c r="D1941">
        <f t="shared" si="80"/>
        <v>2005</v>
      </c>
      <c r="E1941">
        <f t="shared" si="81"/>
        <v>8</v>
      </c>
    </row>
    <row r="1942" spans="1:5" x14ac:dyDescent="0.3">
      <c r="A1942" t="s">
        <v>2067</v>
      </c>
      <c r="B1942" t="s">
        <v>127</v>
      </c>
      <c r="C1942">
        <v>148</v>
      </c>
      <c r="D1942">
        <f t="shared" si="80"/>
        <v>2005</v>
      </c>
      <c r="E1942">
        <f t="shared" si="81"/>
        <v>8</v>
      </c>
    </row>
    <row r="1943" spans="1:5" x14ac:dyDescent="0.3">
      <c r="A1943" t="s">
        <v>2068</v>
      </c>
      <c r="B1943" t="s">
        <v>127</v>
      </c>
      <c r="C1943">
        <v>153</v>
      </c>
      <c r="D1943">
        <f t="shared" si="80"/>
        <v>2005</v>
      </c>
      <c r="E1943">
        <f t="shared" si="81"/>
        <v>8</v>
      </c>
    </row>
    <row r="1944" spans="1:5" x14ac:dyDescent="0.3">
      <c r="A1944" t="s">
        <v>2069</v>
      </c>
      <c r="B1944" t="s">
        <v>127</v>
      </c>
      <c r="C1944">
        <v>148</v>
      </c>
      <c r="D1944">
        <f t="shared" si="80"/>
        <v>2005</v>
      </c>
      <c r="E1944">
        <f t="shared" si="81"/>
        <v>8</v>
      </c>
    </row>
    <row r="1945" spans="1:5" x14ac:dyDescent="0.3">
      <c r="A1945" t="s">
        <v>2070</v>
      </c>
      <c r="B1945" t="s">
        <v>127</v>
      </c>
      <c r="C1945">
        <v>146</v>
      </c>
      <c r="D1945">
        <f t="shared" si="80"/>
        <v>2005</v>
      </c>
      <c r="E1945">
        <f t="shared" si="81"/>
        <v>9</v>
      </c>
    </row>
    <row r="1946" spans="1:5" x14ac:dyDescent="0.3">
      <c r="A1946" t="s">
        <v>2071</v>
      </c>
      <c r="B1946" t="s">
        <v>127</v>
      </c>
      <c r="C1946">
        <v>144</v>
      </c>
      <c r="D1946">
        <f t="shared" si="80"/>
        <v>2005</v>
      </c>
      <c r="E1946">
        <f t="shared" si="81"/>
        <v>9</v>
      </c>
    </row>
    <row r="1947" spans="1:5" x14ac:dyDescent="0.3">
      <c r="A1947" t="s">
        <v>2072</v>
      </c>
      <c r="B1947" t="s">
        <v>127</v>
      </c>
      <c r="C1947">
        <v>144</v>
      </c>
      <c r="D1947">
        <f t="shared" si="80"/>
        <v>2005</v>
      </c>
      <c r="E1947">
        <f t="shared" si="81"/>
        <v>9</v>
      </c>
    </row>
    <row r="1948" spans="1:5" x14ac:dyDescent="0.3">
      <c r="A1948" t="s">
        <v>2073</v>
      </c>
      <c r="B1948" t="s">
        <v>127</v>
      </c>
      <c r="C1948">
        <v>139</v>
      </c>
      <c r="D1948">
        <f t="shared" si="80"/>
        <v>2005</v>
      </c>
      <c r="E1948">
        <f t="shared" si="81"/>
        <v>9</v>
      </c>
    </row>
    <row r="1949" spans="1:5" x14ac:dyDescent="0.3">
      <c r="A1949" t="s">
        <v>2074</v>
      </c>
      <c r="B1949" t="s">
        <v>127</v>
      </c>
      <c r="C1949">
        <v>139</v>
      </c>
      <c r="D1949">
        <f t="shared" si="80"/>
        <v>2005</v>
      </c>
      <c r="E1949">
        <f t="shared" si="81"/>
        <v>9</v>
      </c>
    </row>
    <row r="1950" spans="1:5" x14ac:dyDescent="0.3">
      <c r="A1950" t="s">
        <v>2075</v>
      </c>
      <c r="B1950" t="s">
        <v>127</v>
      </c>
      <c r="C1950">
        <v>137</v>
      </c>
      <c r="D1950">
        <f t="shared" si="80"/>
        <v>2005</v>
      </c>
      <c r="E1950">
        <f t="shared" si="81"/>
        <v>9</v>
      </c>
    </row>
    <row r="1951" spans="1:5" x14ac:dyDescent="0.3">
      <c r="A1951" t="s">
        <v>2076</v>
      </c>
      <c r="B1951" t="s">
        <v>127</v>
      </c>
      <c r="C1951">
        <v>137</v>
      </c>
      <c r="D1951">
        <f t="shared" si="80"/>
        <v>2005</v>
      </c>
      <c r="E1951">
        <f t="shared" si="81"/>
        <v>9</v>
      </c>
    </row>
    <row r="1952" spans="1:5" x14ac:dyDescent="0.3">
      <c r="A1952" t="s">
        <v>2077</v>
      </c>
      <c r="B1952" t="s">
        <v>127</v>
      </c>
      <c r="C1952">
        <v>134</v>
      </c>
      <c r="D1952">
        <f t="shared" si="80"/>
        <v>2005</v>
      </c>
      <c r="E1952">
        <f t="shared" si="81"/>
        <v>9</v>
      </c>
    </row>
    <row r="1953" spans="1:5" x14ac:dyDescent="0.3">
      <c r="A1953" t="s">
        <v>2078</v>
      </c>
      <c r="B1953" t="s">
        <v>127</v>
      </c>
      <c r="C1953">
        <v>136</v>
      </c>
      <c r="D1953">
        <f t="shared" si="80"/>
        <v>2005</v>
      </c>
      <c r="E1953">
        <f t="shared" si="81"/>
        <v>9</v>
      </c>
    </row>
    <row r="1954" spans="1:5" x14ac:dyDescent="0.3">
      <c r="A1954" t="s">
        <v>2079</v>
      </c>
      <c r="B1954" t="s">
        <v>127</v>
      </c>
      <c r="C1954">
        <v>135</v>
      </c>
      <c r="D1954">
        <f t="shared" si="80"/>
        <v>2005</v>
      </c>
      <c r="E1954">
        <f t="shared" si="81"/>
        <v>9</v>
      </c>
    </row>
    <row r="1955" spans="1:5" x14ac:dyDescent="0.3">
      <c r="A1955" t="s">
        <v>2080</v>
      </c>
      <c r="B1955" t="s">
        <v>127</v>
      </c>
      <c r="C1955">
        <v>135</v>
      </c>
      <c r="D1955">
        <f t="shared" si="80"/>
        <v>2005</v>
      </c>
      <c r="E1955">
        <f t="shared" si="81"/>
        <v>9</v>
      </c>
    </row>
    <row r="1956" spans="1:5" x14ac:dyDescent="0.3">
      <c r="A1956" t="s">
        <v>2081</v>
      </c>
      <c r="B1956" t="s">
        <v>127</v>
      </c>
      <c r="C1956">
        <v>134</v>
      </c>
      <c r="D1956">
        <f t="shared" si="80"/>
        <v>2005</v>
      </c>
      <c r="E1956">
        <f t="shared" si="81"/>
        <v>9</v>
      </c>
    </row>
    <row r="1957" spans="1:5" x14ac:dyDescent="0.3">
      <c r="A1957" t="s">
        <v>2082</v>
      </c>
      <c r="B1957" t="s">
        <v>127</v>
      </c>
      <c r="C1957">
        <v>134</v>
      </c>
      <c r="D1957">
        <f t="shared" si="80"/>
        <v>2005</v>
      </c>
      <c r="E1957">
        <f t="shared" si="81"/>
        <v>9</v>
      </c>
    </row>
    <row r="1958" spans="1:5" x14ac:dyDescent="0.3">
      <c r="A1958" t="s">
        <v>2083</v>
      </c>
      <c r="B1958" t="s">
        <v>127</v>
      </c>
      <c r="C1958">
        <v>135</v>
      </c>
      <c r="D1958">
        <f t="shared" si="80"/>
        <v>2005</v>
      </c>
      <c r="E1958">
        <f t="shared" si="81"/>
        <v>9</v>
      </c>
    </row>
    <row r="1959" spans="1:5" x14ac:dyDescent="0.3">
      <c r="A1959" t="s">
        <v>2084</v>
      </c>
      <c r="B1959" t="s">
        <v>127</v>
      </c>
      <c r="C1959">
        <v>137</v>
      </c>
      <c r="D1959">
        <f t="shared" si="80"/>
        <v>2005</v>
      </c>
      <c r="E1959">
        <f t="shared" si="81"/>
        <v>9</v>
      </c>
    </row>
    <row r="1960" spans="1:5" x14ac:dyDescent="0.3">
      <c r="A1960" t="s">
        <v>2085</v>
      </c>
      <c r="B1960" t="s">
        <v>127</v>
      </c>
      <c r="C1960">
        <v>139</v>
      </c>
      <c r="D1960">
        <f t="shared" si="80"/>
        <v>2005</v>
      </c>
      <c r="E1960">
        <f t="shared" si="81"/>
        <v>9</v>
      </c>
    </row>
    <row r="1961" spans="1:5" x14ac:dyDescent="0.3">
      <c r="A1961" t="s">
        <v>2086</v>
      </c>
      <c r="B1961" t="s">
        <v>127</v>
      </c>
      <c r="C1961">
        <v>139</v>
      </c>
      <c r="D1961">
        <f t="shared" si="80"/>
        <v>2005</v>
      </c>
      <c r="E1961">
        <f t="shared" si="81"/>
        <v>9</v>
      </c>
    </row>
    <row r="1962" spans="1:5" x14ac:dyDescent="0.3">
      <c r="A1962" t="s">
        <v>2087</v>
      </c>
      <c r="B1962" t="s">
        <v>127</v>
      </c>
      <c r="C1962">
        <v>140</v>
      </c>
      <c r="D1962">
        <f t="shared" si="80"/>
        <v>2005</v>
      </c>
      <c r="E1962">
        <f t="shared" si="81"/>
        <v>9</v>
      </c>
    </row>
    <row r="1963" spans="1:5" x14ac:dyDescent="0.3">
      <c r="A1963" t="s">
        <v>2088</v>
      </c>
      <c r="B1963" t="s">
        <v>127</v>
      </c>
      <c r="C1963">
        <v>139</v>
      </c>
      <c r="D1963">
        <f t="shared" si="80"/>
        <v>2005</v>
      </c>
      <c r="E1963">
        <f t="shared" si="81"/>
        <v>9</v>
      </c>
    </row>
    <row r="1964" spans="1:5" x14ac:dyDescent="0.3">
      <c r="A1964" t="s">
        <v>2089</v>
      </c>
      <c r="B1964" t="s">
        <v>127</v>
      </c>
      <c r="C1964">
        <v>140</v>
      </c>
      <c r="D1964">
        <f t="shared" si="80"/>
        <v>2005</v>
      </c>
      <c r="E1964">
        <f t="shared" si="81"/>
        <v>9</v>
      </c>
    </row>
    <row r="1965" spans="1:5" x14ac:dyDescent="0.3">
      <c r="A1965" t="s">
        <v>2090</v>
      </c>
      <c r="B1965" t="s">
        <v>127</v>
      </c>
      <c r="C1965">
        <v>138</v>
      </c>
      <c r="D1965">
        <f t="shared" si="80"/>
        <v>2005</v>
      </c>
      <c r="E1965">
        <f t="shared" si="81"/>
        <v>9</v>
      </c>
    </row>
    <row r="1966" spans="1:5" x14ac:dyDescent="0.3">
      <c r="A1966" t="s">
        <v>2091</v>
      </c>
      <c r="B1966" t="s">
        <v>127</v>
      </c>
      <c r="C1966">
        <v>135</v>
      </c>
      <c r="D1966">
        <f t="shared" si="80"/>
        <v>2005</v>
      </c>
      <c r="E1966">
        <f t="shared" si="81"/>
        <v>9</v>
      </c>
    </row>
    <row r="1967" spans="1:5" x14ac:dyDescent="0.3">
      <c r="A1967" t="s">
        <v>2092</v>
      </c>
      <c r="B1967" t="s">
        <v>127</v>
      </c>
      <c r="C1967">
        <v>140</v>
      </c>
      <c r="D1967">
        <f t="shared" si="80"/>
        <v>2005</v>
      </c>
      <c r="E1967">
        <f t="shared" si="81"/>
        <v>10</v>
      </c>
    </row>
    <row r="1968" spans="1:5" x14ac:dyDescent="0.3">
      <c r="A1968" t="s">
        <v>2093</v>
      </c>
      <c r="B1968" t="s">
        <v>127</v>
      </c>
      <c r="C1968">
        <v>140</v>
      </c>
      <c r="D1968">
        <f t="shared" si="80"/>
        <v>2005</v>
      </c>
      <c r="E1968">
        <f t="shared" si="81"/>
        <v>10</v>
      </c>
    </row>
    <row r="1969" spans="1:5" x14ac:dyDescent="0.3">
      <c r="A1969" t="s">
        <v>2094</v>
      </c>
      <c r="B1969" t="s">
        <v>127</v>
      </c>
      <c r="C1969">
        <v>144</v>
      </c>
      <c r="D1969">
        <f t="shared" si="80"/>
        <v>2005</v>
      </c>
      <c r="E1969">
        <f t="shared" si="81"/>
        <v>10</v>
      </c>
    </row>
    <row r="1970" spans="1:5" x14ac:dyDescent="0.3">
      <c r="A1970" t="s">
        <v>2095</v>
      </c>
      <c r="B1970" t="s">
        <v>127</v>
      </c>
      <c r="C1970">
        <v>154</v>
      </c>
      <c r="D1970">
        <f t="shared" si="80"/>
        <v>2005</v>
      </c>
      <c r="E1970">
        <f t="shared" si="81"/>
        <v>10</v>
      </c>
    </row>
    <row r="1971" spans="1:5" x14ac:dyDescent="0.3">
      <c r="A1971" t="s">
        <v>2096</v>
      </c>
      <c r="B1971" t="s">
        <v>127</v>
      </c>
      <c r="C1971">
        <v>144</v>
      </c>
      <c r="D1971">
        <f t="shared" si="80"/>
        <v>2005</v>
      </c>
      <c r="E1971">
        <f t="shared" si="81"/>
        <v>10</v>
      </c>
    </row>
    <row r="1972" spans="1:5" x14ac:dyDescent="0.3">
      <c r="A1972" t="s">
        <v>2097</v>
      </c>
      <c r="B1972" t="s">
        <v>127</v>
      </c>
      <c r="C1972">
        <v>144</v>
      </c>
      <c r="D1972">
        <f t="shared" si="80"/>
        <v>2005</v>
      </c>
      <c r="E1972">
        <f t="shared" si="81"/>
        <v>10</v>
      </c>
    </row>
    <row r="1973" spans="1:5" x14ac:dyDescent="0.3">
      <c r="A1973" t="s">
        <v>2098</v>
      </c>
      <c r="B1973" t="s">
        <v>127</v>
      </c>
      <c r="C1973">
        <v>148</v>
      </c>
      <c r="D1973">
        <f t="shared" si="80"/>
        <v>2005</v>
      </c>
      <c r="E1973">
        <f t="shared" si="81"/>
        <v>10</v>
      </c>
    </row>
    <row r="1974" spans="1:5" x14ac:dyDescent="0.3">
      <c r="A1974" t="s">
        <v>2099</v>
      </c>
      <c r="B1974" t="s">
        <v>127</v>
      </c>
      <c r="C1974">
        <v>153</v>
      </c>
      <c r="D1974">
        <f t="shared" si="80"/>
        <v>2005</v>
      </c>
      <c r="E1974">
        <f t="shared" si="81"/>
        <v>10</v>
      </c>
    </row>
    <row r="1975" spans="1:5" x14ac:dyDescent="0.3">
      <c r="A1975" t="s">
        <v>2100</v>
      </c>
      <c r="B1975" t="s">
        <v>127</v>
      </c>
      <c r="C1975">
        <v>158</v>
      </c>
      <c r="D1975">
        <f t="shared" si="80"/>
        <v>2005</v>
      </c>
      <c r="E1975">
        <f t="shared" si="81"/>
        <v>10</v>
      </c>
    </row>
    <row r="1976" spans="1:5" x14ac:dyDescent="0.3">
      <c r="A1976" t="s">
        <v>2101</v>
      </c>
      <c r="B1976" t="s">
        <v>127</v>
      </c>
      <c r="C1976">
        <v>159</v>
      </c>
      <c r="D1976">
        <f t="shared" si="80"/>
        <v>2005</v>
      </c>
      <c r="E1976">
        <f t="shared" si="81"/>
        <v>10</v>
      </c>
    </row>
    <row r="1977" spans="1:5" x14ac:dyDescent="0.3">
      <c r="A1977" t="s">
        <v>2102</v>
      </c>
      <c r="B1977" t="s">
        <v>127</v>
      </c>
      <c r="C1977">
        <v>153</v>
      </c>
      <c r="D1977">
        <f t="shared" si="80"/>
        <v>2005</v>
      </c>
      <c r="E1977">
        <f t="shared" si="81"/>
        <v>10</v>
      </c>
    </row>
    <row r="1978" spans="1:5" x14ac:dyDescent="0.3">
      <c r="A1978" t="s">
        <v>2103</v>
      </c>
      <c r="B1978" t="s">
        <v>127</v>
      </c>
      <c r="C1978">
        <v>146</v>
      </c>
      <c r="D1978">
        <f t="shared" si="80"/>
        <v>2005</v>
      </c>
      <c r="E1978">
        <f t="shared" si="81"/>
        <v>10</v>
      </c>
    </row>
    <row r="1979" spans="1:5" x14ac:dyDescent="0.3">
      <c r="A1979" t="s">
        <v>2104</v>
      </c>
      <c r="B1979" t="s">
        <v>127</v>
      </c>
      <c r="C1979">
        <v>145</v>
      </c>
      <c r="D1979">
        <f t="shared" si="80"/>
        <v>2005</v>
      </c>
      <c r="E1979">
        <f t="shared" si="81"/>
        <v>10</v>
      </c>
    </row>
    <row r="1980" spans="1:5" x14ac:dyDescent="0.3">
      <c r="A1980" t="s">
        <v>2105</v>
      </c>
      <c r="B1980" t="s">
        <v>127</v>
      </c>
      <c r="C1980">
        <v>146</v>
      </c>
      <c r="D1980">
        <f t="shared" si="80"/>
        <v>2005</v>
      </c>
      <c r="E1980">
        <f t="shared" si="81"/>
        <v>10</v>
      </c>
    </row>
    <row r="1981" spans="1:5" x14ac:dyDescent="0.3">
      <c r="A1981" t="s">
        <v>2106</v>
      </c>
      <c r="B1981" t="s">
        <v>127</v>
      </c>
      <c r="C1981">
        <v>149</v>
      </c>
      <c r="D1981">
        <f t="shared" si="80"/>
        <v>2005</v>
      </c>
      <c r="E1981">
        <f t="shared" si="81"/>
        <v>10</v>
      </c>
    </row>
    <row r="1982" spans="1:5" x14ac:dyDescent="0.3">
      <c r="A1982" t="s">
        <v>2107</v>
      </c>
      <c r="B1982" t="s">
        <v>127</v>
      </c>
      <c r="C1982">
        <v>144</v>
      </c>
      <c r="D1982">
        <f t="shared" si="80"/>
        <v>2005</v>
      </c>
      <c r="E1982">
        <f t="shared" si="81"/>
        <v>10</v>
      </c>
    </row>
    <row r="1983" spans="1:5" x14ac:dyDescent="0.3">
      <c r="A1983" t="s">
        <v>2108</v>
      </c>
      <c r="B1983" t="s">
        <v>127</v>
      </c>
      <c r="C1983">
        <v>135</v>
      </c>
      <c r="D1983">
        <f t="shared" si="80"/>
        <v>2005</v>
      </c>
      <c r="E1983">
        <f t="shared" si="81"/>
        <v>10</v>
      </c>
    </row>
    <row r="1984" spans="1:5" x14ac:dyDescent="0.3">
      <c r="A1984" t="s">
        <v>2109</v>
      </c>
      <c r="B1984" t="s">
        <v>127</v>
      </c>
      <c r="C1984">
        <v>134</v>
      </c>
      <c r="D1984">
        <f t="shared" si="80"/>
        <v>2005</v>
      </c>
      <c r="E1984">
        <f t="shared" si="81"/>
        <v>10</v>
      </c>
    </row>
    <row r="1985" spans="1:5" x14ac:dyDescent="0.3">
      <c r="A1985" t="s">
        <v>2110</v>
      </c>
      <c r="B1985" t="s">
        <v>127</v>
      </c>
      <c r="C1985">
        <v>137</v>
      </c>
      <c r="D1985">
        <f t="shared" si="80"/>
        <v>2005</v>
      </c>
      <c r="E1985">
        <f t="shared" si="81"/>
        <v>10</v>
      </c>
    </row>
    <row r="1986" spans="1:5" x14ac:dyDescent="0.3">
      <c r="A1986" t="s">
        <v>2111</v>
      </c>
      <c r="B1986" t="s">
        <v>127</v>
      </c>
      <c r="C1986">
        <v>136</v>
      </c>
      <c r="D1986">
        <f t="shared" si="80"/>
        <v>2005</v>
      </c>
      <c r="E1986">
        <f t="shared" si="81"/>
        <v>10</v>
      </c>
    </row>
    <row r="1987" spans="1:5" x14ac:dyDescent="0.3">
      <c r="A1987" t="s">
        <v>2112</v>
      </c>
      <c r="B1987" t="s">
        <v>127</v>
      </c>
      <c r="C1987">
        <v>131</v>
      </c>
      <c r="D1987">
        <f t="shared" ref="D1987:D2050" si="82">YEAR(A1987)</f>
        <v>2005</v>
      </c>
      <c r="E1987">
        <f t="shared" ref="E1987:E2050" si="83">MONTH(A1987)</f>
        <v>10</v>
      </c>
    </row>
    <row r="1988" spans="1:5" x14ac:dyDescent="0.3">
      <c r="A1988" t="s">
        <v>2113</v>
      </c>
      <c r="B1988" t="s">
        <v>127</v>
      </c>
      <c r="C1988">
        <v>131</v>
      </c>
      <c r="D1988">
        <f t="shared" si="82"/>
        <v>2005</v>
      </c>
      <c r="E1988">
        <f t="shared" si="83"/>
        <v>11</v>
      </c>
    </row>
    <row r="1989" spans="1:5" x14ac:dyDescent="0.3">
      <c r="A1989" t="s">
        <v>2114</v>
      </c>
      <c r="B1989" t="s">
        <v>127</v>
      </c>
      <c r="C1989">
        <v>130</v>
      </c>
      <c r="D1989">
        <f t="shared" si="82"/>
        <v>2005</v>
      </c>
      <c r="E1989">
        <f t="shared" si="83"/>
        <v>11</v>
      </c>
    </row>
    <row r="1990" spans="1:5" x14ac:dyDescent="0.3">
      <c r="A1990" t="s">
        <v>2115</v>
      </c>
      <c r="B1990" t="s">
        <v>127</v>
      </c>
      <c r="C1990">
        <v>130</v>
      </c>
      <c r="D1990">
        <f t="shared" si="82"/>
        <v>2005</v>
      </c>
      <c r="E1990">
        <f t="shared" si="83"/>
        <v>11</v>
      </c>
    </row>
    <row r="1991" spans="1:5" x14ac:dyDescent="0.3">
      <c r="A1991" t="s">
        <v>2116</v>
      </c>
      <c r="B1991" t="s">
        <v>127</v>
      </c>
      <c r="C1991">
        <v>134</v>
      </c>
      <c r="D1991">
        <f t="shared" si="82"/>
        <v>2005</v>
      </c>
      <c r="E1991">
        <f t="shared" si="83"/>
        <v>11</v>
      </c>
    </row>
    <row r="1992" spans="1:5" x14ac:dyDescent="0.3">
      <c r="A1992" t="s">
        <v>2117</v>
      </c>
      <c r="B1992" t="s">
        <v>127</v>
      </c>
      <c r="C1992">
        <v>132</v>
      </c>
      <c r="D1992">
        <f t="shared" si="82"/>
        <v>2005</v>
      </c>
      <c r="E1992">
        <f t="shared" si="83"/>
        <v>11</v>
      </c>
    </row>
    <row r="1993" spans="1:5" x14ac:dyDescent="0.3">
      <c r="A1993" t="s">
        <v>2118</v>
      </c>
      <c r="B1993" t="s">
        <v>127</v>
      </c>
      <c r="C1993">
        <v>135</v>
      </c>
      <c r="D1993">
        <f t="shared" si="82"/>
        <v>2005</v>
      </c>
      <c r="E1993">
        <f t="shared" si="83"/>
        <v>11</v>
      </c>
    </row>
    <row r="1994" spans="1:5" x14ac:dyDescent="0.3">
      <c r="A1994" t="s">
        <v>2119</v>
      </c>
      <c r="B1994" t="s">
        <v>127</v>
      </c>
      <c r="C1994">
        <v>129</v>
      </c>
      <c r="D1994">
        <f t="shared" si="82"/>
        <v>2005</v>
      </c>
      <c r="E1994">
        <f t="shared" si="83"/>
        <v>11</v>
      </c>
    </row>
    <row r="1995" spans="1:5" x14ac:dyDescent="0.3">
      <c r="A1995" t="s">
        <v>2120</v>
      </c>
      <c r="B1995" t="s">
        <v>127</v>
      </c>
      <c r="C1995">
        <v>127</v>
      </c>
      <c r="D1995">
        <f t="shared" si="82"/>
        <v>2005</v>
      </c>
      <c r="E1995">
        <f t="shared" si="83"/>
        <v>11</v>
      </c>
    </row>
    <row r="1996" spans="1:5" x14ac:dyDescent="0.3">
      <c r="A1996" t="s">
        <v>2121</v>
      </c>
      <c r="B1996" t="s">
        <v>127</v>
      </c>
      <c r="C1996">
        <v>127</v>
      </c>
      <c r="D1996">
        <f t="shared" si="82"/>
        <v>2005</v>
      </c>
      <c r="E1996">
        <f t="shared" si="83"/>
        <v>11</v>
      </c>
    </row>
    <row r="1997" spans="1:5" x14ac:dyDescent="0.3">
      <c r="A1997" t="s">
        <v>2122</v>
      </c>
      <c r="B1997" t="s">
        <v>127</v>
      </c>
      <c r="C1997">
        <v>122</v>
      </c>
      <c r="D1997">
        <f t="shared" si="82"/>
        <v>2005</v>
      </c>
      <c r="E1997">
        <f t="shared" si="83"/>
        <v>11</v>
      </c>
    </row>
    <row r="1998" spans="1:5" x14ac:dyDescent="0.3">
      <c r="A1998" t="s">
        <v>2123</v>
      </c>
      <c r="B1998" t="s">
        <v>127</v>
      </c>
      <c r="C1998">
        <v>121</v>
      </c>
      <c r="D1998">
        <f t="shared" si="82"/>
        <v>2005</v>
      </c>
      <c r="E1998">
        <f t="shared" si="83"/>
        <v>11</v>
      </c>
    </row>
    <row r="1999" spans="1:5" x14ac:dyDescent="0.3">
      <c r="A1999" t="s">
        <v>2124</v>
      </c>
      <c r="B1999" t="s">
        <v>127</v>
      </c>
      <c r="C1999">
        <v>119</v>
      </c>
      <c r="D1999">
        <f t="shared" si="82"/>
        <v>2005</v>
      </c>
      <c r="E1999">
        <f t="shared" si="83"/>
        <v>11</v>
      </c>
    </row>
    <row r="2000" spans="1:5" x14ac:dyDescent="0.3">
      <c r="A2000" t="s">
        <v>2125</v>
      </c>
      <c r="B2000" t="s">
        <v>127</v>
      </c>
      <c r="C2000">
        <v>119</v>
      </c>
      <c r="D2000">
        <f t="shared" si="82"/>
        <v>2005</v>
      </c>
      <c r="E2000">
        <f t="shared" si="83"/>
        <v>11</v>
      </c>
    </row>
    <row r="2001" spans="1:5" x14ac:dyDescent="0.3">
      <c r="A2001" t="s">
        <v>2126</v>
      </c>
      <c r="B2001" t="s">
        <v>127</v>
      </c>
      <c r="C2001">
        <v>116</v>
      </c>
      <c r="D2001">
        <f t="shared" si="82"/>
        <v>2005</v>
      </c>
      <c r="E2001">
        <f t="shared" si="83"/>
        <v>11</v>
      </c>
    </row>
    <row r="2002" spans="1:5" x14ac:dyDescent="0.3">
      <c r="A2002" t="s">
        <v>2127</v>
      </c>
      <c r="B2002" t="s">
        <v>127</v>
      </c>
      <c r="C2002">
        <v>116</v>
      </c>
      <c r="D2002">
        <f t="shared" si="82"/>
        <v>2005</v>
      </c>
      <c r="E2002">
        <f t="shared" si="83"/>
        <v>11</v>
      </c>
    </row>
    <row r="2003" spans="1:5" x14ac:dyDescent="0.3">
      <c r="A2003" t="s">
        <v>2128</v>
      </c>
      <c r="B2003" t="s">
        <v>127</v>
      </c>
      <c r="C2003">
        <v>117</v>
      </c>
      <c r="D2003">
        <f t="shared" si="82"/>
        <v>2005</v>
      </c>
      <c r="E2003">
        <f t="shared" si="83"/>
        <v>11</v>
      </c>
    </row>
    <row r="2004" spans="1:5" x14ac:dyDescent="0.3">
      <c r="A2004" t="s">
        <v>2129</v>
      </c>
      <c r="B2004" t="s">
        <v>127</v>
      </c>
      <c r="C2004">
        <v>113</v>
      </c>
      <c r="D2004">
        <f t="shared" si="82"/>
        <v>2005</v>
      </c>
      <c r="E2004">
        <f t="shared" si="83"/>
        <v>11</v>
      </c>
    </row>
    <row r="2005" spans="1:5" x14ac:dyDescent="0.3">
      <c r="A2005" t="s">
        <v>2130</v>
      </c>
      <c r="B2005" t="s">
        <v>127</v>
      </c>
      <c r="C2005">
        <v>113</v>
      </c>
      <c r="D2005">
        <f t="shared" si="82"/>
        <v>2005</v>
      </c>
      <c r="E2005">
        <f t="shared" si="83"/>
        <v>11</v>
      </c>
    </row>
    <row r="2006" spans="1:5" x14ac:dyDescent="0.3">
      <c r="A2006" t="s">
        <v>2131</v>
      </c>
      <c r="B2006" t="s">
        <v>127</v>
      </c>
      <c r="C2006">
        <v>114</v>
      </c>
      <c r="D2006">
        <f t="shared" si="82"/>
        <v>2005</v>
      </c>
      <c r="E2006">
        <f t="shared" si="83"/>
        <v>11</v>
      </c>
    </row>
    <row r="2007" spans="1:5" x14ac:dyDescent="0.3">
      <c r="A2007" t="s">
        <v>2132</v>
      </c>
      <c r="B2007" t="s">
        <v>127</v>
      </c>
      <c r="C2007">
        <v>118</v>
      </c>
      <c r="D2007">
        <f t="shared" si="82"/>
        <v>2005</v>
      </c>
      <c r="E2007">
        <f t="shared" si="83"/>
        <v>11</v>
      </c>
    </row>
    <row r="2008" spans="1:5" x14ac:dyDescent="0.3">
      <c r="A2008" t="s">
        <v>2133</v>
      </c>
      <c r="B2008" t="s">
        <v>127</v>
      </c>
      <c r="C2008">
        <v>116</v>
      </c>
      <c r="D2008">
        <f t="shared" si="82"/>
        <v>2005</v>
      </c>
      <c r="E2008">
        <f t="shared" si="83"/>
        <v>11</v>
      </c>
    </row>
    <row r="2009" spans="1:5" x14ac:dyDescent="0.3">
      <c r="A2009" t="s">
        <v>2134</v>
      </c>
      <c r="B2009" t="s">
        <v>127</v>
      </c>
      <c r="C2009">
        <v>116</v>
      </c>
      <c r="D2009">
        <f t="shared" si="82"/>
        <v>2005</v>
      </c>
      <c r="E2009">
        <f t="shared" si="83"/>
        <v>11</v>
      </c>
    </row>
    <row r="2010" spans="1:5" x14ac:dyDescent="0.3">
      <c r="A2010" t="s">
        <v>2135</v>
      </c>
      <c r="B2010" t="s">
        <v>127</v>
      </c>
      <c r="C2010">
        <v>117</v>
      </c>
      <c r="D2010">
        <f t="shared" si="82"/>
        <v>2005</v>
      </c>
      <c r="E2010">
        <f t="shared" si="83"/>
        <v>12</v>
      </c>
    </row>
    <row r="2011" spans="1:5" x14ac:dyDescent="0.3">
      <c r="A2011" t="s">
        <v>2136</v>
      </c>
      <c r="B2011" t="s">
        <v>127</v>
      </c>
      <c r="C2011">
        <v>118</v>
      </c>
      <c r="D2011">
        <f t="shared" si="82"/>
        <v>2005</v>
      </c>
      <c r="E2011">
        <f t="shared" si="83"/>
        <v>12</v>
      </c>
    </row>
    <row r="2012" spans="1:5" x14ac:dyDescent="0.3">
      <c r="A2012" t="s">
        <v>2137</v>
      </c>
      <c r="B2012" t="s">
        <v>127</v>
      </c>
      <c r="C2012">
        <v>121</v>
      </c>
      <c r="D2012">
        <f t="shared" si="82"/>
        <v>2005</v>
      </c>
      <c r="E2012">
        <f t="shared" si="83"/>
        <v>12</v>
      </c>
    </row>
    <row r="2013" spans="1:5" x14ac:dyDescent="0.3">
      <c r="A2013" t="s">
        <v>2138</v>
      </c>
      <c r="B2013" t="s">
        <v>127</v>
      </c>
      <c r="C2013">
        <v>124</v>
      </c>
      <c r="D2013">
        <f t="shared" si="82"/>
        <v>2005</v>
      </c>
      <c r="E2013">
        <f t="shared" si="83"/>
        <v>12</v>
      </c>
    </row>
    <row r="2014" spans="1:5" x14ac:dyDescent="0.3">
      <c r="A2014" t="s">
        <v>2139</v>
      </c>
      <c r="B2014" t="s">
        <v>127</v>
      </c>
      <c r="C2014">
        <v>124</v>
      </c>
      <c r="D2014">
        <f t="shared" si="82"/>
        <v>2005</v>
      </c>
      <c r="E2014">
        <f t="shared" si="83"/>
        <v>12</v>
      </c>
    </row>
    <row r="2015" spans="1:5" x14ac:dyDescent="0.3">
      <c r="A2015" t="s">
        <v>2140</v>
      </c>
      <c r="B2015" t="s">
        <v>127</v>
      </c>
      <c r="C2015">
        <v>131</v>
      </c>
      <c r="D2015">
        <f t="shared" si="82"/>
        <v>2005</v>
      </c>
      <c r="E2015">
        <f t="shared" si="83"/>
        <v>12</v>
      </c>
    </row>
    <row r="2016" spans="1:5" x14ac:dyDescent="0.3">
      <c r="A2016" t="s">
        <v>2141</v>
      </c>
      <c r="B2016" t="s">
        <v>127</v>
      </c>
      <c r="C2016">
        <v>131</v>
      </c>
      <c r="D2016">
        <f t="shared" si="82"/>
        <v>2005</v>
      </c>
      <c r="E2016">
        <f t="shared" si="83"/>
        <v>12</v>
      </c>
    </row>
    <row r="2017" spans="1:5" x14ac:dyDescent="0.3">
      <c r="A2017" t="s">
        <v>2142</v>
      </c>
      <c r="B2017" t="s">
        <v>127</v>
      </c>
      <c r="C2017">
        <v>126</v>
      </c>
      <c r="D2017">
        <f t="shared" si="82"/>
        <v>2005</v>
      </c>
      <c r="E2017">
        <f t="shared" si="83"/>
        <v>12</v>
      </c>
    </row>
    <row r="2018" spans="1:5" x14ac:dyDescent="0.3">
      <c r="A2018" t="s">
        <v>2143</v>
      </c>
      <c r="B2018" t="s">
        <v>127</v>
      </c>
      <c r="C2018">
        <v>124</v>
      </c>
      <c r="D2018">
        <f t="shared" si="82"/>
        <v>2005</v>
      </c>
      <c r="E2018">
        <f t="shared" si="83"/>
        <v>12</v>
      </c>
    </row>
    <row r="2019" spans="1:5" x14ac:dyDescent="0.3">
      <c r="A2019" t="s">
        <v>2144</v>
      </c>
      <c r="B2019" t="s">
        <v>127</v>
      </c>
      <c r="C2019">
        <v>126</v>
      </c>
      <c r="D2019">
        <f t="shared" si="82"/>
        <v>2005</v>
      </c>
      <c r="E2019">
        <f t="shared" si="83"/>
        <v>12</v>
      </c>
    </row>
    <row r="2020" spans="1:5" x14ac:dyDescent="0.3">
      <c r="A2020" t="s">
        <v>2145</v>
      </c>
      <c r="B2020" t="s">
        <v>127</v>
      </c>
      <c r="C2020">
        <v>127</v>
      </c>
      <c r="D2020">
        <f t="shared" si="82"/>
        <v>2005</v>
      </c>
      <c r="E2020">
        <f t="shared" si="83"/>
        <v>12</v>
      </c>
    </row>
    <row r="2021" spans="1:5" x14ac:dyDescent="0.3">
      <c r="A2021" t="s">
        <v>2146</v>
      </c>
      <c r="B2021" t="s">
        <v>127</v>
      </c>
      <c r="C2021">
        <v>128</v>
      </c>
      <c r="D2021">
        <f t="shared" si="82"/>
        <v>2005</v>
      </c>
      <c r="E2021">
        <f t="shared" si="83"/>
        <v>12</v>
      </c>
    </row>
    <row r="2022" spans="1:5" x14ac:dyDescent="0.3">
      <c r="A2022" t="s">
        <v>2147</v>
      </c>
      <c r="B2022" t="s">
        <v>127</v>
      </c>
      <c r="C2022">
        <v>125</v>
      </c>
      <c r="D2022">
        <f t="shared" si="82"/>
        <v>2005</v>
      </c>
      <c r="E2022">
        <f t="shared" si="83"/>
        <v>12</v>
      </c>
    </row>
    <row r="2023" spans="1:5" x14ac:dyDescent="0.3">
      <c r="A2023" t="s">
        <v>2148</v>
      </c>
      <c r="B2023" t="s">
        <v>127</v>
      </c>
      <c r="C2023">
        <v>125</v>
      </c>
      <c r="D2023">
        <f t="shared" si="82"/>
        <v>2005</v>
      </c>
      <c r="E2023">
        <f t="shared" si="83"/>
        <v>12</v>
      </c>
    </row>
    <row r="2024" spans="1:5" x14ac:dyDescent="0.3">
      <c r="A2024" t="s">
        <v>2149</v>
      </c>
      <c r="B2024" t="s">
        <v>127</v>
      </c>
      <c r="C2024">
        <v>124</v>
      </c>
      <c r="D2024">
        <f t="shared" si="82"/>
        <v>2005</v>
      </c>
      <c r="E2024">
        <f t="shared" si="83"/>
        <v>12</v>
      </c>
    </row>
    <row r="2025" spans="1:5" x14ac:dyDescent="0.3">
      <c r="A2025" t="s">
        <v>2150</v>
      </c>
      <c r="B2025" t="s">
        <v>127</v>
      </c>
      <c r="C2025">
        <v>122</v>
      </c>
      <c r="D2025">
        <f t="shared" si="82"/>
        <v>2005</v>
      </c>
      <c r="E2025">
        <f t="shared" si="83"/>
        <v>12</v>
      </c>
    </row>
    <row r="2026" spans="1:5" x14ac:dyDescent="0.3">
      <c r="A2026" t="s">
        <v>2151</v>
      </c>
      <c r="B2026" t="s">
        <v>127</v>
      </c>
      <c r="C2026">
        <v>128</v>
      </c>
      <c r="D2026">
        <f t="shared" si="82"/>
        <v>2005</v>
      </c>
      <c r="E2026">
        <f t="shared" si="83"/>
        <v>12</v>
      </c>
    </row>
    <row r="2027" spans="1:5" x14ac:dyDescent="0.3">
      <c r="A2027" t="s">
        <v>2152</v>
      </c>
      <c r="B2027" t="s">
        <v>127</v>
      </c>
      <c r="C2027">
        <v>128</v>
      </c>
      <c r="D2027">
        <f t="shared" si="82"/>
        <v>2005</v>
      </c>
      <c r="E2027">
        <f t="shared" si="83"/>
        <v>12</v>
      </c>
    </row>
    <row r="2028" spans="1:5" x14ac:dyDescent="0.3">
      <c r="A2028" t="s">
        <v>2153</v>
      </c>
      <c r="B2028" t="s">
        <v>127</v>
      </c>
      <c r="C2028">
        <v>124</v>
      </c>
      <c r="D2028">
        <f t="shared" si="82"/>
        <v>2005</v>
      </c>
      <c r="E2028">
        <f t="shared" si="83"/>
        <v>12</v>
      </c>
    </row>
    <row r="2029" spans="1:5" x14ac:dyDescent="0.3">
      <c r="A2029" t="s">
        <v>2154</v>
      </c>
      <c r="B2029" t="s">
        <v>127</v>
      </c>
      <c r="C2029">
        <v>124</v>
      </c>
      <c r="D2029">
        <f t="shared" si="82"/>
        <v>2005</v>
      </c>
      <c r="E2029">
        <f t="shared" si="83"/>
        <v>12</v>
      </c>
    </row>
    <row r="2030" spans="1:5" x14ac:dyDescent="0.3">
      <c r="A2030" t="s">
        <v>2155</v>
      </c>
      <c r="B2030" t="s">
        <v>127</v>
      </c>
      <c r="C2030">
        <v>124</v>
      </c>
      <c r="D2030">
        <f t="shared" si="82"/>
        <v>2005</v>
      </c>
      <c r="E2030">
        <f t="shared" si="83"/>
        <v>12</v>
      </c>
    </row>
    <row r="2031" spans="1:5" x14ac:dyDescent="0.3">
      <c r="A2031" t="s">
        <v>2156</v>
      </c>
      <c r="B2031" t="s">
        <v>127</v>
      </c>
      <c r="C2031">
        <v>126</v>
      </c>
      <c r="D2031">
        <f t="shared" si="82"/>
        <v>2005</v>
      </c>
      <c r="E2031">
        <f t="shared" si="83"/>
        <v>12</v>
      </c>
    </row>
    <row r="2032" spans="1:5" x14ac:dyDescent="0.3">
      <c r="A2032" t="s">
        <v>2157</v>
      </c>
      <c r="B2032" t="s">
        <v>127</v>
      </c>
      <c r="C2032">
        <v>126</v>
      </c>
      <c r="D2032">
        <f t="shared" si="82"/>
        <v>2006</v>
      </c>
      <c r="E2032">
        <f t="shared" si="83"/>
        <v>1</v>
      </c>
    </row>
    <row r="2033" spans="1:5" x14ac:dyDescent="0.3">
      <c r="A2033" t="s">
        <v>2158</v>
      </c>
      <c r="B2033" t="s">
        <v>127</v>
      </c>
      <c r="C2033">
        <v>122</v>
      </c>
      <c r="D2033">
        <f t="shared" si="82"/>
        <v>2006</v>
      </c>
      <c r="E2033">
        <f t="shared" si="83"/>
        <v>1</v>
      </c>
    </row>
    <row r="2034" spans="1:5" x14ac:dyDescent="0.3">
      <c r="A2034" t="s">
        <v>2159</v>
      </c>
      <c r="B2034" t="s">
        <v>127</v>
      </c>
      <c r="C2034">
        <v>123</v>
      </c>
      <c r="D2034">
        <f t="shared" si="82"/>
        <v>2006</v>
      </c>
      <c r="E2034">
        <f t="shared" si="83"/>
        <v>1</v>
      </c>
    </row>
    <row r="2035" spans="1:5" x14ac:dyDescent="0.3">
      <c r="A2035" t="s">
        <v>2160</v>
      </c>
      <c r="B2035" t="s">
        <v>127</v>
      </c>
      <c r="C2035">
        <v>124</v>
      </c>
      <c r="D2035">
        <f t="shared" si="82"/>
        <v>2006</v>
      </c>
      <c r="E2035">
        <f t="shared" si="83"/>
        <v>1</v>
      </c>
    </row>
    <row r="2036" spans="1:5" x14ac:dyDescent="0.3">
      <c r="A2036" t="s">
        <v>2161</v>
      </c>
      <c r="B2036" t="s">
        <v>127</v>
      </c>
      <c r="C2036">
        <v>123</v>
      </c>
      <c r="D2036">
        <f t="shared" si="82"/>
        <v>2006</v>
      </c>
      <c r="E2036">
        <f t="shared" si="83"/>
        <v>1</v>
      </c>
    </row>
    <row r="2037" spans="1:5" x14ac:dyDescent="0.3">
      <c r="A2037" t="s">
        <v>2162</v>
      </c>
      <c r="B2037" t="s">
        <v>127</v>
      </c>
      <c r="C2037">
        <v>126</v>
      </c>
      <c r="D2037">
        <f t="shared" si="82"/>
        <v>2006</v>
      </c>
      <c r="E2037">
        <f t="shared" si="83"/>
        <v>1</v>
      </c>
    </row>
    <row r="2038" spans="1:5" x14ac:dyDescent="0.3">
      <c r="A2038" t="s">
        <v>2163</v>
      </c>
      <c r="B2038" t="s">
        <v>127</v>
      </c>
      <c r="C2038">
        <v>124</v>
      </c>
      <c r="D2038">
        <f t="shared" si="82"/>
        <v>2006</v>
      </c>
      <c r="E2038">
        <f t="shared" si="83"/>
        <v>1</v>
      </c>
    </row>
    <row r="2039" spans="1:5" x14ac:dyDescent="0.3">
      <c r="A2039" t="s">
        <v>2164</v>
      </c>
      <c r="B2039" t="s">
        <v>127</v>
      </c>
      <c r="C2039">
        <v>124</v>
      </c>
      <c r="D2039">
        <f t="shared" si="82"/>
        <v>2006</v>
      </c>
      <c r="E2039">
        <f t="shared" si="83"/>
        <v>1</v>
      </c>
    </row>
    <row r="2040" spans="1:5" x14ac:dyDescent="0.3">
      <c r="A2040" t="s">
        <v>2165</v>
      </c>
      <c r="B2040" t="s">
        <v>127</v>
      </c>
      <c r="C2040">
        <v>124</v>
      </c>
      <c r="D2040">
        <f t="shared" si="82"/>
        <v>2006</v>
      </c>
      <c r="E2040">
        <f t="shared" si="83"/>
        <v>1</v>
      </c>
    </row>
    <row r="2041" spans="1:5" x14ac:dyDescent="0.3">
      <c r="A2041" t="s">
        <v>2166</v>
      </c>
      <c r="B2041" t="s">
        <v>127</v>
      </c>
      <c r="C2041">
        <v>125</v>
      </c>
      <c r="D2041">
        <f t="shared" si="82"/>
        <v>2006</v>
      </c>
      <c r="E2041">
        <f t="shared" si="83"/>
        <v>1</v>
      </c>
    </row>
    <row r="2042" spans="1:5" x14ac:dyDescent="0.3">
      <c r="A2042" t="s">
        <v>2167</v>
      </c>
      <c r="B2042" t="s">
        <v>127</v>
      </c>
      <c r="C2042">
        <v>125</v>
      </c>
      <c r="D2042">
        <f t="shared" si="82"/>
        <v>2006</v>
      </c>
      <c r="E2042">
        <f t="shared" si="83"/>
        <v>1</v>
      </c>
    </row>
    <row r="2043" spans="1:5" x14ac:dyDescent="0.3">
      <c r="A2043" t="s">
        <v>2168</v>
      </c>
      <c r="B2043" t="s">
        <v>127</v>
      </c>
      <c r="C2043">
        <v>124</v>
      </c>
      <c r="D2043">
        <f t="shared" si="82"/>
        <v>2006</v>
      </c>
      <c r="E2043">
        <f t="shared" si="83"/>
        <v>1</v>
      </c>
    </row>
    <row r="2044" spans="1:5" x14ac:dyDescent="0.3">
      <c r="A2044" t="s">
        <v>2169</v>
      </c>
      <c r="B2044" t="s">
        <v>127</v>
      </c>
      <c r="C2044">
        <v>123</v>
      </c>
      <c r="D2044">
        <f t="shared" si="82"/>
        <v>2006</v>
      </c>
      <c r="E2044">
        <f t="shared" si="83"/>
        <v>1</v>
      </c>
    </row>
    <row r="2045" spans="1:5" x14ac:dyDescent="0.3">
      <c r="A2045" t="s">
        <v>2170</v>
      </c>
      <c r="B2045" t="s">
        <v>127</v>
      </c>
      <c r="C2045">
        <v>119</v>
      </c>
      <c r="D2045">
        <f t="shared" si="82"/>
        <v>2006</v>
      </c>
      <c r="E2045">
        <f t="shared" si="83"/>
        <v>1</v>
      </c>
    </row>
    <row r="2046" spans="1:5" x14ac:dyDescent="0.3">
      <c r="A2046" t="s">
        <v>2171</v>
      </c>
      <c r="B2046" t="s">
        <v>127</v>
      </c>
      <c r="C2046">
        <v>119</v>
      </c>
      <c r="D2046">
        <f t="shared" si="82"/>
        <v>2006</v>
      </c>
      <c r="E2046">
        <f t="shared" si="83"/>
        <v>1</v>
      </c>
    </row>
    <row r="2047" spans="1:5" x14ac:dyDescent="0.3">
      <c r="A2047" t="s">
        <v>2172</v>
      </c>
      <c r="B2047" t="s">
        <v>127</v>
      </c>
      <c r="C2047">
        <v>119</v>
      </c>
      <c r="D2047">
        <f t="shared" si="82"/>
        <v>2006</v>
      </c>
      <c r="E2047">
        <f t="shared" si="83"/>
        <v>1</v>
      </c>
    </row>
    <row r="2048" spans="1:5" x14ac:dyDescent="0.3">
      <c r="A2048" t="s">
        <v>2173</v>
      </c>
      <c r="B2048" t="s">
        <v>127</v>
      </c>
      <c r="C2048">
        <v>117</v>
      </c>
      <c r="D2048">
        <f t="shared" si="82"/>
        <v>2006</v>
      </c>
      <c r="E2048">
        <f t="shared" si="83"/>
        <v>1</v>
      </c>
    </row>
    <row r="2049" spans="1:5" x14ac:dyDescent="0.3">
      <c r="A2049" t="s">
        <v>2174</v>
      </c>
      <c r="B2049" t="s">
        <v>127</v>
      </c>
      <c r="C2049">
        <v>113</v>
      </c>
      <c r="D2049">
        <f t="shared" si="82"/>
        <v>2006</v>
      </c>
      <c r="E2049">
        <f t="shared" si="83"/>
        <v>1</v>
      </c>
    </row>
    <row r="2050" spans="1:5" x14ac:dyDescent="0.3">
      <c r="A2050" t="s">
        <v>2175</v>
      </c>
      <c r="B2050" t="s">
        <v>127</v>
      </c>
      <c r="C2050">
        <v>112</v>
      </c>
      <c r="D2050">
        <f t="shared" si="82"/>
        <v>2006</v>
      </c>
      <c r="E2050">
        <f t="shared" si="83"/>
        <v>1</v>
      </c>
    </row>
    <row r="2051" spans="1:5" x14ac:dyDescent="0.3">
      <c r="A2051" t="s">
        <v>2176</v>
      </c>
      <c r="B2051" t="s">
        <v>127</v>
      </c>
      <c r="C2051">
        <v>113</v>
      </c>
      <c r="D2051">
        <f t="shared" ref="D2051:D2114" si="84">YEAR(A2051)</f>
        <v>2006</v>
      </c>
      <c r="E2051">
        <f t="shared" ref="E2051:E2114" si="85">MONTH(A2051)</f>
        <v>1</v>
      </c>
    </row>
    <row r="2052" spans="1:5" x14ac:dyDescent="0.3">
      <c r="A2052" t="s">
        <v>2177</v>
      </c>
      <c r="B2052" t="s">
        <v>127</v>
      </c>
      <c r="C2052">
        <v>113</v>
      </c>
      <c r="D2052">
        <f t="shared" si="84"/>
        <v>2006</v>
      </c>
      <c r="E2052">
        <f t="shared" si="85"/>
        <v>1</v>
      </c>
    </row>
    <row r="2053" spans="1:5" x14ac:dyDescent="0.3">
      <c r="A2053" t="s">
        <v>2178</v>
      </c>
      <c r="B2053" t="s">
        <v>127</v>
      </c>
      <c r="C2053">
        <v>115</v>
      </c>
      <c r="D2053">
        <f t="shared" si="84"/>
        <v>2006</v>
      </c>
      <c r="E2053">
        <f t="shared" si="85"/>
        <v>1</v>
      </c>
    </row>
    <row r="2054" spans="1:5" x14ac:dyDescent="0.3">
      <c r="A2054" t="s">
        <v>2179</v>
      </c>
      <c r="B2054" t="s">
        <v>127</v>
      </c>
      <c r="C2054">
        <v>113</v>
      </c>
      <c r="D2054">
        <f t="shared" si="84"/>
        <v>2006</v>
      </c>
      <c r="E2054">
        <f t="shared" si="85"/>
        <v>2</v>
      </c>
    </row>
    <row r="2055" spans="1:5" x14ac:dyDescent="0.3">
      <c r="A2055" t="s">
        <v>2180</v>
      </c>
      <c r="B2055" t="s">
        <v>127</v>
      </c>
      <c r="C2055">
        <v>112</v>
      </c>
      <c r="D2055">
        <f t="shared" si="84"/>
        <v>2006</v>
      </c>
      <c r="E2055">
        <f t="shared" si="85"/>
        <v>2</v>
      </c>
    </row>
    <row r="2056" spans="1:5" x14ac:dyDescent="0.3">
      <c r="A2056" t="s">
        <v>2181</v>
      </c>
      <c r="B2056" t="s">
        <v>127</v>
      </c>
      <c r="C2056">
        <v>115</v>
      </c>
      <c r="D2056">
        <f t="shared" si="84"/>
        <v>2006</v>
      </c>
      <c r="E2056">
        <f t="shared" si="85"/>
        <v>2</v>
      </c>
    </row>
    <row r="2057" spans="1:5" x14ac:dyDescent="0.3">
      <c r="A2057" t="s">
        <v>2182</v>
      </c>
      <c r="B2057" t="s">
        <v>127</v>
      </c>
      <c r="C2057">
        <v>115</v>
      </c>
      <c r="D2057">
        <f t="shared" si="84"/>
        <v>2006</v>
      </c>
      <c r="E2057">
        <f t="shared" si="85"/>
        <v>2</v>
      </c>
    </row>
    <row r="2058" spans="1:5" x14ac:dyDescent="0.3">
      <c r="A2058" t="s">
        <v>2183</v>
      </c>
      <c r="B2058" t="s">
        <v>127</v>
      </c>
      <c r="C2058">
        <v>115</v>
      </c>
      <c r="D2058">
        <f t="shared" si="84"/>
        <v>2006</v>
      </c>
      <c r="E2058">
        <f t="shared" si="85"/>
        <v>2</v>
      </c>
    </row>
    <row r="2059" spans="1:5" x14ac:dyDescent="0.3">
      <c r="A2059" t="s">
        <v>2184</v>
      </c>
      <c r="B2059" t="s">
        <v>127</v>
      </c>
      <c r="C2059">
        <v>115</v>
      </c>
      <c r="D2059">
        <f t="shared" si="84"/>
        <v>2006</v>
      </c>
      <c r="E2059">
        <f t="shared" si="85"/>
        <v>2</v>
      </c>
    </row>
    <row r="2060" spans="1:5" x14ac:dyDescent="0.3">
      <c r="A2060" t="s">
        <v>2185</v>
      </c>
      <c r="B2060" t="s">
        <v>127</v>
      </c>
      <c r="C2060">
        <v>116</v>
      </c>
      <c r="D2060">
        <f t="shared" si="84"/>
        <v>2006</v>
      </c>
      <c r="E2060">
        <f t="shared" si="85"/>
        <v>2</v>
      </c>
    </row>
    <row r="2061" spans="1:5" x14ac:dyDescent="0.3">
      <c r="A2061" t="s">
        <v>2186</v>
      </c>
      <c r="B2061" t="s">
        <v>127</v>
      </c>
      <c r="C2061">
        <v>112</v>
      </c>
      <c r="D2061">
        <f t="shared" si="84"/>
        <v>2006</v>
      </c>
      <c r="E2061">
        <f t="shared" si="85"/>
        <v>2</v>
      </c>
    </row>
    <row r="2062" spans="1:5" x14ac:dyDescent="0.3">
      <c r="A2062" t="s">
        <v>2187</v>
      </c>
      <c r="B2062" t="s">
        <v>127</v>
      </c>
      <c r="C2062">
        <v>112</v>
      </c>
      <c r="D2062">
        <f t="shared" si="84"/>
        <v>2006</v>
      </c>
      <c r="E2062">
        <f t="shared" si="85"/>
        <v>2</v>
      </c>
    </row>
    <row r="2063" spans="1:5" x14ac:dyDescent="0.3">
      <c r="A2063" t="s">
        <v>2188</v>
      </c>
      <c r="B2063" t="s">
        <v>127</v>
      </c>
      <c r="C2063">
        <v>112</v>
      </c>
      <c r="D2063">
        <f t="shared" si="84"/>
        <v>2006</v>
      </c>
      <c r="E2063">
        <f t="shared" si="85"/>
        <v>2</v>
      </c>
    </row>
    <row r="2064" spans="1:5" x14ac:dyDescent="0.3">
      <c r="A2064" t="s">
        <v>2189</v>
      </c>
      <c r="B2064" t="s">
        <v>127</v>
      </c>
      <c r="C2064">
        <v>115</v>
      </c>
      <c r="D2064">
        <f t="shared" si="84"/>
        <v>2006</v>
      </c>
      <c r="E2064">
        <f t="shared" si="85"/>
        <v>2</v>
      </c>
    </row>
    <row r="2065" spans="1:5" x14ac:dyDescent="0.3">
      <c r="A2065" t="s">
        <v>2190</v>
      </c>
      <c r="B2065" t="s">
        <v>127</v>
      </c>
      <c r="C2065">
        <v>115</v>
      </c>
      <c r="D2065">
        <f t="shared" si="84"/>
        <v>2006</v>
      </c>
      <c r="E2065">
        <f t="shared" si="85"/>
        <v>2</v>
      </c>
    </row>
    <row r="2066" spans="1:5" x14ac:dyDescent="0.3">
      <c r="A2066" t="s">
        <v>2191</v>
      </c>
      <c r="B2066" t="s">
        <v>127</v>
      </c>
      <c r="C2066">
        <v>116</v>
      </c>
      <c r="D2066">
        <f t="shared" si="84"/>
        <v>2006</v>
      </c>
      <c r="E2066">
        <f t="shared" si="85"/>
        <v>2</v>
      </c>
    </row>
    <row r="2067" spans="1:5" x14ac:dyDescent="0.3">
      <c r="A2067" t="s">
        <v>2192</v>
      </c>
      <c r="B2067" t="s">
        <v>127</v>
      </c>
      <c r="C2067">
        <v>116</v>
      </c>
      <c r="D2067">
        <f t="shared" si="84"/>
        <v>2006</v>
      </c>
      <c r="E2067">
        <f t="shared" si="85"/>
        <v>2</v>
      </c>
    </row>
    <row r="2068" spans="1:5" x14ac:dyDescent="0.3">
      <c r="A2068" t="s">
        <v>2193</v>
      </c>
      <c r="B2068" t="s">
        <v>127</v>
      </c>
      <c r="C2068">
        <v>114</v>
      </c>
      <c r="D2068">
        <f t="shared" si="84"/>
        <v>2006</v>
      </c>
      <c r="E2068">
        <f t="shared" si="85"/>
        <v>2</v>
      </c>
    </row>
    <row r="2069" spans="1:5" x14ac:dyDescent="0.3">
      <c r="A2069" t="s">
        <v>2194</v>
      </c>
      <c r="B2069" t="s">
        <v>127</v>
      </c>
      <c r="C2069">
        <v>113</v>
      </c>
      <c r="D2069">
        <f t="shared" si="84"/>
        <v>2006</v>
      </c>
      <c r="E2069">
        <f t="shared" si="85"/>
        <v>2</v>
      </c>
    </row>
    <row r="2070" spans="1:5" x14ac:dyDescent="0.3">
      <c r="A2070" t="s">
        <v>2195</v>
      </c>
      <c r="B2070" t="s">
        <v>127</v>
      </c>
      <c r="C2070">
        <v>101</v>
      </c>
      <c r="D2070">
        <f t="shared" si="84"/>
        <v>2006</v>
      </c>
      <c r="E2070">
        <f t="shared" si="85"/>
        <v>2</v>
      </c>
    </row>
    <row r="2071" spans="1:5" x14ac:dyDescent="0.3">
      <c r="A2071" t="s">
        <v>2196</v>
      </c>
      <c r="B2071" t="s">
        <v>127</v>
      </c>
      <c r="C2071">
        <v>98</v>
      </c>
      <c r="D2071">
        <f t="shared" si="84"/>
        <v>2006</v>
      </c>
      <c r="E2071">
        <f t="shared" si="85"/>
        <v>2</v>
      </c>
    </row>
    <row r="2072" spans="1:5" x14ac:dyDescent="0.3">
      <c r="A2072" t="s">
        <v>2197</v>
      </c>
      <c r="B2072" t="s">
        <v>127</v>
      </c>
      <c r="C2072">
        <v>95</v>
      </c>
      <c r="D2072">
        <f t="shared" si="84"/>
        <v>2006</v>
      </c>
      <c r="E2072">
        <f t="shared" si="85"/>
        <v>2</v>
      </c>
    </row>
    <row r="2073" spans="1:5" x14ac:dyDescent="0.3">
      <c r="A2073" t="s">
        <v>2198</v>
      </c>
      <c r="B2073" t="s">
        <v>127</v>
      </c>
      <c r="C2073">
        <v>103</v>
      </c>
      <c r="D2073">
        <f t="shared" si="84"/>
        <v>2006</v>
      </c>
      <c r="E2073">
        <f t="shared" si="85"/>
        <v>2</v>
      </c>
    </row>
    <row r="2074" spans="1:5" x14ac:dyDescent="0.3">
      <c r="A2074" t="s">
        <v>2199</v>
      </c>
      <c r="B2074" t="s">
        <v>127</v>
      </c>
      <c r="C2074">
        <v>106</v>
      </c>
      <c r="D2074">
        <f t="shared" si="84"/>
        <v>2006</v>
      </c>
      <c r="E2074">
        <f t="shared" si="85"/>
        <v>3</v>
      </c>
    </row>
    <row r="2075" spans="1:5" x14ac:dyDescent="0.3">
      <c r="A2075" t="s">
        <v>2200</v>
      </c>
      <c r="B2075" t="s">
        <v>127</v>
      </c>
      <c r="C2075">
        <v>107</v>
      </c>
      <c r="D2075">
        <f t="shared" si="84"/>
        <v>2006</v>
      </c>
      <c r="E2075">
        <f t="shared" si="85"/>
        <v>3</v>
      </c>
    </row>
    <row r="2076" spans="1:5" x14ac:dyDescent="0.3">
      <c r="A2076" t="s">
        <v>2201</v>
      </c>
      <c r="B2076" t="s">
        <v>127</v>
      </c>
      <c r="C2076">
        <v>108</v>
      </c>
      <c r="D2076">
        <f t="shared" si="84"/>
        <v>2006</v>
      </c>
      <c r="E2076">
        <f t="shared" si="85"/>
        <v>3</v>
      </c>
    </row>
    <row r="2077" spans="1:5" x14ac:dyDescent="0.3">
      <c r="A2077" t="s">
        <v>2202</v>
      </c>
      <c r="B2077" t="s">
        <v>127</v>
      </c>
      <c r="C2077">
        <v>116</v>
      </c>
      <c r="D2077">
        <f t="shared" si="84"/>
        <v>2006</v>
      </c>
      <c r="E2077">
        <f t="shared" si="85"/>
        <v>3</v>
      </c>
    </row>
    <row r="2078" spans="1:5" x14ac:dyDescent="0.3">
      <c r="A2078" t="s">
        <v>2203</v>
      </c>
      <c r="B2078" t="s">
        <v>127</v>
      </c>
      <c r="C2078">
        <v>125</v>
      </c>
      <c r="D2078">
        <f t="shared" si="84"/>
        <v>2006</v>
      </c>
      <c r="E2078">
        <f t="shared" si="85"/>
        <v>3</v>
      </c>
    </row>
    <row r="2079" spans="1:5" x14ac:dyDescent="0.3">
      <c r="A2079" t="s">
        <v>2204</v>
      </c>
      <c r="B2079" t="s">
        <v>127</v>
      </c>
      <c r="C2079">
        <v>128</v>
      </c>
      <c r="D2079">
        <f t="shared" si="84"/>
        <v>2006</v>
      </c>
      <c r="E2079">
        <f t="shared" si="85"/>
        <v>3</v>
      </c>
    </row>
    <row r="2080" spans="1:5" x14ac:dyDescent="0.3">
      <c r="A2080" t="s">
        <v>2205</v>
      </c>
      <c r="B2080" t="s">
        <v>127</v>
      </c>
      <c r="C2080">
        <v>126</v>
      </c>
      <c r="D2080">
        <f t="shared" si="84"/>
        <v>2006</v>
      </c>
      <c r="E2080">
        <f t="shared" si="85"/>
        <v>3</v>
      </c>
    </row>
    <row r="2081" spans="1:5" x14ac:dyDescent="0.3">
      <c r="A2081" t="s">
        <v>2206</v>
      </c>
      <c r="B2081" t="s">
        <v>127</v>
      </c>
      <c r="C2081">
        <v>121</v>
      </c>
      <c r="D2081">
        <f t="shared" si="84"/>
        <v>2006</v>
      </c>
      <c r="E2081">
        <f t="shared" si="85"/>
        <v>3</v>
      </c>
    </row>
    <row r="2082" spans="1:5" x14ac:dyDescent="0.3">
      <c r="A2082" t="s">
        <v>2207</v>
      </c>
      <c r="B2082" t="s">
        <v>127</v>
      </c>
      <c r="C2082">
        <v>121</v>
      </c>
      <c r="D2082">
        <f t="shared" si="84"/>
        <v>2006</v>
      </c>
      <c r="E2082">
        <f t="shared" si="85"/>
        <v>3</v>
      </c>
    </row>
    <row r="2083" spans="1:5" x14ac:dyDescent="0.3">
      <c r="A2083" t="s">
        <v>2208</v>
      </c>
      <c r="B2083" t="s">
        <v>127</v>
      </c>
      <c r="C2083">
        <v>123</v>
      </c>
      <c r="D2083">
        <f t="shared" si="84"/>
        <v>2006</v>
      </c>
      <c r="E2083">
        <f t="shared" si="85"/>
        <v>3</v>
      </c>
    </row>
    <row r="2084" spans="1:5" x14ac:dyDescent="0.3">
      <c r="A2084" t="s">
        <v>2209</v>
      </c>
      <c r="B2084" t="s">
        <v>127</v>
      </c>
      <c r="C2084">
        <v>120</v>
      </c>
      <c r="D2084">
        <f t="shared" si="84"/>
        <v>2006</v>
      </c>
      <c r="E2084">
        <f t="shared" si="85"/>
        <v>3</v>
      </c>
    </row>
    <row r="2085" spans="1:5" x14ac:dyDescent="0.3">
      <c r="A2085" t="s">
        <v>2210</v>
      </c>
      <c r="B2085" t="s">
        <v>127</v>
      </c>
      <c r="C2085">
        <v>122</v>
      </c>
      <c r="D2085">
        <f t="shared" si="84"/>
        <v>2006</v>
      </c>
      <c r="E2085">
        <f t="shared" si="85"/>
        <v>3</v>
      </c>
    </row>
    <row r="2086" spans="1:5" x14ac:dyDescent="0.3">
      <c r="A2086" t="s">
        <v>2211</v>
      </c>
      <c r="B2086" t="s">
        <v>127</v>
      </c>
      <c r="C2086">
        <v>122</v>
      </c>
      <c r="D2086">
        <f t="shared" si="84"/>
        <v>2006</v>
      </c>
      <c r="E2086">
        <f t="shared" si="85"/>
        <v>3</v>
      </c>
    </row>
    <row r="2087" spans="1:5" x14ac:dyDescent="0.3">
      <c r="A2087" t="s">
        <v>2212</v>
      </c>
      <c r="B2087" t="s">
        <v>127</v>
      </c>
      <c r="C2087">
        <v>125</v>
      </c>
      <c r="D2087">
        <f t="shared" si="84"/>
        <v>2006</v>
      </c>
      <c r="E2087">
        <f t="shared" si="85"/>
        <v>3</v>
      </c>
    </row>
    <row r="2088" spans="1:5" x14ac:dyDescent="0.3">
      <c r="A2088" t="s">
        <v>2213</v>
      </c>
      <c r="B2088" t="s">
        <v>127</v>
      </c>
      <c r="C2088">
        <v>124</v>
      </c>
      <c r="D2088">
        <f t="shared" si="84"/>
        <v>2006</v>
      </c>
      <c r="E2088">
        <f t="shared" si="85"/>
        <v>3</v>
      </c>
    </row>
    <row r="2089" spans="1:5" x14ac:dyDescent="0.3">
      <c r="A2089" t="s">
        <v>2214</v>
      </c>
      <c r="B2089" t="s">
        <v>127</v>
      </c>
      <c r="C2089">
        <v>126</v>
      </c>
      <c r="D2089">
        <f t="shared" si="84"/>
        <v>2006</v>
      </c>
      <c r="E2089">
        <f t="shared" si="85"/>
        <v>3</v>
      </c>
    </row>
    <row r="2090" spans="1:5" x14ac:dyDescent="0.3">
      <c r="A2090" t="s">
        <v>2215</v>
      </c>
      <c r="B2090" t="s">
        <v>127</v>
      </c>
      <c r="C2090">
        <v>127</v>
      </c>
      <c r="D2090">
        <f t="shared" si="84"/>
        <v>2006</v>
      </c>
      <c r="E2090">
        <f t="shared" si="85"/>
        <v>3</v>
      </c>
    </row>
    <row r="2091" spans="1:5" x14ac:dyDescent="0.3">
      <c r="A2091" t="s">
        <v>2216</v>
      </c>
      <c r="B2091" t="s">
        <v>127</v>
      </c>
      <c r="C2091">
        <v>134</v>
      </c>
      <c r="D2091">
        <f t="shared" si="84"/>
        <v>2006</v>
      </c>
      <c r="E2091">
        <f t="shared" si="85"/>
        <v>3</v>
      </c>
    </row>
    <row r="2092" spans="1:5" x14ac:dyDescent="0.3">
      <c r="A2092" t="s">
        <v>2217</v>
      </c>
      <c r="B2092" t="s">
        <v>127</v>
      </c>
      <c r="C2092">
        <v>135</v>
      </c>
      <c r="D2092">
        <f t="shared" si="84"/>
        <v>2006</v>
      </c>
      <c r="E2092">
        <f t="shared" si="85"/>
        <v>3</v>
      </c>
    </row>
    <row r="2093" spans="1:5" x14ac:dyDescent="0.3">
      <c r="A2093" t="s">
        <v>2218</v>
      </c>
      <c r="B2093" t="s">
        <v>127</v>
      </c>
      <c r="C2093">
        <v>132</v>
      </c>
      <c r="D2093">
        <f t="shared" si="84"/>
        <v>2006</v>
      </c>
      <c r="E2093">
        <f t="shared" si="85"/>
        <v>3</v>
      </c>
    </row>
    <row r="2094" spans="1:5" x14ac:dyDescent="0.3">
      <c r="A2094" t="s">
        <v>2219</v>
      </c>
      <c r="B2094" t="s">
        <v>127</v>
      </c>
      <c r="C2094">
        <v>130</v>
      </c>
      <c r="D2094">
        <f t="shared" si="84"/>
        <v>2006</v>
      </c>
      <c r="E2094">
        <f t="shared" si="85"/>
        <v>3</v>
      </c>
    </row>
    <row r="2095" spans="1:5" x14ac:dyDescent="0.3">
      <c r="A2095" t="s">
        <v>2220</v>
      </c>
      <c r="B2095" t="s">
        <v>127</v>
      </c>
      <c r="C2095">
        <v>127</v>
      </c>
      <c r="D2095">
        <f t="shared" si="84"/>
        <v>2006</v>
      </c>
      <c r="E2095">
        <f t="shared" si="85"/>
        <v>3</v>
      </c>
    </row>
    <row r="2096" spans="1:5" x14ac:dyDescent="0.3">
      <c r="A2096" t="s">
        <v>2221</v>
      </c>
      <c r="B2096" t="s">
        <v>127</v>
      </c>
      <c r="C2096">
        <v>127</v>
      </c>
      <c r="D2096">
        <f t="shared" si="84"/>
        <v>2006</v>
      </c>
      <c r="E2096">
        <f t="shared" si="85"/>
        <v>3</v>
      </c>
    </row>
    <row r="2097" spans="1:5" x14ac:dyDescent="0.3">
      <c r="A2097" t="s">
        <v>2222</v>
      </c>
      <c r="B2097" t="s">
        <v>127</v>
      </c>
      <c r="C2097">
        <v>128</v>
      </c>
      <c r="D2097">
        <f t="shared" si="84"/>
        <v>2006</v>
      </c>
      <c r="E2097">
        <f t="shared" si="85"/>
        <v>4</v>
      </c>
    </row>
    <row r="2098" spans="1:5" x14ac:dyDescent="0.3">
      <c r="A2098" t="s">
        <v>2223</v>
      </c>
      <c r="B2098" t="s">
        <v>127</v>
      </c>
      <c r="C2098">
        <v>130</v>
      </c>
      <c r="D2098">
        <f t="shared" si="84"/>
        <v>2006</v>
      </c>
      <c r="E2098">
        <f t="shared" si="85"/>
        <v>4</v>
      </c>
    </row>
    <row r="2099" spans="1:5" x14ac:dyDescent="0.3">
      <c r="A2099" t="s">
        <v>2224</v>
      </c>
      <c r="B2099" t="s">
        <v>127</v>
      </c>
      <c r="C2099">
        <v>135</v>
      </c>
      <c r="D2099">
        <f t="shared" si="84"/>
        <v>2006</v>
      </c>
      <c r="E2099">
        <f t="shared" si="85"/>
        <v>4</v>
      </c>
    </row>
    <row r="2100" spans="1:5" x14ac:dyDescent="0.3">
      <c r="A2100" t="s">
        <v>2225</v>
      </c>
      <c r="B2100" t="s">
        <v>127</v>
      </c>
      <c r="C2100">
        <v>135</v>
      </c>
      <c r="D2100">
        <f t="shared" si="84"/>
        <v>2006</v>
      </c>
      <c r="E2100">
        <f t="shared" si="85"/>
        <v>4</v>
      </c>
    </row>
    <row r="2101" spans="1:5" x14ac:dyDescent="0.3">
      <c r="A2101" t="s">
        <v>2226</v>
      </c>
      <c r="B2101" t="s">
        <v>127</v>
      </c>
      <c r="C2101">
        <v>136</v>
      </c>
      <c r="D2101">
        <f t="shared" si="84"/>
        <v>2006</v>
      </c>
      <c r="E2101">
        <f t="shared" si="85"/>
        <v>4</v>
      </c>
    </row>
    <row r="2102" spans="1:5" x14ac:dyDescent="0.3">
      <c r="A2102" t="s">
        <v>2227</v>
      </c>
      <c r="B2102" t="s">
        <v>127</v>
      </c>
      <c r="C2102">
        <v>137</v>
      </c>
      <c r="D2102">
        <f t="shared" si="84"/>
        <v>2006</v>
      </c>
      <c r="E2102">
        <f t="shared" si="85"/>
        <v>4</v>
      </c>
    </row>
    <row r="2103" spans="1:5" x14ac:dyDescent="0.3">
      <c r="A2103" t="s">
        <v>2228</v>
      </c>
      <c r="B2103" t="s">
        <v>127</v>
      </c>
      <c r="C2103">
        <v>137</v>
      </c>
      <c r="D2103">
        <f t="shared" si="84"/>
        <v>2006</v>
      </c>
      <c r="E2103">
        <f t="shared" si="85"/>
        <v>4</v>
      </c>
    </row>
    <row r="2104" spans="1:5" x14ac:dyDescent="0.3">
      <c r="A2104" t="s">
        <v>2229</v>
      </c>
      <c r="B2104" t="s">
        <v>127</v>
      </c>
      <c r="C2104">
        <v>134</v>
      </c>
      <c r="D2104">
        <f t="shared" si="84"/>
        <v>2006</v>
      </c>
      <c r="E2104">
        <f t="shared" si="85"/>
        <v>4</v>
      </c>
    </row>
    <row r="2105" spans="1:5" x14ac:dyDescent="0.3">
      <c r="A2105" t="s">
        <v>2230</v>
      </c>
      <c r="B2105" t="s">
        <v>127</v>
      </c>
      <c r="C2105">
        <v>135</v>
      </c>
      <c r="D2105">
        <f t="shared" si="84"/>
        <v>2006</v>
      </c>
      <c r="E2105">
        <f t="shared" si="85"/>
        <v>4</v>
      </c>
    </row>
    <row r="2106" spans="1:5" x14ac:dyDescent="0.3">
      <c r="A2106" t="s">
        <v>2231</v>
      </c>
      <c r="B2106" t="s">
        <v>127</v>
      </c>
      <c r="C2106">
        <v>135</v>
      </c>
      <c r="D2106">
        <f t="shared" si="84"/>
        <v>2006</v>
      </c>
      <c r="E2106">
        <f t="shared" si="85"/>
        <v>4</v>
      </c>
    </row>
    <row r="2107" spans="1:5" x14ac:dyDescent="0.3">
      <c r="A2107" t="s">
        <v>2232</v>
      </c>
      <c r="B2107" t="s">
        <v>127</v>
      </c>
      <c r="C2107">
        <v>137</v>
      </c>
      <c r="D2107">
        <f t="shared" si="84"/>
        <v>2006</v>
      </c>
      <c r="E2107">
        <f t="shared" si="85"/>
        <v>4</v>
      </c>
    </row>
    <row r="2108" spans="1:5" x14ac:dyDescent="0.3">
      <c r="A2108" t="s">
        <v>2233</v>
      </c>
      <c r="B2108" t="s">
        <v>127</v>
      </c>
      <c r="C2108">
        <v>133</v>
      </c>
      <c r="D2108">
        <f t="shared" si="84"/>
        <v>2006</v>
      </c>
      <c r="E2108">
        <f t="shared" si="85"/>
        <v>4</v>
      </c>
    </row>
    <row r="2109" spans="1:5" x14ac:dyDescent="0.3">
      <c r="A2109" t="s">
        <v>2234</v>
      </c>
      <c r="B2109" t="s">
        <v>127</v>
      </c>
      <c r="C2109">
        <v>128</v>
      </c>
      <c r="D2109">
        <f t="shared" si="84"/>
        <v>2006</v>
      </c>
      <c r="E2109">
        <f t="shared" si="85"/>
        <v>4</v>
      </c>
    </row>
    <row r="2110" spans="1:5" x14ac:dyDescent="0.3">
      <c r="A2110" t="s">
        <v>2235</v>
      </c>
      <c r="B2110" t="s">
        <v>127</v>
      </c>
      <c r="C2110">
        <v>124</v>
      </c>
      <c r="D2110">
        <f t="shared" si="84"/>
        <v>2006</v>
      </c>
      <c r="E2110">
        <f t="shared" si="85"/>
        <v>4</v>
      </c>
    </row>
    <row r="2111" spans="1:5" x14ac:dyDescent="0.3">
      <c r="A2111" t="s">
        <v>2236</v>
      </c>
      <c r="B2111" t="s">
        <v>127</v>
      </c>
      <c r="C2111">
        <v>126</v>
      </c>
      <c r="D2111">
        <f t="shared" si="84"/>
        <v>2006</v>
      </c>
      <c r="E2111">
        <f t="shared" si="85"/>
        <v>4</v>
      </c>
    </row>
    <row r="2112" spans="1:5" x14ac:dyDescent="0.3">
      <c r="A2112" t="s">
        <v>2237</v>
      </c>
      <c r="B2112" t="s">
        <v>127</v>
      </c>
      <c r="C2112">
        <v>126</v>
      </c>
      <c r="D2112">
        <f t="shared" si="84"/>
        <v>2006</v>
      </c>
      <c r="E2112">
        <f t="shared" si="85"/>
        <v>4</v>
      </c>
    </row>
    <row r="2113" spans="1:5" x14ac:dyDescent="0.3">
      <c r="A2113" t="s">
        <v>2238</v>
      </c>
      <c r="B2113" t="s">
        <v>127</v>
      </c>
      <c r="C2113">
        <v>123</v>
      </c>
      <c r="D2113">
        <f t="shared" si="84"/>
        <v>2006</v>
      </c>
      <c r="E2113">
        <f t="shared" si="85"/>
        <v>4</v>
      </c>
    </row>
    <row r="2114" spans="1:5" x14ac:dyDescent="0.3">
      <c r="A2114" t="s">
        <v>2239</v>
      </c>
      <c r="B2114" t="s">
        <v>127</v>
      </c>
      <c r="C2114">
        <v>123</v>
      </c>
      <c r="D2114">
        <f t="shared" si="84"/>
        <v>2006</v>
      </c>
      <c r="E2114">
        <f t="shared" si="85"/>
        <v>4</v>
      </c>
    </row>
    <row r="2115" spans="1:5" x14ac:dyDescent="0.3">
      <c r="A2115" t="s">
        <v>2240</v>
      </c>
      <c r="B2115" t="s">
        <v>127</v>
      </c>
      <c r="C2115">
        <v>123</v>
      </c>
      <c r="D2115">
        <f t="shared" ref="D2115:D2178" si="86">YEAR(A2115)</f>
        <v>2006</v>
      </c>
      <c r="E2115">
        <f t="shared" ref="E2115:E2178" si="87">MONTH(A2115)</f>
        <v>4</v>
      </c>
    </row>
    <row r="2116" spans="1:5" x14ac:dyDescent="0.3">
      <c r="A2116" t="s">
        <v>2241</v>
      </c>
      <c r="B2116" t="s">
        <v>127</v>
      </c>
      <c r="C2116">
        <v>122</v>
      </c>
      <c r="D2116">
        <f t="shared" si="86"/>
        <v>2006</v>
      </c>
      <c r="E2116">
        <f t="shared" si="87"/>
        <v>4</v>
      </c>
    </row>
    <row r="2117" spans="1:5" x14ac:dyDescent="0.3">
      <c r="A2117" t="s">
        <v>2242</v>
      </c>
      <c r="B2117" t="s">
        <v>127</v>
      </c>
      <c r="C2117">
        <v>117</v>
      </c>
      <c r="D2117">
        <f t="shared" si="86"/>
        <v>2006</v>
      </c>
      <c r="E2117">
        <f t="shared" si="87"/>
        <v>5</v>
      </c>
    </row>
    <row r="2118" spans="1:5" x14ac:dyDescent="0.3">
      <c r="A2118" t="s">
        <v>2243</v>
      </c>
      <c r="B2118" t="s">
        <v>127</v>
      </c>
      <c r="C2118">
        <v>117</v>
      </c>
      <c r="D2118">
        <f t="shared" si="86"/>
        <v>2006</v>
      </c>
      <c r="E2118">
        <f t="shared" si="87"/>
        <v>5</v>
      </c>
    </row>
    <row r="2119" spans="1:5" x14ac:dyDescent="0.3">
      <c r="A2119" t="s">
        <v>2244</v>
      </c>
      <c r="B2119" t="s">
        <v>127</v>
      </c>
      <c r="C2119">
        <v>117</v>
      </c>
      <c r="D2119">
        <f t="shared" si="86"/>
        <v>2006</v>
      </c>
      <c r="E2119">
        <f t="shared" si="87"/>
        <v>5</v>
      </c>
    </row>
    <row r="2120" spans="1:5" x14ac:dyDescent="0.3">
      <c r="A2120" t="s">
        <v>2245</v>
      </c>
      <c r="B2120" t="s">
        <v>127</v>
      </c>
      <c r="C2120">
        <v>117</v>
      </c>
      <c r="D2120">
        <f t="shared" si="86"/>
        <v>2006</v>
      </c>
      <c r="E2120">
        <f t="shared" si="87"/>
        <v>5</v>
      </c>
    </row>
    <row r="2121" spans="1:5" x14ac:dyDescent="0.3">
      <c r="A2121" t="s">
        <v>2246</v>
      </c>
      <c r="B2121" t="s">
        <v>127</v>
      </c>
      <c r="C2121">
        <v>119</v>
      </c>
      <c r="D2121">
        <f t="shared" si="86"/>
        <v>2006</v>
      </c>
      <c r="E2121">
        <f t="shared" si="87"/>
        <v>5</v>
      </c>
    </row>
    <row r="2122" spans="1:5" x14ac:dyDescent="0.3">
      <c r="A2122" t="s">
        <v>2247</v>
      </c>
      <c r="B2122" t="s">
        <v>127</v>
      </c>
      <c r="C2122">
        <v>119</v>
      </c>
      <c r="D2122">
        <f t="shared" si="86"/>
        <v>2006</v>
      </c>
      <c r="E2122">
        <f t="shared" si="87"/>
        <v>5</v>
      </c>
    </row>
    <row r="2123" spans="1:5" x14ac:dyDescent="0.3">
      <c r="A2123" t="s">
        <v>2248</v>
      </c>
      <c r="B2123" t="s">
        <v>127</v>
      </c>
      <c r="C2123">
        <v>120</v>
      </c>
      <c r="D2123">
        <f t="shared" si="86"/>
        <v>2006</v>
      </c>
      <c r="E2123">
        <f t="shared" si="87"/>
        <v>5</v>
      </c>
    </row>
    <row r="2124" spans="1:5" x14ac:dyDescent="0.3">
      <c r="A2124" t="s">
        <v>2249</v>
      </c>
      <c r="B2124" t="s">
        <v>127</v>
      </c>
      <c r="C2124">
        <v>119</v>
      </c>
      <c r="D2124">
        <f t="shared" si="86"/>
        <v>2006</v>
      </c>
      <c r="E2124">
        <f t="shared" si="87"/>
        <v>5</v>
      </c>
    </row>
    <row r="2125" spans="1:5" x14ac:dyDescent="0.3">
      <c r="A2125" t="s">
        <v>2250</v>
      </c>
      <c r="B2125" t="s">
        <v>127</v>
      </c>
      <c r="C2125">
        <v>121</v>
      </c>
      <c r="D2125">
        <f t="shared" si="86"/>
        <v>2006</v>
      </c>
      <c r="E2125">
        <f t="shared" si="87"/>
        <v>5</v>
      </c>
    </row>
    <row r="2126" spans="1:5" x14ac:dyDescent="0.3">
      <c r="A2126" t="s">
        <v>2251</v>
      </c>
      <c r="B2126" t="s">
        <v>127</v>
      </c>
      <c r="C2126">
        <v>126</v>
      </c>
      <c r="D2126">
        <f t="shared" si="86"/>
        <v>2006</v>
      </c>
      <c r="E2126">
        <f t="shared" si="87"/>
        <v>5</v>
      </c>
    </row>
    <row r="2127" spans="1:5" x14ac:dyDescent="0.3">
      <c r="A2127" t="s">
        <v>2252</v>
      </c>
      <c r="B2127" t="s">
        <v>127</v>
      </c>
      <c r="C2127">
        <v>135</v>
      </c>
      <c r="D2127">
        <f t="shared" si="86"/>
        <v>2006</v>
      </c>
      <c r="E2127">
        <f t="shared" si="87"/>
        <v>5</v>
      </c>
    </row>
    <row r="2128" spans="1:5" x14ac:dyDescent="0.3">
      <c r="A2128" t="s">
        <v>2253</v>
      </c>
      <c r="B2128" t="s">
        <v>127</v>
      </c>
      <c r="C2128">
        <v>129</v>
      </c>
      <c r="D2128">
        <f t="shared" si="86"/>
        <v>2006</v>
      </c>
      <c r="E2128">
        <f t="shared" si="87"/>
        <v>5</v>
      </c>
    </row>
    <row r="2129" spans="1:5" x14ac:dyDescent="0.3">
      <c r="A2129" t="s">
        <v>2254</v>
      </c>
      <c r="B2129" t="s">
        <v>127</v>
      </c>
      <c r="C2129">
        <v>138</v>
      </c>
      <c r="D2129">
        <f t="shared" si="86"/>
        <v>2006</v>
      </c>
      <c r="E2129">
        <f t="shared" si="87"/>
        <v>5</v>
      </c>
    </row>
    <row r="2130" spans="1:5" x14ac:dyDescent="0.3">
      <c r="A2130" t="s">
        <v>2255</v>
      </c>
      <c r="B2130" t="s">
        <v>127</v>
      </c>
      <c r="C2130">
        <v>136</v>
      </c>
      <c r="D2130">
        <f t="shared" si="86"/>
        <v>2006</v>
      </c>
      <c r="E2130">
        <f t="shared" si="87"/>
        <v>5</v>
      </c>
    </row>
    <row r="2131" spans="1:5" x14ac:dyDescent="0.3">
      <c r="A2131" t="s">
        <v>2256</v>
      </c>
      <c r="B2131" t="s">
        <v>127</v>
      </c>
      <c r="C2131">
        <v>139</v>
      </c>
      <c r="D2131">
        <f t="shared" si="86"/>
        <v>2006</v>
      </c>
      <c r="E2131">
        <f t="shared" si="87"/>
        <v>5</v>
      </c>
    </row>
    <row r="2132" spans="1:5" x14ac:dyDescent="0.3">
      <c r="A2132" t="s">
        <v>2257</v>
      </c>
      <c r="B2132" t="s">
        <v>127</v>
      </c>
      <c r="C2132">
        <v>147</v>
      </c>
      <c r="D2132">
        <f t="shared" si="86"/>
        <v>2006</v>
      </c>
      <c r="E2132">
        <f t="shared" si="87"/>
        <v>5</v>
      </c>
    </row>
    <row r="2133" spans="1:5" x14ac:dyDescent="0.3">
      <c r="A2133" t="s">
        <v>2258</v>
      </c>
      <c r="B2133" t="s">
        <v>127</v>
      </c>
      <c r="C2133">
        <v>144</v>
      </c>
      <c r="D2133">
        <f t="shared" si="86"/>
        <v>2006</v>
      </c>
      <c r="E2133">
        <f t="shared" si="87"/>
        <v>5</v>
      </c>
    </row>
    <row r="2134" spans="1:5" x14ac:dyDescent="0.3">
      <c r="A2134" t="s">
        <v>2259</v>
      </c>
      <c r="B2134" t="s">
        <v>127</v>
      </c>
      <c r="C2134">
        <v>154</v>
      </c>
      <c r="D2134">
        <f t="shared" si="86"/>
        <v>2006</v>
      </c>
      <c r="E2134">
        <f t="shared" si="87"/>
        <v>5</v>
      </c>
    </row>
    <row r="2135" spans="1:5" x14ac:dyDescent="0.3">
      <c r="A2135" t="s">
        <v>2260</v>
      </c>
      <c r="B2135" t="s">
        <v>127</v>
      </c>
      <c r="C2135">
        <v>144</v>
      </c>
      <c r="D2135">
        <f t="shared" si="86"/>
        <v>2006</v>
      </c>
      <c r="E2135">
        <f t="shared" si="87"/>
        <v>5</v>
      </c>
    </row>
    <row r="2136" spans="1:5" x14ac:dyDescent="0.3">
      <c r="A2136" t="s">
        <v>2261</v>
      </c>
      <c r="B2136" t="s">
        <v>127</v>
      </c>
      <c r="C2136">
        <v>145</v>
      </c>
      <c r="D2136">
        <f t="shared" si="86"/>
        <v>2006</v>
      </c>
      <c r="E2136">
        <f t="shared" si="87"/>
        <v>5</v>
      </c>
    </row>
    <row r="2137" spans="1:5" x14ac:dyDescent="0.3">
      <c r="A2137" t="s">
        <v>2262</v>
      </c>
      <c r="B2137" t="s">
        <v>127</v>
      </c>
      <c r="C2137">
        <v>145</v>
      </c>
      <c r="D2137">
        <f t="shared" si="86"/>
        <v>2006</v>
      </c>
      <c r="E2137">
        <f t="shared" si="87"/>
        <v>5</v>
      </c>
    </row>
    <row r="2138" spans="1:5" x14ac:dyDescent="0.3">
      <c r="A2138" t="s">
        <v>2263</v>
      </c>
      <c r="B2138" t="s">
        <v>127</v>
      </c>
      <c r="C2138">
        <v>147</v>
      </c>
      <c r="D2138">
        <f t="shared" si="86"/>
        <v>2006</v>
      </c>
      <c r="E2138">
        <f t="shared" si="87"/>
        <v>5</v>
      </c>
    </row>
    <row r="2139" spans="1:5" x14ac:dyDescent="0.3">
      <c r="A2139" t="s">
        <v>2264</v>
      </c>
      <c r="B2139" t="s">
        <v>127</v>
      </c>
      <c r="C2139">
        <v>146</v>
      </c>
      <c r="D2139">
        <f t="shared" si="86"/>
        <v>2006</v>
      </c>
      <c r="E2139">
        <f t="shared" si="87"/>
        <v>5</v>
      </c>
    </row>
    <row r="2140" spans="1:5" x14ac:dyDescent="0.3">
      <c r="A2140" t="s">
        <v>2265</v>
      </c>
      <c r="B2140" t="s">
        <v>127</v>
      </c>
      <c r="C2140">
        <v>142</v>
      </c>
      <c r="D2140">
        <f t="shared" si="86"/>
        <v>2006</v>
      </c>
      <c r="E2140">
        <f t="shared" si="87"/>
        <v>6</v>
      </c>
    </row>
    <row r="2141" spans="1:5" x14ac:dyDescent="0.3">
      <c r="A2141" t="s">
        <v>2266</v>
      </c>
      <c r="B2141" t="s">
        <v>127</v>
      </c>
      <c r="C2141">
        <v>146</v>
      </c>
      <c r="D2141">
        <f t="shared" si="86"/>
        <v>2006</v>
      </c>
      <c r="E2141">
        <f t="shared" si="87"/>
        <v>6</v>
      </c>
    </row>
    <row r="2142" spans="1:5" x14ac:dyDescent="0.3">
      <c r="A2142" t="s">
        <v>2267</v>
      </c>
      <c r="B2142" t="s">
        <v>127</v>
      </c>
      <c r="C2142">
        <v>142</v>
      </c>
      <c r="D2142">
        <f t="shared" si="86"/>
        <v>2006</v>
      </c>
      <c r="E2142">
        <f t="shared" si="87"/>
        <v>6</v>
      </c>
    </row>
    <row r="2143" spans="1:5" x14ac:dyDescent="0.3">
      <c r="A2143" t="s">
        <v>2268</v>
      </c>
      <c r="B2143" t="s">
        <v>127</v>
      </c>
      <c r="C2143">
        <v>147</v>
      </c>
      <c r="D2143">
        <f t="shared" si="86"/>
        <v>2006</v>
      </c>
      <c r="E2143">
        <f t="shared" si="87"/>
        <v>6</v>
      </c>
    </row>
    <row r="2144" spans="1:5" x14ac:dyDescent="0.3">
      <c r="A2144" t="s">
        <v>2269</v>
      </c>
      <c r="B2144" t="s">
        <v>127</v>
      </c>
      <c r="C2144">
        <v>146</v>
      </c>
      <c r="D2144">
        <f t="shared" si="86"/>
        <v>2006</v>
      </c>
      <c r="E2144">
        <f t="shared" si="87"/>
        <v>6</v>
      </c>
    </row>
    <row r="2145" spans="1:5" x14ac:dyDescent="0.3">
      <c r="A2145" t="s">
        <v>2270</v>
      </c>
      <c r="B2145" t="s">
        <v>127</v>
      </c>
      <c r="C2145">
        <v>150</v>
      </c>
      <c r="D2145">
        <f t="shared" si="86"/>
        <v>2006</v>
      </c>
      <c r="E2145">
        <f t="shared" si="87"/>
        <v>6</v>
      </c>
    </row>
    <row r="2146" spans="1:5" x14ac:dyDescent="0.3">
      <c r="A2146" t="s">
        <v>2271</v>
      </c>
      <c r="B2146" t="s">
        <v>127</v>
      </c>
      <c r="C2146">
        <v>151</v>
      </c>
      <c r="D2146">
        <f t="shared" si="86"/>
        <v>2006</v>
      </c>
      <c r="E2146">
        <f t="shared" si="87"/>
        <v>6</v>
      </c>
    </row>
    <row r="2147" spans="1:5" x14ac:dyDescent="0.3">
      <c r="A2147" t="s">
        <v>2272</v>
      </c>
      <c r="B2147" t="s">
        <v>127</v>
      </c>
      <c r="C2147">
        <v>154</v>
      </c>
      <c r="D2147">
        <f t="shared" si="86"/>
        <v>2006</v>
      </c>
      <c r="E2147">
        <f t="shared" si="87"/>
        <v>6</v>
      </c>
    </row>
    <row r="2148" spans="1:5" x14ac:dyDescent="0.3">
      <c r="A2148" t="s">
        <v>2273</v>
      </c>
      <c r="B2148" t="s">
        <v>127</v>
      </c>
      <c r="C2148">
        <v>159</v>
      </c>
      <c r="D2148">
        <f t="shared" si="86"/>
        <v>2006</v>
      </c>
      <c r="E2148">
        <f t="shared" si="87"/>
        <v>6</v>
      </c>
    </row>
    <row r="2149" spans="1:5" x14ac:dyDescent="0.3">
      <c r="A2149" t="s">
        <v>2274</v>
      </c>
      <c r="B2149" t="s">
        <v>127</v>
      </c>
      <c r="C2149">
        <v>156</v>
      </c>
      <c r="D2149">
        <f t="shared" si="86"/>
        <v>2006</v>
      </c>
      <c r="E2149">
        <f t="shared" si="87"/>
        <v>6</v>
      </c>
    </row>
    <row r="2150" spans="1:5" x14ac:dyDescent="0.3">
      <c r="A2150" t="s">
        <v>2275</v>
      </c>
      <c r="B2150" t="s">
        <v>127</v>
      </c>
      <c r="C2150">
        <v>153</v>
      </c>
      <c r="D2150">
        <f t="shared" si="86"/>
        <v>2006</v>
      </c>
      <c r="E2150">
        <f t="shared" si="87"/>
        <v>6</v>
      </c>
    </row>
    <row r="2151" spans="1:5" x14ac:dyDescent="0.3">
      <c r="A2151" t="s">
        <v>2276</v>
      </c>
      <c r="B2151" t="s">
        <v>127</v>
      </c>
      <c r="C2151">
        <v>153</v>
      </c>
      <c r="D2151">
        <f t="shared" si="86"/>
        <v>2006</v>
      </c>
      <c r="E2151">
        <f t="shared" si="87"/>
        <v>6</v>
      </c>
    </row>
    <row r="2152" spans="1:5" x14ac:dyDescent="0.3">
      <c r="A2152" t="s">
        <v>2277</v>
      </c>
      <c r="B2152" t="s">
        <v>127</v>
      </c>
      <c r="C2152">
        <v>152</v>
      </c>
      <c r="D2152">
        <f t="shared" si="86"/>
        <v>2006</v>
      </c>
      <c r="E2152">
        <f t="shared" si="87"/>
        <v>6</v>
      </c>
    </row>
    <row r="2153" spans="1:5" x14ac:dyDescent="0.3">
      <c r="A2153" t="s">
        <v>2278</v>
      </c>
      <c r="B2153" t="s">
        <v>127</v>
      </c>
      <c r="C2153">
        <v>152</v>
      </c>
      <c r="D2153">
        <f t="shared" si="86"/>
        <v>2006</v>
      </c>
      <c r="E2153">
        <f t="shared" si="87"/>
        <v>6</v>
      </c>
    </row>
    <row r="2154" spans="1:5" x14ac:dyDescent="0.3">
      <c r="A2154" t="s">
        <v>2279</v>
      </c>
      <c r="B2154" t="s">
        <v>127</v>
      </c>
      <c r="C2154">
        <v>154</v>
      </c>
      <c r="D2154">
        <f t="shared" si="86"/>
        <v>2006</v>
      </c>
      <c r="E2154">
        <f t="shared" si="87"/>
        <v>6</v>
      </c>
    </row>
    <row r="2155" spans="1:5" x14ac:dyDescent="0.3">
      <c r="A2155" t="s">
        <v>2280</v>
      </c>
      <c r="B2155" t="s">
        <v>127</v>
      </c>
      <c r="C2155">
        <v>155</v>
      </c>
      <c r="D2155">
        <f t="shared" si="86"/>
        <v>2006</v>
      </c>
      <c r="E2155">
        <f t="shared" si="87"/>
        <v>6</v>
      </c>
    </row>
    <row r="2156" spans="1:5" x14ac:dyDescent="0.3">
      <c r="A2156" t="s">
        <v>2281</v>
      </c>
      <c r="B2156" t="s">
        <v>127</v>
      </c>
      <c r="C2156">
        <v>153</v>
      </c>
      <c r="D2156">
        <f t="shared" si="86"/>
        <v>2006</v>
      </c>
      <c r="E2156">
        <f t="shared" si="87"/>
        <v>6</v>
      </c>
    </row>
    <row r="2157" spans="1:5" x14ac:dyDescent="0.3">
      <c r="A2157" t="s">
        <v>2282</v>
      </c>
      <c r="B2157" t="s">
        <v>127</v>
      </c>
      <c r="C2157">
        <v>154</v>
      </c>
      <c r="D2157">
        <f t="shared" si="86"/>
        <v>2006</v>
      </c>
      <c r="E2157">
        <f t="shared" si="87"/>
        <v>6</v>
      </c>
    </row>
    <row r="2158" spans="1:5" x14ac:dyDescent="0.3">
      <c r="A2158" t="s">
        <v>2283</v>
      </c>
      <c r="B2158" t="s">
        <v>127</v>
      </c>
      <c r="C2158">
        <v>153</v>
      </c>
      <c r="D2158">
        <f t="shared" si="86"/>
        <v>2006</v>
      </c>
      <c r="E2158">
        <f t="shared" si="87"/>
        <v>6</v>
      </c>
    </row>
    <row r="2159" spans="1:5" x14ac:dyDescent="0.3">
      <c r="A2159" t="s">
        <v>2284</v>
      </c>
      <c r="B2159" t="s">
        <v>127</v>
      </c>
      <c r="C2159">
        <v>142</v>
      </c>
      <c r="D2159">
        <f t="shared" si="86"/>
        <v>2006</v>
      </c>
      <c r="E2159">
        <f t="shared" si="87"/>
        <v>6</v>
      </c>
    </row>
    <row r="2160" spans="1:5" x14ac:dyDescent="0.3">
      <c r="A2160" t="s">
        <v>2285</v>
      </c>
      <c r="B2160" t="s">
        <v>127</v>
      </c>
      <c r="C2160">
        <v>142</v>
      </c>
      <c r="D2160">
        <f t="shared" si="86"/>
        <v>2006</v>
      </c>
      <c r="E2160">
        <f t="shared" si="87"/>
        <v>6</v>
      </c>
    </row>
    <row r="2161" spans="1:5" x14ac:dyDescent="0.3">
      <c r="A2161" t="s">
        <v>2286</v>
      </c>
      <c r="B2161" t="s">
        <v>127</v>
      </c>
      <c r="C2161">
        <v>138</v>
      </c>
      <c r="D2161">
        <f t="shared" si="86"/>
        <v>2006</v>
      </c>
      <c r="E2161">
        <f t="shared" si="87"/>
        <v>6</v>
      </c>
    </row>
    <row r="2162" spans="1:5" x14ac:dyDescent="0.3">
      <c r="A2162" t="s">
        <v>2287</v>
      </c>
      <c r="B2162" t="s">
        <v>127</v>
      </c>
      <c r="C2162">
        <v>129</v>
      </c>
      <c r="D2162">
        <f t="shared" si="86"/>
        <v>2006</v>
      </c>
      <c r="E2162">
        <f t="shared" si="87"/>
        <v>7</v>
      </c>
    </row>
    <row r="2163" spans="1:5" x14ac:dyDescent="0.3">
      <c r="A2163" t="s">
        <v>2288</v>
      </c>
      <c r="B2163" t="s">
        <v>127</v>
      </c>
      <c r="C2163">
        <v>129</v>
      </c>
      <c r="D2163">
        <f t="shared" si="86"/>
        <v>2006</v>
      </c>
      <c r="E2163">
        <f t="shared" si="87"/>
        <v>7</v>
      </c>
    </row>
    <row r="2164" spans="1:5" x14ac:dyDescent="0.3">
      <c r="A2164" t="s">
        <v>2289</v>
      </c>
      <c r="B2164" t="s">
        <v>127</v>
      </c>
      <c r="C2164">
        <v>128</v>
      </c>
      <c r="D2164">
        <f t="shared" si="86"/>
        <v>2006</v>
      </c>
      <c r="E2164">
        <f t="shared" si="87"/>
        <v>7</v>
      </c>
    </row>
    <row r="2165" spans="1:5" x14ac:dyDescent="0.3">
      <c r="A2165" t="s">
        <v>2290</v>
      </c>
      <c r="B2165" t="s">
        <v>127</v>
      </c>
      <c r="C2165">
        <v>122</v>
      </c>
      <c r="D2165">
        <f t="shared" si="86"/>
        <v>2006</v>
      </c>
      <c r="E2165">
        <f t="shared" si="87"/>
        <v>7</v>
      </c>
    </row>
    <row r="2166" spans="1:5" x14ac:dyDescent="0.3">
      <c r="A2166" t="s">
        <v>2291</v>
      </c>
      <c r="B2166" t="s">
        <v>127</v>
      </c>
      <c r="C2166">
        <v>117</v>
      </c>
      <c r="D2166">
        <f t="shared" si="86"/>
        <v>2006</v>
      </c>
      <c r="E2166">
        <f t="shared" si="87"/>
        <v>7</v>
      </c>
    </row>
    <row r="2167" spans="1:5" x14ac:dyDescent="0.3">
      <c r="A2167" t="s">
        <v>2292</v>
      </c>
      <c r="B2167" t="s">
        <v>127</v>
      </c>
      <c r="C2167">
        <v>118</v>
      </c>
      <c r="D2167">
        <f t="shared" si="86"/>
        <v>2006</v>
      </c>
      <c r="E2167">
        <f t="shared" si="87"/>
        <v>7</v>
      </c>
    </row>
    <row r="2168" spans="1:5" x14ac:dyDescent="0.3">
      <c r="A2168" t="s">
        <v>2293</v>
      </c>
      <c r="B2168" t="s">
        <v>127</v>
      </c>
      <c r="C2168">
        <v>119</v>
      </c>
      <c r="D2168">
        <f t="shared" si="86"/>
        <v>2006</v>
      </c>
      <c r="E2168">
        <f t="shared" si="87"/>
        <v>7</v>
      </c>
    </row>
    <row r="2169" spans="1:5" x14ac:dyDescent="0.3">
      <c r="A2169" t="s">
        <v>2294</v>
      </c>
      <c r="B2169" t="s">
        <v>127</v>
      </c>
      <c r="C2169">
        <v>118</v>
      </c>
      <c r="D2169">
        <f t="shared" si="86"/>
        <v>2006</v>
      </c>
      <c r="E2169">
        <f t="shared" si="87"/>
        <v>7</v>
      </c>
    </row>
    <row r="2170" spans="1:5" x14ac:dyDescent="0.3">
      <c r="A2170" t="s">
        <v>2295</v>
      </c>
      <c r="B2170" t="s">
        <v>127</v>
      </c>
      <c r="C2170">
        <v>123</v>
      </c>
      <c r="D2170">
        <f t="shared" si="86"/>
        <v>2006</v>
      </c>
      <c r="E2170">
        <f t="shared" si="87"/>
        <v>7</v>
      </c>
    </row>
    <row r="2171" spans="1:5" x14ac:dyDescent="0.3">
      <c r="A2171" t="s">
        <v>2296</v>
      </c>
      <c r="B2171" t="s">
        <v>127</v>
      </c>
      <c r="C2171">
        <v>124</v>
      </c>
      <c r="D2171">
        <f t="shared" si="86"/>
        <v>2006</v>
      </c>
      <c r="E2171">
        <f t="shared" si="87"/>
        <v>7</v>
      </c>
    </row>
    <row r="2172" spans="1:5" x14ac:dyDescent="0.3">
      <c r="A2172" t="s">
        <v>2297</v>
      </c>
      <c r="B2172" t="s">
        <v>127</v>
      </c>
      <c r="C2172">
        <v>122</v>
      </c>
      <c r="D2172">
        <f t="shared" si="86"/>
        <v>2006</v>
      </c>
      <c r="E2172">
        <f t="shared" si="87"/>
        <v>7</v>
      </c>
    </row>
    <row r="2173" spans="1:5" x14ac:dyDescent="0.3">
      <c r="A2173" t="s">
        <v>2298</v>
      </c>
      <c r="B2173" t="s">
        <v>127</v>
      </c>
      <c r="C2173">
        <v>118</v>
      </c>
      <c r="D2173">
        <f t="shared" si="86"/>
        <v>2006</v>
      </c>
      <c r="E2173">
        <f t="shared" si="87"/>
        <v>7</v>
      </c>
    </row>
    <row r="2174" spans="1:5" x14ac:dyDescent="0.3">
      <c r="A2174" t="s">
        <v>2299</v>
      </c>
      <c r="B2174" t="s">
        <v>127</v>
      </c>
      <c r="C2174">
        <v>117</v>
      </c>
      <c r="D2174">
        <f t="shared" si="86"/>
        <v>2006</v>
      </c>
      <c r="E2174">
        <f t="shared" si="87"/>
        <v>7</v>
      </c>
    </row>
    <row r="2175" spans="1:5" x14ac:dyDescent="0.3">
      <c r="A2175" t="s">
        <v>2300</v>
      </c>
      <c r="B2175" t="s">
        <v>127</v>
      </c>
      <c r="C2175">
        <v>120</v>
      </c>
      <c r="D2175">
        <f t="shared" si="86"/>
        <v>2006</v>
      </c>
      <c r="E2175">
        <f t="shared" si="87"/>
        <v>7</v>
      </c>
    </row>
    <row r="2176" spans="1:5" x14ac:dyDescent="0.3">
      <c r="A2176" t="s">
        <v>2301</v>
      </c>
      <c r="B2176" t="s">
        <v>127</v>
      </c>
      <c r="C2176">
        <v>117</v>
      </c>
      <c r="D2176">
        <f t="shared" si="86"/>
        <v>2006</v>
      </c>
      <c r="E2176">
        <f t="shared" si="87"/>
        <v>7</v>
      </c>
    </row>
    <row r="2177" spans="1:5" x14ac:dyDescent="0.3">
      <c r="A2177" t="s">
        <v>2302</v>
      </c>
      <c r="B2177" t="s">
        <v>127</v>
      </c>
      <c r="C2177">
        <v>115</v>
      </c>
      <c r="D2177">
        <f t="shared" si="86"/>
        <v>2006</v>
      </c>
      <c r="E2177">
        <f t="shared" si="87"/>
        <v>7</v>
      </c>
    </row>
    <row r="2178" spans="1:5" x14ac:dyDescent="0.3">
      <c r="A2178" t="s">
        <v>2303</v>
      </c>
      <c r="B2178" t="s">
        <v>127</v>
      </c>
      <c r="C2178">
        <v>117</v>
      </c>
      <c r="D2178">
        <f t="shared" si="86"/>
        <v>2006</v>
      </c>
      <c r="E2178">
        <f t="shared" si="87"/>
        <v>7</v>
      </c>
    </row>
    <row r="2179" spans="1:5" x14ac:dyDescent="0.3">
      <c r="A2179" t="s">
        <v>2304</v>
      </c>
      <c r="B2179" t="s">
        <v>127</v>
      </c>
      <c r="C2179">
        <v>117</v>
      </c>
      <c r="D2179">
        <f t="shared" ref="D2179:D2242" si="88">YEAR(A2179)</f>
        <v>2006</v>
      </c>
      <c r="E2179">
        <f t="shared" ref="E2179:E2242" si="89">MONTH(A2179)</f>
        <v>7</v>
      </c>
    </row>
    <row r="2180" spans="1:5" x14ac:dyDescent="0.3">
      <c r="A2180" t="s">
        <v>2305</v>
      </c>
      <c r="B2180" t="s">
        <v>127</v>
      </c>
      <c r="C2180">
        <v>117</v>
      </c>
      <c r="D2180">
        <f t="shared" si="88"/>
        <v>2006</v>
      </c>
      <c r="E2180">
        <f t="shared" si="89"/>
        <v>7</v>
      </c>
    </row>
    <row r="2181" spans="1:5" x14ac:dyDescent="0.3">
      <c r="A2181" t="s">
        <v>2306</v>
      </c>
      <c r="B2181" t="s">
        <v>127</v>
      </c>
      <c r="C2181">
        <v>120</v>
      </c>
      <c r="D2181">
        <f t="shared" si="88"/>
        <v>2006</v>
      </c>
      <c r="E2181">
        <f t="shared" si="89"/>
        <v>7</v>
      </c>
    </row>
    <row r="2182" spans="1:5" x14ac:dyDescent="0.3">
      <c r="A2182" t="s">
        <v>2307</v>
      </c>
      <c r="B2182" t="s">
        <v>127</v>
      </c>
      <c r="C2182">
        <v>120</v>
      </c>
      <c r="D2182">
        <f t="shared" si="88"/>
        <v>2006</v>
      </c>
      <c r="E2182">
        <f t="shared" si="89"/>
        <v>7</v>
      </c>
    </row>
    <row r="2183" spans="1:5" x14ac:dyDescent="0.3">
      <c r="A2183" t="s">
        <v>2308</v>
      </c>
      <c r="B2183" t="s">
        <v>127</v>
      </c>
      <c r="C2183">
        <v>136</v>
      </c>
      <c r="D2183">
        <f t="shared" si="88"/>
        <v>2006</v>
      </c>
      <c r="E2183">
        <f t="shared" si="89"/>
        <v>8</v>
      </c>
    </row>
    <row r="2184" spans="1:5" x14ac:dyDescent="0.3">
      <c r="A2184" t="s">
        <v>2309</v>
      </c>
      <c r="B2184" t="s">
        <v>127</v>
      </c>
      <c r="C2184">
        <v>136</v>
      </c>
      <c r="D2184">
        <f t="shared" si="88"/>
        <v>2006</v>
      </c>
      <c r="E2184">
        <f t="shared" si="89"/>
        <v>8</v>
      </c>
    </row>
    <row r="2185" spans="1:5" x14ac:dyDescent="0.3">
      <c r="A2185" t="s">
        <v>2310</v>
      </c>
      <c r="B2185" t="s">
        <v>127</v>
      </c>
      <c r="C2185">
        <v>135</v>
      </c>
      <c r="D2185">
        <f t="shared" si="88"/>
        <v>2006</v>
      </c>
      <c r="E2185">
        <f t="shared" si="89"/>
        <v>8</v>
      </c>
    </row>
    <row r="2186" spans="1:5" x14ac:dyDescent="0.3">
      <c r="A2186" t="s">
        <v>2311</v>
      </c>
      <c r="B2186" t="s">
        <v>127</v>
      </c>
      <c r="C2186">
        <v>135</v>
      </c>
      <c r="D2186">
        <f t="shared" si="88"/>
        <v>2006</v>
      </c>
      <c r="E2186">
        <f t="shared" si="89"/>
        <v>8</v>
      </c>
    </row>
    <row r="2187" spans="1:5" x14ac:dyDescent="0.3">
      <c r="A2187" t="s">
        <v>2312</v>
      </c>
      <c r="B2187" t="s">
        <v>127</v>
      </c>
      <c r="C2187">
        <v>134</v>
      </c>
      <c r="D2187">
        <f t="shared" si="88"/>
        <v>2006</v>
      </c>
      <c r="E2187">
        <f t="shared" si="89"/>
        <v>8</v>
      </c>
    </row>
    <row r="2188" spans="1:5" x14ac:dyDescent="0.3">
      <c r="A2188" t="s">
        <v>2313</v>
      </c>
      <c r="B2188" t="s">
        <v>127</v>
      </c>
      <c r="C2188">
        <v>132</v>
      </c>
      <c r="D2188">
        <f t="shared" si="88"/>
        <v>2006</v>
      </c>
      <c r="E2188">
        <f t="shared" si="89"/>
        <v>8</v>
      </c>
    </row>
    <row r="2189" spans="1:5" x14ac:dyDescent="0.3">
      <c r="A2189" t="s">
        <v>2314</v>
      </c>
      <c r="B2189" t="s">
        <v>127</v>
      </c>
      <c r="C2189">
        <v>132</v>
      </c>
      <c r="D2189">
        <f t="shared" si="88"/>
        <v>2006</v>
      </c>
      <c r="E2189">
        <f t="shared" si="89"/>
        <v>8</v>
      </c>
    </row>
    <row r="2190" spans="1:5" x14ac:dyDescent="0.3">
      <c r="A2190" t="s">
        <v>2315</v>
      </c>
      <c r="B2190" t="s">
        <v>127</v>
      </c>
      <c r="C2190">
        <v>130</v>
      </c>
      <c r="D2190">
        <f t="shared" si="88"/>
        <v>2006</v>
      </c>
      <c r="E2190">
        <f t="shared" si="89"/>
        <v>8</v>
      </c>
    </row>
    <row r="2191" spans="1:5" x14ac:dyDescent="0.3">
      <c r="A2191" t="s">
        <v>2316</v>
      </c>
      <c r="B2191" t="s">
        <v>127</v>
      </c>
      <c r="C2191">
        <v>121</v>
      </c>
      <c r="D2191">
        <f t="shared" si="88"/>
        <v>2006</v>
      </c>
      <c r="E2191">
        <f t="shared" si="89"/>
        <v>8</v>
      </c>
    </row>
    <row r="2192" spans="1:5" x14ac:dyDescent="0.3">
      <c r="A2192" t="s">
        <v>2317</v>
      </c>
      <c r="B2192" t="s">
        <v>127</v>
      </c>
      <c r="C2192">
        <v>119</v>
      </c>
      <c r="D2192">
        <f t="shared" si="88"/>
        <v>2006</v>
      </c>
      <c r="E2192">
        <f t="shared" si="89"/>
        <v>8</v>
      </c>
    </row>
    <row r="2193" spans="1:5" x14ac:dyDescent="0.3">
      <c r="A2193" t="s">
        <v>2318</v>
      </c>
      <c r="B2193" t="s">
        <v>127</v>
      </c>
      <c r="C2193">
        <v>124</v>
      </c>
      <c r="D2193">
        <f t="shared" si="88"/>
        <v>2006</v>
      </c>
      <c r="E2193">
        <f t="shared" si="89"/>
        <v>8</v>
      </c>
    </row>
    <row r="2194" spans="1:5" x14ac:dyDescent="0.3">
      <c r="A2194" t="s">
        <v>2319</v>
      </c>
      <c r="B2194" t="s">
        <v>127</v>
      </c>
      <c r="C2194">
        <v>126</v>
      </c>
      <c r="D2194">
        <f t="shared" si="88"/>
        <v>2006</v>
      </c>
      <c r="E2194">
        <f t="shared" si="89"/>
        <v>8</v>
      </c>
    </row>
    <row r="2195" spans="1:5" x14ac:dyDescent="0.3">
      <c r="A2195" t="s">
        <v>2320</v>
      </c>
      <c r="B2195" t="s">
        <v>127</v>
      </c>
      <c r="C2195">
        <v>126</v>
      </c>
      <c r="D2195">
        <f t="shared" si="88"/>
        <v>2006</v>
      </c>
      <c r="E2195">
        <f t="shared" si="89"/>
        <v>8</v>
      </c>
    </row>
    <row r="2196" spans="1:5" x14ac:dyDescent="0.3">
      <c r="A2196" t="s">
        <v>2321</v>
      </c>
      <c r="B2196" t="s">
        <v>127</v>
      </c>
      <c r="C2196">
        <v>129</v>
      </c>
      <c r="D2196">
        <f t="shared" si="88"/>
        <v>2006</v>
      </c>
      <c r="E2196">
        <f t="shared" si="89"/>
        <v>8</v>
      </c>
    </row>
    <row r="2197" spans="1:5" x14ac:dyDescent="0.3">
      <c r="A2197" t="s">
        <v>2322</v>
      </c>
      <c r="B2197" t="s">
        <v>127</v>
      </c>
      <c r="C2197">
        <v>129</v>
      </c>
      <c r="D2197">
        <f t="shared" si="88"/>
        <v>2006</v>
      </c>
      <c r="E2197">
        <f t="shared" si="89"/>
        <v>8</v>
      </c>
    </row>
    <row r="2198" spans="1:5" x14ac:dyDescent="0.3">
      <c r="A2198" t="s">
        <v>2323</v>
      </c>
      <c r="B2198" t="s">
        <v>127</v>
      </c>
      <c r="C2198">
        <v>127</v>
      </c>
      <c r="D2198">
        <f t="shared" si="88"/>
        <v>2006</v>
      </c>
      <c r="E2198">
        <f t="shared" si="89"/>
        <v>8</v>
      </c>
    </row>
    <row r="2199" spans="1:5" x14ac:dyDescent="0.3">
      <c r="A2199" t="s">
        <v>2324</v>
      </c>
      <c r="B2199" t="s">
        <v>127</v>
      </c>
      <c r="C2199">
        <v>126</v>
      </c>
      <c r="D2199">
        <f t="shared" si="88"/>
        <v>2006</v>
      </c>
      <c r="E2199">
        <f t="shared" si="89"/>
        <v>8</v>
      </c>
    </row>
    <row r="2200" spans="1:5" x14ac:dyDescent="0.3">
      <c r="A2200" t="s">
        <v>2325</v>
      </c>
      <c r="B2200" t="s">
        <v>127</v>
      </c>
      <c r="C2200">
        <v>127</v>
      </c>
      <c r="D2200">
        <f t="shared" si="88"/>
        <v>2006</v>
      </c>
      <c r="E2200">
        <f t="shared" si="89"/>
        <v>8</v>
      </c>
    </row>
    <row r="2201" spans="1:5" x14ac:dyDescent="0.3">
      <c r="A2201" t="s">
        <v>2326</v>
      </c>
      <c r="B2201" t="s">
        <v>127</v>
      </c>
      <c r="C2201">
        <v>128</v>
      </c>
      <c r="D2201">
        <f t="shared" si="88"/>
        <v>2006</v>
      </c>
      <c r="E2201">
        <f t="shared" si="89"/>
        <v>8</v>
      </c>
    </row>
    <row r="2202" spans="1:5" x14ac:dyDescent="0.3">
      <c r="A2202" t="s">
        <v>2327</v>
      </c>
      <c r="B2202" t="s">
        <v>127</v>
      </c>
      <c r="C2202">
        <v>126</v>
      </c>
      <c r="D2202">
        <f t="shared" si="88"/>
        <v>2006</v>
      </c>
      <c r="E2202">
        <f t="shared" si="89"/>
        <v>8</v>
      </c>
    </row>
    <row r="2203" spans="1:5" x14ac:dyDescent="0.3">
      <c r="A2203" t="s">
        <v>2328</v>
      </c>
      <c r="B2203" t="s">
        <v>127</v>
      </c>
      <c r="C2203">
        <v>127</v>
      </c>
      <c r="D2203">
        <f t="shared" si="88"/>
        <v>2006</v>
      </c>
      <c r="E2203">
        <f t="shared" si="89"/>
        <v>8</v>
      </c>
    </row>
    <row r="2204" spans="1:5" x14ac:dyDescent="0.3">
      <c r="A2204" t="s">
        <v>2329</v>
      </c>
      <c r="B2204" t="s">
        <v>127</v>
      </c>
      <c r="C2204">
        <v>126</v>
      </c>
      <c r="D2204">
        <f t="shared" si="88"/>
        <v>2006</v>
      </c>
      <c r="E2204">
        <f t="shared" si="89"/>
        <v>8</v>
      </c>
    </row>
    <row r="2205" spans="1:5" x14ac:dyDescent="0.3">
      <c r="A2205" t="s">
        <v>2330</v>
      </c>
      <c r="B2205" t="s">
        <v>127</v>
      </c>
      <c r="C2205">
        <v>130</v>
      </c>
      <c r="D2205">
        <f t="shared" si="88"/>
        <v>2006</v>
      </c>
      <c r="E2205">
        <f t="shared" si="89"/>
        <v>8</v>
      </c>
    </row>
    <row r="2206" spans="1:5" x14ac:dyDescent="0.3">
      <c r="A2206" t="s">
        <v>2331</v>
      </c>
      <c r="B2206" t="s">
        <v>127</v>
      </c>
      <c r="C2206">
        <v>131</v>
      </c>
      <c r="D2206">
        <f t="shared" si="88"/>
        <v>2006</v>
      </c>
      <c r="E2206">
        <f t="shared" si="89"/>
        <v>9</v>
      </c>
    </row>
    <row r="2207" spans="1:5" x14ac:dyDescent="0.3">
      <c r="A2207" t="s">
        <v>2332</v>
      </c>
      <c r="B2207" t="s">
        <v>127</v>
      </c>
      <c r="C2207">
        <v>127</v>
      </c>
      <c r="D2207">
        <f t="shared" si="88"/>
        <v>2006</v>
      </c>
      <c r="E2207">
        <f t="shared" si="89"/>
        <v>9</v>
      </c>
    </row>
    <row r="2208" spans="1:5" x14ac:dyDescent="0.3">
      <c r="A2208" t="s">
        <v>2333</v>
      </c>
      <c r="B2208" t="s">
        <v>127</v>
      </c>
      <c r="C2208">
        <v>128</v>
      </c>
      <c r="D2208">
        <f t="shared" si="88"/>
        <v>2006</v>
      </c>
      <c r="E2208">
        <f t="shared" si="89"/>
        <v>9</v>
      </c>
    </row>
    <row r="2209" spans="1:5" x14ac:dyDescent="0.3">
      <c r="A2209" t="s">
        <v>2334</v>
      </c>
      <c r="B2209" t="s">
        <v>127</v>
      </c>
      <c r="C2209">
        <v>128</v>
      </c>
      <c r="D2209">
        <f t="shared" si="88"/>
        <v>2006</v>
      </c>
      <c r="E2209">
        <f t="shared" si="89"/>
        <v>9</v>
      </c>
    </row>
    <row r="2210" spans="1:5" x14ac:dyDescent="0.3">
      <c r="A2210" t="s">
        <v>2335</v>
      </c>
      <c r="B2210" t="s">
        <v>127</v>
      </c>
      <c r="C2210">
        <v>129</v>
      </c>
      <c r="D2210">
        <f t="shared" si="88"/>
        <v>2006</v>
      </c>
      <c r="E2210">
        <f t="shared" si="89"/>
        <v>9</v>
      </c>
    </row>
    <row r="2211" spans="1:5" x14ac:dyDescent="0.3">
      <c r="A2211" t="s">
        <v>2336</v>
      </c>
      <c r="B2211" t="s">
        <v>127</v>
      </c>
      <c r="C2211">
        <v>129</v>
      </c>
      <c r="D2211">
        <f t="shared" si="88"/>
        <v>2006</v>
      </c>
      <c r="E2211">
        <f t="shared" si="89"/>
        <v>9</v>
      </c>
    </row>
    <row r="2212" spans="1:5" x14ac:dyDescent="0.3">
      <c r="A2212" t="s">
        <v>2337</v>
      </c>
      <c r="B2212" t="s">
        <v>127</v>
      </c>
      <c r="C2212">
        <v>130</v>
      </c>
      <c r="D2212">
        <f t="shared" si="88"/>
        <v>2006</v>
      </c>
      <c r="E2212">
        <f t="shared" si="89"/>
        <v>9</v>
      </c>
    </row>
    <row r="2213" spans="1:5" x14ac:dyDescent="0.3">
      <c r="A2213" t="s">
        <v>2338</v>
      </c>
      <c r="B2213" t="s">
        <v>127</v>
      </c>
      <c r="C2213">
        <v>129</v>
      </c>
      <c r="D2213">
        <f t="shared" si="88"/>
        <v>2006</v>
      </c>
      <c r="E2213">
        <f t="shared" si="89"/>
        <v>9</v>
      </c>
    </row>
    <row r="2214" spans="1:5" x14ac:dyDescent="0.3">
      <c r="A2214" t="s">
        <v>2339</v>
      </c>
      <c r="B2214" t="s">
        <v>127</v>
      </c>
      <c r="C2214">
        <v>128</v>
      </c>
      <c r="D2214">
        <f t="shared" si="88"/>
        <v>2006</v>
      </c>
      <c r="E2214">
        <f t="shared" si="89"/>
        <v>9</v>
      </c>
    </row>
    <row r="2215" spans="1:5" x14ac:dyDescent="0.3">
      <c r="A2215" t="s">
        <v>2340</v>
      </c>
      <c r="B2215" t="s">
        <v>127</v>
      </c>
      <c r="C2215">
        <v>127</v>
      </c>
      <c r="D2215">
        <f t="shared" si="88"/>
        <v>2006</v>
      </c>
      <c r="E2215">
        <f t="shared" si="89"/>
        <v>9</v>
      </c>
    </row>
    <row r="2216" spans="1:5" x14ac:dyDescent="0.3">
      <c r="A2216" t="s">
        <v>2341</v>
      </c>
      <c r="B2216" t="s">
        <v>127</v>
      </c>
      <c r="C2216">
        <v>127</v>
      </c>
      <c r="D2216">
        <f t="shared" si="88"/>
        <v>2006</v>
      </c>
      <c r="E2216">
        <f t="shared" si="89"/>
        <v>9</v>
      </c>
    </row>
    <row r="2217" spans="1:5" x14ac:dyDescent="0.3">
      <c r="A2217" t="s">
        <v>2342</v>
      </c>
      <c r="B2217" t="s">
        <v>127</v>
      </c>
      <c r="C2217">
        <v>133</v>
      </c>
      <c r="D2217">
        <f t="shared" si="88"/>
        <v>2006</v>
      </c>
      <c r="E2217">
        <f t="shared" si="89"/>
        <v>9</v>
      </c>
    </row>
    <row r="2218" spans="1:5" x14ac:dyDescent="0.3">
      <c r="A2218" t="s">
        <v>2343</v>
      </c>
      <c r="B2218" t="s">
        <v>127</v>
      </c>
      <c r="C2218">
        <v>134</v>
      </c>
      <c r="D2218">
        <f t="shared" si="88"/>
        <v>2006</v>
      </c>
      <c r="E2218">
        <f t="shared" si="89"/>
        <v>9</v>
      </c>
    </row>
    <row r="2219" spans="1:5" x14ac:dyDescent="0.3">
      <c r="A2219" t="s">
        <v>2344</v>
      </c>
      <c r="B2219" t="s">
        <v>127</v>
      </c>
      <c r="C2219">
        <v>142</v>
      </c>
      <c r="D2219">
        <f t="shared" si="88"/>
        <v>2006</v>
      </c>
      <c r="E2219">
        <f t="shared" si="89"/>
        <v>9</v>
      </c>
    </row>
    <row r="2220" spans="1:5" x14ac:dyDescent="0.3">
      <c r="A2220" t="s">
        <v>2345</v>
      </c>
      <c r="B2220" t="s">
        <v>127</v>
      </c>
      <c r="C2220">
        <v>143</v>
      </c>
      <c r="D2220">
        <f t="shared" si="88"/>
        <v>2006</v>
      </c>
      <c r="E2220">
        <f t="shared" si="89"/>
        <v>9</v>
      </c>
    </row>
    <row r="2221" spans="1:5" x14ac:dyDescent="0.3">
      <c r="A2221" t="s">
        <v>2346</v>
      </c>
      <c r="B2221" t="s">
        <v>127</v>
      </c>
      <c r="C2221">
        <v>144</v>
      </c>
      <c r="D2221">
        <f t="shared" si="88"/>
        <v>2006</v>
      </c>
      <c r="E2221">
        <f t="shared" si="89"/>
        <v>9</v>
      </c>
    </row>
    <row r="2222" spans="1:5" x14ac:dyDescent="0.3">
      <c r="A2222" t="s">
        <v>2347</v>
      </c>
      <c r="B2222" t="s">
        <v>127</v>
      </c>
      <c r="C2222">
        <v>141</v>
      </c>
      <c r="D2222">
        <f t="shared" si="88"/>
        <v>2006</v>
      </c>
      <c r="E2222">
        <f t="shared" si="89"/>
        <v>9</v>
      </c>
    </row>
    <row r="2223" spans="1:5" x14ac:dyDescent="0.3">
      <c r="A2223" t="s">
        <v>2348</v>
      </c>
      <c r="B2223" t="s">
        <v>127</v>
      </c>
      <c r="C2223">
        <v>140</v>
      </c>
      <c r="D2223">
        <f t="shared" si="88"/>
        <v>2006</v>
      </c>
      <c r="E2223">
        <f t="shared" si="89"/>
        <v>9</v>
      </c>
    </row>
    <row r="2224" spans="1:5" x14ac:dyDescent="0.3">
      <c r="A2224" t="s">
        <v>2349</v>
      </c>
      <c r="B2224" t="s">
        <v>127</v>
      </c>
      <c r="C2224">
        <v>139</v>
      </c>
      <c r="D2224">
        <f t="shared" si="88"/>
        <v>2006</v>
      </c>
      <c r="E2224">
        <f t="shared" si="89"/>
        <v>9</v>
      </c>
    </row>
    <row r="2225" spans="1:5" x14ac:dyDescent="0.3">
      <c r="A2225" t="s">
        <v>2350</v>
      </c>
      <c r="B2225" t="s">
        <v>127</v>
      </c>
      <c r="C2225">
        <v>141</v>
      </c>
      <c r="D2225">
        <f t="shared" si="88"/>
        <v>2006</v>
      </c>
      <c r="E2225">
        <f t="shared" si="89"/>
        <v>9</v>
      </c>
    </row>
    <row r="2226" spans="1:5" x14ac:dyDescent="0.3">
      <c r="A2226" t="s">
        <v>2351</v>
      </c>
      <c r="B2226" t="s">
        <v>127</v>
      </c>
      <c r="C2226">
        <v>142</v>
      </c>
      <c r="D2226">
        <f t="shared" si="88"/>
        <v>2006</v>
      </c>
      <c r="E2226">
        <f t="shared" si="89"/>
        <v>10</v>
      </c>
    </row>
    <row r="2227" spans="1:5" x14ac:dyDescent="0.3">
      <c r="A2227" t="s">
        <v>2352</v>
      </c>
      <c r="B2227" t="s">
        <v>127</v>
      </c>
      <c r="C2227">
        <v>141</v>
      </c>
      <c r="D2227">
        <f t="shared" si="88"/>
        <v>2006</v>
      </c>
      <c r="E2227">
        <f t="shared" si="89"/>
        <v>10</v>
      </c>
    </row>
    <row r="2228" spans="1:5" x14ac:dyDescent="0.3">
      <c r="A2228" t="s">
        <v>2353</v>
      </c>
      <c r="B2228" t="s">
        <v>127</v>
      </c>
      <c r="C2228">
        <v>141</v>
      </c>
      <c r="D2228">
        <f t="shared" si="88"/>
        <v>2006</v>
      </c>
      <c r="E2228">
        <f t="shared" si="89"/>
        <v>10</v>
      </c>
    </row>
    <row r="2229" spans="1:5" x14ac:dyDescent="0.3">
      <c r="A2229" t="s">
        <v>2354</v>
      </c>
      <c r="B2229" t="s">
        <v>127</v>
      </c>
      <c r="C2229">
        <v>139</v>
      </c>
      <c r="D2229">
        <f t="shared" si="88"/>
        <v>2006</v>
      </c>
      <c r="E2229">
        <f t="shared" si="89"/>
        <v>10</v>
      </c>
    </row>
    <row r="2230" spans="1:5" x14ac:dyDescent="0.3">
      <c r="A2230" t="s">
        <v>2355</v>
      </c>
      <c r="B2230" t="s">
        <v>127</v>
      </c>
      <c r="C2230">
        <v>133</v>
      </c>
      <c r="D2230">
        <f t="shared" si="88"/>
        <v>2006</v>
      </c>
      <c r="E2230">
        <f t="shared" si="89"/>
        <v>10</v>
      </c>
    </row>
    <row r="2231" spans="1:5" x14ac:dyDescent="0.3">
      <c r="A2231" t="s">
        <v>2356</v>
      </c>
      <c r="B2231" t="s">
        <v>127</v>
      </c>
      <c r="C2231">
        <v>130</v>
      </c>
      <c r="D2231">
        <f t="shared" si="88"/>
        <v>2006</v>
      </c>
      <c r="E2231">
        <f t="shared" si="89"/>
        <v>10</v>
      </c>
    </row>
    <row r="2232" spans="1:5" x14ac:dyDescent="0.3">
      <c r="A2232" t="s">
        <v>2357</v>
      </c>
      <c r="B2232" t="s">
        <v>127</v>
      </c>
      <c r="C2232">
        <v>129</v>
      </c>
      <c r="D2232">
        <f t="shared" si="88"/>
        <v>2006</v>
      </c>
      <c r="E2232">
        <f t="shared" si="89"/>
        <v>10</v>
      </c>
    </row>
    <row r="2233" spans="1:5" x14ac:dyDescent="0.3">
      <c r="A2233" t="s">
        <v>2358</v>
      </c>
      <c r="B2233" t="s">
        <v>127</v>
      </c>
      <c r="C2233">
        <v>129</v>
      </c>
      <c r="D2233">
        <f t="shared" si="88"/>
        <v>2006</v>
      </c>
      <c r="E2233">
        <f t="shared" si="89"/>
        <v>10</v>
      </c>
    </row>
    <row r="2234" spans="1:5" x14ac:dyDescent="0.3">
      <c r="A2234" t="s">
        <v>2359</v>
      </c>
      <c r="B2234" t="s">
        <v>127</v>
      </c>
      <c r="C2234">
        <v>128</v>
      </c>
      <c r="D2234">
        <f t="shared" si="88"/>
        <v>2006</v>
      </c>
      <c r="E2234">
        <f t="shared" si="89"/>
        <v>10</v>
      </c>
    </row>
    <row r="2235" spans="1:5" x14ac:dyDescent="0.3">
      <c r="A2235" t="s">
        <v>2360</v>
      </c>
      <c r="B2235" t="s">
        <v>127</v>
      </c>
      <c r="C2235">
        <v>129</v>
      </c>
      <c r="D2235">
        <f t="shared" si="88"/>
        <v>2006</v>
      </c>
      <c r="E2235">
        <f t="shared" si="89"/>
        <v>10</v>
      </c>
    </row>
    <row r="2236" spans="1:5" x14ac:dyDescent="0.3">
      <c r="A2236" t="s">
        <v>2361</v>
      </c>
      <c r="B2236" t="s">
        <v>127</v>
      </c>
      <c r="C2236">
        <v>128</v>
      </c>
      <c r="D2236">
        <f t="shared" si="88"/>
        <v>2006</v>
      </c>
      <c r="E2236">
        <f t="shared" si="89"/>
        <v>10</v>
      </c>
    </row>
    <row r="2237" spans="1:5" x14ac:dyDescent="0.3">
      <c r="A2237" t="s">
        <v>2362</v>
      </c>
      <c r="B2237" t="s">
        <v>127</v>
      </c>
      <c r="C2237">
        <v>127</v>
      </c>
      <c r="D2237">
        <f t="shared" si="88"/>
        <v>2006</v>
      </c>
      <c r="E2237">
        <f t="shared" si="89"/>
        <v>10</v>
      </c>
    </row>
    <row r="2238" spans="1:5" x14ac:dyDescent="0.3">
      <c r="A2238" t="s">
        <v>2363</v>
      </c>
      <c r="B2238" t="s">
        <v>127</v>
      </c>
      <c r="C2238">
        <v>126</v>
      </c>
      <c r="D2238">
        <f t="shared" si="88"/>
        <v>2006</v>
      </c>
      <c r="E2238">
        <f t="shared" si="89"/>
        <v>10</v>
      </c>
    </row>
    <row r="2239" spans="1:5" x14ac:dyDescent="0.3">
      <c r="A2239" t="s">
        <v>2364</v>
      </c>
      <c r="B2239" t="s">
        <v>127</v>
      </c>
      <c r="C2239">
        <v>127</v>
      </c>
      <c r="D2239">
        <f t="shared" si="88"/>
        <v>2006</v>
      </c>
      <c r="E2239">
        <f t="shared" si="89"/>
        <v>10</v>
      </c>
    </row>
    <row r="2240" spans="1:5" x14ac:dyDescent="0.3">
      <c r="A2240" t="s">
        <v>2365</v>
      </c>
      <c r="B2240" t="s">
        <v>127</v>
      </c>
      <c r="C2240">
        <v>126</v>
      </c>
      <c r="D2240">
        <f t="shared" si="88"/>
        <v>2006</v>
      </c>
      <c r="E2240">
        <f t="shared" si="89"/>
        <v>10</v>
      </c>
    </row>
    <row r="2241" spans="1:5" x14ac:dyDescent="0.3">
      <c r="A2241" t="s">
        <v>2366</v>
      </c>
      <c r="B2241" t="s">
        <v>127</v>
      </c>
      <c r="C2241">
        <v>125</v>
      </c>
      <c r="D2241">
        <f t="shared" si="88"/>
        <v>2006</v>
      </c>
      <c r="E2241">
        <f t="shared" si="89"/>
        <v>10</v>
      </c>
    </row>
    <row r="2242" spans="1:5" x14ac:dyDescent="0.3">
      <c r="A2242" t="s">
        <v>2367</v>
      </c>
      <c r="B2242" t="s">
        <v>127</v>
      </c>
      <c r="C2242">
        <v>125</v>
      </c>
      <c r="D2242">
        <f t="shared" si="88"/>
        <v>2006</v>
      </c>
      <c r="E2242">
        <f t="shared" si="89"/>
        <v>10</v>
      </c>
    </row>
    <row r="2243" spans="1:5" x14ac:dyDescent="0.3">
      <c r="A2243" t="s">
        <v>2368</v>
      </c>
      <c r="B2243" t="s">
        <v>127</v>
      </c>
      <c r="C2243">
        <v>126</v>
      </c>
      <c r="D2243">
        <f t="shared" ref="D2243:D2306" si="90">YEAR(A2243)</f>
        <v>2006</v>
      </c>
      <c r="E2243">
        <f t="shared" ref="E2243:E2306" si="91">MONTH(A2243)</f>
        <v>10</v>
      </c>
    </row>
    <row r="2244" spans="1:5" x14ac:dyDescent="0.3">
      <c r="A2244" t="s">
        <v>2369</v>
      </c>
      <c r="B2244" t="s">
        <v>127</v>
      </c>
      <c r="C2244">
        <v>128</v>
      </c>
      <c r="D2244">
        <f t="shared" si="90"/>
        <v>2006</v>
      </c>
      <c r="E2244">
        <f t="shared" si="91"/>
        <v>10</v>
      </c>
    </row>
    <row r="2245" spans="1:5" x14ac:dyDescent="0.3">
      <c r="A2245" t="s">
        <v>2370</v>
      </c>
      <c r="B2245" t="s">
        <v>127</v>
      </c>
      <c r="C2245">
        <v>129</v>
      </c>
      <c r="D2245">
        <f t="shared" si="90"/>
        <v>2006</v>
      </c>
      <c r="E2245">
        <f t="shared" si="91"/>
        <v>10</v>
      </c>
    </row>
    <row r="2246" spans="1:5" x14ac:dyDescent="0.3">
      <c r="A2246" t="s">
        <v>2371</v>
      </c>
      <c r="B2246" t="s">
        <v>127</v>
      </c>
      <c r="C2246">
        <v>132</v>
      </c>
      <c r="D2246">
        <f t="shared" si="90"/>
        <v>2006</v>
      </c>
      <c r="E2246">
        <f t="shared" si="91"/>
        <v>10</v>
      </c>
    </row>
    <row r="2247" spans="1:5" x14ac:dyDescent="0.3">
      <c r="A2247" t="s">
        <v>2372</v>
      </c>
      <c r="B2247" t="s">
        <v>127</v>
      </c>
      <c r="C2247">
        <v>133</v>
      </c>
      <c r="D2247">
        <f t="shared" si="90"/>
        <v>2006</v>
      </c>
      <c r="E2247">
        <f t="shared" si="91"/>
        <v>11</v>
      </c>
    </row>
    <row r="2248" spans="1:5" x14ac:dyDescent="0.3">
      <c r="A2248" t="s">
        <v>2373</v>
      </c>
      <c r="B2248" t="s">
        <v>127</v>
      </c>
      <c r="C2248">
        <v>132</v>
      </c>
      <c r="D2248">
        <f t="shared" si="90"/>
        <v>2006</v>
      </c>
      <c r="E2248">
        <f t="shared" si="91"/>
        <v>11</v>
      </c>
    </row>
    <row r="2249" spans="1:5" x14ac:dyDescent="0.3">
      <c r="A2249" t="s">
        <v>2374</v>
      </c>
      <c r="B2249" t="s">
        <v>127</v>
      </c>
      <c r="C2249">
        <v>127</v>
      </c>
      <c r="D2249">
        <f t="shared" si="90"/>
        <v>2006</v>
      </c>
      <c r="E2249">
        <f t="shared" si="91"/>
        <v>11</v>
      </c>
    </row>
    <row r="2250" spans="1:5" x14ac:dyDescent="0.3">
      <c r="A2250" t="s">
        <v>2375</v>
      </c>
      <c r="B2250" t="s">
        <v>127</v>
      </c>
      <c r="C2250">
        <v>127</v>
      </c>
      <c r="D2250">
        <f t="shared" si="90"/>
        <v>2006</v>
      </c>
      <c r="E2250">
        <f t="shared" si="91"/>
        <v>11</v>
      </c>
    </row>
    <row r="2251" spans="1:5" x14ac:dyDescent="0.3">
      <c r="A2251" t="s">
        <v>2376</v>
      </c>
      <c r="B2251" t="s">
        <v>127</v>
      </c>
      <c r="C2251">
        <v>128</v>
      </c>
      <c r="D2251">
        <f t="shared" si="90"/>
        <v>2006</v>
      </c>
      <c r="E2251">
        <f t="shared" si="91"/>
        <v>11</v>
      </c>
    </row>
    <row r="2252" spans="1:5" x14ac:dyDescent="0.3">
      <c r="A2252" t="s">
        <v>2377</v>
      </c>
      <c r="B2252" t="s">
        <v>127</v>
      </c>
      <c r="C2252">
        <v>130</v>
      </c>
      <c r="D2252">
        <f t="shared" si="90"/>
        <v>2006</v>
      </c>
      <c r="E2252">
        <f t="shared" si="91"/>
        <v>11</v>
      </c>
    </row>
    <row r="2253" spans="1:5" x14ac:dyDescent="0.3">
      <c r="A2253" t="s">
        <v>2378</v>
      </c>
      <c r="B2253" t="s">
        <v>127</v>
      </c>
      <c r="C2253">
        <v>130</v>
      </c>
      <c r="D2253">
        <f t="shared" si="90"/>
        <v>2006</v>
      </c>
      <c r="E2253">
        <f t="shared" si="91"/>
        <v>11</v>
      </c>
    </row>
    <row r="2254" spans="1:5" x14ac:dyDescent="0.3">
      <c r="A2254" t="s">
        <v>2379</v>
      </c>
      <c r="B2254" t="s">
        <v>127</v>
      </c>
      <c r="C2254">
        <v>132</v>
      </c>
      <c r="D2254">
        <f t="shared" si="90"/>
        <v>2006</v>
      </c>
      <c r="E2254">
        <f t="shared" si="91"/>
        <v>11</v>
      </c>
    </row>
    <row r="2255" spans="1:5" x14ac:dyDescent="0.3">
      <c r="A2255" t="s">
        <v>2380</v>
      </c>
      <c r="B2255" t="s">
        <v>127</v>
      </c>
      <c r="C2255">
        <v>132</v>
      </c>
      <c r="D2255">
        <f t="shared" si="90"/>
        <v>2006</v>
      </c>
      <c r="E2255">
        <f t="shared" si="91"/>
        <v>11</v>
      </c>
    </row>
    <row r="2256" spans="1:5" x14ac:dyDescent="0.3">
      <c r="A2256" t="s">
        <v>2381</v>
      </c>
      <c r="B2256" t="s">
        <v>127</v>
      </c>
      <c r="C2256">
        <v>131</v>
      </c>
      <c r="D2256">
        <f t="shared" si="90"/>
        <v>2006</v>
      </c>
      <c r="E2256">
        <f t="shared" si="91"/>
        <v>11</v>
      </c>
    </row>
    <row r="2257" spans="1:5" x14ac:dyDescent="0.3">
      <c r="A2257" t="s">
        <v>2382</v>
      </c>
      <c r="B2257" t="s">
        <v>127</v>
      </c>
      <c r="C2257">
        <v>129</v>
      </c>
      <c r="D2257">
        <f t="shared" si="90"/>
        <v>2006</v>
      </c>
      <c r="E2257">
        <f t="shared" si="91"/>
        <v>11</v>
      </c>
    </row>
    <row r="2258" spans="1:5" x14ac:dyDescent="0.3">
      <c r="A2258" t="s">
        <v>2383</v>
      </c>
      <c r="B2258" t="s">
        <v>127</v>
      </c>
      <c r="C2258">
        <v>129</v>
      </c>
      <c r="D2258">
        <f t="shared" si="90"/>
        <v>2006</v>
      </c>
      <c r="E2258">
        <f t="shared" si="91"/>
        <v>11</v>
      </c>
    </row>
    <row r="2259" spans="1:5" x14ac:dyDescent="0.3">
      <c r="A2259" t="s">
        <v>2384</v>
      </c>
      <c r="B2259" t="s">
        <v>127</v>
      </c>
      <c r="C2259">
        <v>131</v>
      </c>
      <c r="D2259">
        <f t="shared" si="90"/>
        <v>2006</v>
      </c>
      <c r="E2259">
        <f t="shared" si="91"/>
        <v>11</v>
      </c>
    </row>
    <row r="2260" spans="1:5" x14ac:dyDescent="0.3">
      <c r="A2260" t="s">
        <v>2385</v>
      </c>
      <c r="B2260" t="s">
        <v>127</v>
      </c>
      <c r="C2260">
        <v>133</v>
      </c>
      <c r="D2260">
        <f t="shared" si="90"/>
        <v>2006</v>
      </c>
      <c r="E2260">
        <f t="shared" si="91"/>
        <v>11</v>
      </c>
    </row>
    <row r="2261" spans="1:5" x14ac:dyDescent="0.3">
      <c r="A2261" t="s">
        <v>2386</v>
      </c>
      <c r="B2261" t="s">
        <v>127</v>
      </c>
      <c r="C2261">
        <v>133</v>
      </c>
      <c r="D2261">
        <f t="shared" si="90"/>
        <v>2006</v>
      </c>
      <c r="E2261">
        <f t="shared" si="91"/>
        <v>11</v>
      </c>
    </row>
    <row r="2262" spans="1:5" x14ac:dyDescent="0.3">
      <c r="A2262" t="s">
        <v>2387</v>
      </c>
      <c r="B2262" t="s">
        <v>127</v>
      </c>
      <c r="C2262">
        <v>134</v>
      </c>
      <c r="D2262">
        <f t="shared" si="90"/>
        <v>2006</v>
      </c>
      <c r="E2262">
        <f t="shared" si="91"/>
        <v>11</v>
      </c>
    </row>
    <row r="2263" spans="1:5" x14ac:dyDescent="0.3">
      <c r="A2263" t="s">
        <v>2388</v>
      </c>
      <c r="B2263" t="s">
        <v>127</v>
      </c>
      <c r="C2263">
        <v>135</v>
      </c>
      <c r="D2263">
        <f t="shared" si="90"/>
        <v>2006</v>
      </c>
      <c r="E2263">
        <f t="shared" si="91"/>
        <v>11</v>
      </c>
    </row>
    <row r="2264" spans="1:5" x14ac:dyDescent="0.3">
      <c r="A2264" t="s">
        <v>2389</v>
      </c>
      <c r="B2264" t="s">
        <v>127</v>
      </c>
      <c r="C2264">
        <v>138</v>
      </c>
      <c r="D2264">
        <f t="shared" si="90"/>
        <v>2006</v>
      </c>
      <c r="E2264">
        <f t="shared" si="91"/>
        <v>11</v>
      </c>
    </row>
    <row r="2265" spans="1:5" x14ac:dyDescent="0.3">
      <c r="A2265" t="s">
        <v>2390</v>
      </c>
      <c r="B2265" t="s">
        <v>127</v>
      </c>
      <c r="C2265">
        <v>140</v>
      </c>
      <c r="D2265">
        <f t="shared" si="90"/>
        <v>2006</v>
      </c>
      <c r="E2265">
        <f t="shared" si="91"/>
        <v>11</v>
      </c>
    </row>
    <row r="2266" spans="1:5" x14ac:dyDescent="0.3">
      <c r="A2266" t="s">
        <v>2391</v>
      </c>
      <c r="B2266" t="s">
        <v>127</v>
      </c>
      <c r="C2266">
        <v>137</v>
      </c>
      <c r="D2266">
        <f t="shared" si="90"/>
        <v>2006</v>
      </c>
      <c r="E2266">
        <f t="shared" si="91"/>
        <v>11</v>
      </c>
    </row>
    <row r="2267" spans="1:5" x14ac:dyDescent="0.3">
      <c r="A2267" t="s">
        <v>2392</v>
      </c>
      <c r="B2267" t="s">
        <v>127</v>
      </c>
      <c r="C2267">
        <v>140</v>
      </c>
      <c r="D2267">
        <f t="shared" si="90"/>
        <v>2006</v>
      </c>
      <c r="E2267">
        <f t="shared" si="91"/>
        <v>11</v>
      </c>
    </row>
    <row r="2268" spans="1:5" x14ac:dyDescent="0.3">
      <c r="A2268" t="s">
        <v>2393</v>
      </c>
      <c r="B2268" t="s">
        <v>127</v>
      </c>
      <c r="C2268">
        <v>141</v>
      </c>
      <c r="D2268">
        <f t="shared" si="90"/>
        <v>2006</v>
      </c>
      <c r="E2268">
        <f t="shared" si="91"/>
        <v>12</v>
      </c>
    </row>
    <row r="2269" spans="1:5" x14ac:dyDescent="0.3">
      <c r="A2269" t="s">
        <v>2394</v>
      </c>
      <c r="B2269" t="s">
        <v>127</v>
      </c>
      <c r="C2269">
        <v>137</v>
      </c>
      <c r="D2269">
        <f t="shared" si="90"/>
        <v>2006</v>
      </c>
      <c r="E2269">
        <f t="shared" si="91"/>
        <v>12</v>
      </c>
    </row>
    <row r="2270" spans="1:5" x14ac:dyDescent="0.3">
      <c r="A2270" t="s">
        <v>2395</v>
      </c>
      <c r="B2270" t="s">
        <v>127</v>
      </c>
      <c r="C2270">
        <v>133</v>
      </c>
      <c r="D2270">
        <f t="shared" si="90"/>
        <v>2006</v>
      </c>
      <c r="E2270">
        <f t="shared" si="91"/>
        <v>12</v>
      </c>
    </row>
    <row r="2271" spans="1:5" x14ac:dyDescent="0.3">
      <c r="A2271" t="s">
        <v>2396</v>
      </c>
      <c r="B2271" t="s">
        <v>127</v>
      </c>
      <c r="C2271">
        <v>127</v>
      </c>
      <c r="D2271">
        <f t="shared" si="90"/>
        <v>2006</v>
      </c>
      <c r="E2271">
        <f t="shared" si="91"/>
        <v>12</v>
      </c>
    </row>
    <row r="2272" spans="1:5" x14ac:dyDescent="0.3">
      <c r="A2272" t="s">
        <v>2397</v>
      </c>
      <c r="B2272" t="s">
        <v>127</v>
      </c>
      <c r="C2272">
        <v>128</v>
      </c>
      <c r="D2272">
        <f t="shared" si="90"/>
        <v>2006</v>
      </c>
      <c r="E2272">
        <f t="shared" si="91"/>
        <v>12</v>
      </c>
    </row>
    <row r="2273" spans="1:5" x14ac:dyDescent="0.3">
      <c r="A2273" t="s">
        <v>2398</v>
      </c>
      <c r="B2273" t="s">
        <v>127</v>
      </c>
      <c r="C2273">
        <v>124</v>
      </c>
      <c r="D2273">
        <f t="shared" si="90"/>
        <v>2006</v>
      </c>
      <c r="E2273">
        <f t="shared" si="91"/>
        <v>12</v>
      </c>
    </row>
    <row r="2274" spans="1:5" x14ac:dyDescent="0.3">
      <c r="A2274" t="s">
        <v>2399</v>
      </c>
      <c r="B2274" t="s">
        <v>127</v>
      </c>
      <c r="C2274">
        <v>127</v>
      </c>
      <c r="D2274">
        <f t="shared" si="90"/>
        <v>2006</v>
      </c>
      <c r="E2274">
        <f t="shared" si="91"/>
        <v>12</v>
      </c>
    </row>
    <row r="2275" spans="1:5" x14ac:dyDescent="0.3">
      <c r="A2275" t="s">
        <v>2400</v>
      </c>
      <c r="B2275" t="s">
        <v>127</v>
      </c>
      <c r="C2275">
        <v>128</v>
      </c>
      <c r="D2275">
        <f t="shared" si="90"/>
        <v>2006</v>
      </c>
      <c r="E2275">
        <f t="shared" si="91"/>
        <v>12</v>
      </c>
    </row>
    <row r="2276" spans="1:5" x14ac:dyDescent="0.3">
      <c r="A2276" t="s">
        <v>2401</v>
      </c>
      <c r="B2276" t="s">
        <v>127</v>
      </c>
      <c r="C2276">
        <v>123</v>
      </c>
      <c r="D2276">
        <f t="shared" si="90"/>
        <v>2006</v>
      </c>
      <c r="E2276">
        <f t="shared" si="91"/>
        <v>12</v>
      </c>
    </row>
    <row r="2277" spans="1:5" x14ac:dyDescent="0.3">
      <c r="A2277" t="s">
        <v>2402</v>
      </c>
      <c r="B2277" t="s">
        <v>127</v>
      </c>
      <c r="C2277">
        <v>121</v>
      </c>
      <c r="D2277">
        <f t="shared" si="90"/>
        <v>2006</v>
      </c>
      <c r="E2277">
        <f t="shared" si="91"/>
        <v>12</v>
      </c>
    </row>
    <row r="2278" spans="1:5" x14ac:dyDescent="0.3">
      <c r="A2278" t="s">
        <v>2403</v>
      </c>
      <c r="B2278" t="s">
        <v>127</v>
      </c>
      <c r="C2278">
        <v>120</v>
      </c>
      <c r="D2278">
        <f t="shared" si="90"/>
        <v>2006</v>
      </c>
      <c r="E2278">
        <f t="shared" si="91"/>
        <v>12</v>
      </c>
    </row>
    <row r="2279" spans="1:5" x14ac:dyDescent="0.3">
      <c r="A2279" t="s">
        <v>2404</v>
      </c>
      <c r="B2279" t="s">
        <v>127</v>
      </c>
      <c r="C2279">
        <v>122</v>
      </c>
      <c r="D2279">
        <f t="shared" si="90"/>
        <v>2006</v>
      </c>
      <c r="E2279">
        <f t="shared" si="91"/>
        <v>12</v>
      </c>
    </row>
    <row r="2280" spans="1:5" x14ac:dyDescent="0.3">
      <c r="A2280" t="s">
        <v>2405</v>
      </c>
      <c r="B2280" t="s">
        <v>127</v>
      </c>
      <c r="C2280">
        <v>121</v>
      </c>
      <c r="D2280">
        <f t="shared" si="90"/>
        <v>2006</v>
      </c>
      <c r="E2280">
        <f t="shared" si="91"/>
        <v>12</v>
      </c>
    </row>
    <row r="2281" spans="1:5" x14ac:dyDescent="0.3">
      <c r="A2281" t="s">
        <v>2406</v>
      </c>
      <c r="B2281" t="s">
        <v>127</v>
      </c>
      <c r="C2281">
        <v>121</v>
      </c>
      <c r="D2281">
        <f t="shared" si="90"/>
        <v>2006</v>
      </c>
      <c r="E2281">
        <f t="shared" si="91"/>
        <v>12</v>
      </c>
    </row>
    <row r="2282" spans="1:5" x14ac:dyDescent="0.3">
      <c r="A2282" t="s">
        <v>2407</v>
      </c>
      <c r="B2282" t="s">
        <v>127</v>
      </c>
      <c r="C2282">
        <v>121</v>
      </c>
      <c r="D2282">
        <f t="shared" si="90"/>
        <v>2006</v>
      </c>
      <c r="E2282">
        <f t="shared" si="91"/>
        <v>12</v>
      </c>
    </row>
    <row r="2283" spans="1:5" x14ac:dyDescent="0.3">
      <c r="A2283" t="s">
        <v>2408</v>
      </c>
      <c r="B2283" t="s">
        <v>127</v>
      </c>
      <c r="C2283">
        <v>120</v>
      </c>
      <c r="D2283">
        <f t="shared" si="90"/>
        <v>2006</v>
      </c>
      <c r="E2283">
        <f t="shared" si="91"/>
        <v>12</v>
      </c>
    </row>
    <row r="2284" spans="1:5" x14ac:dyDescent="0.3">
      <c r="A2284" t="s">
        <v>2409</v>
      </c>
      <c r="B2284" t="s">
        <v>127</v>
      </c>
      <c r="C2284">
        <v>122</v>
      </c>
      <c r="D2284">
        <f t="shared" si="90"/>
        <v>2006</v>
      </c>
      <c r="E2284">
        <f t="shared" si="91"/>
        <v>12</v>
      </c>
    </row>
    <row r="2285" spans="1:5" x14ac:dyDescent="0.3">
      <c r="A2285" t="s">
        <v>2410</v>
      </c>
      <c r="B2285" t="s">
        <v>127</v>
      </c>
      <c r="C2285">
        <v>119</v>
      </c>
      <c r="D2285">
        <f t="shared" si="90"/>
        <v>2006</v>
      </c>
      <c r="E2285">
        <f t="shared" si="91"/>
        <v>12</v>
      </c>
    </row>
    <row r="2286" spans="1:5" x14ac:dyDescent="0.3">
      <c r="A2286" t="s">
        <v>2411</v>
      </c>
      <c r="B2286" t="s">
        <v>127</v>
      </c>
      <c r="C2286">
        <v>115</v>
      </c>
      <c r="D2286">
        <f t="shared" si="90"/>
        <v>2006</v>
      </c>
      <c r="E2286">
        <f t="shared" si="91"/>
        <v>12</v>
      </c>
    </row>
    <row r="2287" spans="1:5" x14ac:dyDescent="0.3">
      <c r="A2287" t="s">
        <v>2412</v>
      </c>
      <c r="B2287" t="s">
        <v>127</v>
      </c>
      <c r="C2287">
        <v>115</v>
      </c>
      <c r="D2287">
        <f t="shared" si="90"/>
        <v>2006</v>
      </c>
      <c r="E2287">
        <f t="shared" si="91"/>
        <v>12</v>
      </c>
    </row>
    <row r="2288" spans="1:5" x14ac:dyDescent="0.3">
      <c r="A2288" t="s">
        <v>2413</v>
      </c>
      <c r="B2288" t="s">
        <v>127</v>
      </c>
      <c r="C2288">
        <v>118</v>
      </c>
      <c r="D2288">
        <f t="shared" si="90"/>
        <v>2007</v>
      </c>
      <c r="E2288">
        <f t="shared" si="91"/>
        <v>1</v>
      </c>
    </row>
    <row r="2289" spans="1:5" x14ac:dyDescent="0.3">
      <c r="A2289" t="s">
        <v>2414</v>
      </c>
      <c r="B2289" t="s">
        <v>127</v>
      </c>
      <c r="C2289">
        <v>119</v>
      </c>
      <c r="D2289">
        <f t="shared" si="90"/>
        <v>2007</v>
      </c>
      <c r="E2289">
        <f t="shared" si="91"/>
        <v>1</v>
      </c>
    </row>
    <row r="2290" spans="1:5" x14ac:dyDescent="0.3">
      <c r="A2290" t="s">
        <v>2415</v>
      </c>
      <c r="B2290" t="s">
        <v>127</v>
      </c>
      <c r="C2290">
        <v>122</v>
      </c>
      <c r="D2290">
        <f t="shared" si="90"/>
        <v>2007</v>
      </c>
      <c r="E2290">
        <f t="shared" si="91"/>
        <v>1</v>
      </c>
    </row>
    <row r="2291" spans="1:5" x14ac:dyDescent="0.3">
      <c r="A2291" t="s">
        <v>2416</v>
      </c>
      <c r="B2291" t="s">
        <v>127</v>
      </c>
      <c r="C2291">
        <v>123</v>
      </c>
      <c r="D2291">
        <f t="shared" si="90"/>
        <v>2007</v>
      </c>
      <c r="E2291">
        <f t="shared" si="91"/>
        <v>1</v>
      </c>
    </row>
    <row r="2292" spans="1:5" x14ac:dyDescent="0.3">
      <c r="A2292" t="s">
        <v>2417</v>
      </c>
      <c r="B2292" t="s">
        <v>127</v>
      </c>
      <c r="C2292">
        <v>121</v>
      </c>
      <c r="D2292">
        <f t="shared" si="90"/>
        <v>2007</v>
      </c>
      <c r="E2292">
        <f t="shared" si="91"/>
        <v>1</v>
      </c>
    </row>
    <row r="2293" spans="1:5" x14ac:dyDescent="0.3">
      <c r="A2293" t="s">
        <v>2418</v>
      </c>
      <c r="B2293" t="s">
        <v>127</v>
      </c>
      <c r="C2293">
        <v>122</v>
      </c>
      <c r="D2293">
        <f t="shared" si="90"/>
        <v>2007</v>
      </c>
      <c r="E2293">
        <f t="shared" si="91"/>
        <v>1</v>
      </c>
    </row>
    <row r="2294" spans="1:5" x14ac:dyDescent="0.3">
      <c r="A2294" t="s">
        <v>2419</v>
      </c>
      <c r="B2294" t="s">
        <v>127</v>
      </c>
      <c r="C2294">
        <v>121</v>
      </c>
      <c r="D2294">
        <f t="shared" si="90"/>
        <v>2007</v>
      </c>
      <c r="E2294">
        <f t="shared" si="91"/>
        <v>1</v>
      </c>
    </row>
    <row r="2295" spans="1:5" x14ac:dyDescent="0.3">
      <c r="A2295" t="s">
        <v>2420</v>
      </c>
      <c r="B2295" t="s">
        <v>127</v>
      </c>
      <c r="C2295">
        <v>122</v>
      </c>
      <c r="D2295">
        <f t="shared" si="90"/>
        <v>2007</v>
      </c>
      <c r="E2295">
        <f t="shared" si="91"/>
        <v>1</v>
      </c>
    </row>
    <row r="2296" spans="1:5" x14ac:dyDescent="0.3">
      <c r="A2296" t="s">
        <v>2421</v>
      </c>
      <c r="B2296" t="s">
        <v>127</v>
      </c>
      <c r="C2296">
        <v>120</v>
      </c>
      <c r="D2296">
        <f t="shared" si="90"/>
        <v>2007</v>
      </c>
      <c r="E2296">
        <f t="shared" si="91"/>
        <v>1</v>
      </c>
    </row>
    <row r="2297" spans="1:5" x14ac:dyDescent="0.3">
      <c r="A2297" t="s">
        <v>2422</v>
      </c>
      <c r="B2297" t="s">
        <v>127</v>
      </c>
      <c r="C2297">
        <v>121</v>
      </c>
      <c r="D2297">
        <f t="shared" si="90"/>
        <v>2007</v>
      </c>
      <c r="E2297">
        <f t="shared" si="91"/>
        <v>1</v>
      </c>
    </row>
    <row r="2298" spans="1:5" x14ac:dyDescent="0.3">
      <c r="A2298" t="s">
        <v>2423</v>
      </c>
      <c r="B2298" t="s">
        <v>127</v>
      </c>
      <c r="C2298">
        <v>117</v>
      </c>
      <c r="D2298">
        <f t="shared" si="90"/>
        <v>2007</v>
      </c>
      <c r="E2298">
        <f t="shared" si="91"/>
        <v>1</v>
      </c>
    </row>
    <row r="2299" spans="1:5" x14ac:dyDescent="0.3">
      <c r="A2299" t="s">
        <v>2424</v>
      </c>
      <c r="B2299" t="s">
        <v>127</v>
      </c>
      <c r="C2299">
        <v>121</v>
      </c>
      <c r="D2299">
        <f t="shared" si="90"/>
        <v>2007</v>
      </c>
      <c r="E2299">
        <f t="shared" si="91"/>
        <v>1</v>
      </c>
    </row>
    <row r="2300" spans="1:5" x14ac:dyDescent="0.3">
      <c r="A2300" t="s">
        <v>2425</v>
      </c>
      <c r="B2300" t="s">
        <v>127</v>
      </c>
      <c r="C2300">
        <v>118</v>
      </c>
      <c r="D2300">
        <f t="shared" si="90"/>
        <v>2007</v>
      </c>
      <c r="E2300">
        <f t="shared" si="91"/>
        <v>1</v>
      </c>
    </row>
    <row r="2301" spans="1:5" x14ac:dyDescent="0.3">
      <c r="A2301" t="s">
        <v>2426</v>
      </c>
      <c r="B2301" t="s">
        <v>127</v>
      </c>
      <c r="C2301">
        <v>118</v>
      </c>
      <c r="D2301">
        <f t="shared" si="90"/>
        <v>2007</v>
      </c>
      <c r="E2301">
        <f t="shared" si="91"/>
        <v>1</v>
      </c>
    </row>
    <row r="2302" spans="1:5" x14ac:dyDescent="0.3">
      <c r="A2302" t="s">
        <v>2427</v>
      </c>
      <c r="B2302" t="s">
        <v>127</v>
      </c>
      <c r="C2302">
        <v>115</v>
      </c>
      <c r="D2302">
        <f t="shared" si="90"/>
        <v>2007</v>
      </c>
      <c r="E2302">
        <f t="shared" si="91"/>
        <v>1</v>
      </c>
    </row>
    <row r="2303" spans="1:5" x14ac:dyDescent="0.3">
      <c r="A2303" t="s">
        <v>2428</v>
      </c>
      <c r="B2303" t="s">
        <v>127</v>
      </c>
      <c r="C2303">
        <v>115</v>
      </c>
      <c r="D2303">
        <f t="shared" si="90"/>
        <v>2007</v>
      </c>
      <c r="E2303">
        <f t="shared" si="91"/>
        <v>1</v>
      </c>
    </row>
    <row r="2304" spans="1:5" x14ac:dyDescent="0.3">
      <c r="A2304" t="s">
        <v>2429</v>
      </c>
      <c r="B2304" t="s">
        <v>127</v>
      </c>
      <c r="C2304">
        <v>114</v>
      </c>
      <c r="D2304">
        <f t="shared" si="90"/>
        <v>2007</v>
      </c>
      <c r="E2304">
        <f t="shared" si="91"/>
        <v>1</v>
      </c>
    </row>
    <row r="2305" spans="1:5" x14ac:dyDescent="0.3">
      <c r="A2305" t="s">
        <v>2430</v>
      </c>
      <c r="B2305" t="s">
        <v>127</v>
      </c>
      <c r="C2305">
        <v>114</v>
      </c>
      <c r="D2305">
        <f t="shared" si="90"/>
        <v>2007</v>
      </c>
      <c r="E2305">
        <f t="shared" si="91"/>
        <v>1</v>
      </c>
    </row>
    <row r="2306" spans="1:5" x14ac:dyDescent="0.3">
      <c r="A2306" t="s">
        <v>2431</v>
      </c>
      <c r="B2306" t="s">
        <v>127</v>
      </c>
      <c r="C2306">
        <v>116</v>
      </c>
      <c r="D2306">
        <f t="shared" si="90"/>
        <v>2007</v>
      </c>
      <c r="E2306">
        <f t="shared" si="91"/>
        <v>1</v>
      </c>
    </row>
    <row r="2307" spans="1:5" x14ac:dyDescent="0.3">
      <c r="A2307" t="s">
        <v>2432</v>
      </c>
      <c r="B2307" t="s">
        <v>127</v>
      </c>
      <c r="C2307">
        <v>119</v>
      </c>
      <c r="D2307">
        <f t="shared" ref="D2307:D2370" si="92">YEAR(A2307)</f>
        <v>2007</v>
      </c>
      <c r="E2307">
        <f t="shared" ref="E2307:E2370" si="93">MONTH(A2307)</f>
        <v>1</v>
      </c>
    </row>
    <row r="2308" spans="1:5" x14ac:dyDescent="0.3">
      <c r="A2308" t="s">
        <v>2433</v>
      </c>
      <c r="B2308" t="s">
        <v>127</v>
      </c>
      <c r="C2308">
        <v>124</v>
      </c>
      <c r="D2308">
        <f t="shared" si="92"/>
        <v>2007</v>
      </c>
      <c r="E2308">
        <f t="shared" si="93"/>
        <v>1</v>
      </c>
    </row>
    <row r="2309" spans="1:5" x14ac:dyDescent="0.3">
      <c r="A2309" t="s">
        <v>2434</v>
      </c>
      <c r="B2309" t="s">
        <v>127</v>
      </c>
      <c r="C2309">
        <v>119</v>
      </c>
      <c r="D2309">
        <f t="shared" si="92"/>
        <v>2007</v>
      </c>
      <c r="E2309">
        <f t="shared" si="93"/>
        <v>2</v>
      </c>
    </row>
    <row r="2310" spans="1:5" x14ac:dyDescent="0.3">
      <c r="A2310" t="s">
        <v>2435</v>
      </c>
      <c r="B2310" t="s">
        <v>127</v>
      </c>
      <c r="C2310">
        <v>118</v>
      </c>
      <c r="D2310">
        <f t="shared" si="92"/>
        <v>2007</v>
      </c>
      <c r="E2310">
        <f t="shared" si="93"/>
        <v>2</v>
      </c>
    </row>
    <row r="2311" spans="1:5" x14ac:dyDescent="0.3">
      <c r="A2311" t="s">
        <v>2436</v>
      </c>
      <c r="B2311" t="s">
        <v>127</v>
      </c>
      <c r="C2311">
        <v>116</v>
      </c>
      <c r="D2311">
        <f t="shared" si="92"/>
        <v>2007</v>
      </c>
      <c r="E2311">
        <f t="shared" si="93"/>
        <v>2</v>
      </c>
    </row>
    <row r="2312" spans="1:5" x14ac:dyDescent="0.3">
      <c r="A2312" t="s">
        <v>2437</v>
      </c>
      <c r="B2312" t="s">
        <v>127</v>
      </c>
      <c r="C2312">
        <v>118</v>
      </c>
      <c r="D2312">
        <f t="shared" si="92"/>
        <v>2007</v>
      </c>
      <c r="E2312">
        <f t="shared" si="93"/>
        <v>2</v>
      </c>
    </row>
    <row r="2313" spans="1:5" x14ac:dyDescent="0.3">
      <c r="A2313" t="s">
        <v>2438</v>
      </c>
      <c r="B2313" t="s">
        <v>127</v>
      </c>
      <c r="C2313">
        <v>120</v>
      </c>
      <c r="D2313">
        <f t="shared" si="92"/>
        <v>2007</v>
      </c>
      <c r="E2313">
        <f t="shared" si="93"/>
        <v>2</v>
      </c>
    </row>
    <row r="2314" spans="1:5" x14ac:dyDescent="0.3">
      <c r="A2314" t="s">
        <v>2439</v>
      </c>
      <c r="B2314" t="s">
        <v>127</v>
      </c>
      <c r="C2314">
        <v>121</v>
      </c>
      <c r="D2314">
        <f t="shared" si="92"/>
        <v>2007</v>
      </c>
      <c r="E2314">
        <f t="shared" si="93"/>
        <v>2</v>
      </c>
    </row>
    <row r="2315" spans="1:5" x14ac:dyDescent="0.3">
      <c r="A2315" t="s">
        <v>2440</v>
      </c>
      <c r="B2315" t="s">
        <v>127</v>
      </c>
      <c r="C2315">
        <v>120</v>
      </c>
      <c r="D2315">
        <f t="shared" si="92"/>
        <v>2007</v>
      </c>
      <c r="E2315">
        <f t="shared" si="93"/>
        <v>2</v>
      </c>
    </row>
    <row r="2316" spans="1:5" x14ac:dyDescent="0.3">
      <c r="A2316" t="s">
        <v>2441</v>
      </c>
      <c r="B2316" t="s">
        <v>127</v>
      </c>
      <c r="C2316">
        <v>120</v>
      </c>
      <c r="D2316">
        <f t="shared" si="92"/>
        <v>2007</v>
      </c>
      <c r="E2316">
        <f t="shared" si="93"/>
        <v>2</v>
      </c>
    </row>
    <row r="2317" spans="1:5" x14ac:dyDescent="0.3">
      <c r="A2317" t="s">
        <v>2442</v>
      </c>
      <c r="B2317" t="s">
        <v>127</v>
      </c>
      <c r="C2317">
        <v>120</v>
      </c>
      <c r="D2317">
        <f t="shared" si="92"/>
        <v>2007</v>
      </c>
      <c r="E2317">
        <f t="shared" si="93"/>
        <v>2</v>
      </c>
    </row>
    <row r="2318" spans="1:5" x14ac:dyDescent="0.3">
      <c r="A2318" t="s">
        <v>2443</v>
      </c>
      <c r="B2318" t="s">
        <v>127</v>
      </c>
      <c r="C2318">
        <v>121</v>
      </c>
      <c r="D2318">
        <f t="shared" si="92"/>
        <v>2007</v>
      </c>
      <c r="E2318">
        <f t="shared" si="93"/>
        <v>2</v>
      </c>
    </row>
    <row r="2319" spans="1:5" x14ac:dyDescent="0.3">
      <c r="A2319" t="s">
        <v>2444</v>
      </c>
      <c r="B2319" t="s">
        <v>127</v>
      </c>
      <c r="C2319">
        <v>121</v>
      </c>
      <c r="D2319">
        <f t="shared" si="92"/>
        <v>2007</v>
      </c>
      <c r="E2319">
        <f t="shared" si="93"/>
        <v>2</v>
      </c>
    </row>
    <row r="2320" spans="1:5" x14ac:dyDescent="0.3">
      <c r="A2320" t="s">
        <v>2445</v>
      </c>
      <c r="B2320" t="s">
        <v>127</v>
      </c>
      <c r="C2320">
        <v>122</v>
      </c>
      <c r="D2320">
        <f t="shared" si="92"/>
        <v>2007</v>
      </c>
      <c r="E2320">
        <f t="shared" si="93"/>
        <v>2</v>
      </c>
    </row>
    <row r="2321" spans="1:5" x14ac:dyDescent="0.3">
      <c r="A2321" t="s">
        <v>2446</v>
      </c>
      <c r="B2321" t="s">
        <v>127</v>
      </c>
      <c r="C2321">
        <v>122</v>
      </c>
      <c r="D2321">
        <f t="shared" si="92"/>
        <v>2007</v>
      </c>
      <c r="E2321">
        <f t="shared" si="93"/>
        <v>2</v>
      </c>
    </row>
    <row r="2322" spans="1:5" x14ac:dyDescent="0.3">
      <c r="A2322" t="s">
        <v>2447</v>
      </c>
      <c r="B2322" t="s">
        <v>127</v>
      </c>
      <c r="C2322">
        <v>121</v>
      </c>
      <c r="D2322">
        <f t="shared" si="92"/>
        <v>2007</v>
      </c>
      <c r="E2322">
        <f t="shared" si="93"/>
        <v>2</v>
      </c>
    </row>
    <row r="2323" spans="1:5" x14ac:dyDescent="0.3">
      <c r="A2323" t="s">
        <v>2448</v>
      </c>
      <c r="B2323" t="s">
        <v>127</v>
      </c>
      <c r="C2323">
        <v>119</v>
      </c>
      <c r="D2323">
        <f t="shared" si="92"/>
        <v>2007</v>
      </c>
      <c r="E2323">
        <f t="shared" si="93"/>
        <v>2</v>
      </c>
    </row>
    <row r="2324" spans="1:5" x14ac:dyDescent="0.3">
      <c r="A2324" t="s">
        <v>2449</v>
      </c>
      <c r="B2324" t="s">
        <v>127</v>
      </c>
      <c r="C2324">
        <v>122</v>
      </c>
      <c r="D2324">
        <f t="shared" si="92"/>
        <v>2007</v>
      </c>
      <c r="E2324">
        <f t="shared" si="93"/>
        <v>2</v>
      </c>
    </row>
    <row r="2325" spans="1:5" x14ac:dyDescent="0.3">
      <c r="A2325" t="s">
        <v>2450</v>
      </c>
      <c r="B2325" t="s">
        <v>127</v>
      </c>
      <c r="C2325">
        <v>125</v>
      </c>
      <c r="D2325">
        <f t="shared" si="92"/>
        <v>2007</v>
      </c>
      <c r="E2325">
        <f t="shared" si="93"/>
        <v>2</v>
      </c>
    </row>
    <row r="2326" spans="1:5" x14ac:dyDescent="0.3">
      <c r="A2326" t="s">
        <v>2451</v>
      </c>
      <c r="B2326" t="s">
        <v>127</v>
      </c>
      <c r="C2326">
        <v>140</v>
      </c>
      <c r="D2326">
        <f t="shared" si="92"/>
        <v>2007</v>
      </c>
      <c r="E2326">
        <f t="shared" si="93"/>
        <v>2</v>
      </c>
    </row>
    <row r="2327" spans="1:5" x14ac:dyDescent="0.3">
      <c r="A2327" t="s">
        <v>2452</v>
      </c>
      <c r="B2327" t="s">
        <v>127</v>
      </c>
      <c r="C2327">
        <v>132</v>
      </c>
      <c r="D2327">
        <f t="shared" si="92"/>
        <v>2007</v>
      </c>
      <c r="E2327">
        <f t="shared" si="93"/>
        <v>2</v>
      </c>
    </row>
    <row r="2328" spans="1:5" x14ac:dyDescent="0.3">
      <c r="A2328" t="s">
        <v>2453</v>
      </c>
      <c r="B2328" t="s">
        <v>127</v>
      </c>
      <c r="C2328">
        <v>133</v>
      </c>
      <c r="D2328">
        <f t="shared" si="92"/>
        <v>2007</v>
      </c>
      <c r="E2328">
        <f t="shared" si="93"/>
        <v>3</v>
      </c>
    </row>
    <row r="2329" spans="1:5" x14ac:dyDescent="0.3">
      <c r="A2329" t="s">
        <v>2454</v>
      </c>
      <c r="B2329" t="s">
        <v>127</v>
      </c>
      <c r="C2329">
        <v>137</v>
      </c>
      <c r="D2329">
        <f t="shared" si="92"/>
        <v>2007</v>
      </c>
      <c r="E2329">
        <f t="shared" si="93"/>
        <v>3</v>
      </c>
    </row>
    <row r="2330" spans="1:5" x14ac:dyDescent="0.3">
      <c r="A2330" t="s">
        <v>2455</v>
      </c>
      <c r="B2330" t="s">
        <v>127</v>
      </c>
      <c r="C2330">
        <v>138</v>
      </c>
      <c r="D2330">
        <f t="shared" si="92"/>
        <v>2007</v>
      </c>
      <c r="E2330">
        <f t="shared" si="93"/>
        <v>3</v>
      </c>
    </row>
    <row r="2331" spans="1:5" x14ac:dyDescent="0.3">
      <c r="A2331" t="s">
        <v>2456</v>
      </c>
      <c r="B2331" t="s">
        <v>127</v>
      </c>
      <c r="C2331">
        <v>135</v>
      </c>
      <c r="D2331">
        <f t="shared" si="92"/>
        <v>2007</v>
      </c>
      <c r="E2331">
        <f t="shared" si="93"/>
        <v>3</v>
      </c>
    </row>
    <row r="2332" spans="1:5" x14ac:dyDescent="0.3">
      <c r="A2332" t="s">
        <v>2457</v>
      </c>
      <c r="B2332" t="s">
        <v>127</v>
      </c>
      <c r="C2332">
        <v>136</v>
      </c>
      <c r="D2332">
        <f t="shared" si="92"/>
        <v>2007</v>
      </c>
      <c r="E2332">
        <f t="shared" si="93"/>
        <v>3</v>
      </c>
    </row>
    <row r="2333" spans="1:5" x14ac:dyDescent="0.3">
      <c r="A2333" t="s">
        <v>2458</v>
      </c>
      <c r="B2333" t="s">
        <v>127</v>
      </c>
      <c r="C2333">
        <v>134</v>
      </c>
      <c r="D2333">
        <f t="shared" si="92"/>
        <v>2007</v>
      </c>
      <c r="E2333">
        <f t="shared" si="93"/>
        <v>3</v>
      </c>
    </row>
    <row r="2334" spans="1:5" x14ac:dyDescent="0.3">
      <c r="A2334" t="s">
        <v>2459</v>
      </c>
      <c r="B2334" t="s">
        <v>127</v>
      </c>
      <c r="C2334">
        <v>129</v>
      </c>
      <c r="D2334">
        <f t="shared" si="92"/>
        <v>2007</v>
      </c>
      <c r="E2334">
        <f t="shared" si="93"/>
        <v>3</v>
      </c>
    </row>
    <row r="2335" spans="1:5" x14ac:dyDescent="0.3">
      <c r="A2335" t="s">
        <v>2460</v>
      </c>
      <c r="B2335" t="s">
        <v>127</v>
      </c>
      <c r="C2335">
        <v>128</v>
      </c>
      <c r="D2335">
        <f t="shared" si="92"/>
        <v>2007</v>
      </c>
      <c r="E2335">
        <f t="shared" si="93"/>
        <v>3</v>
      </c>
    </row>
    <row r="2336" spans="1:5" x14ac:dyDescent="0.3">
      <c r="A2336" t="s">
        <v>2461</v>
      </c>
      <c r="B2336" t="s">
        <v>127</v>
      </c>
      <c r="C2336">
        <v>132</v>
      </c>
      <c r="D2336">
        <f t="shared" si="92"/>
        <v>2007</v>
      </c>
      <c r="E2336">
        <f t="shared" si="93"/>
        <v>3</v>
      </c>
    </row>
    <row r="2337" spans="1:5" x14ac:dyDescent="0.3">
      <c r="A2337" t="s">
        <v>2462</v>
      </c>
      <c r="B2337" t="s">
        <v>127</v>
      </c>
      <c r="C2337">
        <v>129</v>
      </c>
      <c r="D2337">
        <f t="shared" si="92"/>
        <v>2007</v>
      </c>
      <c r="E2337">
        <f t="shared" si="93"/>
        <v>3</v>
      </c>
    </row>
    <row r="2338" spans="1:5" x14ac:dyDescent="0.3">
      <c r="A2338" t="s">
        <v>2463</v>
      </c>
      <c r="B2338" t="s">
        <v>127</v>
      </c>
      <c r="C2338">
        <v>128</v>
      </c>
      <c r="D2338">
        <f t="shared" si="92"/>
        <v>2007</v>
      </c>
      <c r="E2338">
        <f t="shared" si="93"/>
        <v>3</v>
      </c>
    </row>
    <row r="2339" spans="1:5" x14ac:dyDescent="0.3">
      <c r="A2339" t="s">
        <v>2464</v>
      </c>
      <c r="B2339" t="s">
        <v>127</v>
      </c>
      <c r="C2339">
        <v>125</v>
      </c>
      <c r="D2339">
        <f t="shared" si="92"/>
        <v>2007</v>
      </c>
      <c r="E2339">
        <f t="shared" si="93"/>
        <v>3</v>
      </c>
    </row>
    <row r="2340" spans="1:5" x14ac:dyDescent="0.3">
      <c r="A2340" t="s">
        <v>2465</v>
      </c>
      <c r="B2340" t="s">
        <v>127</v>
      </c>
      <c r="C2340">
        <v>123</v>
      </c>
      <c r="D2340">
        <f t="shared" si="92"/>
        <v>2007</v>
      </c>
      <c r="E2340">
        <f t="shared" si="93"/>
        <v>3</v>
      </c>
    </row>
    <row r="2341" spans="1:5" x14ac:dyDescent="0.3">
      <c r="A2341" t="s">
        <v>2466</v>
      </c>
      <c r="B2341" t="s">
        <v>127</v>
      </c>
      <c r="C2341">
        <v>124</v>
      </c>
      <c r="D2341">
        <f t="shared" si="92"/>
        <v>2007</v>
      </c>
      <c r="E2341">
        <f t="shared" si="93"/>
        <v>3</v>
      </c>
    </row>
    <row r="2342" spans="1:5" x14ac:dyDescent="0.3">
      <c r="A2342" t="s">
        <v>2467</v>
      </c>
      <c r="B2342" t="s">
        <v>127</v>
      </c>
      <c r="C2342">
        <v>124</v>
      </c>
      <c r="D2342">
        <f t="shared" si="92"/>
        <v>2007</v>
      </c>
      <c r="E2342">
        <f t="shared" si="93"/>
        <v>3</v>
      </c>
    </row>
    <row r="2343" spans="1:5" x14ac:dyDescent="0.3">
      <c r="A2343" t="s">
        <v>2468</v>
      </c>
      <c r="B2343" t="s">
        <v>127</v>
      </c>
      <c r="C2343">
        <v>120</v>
      </c>
      <c r="D2343">
        <f t="shared" si="92"/>
        <v>2007</v>
      </c>
      <c r="E2343">
        <f t="shared" si="93"/>
        <v>3</v>
      </c>
    </row>
    <row r="2344" spans="1:5" x14ac:dyDescent="0.3">
      <c r="A2344" t="s">
        <v>2469</v>
      </c>
      <c r="B2344" t="s">
        <v>127</v>
      </c>
      <c r="C2344">
        <v>119</v>
      </c>
      <c r="D2344">
        <f t="shared" si="92"/>
        <v>2007</v>
      </c>
      <c r="E2344">
        <f t="shared" si="93"/>
        <v>3</v>
      </c>
    </row>
    <row r="2345" spans="1:5" x14ac:dyDescent="0.3">
      <c r="A2345" t="s">
        <v>2470</v>
      </c>
      <c r="B2345" t="s">
        <v>127</v>
      </c>
      <c r="C2345">
        <v>121</v>
      </c>
      <c r="D2345">
        <f t="shared" si="92"/>
        <v>2007</v>
      </c>
      <c r="E2345">
        <f t="shared" si="93"/>
        <v>3</v>
      </c>
    </row>
    <row r="2346" spans="1:5" x14ac:dyDescent="0.3">
      <c r="A2346" t="s">
        <v>2471</v>
      </c>
      <c r="B2346" t="s">
        <v>127</v>
      </c>
      <c r="C2346">
        <v>120</v>
      </c>
      <c r="D2346">
        <f t="shared" si="92"/>
        <v>2007</v>
      </c>
      <c r="E2346">
        <f t="shared" si="93"/>
        <v>3</v>
      </c>
    </row>
    <row r="2347" spans="1:5" x14ac:dyDescent="0.3">
      <c r="A2347" t="s">
        <v>2472</v>
      </c>
      <c r="B2347" t="s">
        <v>127</v>
      </c>
      <c r="C2347">
        <v>119</v>
      </c>
      <c r="D2347">
        <f t="shared" si="92"/>
        <v>2007</v>
      </c>
      <c r="E2347">
        <f t="shared" si="93"/>
        <v>3</v>
      </c>
    </row>
    <row r="2348" spans="1:5" x14ac:dyDescent="0.3">
      <c r="A2348" t="s">
        <v>2473</v>
      </c>
      <c r="B2348" t="s">
        <v>127</v>
      </c>
      <c r="C2348">
        <v>118</v>
      </c>
      <c r="D2348">
        <f t="shared" si="92"/>
        <v>2007</v>
      </c>
      <c r="E2348">
        <f t="shared" si="93"/>
        <v>3</v>
      </c>
    </row>
    <row r="2349" spans="1:5" x14ac:dyDescent="0.3">
      <c r="A2349" t="s">
        <v>2474</v>
      </c>
      <c r="B2349" t="s">
        <v>127</v>
      </c>
      <c r="C2349">
        <v>116</v>
      </c>
      <c r="D2349">
        <f t="shared" si="92"/>
        <v>2007</v>
      </c>
      <c r="E2349">
        <f t="shared" si="93"/>
        <v>3</v>
      </c>
    </row>
    <row r="2350" spans="1:5" x14ac:dyDescent="0.3">
      <c r="A2350" t="s">
        <v>2475</v>
      </c>
      <c r="B2350" t="s">
        <v>127</v>
      </c>
      <c r="C2350">
        <v>115</v>
      </c>
      <c r="D2350">
        <f t="shared" si="92"/>
        <v>2007</v>
      </c>
      <c r="E2350">
        <f t="shared" si="93"/>
        <v>4</v>
      </c>
    </row>
    <row r="2351" spans="1:5" x14ac:dyDescent="0.3">
      <c r="A2351" t="s">
        <v>2476</v>
      </c>
      <c r="B2351" t="s">
        <v>127</v>
      </c>
      <c r="C2351">
        <v>114</v>
      </c>
      <c r="D2351">
        <f t="shared" si="92"/>
        <v>2007</v>
      </c>
      <c r="E2351">
        <f t="shared" si="93"/>
        <v>4</v>
      </c>
    </row>
    <row r="2352" spans="1:5" x14ac:dyDescent="0.3">
      <c r="A2352" t="s">
        <v>2477</v>
      </c>
      <c r="B2352" t="s">
        <v>127</v>
      </c>
      <c r="C2352">
        <v>113</v>
      </c>
      <c r="D2352">
        <f t="shared" si="92"/>
        <v>2007</v>
      </c>
      <c r="E2352">
        <f t="shared" si="93"/>
        <v>4</v>
      </c>
    </row>
    <row r="2353" spans="1:5" x14ac:dyDescent="0.3">
      <c r="A2353" t="s">
        <v>2478</v>
      </c>
      <c r="B2353" t="s">
        <v>127</v>
      </c>
      <c r="C2353">
        <v>113</v>
      </c>
      <c r="D2353">
        <f t="shared" si="92"/>
        <v>2007</v>
      </c>
      <c r="E2353">
        <f t="shared" si="93"/>
        <v>4</v>
      </c>
    </row>
    <row r="2354" spans="1:5" x14ac:dyDescent="0.3">
      <c r="A2354" t="s">
        <v>2479</v>
      </c>
      <c r="B2354" t="s">
        <v>127</v>
      </c>
      <c r="C2354">
        <v>108</v>
      </c>
      <c r="D2354">
        <f t="shared" si="92"/>
        <v>2007</v>
      </c>
      <c r="E2354">
        <f t="shared" si="93"/>
        <v>4</v>
      </c>
    </row>
    <row r="2355" spans="1:5" x14ac:dyDescent="0.3">
      <c r="A2355" t="s">
        <v>2480</v>
      </c>
      <c r="B2355" t="s">
        <v>127</v>
      </c>
      <c r="C2355">
        <v>110</v>
      </c>
      <c r="D2355">
        <f t="shared" si="92"/>
        <v>2007</v>
      </c>
      <c r="E2355">
        <f t="shared" si="93"/>
        <v>4</v>
      </c>
    </row>
    <row r="2356" spans="1:5" x14ac:dyDescent="0.3">
      <c r="A2356" t="s">
        <v>2481</v>
      </c>
      <c r="B2356" t="s">
        <v>127</v>
      </c>
      <c r="C2356">
        <v>109</v>
      </c>
      <c r="D2356">
        <f t="shared" si="92"/>
        <v>2007</v>
      </c>
      <c r="E2356">
        <f t="shared" si="93"/>
        <v>4</v>
      </c>
    </row>
    <row r="2357" spans="1:5" x14ac:dyDescent="0.3">
      <c r="A2357" t="s">
        <v>2482</v>
      </c>
      <c r="B2357" t="s">
        <v>127</v>
      </c>
      <c r="C2357">
        <v>108</v>
      </c>
      <c r="D2357">
        <f t="shared" si="92"/>
        <v>2007</v>
      </c>
      <c r="E2357">
        <f t="shared" si="93"/>
        <v>4</v>
      </c>
    </row>
    <row r="2358" spans="1:5" x14ac:dyDescent="0.3">
      <c r="A2358" t="s">
        <v>2483</v>
      </c>
      <c r="B2358" t="s">
        <v>127</v>
      </c>
      <c r="C2358">
        <v>108</v>
      </c>
      <c r="D2358">
        <f t="shared" si="92"/>
        <v>2007</v>
      </c>
      <c r="E2358">
        <f t="shared" si="93"/>
        <v>4</v>
      </c>
    </row>
    <row r="2359" spans="1:5" x14ac:dyDescent="0.3">
      <c r="A2359" t="s">
        <v>2484</v>
      </c>
      <c r="B2359" t="s">
        <v>127</v>
      </c>
      <c r="C2359">
        <v>108</v>
      </c>
      <c r="D2359">
        <f t="shared" si="92"/>
        <v>2007</v>
      </c>
      <c r="E2359">
        <f t="shared" si="93"/>
        <v>4</v>
      </c>
    </row>
    <row r="2360" spans="1:5" x14ac:dyDescent="0.3">
      <c r="A2360" t="s">
        <v>2485</v>
      </c>
      <c r="B2360" t="s">
        <v>127</v>
      </c>
      <c r="C2360">
        <v>109</v>
      </c>
      <c r="D2360">
        <f t="shared" si="92"/>
        <v>2007</v>
      </c>
      <c r="E2360">
        <f t="shared" si="93"/>
        <v>4</v>
      </c>
    </row>
    <row r="2361" spans="1:5" x14ac:dyDescent="0.3">
      <c r="A2361" t="s">
        <v>2486</v>
      </c>
      <c r="B2361" t="s">
        <v>127</v>
      </c>
      <c r="C2361">
        <v>110</v>
      </c>
      <c r="D2361">
        <f t="shared" si="92"/>
        <v>2007</v>
      </c>
      <c r="E2361">
        <f t="shared" si="93"/>
        <v>4</v>
      </c>
    </row>
    <row r="2362" spans="1:5" x14ac:dyDescent="0.3">
      <c r="A2362" t="s">
        <v>2487</v>
      </c>
      <c r="B2362" t="s">
        <v>127</v>
      </c>
      <c r="C2362">
        <v>108</v>
      </c>
      <c r="D2362">
        <f t="shared" si="92"/>
        <v>2007</v>
      </c>
      <c r="E2362">
        <f t="shared" si="93"/>
        <v>4</v>
      </c>
    </row>
    <row r="2363" spans="1:5" x14ac:dyDescent="0.3">
      <c r="A2363" t="s">
        <v>2488</v>
      </c>
      <c r="B2363" t="s">
        <v>127</v>
      </c>
      <c r="C2363">
        <v>107</v>
      </c>
      <c r="D2363">
        <f t="shared" si="92"/>
        <v>2007</v>
      </c>
      <c r="E2363">
        <f t="shared" si="93"/>
        <v>4</v>
      </c>
    </row>
    <row r="2364" spans="1:5" x14ac:dyDescent="0.3">
      <c r="A2364" t="s">
        <v>2489</v>
      </c>
      <c r="B2364" t="s">
        <v>127</v>
      </c>
      <c r="C2364">
        <v>109</v>
      </c>
      <c r="D2364">
        <f t="shared" si="92"/>
        <v>2007</v>
      </c>
      <c r="E2364">
        <f t="shared" si="93"/>
        <v>4</v>
      </c>
    </row>
    <row r="2365" spans="1:5" x14ac:dyDescent="0.3">
      <c r="A2365" t="s">
        <v>2490</v>
      </c>
      <c r="B2365" t="s">
        <v>127</v>
      </c>
      <c r="C2365">
        <v>110</v>
      </c>
      <c r="D2365">
        <f t="shared" si="92"/>
        <v>2007</v>
      </c>
      <c r="E2365">
        <f t="shared" si="93"/>
        <v>4</v>
      </c>
    </row>
    <row r="2366" spans="1:5" x14ac:dyDescent="0.3">
      <c r="A2366" t="s">
        <v>2491</v>
      </c>
      <c r="B2366" t="s">
        <v>127</v>
      </c>
      <c r="C2366">
        <v>107</v>
      </c>
      <c r="D2366">
        <f t="shared" si="92"/>
        <v>2007</v>
      </c>
      <c r="E2366">
        <f t="shared" si="93"/>
        <v>4</v>
      </c>
    </row>
    <row r="2367" spans="1:5" x14ac:dyDescent="0.3">
      <c r="A2367" t="s">
        <v>2492</v>
      </c>
      <c r="B2367" t="s">
        <v>127</v>
      </c>
      <c r="C2367">
        <v>103</v>
      </c>
      <c r="D2367">
        <f t="shared" si="92"/>
        <v>2007</v>
      </c>
      <c r="E2367">
        <f t="shared" si="93"/>
        <v>4</v>
      </c>
    </row>
    <row r="2368" spans="1:5" x14ac:dyDescent="0.3">
      <c r="A2368" t="s">
        <v>2493</v>
      </c>
      <c r="B2368" t="s">
        <v>127</v>
      </c>
      <c r="C2368">
        <v>104</v>
      </c>
      <c r="D2368">
        <f t="shared" si="92"/>
        <v>2007</v>
      </c>
      <c r="E2368">
        <f t="shared" si="93"/>
        <v>4</v>
      </c>
    </row>
    <row r="2369" spans="1:5" x14ac:dyDescent="0.3">
      <c r="A2369" t="s">
        <v>2494</v>
      </c>
      <c r="B2369" t="s">
        <v>127</v>
      </c>
      <c r="C2369">
        <v>107</v>
      </c>
      <c r="D2369">
        <f t="shared" si="92"/>
        <v>2007</v>
      </c>
      <c r="E2369">
        <f t="shared" si="93"/>
        <v>4</v>
      </c>
    </row>
    <row r="2370" spans="1:5" x14ac:dyDescent="0.3">
      <c r="A2370" t="s">
        <v>2495</v>
      </c>
      <c r="B2370" t="s">
        <v>127</v>
      </c>
      <c r="C2370">
        <v>106</v>
      </c>
      <c r="D2370">
        <f t="shared" si="92"/>
        <v>2007</v>
      </c>
      <c r="E2370">
        <f t="shared" si="93"/>
        <v>5</v>
      </c>
    </row>
    <row r="2371" spans="1:5" x14ac:dyDescent="0.3">
      <c r="A2371" t="s">
        <v>2496</v>
      </c>
      <c r="B2371" t="s">
        <v>127</v>
      </c>
      <c r="C2371">
        <v>104</v>
      </c>
      <c r="D2371">
        <f t="shared" ref="D2371:D2434" si="94">YEAR(A2371)</f>
        <v>2007</v>
      </c>
      <c r="E2371">
        <f t="shared" ref="E2371:E2434" si="95">MONTH(A2371)</f>
        <v>5</v>
      </c>
    </row>
    <row r="2372" spans="1:5" x14ac:dyDescent="0.3">
      <c r="A2372" t="s">
        <v>2497</v>
      </c>
      <c r="B2372" t="s">
        <v>127</v>
      </c>
      <c r="C2372">
        <v>102</v>
      </c>
      <c r="D2372">
        <f t="shared" si="94"/>
        <v>2007</v>
      </c>
      <c r="E2372">
        <f t="shared" si="95"/>
        <v>5</v>
      </c>
    </row>
    <row r="2373" spans="1:5" x14ac:dyDescent="0.3">
      <c r="A2373" t="s">
        <v>2498</v>
      </c>
      <c r="B2373" t="s">
        <v>127</v>
      </c>
      <c r="C2373">
        <v>103</v>
      </c>
      <c r="D2373">
        <f t="shared" si="94"/>
        <v>2007</v>
      </c>
      <c r="E2373">
        <f t="shared" si="95"/>
        <v>5</v>
      </c>
    </row>
    <row r="2374" spans="1:5" x14ac:dyDescent="0.3">
      <c r="A2374" t="s">
        <v>2499</v>
      </c>
      <c r="B2374" t="s">
        <v>127</v>
      </c>
      <c r="C2374">
        <v>102</v>
      </c>
      <c r="D2374">
        <f t="shared" si="94"/>
        <v>2007</v>
      </c>
      <c r="E2374">
        <f t="shared" si="95"/>
        <v>5</v>
      </c>
    </row>
    <row r="2375" spans="1:5" x14ac:dyDescent="0.3">
      <c r="A2375" t="s">
        <v>2500</v>
      </c>
      <c r="B2375" t="s">
        <v>127</v>
      </c>
      <c r="C2375">
        <v>101</v>
      </c>
      <c r="D2375">
        <f t="shared" si="94"/>
        <v>2007</v>
      </c>
      <c r="E2375">
        <f t="shared" si="95"/>
        <v>5</v>
      </c>
    </row>
    <row r="2376" spans="1:5" x14ac:dyDescent="0.3">
      <c r="A2376" t="s">
        <v>2501</v>
      </c>
      <c r="B2376" t="s">
        <v>127</v>
      </c>
      <c r="C2376">
        <v>98</v>
      </c>
      <c r="D2376">
        <f t="shared" si="94"/>
        <v>2007</v>
      </c>
      <c r="E2376">
        <f t="shared" si="95"/>
        <v>5</v>
      </c>
    </row>
    <row r="2377" spans="1:5" x14ac:dyDescent="0.3">
      <c r="A2377" t="s">
        <v>2502</v>
      </c>
      <c r="B2377" t="s">
        <v>127</v>
      </c>
      <c r="C2377">
        <v>100</v>
      </c>
      <c r="D2377">
        <f t="shared" si="94"/>
        <v>2007</v>
      </c>
      <c r="E2377">
        <f t="shared" si="95"/>
        <v>5</v>
      </c>
    </row>
    <row r="2378" spans="1:5" x14ac:dyDescent="0.3">
      <c r="A2378" t="s">
        <v>2503</v>
      </c>
      <c r="B2378" t="s">
        <v>127</v>
      </c>
      <c r="C2378">
        <v>99</v>
      </c>
      <c r="D2378">
        <f t="shared" si="94"/>
        <v>2007</v>
      </c>
      <c r="E2378">
        <f t="shared" si="95"/>
        <v>5</v>
      </c>
    </row>
    <row r="2379" spans="1:5" x14ac:dyDescent="0.3">
      <c r="A2379" t="s">
        <v>2504</v>
      </c>
      <c r="B2379" t="s">
        <v>127</v>
      </c>
      <c r="C2379">
        <v>98</v>
      </c>
      <c r="D2379">
        <f t="shared" si="94"/>
        <v>2007</v>
      </c>
      <c r="E2379">
        <f t="shared" si="95"/>
        <v>5</v>
      </c>
    </row>
    <row r="2380" spans="1:5" x14ac:dyDescent="0.3">
      <c r="A2380" t="s">
        <v>2505</v>
      </c>
      <c r="B2380" t="s">
        <v>127</v>
      </c>
      <c r="C2380">
        <v>97</v>
      </c>
      <c r="D2380">
        <f t="shared" si="94"/>
        <v>2007</v>
      </c>
      <c r="E2380">
        <f t="shared" si="95"/>
        <v>5</v>
      </c>
    </row>
    <row r="2381" spans="1:5" x14ac:dyDescent="0.3">
      <c r="A2381" t="s">
        <v>2506</v>
      </c>
      <c r="B2381" t="s">
        <v>127</v>
      </c>
      <c r="C2381">
        <v>98</v>
      </c>
      <c r="D2381">
        <f t="shared" si="94"/>
        <v>2007</v>
      </c>
      <c r="E2381">
        <f t="shared" si="95"/>
        <v>5</v>
      </c>
    </row>
    <row r="2382" spans="1:5" x14ac:dyDescent="0.3">
      <c r="A2382" t="s">
        <v>2507</v>
      </c>
      <c r="B2382" t="s">
        <v>127</v>
      </c>
      <c r="C2382">
        <v>95</v>
      </c>
      <c r="D2382">
        <f t="shared" si="94"/>
        <v>2007</v>
      </c>
      <c r="E2382">
        <f t="shared" si="95"/>
        <v>5</v>
      </c>
    </row>
    <row r="2383" spans="1:5" x14ac:dyDescent="0.3">
      <c r="A2383" t="s">
        <v>2508</v>
      </c>
      <c r="B2383" t="s">
        <v>127</v>
      </c>
      <c r="C2383">
        <v>93</v>
      </c>
      <c r="D2383">
        <f t="shared" si="94"/>
        <v>2007</v>
      </c>
      <c r="E2383">
        <f t="shared" si="95"/>
        <v>5</v>
      </c>
    </row>
    <row r="2384" spans="1:5" x14ac:dyDescent="0.3">
      <c r="A2384" t="s">
        <v>2509</v>
      </c>
      <c r="B2384" t="s">
        <v>127</v>
      </c>
      <c r="C2384">
        <v>95</v>
      </c>
      <c r="D2384">
        <f t="shared" si="94"/>
        <v>2007</v>
      </c>
      <c r="E2384">
        <f t="shared" si="95"/>
        <v>5</v>
      </c>
    </row>
    <row r="2385" spans="1:5" x14ac:dyDescent="0.3">
      <c r="A2385" t="s">
        <v>2510</v>
      </c>
      <c r="B2385" t="s">
        <v>127</v>
      </c>
      <c r="C2385">
        <v>94</v>
      </c>
      <c r="D2385">
        <f t="shared" si="94"/>
        <v>2007</v>
      </c>
      <c r="E2385">
        <f t="shared" si="95"/>
        <v>5</v>
      </c>
    </row>
    <row r="2386" spans="1:5" x14ac:dyDescent="0.3">
      <c r="A2386" t="s">
        <v>2511</v>
      </c>
      <c r="B2386" t="s">
        <v>127</v>
      </c>
      <c r="C2386">
        <v>93</v>
      </c>
      <c r="D2386">
        <f t="shared" si="94"/>
        <v>2007</v>
      </c>
      <c r="E2386">
        <f t="shared" si="95"/>
        <v>5</v>
      </c>
    </row>
    <row r="2387" spans="1:5" x14ac:dyDescent="0.3">
      <c r="A2387" t="s">
        <v>2512</v>
      </c>
      <c r="B2387" t="s">
        <v>127</v>
      </c>
      <c r="C2387">
        <v>95</v>
      </c>
      <c r="D2387">
        <f t="shared" si="94"/>
        <v>2007</v>
      </c>
      <c r="E2387">
        <f t="shared" si="95"/>
        <v>5</v>
      </c>
    </row>
    <row r="2388" spans="1:5" x14ac:dyDescent="0.3">
      <c r="A2388" t="s">
        <v>2513</v>
      </c>
      <c r="B2388" t="s">
        <v>127</v>
      </c>
      <c r="C2388">
        <v>94</v>
      </c>
      <c r="D2388">
        <f t="shared" si="94"/>
        <v>2007</v>
      </c>
      <c r="E2388">
        <f t="shared" si="95"/>
        <v>5</v>
      </c>
    </row>
    <row r="2389" spans="1:5" x14ac:dyDescent="0.3">
      <c r="A2389" t="s">
        <v>2514</v>
      </c>
      <c r="B2389" t="s">
        <v>127</v>
      </c>
      <c r="C2389">
        <v>94</v>
      </c>
      <c r="D2389">
        <f t="shared" si="94"/>
        <v>2007</v>
      </c>
      <c r="E2389">
        <f t="shared" si="95"/>
        <v>5</v>
      </c>
    </row>
    <row r="2390" spans="1:5" x14ac:dyDescent="0.3">
      <c r="A2390" t="s">
        <v>2515</v>
      </c>
      <c r="B2390" t="s">
        <v>127</v>
      </c>
      <c r="C2390">
        <v>93</v>
      </c>
      <c r="D2390">
        <f t="shared" si="94"/>
        <v>2007</v>
      </c>
      <c r="E2390">
        <f t="shared" si="95"/>
        <v>5</v>
      </c>
    </row>
    <row r="2391" spans="1:5" x14ac:dyDescent="0.3">
      <c r="A2391" t="s">
        <v>2516</v>
      </c>
      <c r="B2391" t="s">
        <v>127</v>
      </c>
      <c r="C2391">
        <v>93</v>
      </c>
      <c r="D2391">
        <f t="shared" si="94"/>
        <v>2007</v>
      </c>
      <c r="E2391">
        <f t="shared" si="95"/>
        <v>5</v>
      </c>
    </row>
    <row r="2392" spans="1:5" x14ac:dyDescent="0.3">
      <c r="A2392" t="s">
        <v>2517</v>
      </c>
      <c r="B2392" t="s">
        <v>127</v>
      </c>
      <c r="C2392">
        <v>89</v>
      </c>
      <c r="D2392">
        <f t="shared" si="94"/>
        <v>2007</v>
      </c>
      <c r="E2392">
        <f t="shared" si="95"/>
        <v>6</v>
      </c>
    </row>
    <row r="2393" spans="1:5" x14ac:dyDescent="0.3">
      <c r="A2393" t="s">
        <v>2518</v>
      </c>
      <c r="B2393" t="s">
        <v>127</v>
      </c>
      <c r="C2393">
        <v>93</v>
      </c>
      <c r="D2393">
        <f t="shared" si="94"/>
        <v>2007</v>
      </c>
      <c r="E2393">
        <f t="shared" si="95"/>
        <v>6</v>
      </c>
    </row>
    <row r="2394" spans="1:5" x14ac:dyDescent="0.3">
      <c r="A2394" t="s">
        <v>2519</v>
      </c>
      <c r="B2394" t="s">
        <v>127</v>
      </c>
      <c r="C2394">
        <v>92</v>
      </c>
      <c r="D2394">
        <f t="shared" si="94"/>
        <v>2007</v>
      </c>
      <c r="E2394">
        <f t="shared" si="95"/>
        <v>6</v>
      </c>
    </row>
    <row r="2395" spans="1:5" x14ac:dyDescent="0.3">
      <c r="A2395" t="s">
        <v>2520</v>
      </c>
      <c r="B2395" t="s">
        <v>127</v>
      </c>
      <c r="C2395">
        <v>94</v>
      </c>
      <c r="D2395">
        <f t="shared" si="94"/>
        <v>2007</v>
      </c>
      <c r="E2395">
        <f t="shared" si="95"/>
        <v>6</v>
      </c>
    </row>
    <row r="2396" spans="1:5" x14ac:dyDescent="0.3">
      <c r="A2396" t="s">
        <v>2521</v>
      </c>
      <c r="B2396" t="s">
        <v>127</v>
      </c>
      <c r="C2396">
        <v>95</v>
      </c>
      <c r="D2396">
        <f t="shared" si="94"/>
        <v>2007</v>
      </c>
      <c r="E2396">
        <f t="shared" si="95"/>
        <v>6</v>
      </c>
    </row>
    <row r="2397" spans="1:5" x14ac:dyDescent="0.3">
      <c r="A2397" t="s">
        <v>2522</v>
      </c>
      <c r="B2397" t="s">
        <v>127</v>
      </c>
      <c r="C2397">
        <v>100</v>
      </c>
      <c r="D2397">
        <f t="shared" si="94"/>
        <v>2007</v>
      </c>
      <c r="E2397">
        <f t="shared" si="95"/>
        <v>6</v>
      </c>
    </row>
    <row r="2398" spans="1:5" x14ac:dyDescent="0.3">
      <c r="A2398" t="s">
        <v>2523</v>
      </c>
      <c r="B2398" t="s">
        <v>127</v>
      </c>
      <c r="C2398">
        <v>97</v>
      </c>
      <c r="D2398">
        <f t="shared" si="94"/>
        <v>2007</v>
      </c>
      <c r="E2398">
        <f t="shared" si="95"/>
        <v>6</v>
      </c>
    </row>
    <row r="2399" spans="1:5" x14ac:dyDescent="0.3">
      <c r="A2399" t="s">
        <v>2524</v>
      </c>
      <c r="B2399" t="s">
        <v>127</v>
      </c>
      <c r="C2399">
        <v>97</v>
      </c>
      <c r="D2399">
        <f t="shared" si="94"/>
        <v>2007</v>
      </c>
      <c r="E2399">
        <f t="shared" si="95"/>
        <v>6</v>
      </c>
    </row>
    <row r="2400" spans="1:5" x14ac:dyDescent="0.3">
      <c r="A2400" t="s">
        <v>2525</v>
      </c>
      <c r="B2400" t="s">
        <v>127</v>
      </c>
      <c r="C2400">
        <v>98</v>
      </c>
      <c r="D2400">
        <f t="shared" si="94"/>
        <v>2007</v>
      </c>
      <c r="E2400">
        <f t="shared" si="95"/>
        <v>6</v>
      </c>
    </row>
    <row r="2401" spans="1:5" x14ac:dyDescent="0.3">
      <c r="A2401" t="s">
        <v>2526</v>
      </c>
      <c r="B2401" t="s">
        <v>127</v>
      </c>
      <c r="C2401">
        <v>99</v>
      </c>
      <c r="D2401">
        <f t="shared" si="94"/>
        <v>2007</v>
      </c>
      <c r="E2401">
        <f t="shared" si="95"/>
        <v>6</v>
      </c>
    </row>
    <row r="2402" spans="1:5" x14ac:dyDescent="0.3">
      <c r="A2402" t="s">
        <v>2527</v>
      </c>
      <c r="B2402" t="s">
        <v>127</v>
      </c>
      <c r="C2402">
        <v>96</v>
      </c>
      <c r="D2402">
        <f t="shared" si="94"/>
        <v>2007</v>
      </c>
      <c r="E2402">
        <f t="shared" si="95"/>
        <v>6</v>
      </c>
    </row>
    <row r="2403" spans="1:5" x14ac:dyDescent="0.3">
      <c r="A2403" t="s">
        <v>2528</v>
      </c>
      <c r="B2403" t="s">
        <v>127</v>
      </c>
      <c r="C2403">
        <v>97</v>
      </c>
      <c r="D2403">
        <f t="shared" si="94"/>
        <v>2007</v>
      </c>
      <c r="E2403">
        <f t="shared" si="95"/>
        <v>6</v>
      </c>
    </row>
    <row r="2404" spans="1:5" x14ac:dyDescent="0.3">
      <c r="A2404" t="s">
        <v>2529</v>
      </c>
      <c r="B2404" t="s">
        <v>127</v>
      </c>
      <c r="C2404">
        <v>98</v>
      </c>
      <c r="D2404">
        <f t="shared" si="94"/>
        <v>2007</v>
      </c>
      <c r="E2404">
        <f t="shared" si="95"/>
        <v>6</v>
      </c>
    </row>
    <row r="2405" spans="1:5" x14ac:dyDescent="0.3">
      <c r="A2405" t="s">
        <v>2530</v>
      </c>
      <c r="B2405" t="s">
        <v>127</v>
      </c>
      <c r="C2405">
        <v>98</v>
      </c>
      <c r="D2405">
        <f t="shared" si="94"/>
        <v>2007</v>
      </c>
      <c r="E2405">
        <f t="shared" si="95"/>
        <v>6</v>
      </c>
    </row>
    <row r="2406" spans="1:5" x14ac:dyDescent="0.3">
      <c r="A2406" t="s">
        <v>2531</v>
      </c>
      <c r="B2406" t="s">
        <v>127</v>
      </c>
      <c r="C2406">
        <v>98</v>
      </c>
      <c r="D2406">
        <f t="shared" si="94"/>
        <v>2007</v>
      </c>
      <c r="E2406">
        <f t="shared" si="95"/>
        <v>6</v>
      </c>
    </row>
    <row r="2407" spans="1:5" x14ac:dyDescent="0.3">
      <c r="A2407" t="s">
        <v>2532</v>
      </c>
      <c r="B2407" t="s">
        <v>127</v>
      </c>
      <c r="C2407">
        <v>100</v>
      </c>
      <c r="D2407">
        <f t="shared" si="94"/>
        <v>2007</v>
      </c>
      <c r="E2407">
        <f t="shared" si="95"/>
        <v>6</v>
      </c>
    </row>
    <row r="2408" spans="1:5" x14ac:dyDescent="0.3">
      <c r="A2408" t="s">
        <v>2533</v>
      </c>
      <c r="B2408" t="s">
        <v>127</v>
      </c>
      <c r="C2408">
        <v>105</v>
      </c>
      <c r="D2408">
        <f t="shared" si="94"/>
        <v>2007</v>
      </c>
      <c r="E2408">
        <f t="shared" si="95"/>
        <v>6</v>
      </c>
    </row>
    <row r="2409" spans="1:5" x14ac:dyDescent="0.3">
      <c r="A2409" t="s">
        <v>2534</v>
      </c>
      <c r="B2409" t="s">
        <v>127</v>
      </c>
      <c r="C2409">
        <v>104</v>
      </c>
      <c r="D2409">
        <f t="shared" si="94"/>
        <v>2007</v>
      </c>
      <c r="E2409">
        <f t="shared" si="95"/>
        <v>6</v>
      </c>
    </row>
    <row r="2410" spans="1:5" x14ac:dyDescent="0.3">
      <c r="A2410" t="s">
        <v>2535</v>
      </c>
      <c r="B2410" t="s">
        <v>127</v>
      </c>
      <c r="C2410">
        <v>107</v>
      </c>
      <c r="D2410">
        <f t="shared" si="94"/>
        <v>2007</v>
      </c>
      <c r="E2410">
        <f t="shared" si="95"/>
        <v>6</v>
      </c>
    </row>
    <row r="2411" spans="1:5" x14ac:dyDescent="0.3">
      <c r="A2411" t="s">
        <v>2536</v>
      </c>
      <c r="B2411" t="s">
        <v>127</v>
      </c>
      <c r="C2411">
        <v>103</v>
      </c>
      <c r="D2411">
        <f t="shared" si="94"/>
        <v>2007</v>
      </c>
      <c r="E2411">
        <f t="shared" si="95"/>
        <v>6</v>
      </c>
    </row>
    <row r="2412" spans="1:5" x14ac:dyDescent="0.3">
      <c r="A2412" t="s">
        <v>2537</v>
      </c>
      <c r="B2412" t="s">
        <v>127</v>
      </c>
      <c r="C2412">
        <v>111</v>
      </c>
      <c r="D2412">
        <f t="shared" si="94"/>
        <v>2007</v>
      </c>
      <c r="E2412">
        <f t="shared" si="95"/>
        <v>6</v>
      </c>
    </row>
    <row r="2413" spans="1:5" x14ac:dyDescent="0.3">
      <c r="A2413" t="s">
        <v>2538</v>
      </c>
      <c r="B2413" t="s">
        <v>127</v>
      </c>
      <c r="C2413">
        <v>107</v>
      </c>
      <c r="D2413">
        <f t="shared" si="94"/>
        <v>2007</v>
      </c>
      <c r="E2413">
        <f t="shared" si="95"/>
        <v>7</v>
      </c>
    </row>
    <row r="2414" spans="1:5" x14ac:dyDescent="0.3">
      <c r="A2414" t="s">
        <v>2539</v>
      </c>
      <c r="B2414" t="s">
        <v>127</v>
      </c>
      <c r="C2414">
        <v>109</v>
      </c>
      <c r="D2414">
        <f t="shared" si="94"/>
        <v>2007</v>
      </c>
      <c r="E2414">
        <f t="shared" si="95"/>
        <v>7</v>
      </c>
    </row>
    <row r="2415" spans="1:5" x14ac:dyDescent="0.3">
      <c r="A2415" t="s">
        <v>2540</v>
      </c>
      <c r="B2415" t="s">
        <v>127</v>
      </c>
      <c r="C2415">
        <v>106</v>
      </c>
      <c r="D2415">
        <f t="shared" si="94"/>
        <v>2007</v>
      </c>
      <c r="E2415">
        <f t="shared" si="95"/>
        <v>7</v>
      </c>
    </row>
    <row r="2416" spans="1:5" x14ac:dyDescent="0.3">
      <c r="A2416" t="s">
        <v>2541</v>
      </c>
      <c r="B2416" t="s">
        <v>127</v>
      </c>
      <c r="C2416">
        <v>101</v>
      </c>
      <c r="D2416">
        <f t="shared" si="94"/>
        <v>2007</v>
      </c>
      <c r="E2416">
        <f t="shared" si="95"/>
        <v>7</v>
      </c>
    </row>
    <row r="2417" spans="1:5" x14ac:dyDescent="0.3">
      <c r="A2417" t="s">
        <v>2542</v>
      </c>
      <c r="B2417" t="s">
        <v>127</v>
      </c>
      <c r="C2417">
        <v>101</v>
      </c>
      <c r="D2417">
        <f t="shared" si="94"/>
        <v>2007</v>
      </c>
      <c r="E2417">
        <f t="shared" si="95"/>
        <v>7</v>
      </c>
    </row>
    <row r="2418" spans="1:5" x14ac:dyDescent="0.3">
      <c r="A2418" t="s">
        <v>2543</v>
      </c>
      <c r="B2418" t="s">
        <v>127</v>
      </c>
      <c r="C2418">
        <v>108</v>
      </c>
      <c r="D2418">
        <f t="shared" si="94"/>
        <v>2007</v>
      </c>
      <c r="E2418">
        <f t="shared" si="95"/>
        <v>7</v>
      </c>
    </row>
    <row r="2419" spans="1:5" x14ac:dyDescent="0.3">
      <c r="A2419" t="s">
        <v>2544</v>
      </c>
      <c r="B2419" t="s">
        <v>127</v>
      </c>
      <c r="C2419">
        <v>104</v>
      </c>
      <c r="D2419">
        <f t="shared" si="94"/>
        <v>2007</v>
      </c>
      <c r="E2419">
        <f t="shared" si="95"/>
        <v>7</v>
      </c>
    </row>
    <row r="2420" spans="1:5" x14ac:dyDescent="0.3">
      <c r="A2420" t="s">
        <v>2545</v>
      </c>
      <c r="B2420" t="s">
        <v>127</v>
      </c>
      <c r="C2420">
        <v>102</v>
      </c>
      <c r="D2420">
        <f t="shared" si="94"/>
        <v>2007</v>
      </c>
      <c r="E2420">
        <f t="shared" si="95"/>
        <v>7</v>
      </c>
    </row>
    <row r="2421" spans="1:5" x14ac:dyDescent="0.3">
      <c r="A2421" t="s">
        <v>2546</v>
      </c>
      <c r="B2421" t="s">
        <v>127</v>
      </c>
      <c r="C2421">
        <v>106</v>
      </c>
      <c r="D2421">
        <f t="shared" si="94"/>
        <v>2007</v>
      </c>
      <c r="E2421">
        <f t="shared" si="95"/>
        <v>7</v>
      </c>
    </row>
    <row r="2422" spans="1:5" x14ac:dyDescent="0.3">
      <c r="A2422" t="s">
        <v>2547</v>
      </c>
      <c r="B2422" t="s">
        <v>127</v>
      </c>
      <c r="C2422">
        <v>110</v>
      </c>
      <c r="D2422">
        <f t="shared" si="94"/>
        <v>2007</v>
      </c>
      <c r="E2422">
        <f t="shared" si="95"/>
        <v>7</v>
      </c>
    </row>
    <row r="2423" spans="1:5" x14ac:dyDescent="0.3">
      <c r="A2423" t="s">
        <v>2548</v>
      </c>
      <c r="B2423" t="s">
        <v>127</v>
      </c>
      <c r="C2423">
        <v>107</v>
      </c>
      <c r="D2423">
        <f t="shared" si="94"/>
        <v>2007</v>
      </c>
      <c r="E2423">
        <f t="shared" si="95"/>
        <v>7</v>
      </c>
    </row>
    <row r="2424" spans="1:5" x14ac:dyDescent="0.3">
      <c r="A2424" t="s">
        <v>2549</v>
      </c>
      <c r="B2424" t="s">
        <v>127</v>
      </c>
      <c r="C2424">
        <v>114</v>
      </c>
      <c r="D2424">
        <f t="shared" si="94"/>
        <v>2007</v>
      </c>
      <c r="E2424">
        <f t="shared" si="95"/>
        <v>7</v>
      </c>
    </row>
    <row r="2425" spans="1:5" x14ac:dyDescent="0.3">
      <c r="A2425" t="s">
        <v>2550</v>
      </c>
      <c r="B2425" t="s">
        <v>127</v>
      </c>
      <c r="C2425">
        <v>114</v>
      </c>
      <c r="D2425">
        <f t="shared" si="94"/>
        <v>2007</v>
      </c>
      <c r="E2425">
        <f t="shared" si="95"/>
        <v>7</v>
      </c>
    </row>
    <row r="2426" spans="1:5" x14ac:dyDescent="0.3">
      <c r="A2426" t="s">
        <v>2551</v>
      </c>
      <c r="B2426" t="s">
        <v>127</v>
      </c>
      <c r="C2426">
        <v>118</v>
      </c>
      <c r="D2426">
        <f t="shared" si="94"/>
        <v>2007</v>
      </c>
      <c r="E2426">
        <f t="shared" si="95"/>
        <v>7</v>
      </c>
    </row>
    <row r="2427" spans="1:5" x14ac:dyDescent="0.3">
      <c r="A2427" t="s">
        <v>2552</v>
      </c>
      <c r="B2427" t="s">
        <v>127</v>
      </c>
      <c r="C2427">
        <v>119</v>
      </c>
      <c r="D2427">
        <f t="shared" si="94"/>
        <v>2007</v>
      </c>
      <c r="E2427">
        <f t="shared" si="95"/>
        <v>7</v>
      </c>
    </row>
    <row r="2428" spans="1:5" x14ac:dyDescent="0.3">
      <c r="A2428" t="s">
        <v>2553</v>
      </c>
      <c r="B2428" t="s">
        <v>127</v>
      </c>
      <c r="C2428">
        <v>125</v>
      </c>
      <c r="D2428">
        <f t="shared" si="94"/>
        <v>2007</v>
      </c>
      <c r="E2428">
        <f t="shared" si="95"/>
        <v>7</v>
      </c>
    </row>
    <row r="2429" spans="1:5" x14ac:dyDescent="0.3">
      <c r="A2429" t="s">
        <v>2554</v>
      </c>
      <c r="B2429" t="s">
        <v>127</v>
      </c>
      <c r="C2429">
        <v>130</v>
      </c>
      <c r="D2429">
        <f t="shared" si="94"/>
        <v>2007</v>
      </c>
      <c r="E2429">
        <f t="shared" si="95"/>
        <v>7</v>
      </c>
    </row>
    <row r="2430" spans="1:5" x14ac:dyDescent="0.3">
      <c r="A2430" t="s">
        <v>2555</v>
      </c>
      <c r="B2430" t="s">
        <v>127</v>
      </c>
      <c r="C2430">
        <v>155</v>
      </c>
      <c r="D2430">
        <f t="shared" si="94"/>
        <v>2007</v>
      </c>
      <c r="E2430">
        <f t="shared" si="95"/>
        <v>7</v>
      </c>
    </row>
    <row r="2431" spans="1:5" x14ac:dyDescent="0.3">
      <c r="A2431" t="s">
        <v>2556</v>
      </c>
      <c r="B2431" t="s">
        <v>127</v>
      </c>
      <c r="C2431">
        <v>150</v>
      </c>
      <c r="D2431">
        <f t="shared" si="94"/>
        <v>2007</v>
      </c>
      <c r="E2431">
        <f t="shared" si="95"/>
        <v>7</v>
      </c>
    </row>
    <row r="2432" spans="1:5" x14ac:dyDescent="0.3">
      <c r="A2432" t="s">
        <v>2557</v>
      </c>
      <c r="B2432" t="s">
        <v>127</v>
      </c>
      <c r="C2432">
        <v>142</v>
      </c>
      <c r="D2432">
        <f t="shared" si="94"/>
        <v>2007</v>
      </c>
      <c r="E2432">
        <f t="shared" si="95"/>
        <v>7</v>
      </c>
    </row>
    <row r="2433" spans="1:5" x14ac:dyDescent="0.3">
      <c r="A2433" t="s">
        <v>2558</v>
      </c>
      <c r="B2433" t="s">
        <v>127</v>
      </c>
      <c r="C2433">
        <v>141</v>
      </c>
      <c r="D2433">
        <f t="shared" si="94"/>
        <v>2007</v>
      </c>
      <c r="E2433">
        <f t="shared" si="95"/>
        <v>7</v>
      </c>
    </row>
    <row r="2434" spans="1:5" x14ac:dyDescent="0.3">
      <c r="A2434" t="s">
        <v>2559</v>
      </c>
      <c r="B2434" t="s">
        <v>127</v>
      </c>
      <c r="C2434">
        <v>142</v>
      </c>
      <c r="D2434">
        <f t="shared" si="94"/>
        <v>2007</v>
      </c>
      <c r="E2434">
        <f t="shared" si="95"/>
        <v>8</v>
      </c>
    </row>
    <row r="2435" spans="1:5" x14ac:dyDescent="0.3">
      <c r="A2435" t="s">
        <v>2560</v>
      </c>
      <c r="B2435" t="s">
        <v>127</v>
      </c>
      <c r="C2435">
        <v>140</v>
      </c>
      <c r="D2435">
        <f t="shared" ref="D2435:D2498" si="96">YEAR(A2435)</f>
        <v>2007</v>
      </c>
      <c r="E2435">
        <f t="shared" ref="E2435:E2498" si="97">MONTH(A2435)</f>
        <v>8</v>
      </c>
    </row>
    <row r="2436" spans="1:5" x14ac:dyDescent="0.3">
      <c r="A2436" t="s">
        <v>2561</v>
      </c>
      <c r="B2436" t="s">
        <v>127</v>
      </c>
      <c r="C2436">
        <v>143</v>
      </c>
      <c r="D2436">
        <f t="shared" si="96"/>
        <v>2007</v>
      </c>
      <c r="E2436">
        <f t="shared" si="97"/>
        <v>8</v>
      </c>
    </row>
    <row r="2437" spans="1:5" x14ac:dyDescent="0.3">
      <c r="A2437" t="s">
        <v>2562</v>
      </c>
      <c r="B2437" t="s">
        <v>127</v>
      </c>
      <c r="C2437">
        <v>138</v>
      </c>
      <c r="D2437">
        <f t="shared" si="96"/>
        <v>2007</v>
      </c>
      <c r="E2437">
        <f t="shared" si="97"/>
        <v>8</v>
      </c>
    </row>
    <row r="2438" spans="1:5" x14ac:dyDescent="0.3">
      <c r="A2438" t="s">
        <v>2563</v>
      </c>
      <c r="B2438" t="s">
        <v>127</v>
      </c>
      <c r="C2438">
        <v>135</v>
      </c>
      <c r="D2438">
        <f t="shared" si="96"/>
        <v>2007</v>
      </c>
      <c r="E2438">
        <f t="shared" si="97"/>
        <v>8</v>
      </c>
    </row>
    <row r="2439" spans="1:5" x14ac:dyDescent="0.3">
      <c r="A2439" t="s">
        <v>2564</v>
      </c>
      <c r="B2439" t="s">
        <v>127</v>
      </c>
      <c r="C2439">
        <v>124</v>
      </c>
      <c r="D2439">
        <f t="shared" si="96"/>
        <v>2007</v>
      </c>
      <c r="E2439">
        <f t="shared" si="97"/>
        <v>8</v>
      </c>
    </row>
    <row r="2440" spans="1:5" x14ac:dyDescent="0.3">
      <c r="A2440" t="s">
        <v>2565</v>
      </c>
      <c r="B2440" t="s">
        <v>127</v>
      </c>
      <c r="C2440">
        <v>130</v>
      </c>
      <c r="D2440">
        <f t="shared" si="96"/>
        <v>2007</v>
      </c>
      <c r="E2440">
        <f t="shared" si="97"/>
        <v>8</v>
      </c>
    </row>
    <row r="2441" spans="1:5" x14ac:dyDescent="0.3">
      <c r="A2441" t="s">
        <v>2566</v>
      </c>
      <c r="B2441" t="s">
        <v>127</v>
      </c>
      <c r="C2441">
        <v>133</v>
      </c>
      <c r="D2441">
        <f t="shared" si="96"/>
        <v>2007</v>
      </c>
      <c r="E2441">
        <f t="shared" si="97"/>
        <v>8</v>
      </c>
    </row>
    <row r="2442" spans="1:5" x14ac:dyDescent="0.3">
      <c r="A2442" t="s">
        <v>2567</v>
      </c>
      <c r="B2442" t="s">
        <v>127</v>
      </c>
      <c r="C2442">
        <v>130</v>
      </c>
      <c r="D2442">
        <f t="shared" si="96"/>
        <v>2007</v>
      </c>
      <c r="E2442">
        <f t="shared" si="97"/>
        <v>8</v>
      </c>
    </row>
    <row r="2443" spans="1:5" x14ac:dyDescent="0.3">
      <c r="A2443" t="s">
        <v>2568</v>
      </c>
      <c r="B2443" t="s">
        <v>127</v>
      </c>
      <c r="C2443">
        <v>139</v>
      </c>
      <c r="D2443">
        <f t="shared" si="96"/>
        <v>2007</v>
      </c>
      <c r="E2443">
        <f t="shared" si="97"/>
        <v>8</v>
      </c>
    </row>
    <row r="2444" spans="1:5" x14ac:dyDescent="0.3">
      <c r="A2444" t="s">
        <v>2569</v>
      </c>
      <c r="B2444" t="s">
        <v>127</v>
      </c>
      <c r="C2444">
        <v>143</v>
      </c>
      <c r="D2444">
        <f t="shared" si="96"/>
        <v>2007</v>
      </c>
      <c r="E2444">
        <f t="shared" si="97"/>
        <v>8</v>
      </c>
    </row>
    <row r="2445" spans="1:5" x14ac:dyDescent="0.3">
      <c r="A2445" t="s">
        <v>2570</v>
      </c>
      <c r="B2445" t="s">
        <v>127</v>
      </c>
      <c r="C2445">
        <v>162</v>
      </c>
      <c r="D2445">
        <f t="shared" si="96"/>
        <v>2007</v>
      </c>
      <c r="E2445">
        <f t="shared" si="97"/>
        <v>8</v>
      </c>
    </row>
    <row r="2446" spans="1:5" x14ac:dyDescent="0.3">
      <c r="A2446" t="s">
        <v>2571</v>
      </c>
      <c r="B2446" t="s">
        <v>127</v>
      </c>
      <c r="C2446">
        <v>150</v>
      </c>
      <c r="D2446">
        <f t="shared" si="96"/>
        <v>2007</v>
      </c>
      <c r="E2446">
        <f t="shared" si="97"/>
        <v>8</v>
      </c>
    </row>
    <row r="2447" spans="1:5" x14ac:dyDescent="0.3">
      <c r="A2447" t="s">
        <v>2572</v>
      </c>
      <c r="B2447" t="s">
        <v>127</v>
      </c>
      <c r="C2447">
        <v>154</v>
      </c>
      <c r="D2447">
        <f t="shared" si="96"/>
        <v>2007</v>
      </c>
      <c r="E2447">
        <f t="shared" si="97"/>
        <v>8</v>
      </c>
    </row>
    <row r="2448" spans="1:5" x14ac:dyDescent="0.3">
      <c r="A2448" t="s">
        <v>2573</v>
      </c>
      <c r="B2448" t="s">
        <v>127</v>
      </c>
      <c r="C2448">
        <v>156</v>
      </c>
      <c r="D2448">
        <f t="shared" si="96"/>
        <v>2007</v>
      </c>
      <c r="E2448">
        <f t="shared" si="97"/>
        <v>8</v>
      </c>
    </row>
    <row r="2449" spans="1:5" x14ac:dyDescent="0.3">
      <c r="A2449" t="s">
        <v>2574</v>
      </c>
      <c r="B2449" t="s">
        <v>127</v>
      </c>
      <c r="C2449">
        <v>150</v>
      </c>
      <c r="D2449">
        <f t="shared" si="96"/>
        <v>2007</v>
      </c>
      <c r="E2449">
        <f t="shared" si="97"/>
        <v>8</v>
      </c>
    </row>
    <row r="2450" spans="1:5" x14ac:dyDescent="0.3">
      <c r="A2450" t="s">
        <v>2575</v>
      </c>
      <c r="B2450" t="s">
        <v>127</v>
      </c>
      <c r="C2450">
        <v>145</v>
      </c>
      <c r="D2450">
        <f t="shared" si="96"/>
        <v>2007</v>
      </c>
      <c r="E2450">
        <f t="shared" si="97"/>
        <v>8</v>
      </c>
    </row>
    <row r="2451" spans="1:5" x14ac:dyDescent="0.3">
      <c r="A2451" t="s">
        <v>2576</v>
      </c>
      <c r="B2451" t="s">
        <v>127</v>
      </c>
      <c r="C2451">
        <v>141</v>
      </c>
      <c r="D2451">
        <f t="shared" si="96"/>
        <v>2007</v>
      </c>
      <c r="E2451">
        <f t="shared" si="97"/>
        <v>8</v>
      </c>
    </row>
    <row r="2452" spans="1:5" x14ac:dyDescent="0.3">
      <c r="A2452" t="s">
        <v>2577</v>
      </c>
      <c r="B2452" t="s">
        <v>127</v>
      </c>
      <c r="C2452">
        <v>137</v>
      </c>
      <c r="D2452">
        <f t="shared" si="96"/>
        <v>2007</v>
      </c>
      <c r="E2452">
        <f t="shared" si="97"/>
        <v>8</v>
      </c>
    </row>
    <row r="2453" spans="1:5" x14ac:dyDescent="0.3">
      <c r="A2453" t="s">
        <v>2578</v>
      </c>
      <c r="B2453" t="s">
        <v>127</v>
      </c>
      <c r="C2453">
        <v>139</v>
      </c>
      <c r="D2453">
        <f t="shared" si="96"/>
        <v>2007</v>
      </c>
      <c r="E2453">
        <f t="shared" si="97"/>
        <v>8</v>
      </c>
    </row>
    <row r="2454" spans="1:5" x14ac:dyDescent="0.3">
      <c r="A2454" t="s">
        <v>2579</v>
      </c>
      <c r="B2454" t="s">
        <v>127</v>
      </c>
      <c r="C2454">
        <v>136</v>
      </c>
      <c r="D2454">
        <f t="shared" si="96"/>
        <v>2007</v>
      </c>
      <c r="E2454">
        <f t="shared" si="97"/>
        <v>8</v>
      </c>
    </row>
    <row r="2455" spans="1:5" x14ac:dyDescent="0.3">
      <c r="A2455" t="s">
        <v>2580</v>
      </c>
      <c r="B2455" t="s">
        <v>127</v>
      </c>
      <c r="C2455">
        <v>141</v>
      </c>
      <c r="D2455">
        <f t="shared" si="96"/>
        <v>2007</v>
      </c>
      <c r="E2455">
        <f t="shared" si="97"/>
        <v>8</v>
      </c>
    </row>
    <row r="2456" spans="1:5" x14ac:dyDescent="0.3">
      <c r="A2456" t="s">
        <v>2581</v>
      </c>
      <c r="B2456" t="s">
        <v>127</v>
      </c>
      <c r="C2456">
        <v>131</v>
      </c>
      <c r="D2456">
        <f t="shared" si="96"/>
        <v>2007</v>
      </c>
      <c r="E2456">
        <f t="shared" si="97"/>
        <v>8</v>
      </c>
    </row>
    <row r="2457" spans="1:5" x14ac:dyDescent="0.3">
      <c r="A2457" t="s">
        <v>2582</v>
      </c>
      <c r="B2457" t="s">
        <v>127</v>
      </c>
      <c r="C2457">
        <v>132</v>
      </c>
      <c r="D2457">
        <f t="shared" si="96"/>
        <v>2007</v>
      </c>
      <c r="E2457">
        <f t="shared" si="97"/>
        <v>9</v>
      </c>
    </row>
    <row r="2458" spans="1:5" x14ac:dyDescent="0.3">
      <c r="A2458" t="s">
        <v>2583</v>
      </c>
      <c r="B2458" t="s">
        <v>127</v>
      </c>
      <c r="C2458">
        <v>139</v>
      </c>
      <c r="D2458">
        <f t="shared" si="96"/>
        <v>2007</v>
      </c>
      <c r="E2458">
        <f t="shared" si="97"/>
        <v>9</v>
      </c>
    </row>
    <row r="2459" spans="1:5" x14ac:dyDescent="0.3">
      <c r="A2459" t="s">
        <v>2584</v>
      </c>
      <c r="B2459" t="s">
        <v>127</v>
      </c>
      <c r="C2459">
        <v>136</v>
      </c>
      <c r="D2459">
        <f t="shared" si="96"/>
        <v>2007</v>
      </c>
      <c r="E2459">
        <f t="shared" si="97"/>
        <v>9</v>
      </c>
    </row>
    <row r="2460" spans="1:5" x14ac:dyDescent="0.3">
      <c r="A2460" t="s">
        <v>2585</v>
      </c>
      <c r="B2460" t="s">
        <v>127</v>
      </c>
      <c r="C2460">
        <v>140</v>
      </c>
      <c r="D2460">
        <f t="shared" si="96"/>
        <v>2007</v>
      </c>
      <c r="E2460">
        <f t="shared" si="97"/>
        <v>9</v>
      </c>
    </row>
    <row r="2461" spans="1:5" x14ac:dyDescent="0.3">
      <c r="A2461" t="s">
        <v>2586</v>
      </c>
      <c r="B2461" t="s">
        <v>127</v>
      </c>
      <c r="C2461">
        <v>149</v>
      </c>
      <c r="D2461">
        <f t="shared" si="96"/>
        <v>2007</v>
      </c>
      <c r="E2461">
        <f t="shared" si="97"/>
        <v>9</v>
      </c>
    </row>
    <row r="2462" spans="1:5" x14ac:dyDescent="0.3">
      <c r="A2462" t="s">
        <v>2587</v>
      </c>
      <c r="B2462" t="s">
        <v>127</v>
      </c>
      <c r="C2462">
        <v>144</v>
      </c>
      <c r="D2462">
        <f t="shared" si="96"/>
        <v>2007</v>
      </c>
      <c r="E2462">
        <f t="shared" si="97"/>
        <v>9</v>
      </c>
    </row>
    <row r="2463" spans="1:5" x14ac:dyDescent="0.3">
      <c r="A2463" t="s">
        <v>2588</v>
      </c>
      <c r="B2463" t="s">
        <v>127</v>
      </c>
      <c r="C2463">
        <v>139</v>
      </c>
      <c r="D2463">
        <f t="shared" si="96"/>
        <v>2007</v>
      </c>
      <c r="E2463">
        <f t="shared" si="97"/>
        <v>9</v>
      </c>
    </row>
    <row r="2464" spans="1:5" x14ac:dyDescent="0.3">
      <c r="A2464" t="s">
        <v>2589</v>
      </c>
      <c r="B2464" t="s">
        <v>127</v>
      </c>
      <c r="C2464">
        <v>134</v>
      </c>
      <c r="D2464">
        <f t="shared" si="96"/>
        <v>2007</v>
      </c>
      <c r="E2464">
        <f t="shared" si="97"/>
        <v>9</v>
      </c>
    </row>
    <row r="2465" spans="1:5" x14ac:dyDescent="0.3">
      <c r="A2465" t="s">
        <v>2590</v>
      </c>
      <c r="B2465" t="s">
        <v>127</v>
      </c>
      <c r="C2465">
        <v>135</v>
      </c>
      <c r="D2465">
        <f t="shared" si="96"/>
        <v>2007</v>
      </c>
      <c r="E2465">
        <f t="shared" si="97"/>
        <v>9</v>
      </c>
    </row>
    <row r="2466" spans="1:5" x14ac:dyDescent="0.3">
      <c r="A2466" t="s">
        <v>2591</v>
      </c>
      <c r="B2466" t="s">
        <v>127</v>
      </c>
      <c r="C2466">
        <v>136</v>
      </c>
      <c r="D2466">
        <f t="shared" si="96"/>
        <v>2007</v>
      </c>
      <c r="E2466">
        <f t="shared" si="97"/>
        <v>9</v>
      </c>
    </row>
    <row r="2467" spans="1:5" x14ac:dyDescent="0.3">
      <c r="A2467" t="s">
        <v>2592</v>
      </c>
      <c r="B2467" t="s">
        <v>127</v>
      </c>
      <c r="C2467">
        <v>131</v>
      </c>
      <c r="D2467">
        <f t="shared" si="96"/>
        <v>2007</v>
      </c>
      <c r="E2467">
        <f t="shared" si="97"/>
        <v>9</v>
      </c>
    </row>
    <row r="2468" spans="1:5" x14ac:dyDescent="0.3">
      <c r="A2468" t="s">
        <v>2593</v>
      </c>
      <c r="B2468" t="s">
        <v>127</v>
      </c>
      <c r="C2468">
        <v>125</v>
      </c>
      <c r="D2468">
        <f t="shared" si="96"/>
        <v>2007</v>
      </c>
      <c r="E2468">
        <f t="shared" si="97"/>
        <v>9</v>
      </c>
    </row>
    <row r="2469" spans="1:5" x14ac:dyDescent="0.3">
      <c r="A2469" t="s">
        <v>2594</v>
      </c>
      <c r="B2469" t="s">
        <v>127</v>
      </c>
      <c r="C2469">
        <v>117</v>
      </c>
      <c r="D2469">
        <f t="shared" si="96"/>
        <v>2007</v>
      </c>
      <c r="E2469">
        <f t="shared" si="97"/>
        <v>9</v>
      </c>
    </row>
    <row r="2470" spans="1:5" x14ac:dyDescent="0.3">
      <c r="A2470" t="s">
        <v>2595</v>
      </c>
      <c r="B2470" t="s">
        <v>127</v>
      </c>
      <c r="C2470">
        <v>123</v>
      </c>
      <c r="D2470">
        <f t="shared" si="96"/>
        <v>2007</v>
      </c>
      <c r="E2470">
        <f t="shared" si="97"/>
        <v>9</v>
      </c>
    </row>
    <row r="2471" spans="1:5" x14ac:dyDescent="0.3">
      <c r="A2471" t="s">
        <v>2596</v>
      </c>
      <c r="B2471" t="s">
        <v>127</v>
      </c>
      <c r="C2471">
        <v>128</v>
      </c>
      <c r="D2471">
        <f t="shared" si="96"/>
        <v>2007</v>
      </c>
      <c r="E2471">
        <f t="shared" si="97"/>
        <v>9</v>
      </c>
    </row>
    <row r="2472" spans="1:5" x14ac:dyDescent="0.3">
      <c r="A2472" t="s">
        <v>2597</v>
      </c>
      <c r="B2472" t="s">
        <v>127</v>
      </c>
      <c r="C2472">
        <v>129</v>
      </c>
      <c r="D2472">
        <f t="shared" si="96"/>
        <v>2007</v>
      </c>
      <c r="E2472">
        <f t="shared" si="97"/>
        <v>9</v>
      </c>
    </row>
    <row r="2473" spans="1:5" x14ac:dyDescent="0.3">
      <c r="A2473" t="s">
        <v>2598</v>
      </c>
      <c r="B2473" t="s">
        <v>127</v>
      </c>
      <c r="C2473">
        <v>130</v>
      </c>
      <c r="D2473">
        <f t="shared" si="96"/>
        <v>2007</v>
      </c>
      <c r="E2473">
        <f t="shared" si="97"/>
        <v>9</v>
      </c>
    </row>
    <row r="2474" spans="1:5" x14ac:dyDescent="0.3">
      <c r="A2474" t="s">
        <v>2599</v>
      </c>
      <c r="B2474" t="s">
        <v>127</v>
      </c>
      <c r="C2474">
        <v>132</v>
      </c>
      <c r="D2474">
        <f t="shared" si="96"/>
        <v>2007</v>
      </c>
      <c r="E2474">
        <f t="shared" si="97"/>
        <v>9</v>
      </c>
    </row>
    <row r="2475" spans="1:5" x14ac:dyDescent="0.3">
      <c r="A2475" t="s">
        <v>2600</v>
      </c>
      <c r="B2475" t="s">
        <v>127</v>
      </c>
      <c r="C2475">
        <v>131</v>
      </c>
      <c r="D2475">
        <f t="shared" si="96"/>
        <v>2007</v>
      </c>
      <c r="E2475">
        <f t="shared" si="97"/>
        <v>9</v>
      </c>
    </row>
    <row r="2476" spans="1:5" x14ac:dyDescent="0.3">
      <c r="A2476" t="s">
        <v>2601</v>
      </c>
      <c r="B2476" t="s">
        <v>127</v>
      </c>
      <c r="C2476">
        <v>131</v>
      </c>
      <c r="D2476">
        <f t="shared" si="96"/>
        <v>2007</v>
      </c>
      <c r="E2476">
        <f t="shared" si="97"/>
        <v>10</v>
      </c>
    </row>
    <row r="2477" spans="1:5" x14ac:dyDescent="0.3">
      <c r="A2477" t="s">
        <v>2602</v>
      </c>
      <c r="B2477" t="s">
        <v>127</v>
      </c>
      <c r="C2477">
        <v>132</v>
      </c>
      <c r="D2477">
        <f t="shared" si="96"/>
        <v>2007</v>
      </c>
      <c r="E2477">
        <f t="shared" si="97"/>
        <v>10</v>
      </c>
    </row>
    <row r="2478" spans="1:5" x14ac:dyDescent="0.3">
      <c r="A2478" t="s">
        <v>2603</v>
      </c>
      <c r="B2478" t="s">
        <v>127</v>
      </c>
      <c r="C2478">
        <v>129</v>
      </c>
      <c r="D2478">
        <f t="shared" si="96"/>
        <v>2007</v>
      </c>
      <c r="E2478">
        <f t="shared" si="97"/>
        <v>10</v>
      </c>
    </row>
    <row r="2479" spans="1:5" x14ac:dyDescent="0.3">
      <c r="A2479" t="s">
        <v>2604</v>
      </c>
      <c r="B2479" t="s">
        <v>127</v>
      </c>
      <c r="C2479">
        <v>130</v>
      </c>
      <c r="D2479">
        <f t="shared" si="96"/>
        <v>2007</v>
      </c>
      <c r="E2479">
        <f t="shared" si="97"/>
        <v>10</v>
      </c>
    </row>
    <row r="2480" spans="1:5" x14ac:dyDescent="0.3">
      <c r="A2480" t="s">
        <v>2605</v>
      </c>
      <c r="B2480" t="s">
        <v>127</v>
      </c>
      <c r="C2480">
        <v>128</v>
      </c>
      <c r="D2480">
        <f t="shared" si="96"/>
        <v>2007</v>
      </c>
      <c r="E2480">
        <f t="shared" si="97"/>
        <v>10</v>
      </c>
    </row>
    <row r="2481" spans="1:5" x14ac:dyDescent="0.3">
      <c r="A2481" t="s">
        <v>2606</v>
      </c>
      <c r="B2481" t="s">
        <v>127</v>
      </c>
      <c r="C2481">
        <v>121</v>
      </c>
      <c r="D2481">
        <f t="shared" si="96"/>
        <v>2007</v>
      </c>
      <c r="E2481">
        <f t="shared" si="97"/>
        <v>10</v>
      </c>
    </row>
    <row r="2482" spans="1:5" x14ac:dyDescent="0.3">
      <c r="A2482" t="s">
        <v>2607</v>
      </c>
      <c r="B2482" t="s">
        <v>127</v>
      </c>
      <c r="C2482">
        <v>116</v>
      </c>
      <c r="D2482">
        <f t="shared" si="96"/>
        <v>2007</v>
      </c>
      <c r="E2482">
        <f t="shared" si="97"/>
        <v>10</v>
      </c>
    </row>
    <row r="2483" spans="1:5" x14ac:dyDescent="0.3">
      <c r="A2483" t="s">
        <v>2608</v>
      </c>
      <c r="B2483" t="s">
        <v>127</v>
      </c>
      <c r="C2483">
        <v>116</v>
      </c>
      <c r="D2483">
        <f t="shared" si="96"/>
        <v>2007</v>
      </c>
      <c r="E2483">
        <f t="shared" si="97"/>
        <v>10</v>
      </c>
    </row>
    <row r="2484" spans="1:5" x14ac:dyDescent="0.3">
      <c r="A2484" t="s">
        <v>2609</v>
      </c>
      <c r="B2484" t="s">
        <v>127</v>
      </c>
      <c r="C2484">
        <v>116</v>
      </c>
      <c r="D2484">
        <f t="shared" si="96"/>
        <v>2007</v>
      </c>
      <c r="E2484">
        <f t="shared" si="97"/>
        <v>10</v>
      </c>
    </row>
    <row r="2485" spans="1:5" x14ac:dyDescent="0.3">
      <c r="A2485" t="s">
        <v>2610</v>
      </c>
      <c r="B2485" t="s">
        <v>127</v>
      </c>
      <c r="C2485">
        <v>116</v>
      </c>
      <c r="D2485">
        <f t="shared" si="96"/>
        <v>2007</v>
      </c>
      <c r="E2485">
        <f t="shared" si="97"/>
        <v>10</v>
      </c>
    </row>
    <row r="2486" spans="1:5" x14ac:dyDescent="0.3">
      <c r="A2486" t="s">
        <v>2611</v>
      </c>
      <c r="B2486" t="s">
        <v>127</v>
      </c>
      <c r="C2486">
        <v>117</v>
      </c>
      <c r="D2486">
        <f t="shared" si="96"/>
        <v>2007</v>
      </c>
      <c r="E2486">
        <f t="shared" si="97"/>
        <v>10</v>
      </c>
    </row>
    <row r="2487" spans="1:5" x14ac:dyDescent="0.3">
      <c r="A2487" t="s">
        <v>2612</v>
      </c>
      <c r="B2487" t="s">
        <v>127</v>
      </c>
      <c r="C2487">
        <v>125</v>
      </c>
      <c r="D2487">
        <f t="shared" si="96"/>
        <v>2007</v>
      </c>
      <c r="E2487">
        <f t="shared" si="97"/>
        <v>10</v>
      </c>
    </row>
    <row r="2488" spans="1:5" x14ac:dyDescent="0.3">
      <c r="A2488" t="s">
        <v>2613</v>
      </c>
      <c r="B2488" t="s">
        <v>127</v>
      </c>
      <c r="C2488">
        <v>127</v>
      </c>
      <c r="D2488">
        <f t="shared" si="96"/>
        <v>2007</v>
      </c>
      <c r="E2488">
        <f t="shared" si="97"/>
        <v>10</v>
      </c>
    </row>
    <row r="2489" spans="1:5" x14ac:dyDescent="0.3">
      <c r="A2489" t="s">
        <v>2614</v>
      </c>
      <c r="B2489" t="s">
        <v>127</v>
      </c>
      <c r="C2489">
        <v>134</v>
      </c>
      <c r="D2489">
        <f t="shared" si="96"/>
        <v>2007</v>
      </c>
      <c r="E2489">
        <f t="shared" si="97"/>
        <v>10</v>
      </c>
    </row>
    <row r="2490" spans="1:5" x14ac:dyDescent="0.3">
      <c r="A2490" t="s">
        <v>2615</v>
      </c>
      <c r="B2490" t="s">
        <v>127</v>
      </c>
      <c r="C2490">
        <v>135</v>
      </c>
      <c r="D2490">
        <f t="shared" si="96"/>
        <v>2007</v>
      </c>
      <c r="E2490">
        <f t="shared" si="97"/>
        <v>10</v>
      </c>
    </row>
    <row r="2491" spans="1:5" x14ac:dyDescent="0.3">
      <c r="A2491" t="s">
        <v>2616</v>
      </c>
      <c r="B2491" t="s">
        <v>127</v>
      </c>
      <c r="C2491">
        <v>133</v>
      </c>
      <c r="D2491">
        <f t="shared" si="96"/>
        <v>2007</v>
      </c>
      <c r="E2491">
        <f t="shared" si="97"/>
        <v>10</v>
      </c>
    </row>
    <row r="2492" spans="1:5" x14ac:dyDescent="0.3">
      <c r="A2492" t="s">
        <v>2617</v>
      </c>
      <c r="B2492" t="s">
        <v>127</v>
      </c>
      <c r="C2492">
        <v>136</v>
      </c>
      <c r="D2492">
        <f t="shared" si="96"/>
        <v>2007</v>
      </c>
      <c r="E2492">
        <f t="shared" si="97"/>
        <v>10</v>
      </c>
    </row>
    <row r="2493" spans="1:5" x14ac:dyDescent="0.3">
      <c r="A2493" t="s">
        <v>2618</v>
      </c>
      <c r="B2493" t="s">
        <v>127</v>
      </c>
      <c r="C2493">
        <v>135</v>
      </c>
      <c r="D2493">
        <f t="shared" si="96"/>
        <v>2007</v>
      </c>
      <c r="E2493">
        <f t="shared" si="97"/>
        <v>10</v>
      </c>
    </row>
    <row r="2494" spans="1:5" x14ac:dyDescent="0.3">
      <c r="A2494" t="s">
        <v>2619</v>
      </c>
      <c r="B2494" t="s">
        <v>127</v>
      </c>
      <c r="C2494">
        <v>130</v>
      </c>
      <c r="D2494">
        <f t="shared" si="96"/>
        <v>2007</v>
      </c>
      <c r="E2494">
        <f t="shared" si="97"/>
        <v>10</v>
      </c>
    </row>
    <row r="2495" spans="1:5" x14ac:dyDescent="0.3">
      <c r="A2495" t="s">
        <v>2620</v>
      </c>
      <c r="B2495" t="s">
        <v>127</v>
      </c>
      <c r="C2495">
        <v>126</v>
      </c>
      <c r="D2495">
        <f t="shared" si="96"/>
        <v>2007</v>
      </c>
      <c r="E2495">
        <f t="shared" si="97"/>
        <v>10</v>
      </c>
    </row>
    <row r="2496" spans="1:5" x14ac:dyDescent="0.3">
      <c r="A2496" t="s">
        <v>2621</v>
      </c>
      <c r="B2496" t="s">
        <v>127</v>
      </c>
      <c r="C2496">
        <v>126</v>
      </c>
      <c r="D2496">
        <f t="shared" si="96"/>
        <v>2007</v>
      </c>
      <c r="E2496">
        <f t="shared" si="97"/>
        <v>10</v>
      </c>
    </row>
    <row r="2497" spans="1:5" x14ac:dyDescent="0.3">
      <c r="A2497" t="s">
        <v>2622</v>
      </c>
      <c r="B2497" t="s">
        <v>127</v>
      </c>
      <c r="C2497">
        <v>121</v>
      </c>
      <c r="D2497">
        <f t="shared" si="96"/>
        <v>2007</v>
      </c>
      <c r="E2497">
        <f t="shared" si="97"/>
        <v>10</v>
      </c>
    </row>
    <row r="2498" spans="1:5" x14ac:dyDescent="0.3">
      <c r="A2498" t="s">
        <v>2623</v>
      </c>
      <c r="B2498" t="s">
        <v>127</v>
      </c>
      <c r="C2498">
        <v>131</v>
      </c>
      <c r="D2498">
        <f t="shared" si="96"/>
        <v>2007</v>
      </c>
      <c r="E2498">
        <f t="shared" si="97"/>
        <v>11</v>
      </c>
    </row>
    <row r="2499" spans="1:5" x14ac:dyDescent="0.3">
      <c r="A2499" t="s">
        <v>2624</v>
      </c>
      <c r="B2499" t="s">
        <v>127</v>
      </c>
      <c r="C2499">
        <v>138</v>
      </c>
      <c r="D2499">
        <f t="shared" ref="D2499:D2562" si="98">YEAR(A2499)</f>
        <v>2007</v>
      </c>
      <c r="E2499">
        <f t="shared" ref="E2499:E2562" si="99">MONTH(A2499)</f>
        <v>11</v>
      </c>
    </row>
    <row r="2500" spans="1:5" x14ac:dyDescent="0.3">
      <c r="A2500" t="s">
        <v>2625</v>
      </c>
      <c r="B2500" t="s">
        <v>127</v>
      </c>
      <c r="C2500">
        <v>136</v>
      </c>
      <c r="D2500">
        <f t="shared" si="98"/>
        <v>2007</v>
      </c>
      <c r="E2500">
        <f t="shared" si="99"/>
        <v>11</v>
      </c>
    </row>
    <row r="2501" spans="1:5" x14ac:dyDescent="0.3">
      <c r="A2501" t="s">
        <v>2626</v>
      </c>
      <c r="B2501" t="s">
        <v>127</v>
      </c>
      <c r="C2501">
        <v>133</v>
      </c>
      <c r="D2501">
        <f t="shared" si="98"/>
        <v>2007</v>
      </c>
      <c r="E2501">
        <f t="shared" si="99"/>
        <v>11</v>
      </c>
    </row>
    <row r="2502" spans="1:5" x14ac:dyDescent="0.3">
      <c r="A2502" t="s">
        <v>2627</v>
      </c>
      <c r="B2502" t="s">
        <v>127</v>
      </c>
      <c r="C2502">
        <v>139</v>
      </c>
      <c r="D2502">
        <f t="shared" si="98"/>
        <v>2007</v>
      </c>
      <c r="E2502">
        <f t="shared" si="99"/>
        <v>11</v>
      </c>
    </row>
    <row r="2503" spans="1:5" x14ac:dyDescent="0.3">
      <c r="A2503" t="s">
        <v>2628</v>
      </c>
      <c r="B2503" t="s">
        <v>127</v>
      </c>
      <c r="C2503">
        <v>146</v>
      </c>
      <c r="D2503">
        <f t="shared" si="98"/>
        <v>2007</v>
      </c>
      <c r="E2503">
        <f t="shared" si="99"/>
        <v>11</v>
      </c>
    </row>
    <row r="2504" spans="1:5" x14ac:dyDescent="0.3">
      <c r="A2504" t="s">
        <v>2629</v>
      </c>
      <c r="B2504" t="s">
        <v>127</v>
      </c>
      <c r="C2504">
        <v>150</v>
      </c>
      <c r="D2504">
        <f t="shared" si="98"/>
        <v>2007</v>
      </c>
      <c r="E2504">
        <f t="shared" si="99"/>
        <v>11</v>
      </c>
    </row>
    <row r="2505" spans="1:5" x14ac:dyDescent="0.3">
      <c r="A2505" t="s">
        <v>2630</v>
      </c>
      <c r="B2505" t="s">
        <v>127</v>
      </c>
      <c r="C2505">
        <v>151</v>
      </c>
      <c r="D2505">
        <f t="shared" si="98"/>
        <v>2007</v>
      </c>
      <c r="E2505">
        <f t="shared" si="99"/>
        <v>11</v>
      </c>
    </row>
    <row r="2506" spans="1:5" x14ac:dyDescent="0.3">
      <c r="A2506" t="s">
        <v>2631</v>
      </c>
      <c r="B2506" t="s">
        <v>127</v>
      </c>
      <c r="C2506">
        <v>148</v>
      </c>
      <c r="D2506">
        <f t="shared" si="98"/>
        <v>2007</v>
      </c>
      <c r="E2506">
        <f t="shared" si="99"/>
        <v>11</v>
      </c>
    </row>
    <row r="2507" spans="1:5" x14ac:dyDescent="0.3">
      <c r="A2507" t="s">
        <v>2632</v>
      </c>
      <c r="B2507" t="s">
        <v>127</v>
      </c>
      <c r="C2507">
        <v>154</v>
      </c>
      <c r="D2507">
        <f t="shared" si="98"/>
        <v>2007</v>
      </c>
      <c r="E2507">
        <f t="shared" si="99"/>
        <v>11</v>
      </c>
    </row>
    <row r="2508" spans="1:5" x14ac:dyDescent="0.3">
      <c r="A2508" t="s">
        <v>2633</v>
      </c>
      <c r="B2508" t="s">
        <v>127</v>
      </c>
      <c r="C2508">
        <v>162</v>
      </c>
      <c r="D2508">
        <f t="shared" si="98"/>
        <v>2007</v>
      </c>
      <c r="E2508">
        <f t="shared" si="99"/>
        <v>11</v>
      </c>
    </row>
    <row r="2509" spans="1:5" x14ac:dyDescent="0.3">
      <c r="A2509" t="s">
        <v>2634</v>
      </c>
      <c r="B2509" t="s">
        <v>127</v>
      </c>
      <c r="C2509">
        <v>169</v>
      </c>
      <c r="D2509">
        <f t="shared" si="98"/>
        <v>2007</v>
      </c>
      <c r="E2509">
        <f t="shared" si="99"/>
        <v>11</v>
      </c>
    </row>
    <row r="2510" spans="1:5" x14ac:dyDescent="0.3">
      <c r="A2510" t="s">
        <v>2635</v>
      </c>
      <c r="B2510" t="s">
        <v>127</v>
      </c>
      <c r="C2510">
        <v>170</v>
      </c>
      <c r="D2510">
        <f t="shared" si="98"/>
        <v>2007</v>
      </c>
      <c r="E2510">
        <f t="shared" si="99"/>
        <v>11</v>
      </c>
    </row>
    <row r="2511" spans="1:5" x14ac:dyDescent="0.3">
      <c r="A2511" t="s">
        <v>2636</v>
      </c>
      <c r="B2511" t="s">
        <v>127</v>
      </c>
      <c r="C2511">
        <v>175</v>
      </c>
      <c r="D2511">
        <f t="shared" si="98"/>
        <v>2007</v>
      </c>
      <c r="E2511">
        <f t="shared" si="99"/>
        <v>11</v>
      </c>
    </row>
    <row r="2512" spans="1:5" x14ac:dyDescent="0.3">
      <c r="A2512" t="s">
        <v>2637</v>
      </c>
      <c r="B2512" t="s">
        <v>127</v>
      </c>
      <c r="C2512">
        <v>173</v>
      </c>
      <c r="D2512">
        <f t="shared" si="98"/>
        <v>2007</v>
      </c>
      <c r="E2512">
        <f t="shared" si="99"/>
        <v>11</v>
      </c>
    </row>
    <row r="2513" spans="1:5" x14ac:dyDescent="0.3">
      <c r="A2513" t="s">
        <v>2638</v>
      </c>
      <c r="B2513" t="s">
        <v>127</v>
      </c>
      <c r="C2513">
        <v>191</v>
      </c>
      <c r="D2513">
        <f t="shared" si="98"/>
        <v>2007</v>
      </c>
      <c r="E2513">
        <f t="shared" si="99"/>
        <v>11</v>
      </c>
    </row>
    <row r="2514" spans="1:5" x14ac:dyDescent="0.3">
      <c r="A2514" t="s">
        <v>2639</v>
      </c>
      <c r="B2514" t="s">
        <v>127</v>
      </c>
      <c r="C2514">
        <v>182</v>
      </c>
      <c r="D2514">
        <f t="shared" si="98"/>
        <v>2007</v>
      </c>
      <c r="E2514">
        <f t="shared" si="99"/>
        <v>11</v>
      </c>
    </row>
    <row r="2515" spans="1:5" x14ac:dyDescent="0.3">
      <c r="A2515" t="s">
        <v>2640</v>
      </c>
      <c r="B2515" t="s">
        <v>127</v>
      </c>
      <c r="C2515">
        <v>168</v>
      </c>
      <c r="D2515">
        <f t="shared" si="98"/>
        <v>2007</v>
      </c>
      <c r="E2515">
        <f t="shared" si="99"/>
        <v>11</v>
      </c>
    </row>
    <row r="2516" spans="1:5" x14ac:dyDescent="0.3">
      <c r="A2516" t="s">
        <v>2641</v>
      </c>
      <c r="B2516" t="s">
        <v>127</v>
      </c>
      <c r="C2516">
        <v>176</v>
      </c>
      <c r="D2516">
        <f t="shared" si="98"/>
        <v>2007</v>
      </c>
      <c r="E2516">
        <f t="shared" si="99"/>
        <v>11</v>
      </c>
    </row>
    <row r="2517" spans="1:5" x14ac:dyDescent="0.3">
      <c r="A2517" t="s">
        <v>2642</v>
      </c>
      <c r="B2517" t="s">
        <v>127</v>
      </c>
      <c r="C2517">
        <v>170</v>
      </c>
      <c r="D2517">
        <f t="shared" si="98"/>
        <v>2007</v>
      </c>
      <c r="E2517">
        <f t="shared" si="99"/>
        <v>11</v>
      </c>
    </row>
    <row r="2518" spans="1:5" x14ac:dyDescent="0.3">
      <c r="A2518" t="s">
        <v>2643</v>
      </c>
      <c r="B2518" t="s">
        <v>127</v>
      </c>
      <c r="C2518">
        <v>179</v>
      </c>
      <c r="D2518">
        <f t="shared" si="98"/>
        <v>2007</v>
      </c>
      <c r="E2518">
        <f t="shared" si="99"/>
        <v>12</v>
      </c>
    </row>
    <row r="2519" spans="1:5" x14ac:dyDescent="0.3">
      <c r="A2519" t="s">
        <v>2644</v>
      </c>
      <c r="B2519" t="s">
        <v>127</v>
      </c>
      <c r="C2519">
        <v>180</v>
      </c>
      <c r="D2519">
        <f t="shared" si="98"/>
        <v>2007</v>
      </c>
      <c r="E2519">
        <f t="shared" si="99"/>
        <v>12</v>
      </c>
    </row>
    <row r="2520" spans="1:5" x14ac:dyDescent="0.3">
      <c r="A2520" t="s">
        <v>2645</v>
      </c>
      <c r="B2520" t="s">
        <v>127</v>
      </c>
      <c r="C2520">
        <v>177</v>
      </c>
      <c r="D2520">
        <f t="shared" si="98"/>
        <v>2007</v>
      </c>
      <c r="E2520">
        <f t="shared" si="99"/>
        <v>12</v>
      </c>
    </row>
    <row r="2521" spans="1:5" x14ac:dyDescent="0.3">
      <c r="A2521" t="s">
        <v>2646</v>
      </c>
      <c r="B2521" t="s">
        <v>127</v>
      </c>
      <c r="C2521">
        <v>169</v>
      </c>
      <c r="D2521">
        <f t="shared" si="98"/>
        <v>2007</v>
      </c>
      <c r="E2521">
        <f t="shared" si="99"/>
        <v>12</v>
      </c>
    </row>
    <row r="2522" spans="1:5" x14ac:dyDescent="0.3">
      <c r="A2522" t="s">
        <v>2647</v>
      </c>
      <c r="B2522" t="s">
        <v>127</v>
      </c>
      <c r="C2522">
        <v>164</v>
      </c>
      <c r="D2522">
        <f t="shared" si="98"/>
        <v>2007</v>
      </c>
      <c r="E2522">
        <f t="shared" si="99"/>
        <v>12</v>
      </c>
    </row>
    <row r="2523" spans="1:5" x14ac:dyDescent="0.3">
      <c r="A2523" t="s">
        <v>2648</v>
      </c>
      <c r="B2523" t="s">
        <v>127</v>
      </c>
      <c r="C2523">
        <v>158</v>
      </c>
      <c r="D2523">
        <f t="shared" si="98"/>
        <v>2007</v>
      </c>
      <c r="E2523">
        <f t="shared" si="99"/>
        <v>12</v>
      </c>
    </row>
    <row r="2524" spans="1:5" x14ac:dyDescent="0.3">
      <c r="A2524" t="s">
        <v>2649</v>
      </c>
      <c r="B2524" t="s">
        <v>127</v>
      </c>
      <c r="C2524">
        <v>168</v>
      </c>
      <c r="D2524">
        <f t="shared" si="98"/>
        <v>2007</v>
      </c>
      <c r="E2524">
        <f t="shared" si="99"/>
        <v>12</v>
      </c>
    </row>
    <row r="2525" spans="1:5" x14ac:dyDescent="0.3">
      <c r="A2525" t="s">
        <v>2650</v>
      </c>
      <c r="B2525" t="s">
        <v>127</v>
      </c>
      <c r="C2525">
        <v>164</v>
      </c>
      <c r="D2525">
        <f t="shared" si="98"/>
        <v>2007</v>
      </c>
      <c r="E2525">
        <f t="shared" si="99"/>
        <v>12</v>
      </c>
    </row>
    <row r="2526" spans="1:5" x14ac:dyDescent="0.3">
      <c r="A2526" t="s">
        <v>2651</v>
      </c>
      <c r="B2526" t="s">
        <v>127</v>
      </c>
      <c r="C2526">
        <v>155</v>
      </c>
      <c r="D2526">
        <f t="shared" si="98"/>
        <v>2007</v>
      </c>
      <c r="E2526">
        <f t="shared" si="99"/>
        <v>12</v>
      </c>
    </row>
    <row r="2527" spans="1:5" x14ac:dyDescent="0.3">
      <c r="A2527" t="s">
        <v>2652</v>
      </c>
      <c r="B2527" t="s">
        <v>127</v>
      </c>
      <c r="C2527">
        <v>154</v>
      </c>
      <c r="D2527">
        <f t="shared" si="98"/>
        <v>2007</v>
      </c>
      <c r="E2527">
        <f t="shared" si="99"/>
        <v>12</v>
      </c>
    </row>
    <row r="2528" spans="1:5" x14ac:dyDescent="0.3">
      <c r="A2528" t="s">
        <v>2653</v>
      </c>
      <c r="B2528" t="s">
        <v>127</v>
      </c>
      <c r="C2528">
        <v>159</v>
      </c>
      <c r="D2528">
        <f t="shared" si="98"/>
        <v>2007</v>
      </c>
      <c r="E2528">
        <f t="shared" si="99"/>
        <v>12</v>
      </c>
    </row>
    <row r="2529" spans="1:5" x14ac:dyDescent="0.3">
      <c r="A2529" t="s">
        <v>2654</v>
      </c>
      <c r="B2529" t="s">
        <v>127</v>
      </c>
      <c r="C2529">
        <v>166</v>
      </c>
      <c r="D2529">
        <f t="shared" si="98"/>
        <v>2007</v>
      </c>
      <c r="E2529">
        <f t="shared" si="99"/>
        <v>12</v>
      </c>
    </row>
    <row r="2530" spans="1:5" x14ac:dyDescent="0.3">
      <c r="A2530" t="s">
        <v>2655</v>
      </c>
      <c r="B2530" t="s">
        <v>127</v>
      </c>
      <c r="C2530">
        <v>172</v>
      </c>
      <c r="D2530">
        <f t="shared" si="98"/>
        <v>2007</v>
      </c>
      <c r="E2530">
        <f t="shared" si="99"/>
        <v>12</v>
      </c>
    </row>
    <row r="2531" spans="1:5" x14ac:dyDescent="0.3">
      <c r="A2531" t="s">
        <v>2656</v>
      </c>
      <c r="B2531" t="s">
        <v>127</v>
      </c>
      <c r="C2531">
        <v>176</v>
      </c>
      <c r="D2531">
        <f t="shared" si="98"/>
        <v>2007</v>
      </c>
      <c r="E2531">
        <f t="shared" si="99"/>
        <v>12</v>
      </c>
    </row>
    <row r="2532" spans="1:5" x14ac:dyDescent="0.3">
      <c r="A2532" t="s">
        <v>2657</v>
      </c>
      <c r="B2532" t="s">
        <v>127</v>
      </c>
      <c r="C2532">
        <v>164</v>
      </c>
      <c r="D2532">
        <f t="shared" si="98"/>
        <v>2007</v>
      </c>
      <c r="E2532">
        <f t="shared" si="99"/>
        <v>12</v>
      </c>
    </row>
    <row r="2533" spans="1:5" x14ac:dyDescent="0.3">
      <c r="A2533" t="s">
        <v>2658</v>
      </c>
      <c r="B2533" t="s">
        <v>127</v>
      </c>
      <c r="C2533">
        <v>135</v>
      </c>
      <c r="D2533">
        <f t="shared" si="98"/>
        <v>2007</v>
      </c>
      <c r="E2533">
        <f t="shared" si="99"/>
        <v>12</v>
      </c>
    </row>
    <row r="2534" spans="1:5" x14ac:dyDescent="0.3">
      <c r="A2534" t="s">
        <v>2659</v>
      </c>
      <c r="B2534" t="s">
        <v>127</v>
      </c>
      <c r="C2534">
        <v>154</v>
      </c>
      <c r="D2534">
        <f t="shared" si="98"/>
        <v>2007</v>
      </c>
      <c r="E2534">
        <f t="shared" si="99"/>
        <v>12</v>
      </c>
    </row>
    <row r="2535" spans="1:5" x14ac:dyDescent="0.3">
      <c r="A2535" t="s">
        <v>2660</v>
      </c>
      <c r="B2535" t="s">
        <v>127</v>
      </c>
      <c r="C2535">
        <v>155</v>
      </c>
      <c r="D2535">
        <f t="shared" si="98"/>
        <v>2007</v>
      </c>
      <c r="E2535">
        <f t="shared" si="99"/>
        <v>12</v>
      </c>
    </row>
    <row r="2536" spans="1:5" x14ac:dyDescent="0.3">
      <c r="A2536" t="s">
        <v>2661</v>
      </c>
      <c r="B2536" t="s">
        <v>127</v>
      </c>
      <c r="C2536">
        <v>163</v>
      </c>
      <c r="D2536">
        <f t="shared" si="98"/>
        <v>2007</v>
      </c>
      <c r="E2536">
        <f t="shared" si="99"/>
        <v>12</v>
      </c>
    </row>
    <row r="2537" spans="1:5" x14ac:dyDescent="0.3">
      <c r="A2537" t="s">
        <v>2662</v>
      </c>
      <c r="B2537" t="s">
        <v>127</v>
      </c>
      <c r="C2537">
        <v>172</v>
      </c>
      <c r="D2537">
        <f t="shared" si="98"/>
        <v>2007</v>
      </c>
      <c r="E2537">
        <f t="shared" si="99"/>
        <v>12</v>
      </c>
    </row>
    <row r="2538" spans="1:5" x14ac:dyDescent="0.3">
      <c r="A2538" t="s">
        <v>2663</v>
      </c>
      <c r="B2538" t="s">
        <v>127</v>
      </c>
      <c r="C2538">
        <v>179</v>
      </c>
      <c r="D2538">
        <f t="shared" si="98"/>
        <v>2008</v>
      </c>
      <c r="E2538">
        <f t="shared" si="99"/>
        <v>1</v>
      </c>
    </row>
    <row r="2539" spans="1:5" x14ac:dyDescent="0.3">
      <c r="A2539" t="s">
        <v>2664</v>
      </c>
      <c r="B2539" t="s">
        <v>127</v>
      </c>
      <c r="C2539">
        <v>177</v>
      </c>
      <c r="D2539">
        <f t="shared" si="98"/>
        <v>2008</v>
      </c>
      <c r="E2539">
        <f t="shared" si="99"/>
        <v>1</v>
      </c>
    </row>
    <row r="2540" spans="1:5" x14ac:dyDescent="0.3">
      <c r="A2540" t="s">
        <v>2665</v>
      </c>
      <c r="B2540" t="s">
        <v>127</v>
      </c>
      <c r="C2540">
        <v>180</v>
      </c>
      <c r="D2540">
        <f t="shared" si="98"/>
        <v>2008</v>
      </c>
      <c r="E2540">
        <f t="shared" si="99"/>
        <v>1</v>
      </c>
    </row>
    <row r="2541" spans="1:5" x14ac:dyDescent="0.3">
      <c r="A2541" t="s">
        <v>2666</v>
      </c>
      <c r="B2541" t="s">
        <v>127</v>
      </c>
      <c r="C2541">
        <v>179</v>
      </c>
      <c r="D2541">
        <f t="shared" si="98"/>
        <v>2008</v>
      </c>
      <c r="E2541">
        <f t="shared" si="99"/>
        <v>1</v>
      </c>
    </row>
    <row r="2542" spans="1:5" x14ac:dyDescent="0.3">
      <c r="A2542" t="s">
        <v>2667</v>
      </c>
      <c r="B2542" t="s">
        <v>127</v>
      </c>
      <c r="C2542">
        <v>179</v>
      </c>
      <c r="D2542">
        <f t="shared" si="98"/>
        <v>2008</v>
      </c>
      <c r="E2542">
        <f t="shared" si="99"/>
        <v>1</v>
      </c>
    </row>
    <row r="2543" spans="1:5" x14ac:dyDescent="0.3">
      <c r="A2543" t="s">
        <v>2668</v>
      </c>
      <c r="B2543" t="s">
        <v>127</v>
      </c>
      <c r="C2543">
        <v>187</v>
      </c>
      <c r="D2543">
        <f t="shared" si="98"/>
        <v>2008</v>
      </c>
      <c r="E2543">
        <f t="shared" si="99"/>
        <v>1</v>
      </c>
    </row>
    <row r="2544" spans="1:5" x14ac:dyDescent="0.3">
      <c r="A2544" t="s">
        <v>2669</v>
      </c>
      <c r="B2544" t="s">
        <v>127</v>
      </c>
      <c r="C2544">
        <v>176</v>
      </c>
      <c r="D2544">
        <f t="shared" si="98"/>
        <v>2008</v>
      </c>
      <c r="E2544">
        <f t="shared" si="99"/>
        <v>1</v>
      </c>
    </row>
    <row r="2545" spans="1:5" x14ac:dyDescent="0.3">
      <c r="A2545" t="s">
        <v>2670</v>
      </c>
      <c r="B2545" t="s">
        <v>127</v>
      </c>
      <c r="C2545">
        <v>182</v>
      </c>
      <c r="D2545">
        <f t="shared" si="98"/>
        <v>2008</v>
      </c>
      <c r="E2545">
        <f t="shared" si="99"/>
        <v>1</v>
      </c>
    </row>
    <row r="2546" spans="1:5" x14ac:dyDescent="0.3">
      <c r="A2546" t="s">
        <v>2671</v>
      </c>
      <c r="B2546" t="s">
        <v>127</v>
      </c>
      <c r="C2546">
        <v>183</v>
      </c>
      <c r="D2546">
        <f t="shared" si="98"/>
        <v>2008</v>
      </c>
      <c r="E2546">
        <f t="shared" si="99"/>
        <v>1</v>
      </c>
    </row>
    <row r="2547" spans="1:5" x14ac:dyDescent="0.3">
      <c r="A2547" t="s">
        <v>2672</v>
      </c>
      <c r="B2547" t="s">
        <v>127</v>
      </c>
      <c r="C2547">
        <v>187</v>
      </c>
      <c r="D2547">
        <f t="shared" si="98"/>
        <v>2008</v>
      </c>
      <c r="E2547">
        <f t="shared" si="99"/>
        <v>1</v>
      </c>
    </row>
    <row r="2548" spans="1:5" x14ac:dyDescent="0.3">
      <c r="A2548" t="s">
        <v>2673</v>
      </c>
      <c r="B2548" t="s">
        <v>127</v>
      </c>
      <c r="C2548">
        <v>184</v>
      </c>
      <c r="D2548">
        <f t="shared" si="98"/>
        <v>2008</v>
      </c>
      <c r="E2548">
        <f t="shared" si="99"/>
        <v>1</v>
      </c>
    </row>
    <row r="2549" spans="1:5" x14ac:dyDescent="0.3">
      <c r="A2549" t="s">
        <v>2674</v>
      </c>
      <c r="B2549" t="s">
        <v>127</v>
      </c>
      <c r="C2549">
        <v>191</v>
      </c>
      <c r="D2549">
        <f t="shared" si="98"/>
        <v>2008</v>
      </c>
      <c r="E2549">
        <f t="shared" si="99"/>
        <v>1</v>
      </c>
    </row>
    <row r="2550" spans="1:5" x14ac:dyDescent="0.3">
      <c r="A2550" t="s">
        <v>2675</v>
      </c>
      <c r="B2550" t="s">
        <v>127</v>
      </c>
      <c r="C2550">
        <v>188</v>
      </c>
      <c r="D2550">
        <f t="shared" si="98"/>
        <v>2008</v>
      </c>
      <c r="E2550">
        <f t="shared" si="99"/>
        <v>1</v>
      </c>
    </row>
    <row r="2551" spans="1:5" x14ac:dyDescent="0.3">
      <c r="A2551" t="s">
        <v>2676</v>
      </c>
      <c r="B2551" t="s">
        <v>127</v>
      </c>
      <c r="C2551">
        <v>202</v>
      </c>
      <c r="D2551">
        <f t="shared" si="98"/>
        <v>2008</v>
      </c>
      <c r="E2551">
        <f t="shared" si="99"/>
        <v>1</v>
      </c>
    </row>
    <row r="2552" spans="1:5" x14ac:dyDescent="0.3">
      <c r="A2552" t="s">
        <v>2677</v>
      </c>
      <c r="B2552" t="s">
        <v>127</v>
      </c>
      <c r="C2552">
        <v>205</v>
      </c>
      <c r="D2552">
        <f t="shared" si="98"/>
        <v>2008</v>
      </c>
      <c r="E2552">
        <f t="shared" si="99"/>
        <v>1</v>
      </c>
    </row>
    <row r="2553" spans="1:5" x14ac:dyDescent="0.3">
      <c r="A2553" t="s">
        <v>2678</v>
      </c>
      <c r="B2553" t="s">
        <v>127</v>
      </c>
      <c r="C2553">
        <v>189</v>
      </c>
      <c r="D2553">
        <f t="shared" si="98"/>
        <v>2008</v>
      </c>
      <c r="E2553">
        <f t="shared" si="99"/>
        <v>1</v>
      </c>
    </row>
    <row r="2554" spans="1:5" x14ac:dyDescent="0.3">
      <c r="A2554" t="s">
        <v>2679</v>
      </c>
      <c r="B2554" t="s">
        <v>127</v>
      </c>
      <c r="C2554">
        <v>199</v>
      </c>
      <c r="D2554">
        <f t="shared" si="98"/>
        <v>2008</v>
      </c>
      <c r="E2554">
        <f t="shared" si="99"/>
        <v>1</v>
      </c>
    </row>
    <row r="2555" spans="1:5" x14ac:dyDescent="0.3">
      <c r="A2555" t="s">
        <v>2680</v>
      </c>
      <c r="B2555" t="s">
        <v>127</v>
      </c>
      <c r="C2555">
        <v>201</v>
      </c>
      <c r="D2555">
        <f t="shared" si="98"/>
        <v>2008</v>
      </c>
      <c r="E2555">
        <f t="shared" si="99"/>
        <v>1</v>
      </c>
    </row>
    <row r="2556" spans="1:5" x14ac:dyDescent="0.3">
      <c r="A2556" t="s">
        <v>2681</v>
      </c>
      <c r="B2556" t="s">
        <v>127</v>
      </c>
      <c r="C2556">
        <v>195</v>
      </c>
      <c r="D2556">
        <f t="shared" si="98"/>
        <v>2008</v>
      </c>
      <c r="E2556">
        <f t="shared" si="99"/>
        <v>1</v>
      </c>
    </row>
    <row r="2557" spans="1:5" x14ac:dyDescent="0.3">
      <c r="A2557" t="s">
        <v>2682</v>
      </c>
      <c r="B2557" t="s">
        <v>127</v>
      </c>
      <c r="C2557">
        <v>191</v>
      </c>
      <c r="D2557">
        <f t="shared" si="98"/>
        <v>2008</v>
      </c>
      <c r="E2557">
        <f t="shared" si="99"/>
        <v>1</v>
      </c>
    </row>
    <row r="2558" spans="1:5" x14ac:dyDescent="0.3">
      <c r="A2558" t="s">
        <v>2683</v>
      </c>
      <c r="B2558" t="s">
        <v>127</v>
      </c>
      <c r="C2558">
        <v>198</v>
      </c>
      <c r="D2558">
        <f t="shared" si="98"/>
        <v>2008</v>
      </c>
      <c r="E2558">
        <f t="shared" si="99"/>
        <v>1</v>
      </c>
    </row>
    <row r="2559" spans="1:5" x14ac:dyDescent="0.3">
      <c r="A2559" t="s">
        <v>2684</v>
      </c>
      <c r="B2559" t="s">
        <v>127</v>
      </c>
      <c r="C2559">
        <v>200</v>
      </c>
      <c r="D2559">
        <f t="shared" si="98"/>
        <v>2008</v>
      </c>
      <c r="E2559">
        <f t="shared" si="99"/>
        <v>2</v>
      </c>
    </row>
    <row r="2560" spans="1:5" x14ac:dyDescent="0.3">
      <c r="A2560" t="s">
        <v>2685</v>
      </c>
      <c r="B2560" t="s">
        <v>127</v>
      </c>
      <c r="C2560">
        <v>194</v>
      </c>
      <c r="D2560">
        <f t="shared" si="98"/>
        <v>2008</v>
      </c>
      <c r="E2560">
        <f t="shared" si="99"/>
        <v>2</v>
      </c>
    </row>
    <row r="2561" spans="1:5" x14ac:dyDescent="0.3">
      <c r="A2561" t="s">
        <v>2686</v>
      </c>
      <c r="B2561" t="s">
        <v>127</v>
      </c>
      <c r="C2561">
        <v>201</v>
      </c>
      <c r="D2561">
        <f t="shared" si="98"/>
        <v>2008</v>
      </c>
      <c r="E2561">
        <f t="shared" si="99"/>
        <v>2</v>
      </c>
    </row>
    <row r="2562" spans="1:5" x14ac:dyDescent="0.3">
      <c r="A2562" t="s">
        <v>2687</v>
      </c>
      <c r="B2562" t="s">
        <v>127</v>
      </c>
      <c r="C2562">
        <v>200</v>
      </c>
      <c r="D2562">
        <f t="shared" si="98"/>
        <v>2008</v>
      </c>
      <c r="E2562">
        <f t="shared" si="99"/>
        <v>2</v>
      </c>
    </row>
    <row r="2563" spans="1:5" x14ac:dyDescent="0.3">
      <c r="A2563" t="s">
        <v>2688</v>
      </c>
      <c r="B2563" t="s">
        <v>127</v>
      </c>
      <c r="C2563">
        <v>191</v>
      </c>
      <c r="D2563">
        <f t="shared" ref="D2563:D2626" si="100">YEAR(A2563)</f>
        <v>2008</v>
      </c>
      <c r="E2563">
        <f t="shared" ref="E2563:E2626" si="101">MONTH(A2563)</f>
        <v>2</v>
      </c>
    </row>
    <row r="2564" spans="1:5" x14ac:dyDescent="0.3">
      <c r="A2564" t="s">
        <v>2689</v>
      </c>
      <c r="B2564" t="s">
        <v>127</v>
      </c>
      <c r="C2564">
        <v>201</v>
      </c>
      <c r="D2564">
        <f t="shared" si="100"/>
        <v>2008</v>
      </c>
      <c r="E2564">
        <f t="shared" si="101"/>
        <v>2</v>
      </c>
    </row>
    <row r="2565" spans="1:5" x14ac:dyDescent="0.3">
      <c r="A2565" t="s">
        <v>2690</v>
      </c>
      <c r="B2565" t="s">
        <v>127</v>
      </c>
      <c r="C2565">
        <v>202</v>
      </c>
      <c r="D2565">
        <f t="shared" si="100"/>
        <v>2008</v>
      </c>
      <c r="E2565">
        <f t="shared" si="101"/>
        <v>2</v>
      </c>
    </row>
    <row r="2566" spans="1:5" x14ac:dyDescent="0.3">
      <c r="A2566" t="s">
        <v>2691</v>
      </c>
      <c r="B2566" t="s">
        <v>127</v>
      </c>
      <c r="C2566">
        <v>195</v>
      </c>
      <c r="D2566">
        <f t="shared" si="100"/>
        <v>2008</v>
      </c>
      <c r="E2566">
        <f t="shared" si="101"/>
        <v>2</v>
      </c>
    </row>
    <row r="2567" spans="1:5" x14ac:dyDescent="0.3">
      <c r="A2567" t="s">
        <v>2692</v>
      </c>
      <c r="B2567" t="s">
        <v>127</v>
      </c>
      <c r="C2567">
        <v>191</v>
      </c>
      <c r="D2567">
        <f t="shared" si="100"/>
        <v>2008</v>
      </c>
      <c r="E2567">
        <f t="shared" si="101"/>
        <v>2</v>
      </c>
    </row>
    <row r="2568" spans="1:5" x14ac:dyDescent="0.3">
      <c r="A2568" t="s">
        <v>2693</v>
      </c>
      <c r="B2568" t="s">
        <v>127</v>
      </c>
      <c r="C2568">
        <v>186</v>
      </c>
      <c r="D2568">
        <f t="shared" si="100"/>
        <v>2008</v>
      </c>
      <c r="E2568">
        <f t="shared" si="101"/>
        <v>2</v>
      </c>
    </row>
    <row r="2569" spans="1:5" x14ac:dyDescent="0.3">
      <c r="A2569" t="s">
        <v>2694</v>
      </c>
      <c r="B2569" t="s">
        <v>127</v>
      </c>
      <c r="C2569">
        <v>192</v>
      </c>
      <c r="D2569">
        <f t="shared" si="100"/>
        <v>2008</v>
      </c>
      <c r="E2569">
        <f t="shared" si="101"/>
        <v>2</v>
      </c>
    </row>
    <row r="2570" spans="1:5" x14ac:dyDescent="0.3">
      <c r="A2570" t="s">
        <v>2695</v>
      </c>
      <c r="B2570" t="s">
        <v>127</v>
      </c>
      <c r="C2570">
        <v>192</v>
      </c>
      <c r="D2570">
        <f t="shared" si="100"/>
        <v>2008</v>
      </c>
      <c r="E2570">
        <f t="shared" si="101"/>
        <v>2</v>
      </c>
    </row>
    <row r="2571" spans="1:5" x14ac:dyDescent="0.3">
      <c r="A2571" t="s">
        <v>2696</v>
      </c>
      <c r="B2571" t="s">
        <v>127</v>
      </c>
      <c r="C2571">
        <v>185</v>
      </c>
      <c r="D2571">
        <f t="shared" si="100"/>
        <v>2008</v>
      </c>
      <c r="E2571">
        <f t="shared" si="101"/>
        <v>2</v>
      </c>
    </row>
    <row r="2572" spans="1:5" x14ac:dyDescent="0.3">
      <c r="A2572" t="s">
        <v>2697</v>
      </c>
      <c r="B2572" t="s">
        <v>127</v>
      </c>
      <c r="C2572">
        <v>190</v>
      </c>
      <c r="D2572">
        <f t="shared" si="100"/>
        <v>2008</v>
      </c>
      <c r="E2572">
        <f t="shared" si="101"/>
        <v>2</v>
      </c>
    </row>
    <row r="2573" spans="1:5" x14ac:dyDescent="0.3">
      <c r="A2573" t="s">
        <v>2698</v>
      </c>
      <c r="B2573" t="s">
        <v>127</v>
      </c>
      <c r="C2573">
        <v>182</v>
      </c>
      <c r="D2573">
        <f t="shared" si="100"/>
        <v>2008</v>
      </c>
      <c r="E2573">
        <f t="shared" si="101"/>
        <v>2</v>
      </c>
    </row>
    <row r="2574" spans="1:5" x14ac:dyDescent="0.3">
      <c r="A2574" t="s">
        <v>2699</v>
      </c>
      <c r="B2574" t="s">
        <v>127</v>
      </c>
      <c r="C2574">
        <v>172</v>
      </c>
      <c r="D2574">
        <f t="shared" si="100"/>
        <v>2008</v>
      </c>
      <c r="E2574">
        <f t="shared" si="101"/>
        <v>2</v>
      </c>
    </row>
    <row r="2575" spans="1:5" x14ac:dyDescent="0.3">
      <c r="A2575" t="s">
        <v>2700</v>
      </c>
      <c r="B2575" t="s">
        <v>127</v>
      </c>
      <c r="C2575">
        <v>173</v>
      </c>
      <c r="D2575">
        <f t="shared" si="100"/>
        <v>2008</v>
      </c>
      <c r="E2575">
        <f t="shared" si="101"/>
        <v>2</v>
      </c>
    </row>
    <row r="2576" spans="1:5" x14ac:dyDescent="0.3">
      <c r="A2576" t="s">
        <v>2701</v>
      </c>
      <c r="B2576" t="s">
        <v>127</v>
      </c>
      <c r="C2576">
        <v>171</v>
      </c>
      <c r="D2576">
        <f t="shared" si="100"/>
        <v>2008</v>
      </c>
      <c r="E2576">
        <f t="shared" si="101"/>
        <v>2</v>
      </c>
    </row>
    <row r="2577" spans="1:5" x14ac:dyDescent="0.3">
      <c r="A2577" t="s">
        <v>2702</v>
      </c>
      <c r="B2577" t="s">
        <v>127</v>
      </c>
      <c r="C2577">
        <v>181</v>
      </c>
      <c r="D2577">
        <f t="shared" si="100"/>
        <v>2008</v>
      </c>
      <c r="E2577">
        <f t="shared" si="101"/>
        <v>2</v>
      </c>
    </row>
    <row r="2578" spans="1:5" x14ac:dyDescent="0.3">
      <c r="A2578" t="s">
        <v>2703</v>
      </c>
      <c r="B2578" t="s">
        <v>127</v>
      </c>
      <c r="C2578">
        <v>191</v>
      </c>
      <c r="D2578">
        <f t="shared" si="100"/>
        <v>2008</v>
      </c>
      <c r="E2578">
        <f t="shared" si="101"/>
        <v>2</v>
      </c>
    </row>
    <row r="2579" spans="1:5" x14ac:dyDescent="0.3">
      <c r="A2579" t="s">
        <v>2704</v>
      </c>
      <c r="B2579" t="s">
        <v>127</v>
      </c>
      <c r="C2579">
        <v>192</v>
      </c>
      <c r="D2579">
        <f t="shared" si="100"/>
        <v>2008</v>
      </c>
      <c r="E2579">
        <f t="shared" si="101"/>
        <v>3</v>
      </c>
    </row>
    <row r="2580" spans="1:5" x14ac:dyDescent="0.3">
      <c r="A2580" t="s">
        <v>2705</v>
      </c>
      <c r="B2580" t="s">
        <v>127</v>
      </c>
      <c r="C2580">
        <v>183</v>
      </c>
      <c r="D2580">
        <f t="shared" si="100"/>
        <v>2008</v>
      </c>
      <c r="E2580">
        <f t="shared" si="101"/>
        <v>3</v>
      </c>
    </row>
    <row r="2581" spans="1:5" x14ac:dyDescent="0.3">
      <c r="A2581" t="s">
        <v>2706</v>
      </c>
      <c r="B2581" t="s">
        <v>127</v>
      </c>
      <c r="C2581">
        <v>179</v>
      </c>
      <c r="D2581">
        <f t="shared" si="100"/>
        <v>2008</v>
      </c>
      <c r="E2581">
        <f t="shared" si="101"/>
        <v>3</v>
      </c>
    </row>
    <row r="2582" spans="1:5" x14ac:dyDescent="0.3">
      <c r="A2582" t="s">
        <v>2707</v>
      </c>
      <c r="B2582" t="s">
        <v>127</v>
      </c>
      <c r="C2582">
        <v>184</v>
      </c>
      <c r="D2582">
        <f t="shared" si="100"/>
        <v>2008</v>
      </c>
      <c r="E2582">
        <f t="shared" si="101"/>
        <v>3</v>
      </c>
    </row>
    <row r="2583" spans="1:5" x14ac:dyDescent="0.3">
      <c r="A2583" t="s">
        <v>2708</v>
      </c>
      <c r="B2583" t="s">
        <v>127</v>
      </c>
      <c r="C2583">
        <v>194</v>
      </c>
      <c r="D2583">
        <f t="shared" si="100"/>
        <v>2008</v>
      </c>
      <c r="E2583">
        <f t="shared" si="101"/>
        <v>3</v>
      </c>
    </row>
    <row r="2584" spans="1:5" x14ac:dyDescent="0.3">
      <c r="A2584" t="s">
        <v>2709</v>
      </c>
      <c r="B2584" t="s">
        <v>127</v>
      </c>
      <c r="C2584">
        <v>203</v>
      </c>
      <c r="D2584">
        <f t="shared" si="100"/>
        <v>2008</v>
      </c>
      <c r="E2584">
        <f t="shared" si="101"/>
        <v>3</v>
      </c>
    </row>
    <row r="2585" spans="1:5" x14ac:dyDescent="0.3">
      <c r="A2585" t="s">
        <v>2710</v>
      </c>
      <c r="B2585" t="s">
        <v>127</v>
      </c>
      <c r="C2585">
        <v>188</v>
      </c>
      <c r="D2585">
        <f t="shared" si="100"/>
        <v>2008</v>
      </c>
      <c r="E2585">
        <f t="shared" si="101"/>
        <v>3</v>
      </c>
    </row>
    <row r="2586" spans="1:5" x14ac:dyDescent="0.3">
      <c r="A2586" t="s">
        <v>2711</v>
      </c>
      <c r="B2586" t="s">
        <v>127</v>
      </c>
      <c r="C2586">
        <v>197</v>
      </c>
      <c r="D2586">
        <f t="shared" si="100"/>
        <v>2008</v>
      </c>
      <c r="E2586">
        <f t="shared" si="101"/>
        <v>3</v>
      </c>
    </row>
    <row r="2587" spans="1:5" x14ac:dyDescent="0.3">
      <c r="A2587" t="s">
        <v>2712</v>
      </c>
      <c r="B2587" t="s">
        <v>127</v>
      </c>
      <c r="C2587">
        <v>191</v>
      </c>
      <c r="D2587">
        <f t="shared" si="100"/>
        <v>2008</v>
      </c>
      <c r="E2587">
        <f t="shared" si="101"/>
        <v>3</v>
      </c>
    </row>
    <row r="2588" spans="1:5" x14ac:dyDescent="0.3">
      <c r="A2588" t="s">
        <v>2713</v>
      </c>
      <c r="B2588" t="s">
        <v>127</v>
      </c>
      <c r="C2588">
        <v>200</v>
      </c>
      <c r="D2588">
        <f t="shared" si="100"/>
        <v>2008</v>
      </c>
      <c r="E2588">
        <f t="shared" si="101"/>
        <v>3</v>
      </c>
    </row>
    <row r="2589" spans="1:5" x14ac:dyDescent="0.3">
      <c r="A2589" t="s">
        <v>2714</v>
      </c>
      <c r="B2589" t="s">
        <v>127</v>
      </c>
      <c r="C2589">
        <v>212</v>
      </c>
      <c r="D2589">
        <f t="shared" si="100"/>
        <v>2008</v>
      </c>
      <c r="E2589">
        <f t="shared" si="101"/>
        <v>3</v>
      </c>
    </row>
    <row r="2590" spans="1:5" x14ac:dyDescent="0.3">
      <c r="A2590" t="s">
        <v>2715</v>
      </c>
      <c r="B2590" t="s">
        <v>127</v>
      </c>
      <c r="C2590">
        <v>199</v>
      </c>
      <c r="D2590">
        <f t="shared" si="100"/>
        <v>2008</v>
      </c>
      <c r="E2590">
        <f t="shared" si="101"/>
        <v>3</v>
      </c>
    </row>
    <row r="2591" spans="1:5" x14ac:dyDescent="0.3">
      <c r="A2591" t="s">
        <v>2716</v>
      </c>
      <c r="B2591" t="s">
        <v>127</v>
      </c>
      <c r="C2591">
        <v>204</v>
      </c>
      <c r="D2591">
        <f t="shared" si="100"/>
        <v>2008</v>
      </c>
      <c r="E2591">
        <f t="shared" si="101"/>
        <v>3</v>
      </c>
    </row>
    <row r="2592" spans="1:5" x14ac:dyDescent="0.3">
      <c r="A2592" t="s">
        <v>2717</v>
      </c>
      <c r="B2592" t="s">
        <v>127</v>
      </c>
      <c r="C2592">
        <v>202</v>
      </c>
      <c r="D2592">
        <f t="shared" si="100"/>
        <v>2008</v>
      </c>
      <c r="E2592">
        <f t="shared" si="101"/>
        <v>3</v>
      </c>
    </row>
    <row r="2593" spans="1:5" x14ac:dyDescent="0.3">
      <c r="A2593" t="s">
        <v>2718</v>
      </c>
      <c r="B2593" t="s">
        <v>127</v>
      </c>
      <c r="C2593">
        <v>186</v>
      </c>
      <c r="D2593">
        <f t="shared" si="100"/>
        <v>2008</v>
      </c>
      <c r="E2593">
        <f t="shared" si="101"/>
        <v>3</v>
      </c>
    </row>
    <row r="2594" spans="1:5" x14ac:dyDescent="0.3">
      <c r="A2594" t="s">
        <v>2719</v>
      </c>
      <c r="B2594" t="s">
        <v>127</v>
      </c>
      <c r="C2594">
        <v>185</v>
      </c>
      <c r="D2594">
        <f t="shared" si="100"/>
        <v>2008</v>
      </c>
      <c r="E2594">
        <f t="shared" si="101"/>
        <v>3</v>
      </c>
    </row>
    <row r="2595" spans="1:5" x14ac:dyDescent="0.3">
      <c r="A2595" t="s">
        <v>2720</v>
      </c>
      <c r="B2595" t="s">
        <v>127</v>
      </c>
      <c r="C2595">
        <v>185</v>
      </c>
      <c r="D2595">
        <f t="shared" si="100"/>
        <v>2008</v>
      </c>
      <c r="E2595">
        <f t="shared" si="101"/>
        <v>3</v>
      </c>
    </row>
    <row r="2596" spans="1:5" x14ac:dyDescent="0.3">
      <c r="A2596" t="s">
        <v>2721</v>
      </c>
      <c r="B2596" t="s">
        <v>127</v>
      </c>
      <c r="C2596">
        <v>158</v>
      </c>
      <c r="D2596">
        <f t="shared" si="100"/>
        <v>2008</v>
      </c>
      <c r="E2596">
        <f t="shared" si="101"/>
        <v>3</v>
      </c>
    </row>
    <row r="2597" spans="1:5" x14ac:dyDescent="0.3">
      <c r="A2597" t="s">
        <v>2722</v>
      </c>
      <c r="B2597" t="s">
        <v>127</v>
      </c>
      <c r="C2597">
        <v>189</v>
      </c>
      <c r="D2597">
        <f t="shared" si="100"/>
        <v>2008</v>
      </c>
      <c r="E2597">
        <f t="shared" si="101"/>
        <v>3</v>
      </c>
    </row>
    <row r="2598" spans="1:5" x14ac:dyDescent="0.3">
      <c r="A2598" t="s">
        <v>2723</v>
      </c>
      <c r="B2598" t="s">
        <v>127</v>
      </c>
      <c r="C2598">
        <v>193</v>
      </c>
      <c r="D2598">
        <f t="shared" si="100"/>
        <v>2008</v>
      </c>
      <c r="E2598">
        <f t="shared" si="101"/>
        <v>3</v>
      </c>
    </row>
    <row r="2599" spans="1:5" x14ac:dyDescent="0.3">
      <c r="A2599" t="s">
        <v>2724</v>
      </c>
      <c r="B2599" t="s">
        <v>127</v>
      </c>
      <c r="C2599">
        <v>184</v>
      </c>
      <c r="D2599">
        <f t="shared" si="100"/>
        <v>2008</v>
      </c>
      <c r="E2599">
        <f t="shared" si="101"/>
        <v>4</v>
      </c>
    </row>
    <row r="2600" spans="1:5" x14ac:dyDescent="0.3">
      <c r="A2600" t="s">
        <v>2725</v>
      </c>
      <c r="B2600" t="s">
        <v>127</v>
      </c>
      <c r="C2600">
        <v>182</v>
      </c>
      <c r="D2600">
        <f t="shared" si="100"/>
        <v>2008</v>
      </c>
      <c r="E2600">
        <f t="shared" si="101"/>
        <v>4</v>
      </c>
    </row>
    <row r="2601" spans="1:5" x14ac:dyDescent="0.3">
      <c r="A2601" t="s">
        <v>2726</v>
      </c>
      <c r="B2601" t="s">
        <v>127</v>
      </c>
      <c r="C2601">
        <v>179</v>
      </c>
      <c r="D2601">
        <f t="shared" si="100"/>
        <v>2008</v>
      </c>
      <c r="E2601">
        <f t="shared" si="101"/>
        <v>4</v>
      </c>
    </row>
    <row r="2602" spans="1:5" x14ac:dyDescent="0.3">
      <c r="A2602" t="s">
        <v>2727</v>
      </c>
      <c r="B2602" t="s">
        <v>127</v>
      </c>
      <c r="C2602">
        <v>157</v>
      </c>
      <c r="D2602">
        <f t="shared" si="100"/>
        <v>2008</v>
      </c>
      <c r="E2602">
        <f t="shared" si="101"/>
        <v>4</v>
      </c>
    </row>
    <row r="2603" spans="1:5" x14ac:dyDescent="0.3">
      <c r="A2603" t="s">
        <v>2728</v>
      </c>
      <c r="B2603" t="s">
        <v>127</v>
      </c>
      <c r="C2603">
        <v>175</v>
      </c>
      <c r="D2603">
        <f t="shared" si="100"/>
        <v>2008</v>
      </c>
      <c r="E2603">
        <f t="shared" si="101"/>
        <v>4</v>
      </c>
    </row>
    <row r="2604" spans="1:5" x14ac:dyDescent="0.3">
      <c r="A2604" t="s">
        <v>2729</v>
      </c>
      <c r="B2604" t="s">
        <v>127</v>
      </c>
      <c r="C2604">
        <v>173</v>
      </c>
      <c r="D2604">
        <f t="shared" si="100"/>
        <v>2008</v>
      </c>
      <c r="E2604">
        <f t="shared" si="101"/>
        <v>4</v>
      </c>
    </row>
    <row r="2605" spans="1:5" x14ac:dyDescent="0.3">
      <c r="A2605" t="s">
        <v>2730</v>
      </c>
      <c r="B2605" t="s">
        <v>127</v>
      </c>
      <c r="C2605">
        <v>179</v>
      </c>
      <c r="D2605">
        <f t="shared" si="100"/>
        <v>2008</v>
      </c>
      <c r="E2605">
        <f t="shared" si="101"/>
        <v>4</v>
      </c>
    </row>
    <row r="2606" spans="1:5" x14ac:dyDescent="0.3">
      <c r="A2606" t="s">
        <v>2731</v>
      </c>
      <c r="B2606" t="s">
        <v>127</v>
      </c>
      <c r="C2606">
        <v>173</v>
      </c>
      <c r="D2606">
        <f t="shared" si="100"/>
        <v>2008</v>
      </c>
      <c r="E2606">
        <f t="shared" si="101"/>
        <v>4</v>
      </c>
    </row>
    <row r="2607" spans="1:5" x14ac:dyDescent="0.3">
      <c r="A2607" t="s">
        <v>2732</v>
      </c>
      <c r="B2607" t="s">
        <v>127</v>
      </c>
      <c r="C2607">
        <v>175</v>
      </c>
      <c r="D2607">
        <f t="shared" si="100"/>
        <v>2008</v>
      </c>
      <c r="E2607">
        <f t="shared" si="101"/>
        <v>4</v>
      </c>
    </row>
    <row r="2608" spans="1:5" x14ac:dyDescent="0.3">
      <c r="A2608" t="s">
        <v>2733</v>
      </c>
      <c r="B2608" t="s">
        <v>127</v>
      </c>
      <c r="C2608">
        <v>175</v>
      </c>
      <c r="D2608">
        <f t="shared" si="100"/>
        <v>2008</v>
      </c>
      <c r="E2608">
        <f t="shared" si="101"/>
        <v>4</v>
      </c>
    </row>
    <row r="2609" spans="1:5" x14ac:dyDescent="0.3">
      <c r="A2609" t="s">
        <v>2734</v>
      </c>
      <c r="B2609" t="s">
        <v>127</v>
      </c>
      <c r="C2609">
        <v>170</v>
      </c>
      <c r="D2609">
        <f t="shared" si="100"/>
        <v>2008</v>
      </c>
      <c r="E2609">
        <f t="shared" si="101"/>
        <v>4</v>
      </c>
    </row>
    <row r="2610" spans="1:5" x14ac:dyDescent="0.3">
      <c r="A2610" t="s">
        <v>2735</v>
      </c>
      <c r="B2610" t="s">
        <v>127</v>
      </c>
      <c r="C2610">
        <v>162</v>
      </c>
      <c r="D2610">
        <f t="shared" si="100"/>
        <v>2008</v>
      </c>
      <c r="E2610">
        <f t="shared" si="101"/>
        <v>4</v>
      </c>
    </row>
    <row r="2611" spans="1:5" x14ac:dyDescent="0.3">
      <c r="A2611" t="s">
        <v>2736</v>
      </c>
      <c r="B2611" t="s">
        <v>127</v>
      </c>
      <c r="C2611">
        <v>164</v>
      </c>
      <c r="D2611">
        <f t="shared" si="100"/>
        <v>2008</v>
      </c>
      <c r="E2611">
        <f t="shared" si="101"/>
        <v>4</v>
      </c>
    </row>
    <row r="2612" spans="1:5" x14ac:dyDescent="0.3">
      <c r="A2612" t="s">
        <v>2737</v>
      </c>
      <c r="B2612" t="s">
        <v>127</v>
      </c>
      <c r="C2612">
        <v>164</v>
      </c>
      <c r="D2612">
        <f t="shared" si="100"/>
        <v>2008</v>
      </c>
      <c r="E2612">
        <f t="shared" si="101"/>
        <v>4</v>
      </c>
    </row>
    <row r="2613" spans="1:5" x14ac:dyDescent="0.3">
      <c r="A2613" t="s">
        <v>2738</v>
      </c>
      <c r="B2613" t="s">
        <v>127</v>
      </c>
      <c r="C2613">
        <v>169</v>
      </c>
      <c r="D2613">
        <f t="shared" si="100"/>
        <v>2008</v>
      </c>
      <c r="E2613">
        <f t="shared" si="101"/>
        <v>4</v>
      </c>
    </row>
    <row r="2614" spans="1:5" x14ac:dyDescent="0.3">
      <c r="A2614" t="s">
        <v>2739</v>
      </c>
      <c r="B2614" t="s">
        <v>127</v>
      </c>
      <c r="C2614">
        <v>169</v>
      </c>
      <c r="D2614">
        <f t="shared" si="100"/>
        <v>2008</v>
      </c>
      <c r="E2614">
        <f t="shared" si="101"/>
        <v>4</v>
      </c>
    </row>
    <row r="2615" spans="1:5" x14ac:dyDescent="0.3">
      <c r="A2615" t="s">
        <v>2740</v>
      </c>
      <c r="B2615" t="s">
        <v>127</v>
      </c>
      <c r="C2615">
        <v>168</v>
      </c>
      <c r="D2615">
        <f t="shared" si="100"/>
        <v>2008</v>
      </c>
      <c r="E2615">
        <f t="shared" si="101"/>
        <v>4</v>
      </c>
    </row>
    <row r="2616" spans="1:5" x14ac:dyDescent="0.3">
      <c r="A2616" t="s">
        <v>2741</v>
      </c>
      <c r="B2616" t="s">
        <v>127</v>
      </c>
      <c r="C2616">
        <v>163</v>
      </c>
      <c r="D2616">
        <f t="shared" si="100"/>
        <v>2008</v>
      </c>
      <c r="E2616">
        <f t="shared" si="101"/>
        <v>4</v>
      </c>
    </row>
    <row r="2617" spans="1:5" x14ac:dyDescent="0.3">
      <c r="A2617" t="s">
        <v>2742</v>
      </c>
      <c r="B2617" t="s">
        <v>127</v>
      </c>
      <c r="C2617">
        <v>159</v>
      </c>
      <c r="D2617">
        <f t="shared" si="100"/>
        <v>2008</v>
      </c>
      <c r="E2617">
        <f t="shared" si="101"/>
        <v>4</v>
      </c>
    </row>
    <row r="2618" spans="1:5" x14ac:dyDescent="0.3">
      <c r="A2618" t="s">
        <v>2743</v>
      </c>
      <c r="B2618" t="s">
        <v>127</v>
      </c>
      <c r="C2618">
        <v>161</v>
      </c>
      <c r="D2618">
        <f t="shared" si="100"/>
        <v>2008</v>
      </c>
      <c r="E2618">
        <f t="shared" si="101"/>
        <v>4</v>
      </c>
    </row>
    <row r="2619" spans="1:5" x14ac:dyDescent="0.3">
      <c r="A2619" t="s">
        <v>2744</v>
      </c>
      <c r="B2619" t="s">
        <v>127</v>
      </c>
      <c r="C2619">
        <v>163</v>
      </c>
      <c r="D2619">
        <f t="shared" si="100"/>
        <v>2008</v>
      </c>
      <c r="E2619">
        <f t="shared" si="101"/>
        <v>4</v>
      </c>
    </row>
    <row r="2620" spans="1:5" x14ac:dyDescent="0.3">
      <c r="A2620" t="s">
        <v>2745</v>
      </c>
      <c r="B2620" t="s">
        <v>127</v>
      </c>
      <c r="C2620">
        <v>164</v>
      </c>
      <c r="D2620">
        <f t="shared" si="100"/>
        <v>2008</v>
      </c>
      <c r="E2620">
        <f t="shared" si="101"/>
        <v>4</v>
      </c>
    </row>
    <row r="2621" spans="1:5" x14ac:dyDescent="0.3">
      <c r="A2621" t="s">
        <v>2746</v>
      </c>
      <c r="B2621" t="s">
        <v>127</v>
      </c>
      <c r="C2621">
        <v>162</v>
      </c>
      <c r="D2621">
        <f t="shared" si="100"/>
        <v>2008</v>
      </c>
      <c r="E2621">
        <f t="shared" si="101"/>
        <v>5</v>
      </c>
    </row>
    <row r="2622" spans="1:5" x14ac:dyDescent="0.3">
      <c r="A2622" t="s">
        <v>2747</v>
      </c>
      <c r="B2622" t="s">
        <v>127</v>
      </c>
      <c r="C2622">
        <v>153</v>
      </c>
      <c r="D2622">
        <f t="shared" si="100"/>
        <v>2008</v>
      </c>
      <c r="E2622">
        <f t="shared" si="101"/>
        <v>5</v>
      </c>
    </row>
    <row r="2623" spans="1:5" x14ac:dyDescent="0.3">
      <c r="A2623" t="s">
        <v>2748</v>
      </c>
      <c r="B2623" t="s">
        <v>127</v>
      </c>
      <c r="C2623">
        <v>151</v>
      </c>
      <c r="D2623">
        <f t="shared" si="100"/>
        <v>2008</v>
      </c>
      <c r="E2623">
        <f t="shared" si="101"/>
        <v>5</v>
      </c>
    </row>
    <row r="2624" spans="1:5" x14ac:dyDescent="0.3">
      <c r="A2624" t="s">
        <v>2749</v>
      </c>
      <c r="B2624" t="s">
        <v>127</v>
      </c>
      <c r="C2624">
        <v>147</v>
      </c>
      <c r="D2624">
        <f t="shared" si="100"/>
        <v>2008</v>
      </c>
      <c r="E2624">
        <f t="shared" si="101"/>
        <v>5</v>
      </c>
    </row>
    <row r="2625" spans="1:5" x14ac:dyDescent="0.3">
      <c r="A2625" t="s">
        <v>2750</v>
      </c>
      <c r="B2625" t="s">
        <v>127</v>
      </c>
      <c r="C2625">
        <v>148</v>
      </c>
      <c r="D2625">
        <f t="shared" si="100"/>
        <v>2008</v>
      </c>
      <c r="E2625">
        <f t="shared" si="101"/>
        <v>5</v>
      </c>
    </row>
    <row r="2626" spans="1:5" x14ac:dyDescent="0.3">
      <c r="A2626" t="s">
        <v>2751</v>
      </c>
      <c r="B2626" t="s">
        <v>127</v>
      </c>
      <c r="C2626">
        <v>155</v>
      </c>
      <c r="D2626">
        <f t="shared" si="100"/>
        <v>2008</v>
      </c>
      <c r="E2626">
        <f t="shared" si="101"/>
        <v>5</v>
      </c>
    </row>
    <row r="2627" spans="1:5" x14ac:dyDescent="0.3">
      <c r="A2627" t="s">
        <v>2752</v>
      </c>
      <c r="B2627" t="s">
        <v>127</v>
      </c>
      <c r="C2627">
        <v>157</v>
      </c>
      <c r="D2627">
        <f t="shared" ref="D2627:D2690" si="102">YEAR(A2627)</f>
        <v>2008</v>
      </c>
      <c r="E2627">
        <f t="shared" ref="E2627:E2690" si="103">MONTH(A2627)</f>
        <v>5</v>
      </c>
    </row>
    <row r="2628" spans="1:5" x14ac:dyDescent="0.3">
      <c r="A2628" t="s">
        <v>2753</v>
      </c>
      <c r="B2628" t="s">
        <v>127</v>
      </c>
      <c r="C2628">
        <v>156</v>
      </c>
      <c r="D2628">
        <f t="shared" si="102"/>
        <v>2008</v>
      </c>
      <c r="E2628">
        <f t="shared" si="103"/>
        <v>5</v>
      </c>
    </row>
    <row r="2629" spans="1:5" x14ac:dyDescent="0.3">
      <c r="A2629" t="s">
        <v>2754</v>
      </c>
      <c r="B2629" t="s">
        <v>127</v>
      </c>
      <c r="C2629">
        <v>148</v>
      </c>
      <c r="D2629">
        <f t="shared" si="102"/>
        <v>2008</v>
      </c>
      <c r="E2629">
        <f t="shared" si="103"/>
        <v>5</v>
      </c>
    </row>
    <row r="2630" spans="1:5" x14ac:dyDescent="0.3">
      <c r="A2630" t="s">
        <v>2755</v>
      </c>
      <c r="B2630" t="s">
        <v>127</v>
      </c>
      <c r="C2630">
        <v>150</v>
      </c>
      <c r="D2630">
        <f t="shared" si="102"/>
        <v>2008</v>
      </c>
      <c r="E2630">
        <f t="shared" si="103"/>
        <v>5</v>
      </c>
    </row>
    <row r="2631" spans="1:5" x14ac:dyDescent="0.3">
      <c r="A2631" t="s">
        <v>2756</v>
      </c>
      <c r="B2631" t="s">
        <v>127</v>
      </c>
      <c r="C2631">
        <v>154</v>
      </c>
      <c r="D2631">
        <f t="shared" si="102"/>
        <v>2008</v>
      </c>
      <c r="E2631">
        <f t="shared" si="103"/>
        <v>5</v>
      </c>
    </row>
    <row r="2632" spans="1:5" x14ac:dyDescent="0.3">
      <c r="A2632" t="s">
        <v>2757</v>
      </c>
      <c r="B2632" t="s">
        <v>127</v>
      </c>
      <c r="C2632">
        <v>150</v>
      </c>
      <c r="D2632">
        <f t="shared" si="102"/>
        <v>2008</v>
      </c>
      <c r="E2632">
        <f t="shared" si="103"/>
        <v>5</v>
      </c>
    </row>
    <row r="2633" spans="1:5" x14ac:dyDescent="0.3">
      <c r="A2633" t="s">
        <v>2758</v>
      </c>
      <c r="B2633" t="s">
        <v>127</v>
      </c>
      <c r="C2633">
        <v>152</v>
      </c>
      <c r="D2633">
        <f t="shared" si="102"/>
        <v>2008</v>
      </c>
      <c r="E2633">
        <f t="shared" si="103"/>
        <v>5</v>
      </c>
    </row>
    <row r="2634" spans="1:5" x14ac:dyDescent="0.3">
      <c r="A2634" t="s">
        <v>2759</v>
      </c>
      <c r="B2634" t="s">
        <v>127</v>
      </c>
      <c r="C2634">
        <v>156</v>
      </c>
      <c r="D2634">
        <f t="shared" si="102"/>
        <v>2008</v>
      </c>
      <c r="E2634">
        <f t="shared" si="103"/>
        <v>5</v>
      </c>
    </row>
    <row r="2635" spans="1:5" x14ac:dyDescent="0.3">
      <c r="A2635" t="s">
        <v>2760</v>
      </c>
      <c r="B2635" t="s">
        <v>127</v>
      </c>
      <c r="C2635">
        <v>156</v>
      </c>
      <c r="D2635">
        <f t="shared" si="102"/>
        <v>2008</v>
      </c>
      <c r="E2635">
        <f t="shared" si="103"/>
        <v>5</v>
      </c>
    </row>
    <row r="2636" spans="1:5" x14ac:dyDescent="0.3">
      <c r="A2636" t="s">
        <v>2761</v>
      </c>
      <c r="B2636" t="s">
        <v>127</v>
      </c>
      <c r="C2636">
        <v>152</v>
      </c>
      <c r="D2636">
        <f t="shared" si="102"/>
        <v>2008</v>
      </c>
      <c r="E2636">
        <f t="shared" si="103"/>
        <v>5</v>
      </c>
    </row>
    <row r="2637" spans="1:5" x14ac:dyDescent="0.3">
      <c r="A2637" t="s">
        <v>2762</v>
      </c>
      <c r="B2637" t="s">
        <v>127</v>
      </c>
      <c r="C2637">
        <v>158</v>
      </c>
      <c r="D2637">
        <f t="shared" si="102"/>
        <v>2008</v>
      </c>
      <c r="E2637">
        <f t="shared" si="103"/>
        <v>5</v>
      </c>
    </row>
    <row r="2638" spans="1:5" x14ac:dyDescent="0.3">
      <c r="A2638" t="s">
        <v>2763</v>
      </c>
      <c r="B2638" t="s">
        <v>127</v>
      </c>
      <c r="C2638">
        <v>157</v>
      </c>
      <c r="D2638">
        <f t="shared" si="102"/>
        <v>2008</v>
      </c>
      <c r="E2638">
        <f t="shared" si="103"/>
        <v>5</v>
      </c>
    </row>
    <row r="2639" spans="1:5" x14ac:dyDescent="0.3">
      <c r="A2639" t="s">
        <v>2764</v>
      </c>
      <c r="B2639" t="s">
        <v>127</v>
      </c>
      <c r="C2639">
        <v>161</v>
      </c>
      <c r="D2639">
        <f t="shared" si="102"/>
        <v>2008</v>
      </c>
      <c r="E2639">
        <f t="shared" si="103"/>
        <v>5</v>
      </c>
    </row>
    <row r="2640" spans="1:5" x14ac:dyDescent="0.3">
      <c r="A2640" t="s">
        <v>2765</v>
      </c>
      <c r="B2640" t="s">
        <v>127</v>
      </c>
      <c r="C2640">
        <v>162</v>
      </c>
      <c r="D2640">
        <f t="shared" si="102"/>
        <v>2008</v>
      </c>
      <c r="E2640">
        <f t="shared" si="103"/>
        <v>5</v>
      </c>
    </row>
    <row r="2641" spans="1:5" x14ac:dyDescent="0.3">
      <c r="A2641" t="s">
        <v>2766</v>
      </c>
      <c r="B2641" t="s">
        <v>127</v>
      </c>
      <c r="C2641">
        <v>158</v>
      </c>
      <c r="D2641">
        <f t="shared" si="102"/>
        <v>2008</v>
      </c>
      <c r="E2641">
        <f t="shared" si="103"/>
        <v>5</v>
      </c>
    </row>
    <row r="2642" spans="1:5" x14ac:dyDescent="0.3">
      <c r="A2642" t="s">
        <v>2767</v>
      </c>
      <c r="B2642" t="s">
        <v>127</v>
      </c>
      <c r="C2642">
        <v>161</v>
      </c>
      <c r="D2642">
        <f t="shared" si="102"/>
        <v>2008</v>
      </c>
      <c r="E2642">
        <f t="shared" si="103"/>
        <v>6</v>
      </c>
    </row>
    <row r="2643" spans="1:5" x14ac:dyDescent="0.3">
      <c r="A2643" t="s">
        <v>2768</v>
      </c>
      <c r="B2643" t="s">
        <v>127</v>
      </c>
      <c r="C2643">
        <v>158</v>
      </c>
      <c r="D2643">
        <f t="shared" si="102"/>
        <v>2008</v>
      </c>
      <c r="E2643">
        <f t="shared" si="103"/>
        <v>6</v>
      </c>
    </row>
    <row r="2644" spans="1:5" x14ac:dyDescent="0.3">
      <c r="A2644" t="s">
        <v>2769</v>
      </c>
      <c r="B2644" t="s">
        <v>127</v>
      </c>
      <c r="C2644">
        <v>153</v>
      </c>
      <c r="D2644">
        <f t="shared" si="102"/>
        <v>2008</v>
      </c>
      <c r="E2644">
        <f t="shared" si="103"/>
        <v>6</v>
      </c>
    </row>
    <row r="2645" spans="1:5" x14ac:dyDescent="0.3">
      <c r="A2645" t="s">
        <v>2770</v>
      </c>
      <c r="B2645" t="s">
        <v>127</v>
      </c>
      <c r="C2645">
        <v>152</v>
      </c>
      <c r="D2645">
        <f t="shared" si="102"/>
        <v>2008</v>
      </c>
      <c r="E2645">
        <f t="shared" si="103"/>
        <v>6</v>
      </c>
    </row>
    <row r="2646" spans="1:5" x14ac:dyDescent="0.3">
      <c r="A2646" t="s">
        <v>2771</v>
      </c>
      <c r="B2646" t="s">
        <v>127</v>
      </c>
      <c r="C2646">
        <v>159</v>
      </c>
      <c r="D2646">
        <f t="shared" si="102"/>
        <v>2008</v>
      </c>
      <c r="E2646">
        <f t="shared" si="103"/>
        <v>6</v>
      </c>
    </row>
    <row r="2647" spans="1:5" x14ac:dyDescent="0.3">
      <c r="A2647" t="s">
        <v>2772</v>
      </c>
      <c r="B2647" t="s">
        <v>127</v>
      </c>
      <c r="C2647">
        <v>163</v>
      </c>
      <c r="D2647">
        <f t="shared" si="102"/>
        <v>2008</v>
      </c>
      <c r="E2647">
        <f t="shared" si="103"/>
        <v>6</v>
      </c>
    </row>
    <row r="2648" spans="1:5" x14ac:dyDescent="0.3">
      <c r="A2648" t="s">
        <v>2773</v>
      </c>
      <c r="B2648" t="s">
        <v>127</v>
      </c>
      <c r="C2648">
        <v>153</v>
      </c>
      <c r="D2648">
        <f t="shared" si="102"/>
        <v>2008</v>
      </c>
      <c r="E2648">
        <f t="shared" si="103"/>
        <v>6</v>
      </c>
    </row>
    <row r="2649" spans="1:5" x14ac:dyDescent="0.3">
      <c r="A2649" t="s">
        <v>2774</v>
      </c>
      <c r="B2649" t="s">
        <v>127</v>
      </c>
      <c r="C2649">
        <v>158</v>
      </c>
      <c r="D2649">
        <f t="shared" si="102"/>
        <v>2008</v>
      </c>
      <c r="E2649">
        <f t="shared" si="103"/>
        <v>6</v>
      </c>
    </row>
    <row r="2650" spans="1:5" x14ac:dyDescent="0.3">
      <c r="A2650" t="s">
        <v>2775</v>
      </c>
      <c r="B2650" t="s">
        <v>127</v>
      </c>
      <c r="C2650">
        <v>156</v>
      </c>
      <c r="D2650">
        <f t="shared" si="102"/>
        <v>2008</v>
      </c>
      <c r="E2650">
        <f t="shared" si="103"/>
        <v>6</v>
      </c>
    </row>
    <row r="2651" spans="1:5" x14ac:dyDescent="0.3">
      <c r="A2651" t="s">
        <v>2776</v>
      </c>
      <c r="B2651" t="s">
        <v>127</v>
      </c>
      <c r="C2651">
        <v>154</v>
      </c>
      <c r="D2651">
        <f t="shared" si="102"/>
        <v>2008</v>
      </c>
      <c r="E2651">
        <f t="shared" si="103"/>
        <v>6</v>
      </c>
    </row>
    <row r="2652" spans="1:5" x14ac:dyDescent="0.3">
      <c r="A2652" t="s">
        <v>2777</v>
      </c>
      <c r="B2652" t="s">
        <v>127</v>
      </c>
      <c r="C2652">
        <v>154</v>
      </c>
      <c r="D2652">
        <f t="shared" si="102"/>
        <v>2008</v>
      </c>
      <c r="E2652">
        <f t="shared" si="103"/>
        <v>6</v>
      </c>
    </row>
    <row r="2653" spans="1:5" x14ac:dyDescent="0.3">
      <c r="A2653" t="s">
        <v>2778</v>
      </c>
      <c r="B2653" t="s">
        <v>127</v>
      </c>
      <c r="C2653">
        <v>151</v>
      </c>
      <c r="D2653">
        <f t="shared" si="102"/>
        <v>2008</v>
      </c>
      <c r="E2653">
        <f t="shared" si="103"/>
        <v>6</v>
      </c>
    </row>
    <row r="2654" spans="1:5" x14ac:dyDescent="0.3">
      <c r="A2654" t="s">
        <v>2779</v>
      </c>
      <c r="B2654" t="s">
        <v>127</v>
      </c>
      <c r="C2654">
        <v>156</v>
      </c>
      <c r="D2654">
        <f t="shared" si="102"/>
        <v>2008</v>
      </c>
      <c r="E2654">
        <f t="shared" si="103"/>
        <v>6</v>
      </c>
    </row>
    <row r="2655" spans="1:5" x14ac:dyDescent="0.3">
      <c r="A2655" t="s">
        <v>2780</v>
      </c>
      <c r="B2655" t="s">
        <v>127</v>
      </c>
      <c r="C2655">
        <v>153</v>
      </c>
      <c r="D2655">
        <f t="shared" si="102"/>
        <v>2008</v>
      </c>
      <c r="E2655">
        <f t="shared" si="103"/>
        <v>6</v>
      </c>
    </row>
    <row r="2656" spans="1:5" x14ac:dyDescent="0.3">
      <c r="A2656" t="s">
        <v>2781</v>
      </c>
      <c r="B2656" t="s">
        <v>127</v>
      </c>
      <c r="C2656">
        <v>160</v>
      </c>
      <c r="D2656">
        <f t="shared" si="102"/>
        <v>2008</v>
      </c>
      <c r="E2656">
        <f t="shared" si="103"/>
        <v>6</v>
      </c>
    </row>
    <row r="2657" spans="1:5" x14ac:dyDescent="0.3">
      <c r="A2657" t="s">
        <v>2782</v>
      </c>
      <c r="B2657" t="s">
        <v>127</v>
      </c>
      <c r="C2657">
        <v>159</v>
      </c>
      <c r="D2657">
        <f t="shared" si="102"/>
        <v>2008</v>
      </c>
      <c r="E2657">
        <f t="shared" si="103"/>
        <v>6</v>
      </c>
    </row>
    <row r="2658" spans="1:5" x14ac:dyDescent="0.3">
      <c r="A2658" t="s">
        <v>2783</v>
      </c>
      <c r="B2658" t="s">
        <v>127</v>
      </c>
      <c r="C2658">
        <v>167</v>
      </c>
      <c r="D2658">
        <f t="shared" si="102"/>
        <v>2008</v>
      </c>
      <c r="E2658">
        <f t="shared" si="103"/>
        <v>6</v>
      </c>
    </row>
    <row r="2659" spans="1:5" x14ac:dyDescent="0.3">
      <c r="A2659" t="s">
        <v>2784</v>
      </c>
      <c r="B2659" t="s">
        <v>127</v>
      </c>
      <c r="C2659">
        <v>170</v>
      </c>
      <c r="D2659">
        <f t="shared" si="102"/>
        <v>2008</v>
      </c>
      <c r="E2659">
        <f t="shared" si="103"/>
        <v>6</v>
      </c>
    </row>
    <row r="2660" spans="1:5" x14ac:dyDescent="0.3">
      <c r="A2660" t="s">
        <v>2785</v>
      </c>
      <c r="B2660" t="s">
        <v>127</v>
      </c>
      <c r="C2660">
        <v>182</v>
      </c>
      <c r="D2660">
        <f t="shared" si="102"/>
        <v>2008</v>
      </c>
      <c r="E2660">
        <f t="shared" si="103"/>
        <v>6</v>
      </c>
    </row>
    <row r="2661" spans="1:5" x14ac:dyDescent="0.3">
      <c r="A2661" t="s">
        <v>2786</v>
      </c>
      <c r="B2661" t="s">
        <v>127</v>
      </c>
      <c r="C2661">
        <v>190</v>
      </c>
      <c r="D2661">
        <f t="shared" si="102"/>
        <v>2008</v>
      </c>
      <c r="E2661">
        <f t="shared" si="103"/>
        <v>6</v>
      </c>
    </row>
    <row r="2662" spans="1:5" x14ac:dyDescent="0.3">
      <c r="A2662" t="s">
        <v>2787</v>
      </c>
      <c r="B2662" t="s">
        <v>127</v>
      </c>
      <c r="C2662">
        <v>194</v>
      </c>
      <c r="D2662">
        <f t="shared" si="102"/>
        <v>2008</v>
      </c>
      <c r="E2662">
        <f t="shared" si="103"/>
        <v>6</v>
      </c>
    </row>
    <row r="2663" spans="1:5" x14ac:dyDescent="0.3">
      <c r="A2663" t="s">
        <v>2788</v>
      </c>
      <c r="B2663" t="s">
        <v>127</v>
      </c>
      <c r="C2663">
        <v>197</v>
      </c>
      <c r="D2663">
        <f t="shared" si="102"/>
        <v>2008</v>
      </c>
      <c r="E2663">
        <f t="shared" si="103"/>
        <v>7</v>
      </c>
    </row>
    <row r="2664" spans="1:5" x14ac:dyDescent="0.3">
      <c r="A2664" t="s">
        <v>2789</v>
      </c>
      <c r="B2664" t="s">
        <v>127</v>
      </c>
      <c r="C2664">
        <v>199</v>
      </c>
      <c r="D2664">
        <f t="shared" si="102"/>
        <v>2008</v>
      </c>
      <c r="E2664">
        <f t="shared" si="103"/>
        <v>7</v>
      </c>
    </row>
    <row r="2665" spans="1:5" x14ac:dyDescent="0.3">
      <c r="A2665" t="s">
        <v>2790</v>
      </c>
      <c r="B2665" t="s">
        <v>127</v>
      </c>
      <c r="C2665">
        <v>201</v>
      </c>
      <c r="D2665">
        <f t="shared" si="102"/>
        <v>2008</v>
      </c>
      <c r="E2665">
        <f t="shared" si="103"/>
        <v>7</v>
      </c>
    </row>
    <row r="2666" spans="1:5" x14ac:dyDescent="0.3">
      <c r="A2666" t="s">
        <v>2791</v>
      </c>
      <c r="B2666" t="s">
        <v>127</v>
      </c>
      <c r="C2666">
        <v>207</v>
      </c>
      <c r="D2666">
        <f t="shared" si="102"/>
        <v>2008</v>
      </c>
      <c r="E2666">
        <f t="shared" si="103"/>
        <v>7</v>
      </c>
    </row>
    <row r="2667" spans="1:5" x14ac:dyDescent="0.3">
      <c r="A2667" t="s">
        <v>2792</v>
      </c>
      <c r="B2667" t="s">
        <v>127</v>
      </c>
      <c r="C2667">
        <v>212</v>
      </c>
      <c r="D2667">
        <f t="shared" si="102"/>
        <v>2008</v>
      </c>
      <c r="E2667">
        <f t="shared" si="103"/>
        <v>7</v>
      </c>
    </row>
    <row r="2668" spans="1:5" x14ac:dyDescent="0.3">
      <c r="A2668" t="s">
        <v>2793</v>
      </c>
      <c r="B2668" t="s">
        <v>127</v>
      </c>
      <c r="C2668">
        <v>212</v>
      </c>
      <c r="D2668">
        <f t="shared" si="102"/>
        <v>2008</v>
      </c>
      <c r="E2668">
        <f t="shared" si="103"/>
        <v>7</v>
      </c>
    </row>
    <row r="2669" spans="1:5" x14ac:dyDescent="0.3">
      <c r="A2669" t="s">
        <v>2794</v>
      </c>
      <c r="B2669" t="s">
        <v>127</v>
      </c>
      <c r="C2669">
        <v>210</v>
      </c>
      <c r="D2669">
        <f t="shared" si="102"/>
        <v>2008</v>
      </c>
      <c r="E2669">
        <f t="shared" si="103"/>
        <v>7</v>
      </c>
    </row>
    <row r="2670" spans="1:5" x14ac:dyDescent="0.3">
      <c r="A2670" t="s">
        <v>2795</v>
      </c>
      <c r="B2670" t="s">
        <v>127</v>
      </c>
      <c r="C2670">
        <v>201</v>
      </c>
      <c r="D2670">
        <f t="shared" si="102"/>
        <v>2008</v>
      </c>
      <c r="E2670">
        <f t="shared" si="103"/>
        <v>7</v>
      </c>
    </row>
    <row r="2671" spans="1:5" x14ac:dyDescent="0.3">
      <c r="A2671" t="s">
        <v>2796</v>
      </c>
      <c r="B2671" t="s">
        <v>127</v>
      </c>
      <c r="C2671">
        <v>206</v>
      </c>
      <c r="D2671">
        <f t="shared" si="102"/>
        <v>2008</v>
      </c>
      <c r="E2671">
        <f t="shared" si="103"/>
        <v>7</v>
      </c>
    </row>
    <row r="2672" spans="1:5" x14ac:dyDescent="0.3">
      <c r="A2672" t="s">
        <v>2797</v>
      </c>
      <c r="B2672" t="s">
        <v>127</v>
      </c>
      <c r="C2672">
        <v>209</v>
      </c>
      <c r="D2672">
        <f t="shared" si="102"/>
        <v>2008</v>
      </c>
      <c r="E2672">
        <f t="shared" si="103"/>
        <v>7</v>
      </c>
    </row>
    <row r="2673" spans="1:5" x14ac:dyDescent="0.3">
      <c r="A2673" t="s">
        <v>2798</v>
      </c>
      <c r="B2673" t="s">
        <v>127</v>
      </c>
      <c r="C2673">
        <v>199</v>
      </c>
      <c r="D2673">
        <f t="shared" si="102"/>
        <v>2008</v>
      </c>
      <c r="E2673">
        <f t="shared" si="103"/>
        <v>7</v>
      </c>
    </row>
    <row r="2674" spans="1:5" x14ac:dyDescent="0.3">
      <c r="A2674" t="s">
        <v>2799</v>
      </c>
      <c r="B2674" t="s">
        <v>127</v>
      </c>
      <c r="C2674">
        <v>190</v>
      </c>
      <c r="D2674">
        <f t="shared" si="102"/>
        <v>2008</v>
      </c>
      <c r="E2674">
        <f t="shared" si="103"/>
        <v>7</v>
      </c>
    </row>
    <row r="2675" spans="1:5" x14ac:dyDescent="0.3">
      <c r="A2675" t="s">
        <v>2800</v>
      </c>
      <c r="B2675" t="s">
        <v>127</v>
      </c>
      <c r="C2675">
        <v>192</v>
      </c>
      <c r="D2675">
        <f t="shared" si="102"/>
        <v>2008</v>
      </c>
      <c r="E2675">
        <f t="shared" si="103"/>
        <v>7</v>
      </c>
    </row>
    <row r="2676" spans="1:5" x14ac:dyDescent="0.3">
      <c r="A2676" t="s">
        <v>2801</v>
      </c>
      <c r="B2676" t="s">
        <v>127</v>
      </c>
      <c r="C2676">
        <v>192</v>
      </c>
      <c r="D2676">
        <f t="shared" si="102"/>
        <v>2008</v>
      </c>
      <c r="E2676">
        <f t="shared" si="103"/>
        <v>7</v>
      </c>
    </row>
    <row r="2677" spans="1:5" x14ac:dyDescent="0.3">
      <c r="A2677" t="s">
        <v>2802</v>
      </c>
      <c r="B2677" t="s">
        <v>127</v>
      </c>
      <c r="C2677">
        <v>191</v>
      </c>
      <c r="D2677">
        <f t="shared" si="102"/>
        <v>2008</v>
      </c>
      <c r="E2677">
        <f t="shared" si="103"/>
        <v>7</v>
      </c>
    </row>
    <row r="2678" spans="1:5" x14ac:dyDescent="0.3">
      <c r="A2678" t="s">
        <v>2803</v>
      </c>
      <c r="B2678" t="s">
        <v>127</v>
      </c>
      <c r="C2678">
        <v>187</v>
      </c>
      <c r="D2678">
        <f t="shared" si="102"/>
        <v>2008</v>
      </c>
      <c r="E2678">
        <f t="shared" si="103"/>
        <v>7</v>
      </c>
    </row>
    <row r="2679" spans="1:5" x14ac:dyDescent="0.3">
      <c r="A2679" t="s">
        <v>2804</v>
      </c>
      <c r="B2679" t="s">
        <v>127</v>
      </c>
      <c r="C2679">
        <v>196</v>
      </c>
      <c r="D2679">
        <f t="shared" si="102"/>
        <v>2008</v>
      </c>
      <c r="E2679">
        <f t="shared" si="103"/>
        <v>7</v>
      </c>
    </row>
    <row r="2680" spans="1:5" x14ac:dyDescent="0.3">
      <c r="A2680" t="s">
        <v>2805</v>
      </c>
      <c r="B2680" t="s">
        <v>127</v>
      </c>
      <c r="C2680">
        <v>187</v>
      </c>
      <c r="D2680">
        <f t="shared" si="102"/>
        <v>2008</v>
      </c>
      <c r="E2680">
        <f t="shared" si="103"/>
        <v>7</v>
      </c>
    </row>
    <row r="2681" spans="1:5" x14ac:dyDescent="0.3">
      <c r="A2681" t="s">
        <v>2806</v>
      </c>
      <c r="B2681" t="s">
        <v>127</v>
      </c>
      <c r="C2681">
        <v>194</v>
      </c>
      <c r="D2681">
        <f t="shared" si="102"/>
        <v>2008</v>
      </c>
      <c r="E2681">
        <f t="shared" si="103"/>
        <v>7</v>
      </c>
    </row>
    <row r="2682" spans="1:5" x14ac:dyDescent="0.3">
      <c r="A2682" t="s">
        <v>2807</v>
      </c>
      <c r="B2682" t="s">
        <v>127</v>
      </c>
      <c r="C2682">
        <v>192</v>
      </c>
      <c r="D2682">
        <f t="shared" si="102"/>
        <v>2008</v>
      </c>
      <c r="E2682">
        <f t="shared" si="103"/>
        <v>7</v>
      </c>
    </row>
    <row r="2683" spans="1:5" x14ac:dyDescent="0.3">
      <c r="A2683" t="s">
        <v>2808</v>
      </c>
      <c r="B2683" t="s">
        <v>127</v>
      </c>
      <c r="C2683">
        <v>191</v>
      </c>
      <c r="D2683">
        <f t="shared" si="102"/>
        <v>2008</v>
      </c>
      <c r="E2683">
        <f t="shared" si="103"/>
        <v>7</v>
      </c>
    </row>
    <row r="2684" spans="1:5" x14ac:dyDescent="0.3">
      <c r="A2684" t="s">
        <v>2809</v>
      </c>
      <c r="B2684" t="s">
        <v>127</v>
      </c>
      <c r="C2684">
        <v>192</v>
      </c>
      <c r="D2684">
        <f t="shared" si="102"/>
        <v>2008</v>
      </c>
      <c r="E2684">
        <f t="shared" si="103"/>
        <v>7</v>
      </c>
    </row>
    <row r="2685" spans="1:5" x14ac:dyDescent="0.3">
      <c r="A2685" t="s">
        <v>2810</v>
      </c>
      <c r="B2685" t="s">
        <v>127</v>
      </c>
      <c r="C2685">
        <v>194</v>
      </c>
      <c r="D2685">
        <f t="shared" si="102"/>
        <v>2008</v>
      </c>
      <c r="E2685">
        <f t="shared" si="103"/>
        <v>8</v>
      </c>
    </row>
    <row r="2686" spans="1:5" x14ac:dyDescent="0.3">
      <c r="A2686" t="s">
        <v>2811</v>
      </c>
      <c r="B2686" t="s">
        <v>127</v>
      </c>
      <c r="C2686">
        <v>190</v>
      </c>
      <c r="D2686">
        <f t="shared" si="102"/>
        <v>2008</v>
      </c>
      <c r="E2686">
        <f t="shared" si="103"/>
        <v>8</v>
      </c>
    </row>
    <row r="2687" spans="1:5" x14ac:dyDescent="0.3">
      <c r="A2687" t="s">
        <v>2812</v>
      </c>
      <c r="B2687" t="s">
        <v>127</v>
      </c>
      <c r="C2687">
        <v>183</v>
      </c>
      <c r="D2687">
        <f t="shared" si="102"/>
        <v>2008</v>
      </c>
      <c r="E2687">
        <f t="shared" si="103"/>
        <v>8</v>
      </c>
    </row>
    <row r="2688" spans="1:5" x14ac:dyDescent="0.3">
      <c r="A2688" t="s">
        <v>2813</v>
      </c>
      <c r="B2688" t="s">
        <v>127</v>
      </c>
      <c r="C2688">
        <v>181</v>
      </c>
      <c r="D2688">
        <f t="shared" si="102"/>
        <v>2008</v>
      </c>
      <c r="E2688">
        <f t="shared" si="103"/>
        <v>8</v>
      </c>
    </row>
    <row r="2689" spans="1:5" x14ac:dyDescent="0.3">
      <c r="A2689" t="s">
        <v>2814</v>
      </c>
      <c r="B2689" t="s">
        <v>127</v>
      </c>
      <c r="C2689">
        <v>187</v>
      </c>
      <c r="D2689">
        <f t="shared" si="102"/>
        <v>2008</v>
      </c>
      <c r="E2689">
        <f t="shared" si="103"/>
        <v>8</v>
      </c>
    </row>
    <row r="2690" spans="1:5" x14ac:dyDescent="0.3">
      <c r="A2690" t="s">
        <v>2815</v>
      </c>
      <c r="B2690" t="s">
        <v>127</v>
      </c>
      <c r="C2690">
        <v>191</v>
      </c>
      <c r="D2690">
        <f t="shared" si="102"/>
        <v>2008</v>
      </c>
      <c r="E2690">
        <f t="shared" si="103"/>
        <v>8</v>
      </c>
    </row>
    <row r="2691" spans="1:5" x14ac:dyDescent="0.3">
      <c r="A2691" t="s">
        <v>2816</v>
      </c>
      <c r="B2691" t="s">
        <v>127</v>
      </c>
      <c r="C2691">
        <v>188</v>
      </c>
      <c r="D2691">
        <f t="shared" ref="D2691:D2754" si="104">YEAR(A2691)</f>
        <v>2008</v>
      </c>
      <c r="E2691">
        <f t="shared" ref="E2691:E2754" si="105">MONTH(A2691)</f>
        <v>8</v>
      </c>
    </row>
    <row r="2692" spans="1:5" x14ac:dyDescent="0.3">
      <c r="A2692" t="s">
        <v>2817</v>
      </c>
      <c r="B2692" t="s">
        <v>127</v>
      </c>
      <c r="C2692">
        <v>195</v>
      </c>
      <c r="D2692">
        <f t="shared" si="104"/>
        <v>2008</v>
      </c>
      <c r="E2692">
        <f t="shared" si="105"/>
        <v>8</v>
      </c>
    </row>
    <row r="2693" spans="1:5" x14ac:dyDescent="0.3">
      <c r="A2693" t="s">
        <v>2818</v>
      </c>
      <c r="B2693" t="s">
        <v>127</v>
      </c>
      <c r="C2693">
        <v>196</v>
      </c>
      <c r="D2693">
        <f t="shared" si="104"/>
        <v>2008</v>
      </c>
      <c r="E2693">
        <f t="shared" si="105"/>
        <v>8</v>
      </c>
    </row>
    <row r="2694" spans="1:5" x14ac:dyDescent="0.3">
      <c r="A2694" t="s">
        <v>2819</v>
      </c>
      <c r="B2694" t="s">
        <v>127</v>
      </c>
      <c r="C2694">
        <v>199</v>
      </c>
      <c r="D2694">
        <f t="shared" si="104"/>
        <v>2008</v>
      </c>
      <c r="E2694">
        <f t="shared" si="105"/>
        <v>8</v>
      </c>
    </row>
    <row r="2695" spans="1:5" x14ac:dyDescent="0.3">
      <c r="A2695" t="s">
        <v>2820</v>
      </c>
      <c r="B2695" t="s">
        <v>127</v>
      </c>
      <c r="C2695">
        <v>203</v>
      </c>
      <c r="D2695">
        <f t="shared" si="104"/>
        <v>2008</v>
      </c>
      <c r="E2695">
        <f t="shared" si="105"/>
        <v>8</v>
      </c>
    </row>
    <row r="2696" spans="1:5" x14ac:dyDescent="0.3">
      <c r="A2696" t="s">
        <v>2821</v>
      </c>
      <c r="B2696" t="s">
        <v>127</v>
      </c>
      <c r="C2696">
        <v>206</v>
      </c>
      <c r="D2696">
        <f t="shared" si="104"/>
        <v>2008</v>
      </c>
      <c r="E2696">
        <f t="shared" si="105"/>
        <v>8</v>
      </c>
    </row>
    <row r="2697" spans="1:5" x14ac:dyDescent="0.3">
      <c r="A2697" t="s">
        <v>2822</v>
      </c>
      <c r="B2697" t="s">
        <v>127</v>
      </c>
      <c r="C2697">
        <v>205</v>
      </c>
      <c r="D2697">
        <f t="shared" si="104"/>
        <v>2008</v>
      </c>
      <c r="E2697">
        <f t="shared" si="105"/>
        <v>8</v>
      </c>
    </row>
    <row r="2698" spans="1:5" x14ac:dyDescent="0.3">
      <c r="A2698" t="s">
        <v>2823</v>
      </c>
      <c r="B2698" t="s">
        <v>127</v>
      </c>
      <c r="C2698">
        <v>208</v>
      </c>
      <c r="D2698">
        <f t="shared" si="104"/>
        <v>2008</v>
      </c>
      <c r="E2698">
        <f t="shared" si="105"/>
        <v>8</v>
      </c>
    </row>
    <row r="2699" spans="1:5" x14ac:dyDescent="0.3">
      <c r="A2699" t="s">
        <v>2824</v>
      </c>
      <c r="B2699" t="s">
        <v>127</v>
      </c>
      <c r="C2699">
        <v>206</v>
      </c>
      <c r="D2699">
        <f t="shared" si="104"/>
        <v>2008</v>
      </c>
      <c r="E2699">
        <f t="shared" si="105"/>
        <v>8</v>
      </c>
    </row>
    <row r="2700" spans="1:5" x14ac:dyDescent="0.3">
      <c r="A2700" t="s">
        <v>2825</v>
      </c>
      <c r="B2700" t="s">
        <v>127</v>
      </c>
      <c r="C2700">
        <v>206</v>
      </c>
      <c r="D2700">
        <f t="shared" si="104"/>
        <v>2008</v>
      </c>
      <c r="E2700">
        <f t="shared" si="105"/>
        <v>8</v>
      </c>
    </row>
    <row r="2701" spans="1:5" x14ac:dyDescent="0.3">
      <c r="A2701" t="s">
        <v>2826</v>
      </c>
      <c r="B2701" t="s">
        <v>127</v>
      </c>
      <c r="C2701">
        <v>211</v>
      </c>
      <c r="D2701">
        <f t="shared" si="104"/>
        <v>2008</v>
      </c>
      <c r="E2701">
        <f t="shared" si="105"/>
        <v>8</v>
      </c>
    </row>
    <row r="2702" spans="1:5" x14ac:dyDescent="0.3">
      <c r="A2702" t="s">
        <v>2827</v>
      </c>
      <c r="B2702" t="s">
        <v>127</v>
      </c>
      <c r="C2702">
        <v>210</v>
      </c>
      <c r="D2702">
        <f t="shared" si="104"/>
        <v>2008</v>
      </c>
      <c r="E2702">
        <f t="shared" si="105"/>
        <v>8</v>
      </c>
    </row>
    <row r="2703" spans="1:5" x14ac:dyDescent="0.3">
      <c r="A2703" t="s">
        <v>2828</v>
      </c>
      <c r="B2703" t="s">
        <v>127</v>
      </c>
      <c r="C2703">
        <v>212</v>
      </c>
      <c r="D2703">
        <f t="shared" si="104"/>
        <v>2008</v>
      </c>
      <c r="E2703">
        <f t="shared" si="105"/>
        <v>8</v>
      </c>
    </row>
    <row r="2704" spans="1:5" x14ac:dyDescent="0.3">
      <c r="A2704" t="s">
        <v>2829</v>
      </c>
      <c r="B2704" t="s">
        <v>127</v>
      </c>
      <c r="C2704">
        <v>209</v>
      </c>
      <c r="D2704">
        <f t="shared" si="104"/>
        <v>2008</v>
      </c>
      <c r="E2704">
        <f t="shared" si="105"/>
        <v>8</v>
      </c>
    </row>
    <row r="2705" spans="1:5" x14ac:dyDescent="0.3">
      <c r="A2705" t="s">
        <v>2830</v>
      </c>
      <c r="B2705" t="s">
        <v>127</v>
      </c>
      <c r="C2705">
        <v>207</v>
      </c>
      <c r="D2705">
        <f t="shared" si="104"/>
        <v>2008</v>
      </c>
      <c r="E2705">
        <f t="shared" si="105"/>
        <v>8</v>
      </c>
    </row>
    <row r="2706" spans="1:5" x14ac:dyDescent="0.3">
      <c r="A2706" t="s">
        <v>2831</v>
      </c>
      <c r="B2706" t="s">
        <v>127</v>
      </c>
      <c r="C2706">
        <v>211</v>
      </c>
      <c r="D2706">
        <f t="shared" si="104"/>
        <v>2008</v>
      </c>
      <c r="E2706">
        <f t="shared" si="105"/>
        <v>9</v>
      </c>
    </row>
    <row r="2707" spans="1:5" x14ac:dyDescent="0.3">
      <c r="A2707" t="s">
        <v>2832</v>
      </c>
      <c r="B2707" t="s">
        <v>127</v>
      </c>
      <c r="C2707">
        <v>212</v>
      </c>
      <c r="D2707">
        <f t="shared" si="104"/>
        <v>2008</v>
      </c>
      <c r="E2707">
        <f t="shared" si="105"/>
        <v>9</v>
      </c>
    </row>
    <row r="2708" spans="1:5" x14ac:dyDescent="0.3">
      <c r="A2708" t="s">
        <v>2833</v>
      </c>
      <c r="B2708" t="s">
        <v>127</v>
      </c>
      <c r="C2708">
        <v>216</v>
      </c>
      <c r="D2708">
        <f t="shared" si="104"/>
        <v>2008</v>
      </c>
      <c r="E2708">
        <f t="shared" si="105"/>
        <v>9</v>
      </c>
    </row>
    <row r="2709" spans="1:5" x14ac:dyDescent="0.3">
      <c r="A2709" t="s">
        <v>2834</v>
      </c>
      <c r="B2709" t="s">
        <v>127</v>
      </c>
      <c r="C2709">
        <v>218</v>
      </c>
      <c r="D2709">
        <f t="shared" si="104"/>
        <v>2008</v>
      </c>
      <c r="E2709">
        <f t="shared" si="105"/>
        <v>9</v>
      </c>
    </row>
    <row r="2710" spans="1:5" x14ac:dyDescent="0.3">
      <c r="A2710" t="s">
        <v>2835</v>
      </c>
      <c r="B2710" t="s">
        <v>127</v>
      </c>
      <c r="C2710">
        <v>211</v>
      </c>
      <c r="D2710">
        <f t="shared" si="104"/>
        <v>2008</v>
      </c>
      <c r="E2710">
        <f t="shared" si="105"/>
        <v>9</v>
      </c>
    </row>
    <row r="2711" spans="1:5" x14ac:dyDescent="0.3">
      <c r="A2711" t="s">
        <v>2836</v>
      </c>
      <c r="B2711" t="s">
        <v>127</v>
      </c>
      <c r="C2711">
        <v>222</v>
      </c>
      <c r="D2711">
        <f t="shared" si="104"/>
        <v>2008</v>
      </c>
      <c r="E2711">
        <f t="shared" si="105"/>
        <v>9</v>
      </c>
    </row>
    <row r="2712" spans="1:5" x14ac:dyDescent="0.3">
      <c r="A2712" t="s">
        <v>2837</v>
      </c>
      <c r="B2712" t="s">
        <v>127</v>
      </c>
      <c r="C2712">
        <v>225</v>
      </c>
      <c r="D2712">
        <f t="shared" si="104"/>
        <v>2008</v>
      </c>
      <c r="E2712">
        <f t="shared" si="105"/>
        <v>9</v>
      </c>
    </row>
    <row r="2713" spans="1:5" x14ac:dyDescent="0.3">
      <c r="A2713" t="s">
        <v>2838</v>
      </c>
      <c r="B2713" t="s">
        <v>127</v>
      </c>
      <c r="C2713">
        <v>226</v>
      </c>
      <c r="D2713">
        <f t="shared" si="104"/>
        <v>2008</v>
      </c>
      <c r="E2713">
        <f t="shared" si="105"/>
        <v>9</v>
      </c>
    </row>
    <row r="2714" spans="1:5" x14ac:dyDescent="0.3">
      <c r="A2714" t="s">
        <v>2839</v>
      </c>
      <c r="B2714" t="s">
        <v>127</v>
      </c>
      <c r="C2714">
        <v>222</v>
      </c>
      <c r="D2714">
        <f t="shared" si="104"/>
        <v>2008</v>
      </c>
      <c r="E2714">
        <f t="shared" si="105"/>
        <v>9</v>
      </c>
    </row>
    <row r="2715" spans="1:5" x14ac:dyDescent="0.3">
      <c r="A2715" t="s">
        <v>2840</v>
      </c>
      <c r="B2715" t="s">
        <v>127</v>
      </c>
      <c r="C2715">
        <v>258</v>
      </c>
      <c r="D2715">
        <f t="shared" si="104"/>
        <v>2008</v>
      </c>
      <c r="E2715">
        <f t="shared" si="105"/>
        <v>9</v>
      </c>
    </row>
    <row r="2716" spans="1:5" x14ac:dyDescent="0.3">
      <c r="A2716" t="s">
        <v>2841</v>
      </c>
      <c r="B2716" t="s">
        <v>127</v>
      </c>
      <c r="C2716">
        <v>280</v>
      </c>
      <c r="D2716">
        <f t="shared" si="104"/>
        <v>2008</v>
      </c>
      <c r="E2716">
        <f t="shared" si="105"/>
        <v>9</v>
      </c>
    </row>
    <row r="2717" spans="1:5" x14ac:dyDescent="0.3">
      <c r="A2717" t="s">
        <v>2842</v>
      </c>
      <c r="B2717" t="s">
        <v>127</v>
      </c>
      <c r="C2717">
        <v>289</v>
      </c>
      <c r="D2717">
        <f t="shared" si="104"/>
        <v>2008</v>
      </c>
      <c r="E2717">
        <f t="shared" si="105"/>
        <v>9</v>
      </c>
    </row>
    <row r="2718" spans="1:5" x14ac:dyDescent="0.3">
      <c r="A2718" t="s">
        <v>2843</v>
      </c>
      <c r="B2718" t="s">
        <v>127</v>
      </c>
      <c r="C2718">
        <v>287</v>
      </c>
      <c r="D2718">
        <f t="shared" si="104"/>
        <v>2008</v>
      </c>
      <c r="E2718">
        <f t="shared" si="105"/>
        <v>9</v>
      </c>
    </row>
    <row r="2719" spans="1:5" x14ac:dyDescent="0.3">
      <c r="A2719" t="s">
        <v>2844</v>
      </c>
      <c r="B2719" t="s">
        <v>127</v>
      </c>
      <c r="C2719">
        <v>241</v>
      </c>
      <c r="D2719">
        <f t="shared" si="104"/>
        <v>2008</v>
      </c>
      <c r="E2719">
        <f t="shared" si="105"/>
        <v>9</v>
      </c>
    </row>
    <row r="2720" spans="1:5" x14ac:dyDescent="0.3">
      <c r="A2720" t="s">
        <v>2845</v>
      </c>
      <c r="B2720" t="s">
        <v>127</v>
      </c>
      <c r="C2720">
        <v>232</v>
      </c>
      <c r="D2720">
        <f t="shared" si="104"/>
        <v>2008</v>
      </c>
      <c r="E2720">
        <f t="shared" si="105"/>
        <v>9</v>
      </c>
    </row>
    <row r="2721" spans="1:5" x14ac:dyDescent="0.3">
      <c r="A2721" t="s">
        <v>2846</v>
      </c>
      <c r="B2721" t="s">
        <v>127</v>
      </c>
      <c r="C2721">
        <v>244</v>
      </c>
      <c r="D2721">
        <f t="shared" si="104"/>
        <v>2008</v>
      </c>
      <c r="E2721">
        <f t="shared" si="105"/>
        <v>9</v>
      </c>
    </row>
    <row r="2722" spans="1:5" x14ac:dyDescent="0.3">
      <c r="A2722" t="s">
        <v>2847</v>
      </c>
      <c r="B2722" t="s">
        <v>127</v>
      </c>
      <c r="C2722">
        <v>256</v>
      </c>
      <c r="D2722">
        <f t="shared" si="104"/>
        <v>2008</v>
      </c>
      <c r="E2722">
        <f t="shared" si="105"/>
        <v>9</v>
      </c>
    </row>
    <row r="2723" spans="1:5" x14ac:dyDescent="0.3">
      <c r="A2723" t="s">
        <v>2848</v>
      </c>
      <c r="B2723" t="s">
        <v>127</v>
      </c>
      <c r="C2723">
        <v>243</v>
      </c>
      <c r="D2723">
        <f t="shared" si="104"/>
        <v>2008</v>
      </c>
      <c r="E2723">
        <f t="shared" si="105"/>
        <v>9</v>
      </c>
    </row>
    <row r="2724" spans="1:5" x14ac:dyDescent="0.3">
      <c r="A2724" t="s">
        <v>2849</v>
      </c>
      <c r="B2724" t="s">
        <v>127</v>
      </c>
      <c r="C2724">
        <v>255</v>
      </c>
      <c r="D2724">
        <f t="shared" si="104"/>
        <v>2008</v>
      </c>
      <c r="E2724">
        <f t="shared" si="105"/>
        <v>9</v>
      </c>
    </row>
    <row r="2725" spans="1:5" x14ac:dyDescent="0.3">
      <c r="A2725" t="s">
        <v>2850</v>
      </c>
      <c r="B2725" t="s">
        <v>127</v>
      </c>
      <c r="C2725">
        <v>283</v>
      </c>
      <c r="D2725">
        <f t="shared" si="104"/>
        <v>2008</v>
      </c>
      <c r="E2725">
        <f t="shared" si="105"/>
        <v>9</v>
      </c>
    </row>
    <row r="2726" spans="1:5" x14ac:dyDescent="0.3">
      <c r="A2726" t="s">
        <v>2851</v>
      </c>
      <c r="B2726" t="s">
        <v>127</v>
      </c>
      <c r="C2726">
        <v>275</v>
      </c>
      <c r="D2726">
        <f t="shared" si="104"/>
        <v>2008</v>
      </c>
      <c r="E2726">
        <f t="shared" si="105"/>
        <v>9</v>
      </c>
    </row>
    <row r="2727" spans="1:5" x14ac:dyDescent="0.3">
      <c r="A2727" t="s">
        <v>2852</v>
      </c>
      <c r="B2727" t="s">
        <v>127</v>
      </c>
      <c r="C2727">
        <v>275</v>
      </c>
      <c r="D2727">
        <f t="shared" si="104"/>
        <v>2008</v>
      </c>
      <c r="E2727">
        <f t="shared" si="105"/>
        <v>10</v>
      </c>
    </row>
    <row r="2728" spans="1:5" x14ac:dyDescent="0.3">
      <c r="A2728" t="s">
        <v>2853</v>
      </c>
      <c r="B2728" t="s">
        <v>127</v>
      </c>
      <c r="C2728">
        <v>288</v>
      </c>
      <c r="D2728">
        <f t="shared" si="104"/>
        <v>2008</v>
      </c>
      <c r="E2728">
        <f t="shared" si="105"/>
        <v>10</v>
      </c>
    </row>
    <row r="2729" spans="1:5" x14ac:dyDescent="0.3">
      <c r="A2729" t="s">
        <v>2854</v>
      </c>
      <c r="B2729" t="s">
        <v>127</v>
      </c>
      <c r="C2729">
        <v>284</v>
      </c>
      <c r="D2729">
        <f t="shared" si="104"/>
        <v>2008</v>
      </c>
      <c r="E2729">
        <f t="shared" si="105"/>
        <v>10</v>
      </c>
    </row>
    <row r="2730" spans="1:5" x14ac:dyDescent="0.3">
      <c r="A2730" t="s">
        <v>2855</v>
      </c>
      <c r="B2730" t="s">
        <v>127</v>
      </c>
      <c r="C2730">
        <v>342</v>
      </c>
      <c r="D2730">
        <f t="shared" si="104"/>
        <v>2008</v>
      </c>
      <c r="E2730">
        <f t="shared" si="105"/>
        <v>10</v>
      </c>
    </row>
    <row r="2731" spans="1:5" x14ac:dyDescent="0.3">
      <c r="A2731" t="s">
        <v>2856</v>
      </c>
      <c r="B2731" t="s">
        <v>127</v>
      </c>
      <c r="C2731">
        <v>341</v>
      </c>
      <c r="D2731">
        <f t="shared" si="104"/>
        <v>2008</v>
      </c>
      <c r="E2731">
        <f t="shared" si="105"/>
        <v>10</v>
      </c>
    </row>
    <row r="2732" spans="1:5" x14ac:dyDescent="0.3">
      <c r="A2732" t="s">
        <v>2857</v>
      </c>
      <c r="B2732" t="s">
        <v>127</v>
      </c>
      <c r="C2732">
        <v>370</v>
      </c>
      <c r="D2732">
        <f t="shared" si="104"/>
        <v>2008</v>
      </c>
      <c r="E2732">
        <f t="shared" si="105"/>
        <v>10</v>
      </c>
    </row>
    <row r="2733" spans="1:5" x14ac:dyDescent="0.3">
      <c r="A2733" t="s">
        <v>2858</v>
      </c>
      <c r="B2733" t="s">
        <v>127</v>
      </c>
      <c r="C2733">
        <v>400</v>
      </c>
      <c r="D2733">
        <f t="shared" si="104"/>
        <v>2008</v>
      </c>
      <c r="E2733">
        <f t="shared" si="105"/>
        <v>10</v>
      </c>
    </row>
    <row r="2734" spans="1:5" x14ac:dyDescent="0.3">
      <c r="A2734" t="s">
        <v>2859</v>
      </c>
      <c r="B2734" t="s">
        <v>127</v>
      </c>
      <c r="C2734">
        <v>447</v>
      </c>
      <c r="D2734">
        <f t="shared" si="104"/>
        <v>2008</v>
      </c>
      <c r="E2734">
        <f t="shared" si="105"/>
        <v>10</v>
      </c>
    </row>
    <row r="2735" spans="1:5" x14ac:dyDescent="0.3">
      <c r="A2735" t="s">
        <v>2860</v>
      </c>
      <c r="B2735" t="s">
        <v>127</v>
      </c>
      <c r="C2735">
        <v>380</v>
      </c>
      <c r="D2735">
        <f t="shared" si="104"/>
        <v>2008</v>
      </c>
      <c r="E2735">
        <f t="shared" si="105"/>
        <v>10</v>
      </c>
    </row>
    <row r="2736" spans="1:5" x14ac:dyDescent="0.3">
      <c r="A2736" t="s">
        <v>2861</v>
      </c>
      <c r="B2736" t="s">
        <v>127</v>
      </c>
      <c r="C2736">
        <v>410</v>
      </c>
      <c r="D2736">
        <f t="shared" si="104"/>
        <v>2008</v>
      </c>
      <c r="E2736">
        <f t="shared" si="105"/>
        <v>10</v>
      </c>
    </row>
    <row r="2737" spans="1:5" x14ac:dyDescent="0.3">
      <c r="A2737" t="s">
        <v>2862</v>
      </c>
      <c r="B2737" t="s">
        <v>127</v>
      </c>
      <c r="C2737">
        <v>449</v>
      </c>
      <c r="D2737">
        <f t="shared" si="104"/>
        <v>2008</v>
      </c>
      <c r="E2737">
        <f t="shared" si="105"/>
        <v>10</v>
      </c>
    </row>
    <row r="2738" spans="1:5" x14ac:dyDescent="0.3">
      <c r="A2738" t="s">
        <v>2863</v>
      </c>
      <c r="B2738" t="s">
        <v>127</v>
      </c>
      <c r="C2738">
        <v>451</v>
      </c>
      <c r="D2738">
        <f t="shared" si="104"/>
        <v>2008</v>
      </c>
      <c r="E2738">
        <f t="shared" si="105"/>
        <v>10</v>
      </c>
    </row>
    <row r="2739" spans="1:5" x14ac:dyDescent="0.3">
      <c r="A2739" t="s">
        <v>2864</v>
      </c>
      <c r="B2739" t="s">
        <v>127</v>
      </c>
      <c r="C2739">
        <v>477</v>
      </c>
      <c r="D2739">
        <f t="shared" si="104"/>
        <v>2008</v>
      </c>
      <c r="E2739">
        <f t="shared" si="105"/>
        <v>10</v>
      </c>
    </row>
    <row r="2740" spans="1:5" x14ac:dyDescent="0.3">
      <c r="A2740" t="s">
        <v>2865</v>
      </c>
      <c r="B2740" t="s">
        <v>127</v>
      </c>
      <c r="C2740">
        <v>521</v>
      </c>
      <c r="D2740">
        <f t="shared" si="104"/>
        <v>2008</v>
      </c>
      <c r="E2740">
        <f t="shared" si="105"/>
        <v>10</v>
      </c>
    </row>
    <row r="2741" spans="1:5" x14ac:dyDescent="0.3">
      <c r="A2741" t="s">
        <v>2866</v>
      </c>
      <c r="B2741" t="s">
        <v>127</v>
      </c>
      <c r="C2741">
        <v>596</v>
      </c>
      <c r="D2741">
        <f t="shared" si="104"/>
        <v>2008</v>
      </c>
      <c r="E2741">
        <f t="shared" si="105"/>
        <v>10</v>
      </c>
    </row>
    <row r="2742" spans="1:5" x14ac:dyDescent="0.3">
      <c r="A2742" t="s">
        <v>2867</v>
      </c>
      <c r="B2742" t="s">
        <v>127</v>
      </c>
      <c r="C2742">
        <v>627</v>
      </c>
      <c r="D2742">
        <f t="shared" si="104"/>
        <v>2008</v>
      </c>
      <c r="E2742">
        <f t="shared" si="105"/>
        <v>10</v>
      </c>
    </row>
    <row r="2743" spans="1:5" x14ac:dyDescent="0.3">
      <c r="A2743" t="s">
        <v>2868</v>
      </c>
      <c r="B2743" t="s">
        <v>127</v>
      </c>
      <c r="C2743">
        <v>617</v>
      </c>
      <c r="D2743">
        <f t="shared" si="104"/>
        <v>2008</v>
      </c>
      <c r="E2743">
        <f t="shared" si="105"/>
        <v>10</v>
      </c>
    </row>
    <row r="2744" spans="1:5" x14ac:dyDescent="0.3">
      <c r="A2744" t="s">
        <v>2869</v>
      </c>
      <c r="B2744" t="s">
        <v>127</v>
      </c>
      <c r="C2744">
        <v>581</v>
      </c>
      <c r="D2744">
        <f t="shared" si="104"/>
        <v>2008</v>
      </c>
      <c r="E2744">
        <f t="shared" si="105"/>
        <v>10</v>
      </c>
    </row>
    <row r="2745" spans="1:5" x14ac:dyDescent="0.3">
      <c r="A2745" t="s">
        <v>2870</v>
      </c>
      <c r="B2745" t="s">
        <v>127</v>
      </c>
      <c r="C2745">
        <v>501</v>
      </c>
      <c r="D2745">
        <f t="shared" si="104"/>
        <v>2008</v>
      </c>
      <c r="E2745">
        <f t="shared" si="105"/>
        <v>10</v>
      </c>
    </row>
    <row r="2746" spans="1:5" x14ac:dyDescent="0.3">
      <c r="A2746" t="s">
        <v>2871</v>
      </c>
      <c r="B2746" t="s">
        <v>127</v>
      </c>
      <c r="C2746">
        <v>437</v>
      </c>
      <c r="D2746">
        <f t="shared" si="104"/>
        <v>2008</v>
      </c>
      <c r="E2746">
        <f t="shared" si="105"/>
        <v>10</v>
      </c>
    </row>
    <row r="2747" spans="1:5" x14ac:dyDescent="0.3">
      <c r="A2747" t="s">
        <v>2872</v>
      </c>
      <c r="B2747" t="s">
        <v>127</v>
      </c>
      <c r="C2747">
        <v>408</v>
      </c>
      <c r="D2747">
        <f t="shared" si="104"/>
        <v>2008</v>
      </c>
      <c r="E2747">
        <f t="shared" si="105"/>
        <v>10</v>
      </c>
    </row>
    <row r="2748" spans="1:5" x14ac:dyDescent="0.3">
      <c r="A2748" t="s">
        <v>2873</v>
      </c>
      <c r="B2748" t="s">
        <v>127</v>
      </c>
      <c r="C2748">
        <v>390</v>
      </c>
      <c r="D2748">
        <f t="shared" si="104"/>
        <v>2008</v>
      </c>
      <c r="E2748">
        <f t="shared" si="105"/>
        <v>10</v>
      </c>
    </row>
    <row r="2749" spans="1:5" x14ac:dyDescent="0.3">
      <c r="A2749" t="s">
        <v>2874</v>
      </c>
      <c r="B2749" t="s">
        <v>127</v>
      </c>
      <c r="C2749">
        <v>392</v>
      </c>
      <c r="D2749">
        <f t="shared" si="104"/>
        <v>2008</v>
      </c>
      <c r="E2749">
        <f t="shared" si="105"/>
        <v>11</v>
      </c>
    </row>
    <row r="2750" spans="1:5" x14ac:dyDescent="0.3">
      <c r="A2750" t="s">
        <v>2875</v>
      </c>
      <c r="B2750" t="s">
        <v>127</v>
      </c>
      <c r="C2750">
        <v>399</v>
      </c>
      <c r="D2750">
        <f t="shared" si="104"/>
        <v>2008</v>
      </c>
      <c r="E2750">
        <f t="shared" si="105"/>
        <v>11</v>
      </c>
    </row>
    <row r="2751" spans="1:5" x14ac:dyDescent="0.3">
      <c r="A2751" t="s">
        <v>2876</v>
      </c>
      <c r="B2751" t="s">
        <v>127</v>
      </c>
      <c r="C2751">
        <v>427</v>
      </c>
      <c r="D2751">
        <f t="shared" si="104"/>
        <v>2008</v>
      </c>
      <c r="E2751">
        <f t="shared" si="105"/>
        <v>11</v>
      </c>
    </row>
    <row r="2752" spans="1:5" x14ac:dyDescent="0.3">
      <c r="A2752" t="s">
        <v>2877</v>
      </c>
      <c r="B2752" t="s">
        <v>127</v>
      </c>
      <c r="C2752">
        <v>431</v>
      </c>
      <c r="D2752">
        <f t="shared" si="104"/>
        <v>2008</v>
      </c>
      <c r="E2752">
        <f t="shared" si="105"/>
        <v>11</v>
      </c>
    </row>
    <row r="2753" spans="1:5" x14ac:dyDescent="0.3">
      <c r="A2753" t="s">
        <v>2878</v>
      </c>
      <c r="B2753" t="s">
        <v>127</v>
      </c>
      <c r="C2753">
        <v>422</v>
      </c>
      <c r="D2753">
        <f t="shared" si="104"/>
        <v>2008</v>
      </c>
      <c r="E2753">
        <f t="shared" si="105"/>
        <v>11</v>
      </c>
    </row>
    <row r="2754" spans="1:5" x14ac:dyDescent="0.3">
      <c r="A2754" t="s">
        <v>2879</v>
      </c>
      <c r="B2754" t="s">
        <v>127</v>
      </c>
      <c r="C2754">
        <v>413</v>
      </c>
      <c r="D2754">
        <f t="shared" si="104"/>
        <v>2008</v>
      </c>
      <c r="E2754">
        <f t="shared" si="105"/>
        <v>11</v>
      </c>
    </row>
    <row r="2755" spans="1:5" x14ac:dyDescent="0.3">
      <c r="A2755" t="s">
        <v>2880</v>
      </c>
      <c r="B2755" t="s">
        <v>127</v>
      </c>
      <c r="C2755">
        <v>444</v>
      </c>
      <c r="D2755">
        <f t="shared" ref="D2755:D2818" si="106">YEAR(A2755)</f>
        <v>2008</v>
      </c>
      <c r="E2755">
        <f t="shared" ref="E2755:E2818" si="107">MONTH(A2755)</f>
        <v>11</v>
      </c>
    </row>
    <row r="2756" spans="1:5" x14ac:dyDescent="0.3">
      <c r="A2756" t="s">
        <v>2881</v>
      </c>
      <c r="B2756" t="s">
        <v>127</v>
      </c>
      <c r="C2756">
        <v>445</v>
      </c>
      <c r="D2756">
        <f t="shared" si="106"/>
        <v>2008</v>
      </c>
      <c r="E2756">
        <f t="shared" si="107"/>
        <v>11</v>
      </c>
    </row>
    <row r="2757" spans="1:5" x14ac:dyDescent="0.3">
      <c r="A2757" t="s">
        <v>2882</v>
      </c>
      <c r="B2757" t="s">
        <v>127</v>
      </c>
      <c r="C2757">
        <v>446</v>
      </c>
      <c r="D2757">
        <f t="shared" si="106"/>
        <v>2008</v>
      </c>
      <c r="E2757">
        <f t="shared" si="107"/>
        <v>11</v>
      </c>
    </row>
    <row r="2758" spans="1:5" x14ac:dyDescent="0.3">
      <c r="A2758" t="s">
        <v>2883</v>
      </c>
      <c r="B2758" t="s">
        <v>127</v>
      </c>
      <c r="C2758">
        <v>449</v>
      </c>
      <c r="D2758">
        <f t="shared" si="106"/>
        <v>2008</v>
      </c>
      <c r="E2758">
        <f t="shared" si="107"/>
        <v>11</v>
      </c>
    </row>
    <row r="2759" spans="1:5" x14ac:dyDescent="0.3">
      <c r="A2759" t="s">
        <v>2884</v>
      </c>
      <c r="B2759" t="s">
        <v>127</v>
      </c>
      <c r="C2759">
        <v>471</v>
      </c>
      <c r="D2759">
        <f t="shared" si="106"/>
        <v>2008</v>
      </c>
      <c r="E2759">
        <f t="shared" si="107"/>
        <v>11</v>
      </c>
    </row>
    <row r="2760" spans="1:5" x14ac:dyDescent="0.3">
      <c r="A2760" t="s">
        <v>2885</v>
      </c>
      <c r="B2760" t="s">
        <v>127</v>
      </c>
      <c r="C2760">
        <v>501</v>
      </c>
      <c r="D2760">
        <f t="shared" si="106"/>
        <v>2008</v>
      </c>
      <c r="E2760">
        <f t="shared" si="107"/>
        <v>11</v>
      </c>
    </row>
    <row r="2761" spans="1:5" x14ac:dyDescent="0.3">
      <c r="A2761" t="s">
        <v>2886</v>
      </c>
      <c r="B2761" t="s">
        <v>127</v>
      </c>
      <c r="C2761">
        <v>537</v>
      </c>
      <c r="D2761">
        <f t="shared" si="106"/>
        <v>2008</v>
      </c>
      <c r="E2761">
        <f t="shared" si="107"/>
        <v>11</v>
      </c>
    </row>
    <row r="2762" spans="1:5" x14ac:dyDescent="0.3">
      <c r="A2762" t="s">
        <v>2887</v>
      </c>
      <c r="B2762" t="s">
        <v>127</v>
      </c>
      <c r="C2762">
        <v>538</v>
      </c>
      <c r="D2762">
        <f t="shared" si="106"/>
        <v>2008</v>
      </c>
      <c r="E2762">
        <f t="shared" si="107"/>
        <v>11</v>
      </c>
    </row>
    <row r="2763" spans="1:5" x14ac:dyDescent="0.3">
      <c r="A2763" t="s">
        <v>2888</v>
      </c>
      <c r="B2763" t="s">
        <v>127</v>
      </c>
      <c r="C2763">
        <v>494</v>
      </c>
      <c r="D2763">
        <f t="shared" si="106"/>
        <v>2008</v>
      </c>
      <c r="E2763">
        <f t="shared" si="107"/>
        <v>11</v>
      </c>
    </row>
    <row r="2764" spans="1:5" x14ac:dyDescent="0.3">
      <c r="A2764" t="s">
        <v>2889</v>
      </c>
      <c r="B2764" t="s">
        <v>127</v>
      </c>
      <c r="C2764">
        <v>482</v>
      </c>
      <c r="D2764">
        <f t="shared" si="106"/>
        <v>2008</v>
      </c>
      <c r="E2764">
        <f t="shared" si="107"/>
        <v>11</v>
      </c>
    </row>
    <row r="2765" spans="1:5" x14ac:dyDescent="0.3">
      <c r="A2765" t="s">
        <v>2890</v>
      </c>
      <c r="B2765" t="s">
        <v>127</v>
      </c>
      <c r="C2765">
        <v>481</v>
      </c>
      <c r="D2765">
        <f t="shared" si="106"/>
        <v>2008</v>
      </c>
      <c r="E2765">
        <f t="shared" si="107"/>
        <v>11</v>
      </c>
    </row>
    <row r="2766" spans="1:5" x14ac:dyDescent="0.3">
      <c r="A2766" t="s">
        <v>2891</v>
      </c>
      <c r="B2766" t="s">
        <v>127</v>
      </c>
      <c r="C2766">
        <v>482</v>
      </c>
      <c r="D2766">
        <f t="shared" si="106"/>
        <v>2008</v>
      </c>
      <c r="E2766">
        <f t="shared" si="107"/>
        <v>11</v>
      </c>
    </row>
    <row r="2767" spans="1:5" x14ac:dyDescent="0.3">
      <c r="A2767" t="s">
        <v>2892</v>
      </c>
      <c r="B2767" t="s">
        <v>127</v>
      </c>
      <c r="C2767">
        <v>518</v>
      </c>
      <c r="D2767">
        <f t="shared" si="106"/>
        <v>2008</v>
      </c>
      <c r="E2767">
        <f t="shared" si="107"/>
        <v>12</v>
      </c>
    </row>
    <row r="2768" spans="1:5" x14ac:dyDescent="0.3">
      <c r="A2768" t="s">
        <v>2893</v>
      </c>
      <c r="B2768" t="s">
        <v>127</v>
      </c>
      <c r="C2768">
        <v>515</v>
      </c>
      <c r="D2768">
        <f t="shared" si="106"/>
        <v>2008</v>
      </c>
      <c r="E2768">
        <f t="shared" si="107"/>
        <v>12</v>
      </c>
    </row>
    <row r="2769" spans="1:5" x14ac:dyDescent="0.3">
      <c r="A2769" t="s">
        <v>2894</v>
      </c>
      <c r="B2769" t="s">
        <v>127</v>
      </c>
      <c r="C2769">
        <v>496</v>
      </c>
      <c r="D2769">
        <f t="shared" si="106"/>
        <v>2008</v>
      </c>
      <c r="E2769">
        <f t="shared" si="107"/>
        <v>12</v>
      </c>
    </row>
    <row r="2770" spans="1:5" x14ac:dyDescent="0.3">
      <c r="A2770" t="s">
        <v>2895</v>
      </c>
      <c r="B2770" t="s">
        <v>127</v>
      </c>
      <c r="C2770">
        <v>511</v>
      </c>
      <c r="D2770">
        <f t="shared" si="106"/>
        <v>2008</v>
      </c>
      <c r="E2770">
        <f t="shared" si="107"/>
        <v>12</v>
      </c>
    </row>
    <row r="2771" spans="1:5" x14ac:dyDescent="0.3">
      <c r="A2771" t="s">
        <v>2896</v>
      </c>
      <c r="B2771" t="s">
        <v>127</v>
      </c>
      <c r="C2771">
        <v>498</v>
      </c>
      <c r="D2771">
        <f t="shared" si="106"/>
        <v>2008</v>
      </c>
      <c r="E2771">
        <f t="shared" si="107"/>
        <v>12</v>
      </c>
    </row>
    <row r="2772" spans="1:5" x14ac:dyDescent="0.3">
      <c r="A2772" t="s">
        <v>2897</v>
      </c>
      <c r="B2772" t="s">
        <v>127</v>
      </c>
      <c r="C2772">
        <v>465</v>
      </c>
      <c r="D2772">
        <f t="shared" si="106"/>
        <v>2008</v>
      </c>
      <c r="E2772">
        <f t="shared" si="107"/>
        <v>12</v>
      </c>
    </row>
    <row r="2773" spans="1:5" x14ac:dyDescent="0.3">
      <c r="A2773" t="s">
        <v>2898</v>
      </c>
      <c r="B2773" t="s">
        <v>127</v>
      </c>
      <c r="C2773">
        <v>465</v>
      </c>
      <c r="D2773">
        <f t="shared" si="106"/>
        <v>2008</v>
      </c>
      <c r="E2773">
        <f t="shared" si="107"/>
        <v>12</v>
      </c>
    </row>
    <row r="2774" spans="1:5" x14ac:dyDescent="0.3">
      <c r="A2774" t="s">
        <v>2899</v>
      </c>
      <c r="B2774" t="s">
        <v>127</v>
      </c>
      <c r="C2774">
        <v>462</v>
      </c>
      <c r="D2774">
        <f t="shared" si="106"/>
        <v>2008</v>
      </c>
      <c r="E2774">
        <f t="shared" si="107"/>
        <v>12</v>
      </c>
    </row>
    <row r="2775" spans="1:5" x14ac:dyDescent="0.3">
      <c r="A2775" t="s">
        <v>2900</v>
      </c>
      <c r="B2775" t="s">
        <v>127</v>
      </c>
      <c r="C2775">
        <v>461</v>
      </c>
      <c r="D2775">
        <f t="shared" si="106"/>
        <v>2008</v>
      </c>
      <c r="E2775">
        <f t="shared" si="107"/>
        <v>12</v>
      </c>
    </row>
    <row r="2776" spans="1:5" x14ac:dyDescent="0.3">
      <c r="A2776" t="s">
        <v>2901</v>
      </c>
      <c r="B2776" t="s">
        <v>127</v>
      </c>
      <c r="C2776">
        <v>467</v>
      </c>
      <c r="D2776">
        <f t="shared" si="106"/>
        <v>2008</v>
      </c>
      <c r="E2776">
        <f t="shared" si="107"/>
        <v>12</v>
      </c>
    </row>
    <row r="2777" spans="1:5" x14ac:dyDescent="0.3">
      <c r="A2777" t="s">
        <v>2902</v>
      </c>
      <c r="B2777" t="s">
        <v>127</v>
      </c>
      <c r="C2777">
        <v>473</v>
      </c>
      <c r="D2777">
        <f t="shared" si="106"/>
        <v>2008</v>
      </c>
      <c r="E2777">
        <f t="shared" si="107"/>
        <v>12</v>
      </c>
    </row>
    <row r="2778" spans="1:5" x14ac:dyDescent="0.3">
      <c r="A2778" t="s">
        <v>2903</v>
      </c>
      <c r="B2778" t="s">
        <v>127</v>
      </c>
      <c r="C2778">
        <v>476</v>
      </c>
      <c r="D2778">
        <f t="shared" si="106"/>
        <v>2008</v>
      </c>
      <c r="E2778">
        <f t="shared" si="107"/>
        <v>12</v>
      </c>
    </row>
    <row r="2779" spans="1:5" x14ac:dyDescent="0.3">
      <c r="A2779" t="s">
        <v>2904</v>
      </c>
      <c r="B2779" t="s">
        <v>127</v>
      </c>
      <c r="C2779">
        <v>448</v>
      </c>
      <c r="D2779">
        <f t="shared" si="106"/>
        <v>2008</v>
      </c>
      <c r="E2779">
        <f t="shared" si="107"/>
        <v>12</v>
      </c>
    </row>
    <row r="2780" spans="1:5" x14ac:dyDescent="0.3">
      <c r="A2780" t="s">
        <v>2905</v>
      </c>
      <c r="B2780" t="s">
        <v>127</v>
      </c>
      <c r="C2780">
        <v>446</v>
      </c>
      <c r="D2780">
        <f t="shared" si="106"/>
        <v>2008</v>
      </c>
      <c r="E2780">
        <f t="shared" si="107"/>
        <v>12</v>
      </c>
    </row>
    <row r="2781" spans="1:5" x14ac:dyDescent="0.3">
      <c r="A2781" t="s">
        <v>2906</v>
      </c>
      <c r="B2781" t="s">
        <v>127</v>
      </c>
      <c r="C2781">
        <v>437</v>
      </c>
      <c r="D2781">
        <f t="shared" si="106"/>
        <v>2008</v>
      </c>
      <c r="E2781">
        <f t="shared" si="107"/>
        <v>12</v>
      </c>
    </row>
    <row r="2782" spans="1:5" x14ac:dyDescent="0.3">
      <c r="A2782" t="s">
        <v>2907</v>
      </c>
      <c r="B2782" t="s">
        <v>127</v>
      </c>
      <c r="C2782">
        <v>437</v>
      </c>
      <c r="D2782">
        <f t="shared" si="106"/>
        <v>2008</v>
      </c>
      <c r="E2782">
        <f t="shared" si="107"/>
        <v>12</v>
      </c>
    </row>
    <row r="2783" spans="1:5" x14ac:dyDescent="0.3">
      <c r="A2783" t="s">
        <v>2908</v>
      </c>
      <c r="B2783" t="s">
        <v>127</v>
      </c>
      <c r="C2783">
        <v>432</v>
      </c>
      <c r="D2783">
        <f t="shared" si="106"/>
        <v>2008</v>
      </c>
      <c r="E2783">
        <f t="shared" si="107"/>
        <v>12</v>
      </c>
    </row>
    <row r="2784" spans="1:5" x14ac:dyDescent="0.3">
      <c r="A2784" t="s">
        <v>2909</v>
      </c>
      <c r="B2784" t="s">
        <v>127</v>
      </c>
      <c r="C2784">
        <v>431</v>
      </c>
      <c r="D2784">
        <f t="shared" si="106"/>
        <v>2008</v>
      </c>
      <c r="E2784">
        <f t="shared" si="107"/>
        <v>12</v>
      </c>
    </row>
    <row r="2785" spans="1:5" x14ac:dyDescent="0.3">
      <c r="A2785" t="s">
        <v>2910</v>
      </c>
      <c r="B2785" t="s">
        <v>127</v>
      </c>
      <c r="C2785">
        <v>431</v>
      </c>
      <c r="D2785">
        <f t="shared" si="106"/>
        <v>2008</v>
      </c>
      <c r="E2785">
        <f t="shared" si="107"/>
        <v>12</v>
      </c>
    </row>
    <row r="2786" spans="1:5" x14ac:dyDescent="0.3">
      <c r="A2786" t="s">
        <v>2911</v>
      </c>
      <c r="B2786" t="s">
        <v>127</v>
      </c>
      <c r="C2786">
        <v>439</v>
      </c>
      <c r="D2786">
        <f t="shared" si="106"/>
        <v>2008</v>
      </c>
      <c r="E2786">
        <f t="shared" si="107"/>
        <v>12</v>
      </c>
    </row>
    <row r="2787" spans="1:5" x14ac:dyDescent="0.3">
      <c r="A2787" t="s">
        <v>2912</v>
      </c>
      <c r="B2787" t="s">
        <v>127</v>
      </c>
      <c r="C2787">
        <v>435</v>
      </c>
      <c r="D2787">
        <f t="shared" si="106"/>
        <v>2008</v>
      </c>
      <c r="E2787">
        <f t="shared" si="107"/>
        <v>12</v>
      </c>
    </row>
    <row r="2788" spans="1:5" x14ac:dyDescent="0.3">
      <c r="A2788" t="s">
        <v>2913</v>
      </c>
      <c r="B2788" t="s">
        <v>127</v>
      </c>
      <c r="C2788">
        <v>434</v>
      </c>
      <c r="D2788">
        <f t="shared" si="106"/>
        <v>2008</v>
      </c>
      <c r="E2788">
        <f t="shared" si="107"/>
        <v>12</v>
      </c>
    </row>
    <row r="2789" spans="1:5" x14ac:dyDescent="0.3">
      <c r="A2789" t="s">
        <v>2914</v>
      </c>
      <c r="B2789" t="s">
        <v>127</v>
      </c>
      <c r="C2789">
        <v>411</v>
      </c>
      <c r="D2789">
        <f t="shared" si="106"/>
        <v>2009</v>
      </c>
      <c r="E2789">
        <f t="shared" si="107"/>
        <v>1</v>
      </c>
    </row>
    <row r="2790" spans="1:5" x14ac:dyDescent="0.3">
      <c r="A2790" t="s">
        <v>2915</v>
      </c>
      <c r="B2790" t="s">
        <v>127</v>
      </c>
      <c r="C2790">
        <v>390</v>
      </c>
      <c r="D2790">
        <f t="shared" si="106"/>
        <v>2009</v>
      </c>
      <c r="E2790">
        <f t="shared" si="107"/>
        <v>1</v>
      </c>
    </row>
    <row r="2791" spans="1:5" x14ac:dyDescent="0.3">
      <c r="A2791" t="s">
        <v>2916</v>
      </c>
      <c r="B2791" t="s">
        <v>127</v>
      </c>
      <c r="C2791">
        <v>385</v>
      </c>
      <c r="D2791">
        <f t="shared" si="106"/>
        <v>2009</v>
      </c>
      <c r="E2791">
        <f t="shared" si="107"/>
        <v>1</v>
      </c>
    </row>
    <row r="2792" spans="1:5" x14ac:dyDescent="0.3">
      <c r="A2792" t="s">
        <v>2917</v>
      </c>
      <c r="B2792" t="s">
        <v>127</v>
      </c>
      <c r="C2792">
        <v>394</v>
      </c>
      <c r="D2792">
        <f t="shared" si="106"/>
        <v>2009</v>
      </c>
      <c r="E2792">
        <f t="shared" si="107"/>
        <v>1</v>
      </c>
    </row>
    <row r="2793" spans="1:5" x14ac:dyDescent="0.3">
      <c r="A2793" t="s">
        <v>2918</v>
      </c>
      <c r="B2793" t="s">
        <v>127</v>
      </c>
      <c r="C2793">
        <v>412</v>
      </c>
      <c r="D2793">
        <f t="shared" si="106"/>
        <v>2009</v>
      </c>
      <c r="E2793">
        <f t="shared" si="107"/>
        <v>1</v>
      </c>
    </row>
    <row r="2794" spans="1:5" x14ac:dyDescent="0.3">
      <c r="A2794" t="s">
        <v>2919</v>
      </c>
      <c r="B2794" t="s">
        <v>127</v>
      </c>
      <c r="C2794">
        <v>410</v>
      </c>
      <c r="D2794">
        <f t="shared" si="106"/>
        <v>2009</v>
      </c>
      <c r="E2794">
        <f t="shared" si="107"/>
        <v>1</v>
      </c>
    </row>
    <row r="2795" spans="1:5" x14ac:dyDescent="0.3">
      <c r="A2795" t="s">
        <v>2920</v>
      </c>
      <c r="B2795" t="s">
        <v>127</v>
      </c>
      <c r="C2795">
        <v>421</v>
      </c>
      <c r="D2795">
        <f t="shared" si="106"/>
        <v>2009</v>
      </c>
      <c r="E2795">
        <f t="shared" si="107"/>
        <v>1</v>
      </c>
    </row>
    <row r="2796" spans="1:5" x14ac:dyDescent="0.3">
      <c r="A2796" t="s">
        <v>2921</v>
      </c>
      <c r="B2796" t="s">
        <v>127</v>
      </c>
      <c r="C2796">
        <v>422</v>
      </c>
      <c r="D2796">
        <f t="shared" si="106"/>
        <v>2009</v>
      </c>
      <c r="E2796">
        <f t="shared" si="107"/>
        <v>1</v>
      </c>
    </row>
    <row r="2797" spans="1:5" x14ac:dyDescent="0.3">
      <c r="A2797" t="s">
        <v>2922</v>
      </c>
      <c r="B2797" t="s">
        <v>127</v>
      </c>
      <c r="C2797">
        <v>437</v>
      </c>
      <c r="D2797">
        <f t="shared" si="106"/>
        <v>2009</v>
      </c>
      <c r="E2797">
        <f t="shared" si="107"/>
        <v>1</v>
      </c>
    </row>
    <row r="2798" spans="1:5" x14ac:dyDescent="0.3">
      <c r="A2798" t="s">
        <v>2923</v>
      </c>
      <c r="B2798" t="s">
        <v>127</v>
      </c>
      <c r="C2798">
        <v>445</v>
      </c>
      <c r="D2798">
        <f t="shared" si="106"/>
        <v>2009</v>
      </c>
      <c r="E2798">
        <f t="shared" si="107"/>
        <v>1</v>
      </c>
    </row>
    <row r="2799" spans="1:5" x14ac:dyDescent="0.3">
      <c r="A2799" t="s">
        <v>2924</v>
      </c>
      <c r="B2799" t="s">
        <v>127</v>
      </c>
      <c r="C2799">
        <v>441</v>
      </c>
      <c r="D2799">
        <f t="shared" si="106"/>
        <v>2009</v>
      </c>
      <c r="E2799">
        <f t="shared" si="107"/>
        <v>1</v>
      </c>
    </row>
    <row r="2800" spans="1:5" x14ac:dyDescent="0.3">
      <c r="A2800" t="s">
        <v>2925</v>
      </c>
      <c r="B2800" t="s">
        <v>127</v>
      </c>
      <c r="C2800">
        <v>454</v>
      </c>
      <c r="D2800">
        <f t="shared" si="106"/>
        <v>2009</v>
      </c>
      <c r="E2800">
        <f t="shared" si="107"/>
        <v>1</v>
      </c>
    </row>
    <row r="2801" spans="1:5" x14ac:dyDescent="0.3">
      <c r="A2801" t="s">
        <v>2926</v>
      </c>
      <c r="B2801" t="s">
        <v>127</v>
      </c>
      <c r="C2801">
        <v>437</v>
      </c>
      <c r="D2801">
        <f t="shared" si="106"/>
        <v>2009</v>
      </c>
      <c r="E2801">
        <f t="shared" si="107"/>
        <v>1</v>
      </c>
    </row>
    <row r="2802" spans="1:5" x14ac:dyDescent="0.3">
      <c r="A2802" t="s">
        <v>2927</v>
      </c>
      <c r="B2802" t="s">
        <v>127</v>
      </c>
      <c r="C2802">
        <v>432</v>
      </c>
      <c r="D2802">
        <f t="shared" si="106"/>
        <v>2009</v>
      </c>
      <c r="E2802">
        <f t="shared" si="107"/>
        <v>1</v>
      </c>
    </row>
    <row r="2803" spans="1:5" x14ac:dyDescent="0.3">
      <c r="A2803" t="s">
        <v>2928</v>
      </c>
      <c r="B2803" t="s">
        <v>127</v>
      </c>
      <c r="C2803">
        <v>431</v>
      </c>
      <c r="D2803">
        <f t="shared" si="106"/>
        <v>2009</v>
      </c>
      <c r="E2803">
        <f t="shared" si="107"/>
        <v>1</v>
      </c>
    </row>
    <row r="2804" spans="1:5" x14ac:dyDescent="0.3">
      <c r="A2804" t="s">
        <v>2929</v>
      </c>
      <c r="B2804" t="s">
        <v>127</v>
      </c>
      <c r="C2804">
        <v>425</v>
      </c>
      <c r="D2804">
        <f t="shared" si="106"/>
        <v>2009</v>
      </c>
      <c r="E2804">
        <f t="shared" si="107"/>
        <v>1</v>
      </c>
    </row>
    <row r="2805" spans="1:5" x14ac:dyDescent="0.3">
      <c r="A2805" t="s">
        <v>2930</v>
      </c>
      <c r="B2805" t="s">
        <v>127</v>
      </c>
      <c r="C2805">
        <v>438</v>
      </c>
      <c r="D2805">
        <f t="shared" si="106"/>
        <v>2009</v>
      </c>
      <c r="E2805">
        <f t="shared" si="107"/>
        <v>1</v>
      </c>
    </row>
    <row r="2806" spans="1:5" x14ac:dyDescent="0.3">
      <c r="A2806" t="s">
        <v>2931</v>
      </c>
      <c r="B2806" t="s">
        <v>127</v>
      </c>
      <c r="C2806">
        <v>424</v>
      </c>
      <c r="D2806">
        <f t="shared" si="106"/>
        <v>2009</v>
      </c>
      <c r="E2806">
        <f t="shared" si="107"/>
        <v>1</v>
      </c>
    </row>
    <row r="2807" spans="1:5" x14ac:dyDescent="0.3">
      <c r="A2807" t="s">
        <v>2932</v>
      </c>
      <c r="B2807" t="s">
        <v>127</v>
      </c>
      <c r="C2807">
        <v>419</v>
      </c>
      <c r="D2807">
        <f t="shared" si="106"/>
        <v>2009</v>
      </c>
      <c r="E2807">
        <f t="shared" si="107"/>
        <v>1</v>
      </c>
    </row>
    <row r="2808" spans="1:5" x14ac:dyDescent="0.3">
      <c r="A2808" t="s">
        <v>2933</v>
      </c>
      <c r="B2808" t="s">
        <v>127</v>
      </c>
      <c r="C2808">
        <v>411</v>
      </c>
      <c r="D2808">
        <f t="shared" si="106"/>
        <v>2009</v>
      </c>
      <c r="E2808">
        <f t="shared" si="107"/>
        <v>1</v>
      </c>
    </row>
    <row r="2809" spans="1:5" x14ac:dyDescent="0.3">
      <c r="A2809" t="s">
        <v>2934</v>
      </c>
      <c r="B2809" t="s">
        <v>127</v>
      </c>
      <c r="C2809">
        <v>431</v>
      </c>
      <c r="D2809">
        <f t="shared" si="106"/>
        <v>2009</v>
      </c>
      <c r="E2809">
        <f t="shared" si="107"/>
        <v>2</v>
      </c>
    </row>
    <row r="2810" spans="1:5" x14ac:dyDescent="0.3">
      <c r="A2810" t="s">
        <v>2935</v>
      </c>
      <c r="B2810" t="s">
        <v>127</v>
      </c>
      <c r="C2810">
        <v>426</v>
      </c>
      <c r="D2810">
        <f t="shared" si="106"/>
        <v>2009</v>
      </c>
      <c r="E2810">
        <f t="shared" si="107"/>
        <v>2</v>
      </c>
    </row>
    <row r="2811" spans="1:5" x14ac:dyDescent="0.3">
      <c r="A2811" t="s">
        <v>2936</v>
      </c>
      <c r="B2811" t="s">
        <v>127</v>
      </c>
      <c r="C2811">
        <v>436</v>
      </c>
      <c r="D2811">
        <f t="shared" si="106"/>
        <v>2009</v>
      </c>
      <c r="E2811">
        <f t="shared" si="107"/>
        <v>2</v>
      </c>
    </row>
    <row r="2812" spans="1:5" x14ac:dyDescent="0.3">
      <c r="A2812" t="s">
        <v>2937</v>
      </c>
      <c r="B2812" t="s">
        <v>127</v>
      </c>
      <c r="C2812">
        <v>432</v>
      </c>
      <c r="D2812">
        <f t="shared" si="106"/>
        <v>2009</v>
      </c>
      <c r="E2812">
        <f t="shared" si="107"/>
        <v>2</v>
      </c>
    </row>
    <row r="2813" spans="1:5" x14ac:dyDescent="0.3">
      <c r="A2813" t="s">
        <v>2938</v>
      </c>
      <c r="B2813" t="s">
        <v>127</v>
      </c>
      <c r="C2813">
        <v>405</v>
      </c>
      <c r="D2813">
        <f t="shared" si="106"/>
        <v>2009</v>
      </c>
      <c r="E2813">
        <f t="shared" si="107"/>
        <v>2</v>
      </c>
    </row>
    <row r="2814" spans="1:5" x14ac:dyDescent="0.3">
      <c r="A2814" t="s">
        <v>2939</v>
      </c>
      <c r="B2814" t="s">
        <v>127</v>
      </c>
      <c r="C2814">
        <v>398</v>
      </c>
      <c r="D2814">
        <f t="shared" si="106"/>
        <v>2009</v>
      </c>
      <c r="E2814">
        <f t="shared" si="107"/>
        <v>2</v>
      </c>
    </row>
    <row r="2815" spans="1:5" x14ac:dyDescent="0.3">
      <c r="A2815" t="s">
        <v>2940</v>
      </c>
      <c r="B2815" t="s">
        <v>127</v>
      </c>
      <c r="C2815">
        <v>424</v>
      </c>
      <c r="D2815">
        <f t="shared" si="106"/>
        <v>2009</v>
      </c>
      <c r="E2815">
        <f t="shared" si="107"/>
        <v>2</v>
      </c>
    </row>
    <row r="2816" spans="1:5" x14ac:dyDescent="0.3">
      <c r="A2816" t="s">
        <v>2941</v>
      </c>
      <c r="B2816" t="s">
        <v>127</v>
      </c>
      <c r="C2816">
        <v>451</v>
      </c>
      <c r="D2816">
        <f t="shared" si="106"/>
        <v>2009</v>
      </c>
      <c r="E2816">
        <f t="shared" si="107"/>
        <v>2</v>
      </c>
    </row>
    <row r="2817" spans="1:5" x14ac:dyDescent="0.3">
      <c r="A2817" t="s">
        <v>2942</v>
      </c>
      <c r="B2817" t="s">
        <v>127</v>
      </c>
      <c r="C2817">
        <v>462</v>
      </c>
      <c r="D2817">
        <f t="shared" si="106"/>
        <v>2009</v>
      </c>
      <c r="E2817">
        <f t="shared" si="107"/>
        <v>2</v>
      </c>
    </row>
    <row r="2818" spans="1:5" x14ac:dyDescent="0.3">
      <c r="A2818" t="s">
        <v>2943</v>
      </c>
      <c r="B2818" t="s">
        <v>127</v>
      </c>
      <c r="C2818">
        <v>440</v>
      </c>
      <c r="D2818">
        <f t="shared" si="106"/>
        <v>2009</v>
      </c>
      <c r="E2818">
        <f t="shared" si="107"/>
        <v>2</v>
      </c>
    </row>
    <row r="2819" spans="1:5" x14ac:dyDescent="0.3">
      <c r="A2819" t="s">
        <v>2944</v>
      </c>
      <c r="B2819" t="s">
        <v>127</v>
      </c>
      <c r="C2819">
        <v>466</v>
      </c>
      <c r="D2819">
        <f t="shared" ref="D2819:D2882" si="108">YEAR(A2819)</f>
        <v>2009</v>
      </c>
      <c r="E2819">
        <f t="shared" ref="E2819:E2882" si="109">MONTH(A2819)</f>
        <v>2</v>
      </c>
    </row>
    <row r="2820" spans="1:5" x14ac:dyDescent="0.3">
      <c r="A2820" t="s">
        <v>2945</v>
      </c>
      <c r="B2820" t="s">
        <v>127</v>
      </c>
      <c r="C2820">
        <v>450</v>
      </c>
      <c r="D2820">
        <f t="shared" si="108"/>
        <v>2009</v>
      </c>
      <c r="E2820">
        <f t="shared" si="109"/>
        <v>2</v>
      </c>
    </row>
    <row r="2821" spans="1:5" x14ac:dyDescent="0.3">
      <c r="A2821" t="s">
        <v>2946</v>
      </c>
      <c r="B2821" t="s">
        <v>127</v>
      </c>
      <c r="C2821">
        <v>430</v>
      </c>
      <c r="D2821">
        <f t="shared" si="108"/>
        <v>2009</v>
      </c>
      <c r="E2821">
        <f t="shared" si="109"/>
        <v>2</v>
      </c>
    </row>
    <row r="2822" spans="1:5" x14ac:dyDescent="0.3">
      <c r="A2822" t="s">
        <v>2947</v>
      </c>
      <c r="B2822" t="s">
        <v>127</v>
      </c>
      <c r="C2822">
        <v>433</v>
      </c>
      <c r="D2822">
        <f t="shared" si="108"/>
        <v>2009</v>
      </c>
      <c r="E2822">
        <f t="shared" si="109"/>
        <v>2</v>
      </c>
    </row>
    <row r="2823" spans="1:5" x14ac:dyDescent="0.3">
      <c r="A2823" t="s">
        <v>2948</v>
      </c>
      <c r="B2823" t="s">
        <v>127</v>
      </c>
      <c r="C2823">
        <v>444</v>
      </c>
      <c r="D2823">
        <f t="shared" si="108"/>
        <v>2009</v>
      </c>
      <c r="E2823">
        <f t="shared" si="109"/>
        <v>2</v>
      </c>
    </row>
    <row r="2824" spans="1:5" x14ac:dyDescent="0.3">
      <c r="A2824" t="s">
        <v>2949</v>
      </c>
      <c r="B2824" t="s">
        <v>127</v>
      </c>
      <c r="C2824">
        <v>436</v>
      </c>
      <c r="D2824">
        <f t="shared" si="108"/>
        <v>2009</v>
      </c>
      <c r="E2824">
        <f t="shared" si="109"/>
        <v>2</v>
      </c>
    </row>
    <row r="2825" spans="1:5" x14ac:dyDescent="0.3">
      <c r="A2825" t="s">
        <v>2950</v>
      </c>
      <c r="B2825" t="s">
        <v>127</v>
      </c>
      <c r="C2825">
        <v>416</v>
      </c>
      <c r="D2825">
        <f t="shared" si="108"/>
        <v>2009</v>
      </c>
      <c r="E2825">
        <f t="shared" si="109"/>
        <v>2</v>
      </c>
    </row>
    <row r="2826" spans="1:5" x14ac:dyDescent="0.3">
      <c r="A2826" t="s">
        <v>2951</v>
      </c>
      <c r="B2826" t="s">
        <v>127</v>
      </c>
      <c r="C2826">
        <v>417</v>
      </c>
      <c r="D2826">
        <f t="shared" si="108"/>
        <v>2009</v>
      </c>
      <c r="E2826">
        <f t="shared" si="109"/>
        <v>2</v>
      </c>
    </row>
    <row r="2827" spans="1:5" x14ac:dyDescent="0.3">
      <c r="A2827" t="s">
        <v>2952</v>
      </c>
      <c r="B2827" t="s">
        <v>127</v>
      </c>
      <c r="C2827">
        <v>429</v>
      </c>
      <c r="D2827">
        <f t="shared" si="108"/>
        <v>2009</v>
      </c>
      <c r="E2827">
        <f t="shared" si="109"/>
        <v>2</v>
      </c>
    </row>
    <row r="2828" spans="1:5" x14ac:dyDescent="0.3">
      <c r="A2828" t="s">
        <v>2953</v>
      </c>
      <c r="B2828" t="s">
        <v>127</v>
      </c>
      <c r="C2828">
        <v>458</v>
      </c>
      <c r="D2828">
        <f t="shared" si="108"/>
        <v>2009</v>
      </c>
      <c r="E2828">
        <f t="shared" si="109"/>
        <v>3</v>
      </c>
    </row>
    <row r="2829" spans="1:5" x14ac:dyDescent="0.3">
      <c r="A2829" t="s">
        <v>2954</v>
      </c>
      <c r="B2829" t="s">
        <v>127</v>
      </c>
      <c r="C2829">
        <v>460</v>
      </c>
      <c r="D2829">
        <f t="shared" si="108"/>
        <v>2009</v>
      </c>
      <c r="E2829">
        <f t="shared" si="109"/>
        <v>3</v>
      </c>
    </row>
    <row r="2830" spans="1:5" x14ac:dyDescent="0.3">
      <c r="A2830" t="s">
        <v>2955</v>
      </c>
      <c r="B2830" t="s">
        <v>127</v>
      </c>
      <c r="C2830">
        <v>453</v>
      </c>
      <c r="D2830">
        <f t="shared" si="108"/>
        <v>2009</v>
      </c>
      <c r="E2830">
        <f t="shared" si="109"/>
        <v>3</v>
      </c>
    </row>
    <row r="2831" spans="1:5" x14ac:dyDescent="0.3">
      <c r="A2831" t="s">
        <v>2956</v>
      </c>
      <c r="B2831" t="s">
        <v>127</v>
      </c>
      <c r="C2831">
        <v>485</v>
      </c>
      <c r="D2831">
        <f t="shared" si="108"/>
        <v>2009</v>
      </c>
      <c r="E2831">
        <f t="shared" si="109"/>
        <v>3</v>
      </c>
    </row>
    <row r="2832" spans="1:5" x14ac:dyDescent="0.3">
      <c r="A2832" t="s">
        <v>2957</v>
      </c>
      <c r="B2832" t="s">
        <v>127</v>
      </c>
      <c r="C2832">
        <v>483</v>
      </c>
      <c r="D2832">
        <f t="shared" si="108"/>
        <v>2009</v>
      </c>
      <c r="E2832">
        <f t="shared" si="109"/>
        <v>3</v>
      </c>
    </row>
    <row r="2833" spans="1:5" x14ac:dyDescent="0.3">
      <c r="A2833" t="s">
        <v>2958</v>
      </c>
      <c r="B2833" t="s">
        <v>127</v>
      </c>
      <c r="C2833">
        <v>485</v>
      </c>
      <c r="D2833">
        <f t="shared" si="108"/>
        <v>2009</v>
      </c>
      <c r="E2833">
        <f t="shared" si="109"/>
        <v>3</v>
      </c>
    </row>
    <row r="2834" spans="1:5" x14ac:dyDescent="0.3">
      <c r="A2834" t="s">
        <v>2959</v>
      </c>
      <c r="B2834" t="s">
        <v>127</v>
      </c>
      <c r="C2834">
        <v>468</v>
      </c>
      <c r="D2834">
        <f t="shared" si="108"/>
        <v>2009</v>
      </c>
      <c r="E2834">
        <f t="shared" si="109"/>
        <v>3</v>
      </c>
    </row>
    <row r="2835" spans="1:5" x14ac:dyDescent="0.3">
      <c r="A2835" t="s">
        <v>2960</v>
      </c>
      <c r="B2835" t="s">
        <v>127</v>
      </c>
      <c r="C2835">
        <v>470</v>
      </c>
      <c r="D2835">
        <f t="shared" si="108"/>
        <v>2009</v>
      </c>
      <c r="E2835">
        <f t="shared" si="109"/>
        <v>3</v>
      </c>
    </row>
    <row r="2836" spans="1:5" x14ac:dyDescent="0.3">
      <c r="A2836" t="s">
        <v>2961</v>
      </c>
      <c r="B2836" t="s">
        <v>127</v>
      </c>
      <c r="C2836">
        <v>454</v>
      </c>
      <c r="D2836">
        <f t="shared" si="108"/>
        <v>2009</v>
      </c>
      <c r="E2836">
        <f t="shared" si="109"/>
        <v>3</v>
      </c>
    </row>
    <row r="2837" spans="1:5" x14ac:dyDescent="0.3">
      <c r="A2837" t="s">
        <v>2962</v>
      </c>
      <c r="B2837" t="s">
        <v>127</v>
      </c>
      <c r="C2837">
        <v>448</v>
      </c>
      <c r="D2837">
        <f t="shared" si="108"/>
        <v>2009</v>
      </c>
      <c r="E2837">
        <f t="shared" si="109"/>
        <v>3</v>
      </c>
    </row>
    <row r="2838" spans="1:5" x14ac:dyDescent="0.3">
      <c r="A2838" t="s">
        <v>2963</v>
      </c>
      <c r="B2838" t="s">
        <v>127</v>
      </c>
      <c r="C2838">
        <v>434</v>
      </c>
      <c r="D2838">
        <f t="shared" si="108"/>
        <v>2009</v>
      </c>
      <c r="E2838">
        <f t="shared" si="109"/>
        <v>3</v>
      </c>
    </row>
    <row r="2839" spans="1:5" x14ac:dyDescent="0.3">
      <c r="A2839" t="s">
        <v>2964</v>
      </c>
      <c r="B2839" t="s">
        <v>127</v>
      </c>
      <c r="C2839">
        <v>434</v>
      </c>
      <c r="D2839">
        <f t="shared" si="108"/>
        <v>2009</v>
      </c>
      <c r="E2839">
        <f t="shared" si="109"/>
        <v>3</v>
      </c>
    </row>
    <row r="2840" spans="1:5" x14ac:dyDescent="0.3">
      <c r="A2840" t="s">
        <v>2965</v>
      </c>
      <c r="B2840" t="s">
        <v>127</v>
      </c>
      <c r="C2840">
        <v>449</v>
      </c>
      <c r="D2840">
        <f t="shared" si="108"/>
        <v>2009</v>
      </c>
      <c r="E2840">
        <f t="shared" si="109"/>
        <v>3</v>
      </c>
    </row>
    <row r="2841" spans="1:5" x14ac:dyDescent="0.3">
      <c r="A2841" t="s">
        <v>2966</v>
      </c>
      <c r="B2841" t="s">
        <v>127</v>
      </c>
      <c r="C2841">
        <v>432</v>
      </c>
      <c r="D2841">
        <f t="shared" si="108"/>
        <v>2009</v>
      </c>
      <c r="E2841">
        <f t="shared" si="109"/>
        <v>3</v>
      </c>
    </row>
    <row r="2842" spans="1:5" x14ac:dyDescent="0.3">
      <c r="A2842" t="s">
        <v>2967</v>
      </c>
      <c r="B2842" t="s">
        <v>127</v>
      </c>
      <c r="C2842">
        <v>433</v>
      </c>
      <c r="D2842">
        <f t="shared" si="108"/>
        <v>2009</v>
      </c>
      <c r="E2842">
        <f t="shared" si="109"/>
        <v>3</v>
      </c>
    </row>
    <row r="2843" spans="1:5" x14ac:dyDescent="0.3">
      <c r="A2843" t="s">
        <v>2968</v>
      </c>
      <c r="B2843" t="s">
        <v>127</v>
      </c>
      <c r="C2843">
        <v>431</v>
      </c>
      <c r="D2843">
        <f t="shared" si="108"/>
        <v>2009</v>
      </c>
      <c r="E2843">
        <f t="shared" si="109"/>
        <v>3</v>
      </c>
    </row>
    <row r="2844" spans="1:5" x14ac:dyDescent="0.3">
      <c r="A2844" t="s">
        <v>2969</v>
      </c>
      <c r="B2844" t="s">
        <v>127</v>
      </c>
      <c r="C2844">
        <v>434</v>
      </c>
      <c r="D2844">
        <f t="shared" si="108"/>
        <v>2009</v>
      </c>
      <c r="E2844">
        <f t="shared" si="109"/>
        <v>3</v>
      </c>
    </row>
    <row r="2845" spans="1:5" x14ac:dyDescent="0.3">
      <c r="A2845" t="s">
        <v>2970</v>
      </c>
      <c r="B2845" t="s">
        <v>127</v>
      </c>
      <c r="C2845">
        <v>433</v>
      </c>
      <c r="D2845">
        <f t="shared" si="108"/>
        <v>2009</v>
      </c>
      <c r="E2845">
        <f t="shared" si="109"/>
        <v>3</v>
      </c>
    </row>
    <row r="2846" spans="1:5" x14ac:dyDescent="0.3">
      <c r="A2846" t="s">
        <v>2971</v>
      </c>
      <c r="B2846" t="s">
        <v>127</v>
      </c>
      <c r="C2846">
        <v>423</v>
      </c>
      <c r="D2846">
        <f t="shared" si="108"/>
        <v>2009</v>
      </c>
      <c r="E2846">
        <f t="shared" si="109"/>
        <v>3</v>
      </c>
    </row>
    <row r="2847" spans="1:5" x14ac:dyDescent="0.3">
      <c r="A2847" t="s">
        <v>2972</v>
      </c>
      <c r="B2847" t="s">
        <v>127</v>
      </c>
      <c r="C2847">
        <v>426</v>
      </c>
      <c r="D2847">
        <f t="shared" si="108"/>
        <v>2009</v>
      </c>
      <c r="E2847">
        <f t="shared" si="109"/>
        <v>3</v>
      </c>
    </row>
    <row r="2848" spans="1:5" x14ac:dyDescent="0.3">
      <c r="A2848" t="s">
        <v>2973</v>
      </c>
      <c r="B2848" t="s">
        <v>127</v>
      </c>
      <c r="C2848">
        <v>440</v>
      </c>
      <c r="D2848">
        <f t="shared" si="108"/>
        <v>2009</v>
      </c>
      <c r="E2848">
        <f t="shared" si="109"/>
        <v>3</v>
      </c>
    </row>
    <row r="2849" spans="1:5" x14ac:dyDescent="0.3">
      <c r="A2849" t="s">
        <v>2974</v>
      </c>
      <c r="B2849" t="s">
        <v>127</v>
      </c>
      <c r="C2849">
        <v>441</v>
      </c>
      <c r="D2849">
        <f t="shared" si="108"/>
        <v>2009</v>
      </c>
      <c r="E2849">
        <f t="shared" si="109"/>
        <v>3</v>
      </c>
    </row>
    <row r="2850" spans="1:5" x14ac:dyDescent="0.3">
      <c r="A2850" t="s">
        <v>2975</v>
      </c>
      <c r="B2850" t="s">
        <v>127</v>
      </c>
      <c r="C2850">
        <v>438</v>
      </c>
      <c r="D2850">
        <f t="shared" si="108"/>
        <v>2009</v>
      </c>
      <c r="E2850">
        <f t="shared" si="109"/>
        <v>4</v>
      </c>
    </row>
    <row r="2851" spans="1:5" x14ac:dyDescent="0.3">
      <c r="A2851" t="s">
        <v>2976</v>
      </c>
      <c r="B2851" t="s">
        <v>127</v>
      </c>
      <c r="C2851">
        <v>397</v>
      </c>
      <c r="D2851">
        <f t="shared" si="108"/>
        <v>2009</v>
      </c>
      <c r="E2851">
        <f t="shared" si="109"/>
        <v>4</v>
      </c>
    </row>
    <row r="2852" spans="1:5" x14ac:dyDescent="0.3">
      <c r="A2852" t="s">
        <v>2977</v>
      </c>
      <c r="B2852" t="s">
        <v>127</v>
      </c>
      <c r="C2852">
        <v>369</v>
      </c>
      <c r="D2852">
        <f t="shared" si="108"/>
        <v>2009</v>
      </c>
      <c r="E2852">
        <f t="shared" si="109"/>
        <v>4</v>
      </c>
    </row>
    <row r="2853" spans="1:5" x14ac:dyDescent="0.3">
      <c r="A2853" t="s">
        <v>2978</v>
      </c>
      <c r="B2853" t="s">
        <v>127</v>
      </c>
      <c r="C2853">
        <v>362</v>
      </c>
      <c r="D2853">
        <f t="shared" si="108"/>
        <v>2009</v>
      </c>
      <c r="E2853">
        <f t="shared" si="109"/>
        <v>4</v>
      </c>
    </row>
    <row r="2854" spans="1:5" x14ac:dyDescent="0.3">
      <c r="A2854" t="s">
        <v>2979</v>
      </c>
      <c r="B2854" t="s">
        <v>127</v>
      </c>
      <c r="C2854">
        <v>370</v>
      </c>
      <c r="D2854">
        <f t="shared" si="108"/>
        <v>2009</v>
      </c>
      <c r="E2854">
        <f t="shared" si="109"/>
        <v>4</v>
      </c>
    </row>
    <row r="2855" spans="1:5" x14ac:dyDescent="0.3">
      <c r="A2855" t="s">
        <v>2980</v>
      </c>
      <c r="B2855" t="s">
        <v>127</v>
      </c>
      <c r="C2855">
        <v>369</v>
      </c>
      <c r="D2855">
        <f t="shared" si="108"/>
        <v>2009</v>
      </c>
      <c r="E2855">
        <f t="shared" si="109"/>
        <v>4</v>
      </c>
    </row>
    <row r="2856" spans="1:5" x14ac:dyDescent="0.3">
      <c r="A2856" t="s">
        <v>2981</v>
      </c>
      <c r="B2856" t="s">
        <v>127</v>
      </c>
      <c r="C2856">
        <v>358</v>
      </c>
      <c r="D2856">
        <f t="shared" si="108"/>
        <v>2009</v>
      </c>
      <c r="E2856">
        <f t="shared" si="109"/>
        <v>4</v>
      </c>
    </row>
    <row r="2857" spans="1:5" x14ac:dyDescent="0.3">
      <c r="A2857" t="s">
        <v>2982</v>
      </c>
      <c r="B2857" t="s">
        <v>127</v>
      </c>
      <c r="C2857">
        <v>358</v>
      </c>
      <c r="D2857">
        <f t="shared" si="108"/>
        <v>2009</v>
      </c>
      <c r="E2857">
        <f t="shared" si="109"/>
        <v>4</v>
      </c>
    </row>
    <row r="2858" spans="1:5" x14ac:dyDescent="0.3">
      <c r="A2858" t="s">
        <v>2983</v>
      </c>
      <c r="B2858" t="s">
        <v>127</v>
      </c>
      <c r="C2858">
        <v>353</v>
      </c>
      <c r="D2858">
        <f t="shared" si="108"/>
        <v>2009</v>
      </c>
      <c r="E2858">
        <f t="shared" si="109"/>
        <v>4</v>
      </c>
    </row>
    <row r="2859" spans="1:5" x14ac:dyDescent="0.3">
      <c r="A2859" t="s">
        <v>2984</v>
      </c>
      <c r="B2859" t="s">
        <v>127</v>
      </c>
      <c r="C2859">
        <v>363</v>
      </c>
      <c r="D2859">
        <f t="shared" si="108"/>
        <v>2009</v>
      </c>
      <c r="E2859">
        <f t="shared" si="109"/>
        <v>4</v>
      </c>
    </row>
    <row r="2860" spans="1:5" x14ac:dyDescent="0.3">
      <c r="A2860" t="s">
        <v>2985</v>
      </c>
      <c r="B2860" t="s">
        <v>127</v>
      </c>
      <c r="C2860">
        <v>371</v>
      </c>
      <c r="D2860">
        <f t="shared" si="108"/>
        <v>2009</v>
      </c>
      <c r="E2860">
        <f t="shared" si="109"/>
        <v>4</v>
      </c>
    </row>
    <row r="2861" spans="1:5" x14ac:dyDescent="0.3">
      <c r="A2861" t="s">
        <v>2986</v>
      </c>
      <c r="B2861" t="s">
        <v>127</v>
      </c>
      <c r="C2861">
        <v>360</v>
      </c>
      <c r="D2861">
        <f t="shared" si="108"/>
        <v>2009</v>
      </c>
      <c r="E2861">
        <f t="shared" si="109"/>
        <v>4</v>
      </c>
    </row>
    <row r="2862" spans="1:5" x14ac:dyDescent="0.3">
      <c r="A2862" t="s">
        <v>2987</v>
      </c>
      <c r="B2862" t="s">
        <v>127</v>
      </c>
      <c r="C2862">
        <v>358</v>
      </c>
      <c r="D2862">
        <f t="shared" si="108"/>
        <v>2009</v>
      </c>
      <c r="E2862">
        <f t="shared" si="109"/>
        <v>4</v>
      </c>
    </row>
    <row r="2863" spans="1:5" x14ac:dyDescent="0.3">
      <c r="A2863" t="s">
        <v>2988</v>
      </c>
      <c r="B2863" t="s">
        <v>127</v>
      </c>
      <c r="C2863">
        <v>383</v>
      </c>
      <c r="D2863">
        <f t="shared" si="108"/>
        <v>2009</v>
      </c>
      <c r="E2863">
        <f t="shared" si="109"/>
        <v>4</v>
      </c>
    </row>
    <row r="2864" spans="1:5" x14ac:dyDescent="0.3">
      <c r="A2864" t="s">
        <v>2989</v>
      </c>
      <c r="B2864" t="s">
        <v>127</v>
      </c>
      <c r="C2864">
        <v>384</v>
      </c>
      <c r="D2864">
        <f t="shared" si="108"/>
        <v>2009</v>
      </c>
      <c r="E2864">
        <f t="shared" si="109"/>
        <v>4</v>
      </c>
    </row>
    <row r="2865" spans="1:5" x14ac:dyDescent="0.3">
      <c r="A2865" t="s">
        <v>2990</v>
      </c>
      <c r="B2865" t="s">
        <v>127</v>
      </c>
      <c r="C2865">
        <v>374</v>
      </c>
      <c r="D2865">
        <f t="shared" si="108"/>
        <v>2009</v>
      </c>
      <c r="E2865">
        <f t="shared" si="109"/>
        <v>4</v>
      </c>
    </row>
    <row r="2866" spans="1:5" x14ac:dyDescent="0.3">
      <c r="A2866" t="s">
        <v>2991</v>
      </c>
      <c r="B2866" t="s">
        <v>127</v>
      </c>
      <c r="C2866">
        <v>372</v>
      </c>
      <c r="D2866">
        <f t="shared" si="108"/>
        <v>2009</v>
      </c>
      <c r="E2866">
        <f t="shared" si="109"/>
        <v>4</v>
      </c>
    </row>
    <row r="2867" spans="1:5" x14ac:dyDescent="0.3">
      <c r="A2867" t="s">
        <v>2992</v>
      </c>
      <c r="B2867" t="s">
        <v>127</v>
      </c>
      <c r="C2867">
        <v>358</v>
      </c>
      <c r="D2867">
        <f t="shared" si="108"/>
        <v>2009</v>
      </c>
      <c r="E2867">
        <f t="shared" si="109"/>
        <v>4</v>
      </c>
    </row>
    <row r="2868" spans="1:5" x14ac:dyDescent="0.3">
      <c r="A2868" t="s">
        <v>2993</v>
      </c>
      <c r="B2868" t="s">
        <v>127</v>
      </c>
      <c r="C2868">
        <v>377</v>
      </c>
      <c r="D2868">
        <f t="shared" si="108"/>
        <v>2009</v>
      </c>
      <c r="E2868">
        <f t="shared" si="109"/>
        <v>4</v>
      </c>
    </row>
    <row r="2869" spans="1:5" x14ac:dyDescent="0.3">
      <c r="A2869" t="s">
        <v>2994</v>
      </c>
      <c r="B2869" t="s">
        <v>127</v>
      </c>
      <c r="C2869">
        <v>361</v>
      </c>
      <c r="D2869">
        <f t="shared" si="108"/>
        <v>2009</v>
      </c>
      <c r="E2869">
        <f t="shared" si="109"/>
        <v>4</v>
      </c>
    </row>
    <row r="2870" spans="1:5" x14ac:dyDescent="0.3">
      <c r="A2870" t="s">
        <v>2995</v>
      </c>
      <c r="B2870" t="s">
        <v>127</v>
      </c>
      <c r="C2870">
        <v>351</v>
      </c>
      <c r="D2870">
        <f t="shared" si="108"/>
        <v>2009</v>
      </c>
      <c r="E2870">
        <f t="shared" si="109"/>
        <v>4</v>
      </c>
    </row>
    <row r="2871" spans="1:5" x14ac:dyDescent="0.3">
      <c r="A2871" t="s">
        <v>2996</v>
      </c>
      <c r="B2871" t="s">
        <v>127</v>
      </c>
      <c r="C2871">
        <v>350</v>
      </c>
      <c r="D2871">
        <f t="shared" si="108"/>
        <v>2009</v>
      </c>
      <c r="E2871">
        <f t="shared" si="109"/>
        <v>4</v>
      </c>
    </row>
    <row r="2872" spans="1:5" x14ac:dyDescent="0.3">
      <c r="A2872" t="s">
        <v>2997</v>
      </c>
      <c r="B2872" t="s">
        <v>127</v>
      </c>
      <c r="C2872">
        <v>344</v>
      </c>
      <c r="D2872">
        <f t="shared" si="108"/>
        <v>2009</v>
      </c>
      <c r="E2872">
        <f t="shared" si="109"/>
        <v>5</v>
      </c>
    </row>
    <row r="2873" spans="1:5" x14ac:dyDescent="0.3">
      <c r="A2873" t="s">
        <v>2998</v>
      </c>
      <c r="B2873" t="s">
        <v>127</v>
      </c>
      <c r="C2873">
        <v>334</v>
      </c>
      <c r="D2873">
        <f t="shared" si="108"/>
        <v>2009</v>
      </c>
      <c r="E2873">
        <f t="shared" si="109"/>
        <v>5</v>
      </c>
    </row>
    <row r="2874" spans="1:5" x14ac:dyDescent="0.3">
      <c r="A2874" t="s">
        <v>2999</v>
      </c>
      <c r="B2874" t="s">
        <v>127</v>
      </c>
      <c r="C2874">
        <v>323</v>
      </c>
      <c r="D2874">
        <f t="shared" si="108"/>
        <v>2009</v>
      </c>
      <c r="E2874">
        <f t="shared" si="109"/>
        <v>5</v>
      </c>
    </row>
    <row r="2875" spans="1:5" x14ac:dyDescent="0.3">
      <c r="A2875" t="s">
        <v>3000</v>
      </c>
      <c r="B2875" t="s">
        <v>127</v>
      </c>
      <c r="C2875">
        <v>306</v>
      </c>
      <c r="D2875">
        <f t="shared" si="108"/>
        <v>2009</v>
      </c>
      <c r="E2875">
        <f t="shared" si="109"/>
        <v>5</v>
      </c>
    </row>
    <row r="2876" spans="1:5" x14ac:dyDescent="0.3">
      <c r="A2876" t="s">
        <v>3001</v>
      </c>
      <c r="B2876" t="s">
        <v>127</v>
      </c>
      <c r="C2876">
        <v>294</v>
      </c>
      <c r="D2876">
        <f t="shared" si="108"/>
        <v>2009</v>
      </c>
      <c r="E2876">
        <f t="shared" si="109"/>
        <v>5</v>
      </c>
    </row>
    <row r="2877" spans="1:5" x14ac:dyDescent="0.3">
      <c r="A2877" t="s">
        <v>3002</v>
      </c>
      <c r="B2877" t="s">
        <v>127</v>
      </c>
      <c r="C2877">
        <v>296</v>
      </c>
      <c r="D2877">
        <f t="shared" si="108"/>
        <v>2009</v>
      </c>
      <c r="E2877">
        <f t="shared" si="109"/>
        <v>5</v>
      </c>
    </row>
    <row r="2878" spans="1:5" x14ac:dyDescent="0.3">
      <c r="A2878" t="s">
        <v>3003</v>
      </c>
      <c r="B2878" t="s">
        <v>127</v>
      </c>
      <c r="C2878">
        <v>314</v>
      </c>
      <c r="D2878">
        <f t="shared" si="108"/>
        <v>2009</v>
      </c>
      <c r="E2878">
        <f t="shared" si="109"/>
        <v>5</v>
      </c>
    </row>
    <row r="2879" spans="1:5" x14ac:dyDescent="0.3">
      <c r="A2879" t="s">
        <v>3004</v>
      </c>
      <c r="B2879" t="s">
        <v>127</v>
      </c>
      <c r="C2879">
        <v>314</v>
      </c>
      <c r="D2879">
        <f t="shared" si="108"/>
        <v>2009</v>
      </c>
      <c r="E2879">
        <f t="shared" si="109"/>
        <v>5</v>
      </c>
    </row>
    <row r="2880" spans="1:5" x14ac:dyDescent="0.3">
      <c r="A2880" t="s">
        <v>3005</v>
      </c>
      <c r="B2880" t="s">
        <v>127</v>
      </c>
      <c r="C2880">
        <v>326</v>
      </c>
      <c r="D2880">
        <f t="shared" si="108"/>
        <v>2009</v>
      </c>
      <c r="E2880">
        <f t="shared" si="109"/>
        <v>5</v>
      </c>
    </row>
    <row r="2881" spans="1:5" x14ac:dyDescent="0.3">
      <c r="A2881" t="s">
        <v>3006</v>
      </c>
      <c r="B2881" t="s">
        <v>127</v>
      </c>
      <c r="C2881">
        <v>313</v>
      </c>
      <c r="D2881">
        <f t="shared" si="108"/>
        <v>2009</v>
      </c>
      <c r="E2881">
        <f t="shared" si="109"/>
        <v>5</v>
      </c>
    </row>
    <row r="2882" spans="1:5" x14ac:dyDescent="0.3">
      <c r="A2882" t="s">
        <v>3007</v>
      </c>
      <c r="B2882" t="s">
        <v>127</v>
      </c>
      <c r="C2882">
        <v>308</v>
      </c>
      <c r="D2882">
        <f t="shared" si="108"/>
        <v>2009</v>
      </c>
      <c r="E2882">
        <f t="shared" si="109"/>
        <v>5</v>
      </c>
    </row>
    <row r="2883" spans="1:5" x14ac:dyDescent="0.3">
      <c r="A2883" t="s">
        <v>3008</v>
      </c>
      <c r="B2883" t="s">
        <v>127</v>
      </c>
      <c r="C2883">
        <v>293</v>
      </c>
      <c r="D2883">
        <f t="shared" ref="D2883:D2946" si="110">YEAR(A2883)</f>
        <v>2009</v>
      </c>
      <c r="E2883">
        <f t="shared" ref="E2883:E2946" si="111">MONTH(A2883)</f>
        <v>5</v>
      </c>
    </row>
    <row r="2884" spans="1:5" x14ac:dyDescent="0.3">
      <c r="A2884" t="s">
        <v>3009</v>
      </c>
      <c r="B2884" t="s">
        <v>127</v>
      </c>
      <c r="C2884">
        <v>286</v>
      </c>
      <c r="D2884">
        <f t="shared" si="110"/>
        <v>2009</v>
      </c>
      <c r="E2884">
        <f t="shared" si="111"/>
        <v>5</v>
      </c>
    </row>
    <row r="2885" spans="1:5" x14ac:dyDescent="0.3">
      <c r="A2885" t="s">
        <v>3010</v>
      </c>
      <c r="B2885" t="s">
        <v>127</v>
      </c>
      <c r="C2885">
        <v>286</v>
      </c>
      <c r="D2885">
        <f t="shared" si="110"/>
        <v>2009</v>
      </c>
      <c r="E2885">
        <f t="shared" si="111"/>
        <v>5</v>
      </c>
    </row>
    <row r="2886" spans="1:5" x14ac:dyDescent="0.3">
      <c r="A2886" t="s">
        <v>3011</v>
      </c>
      <c r="B2886" t="s">
        <v>127</v>
      </c>
      <c r="C2886">
        <v>281</v>
      </c>
      <c r="D2886">
        <f t="shared" si="110"/>
        <v>2009</v>
      </c>
      <c r="E2886">
        <f t="shared" si="111"/>
        <v>5</v>
      </c>
    </row>
    <row r="2887" spans="1:5" x14ac:dyDescent="0.3">
      <c r="A2887" t="s">
        <v>3012</v>
      </c>
      <c r="B2887" t="s">
        <v>127</v>
      </c>
      <c r="C2887">
        <v>278</v>
      </c>
      <c r="D2887">
        <f t="shared" si="110"/>
        <v>2009</v>
      </c>
      <c r="E2887">
        <f t="shared" si="111"/>
        <v>5</v>
      </c>
    </row>
    <row r="2888" spans="1:5" x14ac:dyDescent="0.3">
      <c r="A2888" t="s">
        <v>3013</v>
      </c>
      <c r="B2888" t="s">
        <v>127</v>
      </c>
      <c r="C2888">
        <v>269</v>
      </c>
      <c r="D2888">
        <f t="shared" si="110"/>
        <v>2009</v>
      </c>
      <c r="E2888">
        <f t="shared" si="111"/>
        <v>5</v>
      </c>
    </row>
    <row r="2889" spans="1:5" x14ac:dyDescent="0.3">
      <c r="A2889" t="s">
        <v>3014</v>
      </c>
      <c r="B2889" t="s">
        <v>127</v>
      </c>
      <c r="C2889">
        <v>251</v>
      </c>
      <c r="D2889">
        <f t="shared" si="110"/>
        <v>2009</v>
      </c>
      <c r="E2889">
        <f t="shared" si="111"/>
        <v>5</v>
      </c>
    </row>
    <row r="2890" spans="1:5" x14ac:dyDescent="0.3">
      <c r="A2890" t="s">
        <v>3015</v>
      </c>
      <c r="B2890" t="s">
        <v>127</v>
      </c>
      <c r="C2890">
        <v>254</v>
      </c>
      <c r="D2890">
        <f t="shared" si="110"/>
        <v>2009</v>
      </c>
      <c r="E2890">
        <f t="shared" si="111"/>
        <v>5</v>
      </c>
    </row>
    <row r="2891" spans="1:5" x14ac:dyDescent="0.3">
      <c r="A2891" t="s">
        <v>3016</v>
      </c>
      <c r="B2891" t="s">
        <v>127</v>
      </c>
      <c r="C2891">
        <v>270</v>
      </c>
      <c r="D2891">
        <f t="shared" si="110"/>
        <v>2009</v>
      </c>
      <c r="E2891">
        <f t="shared" si="111"/>
        <v>5</v>
      </c>
    </row>
    <row r="2892" spans="1:5" x14ac:dyDescent="0.3">
      <c r="A2892" t="s">
        <v>3017</v>
      </c>
      <c r="B2892" t="s">
        <v>127</v>
      </c>
      <c r="C2892">
        <v>234</v>
      </c>
      <c r="D2892">
        <f t="shared" si="110"/>
        <v>2009</v>
      </c>
      <c r="E2892">
        <f t="shared" si="111"/>
        <v>6</v>
      </c>
    </row>
    <row r="2893" spans="1:5" x14ac:dyDescent="0.3">
      <c r="A2893" t="s">
        <v>3018</v>
      </c>
      <c r="B2893" t="s">
        <v>127</v>
      </c>
      <c r="C2893">
        <v>253</v>
      </c>
      <c r="D2893">
        <f t="shared" si="110"/>
        <v>2009</v>
      </c>
      <c r="E2893">
        <f t="shared" si="111"/>
        <v>6</v>
      </c>
    </row>
    <row r="2894" spans="1:5" x14ac:dyDescent="0.3">
      <c r="A2894" t="s">
        <v>3019</v>
      </c>
      <c r="B2894" t="s">
        <v>127</v>
      </c>
      <c r="C2894">
        <v>269</v>
      </c>
      <c r="D2894">
        <f t="shared" si="110"/>
        <v>2009</v>
      </c>
      <c r="E2894">
        <f t="shared" si="111"/>
        <v>6</v>
      </c>
    </row>
    <row r="2895" spans="1:5" x14ac:dyDescent="0.3">
      <c r="A2895" t="s">
        <v>3020</v>
      </c>
      <c r="B2895" t="s">
        <v>127</v>
      </c>
      <c r="C2895">
        <v>260</v>
      </c>
      <c r="D2895">
        <f t="shared" si="110"/>
        <v>2009</v>
      </c>
      <c r="E2895">
        <f t="shared" si="111"/>
        <v>6</v>
      </c>
    </row>
    <row r="2896" spans="1:5" x14ac:dyDescent="0.3">
      <c r="A2896" t="s">
        <v>3021</v>
      </c>
      <c r="B2896" t="s">
        <v>127</v>
      </c>
      <c r="C2896">
        <v>251</v>
      </c>
      <c r="D2896">
        <f t="shared" si="110"/>
        <v>2009</v>
      </c>
      <c r="E2896">
        <f t="shared" si="111"/>
        <v>6</v>
      </c>
    </row>
    <row r="2897" spans="1:5" x14ac:dyDescent="0.3">
      <c r="A2897" t="s">
        <v>3022</v>
      </c>
      <c r="B2897" t="s">
        <v>127</v>
      </c>
      <c r="C2897">
        <v>250</v>
      </c>
      <c r="D2897">
        <f t="shared" si="110"/>
        <v>2009</v>
      </c>
      <c r="E2897">
        <f t="shared" si="111"/>
        <v>6</v>
      </c>
    </row>
    <row r="2898" spans="1:5" x14ac:dyDescent="0.3">
      <c r="A2898" t="s">
        <v>3023</v>
      </c>
      <c r="B2898" t="s">
        <v>127</v>
      </c>
      <c r="C2898">
        <v>247</v>
      </c>
      <c r="D2898">
        <f t="shared" si="110"/>
        <v>2009</v>
      </c>
      <c r="E2898">
        <f t="shared" si="111"/>
        <v>6</v>
      </c>
    </row>
    <row r="2899" spans="1:5" x14ac:dyDescent="0.3">
      <c r="A2899" t="s">
        <v>3024</v>
      </c>
      <c r="B2899" t="s">
        <v>127</v>
      </c>
      <c r="C2899">
        <v>258</v>
      </c>
      <c r="D2899">
        <f t="shared" si="110"/>
        <v>2009</v>
      </c>
      <c r="E2899">
        <f t="shared" si="111"/>
        <v>6</v>
      </c>
    </row>
    <row r="2900" spans="1:5" x14ac:dyDescent="0.3">
      <c r="A2900" t="s">
        <v>3025</v>
      </c>
      <c r="B2900" t="s">
        <v>127</v>
      </c>
      <c r="C2900">
        <v>270</v>
      </c>
      <c r="D2900">
        <f t="shared" si="110"/>
        <v>2009</v>
      </c>
      <c r="E2900">
        <f t="shared" si="111"/>
        <v>6</v>
      </c>
    </row>
    <row r="2901" spans="1:5" x14ac:dyDescent="0.3">
      <c r="A2901" t="s">
        <v>3026</v>
      </c>
      <c r="B2901" t="s">
        <v>127</v>
      </c>
      <c r="C2901">
        <v>266</v>
      </c>
      <c r="D2901">
        <f t="shared" si="110"/>
        <v>2009</v>
      </c>
      <c r="E2901">
        <f t="shared" si="111"/>
        <v>6</v>
      </c>
    </row>
    <row r="2902" spans="1:5" x14ac:dyDescent="0.3">
      <c r="A2902" t="s">
        <v>3027</v>
      </c>
      <c r="B2902" t="s">
        <v>127</v>
      </c>
      <c r="C2902">
        <v>272</v>
      </c>
      <c r="D2902">
        <f t="shared" si="110"/>
        <v>2009</v>
      </c>
      <c r="E2902">
        <f t="shared" si="111"/>
        <v>6</v>
      </c>
    </row>
    <row r="2903" spans="1:5" x14ac:dyDescent="0.3">
      <c r="A2903" t="s">
        <v>3028</v>
      </c>
      <c r="B2903" t="s">
        <v>127</v>
      </c>
      <c r="C2903">
        <v>280</v>
      </c>
      <c r="D2903">
        <f t="shared" si="110"/>
        <v>2009</v>
      </c>
      <c r="E2903">
        <f t="shared" si="111"/>
        <v>6</v>
      </c>
    </row>
    <row r="2904" spans="1:5" x14ac:dyDescent="0.3">
      <c r="A2904" t="s">
        <v>3029</v>
      </c>
      <c r="B2904" t="s">
        <v>127</v>
      </c>
      <c r="C2904">
        <v>289</v>
      </c>
      <c r="D2904">
        <f t="shared" si="110"/>
        <v>2009</v>
      </c>
      <c r="E2904">
        <f t="shared" si="111"/>
        <v>6</v>
      </c>
    </row>
    <row r="2905" spans="1:5" x14ac:dyDescent="0.3">
      <c r="A2905" t="s">
        <v>3030</v>
      </c>
      <c r="B2905" t="s">
        <v>127</v>
      </c>
      <c r="C2905">
        <v>284</v>
      </c>
      <c r="D2905">
        <f t="shared" si="110"/>
        <v>2009</v>
      </c>
      <c r="E2905">
        <f t="shared" si="111"/>
        <v>6</v>
      </c>
    </row>
    <row r="2906" spans="1:5" x14ac:dyDescent="0.3">
      <c r="A2906" t="s">
        <v>3031</v>
      </c>
      <c r="B2906" t="s">
        <v>127</v>
      </c>
      <c r="C2906">
        <v>289</v>
      </c>
      <c r="D2906">
        <f t="shared" si="110"/>
        <v>2009</v>
      </c>
      <c r="E2906">
        <f t="shared" si="111"/>
        <v>6</v>
      </c>
    </row>
    <row r="2907" spans="1:5" x14ac:dyDescent="0.3">
      <c r="A2907" t="s">
        <v>3032</v>
      </c>
      <c r="B2907" t="s">
        <v>127</v>
      </c>
      <c r="C2907">
        <v>304</v>
      </c>
      <c r="D2907">
        <f t="shared" si="110"/>
        <v>2009</v>
      </c>
      <c r="E2907">
        <f t="shared" si="111"/>
        <v>6</v>
      </c>
    </row>
    <row r="2908" spans="1:5" x14ac:dyDescent="0.3">
      <c r="A2908" t="s">
        <v>3033</v>
      </c>
      <c r="B2908" t="s">
        <v>127</v>
      </c>
      <c r="C2908">
        <v>299</v>
      </c>
      <c r="D2908">
        <f t="shared" si="110"/>
        <v>2009</v>
      </c>
      <c r="E2908">
        <f t="shared" si="111"/>
        <v>6</v>
      </c>
    </row>
    <row r="2909" spans="1:5" x14ac:dyDescent="0.3">
      <c r="A2909" t="s">
        <v>3034</v>
      </c>
      <c r="B2909" t="s">
        <v>127</v>
      </c>
      <c r="C2909">
        <v>284</v>
      </c>
      <c r="D2909">
        <f t="shared" si="110"/>
        <v>2009</v>
      </c>
      <c r="E2909">
        <f t="shared" si="111"/>
        <v>6</v>
      </c>
    </row>
    <row r="2910" spans="1:5" x14ac:dyDescent="0.3">
      <c r="A2910" t="s">
        <v>3035</v>
      </c>
      <c r="B2910" t="s">
        <v>127</v>
      </c>
      <c r="C2910">
        <v>286</v>
      </c>
      <c r="D2910">
        <f t="shared" si="110"/>
        <v>2009</v>
      </c>
      <c r="E2910">
        <f t="shared" si="111"/>
        <v>6</v>
      </c>
    </row>
    <row r="2911" spans="1:5" x14ac:dyDescent="0.3">
      <c r="A2911" t="s">
        <v>3036</v>
      </c>
      <c r="B2911" t="s">
        <v>127</v>
      </c>
      <c r="C2911">
        <v>281</v>
      </c>
      <c r="D2911">
        <f t="shared" si="110"/>
        <v>2009</v>
      </c>
      <c r="E2911">
        <f t="shared" si="111"/>
        <v>6</v>
      </c>
    </row>
    <row r="2912" spans="1:5" x14ac:dyDescent="0.3">
      <c r="A2912" t="s">
        <v>3037</v>
      </c>
      <c r="B2912" t="s">
        <v>127</v>
      </c>
      <c r="C2912">
        <v>274</v>
      </c>
      <c r="D2912">
        <f t="shared" si="110"/>
        <v>2009</v>
      </c>
      <c r="E2912">
        <f t="shared" si="111"/>
        <v>6</v>
      </c>
    </row>
    <row r="2913" spans="1:5" x14ac:dyDescent="0.3">
      <c r="A2913" t="s">
        <v>3038</v>
      </c>
      <c r="B2913" t="s">
        <v>127</v>
      </c>
      <c r="C2913">
        <v>280</v>
      </c>
      <c r="D2913">
        <f t="shared" si="110"/>
        <v>2009</v>
      </c>
      <c r="E2913">
        <f t="shared" si="111"/>
        <v>6</v>
      </c>
    </row>
    <row r="2914" spans="1:5" x14ac:dyDescent="0.3">
      <c r="A2914" t="s">
        <v>3039</v>
      </c>
      <c r="B2914" t="s">
        <v>127</v>
      </c>
      <c r="C2914">
        <v>273</v>
      </c>
      <c r="D2914">
        <f t="shared" si="110"/>
        <v>2009</v>
      </c>
      <c r="E2914">
        <f t="shared" si="111"/>
        <v>7</v>
      </c>
    </row>
    <row r="2915" spans="1:5" x14ac:dyDescent="0.3">
      <c r="A2915" t="s">
        <v>3040</v>
      </c>
      <c r="B2915" t="s">
        <v>127</v>
      </c>
      <c r="C2915">
        <v>285</v>
      </c>
      <c r="D2915">
        <f t="shared" si="110"/>
        <v>2009</v>
      </c>
      <c r="E2915">
        <f t="shared" si="111"/>
        <v>7</v>
      </c>
    </row>
    <row r="2916" spans="1:5" x14ac:dyDescent="0.3">
      <c r="A2916" t="s">
        <v>3041</v>
      </c>
      <c r="B2916" t="s">
        <v>127</v>
      </c>
      <c r="C2916">
        <v>285</v>
      </c>
      <c r="D2916">
        <f t="shared" si="110"/>
        <v>2009</v>
      </c>
      <c r="E2916">
        <f t="shared" si="111"/>
        <v>7</v>
      </c>
    </row>
    <row r="2917" spans="1:5" x14ac:dyDescent="0.3">
      <c r="A2917" t="s">
        <v>3042</v>
      </c>
      <c r="B2917" t="s">
        <v>127</v>
      </c>
      <c r="C2917">
        <v>289</v>
      </c>
      <c r="D2917">
        <f t="shared" si="110"/>
        <v>2009</v>
      </c>
      <c r="E2917">
        <f t="shared" si="111"/>
        <v>7</v>
      </c>
    </row>
    <row r="2918" spans="1:5" x14ac:dyDescent="0.3">
      <c r="A2918" t="s">
        <v>3043</v>
      </c>
      <c r="B2918" t="s">
        <v>127</v>
      </c>
      <c r="C2918">
        <v>295</v>
      </c>
      <c r="D2918">
        <f t="shared" si="110"/>
        <v>2009</v>
      </c>
      <c r="E2918">
        <f t="shared" si="111"/>
        <v>7</v>
      </c>
    </row>
    <row r="2919" spans="1:5" x14ac:dyDescent="0.3">
      <c r="A2919" t="s">
        <v>3044</v>
      </c>
      <c r="B2919" t="s">
        <v>127</v>
      </c>
      <c r="C2919">
        <v>315</v>
      </c>
      <c r="D2919">
        <f t="shared" si="110"/>
        <v>2009</v>
      </c>
      <c r="E2919">
        <f t="shared" si="111"/>
        <v>7</v>
      </c>
    </row>
    <row r="2920" spans="1:5" x14ac:dyDescent="0.3">
      <c r="A2920" t="s">
        <v>3045</v>
      </c>
      <c r="B2920" t="s">
        <v>127</v>
      </c>
      <c r="C2920">
        <v>298</v>
      </c>
      <c r="D2920">
        <f t="shared" si="110"/>
        <v>2009</v>
      </c>
      <c r="E2920">
        <f t="shared" si="111"/>
        <v>7</v>
      </c>
    </row>
    <row r="2921" spans="1:5" x14ac:dyDescent="0.3">
      <c r="A2921" t="s">
        <v>3046</v>
      </c>
      <c r="B2921" t="s">
        <v>127</v>
      </c>
      <c r="C2921">
        <v>306</v>
      </c>
      <c r="D2921">
        <f t="shared" si="110"/>
        <v>2009</v>
      </c>
      <c r="E2921">
        <f t="shared" si="111"/>
        <v>7</v>
      </c>
    </row>
    <row r="2922" spans="1:5" x14ac:dyDescent="0.3">
      <c r="A2922" t="s">
        <v>3047</v>
      </c>
      <c r="B2922" t="s">
        <v>127</v>
      </c>
      <c r="C2922">
        <v>295</v>
      </c>
      <c r="D2922">
        <f t="shared" si="110"/>
        <v>2009</v>
      </c>
      <c r="E2922">
        <f t="shared" si="111"/>
        <v>7</v>
      </c>
    </row>
    <row r="2923" spans="1:5" x14ac:dyDescent="0.3">
      <c r="A2923" t="s">
        <v>3048</v>
      </c>
      <c r="B2923" t="s">
        <v>127</v>
      </c>
      <c r="C2923">
        <v>279</v>
      </c>
      <c r="D2923">
        <f t="shared" si="110"/>
        <v>2009</v>
      </c>
      <c r="E2923">
        <f t="shared" si="111"/>
        <v>7</v>
      </c>
    </row>
    <row r="2924" spans="1:5" x14ac:dyDescent="0.3">
      <c r="A2924" t="s">
        <v>3049</v>
      </c>
      <c r="B2924" t="s">
        <v>127</v>
      </c>
      <c r="C2924">
        <v>259</v>
      </c>
      <c r="D2924">
        <f t="shared" si="110"/>
        <v>2009</v>
      </c>
      <c r="E2924">
        <f t="shared" si="111"/>
        <v>7</v>
      </c>
    </row>
    <row r="2925" spans="1:5" x14ac:dyDescent="0.3">
      <c r="A2925" t="s">
        <v>3050</v>
      </c>
      <c r="B2925" t="s">
        <v>127</v>
      </c>
      <c r="C2925">
        <v>256</v>
      </c>
      <c r="D2925">
        <f t="shared" si="110"/>
        <v>2009</v>
      </c>
      <c r="E2925">
        <f t="shared" si="111"/>
        <v>7</v>
      </c>
    </row>
    <row r="2926" spans="1:5" x14ac:dyDescent="0.3">
      <c r="A2926" t="s">
        <v>3051</v>
      </c>
      <c r="B2926" t="s">
        <v>127</v>
      </c>
      <c r="C2926">
        <v>245</v>
      </c>
      <c r="D2926">
        <f t="shared" si="110"/>
        <v>2009</v>
      </c>
      <c r="E2926">
        <f t="shared" si="111"/>
        <v>7</v>
      </c>
    </row>
    <row r="2927" spans="1:5" x14ac:dyDescent="0.3">
      <c r="A2927" t="s">
        <v>3052</v>
      </c>
      <c r="B2927" t="s">
        <v>127</v>
      </c>
      <c r="C2927">
        <v>251</v>
      </c>
      <c r="D2927">
        <f t="shared" si="110"/>
        <v>2009</v>
      </c>
      <c r="E2927">
        <f t="shared" si="111"/>
        <v>7</v>
      </c>
    </row>
    <row r="2928" spans="1:5" x14ac:dyDescent="0.3">
      <c r="A2928" t="s">
        <v>3053</v>
      </c>
      <c r="B2928" t="s">
        <v>127</v>
      </c>
      <c r="C2928">
        <v>256</v>
      </c>
      <c r="D2928">
        <f t="shared" si="110"/>
        <v>2009</v>
      </c>
      <c r="E2928">
        <f t="shared" si="111"/>
        <v>7</v>
      </c>
    </row>
    <row r="2929" spans="1:5" x14ac:dyDescent="0.3">
      <c r="A2929" t="s">
        <v>3054</v>
      </c>
      <c r="B2929" t="s">
        <v>127</v>
      </c>
      <c r="C2929">
        <v>246</v>
      </c>
      <c r="D2929">
        <f t="shared" si="110"/>
        <v>2009</v>
      </c>
      <c r="E2929">
        <f t="shared" si="111"/>
        <v>7</v>
      </c>
    </row>
    <row r="2930" spans="1:5" x14ac:dyDescent="0.3">
      <c r="A2930" t="s">
        <v>3055</v>
      </c>
      <c r="B2930" t="s">
        <v>127</v>
      </c>
      <c r="C2930">
        <v>223</v>
      </c>
      <c r="D2930">
        <f t="shared" si="110"/>
        <v>2009</v>
      </c>
      <c r="E2930">
        <f t="shared" si="111"/>
        <v>7</v>
      </c>
    </row>
    <row r="2931" spans="1:5" x14ac:dyDescent="0.3">
      <c r="A2931" t="s">
        <v>3056</v>
      </c>
      <c r="B2931" t="s">
        <v>127</v>
      </c>
      <c r="C2931">
        <v>226</v>
      </c>
      <c r="D2931">
        <f t="shared" si="110"/>
        <v>2009</v>
      </c>
      <c r="E2931">
        <f t="shared" si="111"/>
        <v>7</v>
      </c>
    </row>
    <row r="2932" spans="1:5" x14ac:dyDescent="0.3">
      <c r="A2932" t="s">
        <v>3057</v>
      </c>
      <c r="B2932" t="s">
        <v>127</v>
      </c>
      <c r="C2932">
        <v>219</v>
      </c>
      <c r="D2932">
        <f t="shared" si="110"/>
        <v>2009</v>
      </c>
      <c r="E2932">
        <f t="shared" si="111"/>
        <v>7</v>
      </c>
    </row>
    <row r="2933" spans="1:5" x14ac:dyDescent="0.3">
      <c r="A2933" t="s">
        <v>3058</v>
      </c>
      <c r="B2933" t="s">
        <v>127</v>
      </c>
      <c r="C2933">
        <v>229</v>
      </c>
      <c r="D2933">
        <f t="shared" si="110"/>
        <v>2009</v>
      </c>
      <c r="E2933">
        <f t="shared" si="111"/>
        <v>7</v>
      </c>
    </row>
    <row r="2934" spans="1:5" x14ac:dyDescent="0.3">
      <c r="A2934" t="s">
        <v>3059</v>
      </c>
      <c r="B2934" t="s">
        <v>127</v>
      </c>
      <c r="C2934">
        <v>239</v>
      </c>
      <c r="D2934">
        <f t="shared" si="110"/>
        <v>2009</v>
      </c>
      <c r="E2934">
        <f t="shared" si="111"/>
        <v>7</v>
      </c>
    </row>
    <row r="2935" spans="1:5" x14ac:dyDescent="0.3">
      <c r="A2935" t="s">
        <v>3060</v>
      </c>
      <c r="B2935" t="s">
        <v>127</v>
      </c>
      <c r="C2935">
        <v>239</v>
      </c>
      <c r="D2935">
        <f t="shared" si="110"/>
        <v>2009</v>
      </c>
      <c r="E2935">
        <f t="shared" si="111"/>
        <v>7</v>
      </c>
    </row>
    <row r="2936" spans="1:5" x14ac:dyDescent="0.3">
      <c r="A2936" t="s">
        <v>3061</v>
      </c>
      <c r="B2936" t="s">
        <v>127</v>
      </c>
      <c r="C2936">
        <v>250</v>
      </c>
      <c r="D2936">
        <f t="shared" si="110"/>
        <v>2009</v>
      </c>
      <c r="E2936">
        <f t="shared" si="111"/>
        <v>7</v>
      </c>
    </row>
    <row r="2937" spans="1:5" x14ac:dyDescent="0.3">
      <c r="A2937" t="s">
        <v>3062</v>
      </c>
      <c r="B2937" t="s">
        <v>127</v>
      </c>
      <c r="C2937">
        <v>229</v>
      </c>
      <c r="D2937">
        <f t="shared" si="110"/>
        <v>2009</v>
      </c>
      <c r="E2937">
        <f t="shared" si="111"/>
        <v>8</v>
      </c>
    </row>
    <row r="2938" spans="1:5" x14ac:dyDescent="0.3">
      <c r="A2938" t="s">
        <v>3063</v>
      </c>
      <c r="B2938" t="s">
        <v>127</v>
      </c>
      <c r="C2938">
        <v>215</v>
      </c>
      <c r="D2938">
        <f t="shared" si="110"/>
        <v>2009</v>
      </c>
      <c r="E2938">
        <f t="shared" si="111"/>
        <v>8</v>
      </c>
    </row>
    <row r="2939" spans="1:5" x14ac:dyDescent="0.3">
      <c r="A2939" t="s">
        <v>3064</v>
      </c>
      <c r="B2939" t="s">
        <v>127</v>
      </c>
      <c r="C2939">
        <v>202</v>
      </c>
      <c r="D2939">
        <f t="shared" si="110"/>
        <v>2009</v>
      </c>
      <c r="E2939">
        <f t="shared" si="111"/>
        <v>8</v>
      </c>
    </row>
    <row r="2940" spans="1:5" x14ac:dyDescent="0.3">
      <c r="A2940" t="s">
        <v>3065</v>
      </c>
      <c r="B2940" t="s">
        <v>127</v>
      </c>
      <c r="C2940">
        <v>209</v>
      </c>
      <c r="D2940">
        <f t="shared" si="110"/>
        <v>2009</v>
      </c>
      <c r="E2940">
        <f t="shared" si="111"/>
        <v>8</v>
      </c>
    </row>
    <row r="2941" spans="1:5" x14ac:dyDescent="0.3">
      <c r="A2941" t="s">
        <v>3066</v>
      </c>
      <c r="B2941" t="s">
        <v>127</v>
      </c>
      <c r="C2941">
        <v>196</v>
      </c>
      <c r="D2941">
        <f t="shared" si="110"/>
        <v>2009</v>
      </c>
      <c r="E2941">
        <f t="shared" si="111"/>
        <v>8</v>
      </c>
    </row>
    <row r="2942" spans="1:5" x14ac:dyDescent="0.3">
      <c r="A2942" t="s">
        <v>3067</v>
      </c>
      <c r="B2942" t="s">
        <v>127</v>
      </c>
      <c r="C2942">
        <v>212</v>
      </c>
      <c r="D2942">
        <f t="shared" si="110"/>
        <v>2009</v>
      </c>
      <c r="E2942">
        <f t="shared" si="111"/>
        <v>8</v>
      </c>
    </row>
    <row r="2943" spans="1:5" x14ac:dyDescent="0.3">
      <c r="A2943" t="s">
        <v>3068</v>
      </c>
      <c r="B2943" t="s">
        <v>127</v>
      </c>
      <c r="C2943">
        <v>228</v>
      </c>
      <c r="D2943">
        <f t="shared" si="110"/>
        <v>2009</v>
      </c>
      <c r="E2943">
        <f t="shared" si="111"/>
        <v>8</v>
      </c>
    </row>
    <row r="2944" spans="1:5" x14ac:dyDescent="0.3">
      <c r="A2944" t="s">
        <v>3069</v>
      </c>
      <c r="B2944" t="s">
        <v>127</v>
      </c>
      <c r="C2944">
        <v>221</v>
      </c>
      <c r="D2944">
        <f t="shared" si="110"/>
        <v>2009</v>
      </c>
      <c r="E2944">
        <f t="shared" si="111"/>
        <v>8</v>
      </c>
    </row>
    <row r="2945" spans="1:5" x14ac:dyDescent="0.3">
      <c r="A2945" t="s">
        <v>3070</v>
      </c>
      <c r="B2945" t="s">
        <v>127</v>
      </c>
      <c r="C2945">
        <v>232</v>
      </c>
      <c r="D2945">
        <f t="shared" si="110"/>
        <v>2009</v>
      </c>
      <c r="E2945">
        <f t="shared" si="111"/>
        <v>8</v>
      </c>
    </row>
    <row r="2946" spans="1:5" x14ac:dyDescent="0.3">
      <c r="A2946" t="s">
        <v>3071</v>
      </c>
      <c r="B2946" t="s">
        <v>127</v>
      </c>
      <c r="C2946">
        <v>233</v>
      </c>
      <c r="D2946">
        <f t="shared" si="110"/>
        <v>2009</v>
      </c>
      <c r="E2946">
        <f t="shared" si="111"/>
        <v>8</v>
      </c>
    </row>
    <row r="2947" spans="1:5" x14ac:dyDescent="0.3">
      <c r="A2947" t="s">
        <v>3072</v>
      </c>
      <c r="B2947" t="s">
        <v>127</v>
      </c>
      <c r="C2947">
        <v>244</v>
      </c>
      <c r="D2947">
        <f t="shared" ref="D2947:D3010" si="112">YEAR(A2947)</f>
        <v>2009</v>
      </c>
      <c r="E2947">
        <f t="shared" ref="E2947:E3010" si="113">MONTH(A2947)</f>
        <v>8</v>
      </c>
    </row>
    <row r="2948" spans="1:5" x14ac:dyDescent="0.3">
      <c r="A2948" t="s">
        <v>3073</v>
      </c>
      <c r="B2948" t="s">
        <v>127</v>
      </c>
      <c r="C2948">
        <v>237</v>
      </c>
      <c r="D2948">
        <f t="shared" si="112"/>
        <v>2009</v>
      </c>
      <c r="E2948">
        <f t="shared" si="113"/>
        <v>8</v>
      </c>
    </row>
    <row r="2949" spans="1:5" x14ac:dyDescent="0.3">
      <c r="A2949" t="s">
        <v>3074</v>
      </c>
      <c r="B2949" t="s">
        <v>127</v>
      </c>
      <c r="C2949">
        <v>245</v>
      </c>
      <c r="D2949">
        <f t="shared" si="112"/>
        <v>2009</v>
      </c>
      <c r="E2949">
        <f t="shared" si="113"/>
        <v>8</v>
      </c>
    </row>
    <row r="2950" spans="1:5" x14ac:dyDescent="0.3">
      <c r="A2950" t="s">
        <v>3075</v>
      </c>
      <c r="B2950" t="s">
        <v>127</v>
      </c>
      <c r="C2950">
        <v>252</v>
      </c>
      <c r="D2950">
        <f t="shared" si="112"/>
        <v>2009</v>
      </c>
      <c r="E2950">
        <f t="shared" si="113"/>
        <v>8</v>
      </c>
    </row>
    <row r="2951" spans="1:5" x14ac:dyDescent="0.3">
      <c r="A2951" t="s">
        <v>3076</v>
      </c>
      <c r="B2951" t="s">
        <v>127</v>
      </c>
      <c r="C2951">
        <v>240</v>
      </c>
      <c r="D2951">
        <f t="shared" si="112"/>
        <v>2009</v>
      </c>
      <c r="E2951">
        <f t="shared" si="113"/>
        <v>8</v>
      </c>
    </row>
    <row r="2952" spans="1:5" x14ac:dyDescent="0.3">
      <c r="A2952" t="s">
        <v>3077</v>
      </c>
      <c r="B2952" t="s">
        <v>127</v>
      </c>
      <c r="C2952">
        <v>247</v>
      </c>
      <c r="D2952">
        <f t="shared" si="112"/>
        <v>2009</v>
      </c>
      <c r="E2952">
        <f t="shared" si="113"/>
        <v>8</v>
      </c>
    </row>
    <row r="2953" spans="1:5" x14ac:dyDescent="0.3">
      <c r="A2953" t="s">
        <v>3078</v>
      </c>
      <c r="B2953" t="s">
        <v>127</v>
      </c>
      <c r="C2953">
        <v>261</v>
      </c>
      <c r="D2953">
        <f t="shared" si="112"/>
        <v>2009</v>
      </c>
      <c r="E2953">
        <f t="shared" si="113"/>
        <v>8</v>
      </c>
    </row>
    <row r="2954" spans="1:5" x14ac:dyDescent="0.3">
      <c r="A2954" t="s">
        <v>3079</v>
      </c>
      <c r="B2954" t="s">
        <v>127</v>
      </c>
      <c r="C2954">
        <v>270</v>
      </c>
      <c r="D2954">
        <f t="shared" si="112"/>
        <v>2009</v>
      </c>
      <c r="E2954">
        <f t="shared" si="113"/>
        <v>8</v>
      </c>
    </row>
    <row r="2955" spans="1:5" x14ac:dyDescent="0.3">
      <c r="A2955" t="s">
        <v>3080</v>
      </c>
      <c r="B2955" t="s">
        <v>127</v>
      </c>
      <c r="C2955">
        <v>263</v>
      </c>
      <c r="D2955">
        <f t="shared" si="112"/>
        <v>2009</v>
      </c>
      <c r="E2955">
        <f t="shared" si="113"/>
        <v>8</v>
      </c>
    </row>
    <row r="2956" spans="1:5" x14ac:dyDescent="0.3">
      <c r="A2956" t="s">
        <v>3081</v>
      </c>
      <c r="B2956" t="s">
        <v>127</v>
      </c>
      <c r="C2956">
        <v>265</v>
      </c>
      <c r="D2956">
        <f t="shared" si="112"/>
        <v>2009</v>
      </c>
      <c r="E2956">
        <f t="shared" si="113"/>
        <v>8</v>
      </c>
    </row>
    <row r="2957" spans="1:5" x14ac:dyDescent="0.3">
      <c r="A2957" t="s">
        <v>3082</v>
      </c>
      <c r="B2957" t="s">
        <v>127</v>
      </c>
      <c r="C2957">
        <v>271</v>
      </c>
      <c r="D2957">
        <f t="shared" si="112"/>
        <v>2009</v>
      </c>
      <c r="E2957">
        <f t="shared" si="113"/>
        <v>8</v>
      </c>
    </row>
    <row r="2958" spans="1:5" x14ac:dyDescent="0.3">
      <c r="A2958" t="s">
        <v>3083</v>
      </c>
      <c r="B2958" t="s">
        <v>127</v>
      </c>
      <c r="C2958">
        <v>282</v>
      </c>
      <c r="D2958">
        <f t="shared" si="112"/>
        <v>2009</v>
      </c>
      <c r="E2958">
        <f t="shared" si="113"/>
        <v>9</v>
      </c>
    </row>
    <row r="2959" spans="1:5" x14ac:dyDescent="0.3">
      <c r="A2959" t="s">
        <v>3084</v>
      </c>
      <c r="B2959" t="s">
        <v>127</v>
      </c>
      <c r="C2959">
        <v>282</v>
      </c>
      <c r="D2959">
        <f t="shared" si="112"/>
        <v>2009</v>
      </c>
      <c r="E2959">
        <f t="shared" si="113"/>
        <v>9</v>
      </c>
    </row>
    <row r="2960" spans="1:5" x14ac:dyDescent="0.3">
      <c r="A2960" t="s">
        <v>3085</v>
      </c>
      <c r="B2960" t="s">
        <v>127</v>
      </c>
      <c r="C2960">
        <v>269</v>
      </c>
      <c r="D2960">
        <f t="shared" si="112"/>
        <v>2009</v>
      </c>
      <c r="E2960">
        <f t="shared" si="113"/>
        <v>9</v>
      </c>
    </row>
    <row r="2961" spans="1:5" x14ac:dyDescent="0.3">
      <c r="A2961" t="s">
        <v>3086</v>
      </c>
      <c r="B2961" t="s">
        <v>127</v>
      </c>
      <c r="C2961">
        <v>262</v>
      </c>
      <c r="D2961">
        <f t="shared" si="112"/>
        <v>2009</v>
      </c>
      <c r="E2961">
        <f t="shared" si="113"/>
        <v>9</v>
      </c>
    </row>
    <row r="2962" spans="1:5" x14ac:dyDescent="0.3">
      <c r="A2962" t="s">
        <v>3087</v>
      </c>
      <c r="B2962" t="s">
        <v>127</v>
      </c>
      <c r="C2962">
        <v>240</v>
      </c>
      <c r="D2962">
        <f t="shared" si="112"/>
        <v>2009</v>
      </c>
      <c r="E2962">
        <f t="shared" si="113"/>
        <v>9</v>
      </c>
    </row>
    <row r="2963" spans="1:5" x14ac:dyDescent="0.3">
      <c r="A2963" t="s">
        <v>3088</v>
      </c>
      <c r="B2963" t="s">
        <v>127</v>
      </c>
      <c r="C2963">
        <v>239</v>
      </c>
      <c r="D2963">
        <f t="shared" si="112"/>
        <v>2009</v>
      </c>
      <c r="E2963">
        <f t="shared" si="113"/>
        <v>9</v>
      </c>
    </row>
    <row r="2964" spans="1:5" x14ac:dyDescent="0.3">
      <c r="A2964" t="s">
        <v>3089</v>
      </c>
      <c r="B2964" t="s">
        <v>127</v>
      </c>
      <c r="C2964">
        <v>246</v>
      </c>
      <c r="D2964">
        <f t="shared" si="112"/>
        <v>2009</v>
      </c>
      <c r="E2964">
        <f t="shared" si="113"/>
        <v>9</v>
      </c>
    </row>
    <row r="2965" spans="1:5" x14ac:dyDescent="0.3">
      <c r="A2965" t="s">
        <v>3090</v>
      </c>
      <c r="B2965" t="s">
        <v>127</v>
      </c>
      <c r="C2965">
        <v>235</v>
      </c>
      <c r="D2965">
        <f t="shared" si="112"/>
        <v>2009</v>
      </c>
      <c r="E2965">
        <f t="shared" si="113"/>
        <v>9</v>
      </c>
    </row>
    <row r="2966" spans="1:5" x14ac:dyDescent="0.3">
      <c r="A2966" t="s">
        <v>3091</v>
      </c>
      <c r="B2966" t="s">
        <v>127</v>
      </c>
      <c r="C2966">
        <v>217</v>
      </c>
      <c r="D2966">
        <f t="shared" si="112"/>
        <v>2009</v>
      </c>
      <c r="E2966">
        <f t="shared" si="113"/>
        <v>9</v>
      </c>
    </row>
    <row r="2967" spans="1:5" x14ac:dyDescent="0.3">
      <c r="A2967" t="s">
        <v>3092</v>
      </c>
      <c r="B2967" t="s">
        <v>127</v>
      </c>
      <c r="C2967">
        <v>216</v>
      </c>
      <c r="D2967">
        <f t="shared" si="112"/>
        <v>2009</v>
      </c>
      <c r="E2967">
        <f t="shared" si="113"/>
        <v>9</v>
      </c>
    </row>
    <row r="2968" spans="1:5" x14ac:dyDescent="0.3">
      <c r="A2968" t="s">
        <v>3093</v>
      </c>
      <c r="B2968" t="s">
        <v>127</v>
      </c>
      <c r="C2968">
        <v>200</v>
      </c>
      <c r="D2968">
        <f t="shared" si="112"/>
        <v>2009</v>
      </c>
      <c r="E2968">
        <f t="shared" si="113"/>
        <v>9</v>
      </c>
    </row>
    <row r="2969" spans="1:5" x14ac:dyDescent="0.3">
      <c r="A2969" t="s">
        <v>3094</v>
      </c>
      <c r="B2969" t="s">
        <v>127</v>
      </c>
      <c r="C2969">
        <v>211</v>
      </c>
      <c r="D2969">
        <f t="shared" si="112"/>
        <v>2009</v>
      </c>
      <c r="E2969">
        <f t="shared" si="113"/>
        <v>9</v>
      </c>
    </row>
    <row r="2970" spans="1:5" x14ac:dyDescent="0.3">
      <c r="A2970" t="s">
        <v>3095</v>
      </c>
      <c r="B2970" t="s">
        <v>127</v>
      </c>
      <c r="C2970">
        <v>215</v>
      </c>
      <c r="D2970">
        <f t="shared" si="112"/>
        <v>2009</v>
      </c>
      <c r="E2970">
        <f t="shared" si="113"/>
        <v>9</v>
      </c>
    </row>
    <row r="2971" spans="1:5" x14ac:dyDescent="0.3">
      <c r="A2971" t="s">
        <v>3096</v>
      </c>
      <c r="B2971" t="s">
        <v>127</v>
      </c>
      <c r="C2971">
        <v>227</v>
      </c>
      <c r="D2971">
        <f t="shared" si="112"/>
        <v>2009</v>
      </c>
      <c r="E2971">
        <f t="shared" si="113"/>
        <v>9</v>
      </c>
    </row>
    <row r="2972" spans="1:5" x14ac:dyDescent="0.3">
      <c r="A2972" t="s">
        <v>3097</v>
      </c>
      <c r="B2972" t="s">
        <v>127</v>
      </c>
      <c r="C2972">
        <v>225</v>
      </c>
      <c r="D2972">
        <f t="shared" si="112"/>
        <v>2009</v>
      </c>
      <c r="E2972">
        <f t="shared" si="113"/>
        <v>9</v>
      </c>
    </row>
    <row r="2973" spans="1:5" x14ac:dyDescent="0.3">
      <c r="A2973" t="s">
        <v>3098</v>
      </c>
      <c r="B2973" t="s">
        <v>127</v>
      </c>
      <c r="C2973">
        <v>226</v>
      </c>
      <c r="D2973">
        <f t="shared" si="112"/>
        <v>2009</v>
      </c>
      <c r="E2973">
        <f t="shared" si="113"/>
        <v>9</v>
      </c>
    </row>
    <row r="2974" spans="1:5" x14ac:dyDescent="0.3">
      <c r="A2974" t="s">
        <v>3099</v>
      </c>
      <c r="B2974" t="s">
        <v>127</v>
      </c>
      <c r="C2974">
        <v>229</v>
      </c>
      <c r="D2974">
        <f t="shared" si="112"/>
        <v>2009</v>
      </c>
      <c r="E2974">
        <f t="shared" si="113"/>
        <v>9</v>
      </c>
    </row>
    <row r="2975" spans="1:5" x14ac:dyDescent="0.3">
      <c r="A2975" t="s">
        <v>3100</v>
      </c>
      <c r="B2975" t="s">
        <v>127</v>
      </c>
      <c r="C2975">
        <v>245</v>
      </c>
      <c r="D2975">
        <f t="shared" si="112"/>
        <v>2009</v>
      </c>
      <c r="E2975">
        <f t="shared" si="113"/>
        <v>9</v>
      </c>
    </row>
    <row r="2976" spans="1:5" x14ac:dyDescent="0.3">
      <c r="A2976" t="s">
        <v>3101</v>
      </c>
      <c r="B2976" t="s">
        <v>127</v>
      </c>
      <c r="C2976">
        <v>247</v>
      </c>
      <c r="D2976">
        <f t="shared" si="112"/>
        <v>2009</v>
      </c>
      <c r="E2976">
        <f t="shared" si="113"/>
        <v>9</v>
      </c>
    </row>
    <row r="2977" spans="1:5" x14ac:dyDescent="0.3">
      <c r="A2977" t="s">
        <v>3102</v>
      </c>
      <c r="B2977" t="s">
        <v>127</v>
      </c>
      <c r="C2977">
        <v>247</v>
      </c>
      <c r="D2977">
        <f t="shared" si="112"/>
        <v>2009</v>
      </c>
      <c r="E2977">
        <f t="shared" si="113"/>
        <v>9</v>
      </c>
    </row>
    <row r="2978" spans="1:5" x14ac:dyDescent="0.3">
      <c r="A2978" t="s">
        <v>3103</v>
      </c>
      <c r="B2978" t="s">
        <v>127</v>
      </c>
      <c r="C2978">
        <v>234</v>
      </c>
      <c r="D2978">
        <f t="shared" si="112"/>
        <v>2009</v>
      </c>
      <c r="E2978">
        <f t="shared" si="113"/>
        <v>9</v>
      </c>
    </row>
    <row r="2979" spans="1:5" x14ac:dyDescent="0.3">
      <c r="A2979" t="s">
        <v>3104</v>
      </c>
      <c r="B2979" t="s">
        <v>127</v>
      </c>
      <c r="C2979">
        <v>249</v>
      </c>
      <c r="D2979">
        <f t="shared" si="112"/>
        <v>2009</v>
      </c>
      <c r="E2979">
        <f t="shared" si="113"/>
        <v>10</v>
      </c>
    </row>
    <row r="2980" spans="1:5" x14ac:dyDescent="0.3">
      <c r="A2980" t="s">
        <v>3105</v>
      </c>
      <c r="B2980" t="s">
        <v>127</v>
      </c>
      <c r="C2980">
        <v>248</v>
      </c>
      <c r="D2980">
        <f t="shared" si="112"/>
        <v>2009</v>
      </c>
      <c r="E2980">
        <f t="shared" si="113"/>
        <v>10</v>
      </c>
    </row>
    <row r="2981" spans="1:5" x14ac:dyDescent="0.3">
      <c r="A2981" t="s">
        <v>3106</v>
      </c>
      <c r="B2981" t="s">
        <v>127</v>
      </c>
      <c r="C2981">
        <v>227</v>
      </c>
      <c r="D2981">
        <f t="shared" si="112"/>
        <v>2009</v>
      </c>
      <c r="E2981">
        <f t="shared" si="113"/>
        <v>10</v>
      </c>
    </row>
    <row r="2982" spans="1:5" x14ac:dyDescent="0.3">
      <c r="A2982" t="s">
        <v>3107</v>
      </c>
      <c r="B2982" t="s">
        <v>127</v>
      </c>
      <c r="C2982">
        <v>220</v>
      </c>
      <c r="D2982">
        <f t="shared" si="112"/>
        <v>2009</v>
      </c>
      <c r="E2982">
        <f t="shared" si="113"/>
        <v>10</v>
      </c>
    </row>
    <row r="2983" spans="1:5" x14ac:dyDescent="0.3">
      <c r="A2983" t="s">
        <v>3108</v>
      </c>
      <c r="B2983" t="s">
        <v>127</v>
      </c>
      <c r="C2983">
        <v>229</v>
      </c>
      <c r="D2983">
        <f t="shared" si="112"/>
        <v>2009</v>
      </c>
      <c r="E2983">
        <f t="shared" si="113"/>
        <v>10</v>
      </c>
    </row>
    <row r="2984" spans="1:5" x14ac:dyDescent="0.3">
      <c r="A2984" t="s">
        <v>3109</v>
      </c>
      <c r="B2984" t="s">
        <v>127</v>
      </c>
      <c r="C2984">
        <v>217</v>
      </c>
      <c r="D2984">
        <f t="shared" si="112"/>
        <v>2009</v>
      </c>
      <c r="E2984">
        <f t="shared" si="113"/>
        <v>10</v>
      </c>
    </row>
    <row r="2985" spans="1:5" x14ac:dyDescent="0.3">
      <c r="A2985" t="s">
        <v>3110</v>
      </c>
      <c r="B2985" t="s">
        <v>127</v>
      </c>
      <c r="C2985">
        <v>208</v>
      </c>
      <c r="D2985">
        <f t="shared" si="112"/>
        <v>2009</v>
      </c>
      <c r="E2985">
        <f t="shared" si="113"/>
        <v>10</v>
      </c>
    </row>
    <row r="2986" spans="1:5" x14ac:dyDescent="0.3">
      <c r="A2986" t="s">
        <v>3111</v>
      </c>
      <c r="B2986" t="s">
        <v>127</v>
      </c>
      <c r="C2986">
        <v>213</v>
      </c>
      <c r="D2986">
        <f t="shared" si="112"/>
        <v>2009</v>
      </c>
      <c r="E2986">
        <f t="shared" si="113"/>
        <v>10</v>
      </c>
    </row>
    <row r="2987" spans="1:5" x14ac:dyDescent="0.3">
      <c r="A2987" t="s">
        <v>3112</v>
      </c>
      <c r="B2987" t="s">
        <v>127</v>
      </c>
      <c r="C2987">
        <v>202</v>
      </c>
      <c r="D2987">
        <f t="shared" si="112"/>
        <v>2009</v>
      </c>
      <c r="E2987">
        <f t="shared" si="113"/>
        <v>10</v>
      </c>
    </row>
    <row r="2988" spans="1:5" x14ac:dyDescent="0.3">
      <c r="A2988" t="s">
        <v>3113</v>
      </c>
      <c r="B2988" t="s">
        <v>127</v>
      </c>
      <c r="C2988">
        <v>200</v>
      </c>
      <c r="D2988">
        <f t="shared" si="112"/>
        <v>2009</v>
      </c>
      <c r="E2988">
        <f t="shared" si="113"/>
        <v>10</v>
      </c>
    </row>
    <row r="2989" spans="1:5" x14ac:dyDescent="0.3">
      <c r="A2989" t="s">
        <v>3114</v>
      </c>
      <c r="B2989" t="s">
        <v>127</v>
      </c>
      <c r="C2989">
        <v>204</v>
      </c>
      <c r="D2989">
        <f t="shared" si="112"/>
        <v>2009</v>
      </c>
      <c r="E2989">
        <f t="shared" si="113"/>
        <v>10</v>
      </c>
    </row>
    <row r="2990" spans="1:5" x14ac:dyDescent="0.3">
      <c r="A2990" t="s">
        <v>3115</v>
      </c>
      <c r="B2990" t="s">
        <v>127</v>
      </c>
      <c r="C2990">
        <v>208</v>
      </c>
      <c r="D2990">
        <f t="shared" si="112"/>
        <v>2009</v>
      </c>
      <c r="E2990">
        <f t="shared" si="113"/>
        <v>10</v>
      </c>
    </row>
    <row r="2991" spans="1:5" x14ac:dyDescent="0.3">
      <c r="A2991" t="s">
        <v>3116</v>
      </c>
      <c r="B2991" t="s">
        <v>127</v>
      </c>
      <c r="C2991">
        <v>214</v>
      </c>
      <c r="D2991">
        <f t="shared" si="112"/>
        <v>2009</v>
      </c>
      <c r="E2991">
        <f t="shared" si="113"/>
        <v>10</v>
      </c>
    </row>
    <row r="2992" spans="1:5" x14ac:dyDescent="0.3">
      <c r="A2992" t="s">
        <v>3117</v>
      </c>
      <c r="B2992" t="s">
        <v>127</v>
      </c>
      <c r="C2992">
        <v>218</v>
      </c>
      <c r="D2992">
        <f t="shared" si="112"/>
        <v>2009</v>
      </c>
      <c r="E2992">
        <f t="shared" si="113"/>
        <v>10</v>
      </c>
    </row>
    <row r="2993" spans="1:5" x14ac:dyDescent="0.3">
      <c r="A2993" t="s">
        <v>3118</v>
      </c>
      <c r="B2993" t="s">
        <v>127</v>
      </c>
      <c r="C2993">
        <v>223</v>
      </c>
      <c r="D2993">
        <f t="shared" si="112"/>
        <v>2009</v>
      </c>
      <c r="E2993">
        <f t="shared" si="113"/>
        <v>10</v>
      </c>
    </row>
    <row r="2994" spans="1:5" x14ac:dyDescent="0.3">
      <c r="A2994" t="s">
        <v>3119</v>
      </c>
      <c r="B2994" t="s">
        <v>127</v>
      </c>
      <c r="C2994">
        <v>222</v>
      </c>
      <c r="D2994">
        <f t="shared" si="112"/>
        <v>2009</v>
      </c>
      <c r="E2994">
        <f t="shared" si="113"/>
        <v>10</v>
      </c>
    </row>
    <row r="2995" spans="1:5" x14ac:dyDescent="0.3">
      <c r="A2995" t="s">
        <v>3120</v>
      </c>
      <c r="B2995" t="s">
        <v>127</v>
      </c>
      <c r="C2995">
        <v>225</v>
      </c>
      <c r="D2995">
        <f t="shared" si="112"/>
        <v>2009</v>
      </c>
      <c r="E2995">
        <f t="shared" si="113"/>
        <v>10</v>
      </c>
    </row>
    <row r="2996" spans="1:5" x14ac:dyDescent="0.3">
      <c r="A2996" t="s">
        <v>3121</v>
      </c>
      <c r="B2996" t="s">
        <v>127</v>
      </c>
      <c r="C2996">
        <v>250</v>
      </c>
      <c r="D2996">
        <f t="shared" si="112"/>
        <v>2009</v>
      </c>
      <c r="E2996">
        <f t="shared" si="113"/>
        <v>10</v>
      </c>
    </row>
    <row r="2997" spans="1:5" x14ac:dyDescent="0.3">
      <c r="A2997" t="s">
        <v>3122</v>
      </c>
      <c r="B2997" t="s">
        <v>127</v>
      </c>
      <c r="C2997">
        <v>256</v>
      </c>
      <c r="D2997">
        <f t="shared" si="112"/>
        <v>2009</v>
      </c>
      <c r="E2997">
        <f t="shared" si="113"/>
        <v>10</v>
      </c>
    </row>
    <row r="2998" spans="1:5" x14ac:dyDescent="0.3">
      <c r="A2998" t="s">
        <v>3123</v>
      </c>
      <c r="B2998" t="s">
        <v>127</v>
      </c>
      <c r="C2998">
        <v>246</v>
      </c>
      <c r="D2998">
        <f t="shared" si="112"/>
        <v>2009</v>
      </c>
      <c r="E2998">
        <f t="shared" si="113"/>
        <v>10</v>
      </c>
    </row>
    <row r="2999" spans="1:5" x14ac:dyDescent="0.3">
      <c r="A2999" t="s">
        <v>3124</v>
      </c>
      <c r="B2999" t="s">
        <v>127</v>
      </c>
      <c r="C2999">
        <v>224</v>
      </c>
      <c r="D2999">
        <f t="shared" si="112"/>
        <v>2009</v>
      </c>
      <c r="E2999">
        <f t="shared" si="113"/>
        <v>10</v>
      </c>
    </row>
    <row r="3000" spans="1:5" x14ac:dyDescent="0.3">
      <c r="A3000" t="s">
        <v>3125</v>
      </c>
      <c r="B3000" t="s">
        <v>127</v>
      </c>
      <c r="C3000">
        <v>234</v>
      </c>
      <c r="D3000">
        <f t="shared" si="112"/>
        <v>2009</v>
      </c>
      <c r="E3000">
        <f t="shared" si="113"/>
        <v>11</v>
      </c>
    </row>
    <row r="3001" spans="1:5" x14ac:dyDescent="0.3">
      <c r="A3001" t="s">
        <v>3126</v>
      </c>
      <c r="B3001" t="s">
        <v>127</v>
      </c>
      <c r="C3001">
        <v>228</v>
      </c>
      <c r="D3001">
        <f t="shared" si="112"/>
        <v>2009</v>
      </c>
      <c r="E3001">
        <f t="shared" si="113"/>
        <v>11</v>
      </c>
    </row>
    <row r="3002" spans="1:5" x14ac:dyDescent="0.3">
      <c r="A3002" t="s">
        <v>3127</v>
      </c>
      <c r="B3002" t="s">
        <v>127</v>
      </c>
      <c r="C3002">
        <v>219</v>
      </c>
      <c r="D3002">
        <f t="shared" si="112"/>
        <v>2009</v>
      </c>
      <c r="E3002">
        <f t="shared" si="113"/>
        <v>11</v>
      </c>
    </row>
    <row r="3003" spans="1:5" x14ac:dyDescent="0.3">
      <c r="A3003" t="s">
        <v>3128</v>
      </c>
      <c r="B3003" t="s">
        <v>127</v>
      </c>
      <c r="C3003">
        <v>219</v>
      </c>
      <c r="D3003">
        <f t="shared" si="112"/>
        <v>2009</v>
      </c>
      <c r="E3003">
        <f t="shared" si="113"/>
        <v>11</v>
      </c>
    </row>
    <row r="3004" spans="1:5" x14ac:dyDescent="0.3">
      <c r="A3004" t="s">
        <v>3129</v>
      </c>
      <c r="B3004" t="s">
        <v>127</v>
      </c>
      <c r="C3004">
        <v>220</v>
      </c>
      <c r="D3004">
        <f t="shared" si="112"/>
        <v>2009</v>
      </c>
      <c r="E3004">
        <f t="shared" si="113"/>
        <v>11</v>
      </c>
    </row>
    <row r="3005" spans="1:5" x14ac:dyDescent="0.3">
      <c r="A3005" t="s">
        <v>3130</v>
      </c>
      <c r="B3005" t="s">
        <v>127</v>
      </c>
      <c r="C3005">
        <v>211</v>
      </c>
      <c r="D3005">
        <f t="shared" si="112"/>
        <v>2009</v>
      </c>
      <c r="E3005">
        <f t="shared" si="113"/>
        <v>11</v>
      </c>
    </row>
    <row r="3006" spans="1:5" x14ac:dyDescent="0.3">
      <c r="A3006" t="s">
        <v>3131</v>
      </c>
      <c r="B3006" t="s">
        <v>127</v>
      </c>
      <c r="C3006">
        <v>210</v>
      </c>
      <c r="D3006">
        <f t="shared" si="112"/>
        <v>2009</v>
      </c>
      <c r="E3006">
        <f t="shared" si="113"/>
        <v>11</v>
      </c>
    </row>
    <row r="3007" spans="1:5" x14ac:dyDescent="0.3">
      <c r="A3007" t="s">
        <v>3132</v>
      </c>
      <c r="B3007" t="s">
        <v>127</v>
      </c>
      <c r="C3007">
        <v>212</v>
      </c>
      <c r="D3007">
        <f t="shared" si="112"/>
        <v>2009</v>
      </c>
      <c r="E3007">
        <f t="shared" si="113"/>
        <v>11</v>
      </c>
    </row>
    <row r="3008" spans="1:5" x14ac:dyDescent="0.3">
      <c r="A3008" t="s">
        <v>3133</v>
      </c>
      <c r="B3008" t="s">
        <v>127</v>
      </c>
      <c r="C3008">
        <v>211</v>
      </c>
      <c r="D3008">
        <f t="shared" si="112"/>
        <v>2009</v>
      </c>
      <c r="E3008">
        <f t="shared" si="113"/>
        <v>11</v>
      </c>
    </row>
    <row r="3009" spans="1:5" x14ac:dyDescent="0.3">
      <c r="A3009" t="s">
        <v>3134</v>
      </c>
      <c r="B3009" t="s">
        <v>127</v>
      </c>
      <c r="C3009">
        <v>215</v>
      </c>
      <c r="D3009">
        <f t="shared" si="112"/>
        <v>2009</v>
      </c>
      <c r="E3009">
        <f t="shared" si="113"/>
        <v>11</v>
      </c>
    </row>
    <row r="3010" spans="1:5" x14ac:dyDescent="0.3">
      <c r="A3010" t="s">
        <v>3135</v>
      </c>
      <c r="B3010" t="s">
        <v>127</v>
      </c>
      <c r="C3010">
        <v>212</v>
      </c>
      <c r="D3010">
        <f t="shared" si="112"/>
        <v>2009</v>
      </c>
      <c r="E3010">
        <f t="shared" si="113"/>
        <v>11</v>
      </c>
    </row>
    <row r="3011" spans="1:5" x14ac:dyDescent="0.3">
      <c r="A3011" t="s">
        <v>3136</v>
      </c>
      <c r="B3011" t="s">
        <v>127</v>
      </c>
      <c r="C3011">
        <v>197</v>
      </c>
      <c r="D3011">
        <f t="shared" ref="D3011:D3074" si="114">YEAR(A3011)</f>
        <v>2009</v>
      </c>
      <c r="E3011">
        <f t="shared" ref="E3011:E3074" si="115">MONTH(A3011)</f>
        <v>11</v>
      </c>
    </row>
    <row r="3012" spans="1:5" x14ac:dyDescent="0.3">
      <c r="A3012" t="s">
        <v>3137</v>
      </c>
      <c r="B3012" t="s">
        <v>127</v>
      </c>
      <c r="C3012">
        <v>202</v>
      </c>
      <c r="D3012">
        <f t="shared" si="114"/>
        <v>2009</v>
      </c>
      <c r="E3012">
        <f t="shared" si="115"/>
        <v>11</v>
      </c>
    </row>
    <row r="3013" spans="1:5" x14ac:dyDescent="0.3">
      <c r="A3013" t="s">
        <v>3138</v>
      </c>
      <c r="B3013" t="s">
        <v>127</v>
      </c>
      <c r="C3013">
        <v>197</v>
      </c>
      <c r="D3013">
        <f t="shared" si="114"/>
        <v>2009</v>
      </c>
      <c r="E3013">
        <f t="shared" si="115"/>
        <v>11</v>
      </c>
    </row>
    <row r="3014" spans="1:5" x14ac:dyDescent="0.3">
      <c r="A3014" t="s">
        <v>3139</v>
      </c>
      <c r="B3014" t="s">
        <v>127</v>
      </c>
      <c r="C3014">
        <v>196</v>
      </c>
      <c r="D3014">
        <f t="shared" si="114"/>
        <v>2009</v>
      </c>
      <c r="E3014">
        <f t="shared" si="115"/>
        <v>11</v>
      </c>
    </row>
    <row r="3015" spans="1:5" x14ac:dyDescent="0.3">
      <c r="A3015" t="s">
        <v>3140</v>
      </c>
      <c r="B3015" t="s">
        <v>127</v>
      </c>
      <c r="C3015">
        <v>200</v>
      </c>
      <c r="D3015">
        <f t="shared" si="114"/>
        <v>2009</v>
      </c>
      <c r="E3015">
        <f t="shared" si="115"/>
        <v>11</v>
      </c>
    </row>
    <row r="3016" spans="1:5" x14ac:dyDescent="0.3">
      <c r="A3016" t="s">
        <v>3141</v>
      </c>
      <c r="B3016" t="s">
        <v>127</v>
      </c>
      <c r="C3016">
        <v>200</v>
      </c>
      <c r="D3016">
        <f t="shared" si="114"/>
        <v>2009</v>
      </c>
      <c r="E3016">
        <f t="shared" si="115"/>
        <v>11</v>
      </c>
    </row>
    <row r="3017" spans="1:5" x14ac:dyDescent="0.3">
      <c r="A3017" t="s">
        <v>3142</v>
      </c>
      <c r="B3017" t="s">
        <v>127</v>
      </c>
      <c r="C3017">
        <v>210</v>
      </c>
      <c r="D3017">
        <f t="shared" si="114"/>
        <v>2009</v>
      </c>
      <c r="E3017">
        <f t="shared" si="115"/>
        <v>11</v>
      </c>
    </row>
    <row r="3018" spans="1:5" x14ac:dyDescent="0.3">
      <c r="A3018" t="s">
        <v>3143</v>
      </c>
      <c r="B3018" t="s">
        <v>127</v>
      </c>
      <c r="C3018">
        <v>221</v>
      </c>
      <c r="D3018">
        <f t="shared" si="114"/>
        <v>2009</v>
      </c>
      <c r="E3018">
        <f t="shared" si="115"/>
        <v>11</v>
      </c>
    </row>
    <row r="3019" spans="1:5" x14ac:dyDescent="0.3">
      <c r="A3019" t="s">
        <v>3144</v>
      </c>
      <c r="B3019" t="s">
        <v>127</v>
      </c>
      <c r="C3019">
        <v>204</v>
      </c>
      <c r="D3019">
        <f t="shared" si="114"/>
        <v>2009</v>
      </c>
      <c r="E3019">
        <f t="shared" si="115"/>
        <v>12</v>
      </c>
    </row>
    <row r="3020" spans="1:5" x14ac:dyDescent="0.3">
      <c r="A3020" t="s">
        <v>3145</v>
      </c>
      <c r="B3020" t="s">
        <v>127</v>
      </c>
      <c r="C3020">
        <v>206</v>
      </c>
      <c r="D3020">
        <f t="shared" si="114"/>
        <v>2009</v>
      </c>
      <c r="E3020">
        <f t="shared" si="115"/>
        <v>12</v>
      </c>
    </row>
    <row r="3021" spans="1:5" x14ac:dyDescent="0.3">
      <c r="A3021" t="s">
        <v>3146</v>
      </c>
      <c r="B3021" t="s">
        <v>127</v>
      </c>
      <c r="C3021">
        <v>202</v>
      </c>
      <c r="D3021">
        <f t="shared" si="114"/>
        <v>2009</v>
      </c>
      <c r="E3021">
        <f t="shared" si="115"/>
        <v>12</v>
      </c>
    </row>
    <row r="3022" spans="1:5" x14ac:dyDescent="0.3">
      <c r="A3022" t="s">
        <v>3147</v>
      </c>
      <c r="B3022" t="s">
        <v>127</v>
      </c>
      <c r="C3022">
        <v>199</v>
      </c>
      <c r="D3022">
        <f t="shared" si="114"/>
        <v>2009</v>
      </c>
      <c r="E3022">
        <f t="shared" si="115"/>
        <v>12</v>
      </c>
    </row>
    <row r="3023" spans="1:5" x14ac:dyDescent="0.3">
      <c r="A3023" t="s">
        <v>3148</v>
      </c>
      <c r="B3023" t="s">
        <v>127</v>
      </c>
      <c r="C3023">
        <v>196</v>
      </c>
      <c r="D3023">
        <f t="shared" si="114"/>
        <v>2009</v>
      </c>
      <c r="E3023">
        <f t="shared" si="115"/>
        <v>12</v>
      </c>
    </row>
    <row r="3024" spans="1:5" x14ac:dyDescent="0.3">
      <c r="A3024" t="s">
        <v>3149</v>
      </c>
      <c r="B3024" t="s">
        <v>127</v>
      </c>
      <c r="C3024">
        <v>209</v>
      </c>
      <c r="D3024">
        <f t="shared" si="114"/>
        <v>2009</v>
      </c>
      <c r="E3024">
        <f t="shared" si="115"/>
        <v>12</v>
      </c>
    </row>
    <row r="3025" spans="1:5" x14ac:dyDescent="0.3">
      <c r="A3025" t="s">
        <v>3150</v>
      </c>
      <c r="B3025" t="s">
        <v>127</v>
      </c>
      <c r="C3025">
        <v>211</v>
      </c>
      <c r="D3025">
        <f t="shared" si="114"/>
        <v>2009</v>
      </c>
      <c r="E3025">
        <f t="shared" si="115"/>
        <v>12</v>
      </c>
    </row>
    <row r="3026" spans="1:5" x14ac:dyDescent="0.3">
      <c r="A3026" t="s">
        <v>3151</v>
      </c>
      <c r="B3026" t="s">
        <v>127</v>
      </c>
      <c r="C3026">
        <v>208</v>
      </c>
      <c r="D3026">
        <f t="shared" si="114"/>
        <v>2009</v>
      </c>
      <c r="E3026">
        <f t="shared" si="115"/>
        <v>12</v>
      </c>
    </row>
    <row r="3027" spans="1:5" x14ac:dyDescent="0.3">
      <c r="A3027" t="s">
        <v>3152</v>
      </c>
      <c r="B3027" t="s">
        <v>127</v>
      </c>
      <c r="C3027">
        <v>205</v>
      </c>
      <c r="D3027">
        <f t="shared" si="114"/>
        <v>2009</v>
      </c>
      <c r="E3027">
        <f t="shared" si="115"/>
        <v>12</v>
      </c>
    </row>
    <row r="3028" spans="1:5" x14ac:dyDescent="0.3">
      <c r="A3028" t="s">
        <v>3153</v>
      </c>
      <c r="B3028" t="s">
        <v>127</v>
      </c>
      <c r="C3028">
        <v>201</v>
      </c>
      <c r="D3028">
        <f t="shared" si="114"/>
        <v>2009</v>
      </c>
      <c r="E3028">
        <f t="shared" si="115"/>
        <v>12</v>
      </c>
    </row>
    <row r="3029" spans="1:5" x14ac:dyDescent="0.3">
      <c r="A3029" t="s">
        <v>3154</v>
      </c>
      <c r="B3029" t="s">
        <v>127</v>
      </c>
      <c r="C3029">
        <v>201</v>
      </c>
      <c r="D3029">
        <f t="shared" si="114"/>
        <v>2009</v>
      </c>
      <c r="E3029">
        <f t="shared" si="115"/>
        <v>12</v>
      </c>
    </row>
    <row r="3030" spans="1:5" x14ac:dyDescent="0.3">
      <c r="A3030" t="s">
        <v>3155</v>
      </c>
      <c r="B3030" t="s">
        <v>127</v>
      </c>
      <c r="C3030">
        <v>203</v>
      </c>
      <c r="D3030">
        <f t="shared" si="114"/>
        <v>2009</v>
      </c>
      <c r="E3030">
        <f t="shared" si="115"/>
        <v>12</v>
      </c>
    </row>
    <row r="3031" spans="1:5" x14ac:dyDescent="0.3">
      <c r="A3031" t="s">
        <v>3156</v>
      </c>
      <c r="B3031" t="s">
        <v>127</v>
      </c>
      <c r="C3031">
        <v>211</v>
      </c>
      <c r="D3031">
        <f t="shared" si="114"/>
        <v>2009</v>
      </c>
      <c r="E3031">
        <f t="shared" si="115"/>
        <v>12</v>
      </c>
    </row>
    <row r="3032" spans="1:5" x14ac:dyDescent="0.3">
      <c r="A3032" t="s">
        <v>3157</v>
      </c>
      <c r="B3032" t="s">
        <v>127</v>
      </c>
      <c r="C3032">
        <v>210</v>
      </c>
      <c r="D3032">
        <f t="shared" si="114"/>
        <v>2009</v>
      </c>
      <c r="E3032">
        <f t="shared" si="115"/>
        <v>12</v>
      </c>
    </row>
    <row r="3033" spans="1:5" x14ac:dyDescent="0.3">
      <c r="A3033" t="s">
        <v>3158</v>
      </c>
      <c r="B3033" t="s">
        <v>127</v>
      </c>
      <c r="C3033">
        <v>201</v>
      </c>
      <c r="D3033">
        <f t="shared" si="114"/>
        <v>2009</v>
      </c>
      <c r="E3033">
        <f t="shared" si="115"/>
        <v>12</v>
      </c>
    </row>
    <row r="3034" spans="1:5" x14ac:dyDescent="0.3">
      <c r="A3034" t="s">
        <v>3159</v>
      </c>
      <c r="B3034" t="s">
        <v>127</v>
      </c>
      <c r="C3034">
        <v>200</v>
      </c>
      <c r="D3034">
        <f t="shared" si="114"/>
        <v>2009</v>
      </c>
      <c r="E3034">
        <f t="shared" si="115"/>
        <v>12</v>
      </c>
    </row>
    <row r="3035" spans="1:5" x14ac:dyDescent="0.3">
      <c r="A3035" t="s">
        <v>3160</v>
      </c>
      <c r="B3035" t="s">
        <v>127</v>
      </c>
      <c r="C3035">
        <v>204</v>
      </c>
      <c r="D3035">
        <f t="shared" si="114"/>
        <v>2009</v>
      </c>
      <c r="E3035">
        <f t="shared" si="115"/>
        <v>12</v>
      </c>
    </row>
    <row r="3036" spans="1:5" x14ac:dyDescent="0.3">
      <c r="A3036" t="s">
        <v>3161</v>
      </c>
      <c r="B3036" t="s">
        <v>127</v>
      </c>
      <c r="C3036">
        <v>200</v>
      </c>
      <c r="D3036">
        <f t="shared" si="114"/>
        <v>2009</v>
      </c>
      <c r="E3036">
        <f t="shared" si="115"/>
        <v>12</v>
      </c>
    </row>
    <row r="3037" spans="1:5" x14ac:dyDescent="0.3">
      <c r="A3037" t="s">
        <v>3162</v>
      </c>
      <c r="B3037" t="s">
        <v>127</v>
      </c>
      <c r="C3037">
        <v>200</v>
      </c>
      <c r="D3037">
        <f t="shared" si="114"/>
        <v>2009</v>
      </c>
      <c r="E3037">
        <f t="shared" si="115"/>
        <v>12</v>
      </c>
    </row>
    <row r="3038" spans="1:5" x14ac:dyDescent="0.3">
      <c r="A3038" t="s">
        <v>3163</v>
      </c>
      <c r="B3038" t="s">
        <v>127</v>
      </c>
      <c r="C3038">
        <v>193</v>
      </c>
      <c r="D3038">
        <f t="shared" si="114"/>
        <v>2009</v>
      </c>
      <c r="E3038">
        <f t="shared" si="115"/>
        <v>12</v>
      </c>
    </row>
    <row r="3039" spans="1:5" x14ac:dyDescent="0.3">
      <c r="A3039" t="s">
        <v>3164</v>
      </c>
      <c r="B3039" t="s">
        <v>127</v>
      </c>
      <c r="C3039">
        <v>195</v>
      </c>
      <c r="D3039">
        <f t="shared" si="114"/>
        <v>2009</v>
      </c>
      <c r="E3039">
        <f t="shared" si="115"/>
        <v>12</v>
      </c>
    </row>
    <row r="3040" spans="1:5" x14ac:dyDescent="0.3">
      <c r="A3040" t="s">
        <v>3165</v>
      </c>
      <c r="B3040" t="s">
        <v>127</v>
      </c>
      <c r="C3040">
        <v>195</v>
      </c>
      <c r="D3040">
        <f t="shared" si="114"/>
        <v>2009</v>
      </c>
      <c r="E3040">
        <f t="shared" si="115"/>
        <v>12</v>
      </c>
    </row>
    <row r="3041" spans="1:5" x14ac:dyDescent="0.3">
      <c r="A3041" t="s">
        <v>3166</v>
      </c>
      <c r="B3041" t="s">
        <v>127</v>
      </c>
      <c r="C3041">
        <v>192</v>
      </c>
      <c r="D3041">
        <f t="shared" si="114"/>
        <v>2009</v>
      </c>
      <c r="E3041">
        <f t="shared" si="115"/>
        <v>12</v>
      </c>
    </row>
    <row r="3042" spans="1:5" x14ac:dyDescent="0.3">
      <c r="A3042" t="s">
        <v>3167</v>
      </c>
      <c r="B3042" t="s">
        <v>127</v>
      </c>
      <c r="C3042">
        <v>185</v>
      </c>
      <c r="D3042">
        <f t="shared" si="114"/>
        <v>2010</v>
      </c>
      <c r="E3042">
        <f t="shared" si="115"/>
        <v>1</v>
      </c>
    </row>
    <row r="3043" spans="1:5" x14ac:dyDescent="0.3">
      <c r="A3043" t="s">
        <v>3168</v>
      </c>
      <c r="B3043" t="s">
        <v>127</v>
      </c>
      <c r="C3043">
        <v>186</v>
      </c>
      <c r="D3043">
        <f t="shared" si="114"/>
        <v>2010</v>
      </c>
      <c r="E3043">
        <f t="shared" si="115"/>
        <v>1</v>
      </c>
    </row>
    <row r="3044" spans="1:5" x14ac:dyDescent="0.3">
      <c r="A3044" t="s">
        <v>3169</v>
      </c>
      <c r="B3044" t="s">
        <v>127</v>
      </c>
      <c r="C3044">
        <v>183</v>
      </c>
      <c r="D3044">
        <f t="shared" si="114"/>
        <v>2010</v>
      </c>
      <c r="E3044">
        <f t="shared" si="115"/>
        <v>1</v>
      </c>
    </row>
    <row r="3045" spans="1:5" x14ac:dyDescent="0.3">
      <c r="A3045" t="s">
        <v>3170</v>
      </c>
      <c r="B3045" t="s">
        <v>127</v>
      </c>
      <c r="C3045">
        <v>183</v>
      </c>
      <c r="D3045">
        <f t="shared" si="114"/>
        <v>2010</v>
      </c>
      <c r="E3045">
        <f t="shared" si="115"/>
        <v>1</v>
      </c>
    </row>
    <row r="3046" spans="1:5" x14ac:dyDescent="0.3">
      <c r="A3046" t="s">
        <v>3171</v>
      </c>
      <c r="B3046" t="s">
        <v>127</v>
      </c>
      <c r="C3046">
        <v>181</v>
      </c>
      <c r="D3046">
        <f t="shared" si="114"/>
        <v>2010</v>
      </c>
      <c r="E3046">
        <f t="shared" si="115"/>
        <v>1</v>
      </c>
    </row>
    <row r="3047" spans="1:5" x14ac:dyDescent="0.3">
      <c r="A3047" t="s">
        <v>3172</v>
      </c>
      <c r="B3047" t="s">
        <v>127</v>
      </c>
      <c r="C3047">
        <v>184</v>
      </c>
      <c r="D3047">
        <f t="shared" si="114"/>
        <v>2010</v>
      </c>
      <c r="E3047">
        <f t="shared" si="115"/>
        <v>1</v>
      </c>
    </row>
    <row r="3048" spans="1:5" x14ac:dyDescent="0.3">
      <c r="A3048" t="s">
        <v>3173</v>
      </c>
      <c r="B3048" t="s">
        <v>127</v>
      </c>
      <c r="C3048">
        <v>189</v>
      </c>
      <c r="D3048">
        <f t="shared" si="114"/>
        <v>2010</v>
      </c>
      <c r="E3048">
        <f t="shared" si="115"/>
        <v>1</v>
      </c>
    </row>
    <row r="3049" spans="1:5" x14ac:dyDescent="0.3">
      <c r="A3049" t="s">
        <v>3174</v>
      </c>
      <c r="B3049" t="s">
        <v>127</v>
      </c>
      <c r="C3049">
        <v>187</v>
      </c>
      <c r="D3049">
        <f t="shared" si="114"/>
        <v>2010</v>
      </c>
      <c r="E3049">
        <f t="shared" si="115"/>
        <v>1</v>
      </c>
    </row>
    <row r="3050" spans="1:5" x14ac:dyDescent="0.3">
      <c r="A3050" t="s">
        <v>3175</v>
      </c>
      <c r="B3050" t="s">
        <v>127</v>
      </c>
      <c r="C3050">
        <v>194</v>
      </c>
      <c r="D3050">
        <f t="shared" si="114"/>
        <v>2010</v>
      </c>
      <c r="E3050">
        <f t="shared" si="115"/>
        <v>1</v>
      </c>
    </row>
    <row r="3051" spans="1:5" x14ac:dyDescent="0.3">
      <c r="A3051" t="s">
        <v>3176</v>
      </c>
      <c r="B3051" t="s">
        <v>127</v>
      </c>
      <c r="C3051">
        <v>198</v>
      </c>
      <c r="D3051">
        <f t="shared" si="114"/>
        <v>2010</v>
      </c>
      <c r="E3051">
        <f t="shared" si="115"/>
        <v>1</v>
      </c>
    </row>
    <row r="3052" spans="1:5" x14ac:dyDescent="0.3">
      <c r="A3052" t="s">
        <v>3177</v>
      </c>
      <c r="B3052" t="s">
        <v>127</v>
      </c>
      <c r="C3052">
        <v>201</v>
      </c>
      <c r="D3052">
        <f t="shared" si="114"/>
        <v>2010</v>
      </c>
      <c r="E3052">
        <f t="shared" si="115"/>
        <v>1</v>
      </c>
    </row>
    <row r="3053" spans="1:5" x14ac:dyDescent="0.3">
      <c r="A3053" t="s">
        <v>3178</v>
      </c>
      <c r="B3053" t="s">
        <v>127</v>
      </c>
      <c r="C3053">
        <v>206</v>
      </c>
      <c r="D3053">
        <f t="shared" si="114"/>
        <v>2010</v>
      </c>
      <c r="E3053">
        <f t="shared" si="115"/>
        <v>1</v>
      </c>
    </row>
    <row r="3054" spans="1:5" x14ac:dyDescent="0.3">
      <c r="A3054" t="s">
        <v>3179</v>
      </c>
      <c r="B3054" t="s">
        <v>127</v>
      </c>
      <c r="C3054">
        <v>206</v>
      </c>
      <c r="D3054">
        <f t="shared" si="114"/>
        <v>2010</v>
      </c>
      <c r="E3054">
        <f t="shared" si="115"/>
        <v>1</v>
      </c>
    </row>
    <row r="3055" spans="1:5" x14ac:dyDescent="0.3">
      <c r="A3055" t="s">
        <v>3180</v>
      </c>
      <c r="B3055" t="s">
        <v>127</v>
      </c>
      <c r="C3055">
        <v>198</v>
      </c>
      <c r="D3055">
        <f t="shared" si="114"/>
        <v>2010</v>
      </c>
      <c r="E3055">
        <f t="shared" si="115"/>
        <v>1</v>
      </c>
    </row>
    <row r="3056" spans="1:5" x14ac:dyDescent="0.3">
      <c r="A3056" t="s">
        <v>3181</v>
      </c>
      <c r="B3056" t="s">
        <v>127</v>
      </c>
      <c r="C3056">
        <v>201</v>
      </c>
      <c r="D3056">
        <f t="shared" si="114"/>
        <v>2010</v>
      </c>
      <c r="E3056">
        <f t="shared" si="115"/>
        <v>1</v>
      </c>
    </row>
    <row r="3057" spans="1:5" x14ac:dyDescent="0.3">
      <c r="A3057" t="s">
        <v>3182</v>
      </c>
      <c r="B3057" t="s">
        <v>127</v>
      </c>
      <c r="C3057">
        <v>202</v>
      </c>
      <c r="D3057">
        <f t="shared" si="114"/>
        <v>2010</v>
      </c>
      <c r="E3057">
        <f t="shared" si="115"/>
        <v>1</v>
      </c>
    </row>
    <row r="3058" spans="1:5" x14ac:dyDescent="0.3">
      <c r="A3058" t="s">
        <v>3183</v>
      </c>
      <c r="B3058" t="s">
        <v>127</v>
      </c>
      <c r="C3058">
        <v>214</v>
      </c>
      <c r="D3058">
        <f t="shared" si="114"/>
        <v>2010</v>
      </c>
      <c r="E3058">
        <f t="shared" si="115"/>
        <v>1</v>
      </c>
    </row>
    <row r="3059" spans="1:5" x14ac:dyDescent="0.3">
      <c r="A3059" t="s">
        <v>3184</v>
      </c>
      <c r="B3059" t="s">
        <v>127</v>
      </c>
      <c r="C3059">
        <v>214</v>
      </c>
      <c r="D3059">
        <f t="shared" si="114"/>
        <v>2010</v>
      </c>
      <c r="E3059">
        <f t="shared" si="115"/>
        <v>1</v>
      </c>
    </row>
    <row r="3060" spans="1:5" x14ac:dyDescent="0.3">
      <c r="A3060" t="s">
        <v>3185</v>
      </c>
      <c r="B3060" t="s">
        <v>127</v>
      </c>
      <c r="C3060">
        <v>209</v>
      </c>
      <c r="D3060">
        <f t="shared" si="114"/>
        <v>2010</v>
      </c>
      <c r="E3060">
        <f t="shared" si="115"/>
        <v>2</v>
      </c>
    </row>
    <row r="3061" spans="1:5" x14ac:dyDescent="0.3">
      <c r="A3061" t="s">
        <v>3186</v>
      </c>
      <c r="B3061" t="s">
        <v>127</v>
      </c>
      <c r="C3061">
        <v>207</v>
      </c>
      <c r="D3061">
        <f t="shared" si="114"/>
        <v>2010</v>
      </c>
      <c r="E3061">
        <f t="shared" si="115"/>
        <v>2</v>
      </c>
    </row>
    <row r="3062" spans="1:5" x14ac:dyDescent="0.3">
      <c r="A3062" t="s">
        <v>3187</v>
      </c>
      <c r="B3062" t="s">
        <v>127</v>
      </c>
      <c r="C3062">
        <v>204</v>
      </c>
      <c r="D3062">
        <f t="shared" si="114"/>
        <v>2010</v>
      </c>
      <c r="E3062">
        <f t="shared" si="115"/>
        <v>2</v>
      </c>
    </row>
    <row r="3063" spans="1:5" x14ac:dyDescent="0.3">
      <c r="A3063" t="s">
        <v>3188</v>
      </c>
      <c r="B3063" t="s">
        <v>127</v>
      </c>
      <c r="C3063">
        <v>217</v>
      </c>
      <c r="D3063">
        <f t="shared" si="114"/>
        <v>2010</v>
      </c>
      <c r="E3063">
        <f t="shared" si="115"/>
        <v>2</v>
      </c>
    </row>
    <row r="3064" spans="1:5" x14ac:dyDescent="0.3">
      <c r="A3064" t="s">
        <v>3189</v>
      </c>
      <c r="B3064" t="s">
        <v>127</v>
      </c>
      <c r="C3064">
        <v>223</v>
      </c>
      <c r="D3064">
        <f t="shared" si="114"/>
        <v>2010</v>
      </c>
      <c r="E3064">
        <f t="shared" si="115"/>
        <v>2</v>
      </c>
    </row>
    <row r="3065" spans="1:5" x14ac:dyDescent="0.3">
      <c r="A3065" t="s">
        <v>3190</v>
      </c>
      <c r="B3065" t="s">
        <v>127</v>
      </c>
      <c r="C3065">
        <v>216</v>
      </c>
      <c r="D3065">
        <f t="shared" si="114"/>
        <v>2010</v>
      </c>
      <c r="E3065">
        <f t="shared" si="115"/>
        <v>2</v>
      </c>
    </row>
    <row r="3066" spans="1:5" x14ac:dyDescent="0.3">
      <c r="A3066" t="s">
        <v>3191</v>
      </c>
      <c r="B3066" t="s">
        <v>127</v>
      </c>
      <c r="C3066">
        <v>212</v>
      </c>
      <c r="D3066">
        <f t="shared" si="114"/>
        <v>2010</v>
      </c>
      <c r="E3066">
        <f t="shared" si="115"/>
        <v>2</v>
      </c>
    </row>
    <row r="3067" spans="1:5" x14ac:dyDescent="0.3">
      <c r="A3067" t="s">
        <v>3192</v>
      </c>
      <c r="B3067" t="s">
        <v>127</v>
      </c>
      <c r="C3067">
        <v>202</v>
      </c>
      <c r="D3067">
        <f t="shared" si="114"/>
        <v>2010</v>
      </c>
      <c r="E3067">
        <f t="shared" si="115"/>
        <v>2</v>
      </c>
    </row>
    <row r="3068" spans="1:5" x14ac:dyDescent="0.3">
      <c r="A3068" t="s">
        <v>3193</v>
      </c>
      <c r="B3068" t="s">
        <v>127</v>
      </c>
      <c r="C3068">
        <v>195</v>
      </c>
      <c r="D3068">
        <f t="shared" si="114"/>
        <v>2010</v>
      </c>
      <c r="E3068">
        <f t="shared" si="115"/>
        <v>2</v>
      </c>
    </row>
    <row r="3069" spans="1:5" x14ac:dyDescent="0.3">
      <c r="A3069" t="s">
        <v>3194</v>
      </c>
      <c r="B3069" t="s">
        <v>127</v>
      </c>
      <c r="C3069">
        <v>204</v>
      </c>
      <c r="D3069">
        <f t="shared" si="114"/>
        <v>2010</v>
      </c>
      <c r="E3069">
        <f t="shared" si="115"/>
        <v>2</v>
      </c>
    </row>
    <row r="3070" spans="1:5" x14ac:dyDescent="0.3">
      <c r="A3070" t="s">
        <v>3195</v>
      </c>
      <c r="B3070" t="s">
        <v>127</v>
      </c>
      <c r="C3070">
        <v>205</v>
      </c>
      <c r="D3070">
        <f t="shared" si="114"/>
        <v>2010</v>
      </c>
      <c r="E3070">
        <f t="shared" si="115"/>
        <v>2</v>
      </c>
    </row>
    <row r="3071" spans="1:5" x14ac:dyDescent="0.3">
      <c r="A3071" t="s">
        <v>3196</v>
      </c>
      <c r="B3071" t="s">
        <v>127</v>
      </c>
      <c r="C3071">
        <v>198</v>
      </c>
      <c r="D3071">
        <f t="shared" si="114"/>
        <v>2010</v>
      </c>
      <c r="E3071">
        <f t="shared" si="115"/>
        <v>2</v>
      </c>
    </row>
    <row r="3072" spans="1:5" x14ac:dyDescent="0.3">
      <c r="A3072" t="s">
        <v>3197</v>
      </c>
      <c r="B3072" t="s">
        <v>127</v>
      </c>
      <c r="C3072">
        <v>195</v>
      </c>
      <c r="D3072">
        <f t="shared" si="114"/>
        <v>2010</v>
      </c>
      <c r="E3072">
        <f t="shared" si="115"/>
        <v>2</v>
      </c>
    </row>
    <row r="3073" spans="1:5" x14ac:dyDescent="0.3">
      <c r="A3073" t="s">
        <v>3198</v>
      </c>
      <c r="B3073" t="s">
        <v>127</v>
      </c>
      <c r="C3073">
        <v>194</v>
      </c>
      <c r="D3073">
        <f t="shared" si="114"/>
        <v>2010</v>
      </c>
      <c r="E3073">
        <f t="shared" si="115"/>
        <v>2</v>
      </c>
    </row>
    <row r="3074" spans="1:5" x14ac:dyDescent="0.3">
      <c r="A3074" t="s">
        <v>3199</v>
      </c>
      <c r="B3074" t="s">
        <v>127</v>
      </c>
      <c r="C3074">
        <v>195</v>
      </c>
      <c r="D3074">
        <f t="shared" si="114"/>
        <v>2010</v>
      </c>
      <c r="E3074">
        <f t="shared" si="115"/>
        <v>2</v>
      </c>
    </row>
    <row r="3075" spans="1:5" x14ac:dyDescent="0.3">
      <c r="A3075" t="s">
        <v>3200</v>
      </c>
      <c r="B3075" t="s">
        <v>127</v>
      </c>
      <c r="C3075">
        <v>204</v>
      </c>
      <c r="D3075">
        <f t="shared" ref="D3075:D3138" si="116">YEAR(A3075)</f>
        <v>2010</v>
      </c>
      <c r="E3075">
        <f t="shared" ref="E3075:E3138" si="117">MONTH(A3075)</f>
        <v>2</v>
      </c>
    </row>
    <row r="3076" spans="1:5" x14ac:dyDescent="0.3">
      <c r="A3076" t="s">
        <v>3201</v>
      </c>
      <c r="B3076" t="s">
        <v>127</v>
      </c>
      <c r="C3076">
        <v>201</v>
      </c>
      <c r="D3076">
        <f t="shared" si="116"/>
        <v>2010</v>
      </c>
      <c r="E3076">
        <f t="shared" si="117"/>
        <v>2</v>
      </c>
    </row>
    <row r="3077" spans="1:5" x14ac:dyDescent="0.3">
      <c r="A3077" t="s">
        <v>3202</v>
      </c>
      <c r="B3077" t="s">
        <v>127</v>
      </c>
      <c r="C3077">
        <v>198</v>
      </c>
      <c r="D3077">
        <f t="shared" si="116"/>
        <v>2010</v>
      </c>
      <c r="E3077">
        <f t="shared" si="117"/>
        <v>2</v>
      </c>
    </row>
    <row r="3078" spans="1:5" x14ac:dyDescent="0.3">
      <c r="A3078" t="s">
        <v>3203</v>
      </c>
      <c r="B3078" t="s">
        <v>127</v>
      </c>
      <c r="C3078">
        <v>196</v>
      </c>
      <c r="D3078">
        <f t="shared" si="116"/>
        <v>2010</v>
      </c>
      <c r="E3078">
        <f t="shared" si="117"/>
        <v>2</v>
      </c>
    </row>
    <row r="3079" spans="1:5" x14ac:dyDescent="0.3">
      <c r="A3079" t="s">
        <v>3204</v>
      </c>
      <c r="B3079" t="s">
        <v>127</v>
      </c>
      <c r="C3079">
        <v>188</v>
      </c>
      <c r="D3079">
        <f t="shared" si="116"/>
        <v>2010</v>
      </c>
      <c r="E3079">
        <f t="shared" si="117"/>
        <v>3</v>
      </c>
    </row>
    <row r="3080" spans="1:5" x14ac:dyDescent="0.3">
      <c r="A3080" t="s">
        <v>3205</v>
      </c>
      <c r="B3080" t="s">
        <v>127</v>
      </c>
      <c r="C3080">
        <v>187</v>
      </c>
      <c r="D3080">
        <f t="shared" si="116"/>
        <v>2010</v>
      </c>
      <c r="E3080">
        <f t="shared" si="117"/>
        <v>3</v>
      </c>
    </row>
    <row r="3081" spans="1:5" x14ac:dyDescent="0.3">
      <c r="A3081" t="s">
        <v>3206</v>
      </c>
      <c r="B3081" t="s">
        <v>127</v>
      </c>
      <c r="C3081">
        <v>189</v>
      </c>
      <c r="D3081">
        <f t="shared" si="116"/>
        <v>2010</v>
      </c>
      <c r="E3081">
        <f t="shared" si="117"/>
        <v>3</v>
      </c>
    </row>
    <row r="3082" spans="1:5" x14ac:dyDescent="0.3">
      <c r="A3082" t="s">
        <v>3207</v>
      </c>
      <c r="B3082" t="s">
        <v>127</v>
      </c>
      <c r="C3082">
        <v>191</v>
      </c>
      <c r="D3082">
        <f t="shared" si="116"/>
        <v>2010</v>
      </c>
      <c r="E3082">
        <f t="shared" si="117"/>
        <v>3</v>
      </c>
    </row>
    <row r="3083" spans="1:5" x14ac:dyDescent="0.3">
      <c r="A3083" t="s">
        <v>3208</v>
      </c>
      <c r="B3083" t="s">
        <v>127</v>
      </c>
      <c r="C3083">
        <v>179</v>
      </c>
      <c r="D3083">
        <f t="shared" si="116"/>
        <v>2010</v>
      </c>
      <c r="E3083">
        <f t="shared" si="117"/>
        <v>3</v>
      </c>
    </row>
    <row r="3084" spans="1:5" x14ac:dyDescent="0.3">
      <c r="A3084" t="s">
        <v>3209</v>
      </c>
      <c r="B3084" t="s">
        <v>127</v>
      </c>
      <c r="C3084">
        <v>172</v>
      </c>
      <c r="D3084">
        <f t="shared" si="116"/>
        <v>2010</v>
      </c>
      <c r="E3084">
        <f t="shared" si="117"/>
        <v>3</v>
      </c>
    </row>
    <row r="3085" spans="1:5" x14ac:dyDescent="0.3">
      <c r="A3085" t="s">
        <v>3210</v>
      </c>
      <c r="B3085" t="s">
        <v>127</v>
      </c>
      <c r="C3085">
        <v>166</v>
      </c>
      <c r="D3085">
        <f t="shared" si="116"/>
        <v>2010</v>
      </c>
      <c r="E3085">
        <f t="shared" si="117"/>
        <v>3</v>
      </c>
    </row>
    <row r="3086" spans="1:5" x14ac:dyDescent="0.3">
      <c r="A3086" t="s">
        <v>3211</v>
      </c>
      <c r="B3086" t="s">
        <v>127</v>
      </c>
      <c r="C3086">
        <v>163</v>
      </c>
      <c r="D3086">
        <f t="shared" si="116"/>
        <v>2010</v>
      </c>
      <c r="E3086">
        <f t="shared" si="117"/>
        <v>3</v>
      </c>
    </row>
    <row r="3087" spans="1:5" x14ac:dyDescent="0.3">
      <c r="A3087" t="s">
        <v>3212</v>
      </c>
      <c r="B3087" t="s">
        <v>127</v>
      </c>
      <c r="C3087">
        <v>162</v>
      </c>
      <c r="D3087">
        <f t="shared" si="116"/>
        <v>2010</v>
      </c>
      <c r="E3087">
        <f t="shared" si="117"/>
        <v>3</v>
      </c>
    </row>
    <row r="3088" spans="1:5" x14ac:dyDescent="0.3">
      <c r="A3088" t="s">
        <v>3213</v>
      </c>
      <c r="B3088" t="s">
        <v>127</v>
      </c>
      <c r="C3088">
        <v>167</v>
      </c>
      <c r="D3088">
        <f t="shared" si="116"/>
        <v>2010</v>
      </c>
      <c r="E3088">
        <f t="shared" si="117"/>
        <v>3</v>
      </c>
    </row>
    <row r="3089" spans="1:5" x14ac:dyDescent="0.3">
      <c r="A3089" t="s">
        <v>3214</v>
      </c>
      <c r="B3089" t="s">
        <v>127</v>
      </c>
      <c r="C3089">
        <v>168</v>
      </c>
      <c r="D3089">
        <f t="shared" si="116"/>
        <v>2010</v>
      </c>
      <c r="E3089">
        <f t="shared" si="117"/>
        <v>3</v>
      </c>
    </row>
    <row r="3090" spans="1:5" x14ac:dyDescent="0.3">
      <c r="A3090" t="s">
        <v>3215</v>
      </c>
      <c r="B3090" t="s">
        <v>127</v>
      </c>
      <c r="C3090">
        <v>170</v>
      </c>
      <c r="D3090">
        <f t="shared" si="116"/>
        <v>2010</v>
      </c>
      <c r="E3090">
        <f t="shared" si="117"/>
        <v>3</v>
      </c>
    </row>
    <row r="3091" spans="1:5" x14ac:dyDescent="0.3">
      <c r="A3091" t="s">
        <v>3216</v>
      </c>
      <c r="B3091" t="s">
        <v>127</v>
      </c>
      <c r="C3091">
        <v>170</v>
      </c>
      <c r="D3091">
        <f t="shared" si="116"/>
        <v>2010</v>
      </c>
      <c r="E3091">
        <f t="shared" si="117"/>
        <v>3</v>
      </c>
    </row>
    <row r="3092" spans="1:5" x14ac:dyDescent="0.3">
      <c r="A3092" t="s">
        <v>3217</v>
      </c>
      <c r="B3092" t="s">
        <v>127</v>
      </c>
      <c r="C3092">
        <v>171</v>
      </c>
      <c r="D3092">
        <f t="shared" si="116"/>
        <v>2010</v>
      </c>
      <c r="E3092">
        <f t="shared" si="117"/>
        <v>3</v>
      </c>
    </row>
    <row r="3093" spans="1:5" x14ac:dyDescent="0.3">
      <c r="A3093" t="s">
        <v>3218</v>
      </c>
      <c r="B3093" t="s">
        <v>127</v>
      </c>
      <c r="C3093">
        <v>171</v>
      </c>
      <c r="D3093">
        <f t="shared" si="116"/>
        <v>2010</v>
      </c>
      <c r="E3093">
        <f t="shared" si="117"/>
        <v>3</v>
      </c>
    </row>
    <row r="3094" spans="1:5" x14ac:dyDescent="0.3">
      <c r="A3094" t="s">
        <v>3219</v>
      </c>
      <c r="B3094" t="s">
        <v>127</v>
      </c>
      <c r="C3094">
        <v>170</v>
      </c>
      <c r="D3094">
        <f t="shared" si="116"/>
        <v>2010</v>
      </c>
      <c r="E3094">
        <f t="shared" si="117"/>
        <v>3</v>
      </c>
    </row>
    <row r="3095" spans="1:5" x14ac:dyDescent="0.3">
      <c r="A3095" t="s">
        <v>3220</v>
      </c>
      <c r="B3095" t="s">
        <v>127</v>
      </c>
      <c r="C3095">
        <v>165</v>
      </c>
      <c r="D3095">
        <f t="shared" si="116"/>
        <v>2010</v>
      </c>
      <c r="E3095">
        <f t="shared" si="117"/>
        <v>3</v>
      </c>
    </row>
    <row r="3096" spans="1:5" x14ac:dyDescent="0.3">
      <c r="A3096" t="s">
        <v>3221</v>
      </c>
      <c r="B3096" t="s">
        <v>127</v>
      </c>
      <c r="C3096">
        <v>153</v>
      </c>
      <c r="D3096">
        <f t="shared" si="116"/>
        <v>2010</v>
      </c>
      <c r="E3096">
        <f t="shared" si="117"/>
        <v>3</v>
      </c>
    </row>
    <row r="3097" spans="1:5" x14ac:dyDescent="0.3">
      <c r="A3097" t="s">
        <v>3222</v>
      </c>
      <c r="B3097" t="s">
        <v>127</v>
      </c>
      <c r="C3097">
        <v>151</v>
      </c>
      <c r="D3097">
        <f t="shared" si="116"/>
        <v>2010</v>
      </c>
      <c r="E3097">
        <f t="shared" si="117"/>
        <v>3</v>
      </c>
    </row>
    <row r="3098" spans="1:5" x14ac:dyDescent="0.3">
      <c r="A3098" t="s">
        <v>3223</v>
      </c>
      <c r="B3098" t="s">
        <v>127</v>
      </c>
      <c r="C3098">
        <v>157</v>
      </c>
      <c r="D3098">
        <f t="shared" si="116"/>
        <v>2010</v>
      </c>
      <c r="E3098">
        <f t="shared" si="117"/>
        <v>3</v>
      </c>
    </row>
    <row r="3099" spans="1:5" x14ac:dyDescent="0.3">
      <c r="A3099" t="s">
        <v>3224</v>
      </c>
      <c r="B3099" t="s">
        <v>127</v>
      </c>
      <c r="C3099">
        <v>156</v>
      </c>
      <c r="D3099">
        <f t="shared" si="116"/>
        <v>2010</v>
      </c>
      <c r="E3099">
        <f t="shared" si="117"/>
        <v>3</v>
      </c>
    </row>
    <row r="3100" spans="1:5" x14ac:dyDescent="0.3">
      <c r="A3100" t="s">
        <v>3225</v>
      </c>
      <c r="B3100" t="s">
        <v>127</v>
      </c>
      <c r="C3100">
        <v>156</v>
      </c>
      <c r="D3100">
        <f t="shared" si="116"/>
        <v>2010</v>
      </c>
      <c r="E3100">
        <f t="shared" si="117"/>
        <v>3</v>
      </c>
    </row>
    <row r="3101" spans="1:5" x14ac:dyDescent="0.3">
      <c r="A3101" t="s">
        <v>3226</v>
      </c>
      <c r="B3101" t="s">
        <v>127</v>
      </c>
      <c r="C3101">
        <v>159</v>
      </c>
      <c r="D3101">
        <f t="shared" si="116"/>
        <v>2010</v>
      </c>
      <c r="E3101">
        <f t="shared" si="117"/>
        <v>3</v>
      </c>
    </row>
    <row r="3102" spans="1:5" x14ac:dyDescent="0.3">
      <c r="A3102" t="s">
        <v>3227</v>
      </c>
      <c r="B3102" t="s">
        <v>127</v>
      </c>
      <c r="C3102">
        <v>157</v>
      </c>
      <c r="D3102">
        <f t="shared" si="116"/>
        <v>2010</v>
      </c>
      <c r="E3102">
        <f t="shared" si="117"/>
        <v>4</v>
      </c>
    </row>
    <row r="3103" spans="1:5" x14ac:dyDescent="0.3">
      <c r="A3103" t="s">
        <v>3228</v>
      </c>
      <c r="B3103" t="s">
        <v>127</v>
      </c>
      <c r="C3103">
        <v>145</v>
      </c>
      <c r="D3103">
        <f t="shared" si="116"/>
        <v>2010</v>
      </c>
      <c r="E3103">
        <f t="shared" si="117"/>
        <v>4</v>
      </c>
    </row>
    <row r="3104" spans="1:5" x14ac:dyDescent="0.3">
      <c r="A3104" t="s">
        <v>3229</v>
      </c>
      <c r="B3104" t="s">
        <v>127</v>
      </c>
      <c r="C3104">
        <v>152</v>
      </c>
      <c r="D3104">
        <f t="shared" si="116"/>
        <v>2010</v>
      </c>
      <c r="E3104">
        <f t="shared" si="117"/>
        <v>4</v>
      </c>
    </row>
    <row r="3105" spans="1:5" x14ac:dyDescent="0.3">
      <c r="A3105" t="s">
        <v>3230</v>
      </c>
      <c r="B3105" t="s">
        <v>127</v>
      </c>
      <c r="C3105">
        <v>161</v>
      </c>
      <c r="D3105">
        <f t="shared" si="116"/>
        <v>2010</v>
      </c>
      <c r="E3105">
        <f t="shared" si="117"/>
        <v>4</v>
      </c>
    </row>
    <row r="3106" spans="1:5" x14ac:dyDescent="0.3">
      <c r="A3106" t="s">
        <v>3231</v>
      </c>
      <c r="B3106" t="s">
        <v>127</v>
      </c>
      <c r="C3106">
        <v>160</v>
      </c>
      <c r="D3106">
        <f t="shared" si="116"/>
        <v>2010</v>
      </c>
      <c r="E3106">
        <f t="shared" si="117"/>
        <v>4</v>
      </c>
    </row>
    <row r="3107" spans="1:5" x14ac:dyDescent="0.3">
      <c r="A3107" t="s">
        <v>3232</v>
      </c>
      <c r="B3107" t="s">
        <v>127</v>
      </c>
      <c r="C3107">
        <v>156</v>
      </c>
      <c r="D3107">
        <f t="shared" si="116"/>
        <v>2010</v>
      </c>
      <c r="E3107">
        <f t="shared" si="117"/>
        <v>4</v>
      </c>
    </row>
    <row r="3108" spans="1:5" x14ac:dyDescent="0.3">
      <c r="A3108" t="s">
        <v>3233</v>
      </c>
      <c r="B3108" t="s">
        <v>127</v>
      </c>
      <c r="C3108">
        <v>161</v>
      </c>
      <c r="D3108">
        <f t="shared" si="116"/>
        <v>2010</v>
      </c>
      <c r="E3108">
        <f t="shared" si="117"/>
        <v>4</v>
      </c>
    </row>
    <row r="3109" spans="1:5" x14ac:dyDescent="0.3">
      <c r="A3109" t="s">
        <v>3234</v>
      </c>
      <c r="B3109" t="s">
        <v>127</v>
      </c>
      <c r="C3109">
        <v>162</v>
      </c>
      <c r="D3109">
        <f t="shared" si="116"/>
        <v>2010</v>
      </c>
      <c r="E3109">
        <f t="shared" si="117"/>
        <v>4</v>
      </c>
    </row>
    <row r="3110" spans="1:5" x14ac:dyDescent="0.3">
      <c r="A3110" t="s">
        <v>3235</v>
      </c>
      <c r="B3110" t="s">
        <v>127</v>
      </c>
      <c r="C3110">
        <v>157</v>
      </c>
      <c r="D3110">
        <f t="shared" si="116"/>
        <v>2010</v>
      </c>
      <c r="E3110">
        <f t="shared" si="117"/>
        <v>4</v>
      </c>
    </row>
    <row r="3111" spans="1:5" x14ac:dyDescent="0.3">
      <c r="A3111" t="s">
        <v>3236</v>
      </c>
      <c r="B3111" t="s">
        <v>127</v>
      </c>
      <c r="C3111">
        <v>148</v>
      </c>
      <c r="D3111">
        <f t="shared" si="116"/>
        <v>2010</v>
      </c>
      <c r="E3111">
        <f t="shared" si="117"/>
        <v>4</v>
      </c>
    </row>
    <row r="3112" spans="1:5" x14ac:dyDescent="0.3">
      <c r="A3112" t="s">
        <v>3237</v>
      </c>
      <c r="B3112" t="s">
        <v>127</v>
      </c>
      <c r="C3112">
        <v>160</v>
      </c>
      <c r="D3112">
        <f t="shared" si="116"/>
        <v>2010</v>
      </c>
      <c r="E3112">
        <f t="shared" si="117"/>
        <v>4</v>
      </c>
    </row>
    <row r="3113" spans="1:5" x14ac:dyDescent="0.3">
      <c r="A3113" t="s">
        <v>3238</v>
      </c>
      <c r="B3113" t="s">
        <v>127</v>
      </c>
      <c r="C3113">
        <v>157</v>
      </c>
      <c r="D3113">
        <f t="shared" si="116"/>
        <v>2010</v>
      </c>
      <c r="E3113">
        <f t="shared" si="117"/>
        <v>4</v>
      </c>
    </row>
    <row r="3114" spans="1:5" x14ac:dyDescent="0.3">
      <c r="A3114" t="s">
        <v>3239</v>
      </c>
      <c r="B3114" t="s">
        <v>127</v>
      </c>
      <c r="C3114">
        <v>158</v>
      </c>
      <c r="D3114">
        <f t="shared" si="116"/>
        <v>2010</v>
      </c>
      <c r="E3114">
        <f t="shared" si="117"/>
        <v>4</v>
      </c>
    </row>
    <row r="3115" spans="1:5" x14ac:dyDescent="0.3">
      <c r="A3115" t="s">
        <v>3240</v>
      </c>
      <c r="B3115" t="s">
        <v>127</v>
      </c>
      <c r="C3115">
        <v>162</v>
      </c>
      <c r="D3115">
        <f t="shared" si="116"/>
        <v>2010</v>
      </c>
      <c r="E3115">
        <f t="shared" si="117"/>
        <v>4</v>
      </c>
    </row>
    <row r="3116" spans="1:5" x14ac:dyDescent="0.3">
      <c r="A3116" t="s">
        <v>3241</v>
      </c>
      <c r="B3116" t="s">
        <v>127</v>
      </c>
      <c r="C3116">
        <v>163</v>
      </c>
      <c r="D3116">
        <f t="shared" si="116"/>
        <v>2010</v>
      </c>
      <c r="E3116">
        <f t="shared" si="117"/>
        <v>4</v>
      </c>
    </row>
    <row r="3117" spans="1:5" x14ac:dyDescent="0.3">
      <c r="A3117" t="s">
        <v>3242</v>
      </c>
      <c r="B3117" t="s">
        <v>127</v>
      </c>
      <c r="C3117">
        <v>161</v>
      </c>
      <c r="D3117">
        <f t="shared" si="116"/>
        <v>2010</v>
      </c>
      <c r="E3117">
        <f t="shared" si="117"/>
        <v>4</v>
      </c>
    </row>
    <row r="3118" spans="1:5" x14ac:dyDescent="0.3">
      <c r="A3118" t="s">
        <v>3243</v>
      </c>
      <c r="B3118" t="s">
        <v>127</v>
      </c>
      <c r="C3118">
        <v>162</v>
      </c>
      <c r="D3118">
        <f t="shared" si="116"/>
        <v>2010</v>
      </c>
      <c r="E3118">
        <f t="shared" si="117"/>
        <v>4</v>
      </c>
    </row>
    <row r="3119" spans="1:5" x14ac:dyDescent="0.3">
      <c r="A3119" t="s">
        <v>3244</v>
      </c>
      <c r="B3119" t="s">
        <v>127</v>
      </c>
      <c r="C3119">
        <v>177</v>
      </c>
      <c r="D3119">
        <f t="shared" si="116"/>
        <v>2010</v>
      </c>
      <c r="E3119">
        <f t="shared" si="117"/>
        <v>4</v>
      </c>
    </row>
    <row r="3120" spans="1:5" x14ac:dyDescent="0.3">
      <c r="A3120" t="s">
        <v>3245</v>
      </c>
      <c r="B3120" t="s">
        <v>127</v>
      </c>
      <c r="C3120">
        <v>172</v>
      </c>
      <c r="D3120">
        <f t="shared" si="116"/>
        <v>2010</v>
      </c>
      <c r="E3120">
        <f t="shared" si="117"/>
        <v>4</v>
      </c>
    </row>
    <row r="3121" spans="1:5" x14ac:dyDescent="0.3">
      <c r="A3121" t="s">
        <v>3246</v>
      </c>
      <c r="B3121" t="s">
        <v>127</v>
      </c>
      <c r="C3121">
        <v>174</v>
      </c>
      <c r="D3121">
        <f t="shared" si="116"/>
        <v>2010</v>
      </c>
      <c r="E3121">
        <f t="shared" si="117"/>
        <v>4</v>
      </c>
    </row>
    <row r="3122" spans="1:5" x14ac:dyDescent="0.3">
      <c r="A3122" t="s">
        <v>3247</v>
      </c>
      <c r="B3122" t="s">
        <v>127</v>
      </c>
      <c r="C3122">
        <v>181</v>
      </c>
      <c r="D3122">
        <f t="shared" si="116"/>
        <v>2010</v>
      </c>
      <c r="E3122">
        <f t="shared" si="117"/>
        <v>4</v>
      </c>
    </row>
    <row r="3123" spans="1:5" x14ac:dyDescent="0.3">
      <c r="A3123" t="s">
        <v>3248</v>
      </c>
      <c r="B3123" t="s">
        <v>127</v>
      </c>
      <c r="C3123">
        <v>176</v>
      </c>
      <c r="D3123">
        <f t="shared" si="116"/>
        <v>2010</v>
      </c>
      <c r="E3123">
        <f t="shared" si="117"/>
        <v>5</v>
      </c>
    </row>
    <row r="3124" spans="1:5" x14ac:dyDescent="0.3">
      <c r="A3124" t="s">
        <v>3249</v>
      </c>
      <c r="B3124" t="s">
        <v>127</v>
      </c>
      <c r="C3124">
        <v>193</v>
      </c>
      <c r="D3124">
        <f t="shared" si="116"/>
        <v>2010</v>
      </c>
      <c r="E3124">
        <f t="shared" si="117"/>
        <v>5</v>
      </c>
    </row>
    <row r="3125" spans="1:5" x14ac:dyDescent="0.3">
      <c r="A3125" t="s">
        <v>3250</v>
      </c>
      <c r="B3125" t="s">
        <v>127</v>
      </c>
      <c r="C3125">
        <v>204</v>
      </c>
      <c r="D3125">
        <f t="shared" si="116"/>
        <v>2010</v>
      </c>
      <c r="E3125">
        <f t="shared" si="117"/>
        <v>5</v>
      </c>
    </row>
    <row r="3126" spans="1:5" x14ac:dyDescent="0.3">
      <c r="A3126" t="s">
        <v>3251</v>
      </c>
      <c r="B3126" t="s">
        <v>127</v>
      </c>
      <c r="C3126">
        <v>239</v>
      </c>
      <c r="D3126">
        <f t="shared" si="116"/>
        <v>2010</v>
      </c>
      <c r="E3126">
        <f t="shared" si="117"/>
        <v>5</v>
      </c>
    </row>
    <row r="3127" spans="1:5" x14ac:dyDescent="0.3">
      <c r="A3127" t="s">
        <v>3252</v>
      </c>
      <c r="B3127" t="s">
        <v>127</v>
      </c>
      <c r="C3127">
        <v>234</v>
      </c>
      <c r="D3127">
        <f t="shared" si="116"/>
        <v>2010</v>
      </c>
      <c r="E3127">
        <f t="shared" si="117"/>
        <v>5</v>
      </c>
    </row>
    <row r="3128" spans="1:5" x14ac:dyDescent="0.3">
      <c r="A3128" t="s">
        <v>3253</v>
      </c>
      <c r="B3128" t="s">
        <v>127</v>
      </c>
      <c r="C3128">
        <v>207</v>
      </c>
      <c r="D3128">
        <f t="shared" si="116"/>
        <v>2010</v>
      </c>
      <c r="E3128">
        <f t="shared" si="117"/>
        <v>5</v>
      </c>
    </row>
    <row r="3129" spans="1:5" x14ac:dyDescent="0.3">
      <c r="A3129" t="s">
        <v>3254</v>
      </c>
      <c r="B3129" t="s">
        <v>127</v>
      </c>
      <c r="C3129">
        <v>201</v>
      </c>
      <c r="D3129">
        <f t="shared" si="116"/>
        <v>2010</v>
      </c>
      <c r="E3129">
        <f t="shared" si="117"/>
        <v>5</v>
      </c>
    </row>
    <row r="3130" spans="1:5" x14ac:dyDescent="0.3">
      <c r="A3130" t="s">
        <v>3255</v>
      </c>
      <c r="B3130" t="s">
        <v>127</v>
      </c>
      <c r="C3130">
        <v>187</v>
      </c>
      <c r="D3130">
        <f t="shared" si="116"/>
        <v>2010</v>
      </c>
      <c r="E3130">
        <f t="shared" si="117"/>
        <v>5</v>
      </c>
    </row>
    <row r="3131" spans="1:5" x14ac:dyDescent="0.3">
      <c r="A3131" t="s">
        <v>3256</v>
      </c>
      <c r="B3131" t="s">
        <v>127</v>
      </c>
      <c r="C3131">
        <v>183</v>
      </c>
      <c r="D3131">
        <f t="shared" si="116"/>
        <v>2010</v>
      </c>
      <c r="E3131">
        <f t="shared" si="117"/>
        <v>5</v>
      </c>
    </row>
    <row r="3132" spans="1:5" x14ac:dyDescent="0.3">
      <c r="A3132" t="s">
        <v>3257</v>
      </c>
      <c r="B3132" t="s">
        <v>127</v>
      </c>
      <c r="C3132">
        <v>199</v>
      </c>
      <c r="D3132">
        <f t="shared" si="116"/>
        <v>2010</v>
      </c>
      <c r="E3132">
        <f t="shared" si="117"/>
        <v>5</v>
      </c>
    </row>
    <row r="3133" spans="1:5" x14ac:dyDescent="0.3">
      <c r="A3133" t="s">
        <v>3258</v>
      </c>
      <c r="B3133" t="s">
        <v>127</v>
      </c>
      <c r="C3133">
        <v>198</v>
      </c>
      <c r="D3133">
        <f t="shared" si="116"/>
        <v>2010</v>
      </c>
      <c r="E3133">
        <f t="shared" si="117"/>
        <v>5</v>
      </c>
    </row>
    <row r="3134" spans="1:5" x14ac:dyDescent="0.3">
      <c r="A3134" t="s">
        <v>3259</v>
      </c>
      <c r="B3134" t="s">
        <v>127</v>
      </c>
      <c r="C3134">
        <v>212</v>
      </c>
      <c r="D3134">
        <f t="shared" si="116"/>
        <v>2010</v>
      </c>
      <c r="E3134">
        <f t="shared" si="117"/>
        <v>5</v>
      </c>
    </row>
    <row r="3135" spans="1:5" x14ac:dyDescent="0.3">
      <c r="A3135" t="s">
        <v>3260</v>
      </c>
      <c r="B3135" t="s">
        <v>127</v>
      </c>
      <c r="C3135">
        <v>215</v>
      </c>
      <c r="D3135">
        <f t="shared" si="116"/>
        <v>2010</v>
      </c>
      <c r="E3135">
        <f t="shared" si="117"/>
        <v>5</v>
      </c>
    </row>
    <row r="3136" spans="1:5" x14ac:dyDescent="0.3">
      <c r="A3136" t="s">
        <v>3261</v>
      </c>
      <c r="B3136" t="s">
        <v>127</v>
      </c>
      <c r="C3136">
        <v>232</v>
      </c>
      <c r="D3136">
        <f t="shared" si="116"/>
        <v>2010</v>
      </c>
      <c r="E3136">
        <f t="shared" si="117"/>
        <v>5</v>
      </c>
    </row>
    <row r="3137" spans="1:5" x14ac:dyDescent="0.3">
      <c r="A3137" t="s">
        <v>3262</v>
      </c>
      <c r="B3137" t="s">
        <v>127</v>
      </c>
      <c r="C3137">
        <v>232</v>
      </c>
      <c r="D3137">
        <f t="shared" si="116"/>
        <v>2010</v>
      </c>
      <c r="E3137">
        <f t="shared" si="117"/>
        <v>5</v>
      </c>
    </row>
    <row r="3138" spans="1:5" x14ac:dyDescent="0.3">
      <c r="A3138" t="s">
        <v>3263</v>
      </c>
      <c r="B3138" t="s">
        <v>127</v>
      </c>
      <c r="C3138">
        <v>224</v>
      </c>
      <c r="D3138">
        <f t="shared" si="116"/>
        <v>2010</v>
      </c>
      <c r="E3138">
        <f t="shared" si="117"/>
        <v>5</v>
      </c>
    </row>
    <row r="3139" spans="1:5" x14ac:dyDescent="0.3">
      <c r="A3139" t="s">
        <v>3264</v>
      </c>
      <c r="B3139" t="s">
        <v>127</v>
      </c>
      <c r="C3139">
        <v>235</v>
      </c>
      <c r="D3139">
        <f t="shared" ref="D3139:D3202" si="118">YEAR(A3139)</f>
        <v>2010</v>
      </c>
      <c r="E3139">
        <f t="shared" ref="E3139:E3202" si="119">MONTH(A3139)</f>
        <v>5</v>
      </c>
    </row>
    <row r="3140" spans="1:5" x14ac:dyDescent="0.3">
      <c r="A3140" t="s">
        <v>3265</v>
      </c>
      <c r="B3140" t="s">
        <v>127</v>
      </c>
      <c r="C3140">
        <v>224</v>
      </c>
      <c r="D3140">
        <f t="shared" si="118"/>
        <v>2010</v>
      </c>
      <c r="E3140">
        <f t="shared" si="119"/>
        <v>5</v>
      </c>
    </row>
    <row r="3141" spans="1:5" x14ac:dyDescent="0.3">
      <c r="A3141" t="s">
        <v>3266</v>
      </c>
      <c r="B3141" t="s">
        <v>127</v>
      </c>
      <c r="C3141">
        <v>211</v>
      </c>
      <c r="D3141">
        <f t="shared" si="118"/>
        <v>2010</v>
      </c>
      <c r="E3141">
        <f t="shared" si="119"/>
        <v>5</v>
      </c>
    </row>
    <row r="3142" spans="1:5" x14ac:dyDescent="0.3">
      <c r="A3142" t="s">
        <v>3267</v>
      </c>
      <c r="B3142" t="s">
        <v>127</v>
      </c>
      <c r="C3142">
        <v>219</v>
      </c>
      <c r="D3142">
        <f t="shared" si="118"/>
        <v>2010</v>
      </c>
      <c r="E3142">
        <f t="shared" si="119"/>
        <v>5</v>
      </c>
    </row>
    <row r="3143" spans="1:5" x14ac:dyDescent="0.3">
      <c r="A3143" t="s">
        <v>3268</v>
      </c>
      <c r="B3143" t="s">
        <v>127</v>
      </c>
      <c r="C3143">
        <v>219</v>
      </c>
      <c r="D3143">
        <f t="shared" si="118"/>
        <v>2010</v>
      </c>
      <c r="E3143">
        <f t="shared" si="119"/>
        <v>5</v>
      </c>
    </row>
    <row r="3144" spans="1:5" x14ac:dyDescent="0.3">
      <c r="A3144" t="s">
        <v>3269</v>
      </c>
      <c r="B3144" t="s">
        <v>127</v>
      </c>
      <c r="C3144">
        <v>210</v>
      </c>
      <c r="D3144">
        <f t="shared" si="118"/>
        <v>2010</v>
      </c>
      <c r="E3144">
        <f t="shared" si="119"/>
        <v>6</v>
      </c>
    </row>
    <row r="3145" spans="1:5" x14ac:dyDescent="0.3">
      <c r="A3145" t="s">
        <v>3270</v>
      </c>
      <c r="B3145" t="s">
        <v>127</v>
      </c>
      <c r="C3145">
        <v>203</v>
      </c>
      <c r="D3145">
        <f t="shared" si="118"/>
        <v>2010</v>
      </c>
      <c r="E3145">
        <f t="shared" si="119"/>
        <v>6</v>
      </c>
    </row>
    <row r="3146" spans="1:5" x14ac:dyDescent="0.3">
      <c r="A3146" t="s">
        <v>3271</v>
      </c>
      <c r="B3146" t="s">
        <v>127</v>
      </c>
      <c r="C3146">
        <v>197</v>
      </c>
      <c r="D3146">
        <f t="shared" si="118"/>
        <v>2010</v>
      </c>
      <c r="E3146">
        <f t="shared" si="119"/>
        <v>6</v>
      </c>
    </row>
    <row r="3147" spans="1:5" x14ac:dyDescent="0.3">
      <c r="A3147" t="s">
        <v>3272</v>
      </c>
      <c r="B3147" t="s">
        <v>127</v>
      </c>
      <c r="C3147">
        <v>219</v>
      </c>
      <c r="D3147">
        <f t="shared" si="118"/>
        <v>2010</v>
      </c>
      <c r="E3147">
        <f t="shared" si="119"/>
        <v>6</v>
      </c>
    </row>
    <row r="3148" spans="1:5" x14ac:dyDescent="0.3">
      <c r="A3148" t="s">
        <v>3273</v>
      </c>
      <c r="B3148" t="s">
        <v>127</v>
      </c>
      <c r="C3148">
        <v>216</v>
      </c>
      <c r="D3148">
        <f t="shared" si="118"/>
        <v>2010</v>
      </c>
      <c r="E3148">
        <f t="shared" si="119"/>
        <v>6</v>
      </c>
    </row>
    <row r="3149" spans="1:5" x14ac:dyDescent="0.3">
      <c r="A3149" t="s">
        <v>3274</v>
      </c>
      <c r="B3149" t="s">
        <v>127</v>
      </c>
      <c r="C3149">
        <v>226</v>
      </c>
      <c r="D3149">
        <f t="shared" si="118"/>
        <v>2010</v>
      </c>
      <c r="E3149">
        <f t="shared" si="119"/>
        <v>6</v>
      </c>
    </row>
    <row r="3150" spans="1:5" x14ac:dyDescent="0.3">
      <c r="A3150" t="s">
        <v>3275</v>
      </c>
      <c r="B3150" t="s">
        <v>127</v>
      </c>
      <c r="C3150">
        <v>220</v>
      </c>
      <c r="D3150">
        <f t="shared" si="118"/>
        <v>2010</v>
      </c>
      <c r="E3150">
        <f t="shared" si="119"/>
        <v>6</v>
      </c>
    </row>
    <row r="3151" spans="1:5" x14ac:dyDescent="0.3">
      <c r="A3151" t="s">
        <v>3276</v>
      </c>
      <c r="B3151" t="s">
        <v>127</v>
      </c>
      <c r="C3151">
        <v>206</v>
      </c>
      <c r="D3151">
        <f t="shared" si="118"/>
        <v>2010</v>
      </c>
      <c r="E3151">
        <f t="shared" si="119"/>
        <v>6</v>
      </c>
    </row>
    <row r="3152" spans="1:5" x14ac:dyDescent="0.3">
      <c r="A3152" t="s">
        <v>3277</v>
      </c>
      <c r="B3152" t="s">
        <v>127</v>
      </c>
      <c r="C3152">
        <v>215</v>
      </c>
      <c r="D3152">
        <f t="shared" si="118"/>
        <v>2010</v>
      </c>
      <c r="E3152">
        <f t="shared" si="119"/>
        <v>6</v>
      </c>
    </row>
    <row r="3153" spans="1:5" x14ac:dyDescent="0.3">
      <c r="A3153" t="s">
        <v>3278</v>
      </c>
      <c r="B3153" t="s">
        <v>127</v>
      </c>
      <c r="C3153">
        <v>209</v>
      </c>
      <c r="D3153">
        <f t="shared" si="118"/>
        <v>2010</v>
      </c>
      <c r="E3153">
        <f t="shared" si="119"/>
        <v>6</v>
      </c>
    </row>
    <row r="3154" spans="1:5" x14ac:dyDescent="0.3">
      <c r="A3154" t="s">
        <v>3279</v>
      </c>
      <c r="B3154" t="s">
        <v>127</v>
      </c>
      <c r="C3154">
        <v>201</v>
      </c>
      <c r="D3154">
        <f t="shared" si="118"/>
        <v>2010</v>
      </c>
      <c r="E3154">
        <f t="shared" si="119"/>
        <v>6</v>
      </c>
    </row>
    <row r="3155" spans="1:5" x14ac:dyDescent="0.3">
      <c r="A3155" t="s">
        <v>3280</v>
      </c>
      <c r="B3155" t="s">
        <v>127</v>
      </c>
      <c r="C3155">
        <v>199</v>
      </c>
      <c r="D3155">
        <f t="shared" si="118"/>
        <v>2010</v>
      </c>
      <c r="E3155">
        <f t="shared" si="119"/>
        <v>6</v>
      </c>
    </row>
    <row r="3156" spans="1:5" x14ac:dyDescent="0.3">
      <c r="A3156" t="s">
        <v>3281</v>
      </c>
      <c r="B3156" t="s">
        <v>127</v>
      </c>
      <c r="C3156">
        <v>202</v>
      </c>
      <c r="D3156">
        <f t="shared" si="118"/>
        <v>2010</v>
      </c>
      <c r="E3156">
        <f t="shared" si="119"/>
        <v>6</v>
      </c>
    </row>
    <row r="3157" spans="1:5" x14ac:dyDescent="0.3">
      <c r="A3157" t="s">
        <v>3282</v>
      </c>
      <c r="B3157" t="s">
        <v>127</v>
      </c>
      <c r="C3157">
        <v>198</v>
      </c>
      <c r="D3157">
        <f t="shared" si="118"/>
        <v>2010</v>
      </c>
      <c r="E3157">
        <f t="shared" si="119"/>
        <v>6</v>
      </c>
    </row>
    <row r="3158" spans="1:5" x14ac:dyDescent="0.3">
      <c r="A3158" t="s">
        <v>3283</v>
      </c>
      <c r="B3158" t="s">
        <v>127</v>
      </c>
      <c r="C3158">
        <v>198</v>
      </c>
      <c r="D3158">
        <f t="shared" si="118"/>
        <v>2010</v>
      </c>
      <c r="E3158">
        <f t="shared" si="119"/>
        <v>6</v>
      </c>
    </row>
    <row r="3159" spans="1:5" x14ac:dyDescent="0.3">
      <c r="A3159" t="s">
        <v>3284</v>
      </c>
      <c r="B3159" t="s">
        <v>127</v>
      </c>
      <c r="C3159">
        <v>205</v>
      </c>
      <c r="D3159">
        <f t="shared" si="118"/>
        <v>2010</v>
      </c>
      <c r="E3159">
        <f t="shared" si="119"/>
        <v>6</v>
      </c>
    </row>
    <row r="3160" spans="1:5" x14ac:dyDescent="0.3">
      <c r="A3160" t="s">
        <v>3285</v>
      </c>
      <c r="B3160" t="s">
        <v>127</v>
      </c>
      <c r="C3160">
        <v>210</v>
      </c>
      <c r="D3160">
        <f t="shared" si="118"/>
        <v>2010</v>
      </c>
      <c r="E3160">
        <f t="shared" si="119"/>
        <v>6</v>
      </c>
    </row>
    <row r="3161" spans="1:5" x14ac:dyDescent="0.3">
      <c r="A3161" t="s">
        <v>3286</v>
      </c>
      <c r="B3161" t="s">
        <v>127</v>
      </c>
      <c r="C3161">
        <v>205</v>
      </c>
      <c r="D3161">
        <f t="shared" si="118"/>
        <v>2010</v>
      </c>
      <c r="E3161">
        <f t="shared" si="119"/>
        <v>6</v>
      </c>
    </row>
    <row r="3162" spans="1:5" x14ac:dyDescent="0.3">
      <c r="A3162" t="s">
        <v>3287</v>
      </c>
      <c r="B3162" t="s">
        <v>127</v>
      </c>
      <c r="C3162">
        <v>208</v>
      </c>
      <c r="D3162">
        <f t="shared" si="118"/>
        <v>2010</v>
      </c>
      <c r="E3162">
        <f t="shared" si="119"/>
        <v>6</v>
      </c>
    </row>
    <row r="3163" spans="1:5" x14ac:dyDescent="0.3">
      <c r="A3163" t="s">
        <v>3288</v>
      </c>
      <c r="B3163" t="s">
        <v>127</v>
      </c>
      <c r="C3163">
        <v>210</v>
      </c>
      <c r="D3163">
        <f t="shared" si="118"/>
        <v>2010</v>
      </c>
      <c r="E3163">
        <f t="shared" si="119"/>
        <v>6</v>
      </c>
    </row>
    <row r="3164" spans="1:5" x14ac:dyDescent="0.3">
      <c r="A3164" t="s">
        <v>3289</v>
      </c>
      <c r="B3164" t="s">
        <v>127</v>
      </c>
      <c r="C3164">
        <v>216</v>
      </c>
      <c r="D3164">
        <f t="shared" si="118"/>
        <v>2010</v>
      </c>
      <c r="E3164">
        <f t="shared" si="119"/>
        <v>6</v>
      </c>
    </row>
    <row r="3165" spans="1:5" x14ac:dyDescent="0.3">
      <c r="A3165" t="s">
        <v>3290</v>
      </c>
      <c r="B3165" t="s">
        <v>127</v>
      </c>
      <c r="C3165">
        <v>212</v>
      </c>
      <c r="D3165">
        <f t="shared" si="118"/>
        <v>2010</v>
      </c>
      <c r="E3165">
        <f t="shared" si="119"/>
        <v>6</v>
      </c>
    </row>
    <row r="3166" spans="1:5" x14ac:dyDescent="0.3">
      <c r="A3166" t="s">
        <v>3291</v>
      </c>
      <c r="B3166" t="s">
        <v>127</v>
      </c>
      <c r="C3166">
        <v>216</v>
      </c>
      <c r="D3166">
        <f t="shared" si="118"/>
        <v>2010</v>
      </c>
      <c r="E3166">
        <f t="shared" si="119"/>
        <v>7</v>
      </c>
    </row>
    <row r="3167" spans="1:5" x14ac:dyDescent="0.3">
      <c r="A3167" t="s">
        <v>3292</v>
      </c>
      <c r="B3167" t="s">
        <v>127</v>
      </c>
      <c r="C3167">
        <v>212</v>
      </c>
      <c r="D3167">
        <f t="shared" si="118"/>
        <v>2010</v>
      </c>
      <c r="E3167">
        <f t="shared" si="119"/>
        <v>7</v>
      </c>
    </row>
    <row r="3168" spans="1:5" x14ac:dyDescent="0.3">
      <c r="A3168" t="s">
        <v>3293</v>
      </c>
      <c r="B3168" t="s">
        <v>127</v>
      </c>
      <c r="C3168">
        <v>212</v>
      </c>
      <c r="D3168">
        <f t="shared" si="118"/>
        <v>2010</v>
      </c>
      <c r="E3168">
        <f t="shared" si="119"/>
        <v>7</v>
      </c>
    </row>
    <row r="3169" spans="1:5" x14ac:dyDescent="0.3">
      <c r="A3169" t="s">
        <v>3294</v>
      </c>
      <c r="B3169" t="s">
        <v>127</v>
      </c>
      <c r="C3169">
        <v>212</v>
      </c>
      <c r="D3169">
        <f t="shared" si="118"/>
        <v>2010</v>
      </c>
      <c r="E3169">
        <f t="shared" si="119"/>
        <v>7</v>
      </c>
    </row>
    <row r="3170" spans="1:5" x14ac:dyDescent="0.3">
      <c r="A3170" t="s">
        <v>3295</v>
      </c>
      <c r="B3170" t="s">
        <v>127</v>
      </c>
      <c r="C3170">
        <v>204</v>
      </c>
      <c r="D3170">
        <f t="shared" si="118"/>
        <v>2010</v>
      </c>
      <c r="E3170">
        <f t="shared" si="119"/>
        <v>7</v>
      </c>
    </row>
    <row r="3171" spans="1:5" x14ac:dyDescent="0.3">
      <c r="A3171" t="s">
        <v>3296</v>
      </c>
      <c r="B3171" t="s">
        <v>127</v>
      </c>
      <c r="C3171">
        <v>204</v>
      </c>
      <c r="D3171">
        <f t="shared" si="118"/>
        <v>2010</v>
      </c>
      <c r="E3171">
        <f t="shared" si="119"/>
        <v>7</v>
      </c>
    </row>
    <row r="3172" spans="1:5" x14ac:dyDescent="0.3">
      <c r="A3172" t="s">
        <v>3297</v>
      </c>
      <c r="B3172" t="s">
        <v>127</v>
      </c>
      <c r="C3172">
        <v>200</v>
      </c>
      <c r="D3172">
        <f t="shared" si="118"/>
        <v>2010</v>
      </c>
      <c r="E3172">
        <f t="shared" si="119"/>
        <v>7</v>
      </c>
    </row>
    <row r="3173" spans="1:5" x14ac:dyDescent="0.3">
      <c r="A3173" t="s">
        <v>3298</v>
      </c>
      <c r="B3173" t="s">
        <v>127</v>
      </c>
      <c r="C3173">
        <v>198</v>
      </c>
      <c r="D3173">
        <f t="shared" si="118"/>
        <v>2010</v>
      </c>
      <c r="E3173">
        <f t="shared" si="119"/>
        <v>7</v>
      </c>
    </row>
    <row r="3174" spans="1:5" x14ac:dyDescent="0.3">
      <c r="A3174" t="s">
        <v>3299</v>
      </c>
      <c r="B3174" t="s">
        <v>127</v>
      </c>
      <c r="C3174">
        <v>196</v>
      </c>
      <c r="D3174">
        <f t="shared" si="118"/>
        <v>2010</v>
      </c>
      <c r="E3174">
        <f t="shared" si="119"/>
        <v>7</v>
      </c>
    </row>
    <row r="3175" spans="1:5" x14ac:dyDescent="0.3">
      <c r="A3175" t="s">
        <v>3300</v>
      </c>
      <c r="B3175" t="s">
        <v>127</v>
      </c>
      <c r="C3175">
        <v>208</v>
      </c>
      <c r="D3175">
        <f t="shared" si="118"/>
        <v>2010</v>
      </c>
      <c r="E3175">
        <f t="shared" si="119"/>
        <v>7</v>
      </c>
    </row>
    <row r="3176" spans="1:5" x14ac:dyDescent="0.3">
      <c r="A3176" t="s">
        <v>3301</v>
      </c>
      <c r="B3176" t="s">
        <v>127</v>
      </c>
      <c r="C3176">
        <v>212</v>
      </c>
      <c r="D3176">
        <f t="shared" si="118"/>
        <v>2010</v>
      </c>
      <c r="E3176">
        <f t="shared" si="119"/>
        <v>7</v>
      </c>
    </row>
    <row r="3177" spans="1:5" x14ac:dyDescent="0.3">
      <c r="A3177" t="s">
        <v>3302</v>
      </c>
      <c r="B3177" t="s">
        <v>127</v>
      </c>
      <c r="C3177">
        <v>210</v>
      </c>
      <c r="D3177">
        <f t="shared" si="118"/>
        <v>2010</v>
      </c>
      <c r="E3177">
        <f t="shared" si="119"/>
        <v>7</v>
      </c>
    </row>
    <row r="3178" spans="1:5" x14ac:dyDescent="0.3">
      <c r="A3178" t="s">
        <v>3303</v>
      </c>
      <c r="B3178" t="s">
        <v>127</v>
      </c>
      <c r="C3178">
        <v>204</v>
      </c>
      <c r="D3178">
        <f t="shared" si="118"/>
        <v>2010</v>
      </c>
      <c r="E3178">
        <f t="shared" si="119"/>
        <v>7</v>
      </c>
    </row>
    <row r="3179" spans="1:5" x14ac:dyDescent="0.3">
      <c r="A3179" t="s">
        <v>3304</v>
      </c>
      <c r="B3179" t="s">
        <v>127</v>
      </c>
      <c r="C3179">
        <v>200</v>
      </c>
      <c r="D3179">
        <f t="shared" si="118"/>
        <v>2010</v>
      </c>
      <c r="E3179">
        <f t="shared" si="119"/>
        <v>7</v>
      </c>
    </row>
    <row r="3180" spans="1:5" x14ac:dyDescent="0.3">
      <c r="A3180" t="s">
        <v>3305</v>
      </c>
      <c r="B3180" t="s">
        <v>127</v>
      </c>
      <c r="C3180">
        <v>206</v>
      </c>
      <c r="D3180">
        <f t="shared" si="118"/>
        <v>2010</v>
      </c>
      <c r="E3180">
        <f t="shared" si="119"/>
        <v>7</v>
      </c>
    </row>
    <row r="3181" spans="1:5" x14ac:dyDescent="0.3">
      <c r="A3181" t="s">
        <v>3306</v>
      </c>
      <c r="B3181" t="s">
        <v>127</v>
      </c>
      <c r="C3181">
        <v>199</v>
      </c>
      <c r="D3181">
        <f t="shared" si="118"/>
        <v>2010</v>
      </c>
      <c r="E3181">
        <f t="shared" si="119"/>
        <v>7</v>
      </c>
    </row>
    <row r="3182" spans="1:5" x14ac:dyDescent="0.3">
      <c r="A3182" t="s">
        <v>3307</v>
      </c>
      <c r="B3182" t="s">
        <v>127</v>
      </c>
      <c r="C3182">
        <v>191</v>
      </c>
      <c r="D3182">
        <f t="shared" si="118"/>
        <v>2010</v>
      </c>
      <c r="E3182">
        <f t="shared" si="119"/>
        <v>7</v>
      </c>
    </row>
    <row r="3183" spans="1:5" x14ac:dyDescent="0.3">
      <c r="A3183" t="s">
        <v>3308</v>
      </c>
      <c r="B3183" t="s">
        <v>127</v>
      </c>
      <c r="C3183">
        <v>187</v>
      </c>
      <c r="D3183">
        <f t="shared" si="118"/>
        <v>2010</v>
      </c>
      <c r="E3183">
        <f t="shared" si="119"/>
        <v>7</v>
      </c>
    </row>
    <row r="3184" spans="1:5" x14ac:dyDescent="0.3">
      <c r="A3184" t="s">
        <v>3309</v>
      </c>
      <c r="B3184" t="s">
        <v>127</v>
      </c>
      <c r="C3184">
        <v>183</v>
      </c>
      <c r="D3184">
        <f t="shared" si="118"/>
        <v>2010</v>
      </c>
      <c r="E3184">
        <f t="shared" si="119"/>
        <v>7</v>
      </c>
    </row>
    <row r="3185" spans="1:5" x14ac:dyDescent="0.3">
      <c r="A3185" t="s">
        <v>3310</v>
      </c>
      <c r="B3185" t="s">
        <v>127</v>
      </c>
      <c r="C3185">
        <v>187</v>
      </c>
      <c r="D3185">
        <f t="shared" si="118"/>
        <v>2010</v>
      </c>
      <c r="E3185">
        <f t="shared" si="119"/>
        <v>7</v>
      </c>
    </row>
    <row r="3186" spans="1:5" x14ac:dyDescent="0.3">
      <c r="A3186" t="s">
        <v>3311</v>
      </c>
      <c r="B3186" t="s">
        <v>127</v>
      </c>
      <c r="C3186">
        <v>185</v>
      </c>
      <c r="D3186">
        <f t="shared" si="118"/>
        <v>2010</v>
      </c>
      <c r="E3186">
        <f t="shared" si="119"/>
        <v>7</v>
      </c>
    </row>
    <row r="3187" spans="1:5" x14ac:dyDescent="0.3">
      <c r="A3187" t="s">
        <v>3312</v>
      </c>
      <c r="B3187" t="s">
        <v>127</v>
      </c>
      <c r="C3187">
        <v>192</v>
      </c>
      <c r="D3187">
        <f t="shared" si="118"/>
        <v>2010</v>
      </c>
      <c r="E3187">
        <f t="shared" si="119"/>
        <v>7</v>
      </c>
    </row>
    <row r="3188" spans="1:5" x14ac:dyDescent="0.3">
      <c r="A3188" t="s">
        <v>3313</v>
      </c>
      <c r="B3188" t="s">
        <v>127</v>
      </c>
      <c r="C3188">
        <v>178</v>
      </c>
      <c r="D3188">
        <f t="shared" si="118"/>
        <v>2010</v>
      </c>
      <c r="E3188">
        <f t="shared" si="119"/>
        <v>8</v>
      </c>
    </row>
    <row r="3189" spans="1:5" x14ac:dyDescent="0.3">
      <c r="A3189" t="s">
        <v>3314</v>
      </c>
      <c r="B3189" t="s">
        <v>127</v>
      </c>
      <c r="C3189">
        <v>176</v>
      </c>
      <c r="D3189">
        <f t="shared" si="118"/>
        <v>2010</v>
      </c>
      <c r="E3189">
        <f t="shared" si="119"/>
        <v>8</v>
      </c>
    </row>
    <row r="3190" spans="1:5" x14ac:dyDescent="0.3">
      <c r="A3190" t="s">
        <v>3315</v>
      </c>
      <c r="B3190" t="s">
        <v>127</v>
      </c>
      <c r="C3190">
        <v>170</v>
      </c>
      <c r="D3190">
        <f t="shared" si="118"/>
        <v>2010</v>
      </c>
      <c r="E3190">
        <f t="shared" si="119"/>
        <v>8</v>
      </c>
    </row>
    <row r="3191" spans="1:5" x14ac:dyDescent="0.3">
      <c r="A3191" t="s">
        <v>3316</v>
      </c>
      <c r="B3191" t="s">
        <v>127</v>
      </c>
      <c r="C3191">
        <v>173</v>
      </c>
      <c r="D3191">
        <f t="shared" si="118"/>
        <v>2010</v>
      </c>
      <c r="E3191">
        <f t="shared" si="119"/>
        <v>8</v>
      </c>
    </row>
    <row r="3192" spans="1:5" x14ac:dyDescent="0.3">
      <c r="A3192" t="s">
        <v>3317</v>
      </c>
      <c r="B3192" t="s">
        <v>127</v>
      </c>
      <c r="C3192">
        <v>177</v>
      </c>
      <c r="D3192">
        <f t="shared" si="118"/>
        <v>2010</v>
      </c>
      <c r="E3192">
        <f t="shared" si="119"/>
        <v>8</v>
      </c>
    </row>
    <row r="3193" spans="1:5" x14ac:dyDescent="0.3">
      <c r="A3193" t="s">
        <v>3318</v>
      </c>
      <c r="B3193" t="s">
        <v>127</v>
      </c>
      <c r="C3193">
        <v>166</v>
      </c>
      <c r="D3193">
        <f t="shared" si="118"/>
        <v>2010</v>
      </c>
      <c r="E3193">
        <f t="shared" si="119"/>
        <v>8</v>
      </c>
    </row>
    <row r="3194" spans="1:5" x14ac:dyDescent="0.3">
      <c r="A3194" t="s">
        <v>3319</v>
      </c>
      <c r="B3194" t="s">
        <v>127</v>
      </c>
      <c r="C3194">
        <v>170</v>
      </c>
      <c r="D3194">
        <f t="shared" si="118"/>
        <v>2010</v>
      </c>
      <c r="E3194">
        <f t="shared" si="119"/>
        <v>8</v>
      </c>
    </row>
    <row r="3195" spans="1:5" x14ac:dyDescent="0.3">
      <c r="A3195" t="s">
        <v>3320</v>
      </c>
      <c r="B3195" t="s">
        <v>127</v>
      </c>
      <c r="C3195">
        <v>172</v>
      </c>
      <c r="D3195">
        <f t="shared" si="118"/>
        <v>2010</v>
      </c>
      <c r="E3195">
        <f t="shared" si="119"/>
        <v>8</v>
      </c>
    </row>
    <row r="3196" spans="1:5" x14ac:dyDescent="0.3">
      <c r="A3196" t="s">
        <v>3321</v>
      </c>
      <c r="B3196" t="s">
        <v>127</v>
      </c>
      <c r="C3196">
        <v>171</v>
      </c>
      <c r="D3196">
        <f t="shared" si="118"/>
        <v>2010</v>
      </c>
      <c r="E3196">
        <f t="shared" si="119"/>
        <v>8</v>
      </c>
    </row>
    <row r="3197" spans="1:5" x14ac:dyDescent="0.3">
      <c r="A3197" t="s">
        <v>3322</v>
      </c>
      <c r="B3197" t="s">
        <v>127</v>
      </c>
      <c r="C3197">
        <v>176</v>
      </c>
      <c r="D3197">
        <f t="shared" si="118"/>
        <v>2010</v>
      </c>
      <c r="E3197">
        <f t="shared" si="119"/>
        <v>8</v>
      </c>
    </row>
    <row r="3198" spans="1:5" x14ac:dyDescent="0.3">
      <c r="A3198" t="s">
        <v>3323</v>
      </c>
      <c r="B3198" t="s">
        <v>127</v>
      </c>
      <c r="C3198">
        <v>184</v>
      </c>
      <c r="D3198">
        <f t="shared" si="118"/>
        <v>2010</v>
      </c>
      <c r="E3198">
        <f t="shared" si="119"/>
        <v>8</v>
      </c>
    </row>
    <row r="3199" spans="1:5" x14ac:dyDescent="0.3">
      <c r="A3199" t="s">
        <v>3324</v>
      </c>
      <c r="B3199" t="s">
        <v>127</v>
      </c>
      <c r="C3199">
        <v>172</v>
      </c>
      <c r="D3199">
        <f t="shared" si="118"/>
        <v>2010</v>
      </c>
      <c r="E3199">
        <f t="shared" si="119"/>
        <v>8</v>
      </c>
    </row>
    <row r="3200" spans="1:5" x14ac:dyDescent="0.3">
      <c r="A3200" t="s">
        <v>3325</v>
      </c>
      <c r="B3200" t="s">
        <v>127</v>
      </c>
      <c r="C3200">
        <v>168</v>
      </c>
      <c r="D3200">
        <f t="shared" si="118"/>
        <v>2010</v>
      </c>
      <c r="E3200">
        <f t="shared" si="119"/>
        <v>8</v>
      </c>
    </row>
    <row r="3201" spans="1:5" x14ac:dyDescent="0.3">
      <c r="A3201" t="s">
        <v>3326</v>
      </c>
      <c r="B3201" t="s">
        <v>127</v>
      </c>
      <c r="C3201">
        <v>172</v>
      </c>
      <c r="D3201">
        <f t="shared" si="118"/>
        <v>2010</v>
      </c>
      <c r="E3201">
        <f t="shared" si="119"/>
        <v>8</v>
      </c>
    </row>
    <row r="3202" spans="1:5" x14ac:dyDescent="0.3">
      <c r="A3202" t="s">
        <v>3327</v>
      </c>
      <c r="B3202" t="s">
        <v>127</v>
      </c>
      <c r="C3202">
        <v>172</v>
      </c>
      <c r="D3202">
        <f t="shared" si="118"/>
        <v>2010</v>
      </c>
      <c r="E3202">
        <f t="shared" si="119"/>
        <v>8</v>
      </c>
    </row>
    <row r="3203" spans="1:5" x14ac:dyDescent="0.3">
      <c r="A3203" t="s">
        <v>3328</v>
      </c>
      <c r="B3203" t="s">
        <v>127</v>
      </c>
      <c r="C3203">
        <v>170</v>
      </c>
      <c r="D3203">
        <f t="shared" ref="D3203:D3266" si="120">YEAR(A3203)</f>
        <v>2010</v>
      </c>
      <c r="E3203">
        <f t="shared" ref="E3203:E3266" si="121">MONTH(A3203)</f>
        <v>8</v>
      </c>
    </row>
    <row r="3204" spans="1:5" x14ac:dyDescent="0.3">
      <c r="A3204" t="s">
        <v>3329</v>
      </c>
      <c r="B3204" t="s">
        <v>127</v>
      </c>
      <c r="C3204">
        <v>184</v>
      </c>
      <c r="D3204">
        <f t="shared" si="120"/>
        <v>2010</v>
      </c>
      <c r="E3204">
        <f t="shared" si="121"/>
        <v>8</v>
      </c>
    </row>
    <row r="3205" spans="1:5" x14ac:dyDescent="0.3">
      <c r="A3205" t="s">
        <v>3330</v>
      </c>
      <c r="B3205" t="s">
        <v>127</v>
      </c>
      <c r="C3205">
        <v>185</v>
      </c>
      <c r="D3205">
        <f t="shared" si="120"/>
        <v>2010</v>
      </c>
      <c r="E3205">
        <f t="shared" si="121"/>
        <v>8</v>
      </c>
    </row>
    <row r="3206" spans="1:5" x14ac:dyDescent="0.3">
      <c r="A3206" t="s">
        <v>3331</v>
      </c>
      <c r="B3206" t="s">
        <v>127</v>
      </c>
      <c r="C3206">
        <v>194</v>
      </c>
      <c r="D3206">
        <f t="shared" si="120"/>
        <v>2010</v>
      </c>
      <c r="E3206">
        <f t="shared" si="121"/>
        <v>8</v>
      </c>
    </row>
    <row r="3207" spans="1:5" x14ac:dyDescent="0.3">
      <c r="A3207" t="s">
        <v>3332</v>
      </c>
      <c r="B3207" t="s">
        <v>127</v>
      </c>
      <c r="C3207">
        <v>187</v>
      </c>
      <c r="D3207">
        <f t="shared" si="120"/>
        <v>2010</v>
      </c>
      <c r="E3207">
        <f t="shared" si="121"/>
        <v>8</v>
      </c>
    </row>
    <row r="3208" spans="1:5" x14ac:dyDescent="0.3">
      <c r="A3208" t="s">
        <v>3333</v>
      </c>
      <c r="B3208" t="s">
        <v>127</v>
      </c>
      <c r="C3208">
        <v>200</v>
      </c>
      <c r="D3208">
        <f t="shared" si="120"/>
        <v>2010</v>
      </c>
      <c r="E3208">
        <f t="shared" si="121"/>
        <v>8</v>
      </c>
    </row>
    <row r="3209" spans="1:5" x14ac:dyDescent="0.3">
      <c r="A3209" t="s">
        <v>3334</v>
      </c>
      <c r="B3209" t="s">
        <v>127</v>
      </c>
      <c r="C3209">
        <v>210</v>
      </c>
      <c r="D3209">
        <f t="shared" si="120"/>
        <v>2010</v>
      </c>
      <c r="E3209">
        <f t="shared" si="121"/>
        <v>8</v>
      </c>
    </row>
    <row r="3210" spans="1:5" x14ac:dyDescent="0.3">
      <c r="A3210" t="s">
        <v>3335</v>
      </c>
      <c r="B3210" t="s">
        <v>127</v>
      </c>
      <c r="C3210">
        <v>199</v>
      </c>
      <c r="D3210">
        <f t="shared" si="120"/>
        <v>2010</v>
      </c>
      <c r="E3210">
        <f t="shared" si="121"/>
        <v>9</v>
      </c>
    </row>
    <row r="3211" spans="1:5" x14ac:dyDescent="0.3">
      <c r="A3211" t="s">
        <v>3336</v>
      </c>
      <c r="B3211" t="s">
        <v>127</v>
      </c>
      <c r="C3211">
        <v>200</v>
      </c>
      <c r="D3211">
        <f t="shared" si="120"/>
        <v>2010</v>
      </c>
      <c r="E3211">
        <f t="shared" si="121"/>
        <v>9</v>
      </c>
    </row>
    <row r="3212" spans="1:5" x14ac:dyDescent="0.3">
      <c r="A3212" t="s">
        <v>3337</v>
      </c>
      <c r="B3212" t="s">
        <v>127</v>
      </c>
      <c r="C3212">
        <v>195</v>
      </c>
      <c r="D3212">
        <f t="shared" si="120"/>
        <v>2010</v>
      </c>
      <c r="E3212">
        <f t="shared" si="121"/>
        <v>9</v>
      </c>
    </row>
    <row r="3213" spans="1:5" x14ac:dyDescent="0.3">
      <c r="A3213" t="s">
        <v>3338</v>
      </c>
      <c r="B3213" t="s">
        <v>127</v>
      </c>
      <c r="C3213">
        <v>195</v>
      </c>
      <c r="D3213">
        <f t="shared" si="120"/>
        <v>2010</v>
      </c>
      <c r="E3213">
        <f t="shared" si="121"/>
        <v>9</v>
      </c>
    </row>
    <row r="3214" spans="1:5" x14ac:dyDescent="0.3">
      <c r="A3214" t="s">
        <v>3339</v>
      </c>
      <c r="B3214" t="s">
        <v>127</v>
      </c>
      <c r="C3214">
        <v>208</v>
      </c>
      <c r="D3214">
        <f t="shared" si="120"/>
        <v>2010</v>
      </c>
      <c r="E3214">
        <f t="shared" si="121"/>
        <v>9</v>
      </c>
    </row>
    <row r="3215" spans="1:5" x14ac:dyDescent="0.3">
      <c r="A3215" t="s">
        <v>3340</v>
      </c>
      <c r="B3215" t="s">
        <v>127</v>
      </c>
      <c r="C3215">
        <v>208</v>
      </c>
      <c r="D3215">
        <f t="shared" si="120"/>
        <v>2010</v>
      </c>
      <c r="E3215">
        <f t="shared" si="121"/>
        <v>9</v>
      </c>
    </row>
    <row r="3216" spans="1:5" x14ac:dyDescent="0.3">
      <c r="A3216" t="s">
        <v>3341</v>
      </c>
      <c r="B3216" t="s">
        <v>127</v>
      </c>
      <c r="C3216">
        <v>201</v>
      </c>
      <c r="D3216">
        <f t="shared" si="120"/>
        <v>2010</v>
      </c>
      <c r="E3216">
        <f t="shared" si="121"/>
        <v>9</v>
      </c>
    </row>
    <row r="3217" spans="1:5" x14ac:dyDescent="0.3">
      <c r="A3217" t="s">
        <v>3342</v>
      </c>
      <c r="B3217" t="s">
        <v>127</v>
      </c>
      <c r="C3217">
        <v>196</v>
      </c>
      <c r="D3217">
        <f t="shared" si="120"/>
        <v>2010</v>
      </c>
      <c r="E3217">
        <f t="shared" si="121"/>
        <v>9</v>
      </c>
    </row>
    <row r="3218" spans="1:5" x14ac:dyDescent="0.3">
      <c r="A3218" t="s">
        <v>3343</v>
      </c>
      <c r="B3218" t="s">
        <v>127</v>
      </c>
      <c r="C3218">
        <v>199</v>
      </c>
      <c r="D3218">
        <f t="shared" si="120"/>
        <v>2010</v>
      </c>
      <c r="E3218">
        <f t="shared" si="121"/>
        <v>9</v>
      </c>
    </row>
    <row r="3219" spans="1:5" x14ac:dyDescent="0.3">
      <c r="A3219" t="s">
        <v>3344</v>
      </c>
      <c r="B3219" t="s">
        <v>127</v>
      </c>
      <c r="C3219">
        <v>199</v>
      </c>
      <c r="D3219">
        <f t="shared" si="120"/>
        <v>2010</v>
      </c>
      <c r="E3219">
        <f t="shared" si="121"/>
        <v>9</v>
      </c>
    </row>
    <row r="3220" spans="1:5" x14ac:dyDescent="0.3">
      <c r="A3220" t="s">
        <v>3345</v>
      </c>
      <c r="B3220" t="s">
        <v>127</v>
      </c>
      <c r="C3220">
        <v>190</v>
      </c>
      <c r="D3220">
        <f t="shared" si="120"/>
        <v>2010</v>
      </c>
      <c r="E3220">
        <f t="shared" si="121"/>
        <v>9</v>
      </c>
    </row>
    <row r="3221" spans="1:5" x14ac:dyDescent="0.3">
      <c r="A3221" t="s">
        <v>3346</v>
      </c>
      <c r="B3221" t="s">
        <v>127</v>
      </c>
      <c r="C3221">
        <v>185</v>
      </c>
      <c r="D3221">
        <f t="shared" si="120"/>
        <v>2010</v>
      </c>
      <c r="E3221">
        <f t="shared" si="121"/>
        <v>9</v>
      </c>
    </row>
    <row r="3222" spans="1:5" x14ac:dyDescent="0.3">
      <c r="A3222" t="s">
        <v>3347</v>
      </c>
      <c r="B3222" t="s">
        <v>127</v>
      </c>
      <c r="C3222">
        <v>193</v>
      </c>
      <c r="D3222">
        <f t="shared" si="120"/>
        <v>2010</v>
      </c>
      <c r="E3222">
        <f t="shared" si="121"/>
        <v>9</v>
      </c>
    </row>
    <row r="3223" spans="1:5" x14ac:dyDescent="0.3">
      <c r="A3223" t="s">
        <v>3348</v>
      </c>
      <c r="B3223" t="s">
        <v>127</v>
      </c>
      <c r="C3223">
        <v>198</v>
      </c>
      <c r="D3223">
        <f t="shared" si="120"/>
        <v>2010</v>
      </c>
      <c r="E3223">
        <f t="shared" si="121"/>
        <v>9</v>
      </c>
    </row>
    <row r="3224" spans="1:5" x14ac:dyDescent="0.3">
      <c r="A3224" t="s">
        <v>3349</v>
      </c>
      <c r="B3224" t="s">
        <v>127</v>
      </c>
      <c r="C3224">
        <v>212</v>
      </c>
      <c r="D3224">
        <f t="shared" si="120"/>
        <v>2010</v>
      </c>
      <c r="E3224">
        <f t="shared" si="121"/>
        <v>9</v>
      </c>
    </row>
    <row r="3225" spans="1:5" x14ac:dyDescent="0.3">
      <c r="A3225" t="s">
        <v>3350</v>
      </c>
      <c r="B3225" t="s">
        <v>127</v>
      </c>
      <c r="C3225">
        <v>207</v>
      </c>
      <c r="D3225">
        <f t="shared" si="120"/>
        <v>2010</v>
      </c>
      <c r="E3225">
        <f t="shared" si="121"/>
        <v>9</v>
      </c>
    </row>
    <row r="3226" spans="1:5" x14ac:dyDescent="0.3">
      <c r="A3226" t="s">
        <v>3351</v>
      </c>
      <c r="B3226" t="s">
        <v>127</v>
      </c>
      <c r="C3226">
        <v>207</v>
      </c>
      <c r="D3226">
        <f t="shared" si="120"/>
        <v>2010</v>
      </c>
      <c r="E3226">
        <f t="shared" si="121"/>
        <v>9</v>
      </c>
    </row>
    <row r="3227" spans="1:5" x14ac:dyDescent="0.3">
      <c r="A3227" t="s">
        <v>3352</v>
      </c>
      <c r="B3227" t="s">
        <v>127</v>
      </c>
      <c r="C3227">
        <v>199</v>
      </c>
      <c r="D3227">
        <f t="shared" si="120"/>
        <v>2010</v>
      </c>
      <c r="E3227">
        <f t="shared" si="121"/>
        <v>9</v>
      </c>
    </row>
    <row r="3228" spans="1:5" x14ac:dyDescent="0.3">
      <c r="A3228" t="s">
        <v>3353</v>
      </c>
      <c r="B3228" t="s">
        <v>127</v>
      </c>
      <c r="C3228">
        <v>201</v>
      </c>
      <c r="D3228">
        <f t="shared" si="120"/>
        <v>2010</v>
      </c>
      <c r="E3228">
        <f t="shared" si="121"/>
        <v>9</v>
      </c>
    </row>
    <row r="3229" spans="1:5" x14ac:dyDescent="0.3">
      <c r="A3229" t="s">
        <v>3354</v>
      </c>
      <c r="B3229" t="s">
        <v>127</v>
      </c>
      <c r="C3229">
        <v>201</v>
      </c>
      <c r="D3229">
        <f t="shared" si="120"/>
        <v>2010</v>
      </c>
      <c r="E3229">
        <f t="shared" si="121"/>
        <v>9</v>
      </c>
    </row>
    <row r="3230" spans="1:5" x14ac:dyDescent="0.3">
      <c r="A3230" t="s">
        <v>3355</v>
      </c>
      <c r="B3230" t="s">
        <v>127</v>
      </c>
      <c r="C3230">
        <v>193</v>
      </c>
      <c r="D3230">
        <f t="shared" si="120"/>
        <v>2010</v>
      </c>
      <c r="E3230">
        <f t="shared" si="121"/>
        <v>9</v>
      </c>
    </row>
    <row r="3231" spans="1:5" x14ac:dyDescent="0.3">
      <c r="A3231" t="s">
        <v>3356</v>
      </c>
      <c r="B3231" t="s">
        <v>127</v>
      </c>
      <c r="C3231">
        <v>191</v>
      </c>
      <c r="D3231">
        <f t="shared" si="120"/>
        <v>2010</v>
      </c>
      <c r="E3231">
        <f t="shared" si="121"/>
        <v>9</v>
      </c>
    </row>
    <row r="3232" spans="1:5" x14ac:dyDescent="0.3">
      <c r="A3232" t="s">
        <v>3357</v>
      </c>
      <c r="B3232" t="s">
        <v>127</v>
      </c>
      <c r="C3232">
        <v>190</v>
      </c>
      <c r="D3232">
        <f t="shared" si="120"/>
        <v>2010</v>
      </c>
      <c r="E3232">
        <f t="shared" si="121"/>
        <v>10</v>
      </c>
    </row>
    <row r="3233" spans="1:5" x14ac:dyDescent="0.3">
      <c r="A3233" t="s">
        <v>3358</v>
      </c>
      <c r="B3233" t="s">
        <v>127</v>
      </c>
      <c r="C3233">
        <v>192</v>
      </c>
      <c r="D3233">
        <f t="shared" si="120"/>
        <v>2010</v>
      </c>
      <c r="E3233">
        <f t="shared" si="121"/>
        <v>10</v>
      </c>
    </row>
    <row r="3234" spans="1:5" x14ac:dyDescent="0.3">
      <c r="A3234" t="s">
        <v>3359</v>
      </c>
      <c r="B3234" t="s">
        <v>127</v>
      </c>
      <c r="C3234">
        <v>195</v>
      </c>
      <c r="D3234">
        <f t="shared" si="120"/>
        <v>2010</v>
      </c>
      <c r="E3234">
        <f t="shared" si="121"/>
        <v>10</v>
      </c>
    </row>
    <row r="3235" spans="1:5" x14ac:dyDescent="0.3">
      <c r="A3235" t="s">
        <v>3360</v>
      </c>
      <c r="B3235" t="s">
        <v>127</v>
      </c>
      <c r="C3235">
        <v>198</v>
      </c>
      <c r="D3235">
        <f t="shared" si="120"/>
        <v>2010</v>
      </c>
      <c r="E3235">
        <f t="shared" si="121"/>
        <v>10</v>
      </c>
    </row>
    <row r="3236" spans="1:5" x14ac:dyDescent="0.3">
      <c r="A3236" t="s">
        <v>3361</v>
      </c>
      <c r="B3236" t="s">
        <v>127</v>
      </c>
      <c r="C3236">
        <v>197</v>
      </c>
      <c r="D3236">
        <f t="shared" si="120"/>
        <v>2010</v>
      </c>
      <c r="E3236">
        <f t="shared" si="121"/>
        <v>10</v>
      </c>
    </row>
    <row r="3237" spans="1:5" x14ac:dyDescent="0.3">
      <c r="A3237" t="s">
        <v>3362</v>
      </c>
      <c r="B3237" t="s">
        <v>127</v>
      </c>
      <c r="C3237">
        <v>196</v>
      </c>
      <c r="D3237">
        <f t="shared" si="120"/>
        <v>2010</v>
      </c>
      <c r="E3237">
        <f t="shared" si="121"/>
        <v>10</v>
      </c>
    </row>
    <row r="3238" spans="1:5" x14ac:dyDescent="0.3">
      <c r="A3238" t="s">
        <v>3363</v>
      </c>
      <c r="B3238" t="s">
        <v>127</v>
      </c>
      <c r="C3238">
        <v>196</v>
      </c>
      <c r="D3238">
        <f t="shared" si="120"/>
        <v>2010</v>
      </c>
      <c r="E3238">
        <f t="shared" si="121"/>
        <v>10</v>
      </c>
    </row>
    <row r="3239" spans="1:5" x14ac:dyDescent="0.3">
      <c r="A3239" t="s">
        <v>3364</v>
      </c>
      <c r="B3239" t="s">
        <v>127</v>
      </c>
      <c r="C3239">
        <v>183</v>
      </c>
      <c r="D3239">
        <f t="shared" si="120"/>
        <v>2010</v>
      </c>
      <c r="E3239">
        <f t="shared" si="121"/>
        <v>10</v>
      </c>
    </row>
    <row r="3240" spans="1:5" x14ac:dyDescent="0.3">
      <c r="A3240" t="s">
        <v>3365</v>
      </c>
      <c r="B3240" t="s">
        <v>127</v>
      </c>
      <c r="C3240">
        <v>180</v>
      </c>
      <c r="D3240">
        <f t="shared" si="120"/>
        <v>2010</v>
      </c>
      <c r="E3240">
        <f t="shared" si="121"/>
        <v>10</v>
      </c>
    </row>
    <row r="3241" spans="1:5" x14ac:dyDescent="0.3">
      <c r="A3241" t="s">
        <v>3366</v>
      </c>
      <c r="B3241" t="s">
        <v>127</v>
      </c>
      <c r="C3241">
        <v>178</v>
      </c>
      <c r="D3241">
        <f t="shared" si="120"/>
        <v>2010</v>
      </c>
      <c r="E3241">
        <f t="shared" si="121"/>
        <v>10</v>
      </c>
    </row>
    <row r="3242" spans="1:5" x14ac:dyDescent="0.3">
      <c r="A3242" t="s">
        <v>3367</v>
      </c>
      <c r="B3242" t="s">
        <v>127</v>
      </c>
      <c r="C3242">
        <v>181</v>
      </c>
      <c r="D3242">
        <f t="shared" si="120"/>
        <v>2010</v>
      </c>
      <c r="E3242">
        <f t="shared" si="121"/>
        <v>10</v>
      </c>
    </row>
    <row r="3243" spans="1:5" x14ac:dyDescent="0.3">
      <c r="A3243" t="s">
        <v>3368</v>
      </c>
      <c r="B3243" t="s">
        <v>127</v>
      </c>
      <c r="C3243">
        <v>189</v>
      </c>
      <c r="D3243">
        <f t="shared" si="120"/>
        <v>2010</v>
      </c>
      <c r="E3243">
        <f t="shared" si="121"/>
        <v>10</v>
      </c>
    </row>
    <row r="3244" spans="1:5" x14ac:dyDescent="0.3">
      <c r="A3244" t="s">
        <v>3369</v>
      </c>
      <c r="B3244" t="s">
        <v>127</v>
      </c>
      <c r="C3244">
        <v>194</v>
      </c>
      <c r="D3244">
        <f t="shared" si="120"/>
        <v>2010</v>
      </c>
      <c r="E3244">
        <f t="shared" si="121"/>
        <v>10</v>
      </c>
    </row>
    <row r="3245" spans="1:5" x14ac:dyDescent="0.3">
      <c r="A3245" t="s">
        <v>3370</v>
      </c>
      <c r="B3245" t="s">
        <v>127</v>
      </c>
      <c r="C3245">
        <v>192</v>
      </c>
      <c r="D3245">
        <f t="shared" si="120"/>
        <v>2010</v>
      </c>
      <c r="E3245">
        <f t="shared" si="121"/>
        <v>10</v>
      </c>
    </row>
    <row r="3246" spans="1:5" x14ac:dyDescent="0.3">
      <c r="A3246" t="s">
        <v>3371</v>
      </c>
      <c r="B3246" t="s">
        <v>127</v>
      </c>
      <c r="C3246">
        <v>189</v>
      </c>
      <c r="D3246">
        <f t="shared" si="120"/>
        <v>2010</v>
      </c>
      <c r="E3246">
        <f t="shared" si="121"/>
        <v>10</v>
      </c>
    </row>
    <row r="3247" spans="1:5" x14ac:dyDescent="0.3">
      <c r="A3247" t="s">
        <v>3372</v>
      </c>
      <c r="B3247" t="s">
        <v>127</v>
      </c>
      <c r="C3247">
        <v>182</v>
      </c>
      <c r="D3247">
        <f t="shared" si="120"/>
        <v>2010</v>
      </c>
      <c r="E3247">
        <f t="shared" si="121"/>
        <v>10</v>
      </c>
    </row>
    <row r="3248" spans="1:5" x14ac:dyDescent="0.3">
      <c r="A3248" t="s">
        <v>3373</v>
      </c>
      <c r="B3248" t="s">
        <v>127</v>
      </c>
      <c r="C3248">
        <v>173</v>
      </c>
      <c r="D3248">
        <f t="shared" si="120"/>
        <v>2010</v>
      </c>
      <c r="E3248">
        <f t="shared" si="121"/>
        <v>10</v>
      </c>
    </row>
    <row r="3249" spans="1:5" x14ac:dyDescent="0.3">
      <c r="A3249" t="s">
        <v>3374</v>
      </c>
      <c r="B3249" t="s">
        <v>127</v>
      </c>
      <c r="C3249">
        <v>169</v>
      </c>
      <c r="D3249">
        <f t="shared" si="120"/>
        <v>2010</v>
      </c>
      <c r="E3249">
        <f t="shared" si="121"/>
        <v>10</v>
      </c>
    </row>
    <row r="3250" spans="1:5" x14ac:dyDescent="0.3">
      <c r="A3250" t="s">
        <v>3375</v>
      </c>
      <c r="B3250" t="s">
        <v>127</v>
      </c>
      <c r="C3250">
        <v>162</v>
      </c>
      <c r="D3250">
        <f t="shared" si="120"/>
        <v>2010</v>
      </c>
      <c r="E3250">
        <f t="shared" si="121"/>
        <v>10</v>
      </c>
    </row>
    <row r="3251" spans="1:5" x14ac:dyDescent="0.3">
      <c r="A3251" t="s">
        <v>3376</v>
      </c>
      <c r="B3251" t="s">
        <v>127</v>
      </c>
      <c r="C3251">
        <v>164</v>
      </c>
      <c r="D3251">
        <f t="shared" si="120"/>
        <v>2010</v>
      </c>
      <c r="E3251">
        <f t="shared" si="121"/>
        <v>10</v>
      </c>
    </row>
    <row r="3252" spans="1:5" x14ac:dyDescent="0.3">
      <c r="A3252" t="s">
        <v>3377</v>
      </c>
      <c r="B3252" t="s">
        <v>127</v>
      </c>
      <c r="C3252">
        <v>155</v>
      </c>
      <c r="D3252">
        <f t="shared" si="120"/>
        <v>2010</v>
      </c>
      <c r="E3252">
        <f t="shared" si="121"/>
        <v>10</v>
      </c>
    </row>
    <row r="3253" spans="1:5" x14ac:dyDescent="0.3">
      <c r="A3253" t="s">
        <v>3378</v>
      </c>
      <c r="B3253" t="s">
        <v>127</v>
      </c>
      <c r="C3253">
        <v>183.65100000000001</v>
      </c>
      <c r="D3253">
        <f t="shared" si="120"/>
        <v>2010</v>
      </c>
      <c r="E3253">
        <f t="shared" si="121"/>
        <v>10</v>
      </c>
    </row>
    <row r="3254" spans="1:5" x14ac:dyDescent="0.3">
      <c r="A3254" t="s">
        <v>3379</v>
      </c>
      <c r="B3254" t="s">
        <v>127</v>
      </c>
      <c r="C3254">
        <v>149</v>
      </c>
      <c r="D3254">
        <f t="shared" si="120"/>
        <v>2010</v>
      </c>
      <c r="E3254">
        <f t="shared" si="121"/>
        <v>11</v>
      </c>
    </row>
    <row r="3255" spans="1:5" x14ac:dyDescent="0.3">
      <c r="A3255" t="s">
        <v>3380</v>
      </c>
      <c r="B3255" t="s">
        <v>127</v>
      </c>
      <c r="C3255">
        <v>150</v>
      </c>
      <c r="D3255">
        <f t="shared" si="120"/>
        <v>2010</v>
      </c>
      <c r="E3255">
        <f t="shared" si="121"/>
        <v>11</v>
      </c>
    </row>
    <row r="3256" spans="1:5" x14ac:dyDescent="0.3">
      <c r="A3256" t="s">
        <v>3381</v>
      </c>
      <c r="B3256" t="s">
        <v>127</v>
      </c>
      <c r="C3256">
        <v>149</v>
      </c>
      <c r="D3256">
        <f t="shared" si="120"/>
        <v>2010</v>
      </c>
      <c r="E3256">
        <f t="shared" si="121"/>
        <v>11</v>
      </c>
    </row>
    <row r="3257" spans="1:5" x14ac:dyDescent="0.3">
      <c r="A3257" t="s">
        <v>3382</v>
      </c>
      <c r="B3257" t="s">
        <v>127</v>
      </c>
      <c r="C3257">
        <v>151</v>
      </c>
      <c r="D3257">
        <f t="shared" si="120"/>
        <v>2010</v>
      </c>
      <c r="E3257">
        <f t="shared" si="121"/>
        <v>11</v>
      </c>
    </row>
    <row r="3258" spans="1:5" x14ac:dyDescent="0.3">
      <c r="A3258" t="s">
        <v>3383</v>
      </c>
      <c r="B3258" t="s">
        <v>127</v>
      </c>
      <c r="C3258">
        <v>152</v>
      </c>
      <c r="D3258">
        <f t="shared" si="120"/>
        <v>2010</v>
      </c>
      <c r="E3258">
        <f t="shared" si="121"/>
        <v>11</v>
      </c>
    </row>
    <row r="3259" spans="1:5" x14ac:dyDescent="0.3">
      <c r="A3259" t="s">
        <v>3384</v>
      </c>
      <c r="B3259" t="s">
        <v>127</v>
      </c>
      <c r="C3259">
        <v>159</v>
      </c>
      <c r="D3259">
        <f t="shared" si="120"/>
        <v>2010</v>
      </c>
      <c r="E3259">
        <f t="shared" si="121"/>
        <v>11</v>
      </c>
    </row>
    <row r="3260" spans="1:5" x14ac:dyDescent="0.3">
      <c r="A3260" t="s">
        <v>3385</v>
      </c>
      <c r="B3260" t="s">
        <v>127</v>
      </c>
      <c r="C3260">
        <v>158</v>
      </c>
      <c r="D3260">
        <f t="shared" si="120"/>
        <v>2010</v>
      </c>
      <c r="E3260">
        <f t="shared" si="121"/>
        <v>11</v>
      </c>
    </row>
    <row r="3261" spans="1:5" x14ac:dyDescent="0.3">
      <c r="A3261" t="s">
        <v>3386</v>
      </c>
      <c r="B3261" t="s">
        <v>127</v>
      </c>
      <c r="C3261">
        <v>162</v>
      </c>
      <c r="D3261">
        <f t="shared" si="120"/>
        <v>2010</v>
      </c>
      <c r="E3261">
        <f t="shared" si="121"/>
        <v>11</v>
      </c>
    </row>
    <row r="3262" spans="1:5" x14ac:dyDescent="0.3">
      <c r="A3262" t="s">
        <v>3387</v>
      </c>
      <c r="B3262" t="s">
        <v>127</v>
      </c>
      <c r="C3262">
        <v>162</v>
      </c>
      <c r="D3262">
        <f t="shared" si="120"/>
        <v>2010</v>
      </c>
      <c r="E3262">
        <f t="shared" si="121"/>
        <v>11</v>
      </c>
    </row>
    <row r="3263" spans="1:5" x14ac:dyDescent="0.3">
      <c r="A3263" t="s">
        <v>3388</v>
      </c>
      <c r="B3263" t="s">
        <v>127</v>
      </c>
      <c r="C3263">
        <v>167</v>
      </c>
      <c r="D3263">
        <f t="shared" si="120"/>
        <v>2010</v>
      </c>
      <c r="E3263">
        <f t="shared" si="121"/>
        <v>11</v>
      </c>
    </row>
    <row r="3264" spans="1:5" x14ac:dyDescent="0.3">
      <c r="A3264" t="s">
        <v>3389</v>
      </c>
      <c r="B3264" t="s">
        <v>127</v>
      </c>
      <c r="C3264">
        <v>163</v>
      </c>
      <c r="D3264">
        <f t="shared" si="120"/>
        <v>2010</v>
      </c>
      <c r="E3264">
        <f t="shared" si="121"/>
        <v>11</v>
      </c>
    </row>
    <row r="3265" spans="1:5" x14ac:dyDescent="0.3">
      <c r="A3265" t="s">
        <v>3390</v>
      </c>
      <c r="B3265" t="s">
        <v>127</v>
      </c>
      <c r="C3265">
        <v>186</v>
      </c>
      <c r="D3265">
        <f t="shared" si="120"/>
        <v>2010</v>
      </c>
      <c r="E3265">
        <f t="shared" si="121"/>
        <v>11</v>
      </c>
    </row>
    <row r="3266" spans="1:5" x14ac:dyDescent="0.3">
      <c r="A3266" t="s">
        <v>3391</v>
      </c>
      <c r="B3266" t="s">
        <v>127</v>
      </c>
      <c r="C3266">
        <v>173</v>
      </c>
      <c r="D3266">
        <f t="shared" si="120"/>
        <v>2010</v>
      </c>
      <c r="E3266">
        <f t="shared" si="121"/>
        <v>11</v>
      </c>
    </row>
    <row r="3267" spans="1:5" x14ac:dyDescent="0.3">
      <c r="A3267" t="s">
        <v>3392</v>
      </c>
      <c r="B3267" t="s">
        <v>127</v>
      </c>
      <c r="C3267">
        <v>169</v>
      </c>
      <c r="D3267">
        <f t="shared" ref="D3267:D3330" si="122">YEAR(A3267)</f>
        <v>2010</v>
      </c>
      <c r="E3267">
        <f t="shared" ref="E3267:E3330" si="123">MONTH(A3267)</f>
        <v>11</v>
      </c>
    </row>
    <row r="3268" spans="1:5" x14ac:dyDescent="0.3">
      <c r="A3268" t="s">
        <v>3393</v>
      </c>
      <c r="B3268" t="s">
        <v>127</v>
      </c>
      <c r="C3268">
        <v>171</v>
      </c>
      <c r="D3268">
        <f t="shared" si="122"/>
        <v>2010</v>
      </c>
      <c r="E3268">
        <f t="shared" si="123"/>
        <v>11</v>
      </c>
    </row>
    <row r="3269" spans="1:5" x14ac:dyDescent="0.3">
      <c r="A3269" t="s">
        <v>3394</v>
      </c>
      <c r="B3269" t="s">
        <v>127</v>
      </c>
      <c r="C3269">
        <v>178</v>
      </c>
      <c r="D3269">
        <f t="shared" si="122"/>
        <v>2010</v>
      </c>
      <c r="E3269">
        <f t="shared" si="123"/>
        <v>11</v>
      </c>
    </row>
    <row r="3270" spans="1:5" x14ac:dyDescent="0.3">
      <c r="A3270" t="s">
        <v>3395</v>
      </c>
      <c r="B3270" t="s">
        <v>127</v>
      </c>
      <c r="C3270">
        <v>181</v>
      </c>
      <c r="D3270">
        <f t="shared" si="122"/>
        <v>2010</v>
      </c>
      <c r="E3270">
        <f t="shared" si="123"/>
        <v>11</v>
      </c>
    </row>
    <row r="3271" spans="1:5" x14ac:dyDescent="0.3">
      <c r="A3271" t="s">
        <v>3396</v>
      </c>
      <c r="B3271" t="s">
        <v>127</v>
      </c>
      <c r="C3271">
        <v>166</v>
      </c>
      <c r="D3271">
        <f t="shared" si="122"/>
        <v>2010</v>
      </c>
      <c r="E3271">
        <f t="shared" si="123"/>
        <v>11</v>
      </c>
    </row>
    <row r="3272" spans="1:5" x14ac:dyDescent="0.3">
      <c r="A3272" t="s">
        <v>3397</v>
      </c>
      <c r="B3272" t="s">
        <v>127</v>
      </c>
      <c r="C3272">
        <v>166</v>
      </c>
      <c r="D3272">
        <f t="shared" si="122"/>
        <v>2010</v>
      </c>
      <c r="E3272">
        <f t="shared" si="123"/>
        <v>11</v>
      </c>
    </row>
    <row r="3273" spans="1:5" x14ac:dyDescent="0.3">
      <c r="A3273" t="s">
        <v>3398</v>
      </c>
      <c r="B3273" t="s">
        <v>127</v>
      </c>
      <c r="C3273">
        <v>166</v>
      </c>
      <c r="D3273">
        <f t="shared" si="122"/>
        <v>2010</v>
      </c>
      <c r="E3273">
        <f t="shared" si="123"/>
        <v>11</v>
      </c>
    </row>
    <row r="3274" spans="1:5" x14ac:dyDescent="0.3">
      <c r="A3274" t="s">
        <v>3399</v>
      </c>
      <c r="B3274" t="s">
        <v>127</v>
      </c>
      <c r="C3274">
        <v>180</v>
      </c>
      <c r="D3274">
        <f t="shared" si="122"/>
        <v>2010</v>
      </c>
      <c r="E3274">
        <f t="shared" si="123"/>
        <v>11</v>
      </c>
    </row>
    <row r="3275" spans="1:5" x14ac:dyDescent="0.3">
      <c r="A3275" t="s">
        <v>3400</v>
      </c>
      <c r="B3275" t="s">
        <v>127</v>
      </c>
      <c r="C3275">
        <v>187</v>
      </c>
      <c r="D3275">
        <f t="shared" si="122"/>
        <v>2010</v>
      </c>
      <c r="E3275">
        <f t="shared" si="123"/>
        <v>11</v>
      </c>
    </row>
    <row r="3276" spans="1:5" x14ac:dyDescent="0.3">
      <c r="A3276" t="s">
        <v>3401</v>
      </c>
      <c r="B3276" t="s">
        <v>127</v>
      </c>
      <c r="C3276">
        <v>172</v>
      </c>
      <c r="D3276">
        <f t="shared" si="122"/>
        <v>2010</v>
      </c>
      <c r="E3276">
        <f t="shared" si="123"/>
        <v>12</v>
      </c>
    </row>
    <row r="3277" spans="1:5" x14ac:dyDescent="0.3">
      <c r="A3277" t="s">
        <v>3402</v>
      </c>
      <c r="B3277" t="s">
        <v>127</v>
      </c>
      <c r="C3277">
        <v>169</v>
      </c>
      <c r="D3277">
        <f t="shared" si="122"/>
        <v>2010</v>
      </c>
      <c r="E3277">
        <f t="shared" si="123"/>
        <v>12</v>
      </c>
    </row>
    <row r="3278" spans="1:5" x14ac:dyDescent="0.3">
      <c r="A3278" t="s">
        <v>3403</v>
      </c>
      <c r="B3278" t="s">
        <v>127</v>
      </c>
      <c r="C3278">
        <v>163</v>
      </c>
      <c r="D3278">
        <f t="shared" si="122"/>
        <v>2010</v>
      </c>
      <c r="E3278">
        <f t="shared" si="123"/>
        <v>12</v>
      </c>
    </row>
    <row r="3279" spans="1:5" x14ac:dyDescent="0.3">
      <c r="A3279" t="s">
        <v>3404</v>
      </c>
      <c r="B3279" t="s">
        <v>127</v>
      </c>
      <c r="C3279">
        <v>166</v>
      </c>
      <c r="D3279">
        <f t="shared" si="122"/>
        <v>2010</v>
      </c>
      <c r="E3279">
        <f t="shared" si="123"/>
        <v>12</v>
      </c>
    </row>
    <row r="3280" spans="1:5" x14ac:dyDescent="0.3">
      <c r="A3280" t="s">
        <v>3405</v>
      </c>
      <c r="B3280" t="s">
        <v>127</v>
      </c>
      <c r="C3280">
        <v>150</v>
      </c>
      <c r="D3280">
        <f t="shared" si="122"/>
        <v>2010</v>
      </c>
      <c r="E3280">
        <f t="shared" si="123"/>
        <v>12</v>
      </c>
    </row>
    <row r="3281" spans="1:5" x14ac:dyDescent="0.3">
      <c r="A3281" t="s">
        <v>3406</v>
      </c>
      <c r="B3281" t="s">
        <v>127</v>
      </c>
      <c r="C3281">
        <v>155</v>
      </c>
      <c r="D3281">
        <f t="shared" si="122"/>
        <v>2010</v>
      </c>
      <c r="E3281">
        <f t="shared" si="123"/>
        <v>12</v>
      </c>
    </row>
    <row r="3282" spans="1:5" x14ac:dyDescent="0.3">
      <c r="A3282" t="s">
        <v>3407</v>
      </c>
      <c r="B3282" t="s">
        <v>127</v>
      </c>
      <c r="C3282">
        <v>151</v>
      </c>
      <c r="D3282">
        <f t="shared" si="122"/>
        <v>2010</v>
      </c>
      <c r="E3282">
        <f t="shared" si="123"/>
        <v>12</v>
      </c>
    </row>
    <row r="3283" spans="1:5" x14ac:dyDescent="0.3">
      <c r="A3283" t="s">
        <v>3408</v>
      </c>
      <c r="B3283" t="s">
        <v>127</v>
      </c>
      <c r="C3283">
        <v>150</v>
      </c>
      <c r="D3283">
        <f t="shared" si="122"/>
        <v>2010</v>
      </c>
      <c r="E3283">
        <f t="shared" si="123"/>
        <v>12</v>
      </c>
    </row>
    <row r="3284" spans="1:5" x14ac:dyDescent="0.3">
      <c r="A3284" t="s">
        <v>3409</v>
      </c>
      <c r="B3284" t="s">
        <v>127</v>
      </c>
      <c r="C3284">
        <v>154</v>
      </c>
      <c r="D3284">
        <f t="shared" si="122"/>
        <v>2010</v>
      </c>
      <c r="E3284">
        <f t="shared" si="123"/>
        <v>12</v>
      </c>
    </row>
    <row r="3285" spans="1:5" x14ac:dyDescent="0.3">
      <c r="A3285" t="s">
        <v>3410</v>
      </c>
      <c r="B3285" t="s">
        <v>127</v>
      </c>
      <c r="C3285">
        <v>146</v>
      </c>
      <c r="D3285">
        <f t="shared" si="122"/>
        <v>2010</v>
      </c>
      <c r="E3285">
        <f t="shared" si="123"/>
        <v>12</v>
      </c>
    </row>
    <row r="3286" spans="1:5" x14ac:dyDescent="0.3">
      <c r="A3286" t="s">
        <v>3411</v>
      </c>
      <c r="B3286" t="s">
        <v>127</v>
      </c>
      <c r="C3286">
        <v>157</v>
      </c>
      <c r="D3286">
        <f t="shared" si="122"/>
        <v>2010</v>
      </c>
      <c r="E3286">
        <f t="shared" si="123"/>
        <v>12</v>
      </c>
    </row>
    <row r="3287" spans="1:5" x14ac:dyDescent="0.3">
      <c r="A3287" t="s">
        <v>3412</v>
      </c>
      <c r="B3287" t="s">
        <v>127</v>
      </c>
      <c r="C3287">
        <v>168</v>
      </c>
      <c r="D3287">
        <f t="shared" si="122"/>
        <v>2010</v>
      </c>
      <c r="E3287">
        <f t="shared" si="123"/>
        <v>12</v>
      </c>
    </row>
    <row r="3288" spans="1:5" x14ac:dyDescent="0.3">
      <c r="A3288" t="s">
        <v>3413</v>
      </c>
      <c r="B3288" t="s">
        <v>127</v>
      </c>
      <c r="C3288">
        <v>178</v>
      </c>
      <c r="D3288">
        <f t="shared" si="122"/>
        <v>2010</v>
      </c>
      <c r="E3288">
        <f t="shared" si="123"/>
        <v>12</v>
      </c>
    </row>
    <row r="3289" spans="1:5" x14ac:dyDescent="0.3">
      <c r="A3289" t="s">
        <v>3414</v>
      </c>
      <c r="B3289" t="s">
        <v>127</v>
      </c>
      <c r="C3289">
        <v>170</v>
      </c>
      <c r="D3289">
        <f t="shared" si="122"/>
        <v>2010</v>
      </c>
      <c r="E3289">
        <f t="shared" si="123"/>
        <v>12</v>
      </c>
    </row>
    <row r="3290" spans="1:5" x14ac:dyDescent="0.3">
      <c r="A3290" t="s">
        <v>3415</v>
      </c>
      <c r="B3290" t="s">
        <v>127</v>
      </c>
      <c r="C3290">
        <v>173</v>
      </c>
      <c r="D3290">
        <f t="shared" si="122"/>
        <v>2010</v>
      </c>
      <c r="E3290">
        <f t="shared" si="123"/>
        <v>12</v>
      </c>
    </row>
    <row r="3291" spans="1:5" x14ac:dyDescent="0.3">
      <c r="A3291" t="s">
        <v>3416</v>
      </c>
      <c r="B3291" t="s">
        <v>127</v>
      </c>
      <c r="C3291">
        <v>168</v>
      </c>
      <c r="D3291">
        <f t="shared" si="122"/>
        <v>2010</v>
      </c>
      <c r="E3291">
        <f t="shared" si="123"/>
        <v>12</v>
      </c>
    </row>
    <row r="3292" spans="1:5" x14ac:dyDescent="0.3">
      <c r="A3292" t="s">
        <v>3417</v>
      </c>
      <c r="B3292" t="s">
        <v>127</v>
      </c>
      <c r="C3292">
        <v>167</v>
      </c>
      <c r="D3292">
        <f t="shared" si="122"/>
        <v>2010</v>
      </c>
      <c r="E3292">
        <f t="shared" si="123"/>
        <v>12</v>
      </c>
    </row>
    <row r="3293" spans="1:5" x14ac:dyDescent="0.3">
      <c r="A3293" t="s">
        <v>3418</v>
      </c>
      <c r="B3293" t="s">
        <v>127</v>
      </c>
      <c r="C3293">
        <v>167</v>
      </c>
      <c r="D3293">
        <f t="shared" si="122"/>
        <v>2010</v>
      </c>
      <c r="E3293">
        <f t="shared" si="123"/>
        <v>12</v>
      </c>
    </row>
    <row r="3294" spans="1:5" x14ac:dyDescent="0.3">
      <c r="A3294" t="s">
        <v>3419</v>
      </c>
      <c r="B3294" t="s">
        <v>127</v>
      </c>
      <c r="C3294">
        <v>165</v>
      </c>
      <c r="D3294">
        <f t="shared" si="122"/>
        <v>2010</v>
      </c>
      <c r="E3294">
        <f t="shared" si="123"/>
        <v>12</v>
      </c>
    </row>
    <row r="3295" spans="1:5" x14ac:dyDescent="0.3">
      <c r="A3295" t="s">
        <v>3420</v>
      </c>
      <c r="B3295" t="s">
        <v>127</v>
      </c>
      <c r="C3295">
        <v>164</v>
      </c>
      <c r="D3295">
        <f t="shared" si="122"/>
        <v>2010</v>
      </c>
      <c r="E3295">
        <f t="shared" si="123"/>
        <v>12</v>
      </c>
    </row>
    <row r="3296" spans="1:5" x14ac:dyDescent="0.3">
      <c r="A3296" t="s">
        <v>3421</v>
      </c>
      <c r="B3296" t="s">
        <v>127</v>
      </c>
      <c r="C3296">
        <v>169</v>
      </c>
      <c r="D3296">
        <f t="shared" si="122"/>
        <v>2010</v>
      </c>
      <c r="E3296">
        <f t="shared" si="123"/>
        <v>12</v>
      </c>
    </row>
    <row r="3297" spans="1:5" x14ac:dyDescent="0.3">
      <c r="A3297" t="s">
        <v>3422</v>
      </c>
      <c r="B3297" t="s">
        <v>127</v>
      </c>
      <c r="C3297">
        <v>164</v>
      </c>
      <c r="D3297">
        <f t="shared" si="122"/>
        <v>2010</v>
      </c>
      <c r="E3297">
        <f t="shared" si="123"/>
        <v>12</v>
      </c>
    </row>
    <row r="3298" spans="1:5" x14ac:dyDescent="0.3">
      <c r="A3298" t="s">
        <v>3423</v>
      </c>
      <c r="B3298" t="s">
        <v>127</v>
      </c>
      <c r="C3298">
        <v>173</v>
      </c>
      <c r="D3298">
        <f t="shared" si="122"/>
        <v>2010</v>
      </c>
      <c r="E3298">
        <f t="shared" si="123"/>
        <v>12</v>
      </c>
    </row>
    <row r="3299" spans="1:5" x14ac:dyDescent="0.3">
      <c r="A3299" t="s">
        <v>3424</v>
      </c>
      <c r="B3299" t="s">
        <v>127</v>
      </c>
      <c r="C3299">
        <v>164</v>
      </c>
      <c r="D3299">
        <f t="shared" si="122"/>
        <v>2011</v>
      </c>
      <c r="E3299">
        <f t="shared" si="123"/>
        <v>1</v>
      </c>
    </row>
    <row r="3300" spans="1:5" x14ac:dyDescent="0.3">
      <c r="A3300" t="s">
        <v>3425</v>
      </c>
      <c r="B3300" t="s">
        <v>127</v>
      </c>
      <c r="C3300">
        <v>149</v>
      </c>
      <c r="D3300">
        <f t="shared" si="122"/>
        <v>2011</v>
      </c>
      <c r="E3300">
        <f t="shared" si="123"/>
        <v>1</v>
      </c>
    </row>
    <row r="3301" spans="1:5" x14ac:dyDescent="0.3">
      <c r="A3301" t="s">
        <v>3426</v>
      </c>
      <c r="B3301" t="s">
        <v>127</v>
      </c>
      <c r="C3301">
        <v>146</v>
      </c>
      <c r="D3301">
        <f t="shared" si="122"/>
        <v>2011</v>
      </c>
      <c r="E3301">
        <f t="shared" si="123"/>
        <v>1</v>
      </c>
    </row>
    <row r="3302" spans="1:5" x14ac:dyDescent="0.3">
      <c r="A3302" t="s">
        <v>3427</v>
      </c>
      <c r="B3302" t="s">
        <v>127</v>
      </c>
      <c r="C3302">
        <v>147</v>
      </c>
      <c r="D3302">
        <f t="shared" si="122"/>
        <v>2011</v>
      </c>
      <c r="E3302">
        <f t="shared" si="123"/>
        <v>1</v>
      </c>
    </row>
    <row r="3303" spans="1:5" x14ac:dyDescent="0.3">
      <c r="A3303" t="s">
        <v>3428</v>
      </c>
      <c r="B3303" t="s">
        <v>127</v>
      </c>
      <c r="C3303">
        <v>155</v>
      </c>
      <c r="D3303">
        <f t="shared" si="122"/>
        <v>2011</v>
      </c>
      <c r="E3303">
        <f t="shared" si="123"/>
        <v>1</v>
      </c>
    </row>
    <row r="3304" spans="1:5" x14ac:dyDescent="0.3">
      <c r="A3304" t="s">
        <v>3429</v>
      </c>
      <c r="B3304" t="s">
        <v>127</v>
      </c>
      <c r="C3304">
        <v>158</v>
      </c>
      <c r="D3304">
        <f t="shared" si="122"/>
        <v>2011</v>
      </c>
      <c r="E3304">
        <f t="shared" si="123"/>
        <v>1</v>
      </c>
    </row>
    <row r="3305" spans="1:5" x14ac:dyDescent="0.3">
      <c r="A3305" t="s">
        <v>3430</v>
      </c>
      <c r="B3305" t="s">
        <v>127</v>
      </c>
      <c r="C3305">
        <v>150</v>
      </c>
      <c r="D3305">
        <f t="shared" si="122"/>
        <v>2011</v>
      </c>
      <c r="E3305">
        <f t="shared" si="123"/>
        <v>1</v>
      </c>
    </row>
    <row r="3306" spans="1:5" x14ac:dyDescent="0.3">
      <c r="A3306" t="s">
        <v>3431</v>
      </c>
      <c r="B3306" t="s">
        <v>127</v>
      </c>
      <c r="C3306">
        <v>149</v>
      </c>
      <c r="D3306">
        <f t="shared" si="122"/>
        <v>2011</v>
      </c>
      <c r="E3306">
        <f t="shared" si="123"/>
        <v>1</v>
      </c>
    </row>
    <row r="3307" spans="1:5" x14ac:dyDescent="0.3">
      <c r="A3307" t="s">
        <v>3432</v>
      </c>
      <c r="B3307" t="s">
        <v>127</v>
      </c>
      <c r="C3307">
        <v>150</v>
      </c>
      <c r="D3307">
        <f t="shared" si="122"/>
        <v>2011</v>
      </c>
      <c r="E3307">
        <f t="shared" si="123"/>
        <v>1</v>
      </c>
    </row>
    <row r="3308" spans="1:5" x14ac:dyDescent="0.3">
      <c r="A3308" t="s">
        <v>3433</v>
      </c>
      <c r="B3308" t="s">
        <v>127</v>
      </c>
      <c r="C3308">
        <v>155</v>
      </c>
      <c r="D3308">
        <f t="shared" si="122"/>
        <v>2011</v>
      </c>
      <c r="E3308">
        <f t="shared" si="123"/>
        <v>1</v>
      </c>
    </row>
    <row r="3309" spans="1:5" x14ac:dyDescent="0.3">
      <c r="A3309" t="s">
        <v>3434</v>
      </c>
      <c r="B3309" t="s">
        <v>127</v>
      </c>
      <c r="C3309">
        <v>155</v>
      </c>
      <c r="D3309">
        <f t="shared" si="122"/>
        <v>2011</v>
      </c>
      <c r="E3309">
        <f t="shared" si="123"/>
        <v>1</v>
      </c>
    </row>
    <row r="3310" spans="1:5" x14ac:dyDescent="0.3">
      <c r="A3310" t="s">
        <v>3435</v>
      </c>
      <c r="B3310" t="s">
        <v>127</v>
      </c>
      <c r="C3310">
        <v>155</v>
      </c>
      <c r="D3310">
        <f t="shared" si="122"/>
        <v>2011</v>
      </c>
      <c r="E3310">
        <f t="shared" si="123"/>
        <v>1</v>
      </c>
    </row>
    <row r="3311" spans="1:5" x14ac:dyDescent="0.3">
      <c r="A3311" t="s">
        <v>3436</v>
      </c>
      <c r="B3311" t="s">
        <v>127</v>
      </c>
      <c r="C3311">
        <v>164</v>
      </c>
      <c r="D3311">
        <f t="shared" si="122"/>
        <v>2011</v>
      </c>
      <c r="E3311">
        <f t="shared" si="123"/>
        <v>1</v>
      </c>
    </row>
    <row r="3312" spans="1:5" x14ac:dyDescent="0.3">
      <c r="A3312" t="s">
        <v>3437</v>
      </c>
      <c r="B3312" t="s">
        <v>127</v>
      </c>
      <c r="C3312">
        <v>159</v>
      </c>
      <c r="D3312">
        <f t="shared" si="122"/>
        <v>2011</v>
      </c>
      <c r="E3312">
        <f t="shared" si="123"/>
        <v>1</v>
      </c>
    </row>
    <row r="3313" spans="1:5" x14ac:dyDescent="0.3">
      <c r="A3313" t="s">
        <v>3438</v>
      </c>
      <c r="B3313" t="s">
        <v>127</v>
      </c>
      <c r="C3313">
        <v>158</v>
      </c>
      <c r="D3313">
        <f t="shared" si="122"/>
        <v>2011</v>
      </c>
      <c r="E3313">
        <f t="shared" si="123"/>
        <v>1</v>
      </c>
    </row>
    <row r="3314" spans="1:5" x14ac:dyDescent="0.3">
      <c r="A3314" t="s">
        <v>3439</v>
      </c>
      <c r="B3314" t="s">
        <v>127</v>
      </c>
      <c r="C3314">
        <v>158</v>
      </c>
      <c r="D3314">
        <f t="shared" si="122"/>
        <v>2011</v>
      </c>
      <c r="E3314">
        <f t="shared" si="123"/>
        <v>1</v>
      </c>
    </row>
    <row r="3315" spans="1:5" x14ac:dyDescent="0.3">
      <c r="A3315" t="s">
        <v>3440</v>
      </c>
      <c r="B3315" t="s">
        <v>127</v>
      </c>
      <c r="C3315">
        <v>161</v>
      </c>
      <c r="D3315">
        <f t="shared" si="122"/>
        <v>2011</v>
      </c>
      <c r="E3315">
        <f t="shared" si="123"/>
        <v>1</v>
      </c>
    </row>
    <row r="3316" spans="1:5" x14ac:dyDescent="0.3">
      <c r="A3316" t="s">
        <v>3441</v>
      </c>
      <c r="B3316" t="s">
        <v>127</v>
      </c>
      <c r="C3316">
        <v>151</v>
      </c>
      <c r="D3316">
        <f t="shared" si="122"/>
        <v>2011</v>
      </c>
      <c r="E3316">
        <f t="shared" si="123"/>
        <v>1</v>
      </c>
    </row>
    <row r="3317" spans="1:5" x14ac:dyDescent="0.3">
      <c r="A3317" t="s">
        <v>3442</v>
      </c>
      <c r="B3317" t="s">
        <v>127</v>
      </c>
      <c r="C3317">
        <v>156</v>
      </c>
      <c r="D3317">
        <f t="shared" si="122"/>
        <v>2011</v>
      </c>
      <c r="E3317">
        <f t="shared" si="123"/>
        <v>1</v>
      </c>
    </row>
    <row r="3318" spans="1:5" x14ac:dyDescent="0.3">
      <c r="A3318" t="s">
        <v>3443</v>
      </c>
      <c r="B3318" t="s">
        <v>127</v>
      </c>
      <c r="C3318">
        <v>169</v>
      </c>
      <c r="D3318">
        <f t="shared" si="122"/>
        <v>2011</v>
      </c>
      <c r="E3318">
        <f t="shared" si="123"/>
        <v>1</v>
      </c>
    </row>
    <row r="3319" spans="1:5" x14ac:dyDescent="0.3">
      <c r="A3319" t="s">
        <v>3444</v>
      </c>
      <c r="B3319" t="s">
        <v>127</v>
      </c>
      <c r="C3319">
        <v>162</v>
      </c>
      <c r="D3319">
        <f t="shared" si="122"/>
        <v>2011</v>
      </c>
      <c r="E3319">
        <f t="shared" si="123"/>
        <v>1</v>
      </c>
    </row>
    <row r="3320" spans="1:5" x14ac:dyDescent="0.3">
      <c r="A3320" t="s">
        <v>3445</v>
      </c>
      <c r="B3320" t="s">
        <v>127</v>
      </c>
      <c r="C3320">
        <v>153</v>
      </c>
      <c r="D3320">
        <f t="shared" si="122"/>
        <v>2011</v>
      </c>
      <c r="E3320">
        <f t="shared" si="123"/>
        <v>2</v>
      </c>
    </row>
    <row r="3321" spans="1:5" x14ac:dyDescent="0.3">
      <c r="A3321" t="s">
        <v>3446</v>
      </c>
      <c r="B3321" t="s">
        <v>127</v>
      </c>
      <c r="C3321">
        <v>147</v>
      </c>
      <c r="D3321">
        <f t="shared" si="122"/>
        <v>2011</v>
      </c>
      <c r="E3321">
        <f t="shared" si="123"/>
        <v>2</v>
      </c>
    </row>
    <row r="3322" spans="1:5" x14ac:dyDescent="0.3">
      <c r="A3322" t="s">
        <v>3447</v>
      </c>
      <c r="B3322" t="s">
        <v>127</v>
      </c>
      <c r="C3322">
        <v>149</v>
      </c>
      <c r="D3322">
        <f t="shared" si="122"/>
        <v>2011</v>
      </c>
      <c r="E3322">
        <f t="shared" si="123"/>
        <v>2</v>
      </c>
    </row>
    <row r="3323" spans="1:5" x14ac:dyDescent="0.3">
      <c r="A3323" t="s">
        <v>3448</v>
      </c>
      <c r="B3323" t="s">
        <v>127</v>
      </c>
      <c r="C3323">
        <v>143</v>
      </c>
      <c r="D3323">
        <f t="shared" si="122"/>
        <v>2011</v>
      </c>
      <c r="E3323">
        <f t="shared" si="123"/>
        <v>2</v>
      </c>
    </row>
    <row r="3324" spans="1:5" x14ac:dyDescent="0.3">
      <c r="A3324" t="s">
        <v>3449</v>
      </c>
      <c r="B3324" t="s">
        <v>127</v>
      </c>
      <c r="C3324">
        <v>148</v>
      </c>
      <c r="D3324">
        <f t="shared" si="122"/>
        <v>2011</v>
      </c>
      <c r="E3324">
        <f t="shared" si="123"/>
        <v>2</v>
      </c>
    </row>
    <row r="3325" spans="1:5" x14ac:dyDescent="0.3">
      <c r="A3325" t="s">
        <v>3450</v>
      </c>
      <c r="B3325" t="s">
        <v>127</v>
      </c>
      <c r="C3325">
        <v>147</v>
      </c>
      <c r="D3325">
        <f t="shared" si="122"/>
        <v>2011</v>
      </c>
      <c r="E3325">
        <f t="shared" si="123"/>
        <v>2</v>
      </c>
    </row>
    <row r="3326" spans="1:5" x14ac:dyDescent="0.3">
      <c r="A3326" t="s">
        <v>3451</v>
      </c>
      <c r="B3326" t="s">
        <v>127</v>
      </c>
      <c r="C3326">
        <v>154</v>
      </c>
      <c r="D3326">
        <f t="shared" si="122"/>
        <v>2011</v>
      </c>
      <c r="E3326">
        <f t="shared" si="123"/>
        <v>2</v>
      </c>
    </row>
    <row r="3327" spans="1:5" x14ac:dyDescent="0.3">
      <c r="A3327" t="s">
        <v>3452</v>
      </c>
      <c r="B3327" t="s">
        <v>127</v>
      </c>
      <c r="C3327">
        <v>154</v>
      </c>
      <c r="D3327">
        <f t="shared" si="122"/>
        <v>2011</v>
      </c>
      <c r="E3327">
        <f t="shared" si="123"/>
        <v>2</v>
      </c>
    </row>
    <row r="3328" spans="1:5" x14ac:dyDescent="0.3">
      <c r="A3328" t="s">
        <v>3453</v>
      </c>
      <c r="B3328" t="s">
        <v>127</v>
      </c>
      <c r="C3328">
        <v>156</v>
      </c>
      <c r="D3328">
        <f t="shared" si="122"/>
        <v>2011</v>
      </c>
      <c r="E3328">
        <f t="shared" si="123"/>
        <v>2</v>
      </c>
    </row>
    <row r="3329" spans="1:5" x14ac:dyDescent="0.3">
      <c r="A3329" t="s">
        <v>3454</v>
      </c>
      <c r="B3329" t="s">
        <v>127</v>
      </c>
      <c r="C3329">
        <v>162</v>
      </c>
      <c r="D3329">
        <f t="shared" si="122"/>
        <v>2011</v>
      </c>
      <c r="E3329">
        <f t="shared" si="123"/>
        <v>2</v>
      </c>
    </row>
    <row r="3330" spans="1:5" x14ac:dyDescent="0.3">
      <c r="A3330" t="s">
        <v>3455</v>
      </c>
      <c r="B3330" t="s">
        <v>127</v>
      </c>
      <c r="C3330">
        <v>166</v>
      </c>
      <c r="D3330">
        <f t="shared" si="122"/>
        <v>2011</v>
      </c>
      <c r="E3330">
        <f t="shared" si="123"/>
        <v>2</v>
      </c>
    </row>
    <row r="3331" spans="1:5" x14ac:dyDescent="0.3">
      <c r="A3331" t="s">
        <v>3456</v>
      </c>
      <c r="B3331" t="s">
        <v>127</v>
      </c>
      <c r="C3331">
        <v>160</v>
      </c>
      <c r="D3331">
        <f t="shared" ref="D3331:D3394" si="124">YEAR(A3331)</f>
        <v>2011</v>
      </c>
      <c r="E3331">
        <f t="shared" ref="E3331:E3394" si="125">MONTH(A3331)</f>
        <v>2</v>
      </c>
    </row>
    <row r="3332" spans="1:5" x14ac:dyDescent="0.3">
      <c r="A3332" t="s">
        <v>3457</v>
      </c>
      <c r="B3332" t="s">
        <v>127</v>
      </c>
      <c r="C3332">
        <v>158</v>
      </c>
      <c r="D3332">
        <f t="shared" si="124"/>
        <v>2011</v>
      </c>
      <c r="E3332">
        <f t="shared" si="125"/>
        <v>2</v>
      </c>
    </row>
    <row r="3333" spans="1:5" x14ac:dyDescent="0.3">
      <c r="A3333" t="s">
        <v>3458</v>
      </c>
      <c r="B3333" t="s">
        <v>127</v>
      </c>
      <c r="C3333">
        <v>158</v>
      </c>
      <c r="D3333">
        <f t="shared" si="124"/>
        <v>2011</v>
      </c>
      <c r="E3333">
        <f t="shared" si="125"/>
        <v>2</v>
      </c>
    </row>
    <row r="3334" spans="1:5" x14ac:dyDescent="0.3">
      <c r="A3334" t="s">
        <v>3459</v>
      </c>
      <c r="B3334" t="s">
        <v>127</v>
      </c>
      <c r="C3334">
        <v>158</v>
      </c>
      <c r="D3334">
        <f t="shared" si="124"/>
        <v>2011</v>
      </c>
      <c r="E3334">
        <f t="shared" si="125"/>
        <v>2</v>
      </c>
    </row>
    <row r="3335" spans="1:5" x14ac:dyDescent="0.3">
      <c r="A3335" t="s">
        <v>3460</v>
      </c>
      <c r="B3335" t="s">
        <v>127</v>
      </c>
      <c r="C3335">
        <v>167</v>
      </c>
      <c r="D3335">
        <f t="shared" si="124"/>
        <v>2011</v>
      </c>
      <c r="E3335">
        <f t="shared" si="125"/>
        <v>2</v>
      </c>
    </row>
    <row r="3336" spans="1:5" x14ac:dyDescent="0.3">
      <c r="A3336" t="s">
        <v>3461</v>
      </c>
      <c r="B3336" t="s">
        <v>127</v>
      </c>
      <c r="C3336">
        <v>168</v>
      </c>
      <c r="D3336">
        <f t="shared" si="124"/>
        <v>2011</v>
      </c>
      <c r="E3336">
        <f t="shared" si="125"/>
        <v>2</v>
      </c>
    </row>
    <row r="3337" spans="1:5" x14ac:dyDescent="0.3">
      <c r="A3337" t="s">
        <v>3462</v>
      </c>
      <c r="B3337" t="s">
        <v>127</v>
      </c>
      <c r="C3337">
        <v>170</v>
      </c>
      <c r="D3337">
        <f t="shared" si="124"/>
        <v>2011</v>
      </c>
      <c r="E3337">
        <f t="shared" si="125"/>
        <v>2</v>
      </c>
    </row>
    <row r="3338" spans="1:5" x14ac:dyDescent="0.3">
      <c r="A3338" t="s">
        <v>3463</v>
      </c>
      <c r="B3338" t="s">
        <v>127</v>
      </c>
      <c r="C3338">
        <v>170</v>
      </c>
      <c r="D3338">
        <f t="shared" si="124"/>
        <v>2011</v>
      </c>
      <c r="E3338">
        <f t="shared" si="125"/>
        <v>2</v>
      </c>
    </row>
    <row r="3339" spans="1:5" x14ac:dyDescent="0.3">
      <c r="A3339" t="s">
        <v>3464</v>
      </c>
      <c r="B3339" t="s">
        <v>127</v>
      </c>
      <c r="C3339">
        <v>162</v>
      </c>
      <c r="D3339">
        <f t="shared" si="124"/>
        <v>2011</v>
      </c>
      <c r="E3339">
        <f t="shared" si="125"/>
        <v>2</v>
      </c>
    </row>
    <row r="3340" spans="1:5" x14ac:dyDescent="0.3">
      <c r="A3340" t="s">
        <v>3465</v>
      </c>
      <c r="B3340" t="s">
        <v>127</v>
      </c>
      <c r="C3340">
        <v>159</v>
      </c>
      <c r="D3340">
        <f t="shared" si="124"/>
        <v>2011</v>
      </c>
      <c r="E3340">
        <f t="shared" si="125"/>
        <v>3</v>
      </c>
    </row>
    <row r="3341" spans="1:5" x14ac:dyDescent="0.3">
      <c r="A3341" t="s">
        <v>3466</v>
      </c>
      <c r="B3341" t="s">
        <v>127</v>
      </c>
      <c r="C3341">
        <v>154</v>
      </c>
      <c r="D3341">
        <f t="shared" si="124"/>
        <v>2011</v>
      </c>
      <c r="E3341">
        <f t="shared" si="125"/>
        <v>3</v>
      </c>
    </row>
    <row r="3342" spans="1:5" x14ac:dyDescent="0.3">
      <c r="A3342" t="s">
        <v>3467</v>
      </c>
      <c r="B3342" t="s">
        <v>127</v>
      </c>
      <c r="C3342">
        <v>143</v>
      </c>
      <c r="D3342">
        <f t="shared" si="124"/>
        <v>2011</v>
      </c>
      <c r="E3342">
        <f t="shared" si="125"/>
        <v>3</v>
      </c>
    </row>
    <row r="3343" spans="1:5" x14ac:dyDescent="0.3">
      <c r="A3343" t="s">
        <v>3468</v>
      </c>
      <c r="B3343" t="s">
        <v>127</v>
      </c>
      <c r="C3343">
        <v>150</v>
      </c>
      <c r="D3343">
        <f t="shared" si="124"/>
        <v>2011</v>
      </c>
      <c r="E3343">
        <f t="shared" si="125"/>
        <v>3</v>
      </c>
    </row>
    <row r="3344" spans="1:5" x14ac:dyDescent="0.3">
      <c r="A3344" t="s">
        <v>3469</v>
      </c>
      <c r="B3344" t="s">
        <v>127</v>
      </c>
      <c r="C3344">
        <v>150</v>
      </c>
      <c r="D3344">
        <f t="shared" si="124"/>
        <v>2011</v>
      </c>
      <c r="E3344">
        <f t="shared" si="125"/>
        <v>3</v>
      </c>
    </row>
    <row r="3345" spans="1:5" x14ac:dyDescent="0.3">
      <c r="A3345" t="s">
        <v>3470</v>
      </c>
      <c r="B3345" t="s">
        <v>127</v>
      </c>
      <c r="C3345">
        <v>144</v>
      </c>
      <c r="D3345">
        <f t="shared" si="124"/>
        <v>2011</v>
      </c>
      <c r="E3345">
        <f t="shared" si="125"/>
        <v>3</v>
      </c>
    </row>
    <row r="3346" spans="1:5" x14ac:dyDescent="0.3">
      <c r="A3346" t="s">
        <v>3471</v>
      </c>
      <c r="B3346" t="s">
        <v>127</v>
      </c>
      <c r="C3346">
        <v>147</v>
      </c>
      <c r="D3346">
        <f t="shared" si="124"/>
        <v>2011</v>
      </c>
      <c r="E3346">
        <f t="shared" si="125"/>
        <v>3</v>
      </c>
    </row>
    <row r="3347" spans="1:5" x14ac:dyDescent="0.3">
      <c r="A3347" t="s">
        <v>3472</v>
      </c>
      <c r="B3347" t="s">
        <v>127</v>
      </c>
      <c r="C3347">
        <v>160</v>
      </c>
      <c r="D3347">
        <f t="shared" si="124"/>
        <v>2011</v>
      </c>
      <c r="E3347">
        <f t="shared" si="125"/>
        <v>3</v>
      </c>
    </row>
    <row r="3348" spans="1:5" x14ac:dyDescent="0.3">
      <c r="A3348" t="s">
        <v>3473</v>
      </c>
      <c r="B3348" t="s">
        <v>127</v>
      </c>
      <c r="C3348">
        <v>155</v>
      </c>
      <c r="D3348">
        <f t="shared" si="124"/>
        <v>2011</v>
      </c>
      <c r="E3348">
        <f t="shared" si="125"/>
        <v>3</v>
      </c>
    </row>
    <row r="3349" spans="1:5" x14ac:dyDescent="0.3">
      <c r="A3349" t="s">
        <v>3474</v>
      </c>
      <c r="B3349" t="s">
        <v>127</v>
      </c>
      <c r="C3349">
        <v>160</v>
      </c>
      <c r="D3349">
        <f t="shared" si="124"/>
        <v>2011</v>
      </c>
      <c r="E3349">
        <f t="shared" si="125"/>
        <v>3</v>
      </c>
    </row>
    <row r="3350" spans="1:5" x14ac:dyDescent="0.3">
      <c r="A3350" t="s">
        <v>3475</v>
      </c>
      <c r="B3350" t="s">
        <v>127</v>
      </c>
      <c r="C3350">
        <v>163</v>
      </c>
      <c r="D3350">
        <f t="shared" si="124"/>
        <v>2011</v>
      </c>
      <c r="E3350">
        <f t="shared" si="125"/>
        <v>3</v>
      </c>
    </row>
    <row r="3351" spans="1:5" x14ac:dyDescent="0.3">
      <c r="A3351" t="s">
        <v>3476</v>
      </c>
      <c r="B3351" t="s">
        <v>127</v>
      </c>
      <c r="C3351">
        <v>172</v>
      </c>
      <c r="D3351">
        <f t="shared" si="124"/>
        <v>2011</v>
      </c>
      <c r="E3351">
        <f t="shared" si="125"/>
        <v>3</v>
      </c>
    </row>
    <row r="3352" spans="1:5" x14ac:dyDescent="0.3">
      <c r="A3352" t="s">
        <v>3477</v>
      </c>
      <c r="B3352" t="s">
        <v>127</v>
      </c>
      <c r="C3352">
        <v>170</v>
      </c>
      <c r="D3352">
        <f t="shared" si="124"/>
        <v>2011</v>
      </c>
      <c r="E3352">
        <f t="shared" si="125"/>
        <v>3</v>
      </c>
    </row>
    <row r="3353" spans="1:5" x14ac:dyDescent="0.3">
      <c r="A3353" t="s">
        <v>3478</v>
      </c>
      <c r="B3353" t="s">
        <v>127</v>
      </c>
      <c r="C3353">
        <v>168</v>
      </c>
      <c r="D3353">
        <f t="shared" si="124"/>
        <v>2011</v>
      </c>
      <c r="E3353">
        <f t="shared" si="125"/>
        <v>3</v>
      </c>
    </row>
    <row r="3354" spans="1:5" x14ac:dyDescent="0.3">
      <c r="A3354" t="s">
        <v>3479</v>
      </c>
      <c r="B3354" t="s">
        <v>127</v>
      </c>
      <c r="C3354">
        <v>163</v>
      </c>
      <c r="D3354">
        <f t="shared" si="124"/>
        <v>2011</v>
      </c>
      <c r="E3354">
        <f t="shared" si="125"/>
        <v>3</v>
      </c>
    </row>
    <row r="3355" spans="1:5" x14ac:dyDescent="0.3">
      <c r="A3355" t="s">
        <v>3480</v>
      </c>
      <c r="B3355" t="s">
        <v>127</v>
      </c>
      <c r="C3355">
        <v>165</v>
      </c>
      <c r="D3355">
        <f t="shared" si="124"/>
        <v>2011</v>
      </c>
      <c r="E3355">
        <f t="shared" si="125"/>
        <v>3</v>
      </c>
    </row>
    <row r="3356" spans="1:5" x14ac:dyDescent="0.3">
      <c r="A3356" t="s">
        <v>3481</v>
      </c>
      <c r="B3356" t="s">
        <v>127</v>
      </c>
      <c r="C3356">
        <v>163</v>
      </c>
      <c r="D3356">
        <f t="shared" si="124"/>
        <v>2011</v>
      </c>
      <c r="E3356">
        <f t="shared" si="125"/>
        <v>3</v>
      </c>
    </row>
    <row r="3357" spans="1:5" x14ac:dyDescent="0.3">
      <c r="A3357" t="s">
        <v>3482</v>
      </c>
      <c r="B3357" t="s">
        <v>127</v>
      </c>
      <c r="C3357">
        <v>158</v>
      </c>
      <c r="D3357">
        <f t="shared" si="124"/>
        <v>2011</v>
      </c>
      <c r="E3357">
        <f t="shared" si="125"/>
        <v>3</v>
      </c>
    </row>
    <row r="3358" spans="1:5" x14ac:dyDescent="0.3">
      <c r="A3358" t="s">
        <v>3483</v>
      </c>
      <c r="B3358" t="s">
        <v>127</v>
      </c>
      <c r="C3358">
        <v>154</v>
      </c>
      <c r="D3358">
        <f t="shared" si="124"/>
        <v>2011</v>
      </c>
      <c r="E3358">
        <f t="shared" si="125"/>
        <v>3</v>
      </c>
    </row>
    <row r="3359" spans="1:5" x14ac:dyDescent="0.3">
      <c r="A3359" t="s">
        <v>3484</v>
      </c>
      <c r="B3359" t="s">
        <v>127</v>
      </c>
      <c r="C3359">
        <v>153</v>
      </c>
      <c r="D3359">
        <f t="shared" si="124"/>
        <v>2011</v>
      </c>
      <c r="E3359">
        <f t="shared" si="125"/>
        <v>3</v>
      </c>
    </row>
    <row r="3360" spans="1:5" x14ac:dyDescent="0.3">
      <c r="A3360" t="s">
        <v>3485</v>
      </c>
      <c r="B3360" t="s">
        <v>127</v>
      </c>
      <c r="C3360">
        <v>156</v>
      </c>
      <c r="D3360">
        <f t="shared" si="124"/>
        <v>2011</v>
      </c>
      <c r="E3360">
        <f t="shared" si="125"/>
        <v>3</v>
      </c>
    </row>
    <row r="3361" spans="1:5" x14ac:dyDescent="0.3">
      <c r="A3361" t="s">
        <v>3486</v>
      </c>
      <c r="B3361" t="s">
        <v>127</v>
      </c>
      <c r="C3361">
        <v>153</v>
      </c>
      <c r="D3361">
        <f t="shared" si="124"/>
        <v>2011</v>
      </c>
      <c r="E3361">
        <f t="shared" si="125"/>
        <v>3</v>
      </c>
    </row>
    <row r="3362" spans="1:5" x14ac:dyDescent="0.3">
      <c r="A3362" t="s">
        <v>3487</v>
      </c>
      <c r="B3362" t="s">
        <v>127</v>
      </c>
      <c r="C3362">
        <v>160</v>
      </c>
      <c r="D3362">
        <f t="shared" si="124"/>
        <v>2011</v>
      </c>
      <c r="E3362">
        <f t="shared" si="125"/>
        <v>3</v>
      </c>
    </row>
    <row r="3363" spans="1:5" x14ac:dyDescent="0.3">
      <c r="A3363" t="s">
        <v>3488</v>
      </c>
      <c r="B3363" t="s">
        <v>127</v>
      </c>
      <c r="C3363">
        <v>159</v>
      </c>
      <c r="D3363">
        <f t="shared" si="124"/>
        <v>2011</v>
      </c>
      <c r="E3363">
        <f t="shared" si="125"/>
        <v>4</v>
      </c>
    </row>
    <row r="3364" spans="1:5" x14ac:dyDescent="0.3">
      <c r="A3364" t="s">
        <v>3489</v>
      </c>
      <c r="B3364" t="s">
        <v>127</v>
      </c>
      <c r="C3364">
        <v>159</v>
      </c>
      <c r="D3364">
        <f t="shared" si="124"/>
        <v>2011</v>
      </c>
      <c r="E3364">
        <f t="shared" si="125"/>
        <v>4</v>
      </c>
    </row>
    <row r="3365" spans="1:5" x14ac:dyDescent="0.3">
      <c r="A3365" t="s">
        <v>3490</v>
      </c>
      <c r="B3365" t="s">
        <v>127</v>
      </c>
      <c r="C3365">
        <v>157</v>
      </c>
      <c r="D3365">
        <f t="shared" si="124"/>
        <v>2011</v>
      </c>
      <c r="E3365">
        <f t="shared" si="125"/>
        <v>4</v>
      </c>
    </row>
    <row r="3366" spans="1:5" x14ac:dyDescent="0.3">
      <c r="A3366" t="s">
        <v>3491</v>
      </c>
      <c r="B3366" t="s">
        <v>127</v>
      </c>
      <c r="C3366">
        <v>154</v>
      </c>
      <c r="D3366">
        <f t="shared" si="124"/>
        <v>2011</v>
      </c>
      <c r="E3366">
        <f t="shared" si="125"/>
        <v>4</v>
      </c>
    </row>
    <row r="3367" spans="1:5" x14ac:dyDescent="0.3">
      <c r="A3367" t="s">
        <v>3492</v>
      </c>
      <c r="B3367" t="s">
        <v>127</v>
      </c>
      <c r="C3367">
        <v>154</v>
      </c>
      <c r="D3367">
        <f t="shared" si="124"/>
        <v>2011</v>
      </c>
      <c r="E3367">
        <f t="shared" si="125"/>
        <v>4</v>
      </c>
    </row>
    <row r="3368" spans="1:5" x14ac:dyDescent="0.3">
      <c r="A3368" t="s">
        <v>3493</v>
      </c>
      <c r="B3368" t="s">
        <v>127</v>
      </c>
      <c r="C3368">
        <v>152</v>
      </c>
      <c r="D3368">
        <f t="shared" si="124"/>
        <v>2011</v>
      </c>
      <c r="E3368">
        <f t="shared" si="125"/>
        <v>4</v>
      </c>
    </row>
    <row r="3369" spans="1:5" x14ac:dyDescent="0.3">
      <c r="A3369" t="s">
        <v>3494</v>
      </c>
      <c r="B3369" t="s">
        <v>127</v>
      </c>
      <c r="C3369">
        <v>153</v>
      </c>
      <c r="D3369">
        <f t="shared" si="124"/>
        <v>2011</v>
      </c>
      <c r="E3369">
        <f t="shared" si="125"/>
        <v>4</v>
      </c>
    </row>
    <row r="3370" spans="1:5" x14ac:dyDescent="0.3">
      <c r="A3370" t="s">
        <v>3495</v>
      </c>
      <c r="B3370" t="s">
        <v>127</v>
      </c>
      <c r="C3370">
        <v>157</v>
      </c>
      <c r="D3370">
        <f t="shared" si="124"/>
        <v>2011</v>
      </c>
      <c r="E3370">
        <f t="shared" si="125"/>
        <v>4</v>
      </c>
    </row>
    <row r="3371" spans="1:5" x14ac:dyDescent="0.3">
      <c r="A3371" t="s">
        <v>3496</v>
      </c>
      <c r="B3371" t="s">
        <v>127</v>
      </c>
      <c r="C3371">
        <v>160</v>
      </c>
      <c r="D3371">
        <f t="shared" si="124"/>
        <v>2011</v>
      </c>
      <c r="E3371">
        <f t="shared" si="125"/>
        <v>4</v>
      </c>
    </row>
    <row r="3372" spans="1:5" x14ac:dyDescent="0.3">
      <c r="A3372" t="s">
        <v>3497</v>
      </c>
      <c r="B3372" t="s">
        <v>127</v>
      </c>
      <c r="C3372">
        <v>161</v>
      </c>
      <c r="D3372">
        <f t="shared" si="124"/>
        <v>2011</v>
      </c>
      <c r="E3372">
        <f t="shared" si="125"/>
        <v>4</v>
      </c>
    </row>
    <row r="3373" spans="1:5" x14ac:dyDescent="0.3">
      <c r="A3373" t="s">
        <v>3498</v>
      </c>
      <c r="B3373" t="s">
        <v>127</v>
      </c>
      <c r="C3373">
        <v>165</v>
      </c>
      <c r="D3373">
        <f t="shared" si="124"/>
        <v>2011</v>
      </c>
      <c r="E3373">
        <f t="shared" si="125"/>
        <v>4</v>
      </c>
    </row>
    <row r="3374" spans="1:5" x14ac:dyDescent="0.3">
      <c r="A3374" t="s">
        <v>3499</v>
      </c>
      <c r="B3374" t="s">
        <v>127</v>
      </c>
      <c r="C3374">
        <v>168</v>
      </c>
      <c r="D3374">
        <f t="shared" si="124"/>
        <v>2011</v>
      </c>
      <c r="E3374">
        <f t="shared" si="125"/>
        <v>4</v>
      </c>
    </row>
    <row r="3375" spans="1:5" x14ac:dyDescent="0.3">
      <c r="A3375" t="s">
        <v>3500</v>
      </c>
      <c r="B3375" t="s">
        <v>127</v>
      </c>
      <c r="C3375">
        <v>170</v>
      </c>
      <c r="D3375">
        <f t="shared" si="124"/>
        <v>2011</v>
      </c>
      <c r="E3375">
        <f t="shared" si="125"/>
        <v>4</v>
      </c>
    </row>
    <row r="3376" spans="1:5" x14ac:dyDescent="0.3">
      <c r="A3376" t="s">
        <v>3501</v>
      </c>
      <c r="B3376" t="s">
        <v>127</v>
      </c>
      <c r="C3376">
        <v>163</v>
      </c>
      <c r="D3376">
        <f t="shared" si="124"/>
        <v>2011</v>
      </c>
      <c r="E3376">
        <f t="shared" si="125"/>
        <v>4</v>
      </c>
    </row>
    <row r="3377" spans="1:5" x14ac:dyDescent="0.3">
      <c r="A3377" t="s">
        <v>3502</v>
      </c>
      <c r="B3377" t="s">
        <v>127</v>
      </c>
      <c r="C3377">
        <v>163</v>
      </c>
      <c r="D3377">
        <f t="shared" si="124"/>
        <v>2011</v>
      </c>
      <c r="E3377">
        <f t="shared" si="125"/>
        <v>4</v>
      </c>
    </row>
    <row r="3378" spans="1:5" x14ac:dyDescent="0.3">
      <c r="A3378" t="s">
        <v>3503</v>
      </c>
      <c r="B3378" t="s">
        <v>127</v>
      </c>
      <c r="C3378">
        <v>163</v>
      </c>
      <c r="D3378">
        <f t="shared" si="124"/>
        <v>2011</v>
      </c>
      <c r="E3378">
        <f t="shared" si="125"/>
        <v>4</v>
      </c>
    </row>
    <row r="3379" spans="1:5" x14ac:dyDescent="0.3">
      <c r="A3379" t="s">
        <v>3504</v>
      </c>
      <c r="B3379" t="s">
        <v>127</v>
      </c>
      <c r="C3379">
        <v>165</v>
      </c>
      <c r="D3379">
        <f t="shared" si="124"/>
        <v>2011</v>
      </c>
      <c r="E3379">
        <f t="shared" si="125"/>
        <v>4</v>
      </c>
    </row>
    <row r="3380" spans="1:5" x14ac:dyDescent="0.3">
      <c r="A3380" t="s">
        <v>3505</v>
      </c>
      <c r="B3380" t="s">
        <v>127</v>
      </c>
      <c r="C3380">
        <v>165</v>
      </c>
      <c r="D3380">
        <f t="shared" si="124"/>
        <v>2011</v>
      </c>
      <c r="E3380">
        <f t="shared" si="125"/>
        <v>4</v>
      </c>
    </row>
    <row r="3381" spans="1:5" x14ac:dyDescent="0.3">
      <c r="A3381" t="s">
        <v>3506</v>
      </c>
      <c r="B3381" t="s">
        <v>127</v>
      </c>
      <c r="C3381">
        <v>162</v>
      </c>
      <c r="D3381">
        <f t="shared" si="124"/>
        <v>2011</v>
      </c>
      <c r="E3381">
        <f t="shared" si="125"/>
        <v>4</v>
      </c>
    </row>
    <row r="3382" spans="1:5" x14ac:dyDescent="0.3">
      <c r="A3382" t="s">
        <v>3507</v>
      </c>
      <c r="B3382" t="s">
        <v>127</v>
      </c>
      <c r="C3382">
        <v>164</v>
      </c>
      <c r="D3382">
        <f t="shared" si="124"/>
        <v>2011</v>
      </c>
      <c r="E3382">
        <f t="shared" si="125"/>
        <v>4</v>
      </c>
    </row>
    <row r="3383" spans="1:5" x14ac:dyDescent="0.3">
      <c r="A3383" t="s">
        <v>3508</v>
      </c>
      <c r="B3383" t="s">
        <v>127</v>
      </c>
      <c r="C3383">
        <v>164</v>
      </c>
      <c r="D3383">
        <f t="shared" si="124"/>
        <v>2011</v>
      </c>
      <c r="E3383">
        <f t="shared" si="125"/>
        <v>4</v>
      </c>
    </row>
    <row r="3384" spans="1:5" x14ac:dyDescent="0.3">
      <c r="A3384" t="s">
        <v>3509</v>
      </c>
      <c r="B3384" t="s">
        <v>127</v>
      </c>
      <c r="C3384">
        <v>160.7867</v>
      </c>
      <c r="D3384">
        <f t="shared" si="124"/>
        <v>2011</v>
      </c>
      <c r="E3384">
        <f t="shared" si="125"/>
        <v>4</v>
      </c>
    </row>
    <row r="3385" spans="1:5" x14ac:dyDescent="0.3">
      <c r="A3385" t="s">
        <v>3510</v>
      </c>
      <c r="B3385" t="s">
        <v>127</v>
      </c>
      <c r="C3385">
        <v>160</v>
      </c>
      <c r="D3385">
        <f t="shared" si="124"/>
        <v>2011</v>
      </c>
      <c r="E3385">
        <f t="shared" si="125"/>
        <v>5</v>
      </c>
    </row>
    <row r="3386" spans="1:5" x14ac:dyDescent="0.3">
      <c r="A3386" t="s">
        <v>3511</v>
      </c>
      <c r="B3386" t="s">
        <v>127</v>
      </c>
      <c r="C3386">
        <v>163</v>
      </c>
      <c r="D3386">
        <f t="shared" si="124"/>
        <v>2011</v>
      </c>
      <c r="E3386">
        <f t="shared" si="125"/>
        <v>5</v>
      </c>
    </row>
    <row r="3387" spans="1:5" x14ac:dyDescent="0.3">
      <c r="A3387" t="s">
        <v>3512</v>
      </c>
      <c r="B3387" t="s">
        <v>127</v>
      </c>
      <c r="C3387">
        <v>166</v>
      </c>
      <c r="D3387">
        <f t="shared" si="124"/>
        <v>2011</v>
      </c>
      <c r="E3387">
        <f t="shared" si="125"/>
        <v>5</v>
      </c>
    </row>
    <row r="3388" spans="1:5" x14ac:dyDescent="0.3">
      <c r="A3388" t="s">
        <v>3513</v>
      </c>
      <c r="B3388" t="s">
        <v>127</v>
      </c>
      <c r="C3388">
        <v>165</v>
      </c>
      <c r="D3388">
        <f t="shared" si="124"/>
        <v>2011</v>
      </c>
      <c r="E3388">
        <f t="shared" si="125"/>
        <v>5</v>
      </c>
    </row>
    <row r="3389" spans="1:5" x14ac:dyDescent="0.3">
      <c r="A3389" t="s">
        <v>3514</v>
      </c>
      <c r="B3389" t="s">
        <v>127</v>
      </c>
      <c r="C3389">
        <v>164</v>
      </c>
      <c r="D3389">
        <f t="shared" si="124"/>
        <v>2011</v>
      </c>
      <c r="E3389">
        <f t="shared" si="125"/>
        <v>5</v>
      </c>
    </row>
    <row r="3390" spans="1:5" x14ac:dyDescent="0.3">
      <c r="A3390" t="s">
        <v>3515</v>
      </c>
      <c r="B3390" t="s">
        <v>127</v>
      </c>
      <c r="C3390">
        <v>163</v>
      </c>
      <c r="D3390">
        <f t="shared" si="124"/>
        <v>2011</v>
      </c>
      <c r="E3390">
        <f t="shared" si="125"/>
        <v>5</v>
      </c>
    </row>
    <row r="3391" spans="1:5" x14ac:dyDescent="0.3">
      <c r="A3391" t="s">
        <v>3516</v>
      </c>
      <c r="B3391" t="s">
        <v>127</v>
      </c>
      <c r="C3391">
        <v>157</v>
      </c>
      <c r="D3391">
        <f t="shared" si="124"/>
        <v>2011</v>
      </c>
      <c r="E3391">
        <f t="shared" si="125"/>
        <v>5</v>
      </c>
    </row>
    <row r="3392" spans="1:5" x14ac:dyDescent="0.3">
      <c r="A3392" t="s">
        <v>3517</v>
      </c>
      <c r="B3392" t="s">
        <v>127</v>
      </c>
      <c r="C3392">
        <v>159</v>
      </c>
      <c r="D3392">
        <f t="shared" si="124"/>
        <v>2011</v>
      </c>
      <c r="E3392">
        <f t="shared" si="125"/>
        <v>5</v>
      </c>
    </row>
    <row r="3393" spans="1:5" x14ac:dyDescent="0.3">
      <c r="A3393" t="s">
        <v>3518</v>
      </c>
      <c r="B3393" t="s">
        <v>127</v>
      </c>
      <c r="C3393">
        <v>157</v>
      </c>
      <c r="D3393">
        <f t="shared" si="124"/>
        <v>2011</v>
      </c>
      <c r="E3393">
        <f t="shared" si="125"/>
        <v>5</v>
      </c>
    </row>
    <row r="3394" spans="1:5" x14ac:dyDescent="0.3">
      <c r="A3394" t="s">
        <v>3519</v>
      </c>
      <c r="B3394" t="s">
        <v>127</v>
      </c>
      <c r="C3394">
        <v>157</v>
      </c>
      <c r="D3394">
        <f t="shared" si="124"/>
        <v>2011</v>
      </c>
      <c r="E3394">
        <f t="shared" si="125"/>
        <v>5</v>
      </c>
    </row>
    <row r="3395" spans="1:5" x14ac:dyDescent="0.3">
      <c r="A3395" t="s">
        <v>3520</v>
      </c>
      <c r="B3395" t="s">
        <v>127</v>
      </c>
      <c r="C3395">
        <v>159</v>
      </c>
      <c r="D3395">
        <f t="shared" ref="D3395:D3458" si="126">YEAR(A3395)</f>
        <v>2011</v>
      </c>
      <c r="E3395">
        <f t="shared" ref="E3395:E3458" si="127">MONTH(A3395)</f>
        <v>5</v>
      </c>
    </row>
    <row r="3396" spans="1:5" x14ac:dyDescent="0.3">
      <c r="A3396" t="s">
        <v>3521</v>
      </c>
      <c r="B3396" t="s">
        <v>127</v>
      </c>
      <c r="C3396">
        <v>160</v>
      </c>
      <c r="D3396">
        <f t="shared" si="126"/>
        <v>2011</v>
      </c>
      <c r="E3396">
        <f t="shared" si="127"/>
        <v>5</v>
      </c>
    </row>
    <row r="3397" spans="1:5" x14ac:dyDescent="0.3">
      <c r="A3397" t="s">
        <v>3522</v>
      </c>
      <c r="B3397" t="s">
        <v>127</v>
      </c>
      <c r="C3397">
        <v>158</v>
      </c>
      <c r="D3397">
        <f t="shared" si="126"/>
        <v>2011</v>
      </c>
      <c r="E3397">
        <f t="shared" si="127"/>
        <v>5</v>
      </c>
    </row>
    <row r="3398" spans="1:5" x14ac:dyDescent="0.3">
      <c r="A3398" t="s">
        <v>3523</v>
      </c>
      <c r="B3398" t="s">
        <v>127</v>
      </c>
      <c r="C3398">
        <v>158</v>
      </c>
      <c r="D3398">
        <f t="shared" si="126"/>
        <v>2011</v>
      </c>
      <c r="E3398">
        <f t="shared" si="127"/>
        <v>5</v>
      </c>
    </row>
    <row r="3399" spans="1:5" x14ac:dyDescent="0.3">
      <c r="A3399" t="s">
        <v>3524</v>
      </c>
      <c r="B3399" t="s">
        <v>127</v>
      </c>
      <c r="C3399">
        <v>158</v>
      </c>
      <c r="D3399">
        <f t="shared" si="126"/>
        <v>2011</v>
      </c>
      <c r="E3399">
        <f t="shared" si="127"/>
        <v>5</v>
      </c>
    </row>
    <row r="3400" spans="1:5" x14ac:dyDescent="0.3">
      <c r="A3400" t="s">
        <v>3525</v>
      </c>
      <c r="B3400" t="s">
        <v>127</v>
      </c>
      <c r="C3400">
        <v>158</v>
      </c>
      <c r="D3400">
        <f t="shared" si="126"/>
        <v>2011</v>
      </c>
      <c r="E3400">
        <f t="shared" si="127"/>
        <v>5</v>
      </c>
    </row>
    <row r="3401" spans="1:5" x14ac:dyDescent="0.3">
      <c r="A3401" t="s">
        <v>3526</v>
      </c>
      <c r="B3401" t="s">
        <v>127</v>
      </c>
      <c r="C3401">
        <v>162</v>
      </c>
      <c r="D3401">
        <f t="shared" si="126"/>
        <v>2011</v>
      </c>
      <c r="E3401">
        <f t="shared" si="127"/>
        <v>5</v>
      </c>
    </row>
    <row r="3402" spans="1:5" x14ac:dyDescent="0.3">
      <c r="A3402" t="s">
        <v>3527</v>
      </c>
      <c r="B3402" t="s">
        <v>127</v>
      </c>
      <c r="C3402">
        <v>163</v>
      </c>
      <c r="D3402">
        <f t="shared" si="126"/>
        <v>2011</v>
      </c>
      <c r="E3402">
        <f t="shared" si="127"/>
        <v>5</v>
      </c>
    </row>
    <row r="3403" spans="1:5" x14ac:dyDescent="0.3">
      <c r="A3403" t="s">
        <v>3528</v>
      </c>
      <c r="B3403" t="s">
        <v>127</v>
      </c>
      <c r="C3403">
        <v>169</v>
      </c>
      <c r="D3403">
        <f t="shared" si="126"/>
        <v>2011</v>
      </c>
      <c r="E3403">
        <f t="shared" si="127"/>
        <v>5</v>
      </c>
    </row>
    <row r="3404" spans="1:5" x14ac:dyDescent="0.3">
      <c r="A3404" t="s">
        <v>3529</v>
      </c>
      <c r="B3404" t="s">
        <v>127</v>
      </c>
      <c r="C3404">
        <v>169</v>
      </c>
      <c r="D3404">
        <f t="shared" si="126"/>
        <v>2011</v>
      </c>
      <c r="E3404">
        <f t="shared" si="127"/>
        <v>5</v>
      </c>
    </row>
    <row r="3405" spans="1:5" x14ac:dyDescent="0.3">
      <c r="A3405" t="s">
        <v>3530</v>
      </c>
      <c r="B3405" t="s">
        <v>127</v>
      </c>
      <c r="C3405">
        <v>169</v>
      </c>
      <c r="D3405">
        <f t="shared" si="126"/>
        <v>2011</v>
      </c>
      <c r="E3405">
        <f t="shared" si="127"/>
        <v>5</v>
      </c>
    </row>
    <row r="3406" spans="1:5" x14ac:dyDescent="0.3">
      <c r="A3406" t="s">
        <v>3531</v>
      </c>
      <c r="B3406" t="s">
        <v>127</v>
      </c>
      <c r="C3406">
        <v>168</v>
      </c>
      <c r="D3406">
        <f t="shared" si="126"/>
        <v>2011</v>
      </c>
      <c r="E3406">
        <f t="shared" si="127"/>
        <v>5</v>
      </c>
    </row>
    <row r="3407" spans="1:5" x14ac:dyDescent="0.3">
      <c r="A3407" t="s">
        <v>3532</v>
      </c>
      <c r="B3407" t="s">
        <v>127</v>
      </c>
      <c r="C3407">
        <v>170</v>
      </c>
      <c r="D3407">
        <f t="shared" si="126"/>
        <v>2011</v>
      </c>
      <c r="E3407">
        <f t="shared" si="127"/>
        <v>6</v>
      </c>
    </row>
    <row r="3408" spans="1:5" x14ac:dyDescent="0.3">
      <c r="A3408" t="s">
        <v>3533</v>
      </c>
      <c r="B3408" t="s">
        <v>127</v>
      </c>
      <c r="C3408">
        <v>166</v>
      </c>
      <c r="D3408">
        <f t="shared" si="126"/>
        <v>2011</v>
      </c>
      <c r="E3408">
        <f t="shared" si="127"/>
        <v>6</v>
      </c>
    </row>
    <row r="3409" spans="1:5" x14ac:dyDescent="0.3">
      <c r="A3409" t="s">
        <v>3534</v>
      </c>
      <c r="B3409" t="s">
        <v>127</v>
      </c>
      <c r="C3409">
        <v>167</v>
      </c>
      <c r="D3409">
        <f t="shared" si="126"/>
        <v>2011</v>
      </c>
      <c r="E3409">
        <f t="shared" si="127"/>
        <v>6</v>
      </c>
    </row>
    <row r="3410" spans="1:5" x14ac:dyDescent="0.3">
      <c r="A3410" t="s">
        <v>3535</v>
      </c>
      <c r="B3410" t="s">
        <v>127</v>
      </c>
      <c r="C3410">
        <v>167</v>
      </c>
      <c r="D3410">
        <f t="shared" si="126"/>
        <v>2011</v>
      </c>
      <c r="E3410">
        <f t="shared" si="127"/>
        <v>6</v>
      </c>
    </row>
    <row r="3411" spans="1:5" x14ac:dyDescent="0.3">
      <c r="A3411" t="s">
        <v>3536</v>
      </c>
      <c r="B3411" t="s">
        <v>127</v>
      </c>
      <c r="C3411">
        <v>166</v>
      </c>
      <c r="D3411">
        <f t="shared" si="126"/>
        <v>2011</v>
      </c>
      <c r="E3411">
        <f t="shared" si="127"/>
        <v>6</v>
      </c>
    </row>
    <row r="3412" spans="1:5" x14ac:dyDescent="0.3">
      <c r="A3412" t="s">
        <v>3537</v>
      </c>
      <c r="B3412" t="s">
        <v>127</v>
      </c>
      <c r="C3412">
        <v>171</v>
      </c>
      <c r="D3412">
        <f t="shared" si="126"/>
        <v>2011</v>
      </c>
      <c r="E3412">
        <f t="shared" si="127"/>
        <v>6</v>
      </c>
    </row>
    <row r="3413" spans="1:5" x14ac:dyDescent="0.3">
      <c r="A3413" t="s">
        <v>3538</v>
      </c>
      <c r="B3413" t="s">
        <v>127</v>
      </c>
      <c r="C3413">
        <v>167</v>
      </c>
      <c r="D3413">
        <f t="shared" si="126"/>
        <v>2011</v>
      </c>
      <c r="E3413">
        <f t="shared" si="127"/>
        <v>6</v>
      </c>
    </row>
    <row r="3414" spans="1:5" x14ac:dyDescent="0.3">
      <c r="A3414" t="s">
        <v>3539</v>
      </c>
      <c r="B3414" t="s">
        <v>127</v>
      </c>
      <c r="C3414">
        <v>170</v>
      </c>
      <c r="D3414">
        <f t="shared" si="126"/>
        <v>2011</v>
      </c>
      <c r="E3414">
        <f t="shared" si="127"/>
        <v>6</v>
      </c>
    </row>
    <row r="3415" spans="1:5" x14ac:dyDescent="0.3">
      <c r="A3415" t="s">
        <v>3540</v>
      </c>
      <c r="B3415" t="s">
        <v>127</v>
      </c>
      <c r="C3415">
        <v>168</v>
      </c>
      <c r="D3415">
        <f t="shared" si="126"/>
        <v>2011</v>
      </c>
      <c r="E3415">
        <f t="shared" si="127"/>
        <v>6</v>
      </c>
    </row>
    <row r="3416" spans="1:5" x14ac:dyDescent="0.3">
      <c r="A3416" t="s">
        <v>3541</v>
      </c>
      <c r="B3416" t="s">
        <v>127</v>
      </c>
      <c r="C3416">
        <v>160</v>
      </c>
      <c r="D3416">
        <f t="shared" si="126"/>
        <v>2011</v>
      </c>
      <c r="E3416">
        <f t="shared" si="127"/>
        <v>6</v>
      </c>
    </row>
    <row r="3417" spans="1:5" x14ac:dyDescent="0.3">
      <c r="A3417" t="s">
        <v>3542</v>
      </c>
      <c r="B3417" t="s">
        <v>127</v>
      </c>
      <c r="C3417">
        <v>170</v>
      </c>
      <c r="D3417">
        <f t="shared" si="126"/>
        <v>2011</v>
      </c>
      <c r="E3417">
        <f t="shared" si="127"/>
        <v>6</v>
      </c>
    </row>
    <row r="3418" spans="1:5" x14ac:dyDescent="0.3">
      <c r="A3418" t="s">
        <v>3543</v>
      </c>
      <c r="B3418" t="s">
        <v>127</v>
      </c>
      <c r="C3418">
        <v>174</v>
      </c>
      <c r="D3418">
        <f t="shared" si="126"/>
        <v>2011</v>
      </c>
      <c r="E3418">
        <f t="shared" si="127"/>
        <v>6</v>
      </c>
    </row>
    <row r="3419" spans="1:5" x14ac:dyDescent="0.3">
      <c r="A3419" t="s">
        <v>3544</v>
      </c>
      <c r="B3419" t="s">
        <v>127</v>
      </c>
      <c r="C3419">
        <v>173</v>
      </c>
      <c r="D3419">
        <f t="shared" si="126"/>
        <v>2011</v>
      </c>
      <c r="E3419">
        <f t="shared" si="127"/>
        <v>6</v>
      </c>
    </row>
    <row r="3420" spans="1:5" x14ac:dyDescent="0.3">
      <c r="A3420" t="s">
        <v>3545</v>
      </c>
      <c r="B3420" t="s">
        <v>127</v>
      </c>
      <c r="C3420">
        <v>171</v>
      </c>
      <c r="D3420">
        <f t="shared" si="126"/>
        <v>2011</v>
      </c>
      <c r="E3420">
        <f t="shared" si="127"/>
        <v>6</v>
      </c>
    </row>
    <row r="3421" spans="1:5" x14ac:dyDescent="0.3">
      <c r="A3421" t="s">
        <v>3546</v>
      </c>
      <c r="B3421" t="s">
        <v>127</v>
      </c>
      <c r="C3421">
        <v>168</v>
      </c>
      <c r="D3421">
        <f t="shared" si="126"/>
        <v>2011</v>
      </c>
      <c r="E3421">
        <f t="shared" si="127"/>
        <v>6</v>
      </c>
    </row>
    <row r="3422" spans="1:5" x14ac:dyDescent="0.3">
      <c r="A3422" t="s">
        <v>3547</v>
      </c>
      <c r="B3422" t="s">
        <v>127</v>
      </c>
      <c r="C3422">
        <v>166</v>
      </c>
      <c r="D3422">
        <f t="shared" si="126"/>
        <v>2011</v>
      </c>
      <c r="E3422">
        <f t="shared" si="127"/>
        <v>6</v>
      </c>
    </row>
    <row r="3423" spans="1:5" x14ac:dyDescent="0.3">
      <c r="A3423" t="s">
        <v>3548</v>
      </c>
      <c r="B3423" t="s">
        <v>127</v>
      </c>
      <c r="C3423">
        <v>173</v>
      </c>
      <c r="D3423">
        <f t="shared" si="126"/>
        <v>2011</v>
      </c>
      <c r="E3423">
        <f t="shared" si="127"/>
        <v>6</v>
      </c>
    </row>
    <row r="3424" spans="1:5" x14ac:dyDescent="0.3">
      <c r="A3424" t="s">
        <v>3549</v>
      </c>
      <c r="B3424" t="s">
        <v>127</v>
      </c>
      <c r="C3424">
        <v>176</v>
      </c>
      <c r="D3424">
        <f t="shared" si="126"/>
        <v>2011</v>
      </c>
      <c r="E3424">
        <f t="shared" si="127"/>
        <v>6</v>
      </c>
    </row>
    <row r="3425" spans="1:5" x14ac:dyDescent="0.3">
      <c r="A3425" t="s">
        <v>3550</v>
      </c>
      <c r="B3425" t="s">
        <v>127</v>
      </c>
      <c r="C3425">
        <v>167</v>
      </c>
      <c r="D3425">
        <f t="shared" si="126"/>
        <v>2011</v>
      </c>
      <c r="E3425">
        <f t="shared" si="127"/>
        <v>6</v>
      </c>
    </row>
    <row r="3426" spans="1:5" x14ac:dyDescent="0.3">
      <c r="A3426" t="s">
        <v>3551</v>
      </c>
      <c r="B3426" t="s">
        <v>127</v>
      </c>
      <c r="C3426">
        <v>158</v>
      </c>
      <c r="D3426">
        <f t="shared" si="126"/>
        <v>2011</v>
      </c>
      <c r="E3426">
        <f t="shared" si="127"/>
        <v>6</v>
      </c>
    </row>
    <row r="3427" spans="1:5" x14ac:dyDescent="0.3">
      <c r="A3427" t="s">
        <v>3552</v>
      </c>
      <c r="B3427" t="s">
        <v>127</v>
      </c>
      <c r="C3427">
        <v>152</v>
      </c>
      <c r="D3427">
        <f t="shared" si="126"/>
        <v>2011</v>
      </c>
      <c r="E3427">
        <f t="shared" si="127"/>
        <v>6</v>
      </c>
    </row>
    <row r="3428" spans="1:5" x14ac:dyDescent="0.3">
      <c r="A3428" t="s">
        <v>3553</v>
      </c>
      <c r="B3428" t="s">
        <v>127</v>
      </c>
      <c r="C3428">
        <v>148</v>
      </c>
      <c r="D3428">
        <f t="shared" si="126"/>
        <v>2011</v>
      </c>
      <c r="E3428">
        <f t="shared" si="127"/>
        <v>6</v>
      </c>
    </row>
    <row r="3429" spans="1:5" x14ac:dyDescent="0.3">
      <c r="A3429" t="s">
        <v>3554</v>
      </c>
      <c r="B3429" t="s">
        <v>127</v>
      </c>
      <c r="C3429">
        <v>147</v>
      </c>
      <c r="D3429">
        <f t="shared" si="126"/>
        <v>2011</v>
      </c>
      <c r="E3429">
        <f t="shared" si="127"/>
        <v>7</v>
      </c>
    </row>
    <row r="3430" spans="1:5" x14ac:dyDescent="0.3">
      <c r="A3430" t="s">
        <v>3555</v>
      </c>
      <c r="B3430" t="s">
        <v>127</v>
      </c>
      <c r="C3430">
        <v>147</v>
      </c>
      <c r="D3430">
        <f t="shared" si="126"/>
        <v>2011</v>
      </c>
      <c r="E3430">
        <f t="shared" si="127"/>
        <v>7</v>
      </c>
    </row>
    <row r="3431" spans="1:5" x14ac:dyDescent="0.3">
      <c r="A3431" t="s">
        <v>3556</v>
      </c>
      <c r="B3431" t="s">
        <v>127</v>
      </c>
      <c r="C3431">
        <v>151</v>
      </c>
      <c r="D3431">
        <f t="shared" si="126"/>
        <v>2011</v>
      </c>
      <c r="E3431">
        <f t="shared" si="127"/>
        <v>7</v>
      </c>
    </row>
    <row r="3432" spans="1:5" x14ac:dyDescent="0.3">
      <c r="A3432" t="s">
        <v>3557</v>
      </c>
      <c r="B3432" t="s">
        <v>127</v>
      </c>
      <c r="C3432">
        <v>155</v>
      </c>
      <c r="D3432">
        <f t="shared" si="126"/>
        <v>2011</v>
      </c>
      <c r="E3432">
        <f t="shared" si="127"/>
        <v>7</v>
      </c>
    </row>
    <row r="3433" spans="1:5" x14ac:dyDescent="0.3">
      <c r="A3433" t="s">
        <v>3558</v>
      </c>
      <c r="B3433" t="s">
        <v>127</v>
      </c>
      <c r="C3433">
        <v>151</v>
      </c>
      <c r="D3433">
        <f t="shared" si="126"/>
        <v>2011</v>
      </c>
      <c r="E3433">
        <f t="shared" si="127"/>
        <v>7</v>
      </c>
    </row>
    <row r="3434" spans="1:5" x14ac:dyDescent="0.3">
      <c r="A3434" t="s">
        <v>3559</v>
      </c>
      <c r="B3434" t="s">
        <v>127</v>
      </c>
      <c r="C3434">
        <v>161</v>
      </c>
      <c r="D3434">
        <f t="shared" si="126"/>
        <v>2011</v>
      </c>
      <c r="E3434">
        <f t="shared" si="127"/>
        <v>7</v>
      </c>
    </row>
    <row r="3435" spans="1:5" x14ac:dyDescent="0.3">
      <c r="A3435" t="s">
        <v>3560</v>
      </c>
      <c r="B3435" t="s">
        <v>127</v>
      </c>
      <c r="C3435">
        <v>170</v>
      </c>
      <c r="D3435">
        <f t="shared" si="126"/>
        <v>2011</v>
      </c>
      <c r="E3435">
        <f t="shared" si="127"/>
        <v>7</v>
      </c>
    </row>
    <row r="3436" spans="1:5" x14ac:dyDescent="0.3">
      <c r="A3436" t="s">
        <v>3561</v>
      </c>
      <c r="B3436" t="s">
        <v>127</v>
      </c>
      <c r="C3436">
        <v>170</v>
      </c>
      <c r="D3436">
        <f t="shared" si="126"/>
        <v>2011</v>
      </c>
      <c r="E3436">
        <f t="shared" si="127"/>
        <v>7</v>
      </c>
    </row>
    <row r="3437" spans="1:5" x14ac:dyDescent="0.3">
      <c r="A3437" t="s">
        <v>3562</v>
      </c>
      <c r="B3437" t="s">
        <v>127</v>
      </c>
      <c r="C3437">
        <v>173</v>
      </c>
      <c r="D3437">
        <f t="shared" si="126"/>
        <v>2011</v>
      </c>
      <c r="E3437">
        <f t="shared" si="127"/>
        <v>7</v>
      </c>
    </row>
    <row r="3438" spans="1:5" x14ac:dyDescent="0.3">
      <c r="A3438" t="s">
        <v>3563</v>
      </c>
      <c r="B3438" t="s">
        <v>127</v>
      </c>
      <c r="C3438">
        <v>165</v>
      </c>
      <c r="D3438">
        <f t="shared" si="126"/>
        <v>2011</v>
      </c>
      <c r="E3438">
        <f t="shared" si="127"/>
        <v>7</v>
      </c>
    </row>
    <row r="3439" spans="1:5" x14ac:dyDescent="0.3">
      <c r="A3439" t="s">
        <v>3564</v>
      </c>
      <c r="B3439" t="s">
        <v>127</v>
      </c>
      <c r="C3439">
        <v>169</v>
      </c>
      <c r="D3439">
        <f t="shared" si="126"/>
        <v>2011</v>
      </c>
      <c r="E3439">
        <f t="shared" si="127"/>
        <v>7</v>
      </c>
    </row>
    <row r="3440" spans="1:5" x14ac:dyDescent="0.3">
      <c r="A3440" t="s">
        <v>3565</v>
      </c>
      <c r="B3440" t="s">
        <v>127</v>
      </c>
      <c r="C3440">
        <v>167</v>
      </c>
      <c r="D3440">
        <f t="shared" si="126"/>
        <v>2011</v>
      </c>
      <c r="E3440">
        <f t="shared" si="127"/>
        <v>7</v>
      </c>
    </row>
    <row r="3441" spans="1:5" x14ac:dyDescent="0.3">
      <c r="A3441" t="s">
        <v>3566</v>
      </c>
      <c r="B3441" t="s">
        <v>127</v>
      </c>
      <c r="C3441">
        <v>170</v>
      </c>
      <c r="D3441">
        <f t="shared" si="126"/>
        <v>2011</v>
      </c>
      <c r="E3441">
        <f t="shared" si="127"/>
        <v>7</v>
      </c>
    </row>
    <row r="3442" spans="1:5" x14ac:dyDescent="0.3">
      <c r="A3442" t="s">
        <v>3567</v>
      </c>
      <c r="B3442" t="s">
        <v>127</v>
      </c>
      <c r="C3442">
        <v>164</v>
      </c>
      <c r="D3442">
        <f t="shared" si="126"/>
        <v>2011</v>
      </c>
      <c r="E3442">
        <f t="shared" si="127"/>
        <v>7</v>
      </c>
    </row>
    <row r="3443" spans="1:5" x14ac:dyDescent="0.3">
      <c r="A3443" t="s">
        <v>3568</v>
      </c>
      <c r="B3443" t="s">
        <v>127</v>
      </c>
      <c r="C3443">
        <v>159</v>
      </c>
      <c r="D3443">
        <f t="shared" si="126"/>
        <v>2011</v>
      </c>
      <c r="E3443">
        <f t="shared" si="127"/>
        <v>7</v>
      </c>
    </row>
    <row r="3444" spans="1:5" x14ac:dyDescent="0.3">
      <c r="A3444" t="s">
        <v>3569</v>
      </c>
      <c r="B3444" t="s">
        <v>127</v>
      </c>
      <c r="C3444">
        <v>162</v>
      </c>
      <c r="D3444">
        <f t="shared" si="126"/>
        <v>2011</v>
      </c>
      <c r="E3444">
        <f t="shared" si="127"/>
        <v>7</v>
      </c>
    </row>
    <row r="3445" spans="1:5" x14ac:dyDescent="0.3">
      <c r="A3445" t="s">
        <v>3570</v>
      </c>
      <c r="B3445" t="s">
        <v>127</v>
      </c>
      <c r="C3445">
        <v>159</v>
      </c>
      <c r="D3445">
        <f t="shared" si="126"/>
        <v>2011</v>
      </c>
      <c r="E3445">
        <f t="shared" si="127"/>
        <v>7</v>
      </c>
    </row>
    <row r="3446" spans="1:5" x14ac:dyDescent="0.3">
      <c r="A3446" t="s">
        <v>3571</v>
      </c>
      <c r="B3446" t="s">
        <v>127</v>
      </c>
      <c r="C3446">
        <v>158</v>
      </c>
      <c r="D3446">
        <f t="shared" si="126"/>
        <v>2011</v>
      </c>
      <c r="E3446">
        <f t="shared" si="127"/>
        <v>7</v>
      </c>
    </row>
    <row r="3447" spans="1:5" x14ac:dyDescent="0.3">
      <c r="A3447" t="s">
        <v>3572</v>
      </c>
      <c r="B3447" t="s">
        <v>127</v>
      </c>
      <c r="C3447">
        <v>157</v>
      </c>
      <c r="D3447">
        <f t="shared" si="126"/>
        <v>2011</v>
      </c>
      <c r="E3447">
        <f t="shared" si="127"/>
        <v>7</v>
      </c>
    </row>
    <row r="3448" spans="1:5" x14ac:dyDescent="0.3">
      <c r="A3448" t="s">
        <v>3573</v>
      </c>
      <c r="B3448" t="s">
        <v>127</v>
      </c>
      <c r="C3448">
        <v>154</v>
      </c>
      <c r="D3448">
        <f t="shared" si="126"/>
        <v>2011</v>
      </c>
      <c r="E3448">
        <f t="shared" si="127"/>
        <v>7</v>
      </c>
    </row>
    <row r="3449" spans="1:5" x14ac:dyDescent="0.3">
      <c r="A3449" t="s">
        <v>3574</v>
      </c>
      <c r="B3449" t="s">
        <v>127</v>
      </c>
      <c r="C3449">
        <v>159</v>
      </c>
      <c r="D3449">
        <f t="shared" si="126"/>
        <v>2011</v>
      </c>
      <c r="E3449">
        <f t="shared" si="127"/>
        <v>7</v>
      </c>
    </row>
    <row r="3450" spans="1:5" x14ac:dyDescent="0.3">
      <c r="A3450" t="s">
        <v>3575</v>
      </c>
      <c r="B3450" t="s">
        <v>127</v>
      </c>
      <c r="C3450">
        <v>160.3442</v>
      </c>
      <c r="D3450">
        <f t="shared" si="126"/>
        <v>2011</v>
      </c>
      <c r="E3450">
        <f t="shared" si="127"/>
        <v>7</v>
      </c>
    </row>
    <row r="3451" spans="1:5" x14ac:dyDescent="0.3">
      <c r="A3451" t="s">
        <v>3576</v>
      </c>
      <c r="B3451" t="s">
        <v>127</v>
      </c>
      <c r="C3451">
        <v>150</v>
      </c>
      <c r="D3451">
        <f t="shared" si="126"/>
        <v>2011</v>
      </c>
      <c r="E3451">
        <f t="shared" si="127"/>
        <v>8</v>
      </c>
    </row>
    <row r="3452" spans="1:5" x14ac:dyDescent="0.3">
      <c r="A3452" t="s">
        <v>3577</v>
      </c>
      <c r="B3452" t="s">
        <v>127</v>
      </c>
      <c r="C3452">
        <v>157</v>
      </c>
      <c r="D3452">
        <f t="shared" si="126"/>
        <v>2011</v>
      </c>
      <c r="E3452">
        <f t="shared" si="127"/>
        <v>8</v>
      </c>
    </row>
    <row r="3453" spans="1:5" x14ac:dyDescent="0.3">
      <c r="A3453" t="s">
        <v>3578</v>
      </c>
      <c r="B3453" t="s">
        <v>127</v>
      </c>
      <c r="C3453">
        <v>157</v>
      </c>
      <c r="D3453">
        <f t="shared" si="126"/>
        <v>2011</v>
      </c>
      <c r="E3453">
        <f t="shared" si="127"/>
        <v>8</v>
      </c>
    </row>
    <row r="3454" spans="1:5" x14ac:dyDescent="0.3">
      <c r="A3454" t="s">
        <v>3579</v>
      </c>
      <c r="B3454" t="s">
        <v>127</v>
      </c>
      <c r="C3454">
        <v>175</v>
      </c>
      <c r="D3454">
        <f t="shared" si="126"/>
        <v>2011</v>
      </c>
      <c r="E3454">
        <f t="shared" si="127"/>
        <v>8</v>
      </c>
    </row>
    <row r="3455" spans="1:5" x14ac:dyDescent="0.3">
      <c r="A3455" t="s">
        <v>3580</v>
      </c>
      <c r="B3455" t="s">
        <v>127</v>
      </c>
      <c r="C3455">
        <v>169</v>
      </c>
      <c r="D3455">
        <f t="shared" si="126"/>
        <v>2011</v>
      </c>
      <c r="E3455">
        <f t="shared" si="127"/>
        <v>8</v>
      </c>
    </row>
    <row r="3456" spans="1:5" x14ac:dyDescent="0.3">
      <c r="A3456" t="s">
        <v>3581</v>
      </c>
      <c r="B3456" t="s">
        <v>127</v>
      </c>
      <c r="C3456">
        <v>198</v>
      </c>
      <c r="D3456">
        <f t="shared" si="126"/>
        <v>2011</v>
      </c>
      <c r="E3456">
        <f t="shared" si="127"/>
        <v>8</v>
      </c>
    </row>
    <row r="3457" spans="1:5" x14ac:dyDescent="0.3">
      <c r="A3457" t="s">
        <v>3582</v>
      </c>
      <c r="B3457" t="s">
        <v>127</v>
      </c>
      <c r="C3457">
        <v>206</v>
      </c>
      <c r="D3457">
        <f t="shared" si="126"/>
        <v>2011</v>
      </c>
      <c r="E3457">
        <f t="shared" si="127"/>
        <v>8</v>
      </c>
    </row>
    <row r="3458" spans="1:5" x14ac:dyDescent="0.3">
      <c r="A3458" t="s">
        <v>3583</v>
      </c>
      <c r="B3458" t="s">
        <v>127</v>
      </c>
      <c r="C3458">
        <v>216</v>
      </c>
      <c r="D3458">
        <f t="shared" si="126"/>
        <v>2011</v>
      </c>
      <c r="E3458">
        <f t="shared" si="127"/>
        <v>8</v>
      </c>
    </row>
    <row r="3459" spans="1:5" x14ac:dyDescent="0.3">
      <c r="A3459" t="s">
        <v>3584</v>
      </c>
      <c r="B3459" t="s">
        <v>127</v>
      </c>
      <c r="C3459">
        <v>212</v>
      </c>
      <c r="D3459">
        <f t="shared" ref="D3459:D3522" si="128">YEAR(A3459)</f>
        <v>2011</v>
      </c>
      <c r="E3459">
        <f t="shared" ref="E3459:E3522" si="129">MONTH(A3459)</f>
        <v>8</v>
      </c>
    </row>
    <row r="3460" spans="1:5" x14ac:dyDescent="0.3">
      <c r="A3460" t="s">
        <v>3585</v>
      </c>
      <c r="B3460" t="s">
        <v>127</v>
      </c>
      <c r="C3460">
        <v>215</v>
      </c>
      <c r="D3460">
        <f t="shared" si="128"/>
        <v>2011</v>
      </c>
      <c r="E3460">
        <f t="shared" si="129"/>
        <v>8</v>
      </c>
    </row>
    <row r="3461" spans="1:5" x14ac:dyDescent="0.3">
      <c r="A3461" t="s">
        <v>3586</v>
      </c>
      <c r="B3461" t="s">
        <v>127</v>
      </c>
      <c r="C3461">
        <v>204</v>
      </c>
      <c r="D3461">
        <f t="shared" si="128"/>
        <v>2011</v>
      </c>
      <c r="E3461">
        <f t="shared" si="129"/>
        <v>8</v>
      </c>
    </row>
    <row r="3462" spans="1:5" x14ac:dyDescent="0.3">
      <c r="A3462" t="s">
        <v>3587</v>
      </c>
      <c r="B3462" t="s">
        <v>127</v>
      </c>
      <c r="C3462">
        <v>211</v>
      </c>
      <c r="D3462">
        <f t="shared" si="128"/>
        <v>2011</v>
      </c>
      <c r="E3462">
        <f t="shared" si="129"/>
        <v>8</v>
      </c>
    </row>
    <row r="3463" spans="1:5" x14ac:dyDescent="0.3">
      <c r="A3463" t="s">
        <v>3588</v>
      </c>
      <c r="B3463" t="s">
        <v>127</v>
      </c>
      <c r="C3463">
        <v>204</v>
      </c>
      <c r="D3463">
        <f t="shared" si="128"/>
        <v>2011</v>
      </c>
      <c r="E3463">
        <f t="shared" si="129"/>
        <v>8</v>
      </c>
    </row>
    <row r="3464" spans="1:5" x14ac:dyDescent="0.3">
      <c r="A3464" t="s">
        <v>3589</v>
      </c>
      <c r="B3464" t="s">
        <v>127</v>
      </c>
      <c r="C3464">
        <v>215</v>
      </c>
      <c r="D3464">
        <f t="shared" si="128"/>
        <v>2011</v>
      </c>
      <c r="E3464">
        <f t="shared" si="129"/>
        <v>8</v>
      </c>
    </row>
    <row r="3465" spans="1:5" x14ac:dyDescent="0.3">
      <c r="A3465" t="s">
        <v>3590</v>
      </c>
      <c r="B3465" t="s">
        <v>127</v>
      </c>
      <c r="C3465">
        <v>215</v>
      </c>
      <c r="D3465">
        <f t="shared" si="128"/>
        <v>2011</v>
      </c>
      <c r="E3465">
        <f t="shared" si="129"/>
        <v>8</v>
      </c>
    </row>
    <row r="3466" spans="1:5" x14ac:dyDescent="0.3">
      <c r="A3466" t="s">
        <v>3591</v>
      </c>
      <c r="B3466" t="s">
        <v>127</v>
      </c>
      <c r="C3466">
        <v>211</v>
      </c>
      <c r="D3466">
        <f t="shared" si="128"/>
        <v>2011</v>
      </c>
      <c r="E3466">
        <f t="shared" si="129"/>
        <v>8</v>
      </c>
    </row>
    <row r="3467" spans="1:5" x14ac:dyDescent="0.3">
      <c r="A3467" t="s">
        <v>3592</v>
      </c>
      <c r="B3467" t="s">
        <v>127</v>
      </c>
      <c r="C3467">
        <v>211</v>
      </c>
      <c r="D3467">
        <f t="shared" si="128"/>
        <v>2011</v>
      </c>
      <c r="E3467">
        <f t="shared" si="129"/>
        <v>8</v>
      </c>
    </row>
    <row r="3468" spans="1:5" x14ac:dyDescent="0.3">
      <c r="A3468" t="s">
        <v>3593</v>
      </c>
      <c r="B3468" t="s">
        <v>127</v>
      </c>
      <c r="C3468">
        <v>201</v>
      </c>
      <c r="D3468">
        <f t="shared" si="128"/>
        <v>2011</v>
      </c>
      <c r="E3468">
        <f t="shared" si="129"/>
        <v>8</v>
      </c>
    </row>
    <row r="3469" spans="1:5" x14ac:dyDescent="0.3">
      <c r="A3469" t="s">
        <v>3594</v>
      </c>
      <c r="B3469" t="s">
        <v>127</v>
      </c>
      <c r="C3469">
        <v>204</v>
      </c>
      <c r="D3469">
        <f t="shared" si="128"/>
        <v>2011</v>
      </c>
      <c r="E3469">
        <f t="shared" si="129"/>
        <v>8</v>
      </c>
    </row>
    <row r="3470" spans="1:5" x14ac:dyDescent="0.3">
      <c r="A3470" t="s">
        <v>3595</v>
      </c>
      <c r="B3470" t="s">
        <v>127</v>
      </c>
      <c r="C3470">
        <v>209</v>
      </c>
      <c r="D3470">
        <f t="shared" si="128"/>
        <v>2011</v>
      </c>
      <c r="E3470">
        <f t="shared" si="129"/>
        <v>8</v>
      </c>
    </row>
    <row r="3471" spans="1:5" x14ac:dyDescent="0.3">
      <c r="A3471" t="s">
        <v>3596</v>
      </c>
      <c r="B3471" t="s">
        <v>127</v>
      </c>
      <c r="C3471">
        <v>200</v>
      </c>
      <c r="D3471">
        <f t="shared" si="128"/>
        <v>2011</v>
      </c>
      <c r="E3471">
        <f t="shared" si="129"/>
        <v>8</v>
      </c>
    </row>
    <row r="3472" spans="1:5" x14ac:dyDescent="0.3">
      <c r="A3472" t="s">
        <v>3597</v>
      </c>
      <c r="B3472" t="s">
        <v>127</v>
      </c>
      <c r="C3472">
        <v>203</v>
      </c>
      <c r="D3472">
        <f t="shared" si="128"/>
        <v>2011</v>
      </c>
      <c r="E3472">
        <f t="shared" si="129"/>
        <v>8</v>
      </c>
    </row>
    <row r="3473" spans="1:5" x14ac:dyDescent="0.3">
      <c r="A3473" t="s">
        <v>3598</v>
      </c>
      <c r="B3473" t="s">
        <v>127</v>
      </c>
      <c r="C3473">
        <v>196</v>
      </c>
      <c r="D3473">
        <f t="shared" si="128"/>
        <v>2011</v>
      </c>
      <c r="E3473">
        <f t="shared" si="129"/>
        <v>8</v>
      </c>
    </row>
    <row r="3474" spans="1:5" x14ac:dyDescent="0.3">
      <c r="A3474" t="s">
        <v>3599</v>
      </c>
      <c r="B3474" t="s">
        <v>127</v>
      </c>
      <c r="C3474">
        <v>206</v>
      </c>
      <c r="D3474">
        <f t="shared" si="128"/>
        <v>2011</v>
      </c>
      <c r="E3474">
        <f t="shared" si="129"/>
        <v>9</v>
      </c>
    </row>
    <row r="3475" spans="1:5" x14ac:dyDescent="0.3">
      <c r="A3475" t="s">
        <v>3600</v>
      </c>
      <c r="B3475" t="s">
        <v>127</v>
      </c>
      <c r="C3475">
        <v>215</v>
      </c>
      <c r="D3475">
        <f t="shared" si="128"/>
        <v>2011</v>
      </c>
      <c r="E3475">
        <f t="shared" si="129"/>
        <v>9</v>
      </c>
    </row>
    <row r="3476" spans="1:5" x14ac:dyDescent="0.3">
      <c r="A3476" t="s">
        <v>3601</v>
      </c>
      <c r="B3476" t="s">
        <v>127</v>
      </c>
      <c r="C3476">
        <v>215</v>
      </c>
      <c r="D3476">
        <f t="shared" si="128"/>
        <v>2011</v>
      </c>
      <c r="E3476">
        <f t="shared" si="129"/>
        <v>9</v>
      </c>
    </row>
    <row r="3477" spans="1:5" x14ac:dyDescent="0.3">
      <c r="A3477" t="s">
        <v>3602</v>
      </c>
      <c r="B3477" t="s">
        <v>127</v>
      </c>
      <c r="C3477">
        <v>216</v>
      </c>
      <c r="D3477">
        <f t="shared" si="128"/>
        <v>2011</v>
      </c>
      <c r="E3477">
        <f t="shared" si="129"/>
        <v>9</v>
      </c>
    </row>
    <row r="3478" spans="1:5" x14ac:dyDescent="0.3">
      <c r="A3478" t="s">
        <v>3603</v>
      </c>
      <c r="B3478" t="s">
        <v>127</v>
      </c>
      <c r="C3478">
        <v>208</v>
      </c>
      <c r="D3478">
        <f t="shared" si="128"/>
        <v>2011</v>
      </c>
      <c r="E3478">
        <f t="shared" si="129"/>
        <v>9</v>
      </c>
    </row>
    <row r="3479" spans="1:5" x14ac:dyDescent="0.3">
      <c r="A3479" t="s">
        <v>3604</v>
      </c>
      <c r="B3479" t="s">
        <v>127</v>
      </c>
      <c r="C3479">
        <v>214</v>
      </c>
      <c r="D3479">
        <f t="shared" si="128"/>
        <v>2011</v>
      </c>
      <c r="E3479">
        <f t="shared" si="129"/>
        <v>9</v>
      </c>
    </row>
    <row r="3480" spans="1:5" x14ac:dyDescent="0.3">
      <c r="A3480" t="s">
        <v>3605</v>
      </c>
      <c r="B3480" t="s">
        <v>127</v>
      </c>
      <c r="C3480">
        <v>226</v>
      </c>
      <c r="D3480">
        <f t="shared" si="128"/>
        <v>2011</v>
      </c>
      <c r="E3480">
        <f t="shared" si="129"/>
        <v>9</v>
      </c>
    </row>
    <row r="3481" spans="1:5" x14ac:dyDescent="0.3">
      <c r="A3481" t="s">
        <v>3606</v>
      </c>
      <c r="B3481" t="s">
        <v>127</v>
      </c>
      <c r="C3481">
        <v>229</v>
      </c>
      <c r="D3481">
        <f t="shared" si="128"/>
        <v>2011</v>
      </c>
      <c r="E3481">
        <f t="shared" si="129"/>
        <v>9</v>
      </c>
    </row>
    <row r="3482" spans="1:5" x14ac:dyDescent="0.3">
      <c r="A3482" t="s">
        <v>3607</v>
      </c>
      <c r="B3482" t="s">
        <v>127</v>
      </c>
      <c r="C3482">
        <v>225</v>
      </c>
      <c r="D3482">
        <f t="shared" si="128"/>
        <v>2011</v>
      </c>
      <c r="E3482">
        <f t="shared" si="129"/>
        <v>9</v>
      </c>
    </row>
    <row r="3483" spans="1:5" x14ac:dyDescent="0.3">
      <c r="A3483" t="s">
        <v>3608</v>
      </c>
      <c r="B3483" t="s">
        <v>127</v>
      </c>
      <c r="C3483">
        <v>232</v>
      </c>
      <c r="D3483">
        <f t="shared" si="128"/>
        <v>2011</v>
      </c>
      <c r="E3483">
        <f t="shared" si="129"/>
        <v>9</v>
      </c>
    </row>
    <row r="3484" spans="1:5" x14ac:dyDescent="0.3">
      <c r="A3484" t="s">
        <v>3609</v>
      </c>
      <c r="B3484" t="s">
        <v>127</v>
      </c>
      <c r="C3484">
        <v>227</v>
      </c>
      <c r="D3484">
        <f t="shared" si="128"/>
        <v>2011</v>
      </c>
      <c r="E3484">
        <f t="shared" si="129"/>
        <v>9</v>
      </c>
    </row>
    <row r="3485" spans="1:5" x14ac:dyDescent="0.3">
      <c r="A3485" t="s">
        <v>3610</v>
      </c>
      <c r="B3485" t="s">
        <v>127</v>
      </c>
      <c r="C3485">
        <v>228</v>
      </c>
      <c r="D3485">
        <f t="shared" si="128"/>
        <v>2011</v>
      </c>
      <c r="E3485">
        <f t="shared" si="129"/>
        <v>9</v>
      </c>
    </row>
    <row r="3486" spans="1:5" x14ac:dyDescent="0.3">
      <c r="A3486" t="s">
        <v>3611</v>
      </c>
      <c r="B3486" t="s">
        <v>127</v>
      </c>
      <c r="C3486">
        <v>242</v>
      </c>
      <c r="D3486">
        <f t="shared" si="128"/>
        <v>2011</v>
      </c>
      <c r="E3486">
        <f t="shared" si="129"/>
        <v>9</v>
      </c>
    </row>
    <row r="3487" spans="1:5" x14ac:dyDescent="0.3">
      <c r="A3487" t="s">
        <v>3612</v>
      </c>
      <c r="B3487" t="s">
        <v>127</v>
      </c>
      <c r="C3487">
        <v>236</v>
      </c>
      <c r="D3487">
        <f t="shared" si="128"/>
        <v>2011</v>
      </c>
      <c r="E3487">
        <f t="shared" si="129"/>
        <v>9</v>
      </c>
    </row>
    <row r="3488" spans="1:5" x14ac:dyDescent="0.3">
      <c r="A3488" t="s">
        <v>3613</v>
      </c>
      <c r="B3488" t="s">
        <v>127</v>
      </c>
      <c r="C3488">
        <v>247</v>
      </c>
      <c r="D3488">
        <f t="shared" si="128"/>
        <v>2011</v>
      </c>
      <c r="E3488">
        <f t="shared" si="129"/>
        <v>9</v>
      </c>
    </row>
    <row r="3489" spans="1:5" x14ac:dyDescent="0.3">
      <c r="A3489" t="s">
        <v>3614</v>
      </c>
      <c r="B3489" t="s">
        <v>127</v>
      </c>
      <c r="C3489">
        <v>275</v>
      </c>
      <c r="D3489">
        <f t="shared" si="128"/>
        <v>2011</v>
      </c>
      <c r="E3489">
        <f t="shared" si="129"/>
        <v>9</v>
      </c>
    </row>
    <row r="3490" spans="1:5" x14ac:dyDescent="0.3">
      <c r="A3490" t="s">
        <v>3615</v>
      </c>
      <c r="B3490" t="s">
        <v>127</v>
      </c>
      <c r="C3490">
        <v>273</v>
      </c>
      <c r="D3490">
        <f t="shared" si="128"/>
        <v>2011</v>
      </c>
      <c r="E3490">
        <f t="shared" si="129"/>
        <v>9</v>
      </c>
    </row>
    <row r="3491" spans="1:5" x14ac:dyDescent="0.3">
      <c r="A3491" t="s">
        <v>3616</v>
      </c>
      <c r="B3491" t="s">
        <v>127</v>
      </c>
      <c r="C3491">
        <v>276</v>
      </c>
      <c r="D3491">
        <f t="shared" si="128"/>
        <v>2011</v>
      </c>
      <c r="E3491">
        <f t="shared" si="129"/>
        <v>9</v>
      </c>
    </row>
    <row r="3492" spans="1:5" x14ac:dyDescent="0.3">
      <c r="A3492" t="s">
        <v>3617</v>
      </c>
      <c r="B3492" t="s">
        <v>127</v>
      </c>
      <c r="C3492">
        <v>259</v>
      </c>
      <c r="D3492">
        <f t="shared" si="128"/>
        <v>2011</v>
      </c>
      <c r="E3492">
        <f t="shared" si="129"/>
        <v>9</v>
      </c>
    </row>
    <row r="3493" spans="1:5" x14ac:dyDescent="0.3">
      <c r="A3493" t="s">
        <v>3618</v>
      </c>
      <c r="B3493" t="s">
        <v>127</v>
      </c>
      <c r="C3493">
        <v>260</v>
      </c>
      <c r="D3493">
        <f t="shared" si="128"/>
        <v>2011</v>
      </c>
      <c r="E3493">
        <f t="shared" si="129"/>
        <v>9</v>
      </c>
    </row>
    <row r="3494" spans="1:5" x14ac:dyDescent="0.3">
      <c r="A3494" t="s">
        <v>3619</v>
      </c>
      <c r="B3494" t="s">
        <v>127</v>
      </c>
      <c r="C3494">
        <v>261</v>
      </c>
      <c r="D3494">
        <f t="shared" si="128"/>
        <v>2011</v>
      </c>
      <c r="E3494">
        <f t="shared" si="129"/>
        <v>9</v>
      </c>
    </row>
    <row r="3495" spans="1:5" x14ac:dyDescent="0.3">
      <c r="A3495" t="s">
        <v>3620</v>
      </c>
      <c r="B3495" t="s">
        <v>127</v>
      </c>
      <c r="C3495">
        <v>267</v>
      </c>
      <c r="D3495">
        <f t="shared" si="128"/>
        <v>2011</v>
      </c>
      <c r="E3495">
        <f t="shared" si="129"/>
        <v>9</v>
      </c>
    </row>
    <row r="3496" spans="1:5" x14ac:dyDescent="0.3">
      <c r="A3496" t="s">
        <v>3621</v>
      </c>
      <c r="B3496" t="s">
        <v>127</v>
      </c>
      <c r="C3496">
        <v>276</v>
      </c>
      <c r="D3496">
        <f t="shared" si="128"/>
        <v>2011</v>
      </c>
      <c r="E3496">
        <f t="shared" si="129"/>
        <v>10</v>
      </c>
    </row>
    <row r="3497" spans="1:5" x14ac:dyDescent="0.3">
      <c r="A3497" t="s">
        <v>3622</v>
      </c>
      <c r="B3497" t="s">
        <v>127</v>
      </c>
      <c r="C3497">
        <v>277</v>
      </c>
      <c r="D3497">
        <f t="shared" si="128"/>
        <v>2011</v>
      </c>
      <c r="E3497">
        <f t="shared" si="129"/>
        <v>10</v>
      </c>
    </row>
    <row r="3498" spans="1:5" x14ac:dyDescent="0.3">
      <c r="A3498" t="s">
        <v>3623</v>
      </c>
      <c r="B3498" t="s">
        <v>127</v>
      </c>
      <c r="C3498">
        <v>271</v>
      </c>
      <c r="D3498">
        <f t="shared" si="128"/>
        <v>2011</v>
      </c>
      <c r="E3498">
        <f t="shared" si="129"/>
        <v>10</v>
      </c>
    </row>
    <row r="3499" spans="1:5" x14ac:dyDescent="0.3">
      <c r="A3499" t="s">
        <v>3624</v>
      </c>
      <c r="B3499" t="s">
        <v>127</v>
      </c>
      <c r="C3499">
        <v>256</v>
      </c>
      <c r="D3499">
        <f t="shared" si="128"/>
        <v>2011</v>
      </c>
      <c r="E3499">
        <f t="shared" si="129"/>
        <v>10</v>
      </c>
    </row>
    <row r="3500" spans="1:5" x14ac:dyDescent="0.3">
      <c r="A3500" t="s">
        <v>3625</v>
      </c>
      <c r="B3500" t="s">
        <v>127</v>
      </c>
      <c r="C3500">
        <v>250</v>
      </c>
      <c r="D3500">
        <f t="shared" si="128"/>
        <v>2011</v>
      </c>
      <c r="E3500">
        <f t="shared" si="129"/>
        <v>10</v>
      </c>
    </row>
    <row r="3501" spans="1:5" x14ac:dyDescent="0.3">
      <c r="A3501" t="s">
        <v>3626</v>
      </c>
      <c r="B3501" t="s">
        <v>127</v>
      </c>
      <c r="C3501">
        <v>250</v>
      </c>
      <c r="D3501">
        <f t="shared" si="128"/>
        <v>2011</v>
      </c>
      <c r="E3501">
        <f t="shared" si="129"/>
        <v>10</v>
      </c>
    </row>
    <row r="3502" spans="1:5" x14ac:dyDescent="0.3">
      <c r="A3502" t="s">
        <v>3627</v>
      </c>
      <c r="B3502" t="s">
        <v>127</v>
      </c>
      <c r="C3502">
        <v>232</v>
      </c>
      <c r="D3502">
        <f t="shared" si="128"/>
        <v>2011</v>
      </c>
      <c r="E3502">
        <f t="shared" si="129"/>
        <v>10</v>
      </c>
    </row>
    <row r="3503" spans="1:5" x14ac:dyDescent="0.3">
      <c r="A3503" t="s">
        <v>3628</v>
      </c>
      <c r="B3503" t="s">
        <v>127</v>
      </c>
      <c r="C3503">
        <v>225</v>
      </c>
      <c r="D3503">
        <f t="shared" si="128"/>
        <v>2011</v>
      </c>
      <c r="E3503">
        <f t="shared" si="129"/>
        <v>10</v>
      </c>
    </row>
    <row r="3504" spans="1:5" x14ac:dyDescent="0.3">
      <c r="A3504" t="s">
        <v>3629</v>
      </c>
      <c r="B3504" t="s">
        <v>127</v>
      </c>
      <c r="C3504">
        <v>234</v>
      </c>
      <c r="D3504">
        <f t="shared" si="128"/>
        <v>2011</v>
      </c>
      <c r="E3504">
        <f t="shared" si="129"/>
        <v>10</v>
      </c>
    </row>
    <row r="3505" spans="1:5" x14ac:dyDescent="0.3">
      <c r="A3505" t="s">
        <v>3630</v>
      </c>
      <c r="B3505" t="s">
        <v>127</v>
      </c>
      <c r="C3505">
        <v>228</v>
      </c>
      <c r="D3505">
        <f t="shared" si="128"/>
        <v>2011</v>
      </c>
      <c r="E3505">
        <f t="shared" si="129"/>
        <v>10</v>
      </c>
    </row>
    <row r="3506" spans="1:5" x14ac:dyDescent="0.3">
      <c r="A3506" t="s">
        <v>3631</v>
      </c>
      <c r="B3506" t="s">
        <v>127</v>
      </c>
      <c r="C3506">
        <v>233</v>
      </c>
      <c r="D3506">
        <f t="shared" si="128"/>
        <v>2011</v>
      </c>
      <c r="E3506">
        <f t="shared" si="129"/>
        <v>10</v>
      </c>
    </row>
    <row r="3507" spans="1:5" x14ac:dyDescent="0.3">
      <c r="A3507" t="s">
        <v>3632</v>
      </c>
      <c r="B3507" t="s">
        <v>127</v>
      </c>
      <c r="C3507">
        <v>235</v>
      </c>
      <c r="D3507">
        <f t="shared" si="128"/>
        <v>2011</v>
      </c>
      <c r="E3507">
        <f t="shared" si="129"/>
        <v>10</v>
      </c>
    </row>
    <row r="3508" spans="1:5" x14ac:dyDescent="0.3">
      <c r="A3508" t="s">
        <v>3633</v>
      </c>
      <c r="B3508" t="s">
        <v>127</v>
      </c>
      <c r="C3508">
        <v>235</v>
      </c>
      <c r="D3508">
        <f t="shared" si="128"/>
        <v>2011</v>
      </c>
      <c r="E3508">
        <f t="shared" si="129"/>
        <v>10</v>
      </c>
    </row>
    <row r="3509" spans="1:5" x14ac:dyDescent="0.3">
      <c r="A3509" t="s">
        <v>3634</v>
      </c>
      <c r="B3509" t="s">
        <v>127</v>
      </c>
      <c r="C3509">
        <v>237</v>
      </c>
      <c r="D3509">
        <f t="shared" si="128"/>
        <v>2011</v>
      </c>
      <c r="E3509">
        <f t="shared" si="129"/>
        <v>10</v>
      </c>
    </row>
    <row r="3510" spans="1:5" x14ac:dyDescent="0.3">
      <c r="A3510" t="s">
        <v>3635</v>
      </c>
      <c r="B3510" t="s">
        <v>127</v>
      </c>
      <c r="C3510">
        <v>230</v>
      </c>
      <c r="D3510">
        <f t="shared" si="128"/>
        <v>2011</v>
      </c>
      <c r="E3510">
        <f t="shared" si="129"/>
        <v>10</v>
      </c>
    </row>
    <row r="3511" spans="1:5" x14ac:dyDescent="0.3">
      <c r="A3511" t="s">
        <v>3636</v>
      </c>
      <c r="B3511" t="s">
        <v>127</v>
      </c>
      <c r="C3511">
        <v>227</v>
      </c>
      <c r="D3511">
        <f t="shared" si="128"/>
        <v>2011</v>
      </c>
      <c r="E3511">
        <f t="shared" si="129"/>
        <v>10</v>
      </c>
    </row>
    <row r="3512" spans="1:5" x14ac:dyDescent="0.3">
      <c r="A3512" t="s">
        <v>3637</v>
      </c>
      <c r="B3512" t="s">
        <v>127</v>
      </c>
      <c r="C3512">
        <v>232</v>
      </c>
      <c r="D3512">
        <f t="shared" si="128"/>
        <v>2011</v>
      </c>
      <c r="E3512">
        <f t="shared" si="129"/>
        <v>10</v>
      </c>
    </row>
    <row r="3513" spans="1:5" x14ac:dyDescent="0.3">
      <c r="A3513" t="s">
        <v>3638</v>
      </c>
      <c r="B3513" t="s">
        <v>127</v>
      </c>
      <c r="C3513">
        <v>220</v>
      </c>
      <c r="D3513">
        <f t="shared" si="128"/>
        <v>2011</v>
      </c>
      <c r="E3513">
        <f t="shared" si="129"/>
        <v>10</v>
      </c>
    </row>
    <row r="3514" spans="1:5" x14ac:dyDescent="0.3">
      <c r="A3514" t="s">
        <v>3639</v>
      </c>
      <c r="B3514" t="s">
        <v>127</v>
      </c>
      <c r="C3514">
        <v>196</v>
      </c>
      <c r="D3514">
        <f t="shared" si="128"/>
        <v>2011</v>
      </c>
      <c r="E3514">
        <f t="shared" si="129"/>
        <v>10</v>
      </c>
    </row>
    <row r="3515" spans="1:5" x14ac:dyDescent="0.3">
      <c r="A3515" t="s">
        <v>3640</v>
      </c>
      <c r="B3515" t="s">
        <v>127</v>
      </c>
      <c r="C3515">
        <v>207</v>
      </c>
      <c r="D3515">
        <f t="shared" si="128"/>
        <v>2011</v>
      </c>
      <c r="E3515">
        <f t="shared" si="129"/>
        <v>10</v>
      </c>
    </row>
    <row r="3516" spans="1:5" x14ac:dyDescent="0.3">
      <c r="A3516" t="s">
        <v>3641</v>
      </c>
      <c r="B3516" t="s">
        <v>127</v>
      </c>
      <c r="C3516">
        <v>221</v>
      </c>
      <c r="D3516">
        <f t="shared" si="128"/>
        <v>2011</v>
      </c>
      <c r="E3516">
        <f t="shared" si="129"/>
        <v>10</v>
      </c>
    </row>
    <row r="3517" spans="1:5" x14ac:dyDescent="0.3">
      <c r="A3517" t="s">
        <v>3642</v>
      </c>
      <c r="B3517" t="s">
        <v>127</v>
      </c>
      <c r="C3517">
        <v>227</v>
      </c>
      <c r="D3517">
        <f t="shared" si="128"/>
        <v>2011</v>
      </c>
      <c r="E3517">
        <f t="shared" si="129"/>
        <v>11</v>
      </c>
    </row>
    <row r="3518" spans="1:5" x14ac:dyDescent="0.3">
      <c r="A3518" t="s">
        <v>3643</v>
      </c>
      <c r="B3518" t="s">
        <v>127</v>
      </c>
      <c r="C3518">
        <v>223</v>
      </c>
      <c r="D3518">
        <f t="shared" si="128"/>
        <v>2011</v>
      </c>
      <c r="E3518">
        <f t="shared" si="129"/>
        <v>11</v>
      </c>
    </row>
    <row r="3519" spans="1:5" x14ac:dyDescent="0.3">
      <c r="A3519" t="s">
        <v>3644</v>
      </c>
      <c r="B3519" t="s">
        <v>127</v>
      </c>
      <c r="C3519">
        <v>210</v>
      </c>
      <c r="D3519">
        <f t="shared" si="128"/>
        <v>2011</v>
      </c>
      <c r="E3519">
        <f t="shared" si="129"/>
        <v>11</v>
      </c>
    </row>
    <row r="3520" spans="1:5" x14ac:dyDescent="0.3">
      <c r="A3520" t="s">
        <v>3645</v>
      </c>
      <c r="B3520" t="s">
        <v>127</v>
      </c>
      <c r="C3520">
        <v>211</v>
      </c>
      <c r="D3520">
        <f t="shared" si="128"/>
        <v>2011</v>
      </c>
      <c r="E3520">
        <f t="shared" si="129"/>
        <v>11</v>
      </c>
    </row>
    <row r="3521" spans="1:5" x14ac:dyDescent="0.3">
      <c r="A3521" t="s">
        <v>3646</v>
      </c>
      <c r="B3521" t="s">
        <v>127</v>
      </c>
      <c r="C3521">
        <v>215</v>
      </c>
      <c r="D3521">
        <f t="shared" si="128"/>
        <v>2011</v>
      </c>
      <c r="E3521">
        <f t="shared" si="129"/>
        <v>11</v>
      </c>
    </row>
    <row r="3522" spans="1:5" x14ac:dyDescent="0.3">
      <c r="A3522" t="s">
        <v>3647</v>
      </c>
      <c r="B3522" t="s">
        <v>127</v>
      </c>
      <c r="C3522">
        <v>205</v>
      </c>
      <c r="D3522">
        <f t="shared" si="128"/>
        <v>2011</v>
      </c>
      <c r="E3522">
        <f t="shared" si="129"/>
        <v>11</v>
      </c>
    </row>
    <row r="3523" spans="1:5" x14ac:dyDescent="0.3">
      <c r="A3523" t="s">
        <v>3648</v>
      </c>
      <c r="B3523" t="s">
        <v>127</v>
      </c>
      <c r="C3523">
        <v>218</v>
      </c>
      <c r="D3523">
        <f t="shared" ref="D3523:D3586" si="130">YEAR(A3523)</f>
        <v>2011</v>
      </c>
      <c r="E3523">
        <f t="shared" ref="E3523:E3586" si="131">MONTH(A3523)</f>
        <v>11</v>
      </c>
    </row>
    <row r="3524" spans="1:5" x14ac:dyDescent="0.3">
      <c r="A3524" t="s">
        <v>3649</v>
      </c>
      <c r="B3524" t="s">
        <v>127</v>
      </c>
      <c r="C3524">
        <v>209</v>
      </c>
      <c r="D3524">
        <f t="shared" si="130"/>
        <v>2011</v>
      </c>
      <c r="E3524">
        <f t="shared" si="131"/>
        <v>11</v>
      </c>
    </row>
    <row r="3525" spans="1:5" x14ac:dyDescent="0.3">
      <c r="A3525" t="s">
        <v>3650</v>
      </c>
      <c r="B3525" t="s">
        <v>127</v>
      </c>
      <c r="C3525">
        <v>209</v>
      </c>
      <c r="D3525">
        <f t="shared" si="130"/>
        <v>2011</v>
      </c>
      <c r="E3525">
        <f t="shared" si="131"/>
        <v>11</v>
      </c>
    </row>
    <row r="3526" spans="1:5" x14ac:dyDescent="0.3">
      <c r="A3526" t="s">
        <v>3651</v>
      </c>
      <c r="B3526" t="s">
        <v>127</v>
      </c>
      <c r="C3526">
        <v>211</v>
      </c>
      <c r="D3526">
        <f t="shared" si="130"/>
        <v>2011</v>
      </c>
      <c r="E3526">
        <f t="shared" si="131"/>
        <v>11</v>
      </c>
    </row>
    <row r="3527" spans="1:5" x14ac:dyDescent="0.3">
      <c r="A3527" t="s">
        <v>3652</v>
      </c>
      <c r="B3527" t="s">
        <v>127</v>
      </c>
      <c r="C3527">
        <v>212</v>
      </c>
      <c r="D3527">
        <f t="shared" si="130"/>
        <v>2011</v>
      </c>
      <c r="E3527">
        <f t="shared" si="131"/>
        <v>11</v>
      </c>
    </row>
    <row r="3528" spans="1:5" x14ac:dyDescent="0.3">
      <c r="A3528" t="s">
        <v>3653</v>
      </c>
      <c r="B3528" t="s">
        <v>127</v>
      </c>
      <c r="C3528">
        <v>216</v>
      </c>
      <c r="D3528">
        <f t="shared" si="130"/>
        <v>2011</v>
      </c>
      <c r="E3528">
        <f t="shared" si="131"/>
        <v>11</v>
      </c>
    </row>
    <row r="3529" spans="1:5" x14ac:dyDescent="0.3">
      <c r="A3529" t="s">
        <v>3654</v>
      </c>
      <c r="B3529" t="s">
        <v>127</v>
      </c>
      <c r="C3529">
        <v>227</v>
      </c>
      <c r="D3529">
        <f t="shared" si="130"/>
        <v>2011</v>
      </c>
      <c r="E3529">
        <f t="shared" si="131"/>
        <v>11</v>
      </c>
    </row>
    <row r="3530" spans="1:5" x14ac:dyDescent="0.3">
      <c r="A3530" t="s">
        <v>3655</v>
      </c>
      <c r="B3530" t="s">
        <v>127</v>
      </c>
      <c r="C3530">
        <v>225</v>
      </c>
      <c r="D3530">
        <f t="shared" si="130"/>
        <v>2011</v>
      </c>
      <c r="E3530">
        <f t="shared" si="131"/>
        <v>11</v>
      </c>
    </row>
    <row r="3531" spans="1:5" x14ac:dyDescent="0.3">
      <c r="A3531" t="s">
        <v>3656</v>
      </c>
      <c r="B3531" t="s">
        <v>127</v>
      </c>
      <c r="C3531">
        <v>233</v>
      </c>
      <c r="D3531">
        <f t="shared" si="130"/>
        <v>2011</v>
      </c>
      <c r="E3531">
        <f t="shared" si="131"/>
        <v>11</v>
      </c>
    </row>
    <row r="3532" spans="1:5" x14ac:dyDescent="0.3">
      <c r="A3532" t="s">
        <v>3657</v>
      </c>
      <c r="B3532" t="s">
        <v>127</v>
      </c>
      <c r="C3532">
        <v>235</v>
      </c>
      <c r="D3532">
        <f t="shared" si="130"/>
        <v>2011</v>
      </c>
      <c r="E3532">
        <f t="shared" si="131"/>
        <v>11</v>
      </c>
    </row>
    <row r="3533" spans="1:5" x14ac:dyDescent="0.3">
      <c r="A3533" t="s">
        <v>3658</v>
      </c>
      <c r="B3533" t="s">
        <v>127</v>
      </c>
      <c r="C3533">
        <v>243</v>
      </c>
      <c r="D3533">
        <f t="shared" si="130"/>
        <v>2011</v>
      </c>
      <c r="E3533">
        <f t="shared" si="131"/>
        <v>11</v>
      </c>
    </row>
    <row r="3534" spans="1:5" x14ac:dyDescent="0.3">
      <c r="A3534" t="s">
        <v>3659</v>
      </c>
      <c r="B3534" t="s">
        <v>127</v>
      </c>
      <c r="C3534">
        <v>243</v>
      </c>
      <c r="D3534">
        <f t="shared" si="130"/>
        <v>2011</v>
      </c>
      <c r="E3534">
        <f t="shared" si="131"/>
        <v>11</v>
      </c>
    </row>
    <row r="3535" spans="1:5" x14ac:dyDescent="0.3">
      <c r="A3535" t="s">
        <v>3660</v>
      </c>
      <c r="B3535" t="s">
        <v>127</v>
      </c>
      <c r="C3535">
        <v>243</v>
      </c>
      <c r="D3535">
        <f t="shared" si="130"/>
        <v>2011</v>
      </c>
      <c r="E3535">
        <f t="shared" si="131"/>
        <v>11</v>
      </c>
    </row>
    <row r="3536" spans="1:5" x14ac:dyDescent="0.3">
      <c r="A3536" t="s">
        <v>3661</v>
      </c>
      <c r="B3536" t="s">
        <v>127</v>
      </c>
      <c r="C3536">
        <v>237</v>
      </c>
      <c r="D3536">
        <f t="shared" si="130"/>
        <v>2011</v>
      </c>
      <c r="E3536">
        <f t="shared" si="131"/>
        <v>11</v>
      </c>
    </row>
    <row r="3537" spans="1:5" x14ac:dyDescent="0.3">
      <c r="A3537" t="s">
        <v>3662</v>
      </c>
      <c r="B3537" t="s">
        <v>127</v>
      </c>
      <c r="C3537">
        <v>234</v>
      </c>
      <c r="D3537">
        <f t="shared" si="130"/>
        <v>2011</v>
      </c>
      <c r="E3537">
        <f t="shared" si="131"/>
        <v>11</v>
      </c>
    </row>
    <row r="3538" spans="1:5" x14ac:dyDescent="0.3">
      <c r="A3538" t="s">
        <v>3663</v>
      </c>
      <c r="B3538" t="s">
        <v>127</v>
      </c>
      <c r="C3538">
        <v>228</v>
      </c>
      <c r="D3538">
        <f t="shared" si="130"/>
        <v>2011</v>
      </c>
      <c r="E3538">
        <f t="shared" si="131"/>
        <v>11</v>
      </c>
    </row>
    <row r="3539" spans="1:5" x14ac:dyDescent="0.3">
      <c r="A3539" t="s">
        <v>3664</v>
      </c>
      <c r="B3539" t="s">
        <v>127</v>
      </c>
      <c r="C3539">
        <v>221</v>
      </c>
      <c r="D3539">
        <f t="shared" si="130"/>
        <v>2011</v>
      </c>
      <c r="E3539">
        <f t="shared" si="131"/>
        <v>12</v>
      </c>
    </row>
    <row r="3540" spans="1:5" x14ac:dyDescent="0.3">
      <c r="A3540" t="s">
        <v>3665</v>
      </c>
      <c r="B3540" t="s">
        <v>127</v>
      </c>
      <c r="C3540">
        <v>226</v>
      </c>
      <c r="D3540">
        <f t="shared" si="130"/>
        <v>2011</v>
      </c>
      <c r="E3540">
        <f t="shared" si="131"/>
        <v>12</v>
      </c>
    </row>
    <row r="3541" spans="1:5" x14ac:dyDescent="0.3">
      <c r="A3541" t="s">
        <v>3666</v>
      </c>
      <c r="B3541" t="s">
        <v>127</v>
      </c>
      <c r="C3541">
        <v>224</v>
      </c>
      <c r="D3541">
        <f t="shared" si="130"/>
        <v>2011</v>
      </c>
      <c r="E3541">
        <f t="shared" si="131"/>
        <v>12</v>
      </c>
    </row>
    <row r="3542" spans="1:5" x14ac:dyDescent="0.3">
      <c r="A3542" t="s">
        <v>3667</v>
      </c>
      <c r="B3542" t="s">
        <v>127</v>
      </c>
      <c r="C3542">
        <v>217</v>
      </c>
      <c r="D3542">
        <f t="shared" si="130"/>
        <v>2011</v>
      </c>
      <c r="E3542">
        <f t="shared" si="131"/>
        <v>12</v>
      </c>
    </row>
    <row r="3543" spans="1:5" x14ac:dyDescent="0.3">
      <c r="A3543" t="s">
        <v>3668</v>
      </c>
      <c r="B3543" t="s">
        <v>127</v>
      </c>
      <c r="C3543">
        <v>224</v>
      </c>
      <c r="D3543">
        <f t="shared" si="130"/>
        <v>2011</v>
      </c>
      <c r="E3543">
        <f t="shared" si="131"/>
        <v>12</v>
      </c>
    </row>
    <row r="3544" spans="1:5" x14ac:dyDescent="0.3">
      <c r="A3544" t="s">
        <v>3669</v>
      </c>
      <c r="B3544" t="s">
        <v>127</v>
      </c>
      <c r="C3544">
        <v>226</v>
      </c>
      <c r="D3544">
        <f t="shared" si="130"/>
        <v>2011</v>
      </c>
      <c r="E3544">
        <f t="shared" si="131"/>
        <v>12</v>
      </c>
    </row>
    <row r="3545" spans="1:5" x14ac:dyDescent="0.3">
      <c r="A3545" t="s">
        <v>3670</v>
      </c>
      <c r="B3545" t="s">
        <v>127</v>
      </c>
      <c r="C3545">
        <v>212</v>
      </c>
      <c r="D3545">
        <f t="shared" si="130"/>
        <v>2011</v>
      </c>
      <c r="E3545">
        <f t="shared" si="131"/>
        <v>12</v>
      </c>
    </row>
    <row r="3546" spans="1:5" x14ac:dyDescent="0.3">
      <c r="A3546" t="s">
        <v>3671</v>
      </c>
      <c r="B3546" t="s">
        <v>127</v>
      </c>
      <c r="C3546">
        <v>215</v>
      </c>
      <c r="D3546">
        <f t="shared" si="130"/>
        <v>2011</v>
      </c>
      <c r="E3546">
        <f t="shared" si="131"/>
        <v>12</v>
      </c>
    </row>
    <row r="3547" spans="1:5" x14ac:dyDescent="0.3">
      <c r="A3547" t="s">
        <v>3672</v>
      </c>
      <c r="B3547" t="s">
        <v>127</v>
      </c>
      <c r="C3547">
        <v>216</v>
      </c>
      <c r="D3547">
        <f t="shared" si="130"/>
        <v>2011</v>
      </c>
      <c r="E3547">
        <f t="shared" si="131"/>
        <v>12</v>
      </c>
    </row>
    <row r="3548" spans="1:5" x14ac:dyDescent="0.3">
      <c r="A3548" t="s">
        <v>3673</v>
      </c>
      <c r="B3548" t="s">
        <v>127</v>
      </c>
      <c r="C3548">
        <v>224</v>
      </c>
      <c r="D3548">
        <f t="shared" si="130"/>
        <v>2011</v>
      </c>
      <c r="E3548">
        <f t="shared" si="131"/>
        <v>12</v>
      </c>
    </row>
    <row r="3549" spans="1:5" x14ac:dyDescent="0.3">
      <c r="A3549" t="s">
        <v>3674</v>
      </c>
      <c r="B3549" t="s">
        <v>127</v>
      </c>
      <c r="C3549">
        <v>223</v>
      </c>
      <c r="D3549">
        <f t="shared" si="130"/>
        <v>2011</v>
      </c>
      <c r="E3549">
        <f t="shared" si="131"/>
        <v>12</v>
      </c>
    </row>
    <row r="3550" spans="1:5" x14ac:dyDescent="0.3">
      <c r="A3550" t="s">
        <v>3675</v>
      </c>
      <c r="B3550" t="s">
        <v>127</v>
      </c>
      <c r="C3550">
        <v>230</v>
      </c>
      <c r="D3550">
        <f t="shared" si="130"/>
        <v>2011</v>
      </c>
      <c r="E3550">
        <f t="shared" si="131"/>
        <v>12</v>
      </c>
    </row>
    <row r="3551" spans="1:5" x14ac:dyDescent="0.3">
      <c r="A3551" t="s">
        <v>3676</v>
      </c>
      <c r="B3551" t="s">
        <v>127</v>
      </c>
      <c r="C3551">
        <v>234</v>
      </c>
      <c r="D3551">
        <f t="shared" si="130"/>
        <v>2011</v>
      </c>
      <c r="E3551">
        <f t="shared" si="131"/>
        <v>12</v>
      </c>
    </row>
    <row r="3552" spans="1:5" x14ac:dyDescent="0.3">
      <c r="A3552" t="s">
        <v>3677</v>
      </c>
      <c r="B3552" t="s">
        <v>127</v>
      </c>
      <c r="C3552">
        <v>222</v>
      </c>
      <c r="D3552">
        <f t="shared" si="130"/>
        <v>2011</v>
      </c>
      <c r="E3552">
        <f t="shared" si="131"/>
        <v>12</v>
      </c>
    </row>
    <row r="3553" spans="1:5" x14ac:dyDescent="0.3">
      <c r="A3553" t="s">
        <v>3678</v>
      </c>
      <c r="B3553" t="s">
        <v>127</v>
      </c>
      <c r="C3553">
        <v>215</v>
      </c>
      <c r="D3553">
        <f t="shared" si="130"/>
        <v>2011</v>
      </c>
      <c r="E3553">
        <f t="shared" si="131"/>
        <v>12</v>
      </c>
    </row>
    <row r="3554" spans="1:5" x14ac:dyDescent="0.3">
      <c r="A3554" t="s">
        <v>3679</v>
      </c>
      <c r="B3554" t="s">
        <v>127</v>
      </c>
      <c r="C3554">
        <v>216</v>
      </c>
      <c r="D3554">
        <f t="shared" si="130"/>
        <v>2011</v>
      </c>
      <c r="E3554">
        <f t="shared" si="131"/>
        <v>12</v>
      </c>
    </row>
    <row r="3555" spans="1:5" x14ac:dyDescent="0.3">
      <c r="A3555" t="s">
        <v>3680</v>
      </c>
      <c r="B3555" t="s">
        <v>127</v>
      </c>
      <c r="C3555">
        <v>207</v>
      </c>
      <c r="D3555">
        <f t="shared" si="130"/>
        <v>2011</v>
      </c>
      <c r="E3555">
        <f t="shared" si="131"/>
        <v>12</v>
      </c>
    </row>
    <row r="3556" spans="1:5" x14ac:dyDescent="0.3">
      <c r="A3556" t="s">
        <v>3681</v>
      </c>
      <c r="B3556" t="s">
        <v>127</v>
      </c>
      <c r="C3556">
        <v>207</v>
      </c>
      <c r="D3556">
        <f t="shared" si="130"/>
        <v>2011</v>
      </c>
      <c r="E3556">
        <f t="shared" si="131"/>
        <v>12</v>
      </c>
    </row>
    <row r="3557" spans="1:5" x14ac:dyDescent="0.3">
      <c r="A3557" t="s">
        <v>3682</v>
      </c>
      <c r="B3557" t="s">
        <v>127</v>
      </c>
      <c r="C3557">
        <v>208</v>
      </c>
      <c r="D3557">
        <f t="shared" si="130"/>
        <v>2011</v>
      </c>
      <c r="E3557">
        <f t="shared" si="131"/>
        <v>12</v>
      </c>
    </row>
    <row r="3558" spans="1:5" x14ac:dyDescent="0.3">
      <c r="A3558" t="s">
        <v>3683</v>
      </c>
      <c r="B3558" t="s">
        <v>127</v>
      </c>
      <c r="C3558">
        <v>220</v>
      </c>
      <c r="D3558">
        <f t="shared" si="130"/>
        <v>2011</v>
      </c>
      <c r="E3558">
        <f t="shared" si="131"/>
        <v>12</v>
      </c>
    </row>
    <row r="3559" spans="1:5" x14ac:dyDescent="0.3">
      <c r="A3559" t="s">
        <v>3684</v>
      </c>
      <c r="B3559" t="s">
        <v>127</v>
      </c>
      <c r="C3559">
        <v>222</v>
      </c>
      <c r="D3559">
        <f t="shared" si="130"/>
        <v>2011</v>
      </c>
      <c r="E3559">
        <f t="shared" si="131"/>
        <v>12</v>
      </c>
    </row>
    <row r="3560" spans="1:5" x14ac:dyDescent="0.3">
      <c r="A3560" t="s">
        <v>3685</v>
      </c>
      <c r="B3560" t="s">
        <v>127</v>
      </c>
      <c r="C3560">
        <v>222</v>
      </c>
      <c r="D3560">
        <f t="shared" si="130"/>
        <v>2011</v>
      </c>
      <c r="E3560">
        <f t="shared" si="131"/>
        <v>12</v>
      </c>
    </row>
    <row r="3561" spans="1:5" x14ac:dyDescent="0.3">
      <c r="A3561" t="s">
        <v>3686</v>
      </c>
      <c r="B3561" t="s">
        <v>127</v>
      </c>
      <c r="C3561">
        <v>219.64349999999999</v>
      </c>
      <c r="D3561">
        <f t="shared" si="130"/>
        <v>2011</v>
      </c>
      <c r="E3561">
        <f t="shared" si="131"/>
        <v>12</v>
      </c>
    </row>
    <row r="3562" spans="1:5" x14ac:dyDescent="0.3">
      <c r="A3562" t="s">
        <v>3687</v>
      </c>
      <c r="B3562" t="s">
        <v>127</v>
      </c>
      <c r="C3562">
        <v>222</v>
      </c>
      <c r="D3562">
        <f t="shared" si="130"/>
        <v>2012</v>
      </c>
      <c r="E3562">
        <f t="shared" si="131"/>
        <v>1</v>
      </c>
    </row>
    <row r="3563" spans="1:5" x14ac:dyDescent="0.3">
      <c r="A3563" t="s">
        <v>3688</v>
      </c>
      <c r="B3563" t="s">
        <v>127</v>
      </c>
      <c r="C3563">
        <v>216</v>
      </c>
      <c r="D3563">
        <f t="shared" si="130"/>
        <v>2012</v>
      </c>
      <c r="E3563">
        <f t="shared" si="131"/>
        <v>1</v>
      </c>
    </row>
    <row r="3564" spans="1:5" x14ac:dyDescent="0.3">
      <c r="A3564" t="s">
        <v>3689</v>
      </c>
      <c r="B3564" t="s">
        <v>127</v>
      </c>
      <c r="C3564">
        <v>216</v>
      </c>
      <c r="D3564">
        <f t="shared" si="130"/>
        <v>2012</v>
      </c>
      <c r="E3564">
        <f t="shared" si="131"/>
        <v>1</v>
      </c>
    </row>
    <row r="3565" spans="1:5" x14ac:dyDescent="0.3">
      <c r="A3565" t="s">
        <v>3690</v>
      </c>
      <c r="B3565" t="s">
        <v>127</v>
      </c>
      <c r="C3565">
        <v>216</v>
      </c>
      <c r="D3565">
        <f t="shared" si="130"/>
        <v>2012</v>
      </c>
      <c r="E3565">
        <f t="shared" si="131"/>
        <v>1</v>
      </c>
    </row>
    <row r="3566" spans="1:5" x14ac:dyDescent="0.3">
      <c r="A3566" t="s">
        <v>3691</v>
      </c>
      <c r="B3566" t="s">
        <v>127</v>
      </c>
      <c r="C3566">
        <v>222</v>
      </c>
      <c r="D3566">
        <f t="shared" si="130"/>
        <v>2012</v>
      </c>
      <c r="E3566">
        <f t="shared" si="131"/>
        <v>1</v>
      </c>
    </row>
    <row r="3567" spans="1:5" x14ac:dyDescent="0.3">
      <c r="A3567" t="s">
        <v>3692</v>
      </c>
      <c r="B3567" t="s">
        <v>127</v>
      </c>
      <c r="C3567">
        <v>221</v>
      </c>
      <c r="D3567">
        <f t="shared" si="130"/>
        <v>2012</v>
      </c>
      <c r="E3567">
        <f t="shared" si="131"/>
        <v>1</v>
      </c>
    </row>
    <row r="3568" spans="1:5" x14ac:dyDescent="0.3">
      <c r="A3568" t="s">
        <v>3693</v>
      </c>
      <c r="B3568" t="s">
        <v>127</v>
      </c>
      <c r="C3568">
        <v>227</v>
      </c>
      <c r="D3568">
        <f t="shared" si="130"/>
        <v>2012</v>
      </c>
      <c r="E3568">
        <f t="shared" si="131"/>
        <v>1</v>
      </c>
    </row>
    <row r="3569" spans="1:5" x14ac:dyDescent="0.3">
      <c r="A3569" t="s">
        <v>3694</v>
      </c>
      <c r="B3569" t="s">
        <v>127</v>
      </c>
      <c r="C3569">
        <v>240</v>
      </c>
      <c r="D3569">
        <f t="shared" si="130"/>
        <v>2012</v>
      </c>
      <c r="E3569">
        <f t="shared" si="131"/>
        <v>1</v>
      </c>
    </row>
    <row r="3570" spans="1:5" x14ac:dyDescent="0.3">
      <c r="A3570" t="s">
        <v>3695</v>
      </c>
      <c r="B3570" t="s">
        <v>127</v>
      </c>
      <c r="C3570">
        <v>240</v>
      </c>
      <c r="D3570">
        <f t="shared" si="130"/>
        <v>2012</v>
      </c>
      <c r="E3570">
        <f t="shared" si="131"/>
        <v>1</v>
      </c>
    </row>
    <row r="3571" spans="1:5" x14ac:dyDescent="0.3">
      <c r="A3571" t="s">
        <v>3696</v>
      </c>
      <c r="B3571" t="s">
        <v>127</v>
      </c>
      <c r="C3571">
        <v>247</v>
      </c>
      <c r="D3571">
        <f t="shared" si="130"/>
        <v>2012</v>
      </c>
      <c r="E3571">
        <f t="shared" si="131"/>
        <v>1</v>
      </c>
    </row>
    <row r="3572" spans="1:5" x14ac:dyDescent="0.3">
      <c r="A3572" t="s">
        <v>3697</v>
      </c>
      <c r="B3572" t="s">
        <v>127</v>
      </c>
      <c r="C3572">
        <v>247</v>
      </c>
      <c r="D3572">
        <f t="shared" si="130"/>
        <v>2012</v>
      </c>
      <c r="E3572">
        <f t="shared" si="131"/>
        <v>1</v>
      </c>
    </row>
    <row r="3573" spans="1:5" x14ac:dyDescent="0.3">
      <c r="A3573" t="s">
        <v>3698</v>
      </c>
      <c r="B3573" t="s">
        <v>127</v>
      </c>
      <c r="C3573">
        <v>245</v>
      </c>
      <c r="D3573">
        <f t="shared" si="130"/>
        <v>2012</v>
      </c>
      <c r="E3573">
        <f t="shared" si="131"/>
        <v>1</v>
      </c>
    </row>
    <row r="3574" spans="1:5" x14ac:dyDescent="0.3">
      <c r="A3574" t="s">
        <v>3699</v>
      </c>
      <c r="B3574" t="s">
        <v>127</v>
      </c>
      <c r="C3574">
        <v>242</v>
      </c>
      <c r="D3574">
        <f t="shared" si="130"/>
        <v>2012</v>
      </c>
      <c r="E3574">
        <f t="shared" si="131"/>
        <v>1</v>
      </c>
    </row>
    <row r="3575" spans="1:5" x14ac:dyDescent="0.3">
      <c r="A3575" t="s">
        <v>3700</v>
      </c>
      <c r="B3575" t="s">
        <v>127</v>
      </c>
      <c r="C3575">
        <v>231</v>
      </c>
      <c r="D3575">
        <f t="shared" si="130"/>
        <v>2012</v>
      </c>
      <c r="E3575">
        <f t="shared" si="131"/>
        <v>1</v>
      </c>
    </row>
    <row r="3576" spans="1:5" x14ac:dyDescent="0.3">
      <c r="A3576" t="s">
        <v>3701</v>
      </c>
      <c r="B3576" t="s">
        <v>127</v>
      </c>
      <c r="C3576">
        <v>225</v>
      </c>
      <c r="D3576">
        <f t="shared" si="130"/>
        <v>2012</v>
      </c>
      <c r="E3576">
        <f t="shared" si="131"/>
        <v>1</v>
      </c>
    </row>
    <row r="3577" spans="1:5" x14ac:dyDescent="0.3">
      <c r="A3577" t="s">
        <v>3702</v>
      </c>
      <c r="B3577" t="s">
        <v>127</v>
      </c>
      <c r="C3577">
        <v>223</v>
      </c>
      <c r="D3577">
        <f t="shared" si="130"/>
        <v>2012</v>
      </c>
      <c r="E3577">
        <f t="shared" si="131"/>
        <v>1</v>
      </c>
    </row>
    <row r="3578" spans="1:5" x14ac:dyDescent="0.3">
      <c r="A3578" t="s">
        <v>3703</v>
      </c>
      <c r="B3578" t="s">
        <v>127</v>
      </c>
      <c r="C3578">
        <v>224</v>
      </c>
      <c r="D3578">
        <f t="shared" si="130"/>
        <v>2012</v>
      </c>
      <c r="E3578">
        <f t="shared" si="131"/>
        <v>1</v>
      </c>
    </row>
    <row r="3579" spans="1:5" x14ac:dyDescent="0.3">
      <c r="A3579" t="s">
        <v>3704</v>
      </c>
      <c r="B3579" t="s">
        <v>127</v>
      </c>
      <c r="C3579">
        <v>221</v>
      </c>
      <c r="D3579">
        <f t="shared" si="130"/>
        <v>2012</v>
      </c>
      <c r="E3579">
        <f t="shared" si="131"/>
        <v>1</v>
      </c>
    </row>
    <row r="3580" spans="1:5" x14ac:dyDescent="0.3">
      <c r="A3580" t="s">
        <v>3705</v>
      </c>
      <c r="B3580" t="s">
        <v>127</v>
      </c>
      <c r="C3580">
        <v>227</v>
      </c>
      <c r="D3580">
        <f t="shared" si="130"/>
        <v>2012</v>
      </c>
      <c r="E3580">
        <f t="shared" si="131"/>
        <v>1</v>
      </c>
    </row>
    <row r="3581" spans="1:5" x14ac:dyDescent="0.3">
      <c r="A3581" t="s">
        <v>3706</v>
      </c>
      <c r="B3581" t="s">
        <v>127</v>
      </c>
      <c r="C3581">
        <v>229</v>
      </c>
      <c r="D3581">
        <f t="shared" si="130"/>
        <v>2012</v>
      </c>
      <c r="E3581">
        <f t="shared" si="131"/>
        <v>1</v>
      </c>
    </row>
    <row r="3582" spans="1:5" x14ac:dyDescent="0.3">
      <c r="A3582" t="s">
        <v>3707</v>
      </c>
      <c r="B3582" t="s">
        <v>127</v>
      </c>
      <c r="C3582">
        <v>233</v>
      </c>
      <c r="D3582">
        <f t="shared" si="130"/>
        <v>2012</v>
      </c>
      <c r="E3582">
        <f t="shared" si="131"/>
        <v>1</v>
      </c>
    </row>
    <row r="3583" spans="1:5" x14ac:dyDescent="0.3">
      <c r="A3583" t="s">
        <v>3708</v>
      </c>
      <c r="B3583" t="s">
        <v>127</v>
      </c>
      <c r="C3583">
        <v>229</v>
      </c>
      <c r="D3583">
        <f t="shared" si="130"/>
        <v>2012</v>
      </c>
      <c r="E3583">
        <f t="shared" si="131"/>
        <v>1</v>
      </c>
    </row>
    <row r="3584" spans="1:5" x14ac:dyDescent="0.3">
      <c r="A3584" t="s">
        <v>3709</v>
      </c>
      <c r="B3584" t="s">
        <v>127</v>
      </c>
      <c r="C3584">
        <v>218</v>
      </c>
      <c r="D3584">
        <f t="shared" si="130"/>
        <v>2012</v>
      </c>
      <c r="E3584">
        <f t="shared" si="131"/>
        <v>2</v>
      </c>
    </row>
    <row r="3585" spans="1:5" x14ac:dyDescent="0.3">
      <c r="A3585" t="s">
        <v>3710</v>
      </c>
      <c r="B3585" t="s">
        <v>127</v>
      </c>
      <c r="C3585">
        <v>220</v>
      </c>
      <c r="D3585">
        <f t="shared" si="130"/>
        <v>2012</v>
      </c>
      <c r="E3585">
        <f t="shared" si="131"/>
        <v>2</v>
      </c>
    </row>
    <row r="3586" spans="1:5" x14ac:dyDescent="0.3">
      <c r="A3586" t="s">
        <v>3711</v>
      </c>
      <c r="B3586" t="s">
        <v>127</v>
      </c>
      <c r="C3586">
        <v>208</v>
      </c>
      <c r="D3586">
        <f t="shared" si="130"/>
        <v>2012</v>
      </c>
      <c r="E3586">
        <f t="shared" si="131"/>
        <v>2</v>
      </c>
    </row>
    <row r="3587" spans="1:5" x14ac:dyDescent="0.3">
      <c r="A3587" t="s">
        <v>3712</v>
      </c>
      <c r="B3587" t="s">
        <v>127</v>
      </c>
      <c r="C3587">
        <v>212</v>
      </c>
      <c r="D3587">
        <f t="shared" ref="D3587:D3650" si="132">YEAR(A3587)</f>
        <v>2012</v>
      </c>
      <c r="E3587">
        <f t="shared" ref="E3587:E3650" si="133">MONTH(A3587)</f>
        <v>2</v>
      </c>
    </row>
    <row r="3588" spans="1:5" x14ac:dyDescent="0.3">
      <c r="A3588" t="s">
        <v>3713</v>
      </c>
      <c r="B3588" t="s">
        <v>127</v>
      </c>
      <c r="C3588">
        <v>206</v>
      </c>
      <c r="D3588">
        <f t="shared" si="132"/>
        <v>2012</v>
      </c>
      <c r="E3588">
        <f t="shared" si="133"/>
        <v>2</v>
      </c>
    </row>
    <row r="3589" spans="1:5" x14ac:dyDescent="0.3">
      <c r="A3589" t="s">
        <v>3714</v>
      </c>
      <c r="B3589" t="s">
        <v>127</v>
      </c>
      <c r="C3589">
        <v>207</v>
      </c>
      <c r="D3589">
        <f t="shared" si="132"/>
        <v>2012</v>
      </c>
      <c r="E3589">
        <f t="shared" si="133"/>
        <v>2</v>
      </c>
    </row>
    <row r="3590" spans="1:5" x14ac:dyDescent="0.3">
      <c r="A3590" t="s">
        <v>3715</v>
      </c>
      <c r="B3590" t="s">
        <v>127</v>
      </c>
      <c r="C3590">
        <v>201</v>
      </c>
      <c r="D3590">
        <f t="shared" si="132"/>
        <v>2012</v>
      </c>
      <c r="E3590">
        <f t="shared" si="133"/>
        <v>2</v>
      </c>
    </row>
    <row r="3591" spans="1:5" x14ac:dyDescent="0.3">
      <c r="A3591" t="s">
        <v>3716</v>
      </c>
      <c r="B3591" t="s">
        <v>127</v>
      </c>
      <c r="C3591">
        <v>209</v>
      </c>
      <c r="D3591">
        <f t="shared" si="132"/>
        <v>2012</v>
      </c>
      <c r="E3591">
        <f t="shared" si="133"/>
        <v>2</v>
      </c>
    </row>
    <row r="3592" spans="1:5" x14ac:dyDescent="0.3">
      <c r="A3592" t="s">
        <v>3717</v>
      </c>
      <c r="B3592" t="s">
        <v>127</v>
      </c>
      <c r="C3592">
        <v>204</v>
      </c>
      <c r="D3592">
        <f t="shared" si="132"/>
        <v>2012</v>
      </c>
      <c r="E3592">
        <f t="shared" si="133"/>
        <v>2</v>
      </c>
    </row>
    <row r="3593" spans="1:5" x14ac:dyDescent="0.3">
      <c r="A3593" t="s">
        <v>3718</v>
      </c>
      <c r="B3593" t="s">
        <v>127</v>
      </c>
      <c r="C3593">
        <v>209</v>
      </c>
      <c r="D3593">
        <f t="shared" si="132"/>
        <v>2012</v>
      </c>
      <c r="E3593">
        <f t="shared" si="133"/>
        <v>2</v>
      </c>
    </row>
    <row r="3594" spans="1:5" x14ac:dyDescent="0.3">
      <c r="A3594" t="s">
        <v>3719</v>
      </c>
      <c r="B3594" t="s">
        <v>127</v>
      </c>
      <c r="C3594">
        <v>210</v>
      </c>
      <c r="D3594">
        <f t="shared" si="132"/>
        <v>2012</v>
      </c>
      <c r="E3594">
        <f t="shared" si="133"/>
        <v>2</v>
      </c>
    </row>
    <row r="3595" spans="1:5" x14ac:dyDescent="0.3">
      <c r="A3595" t="s">
        <v>3720</v>
      </c>
      <c r="B3595" t="s">
        <v>127</v>
      </c>
      <c r="C3595">
        <v>205</v>
      </c>
      <c r="D3595">
        <f t="shared" si="132"/>
        <v>2012</v>
      </c>
      <c r="E3595">
        <f t="shared" si="133"/>
        <v>2</v>
      </c>
    </row>
    <row r="3596" spans="1:5" x14ac:dyDescent="0.3">
      <c r="A3596" t="s">
        <v>3721</v>
      </c>
      <c r="B3596" t="s">
        <v>127</v>
      </c>
      <c r="C3596">
        <v>204</v>
      </c>
      <c r="D3596">
        <f t="shared" si="132"/>
        <v>2012</v>
      </c>
      <c r="E3596">
        <f t="shared" si="133"/>
        <v>2</v>
      </c>
    </row>
    <row r="3597" spans="1:5" x14ac:dyDescent="0.3">
      <c r="A3597" t="s">
        <v>3722</v>
      </c>
      <c r="B3597" t="s">
        <v>127</v>
      </c>
      <c r="C3597">
        <v>204</v>
      </c>
      <c r="D3597">
        <f t="shared" si="132"/>
        <v>2012</v>
      </c>
      <c r="E3597">
        <f t="shared" si="133"/>
        <v>2</v>
      </c>
    </row>
    <row r="3598" spans="1:5" x14ac:dyDescent="0.3">
      <c r="A3598" t="s">
        <v>3723</v>
      </c>
      <c r="B3598" t="s">
        <v>127</v>
      </c>
      <c r="C3598">
        <v>201</v>
      </c>
      <c r="D3598">
        <f t="shared" si="132"/>
        <v>2012</v>
      </c>
      <c r="E3598">
        <f t="shared" si="133"/>
        <v>2</v>
      </c>
    </row>
    <row r="3599" spans="1:5" x14ac:dyDescent="0.3">
      <c r="A3599" t="s">
        <v>3724</v>
      </c>
      <c r="B3599" t="s">
        <v>127</v>
      </c>
      <c r="C3599">
        <v>203</v>
      </c>
      <c r="D3599">
        <f t="shared" si="132"/>
        <v>2012</v>
      </c>
      <c r="E3599">
        <f t="shared" si="133"/>
        <v>2</v>
      </c>
    </row>
    <row r="3600" spans="1:5" x14ac:dyDescent="0.3">
      <c r="A3600" t="s">
        <v>3725</v>
      </c>
      <c r="B3600" t="s">
        <v>127</v>
      </c>
      <c r="C3600">
        <v>208</v>
      </c>
      <c r="D3600">
        <f t="shared" si="132"/>
        <v>2012</v>
      </c>
      <c r="E3600">
        <f t="shared" si="133"/>
        <v>2</v>
      </c>
    </row>
    <row r="3601" spans="1:5" x14ac:dyDescent="0.3">
      <c r="A3601" t="s">
        <v>3726</v>
      </c>
      <c r="B3601" t="s">
        <v>127</v>
      </c>
      <c r="C3601">
        <v>208</v>
      </c>
      <c r="D3601">
        <f t="shared" si="132"/>
        <v>2012</v>
      </c>
      <c r="E3601">
        <f t="shared" si="133"/>
        <v>2</v>
      </c>
    </row>
    <row r="3602" spans="1:5" x14ac:dyDescent="0.3">
      <c r="A3602" t="s">
        <v>3727</v>
      </c>
      <c r="B3602" t="s">
        <v>127</v>
      </c>
      <c r="C3602">
        <v>212</v>
      </c>
      <c r="D3602">
        <f t="shared" si="132"/>
        <v>2012</v>
      </c>
      <c r="E3602">
        <f t="shared" si="133"/>
        <v>2</v>
      </c>
    </row>
    <row r="3603" spans="1:5" x14ac:dyDescent="0.3">
      <c r="A3603" t="s">
        <v>3728</v>
      </c>
      <c r="B3603" t="s">
        <v>127</v>
      </c>
      <c r="C3603">
        <v>210</v>
      </c>
      <c r="D3603">
        <f t="shared" si="132"/>
        <v>2012</v>
      </c>
      <c r="E3603">
        <f t="shared" si="133"/>
        <v>2</v>
      </c>
    </row>
    <row r="3604" spans="1:5" x14ac:dyDescent="0.3">
      <c r="A3604" t="s">
        <v>3729</v>
      </c>
      <c r="B3604" t="s">
        <v>127</v>
      </c>
      <c r="C3604">
        <v>209</v>
      </c>
      <c r="D3604">
        <f t="shared" si="132"/>
        <v>2012</v>
      </c>
      <c r="E3604">
        <f t="shared" si="133"/>
        <v>2</v>
      </c>
    </row>
    <row r="3605" spans="1:5" x14ac:dyDescent="0.3">
      <c r="A3605" t="s">
        <v>3730</v>
      </c>
      <c r="B3605" t="s">
        <v>127</v>
      </c>
      <c r="C3605">
        <v>202</v>
      </c>
      <c r="D3605">
        <f t="shared" si="132"/>
        <v>2012</v>
      </c>
      <c r="E3605">
        <f t="shared" si="133"/>
        <v>3</v>
      </c>
    </row>
    <row r="3606" spans="1:5" x14ac:dyDescent="0.3">
      <c r="A3606" t="s">
        <v>3731</v>
      </c>
      <c r="B3606" t="s">
        <v>127</v>
      </c>
      <c r="C3606">
        <v>200</v>
      </c>
      <c r="D3606">
        <f t="shared" si="132"/>
        <v>2012</v>
      </c>
      <c r="E3606">
        <f t="shared" si="133"/>
        <v>3</v>
      </c>
    </row>
    <row r="3607" spans="1:5" x14ac:dyDescent="0.3">
      <c r="A3607" t="s">
        <v>3732</v>
      </c>
      <c r="B3607" t="s">
        <v>127</v>
      </c>
      <c r="C3607">
        <v>204</v>
      </c>
      <c r="D3607">
        <f t="shared" si="132"/>
        <v>2012</v>
      </c>
      <c r="E3607">
        <f t="shared" si="133"/>
        <v>3</v>
      </c>
    </row>
    <row r="3608" spans="1:5" x14ac:dyDescent="0.3">
      <c r="A3608" t="s">
        <v>3733</v>
      </c>
      <c r="B3608" t="s">
        <v>127</v>
      </c>
      <c r="C3608">
        <v>211</v>
      </c>
      <c r="D3608">
        <f t="shared" si="132"/>
        <v>2012</v>
      </c>
      <c r="E3608">
        <f t="shared" si="133"/>
        <v>3</v>
      </c>
    </row>
    <row r="3609" spans="1:5" x14ac:dyDescent="0.3">
      <c r="A3609" t="s">
        <v>3734</v>
      </c>
      <c r="B3609" t="s">
        <v>127</v>
      </c>
      <c r="C3609">
        <v>208</v>
      </c>
      <c r="D3609">
        <f t="shared" si="132"/>
        <v>2012</v>
      </c>
      <c r="E3609">
        <f t="shared" si="133"/>
        <v>3</v>
      </c>
    </row>
    <row r="3610" spans="1:5" x14ac:dyDescent="0.3">
      <c r="A3610" t="s">
        <v>3735</v>
      </c>
      <c r="B3610" t="s">
        <v>127</v>
      </c>
      <c r="C3610">
        <v>201</v>
      </c>
      <c r="D3610">
        <f t="shared" si="132"/>
        <v>2012</v>
      </c>
      <c r="E3610">
        <f t="shared" si="133"/>
        <v>3</v>
      </c>
    </row>
    <row r="3611" spans="1:5" x14ac:dyDescent="0.3">
      <c r="A3611" t="s">
        <v>3736</v>
      </c>
      <c r="B3611" t="s">
        <v>127</v>
      </c>
      <c r="C3611">
        <v>199</v>
      </c>
      <c r="D3611">
        <f t="shared" si="132"/>
        <v>2012</v>
      </c>
      <c r="E3611">
        <f t="shared" si="133"/>
        <v>3</v>
      </c>
    </row>
    <row r="3612" spans="1:5" x14ac:dyDescent="0.3">
      <c r="A3612" t="s">
        <v>3737</v>
      </c>
      <c r="B3612" t="s">
        <v>127</v>
      </c>
      <c r="C3612">
        <v>195</v>
      </c>
      <c r="D3612">
        <f t="shared" si="132"/>
        <v>2012</v>
      </c>
      <c r="E3612">
        <f t="shared" si="133"/>
        <v>3</v>
      </c>
    </row>
    <row r="3613" spans="1:5" x14ac:dyDescent="0.3">
      <c r="A3613" t="s">
        <v>3738</v>
      </c>
      <c r="B3613" t="s">
        <v>127</v>
      </c>
      <c r="C3613">
        <v>187</v>
      </c>
      <c r="D3613">
        <f t="shared" si="132"/>
        <v>2012</v>
      </c>
      <c r="E3613">
        <f t="shared" si="133"/>
        <v>3</v>
      </c>
    </row>
    <row r="3614" spans="1:5" x14ac:dyDescent="0.3">
      <c r="A3614" t="s">
        <v>3739</v>
      </c>
      <c r="B3614" t="s">
        <v>127</v>
      </c>
      <c r="C3614">
        <v>177</v>
      </c>
      <c r="D3614">
        <f t="shared" si="132"/>
        <v>2012</v>
      </c>
      <c r="E3614">
        <f t="shared" si="133"/>
        <v>3</v>
      </c>
    </row>
    <row r="3615" spans="1:5" x14ac:dyDescent="0.3">
      <c r="A3615" t="s">
        <v>3740</v>
      </c>
      <c r="B3615" t="s">
        <v>127</v>
      </c>
      <c r="C3615">
        <v>179</v>
      </c>
      <c r="D3615">
        <f t="shared" si="132"/>
        <v>2012</v>
      </c>
      <c r="E3615">
        <f t="shared" si="133"/>
        <v>3</v>
      </c>
    </row>
    <row r="3616" spans="1:5" x14ac:dyDescent="0.3">
      <c r="A3616" t="s">
        <v>3741</v>
      </c>
      <c r="B3616" t="s">
        <v>127</v>
      </c>
      <c r="C3616">
        <v>180</v>
      </c>
      <c r="D3616">
        <f t="shared" si="132"/>
        <v>2012</v>
      </c>
      <c r="E3616">
        <f t="shared" si="133"/>
        <v>3</v>
      </c>
    </row>
    <row r="3617" spans="1:5" x14ac:dyDescent="0.3">
      <c r="A3617" t="s">
        <v>3742</v>
      </c>
      <c r="B3617" t="s">
        <v>127</v>
      </c>
      <c r="C3617">
        <v>176</v>
      </c>
      <c r="D3617">
        <f t="shared" si="132"/>
        <v>2012</v>
      </c>
      <c r="E3617">
        <f t="shared" si="133"/>
        <v>3</v>
      </c>
    </row>
    <row r="3618" spans="1:5" x14ac:dyDescent="0.3">
      <c r="A3618" t="s">
        <v>3743</v>
      </c>
      <c r="B3618" t="s">
        <v>127</v>
      </c>
      <c r="C3618">
        <v>176</v>
      </c>
      <c r="D3618">
        <f t="shared" si="132"/>
        <v>2012</v>
      </c>
      <c r="E3618">
        <f t="shared" si="133"/>
        <v>3</v>
      </c>
    </row>
    <row r="3619" spans="1:5" x14ac:dyDescent="0.3">
      <c r="A3619" t="s">
        <v>3744</v>
      </c>
      <c r="B3619" t="s">
        <v>127</v>
      </c>
      <c r="C3619">
        <v>180</v>
      </c>
      <c r="D3619">
        <f t="shared" si="132"/>
        <v>2012</v>
      </c>
      <c r="E3619">
        <f t="shared" si="133"/>
        <v>3</v>
      </c>
    </row>
    <row r="3620" spans="1:5" x14ac:dyDescent="0.3">
      <c r="A3620" t="s">
        <v>3745</v>
      </c>
      <c r="B3620" t="s">
        <v>127</v>
      </c>
      <c r="C3620">
        <v>183</v>
      </c>
      <c r="D3620">
        <f t="shared" si="132"/>
        <v>2012</v>
      </c>
      <c r="E3620">
        <f t="shared" si="133"/>
        <v>3</v>
      </c>
    </row>
    <row r="3621" spans="1:5" x14ac:dyDescent="0.3">
      <c r="A3621" t="s">
        <v>3746</v>
      </c>
      <c r="B3621" t="s">
        <v>127</v>
      </c>
      <c r="C3621">
        <v>187</v>
      </c>
      <c r="D3621">
        <f t="shared" si="132"/>
        <v>2012</v>
      </c>
      <c r="E3621">
        <f t="shared" si="133"/>
        <v>3</v>
      </c>
    </row>
    <row r="3622" spans="1:5" x14ac:dyDescent="0.3">
      <c r="A3622" t="s">
        <v>3747</v>
      </c>
      <c r="B3622" t="s">
        <v>127</v>
      </c>
      <c r="C3622">
        <v>187</v>
      </c>
      <c r="D3622">
        <f t="shared" si="132"/>
        <v>2012</v>
      </c>
      <c r="E3622">
        <f t="shared" si="133"/>
        <v>3</v>
      </c>
    </row>
    <row r="3623" spans="1:5" x14ac:dyDescent="0.3">
      <c r="A3623" t="s">
        <v>3748</v>
      </c>
      <c r="B3623" t="s">
        <v>127</v>
      </c>
      <c r="C3623">
        <v>189</v>
      </c>
      <c r="D3623">
        <f t="shared" si="132"/>
        <v>2012</v>
      </c>
      <c r="E3623">
        <f t="shared" si="133"/>
        <v>3</v>
      </c>
    </row>
    <row r="3624" spans="1:5" x14ac:dyDescent="0.3">
      <c r="A3624" t="s">
        <v>3749</v>
      </c>
      <c r="B3624" t="s">
        <v>127</v>
      </c>
      <c r="C3624">
        <v>188</v>
      </c>
      <c r="D3624">
        <f t="shared" si="132"/>
        <v>2012</v>
      </c>
      <c r="E3624">
        <f t="shared" si="133"/>
        <v>3</v>
      </c>
    </row>
    <row r="3625" spans="1:5" x14ac:dyDescent="0.3">
      <c r="A3625" t="s">
        <v>3750</v>
      </c>
      <c r="B3625" t="s">
        <v>127</v>
      </c>
      <c r="C3625">
        <v>192</v>
      </c>
      <c r="D3625">
        <f t="shared" si="132"/>
        <v>2012</v>
      </c>
      <c r="E3625">
        <f t="shared" si="133"/>
        <v>3</v>
      </c>
    </row>
    <row r="3626" spans="1:5" x14ac:dyDescent="0.3">
      <c r="A3626" t="s">
        <v>3751</v>
      </c>
      <c r="B3626" t="s">
        <v>127</v>
      </c>
      <c r="C3626">
        <v>185</v>
      </c>
      <c r="D3626">
        <f t="shared" si="132"/>
        <v>2012</v>
      </c>
      <c r="E3626">
        <f t="shared" si="133"/>
        <v>3</v>
      </c>
    </row>
    <row r="3627" spans="1:5" x14ac:dyDescent="0.3">
      <c r="A3627" t="s">
        <v>3752</v>
      </c>
      <c r="B3627" t="s">
        <v>127</v>
      </c>
      <c r="C3627">
        <v>190.2526</v>
      </c>
      <c r="D3627">
        <f t="shared" si="132"/>
        <v>2012</v>
      </c>
      <c r="E3627">
        <f t="shared" si="133"/>
        <v>3</v>
      </c>
    </row>
    <row r="3628" spans="1:5" x14ac:dyDescent="0.3">
      <c r="A3628" t="s">
        <v>3753</v>
      </c>
      <c r="B3628" t="s">
        <v>127</v>
      </c>
      <c r="C3628">
        <v>186</v>
      </c>
      <c r="D3628">
        <f t="shared" si="132"/>
        <v>2012</v>
      </c>
      <c r="E3628">
        <f t="shared" si="133"/>
        <v>4</v>
      </c>
    </row>
    <row r="3629" spans="1:5" x14ac:dyDescent="0.3">
      <c r="A3629" t="s">
        <v>3754</v>
      </c>
      <c r="B3629" t="s">
        <v>127</v>
      </c>
      <c r="C3629">
        <v>177</v>
      </c>
      <c r="D3629">
        <f t="shared" si="132"/>
        <v>2012</v>
      </c>
      <c r="E3629">
        <f t="shared" si="133"/>
        <v>4</v>
      </c>
    </row>
    <row r="3630" spans="1:5" x14ac:dyDescent="0.3">
      <c r="A3630" t="s">
        <v>3755</v>
      </c>
      <c r="B3630" t="s">
        <v>127</v>
      </c>
      <c r="C3630">
        <v>183</v>
      </c>
      <c r="D3630">
        <f t="shared" si="132"/>
        <v>2012</v>
      </c>
      <c r="E3630">
        <f t="shared" si="133"/>
        <v>4</v>
      </c>
    </row>
    <row r="3631" spans="1:5" x14ac:dyDescent="0.3">
      <c r="A3631" t="s">
        <v>3756</v>
      </c>
      <c r="B3631" t="s">
        <v>127</v>
      </c>
      <c r="C3631">
        <v>190</v>
      </c>
      <c r="D3631">
        <f t="shared" si="132"/>
        <v>2012</v>
      </c>
      <c r="E3631">
        <f t="shared" si="133"/>
        <v>4</v>
      </c>
    </row>
    <row r="3632" spans="1:5" x14ac:dyDescent="0.3">
      <c r="A3632" t="s">
        <v>3757</v>
      </c>
      <c r="B3632" t="s">
        <v>127</v>
      </c>
      <c r="C3632">
        <v>190</v>
      </c>
      <c r="D3632">
        <f t="shared" si="132"/>
        <v>2012</v>
      </c>
      <c r="E3632">
        <f t="shared" si="133"/>
        <v>4</v>
      </c>
    </row>
    <row r="3633" spans="1:5" x14ac:dyDescent="0.3">
      <c r="A3633" t="s">
        <v>3758</v>
      </c>
      <c r="B3633" t="s">
        <v>127</v>
      </c>
      <c r="C3633">
        <v>201</v>
      </c>
      <c r="D3633">
        <f t="shared" si="132"/>
        <v>2012</v>
      </c>
      <c r="E3633">
        <f t="shared" si="133"/>
        <v>4</v>
      </c>
    </row>
    <row r="3634" spans="1:5" x14ac:dyDescent="0.3">
      <c r="A3634" t="s">
        <v>3759</v>
      </c>
      <c r="B3634" t="s">
        <v>127</v>
      </c>
      <c r="C3634">
        <v>205</v>
      </c>
      <c r="D3634">
        <f t="shared" si="132"/>
        <v>2012</v>
      </c>
      <c r="E3634">
        <f t="shared" si="133"/>
        <v>4</v>
      </c>
    </row>
    <row r="3635" spans="1:5" x14ac:dyDescent="0.3">
      <c r="A3635" t="s">
        <v>3760</v>
      </c>
      <c r="B3635" t="s">
        <v>127</v>
      </c>
      <c r="C3635">
        <v>198</v>
      </c>
      <c r="D3635">
        <f t="shared" si="132"/>
        <v>2012</v>
      </c>
      <c r="E3635">
        <f t="shared" si="133"/>
        <v>4</v>
      </c>
    </row>
    <row r="3636" spans="1:5" x14ac:dyDescent="0.3">
      <c r="A3636" t="s">
        <v>3761</v>
      </c>
      <c r="B3636" t="s">
        <v>127</v>
      </c>
      <c r="C3636">
        <v>190</v>
      </c>
      <c r="D3636">
        <f t="shared" si="132"/>
        <v>2012</v>
      </c>
      <c r="E3636">
        <f t="shared" si="133"/>
        <v>4</v>
      </c>
    </row>
    <row r="3637" spans="1:5" x14ac:dyDescent="0.3">
      <c r="A3637" t="s">
        <v>3762</v>
      </c>
      <c r="B3637" t="s">
        <v>127</v>
      </c>
      <c r="C3637">
        <v>197</v>
      </c>
      <c r="D3637">
        <f t="shared" si="132"/>
        <v>2012</v>
      </c>
      <c r="E3637">
        <f t="shared" si="133"/>
        <v>4</v>
      </c>
    </row>
    <row r="3638" spans="1:5" x14ac:dyDescent="0.3">
      <c r="A3638" t="s">
        <v>3763</v>
      </c>
      <c r="B3638" t="s">
        <v>127</v>
      </c>
      <c r="C3638">
        <v>198</v>
      </c>
      <c r="D3638">
        <f t="shared" si="132"/>
        <v>2012</v>
      </c>
      <c r="E3638">
        <f t="shared" si="133"/>
        <v>4</v>
      </c>
    </row>
    <row r="3639" spans="1:5" x14ac:dyDescent="0.3">
      <c r="A3639" t="s">
        <v>3764</v>
      </c>
      <c r="B3639" t="s">
        <v>127</v>
      </c>
      <c r="C3639">
        <v>190</v>
      </c>
      <c r="D3639">
        <f t="shared" si="132"/>
        <v>2012</v>
      </c>
      <c r="E3639">
        <f t="shared" si="133"/>
        <v>4</v>
      </c>
    </row>
    <row r="3640" spans="1:5" x14ac:dyDescent="0.3">
      <c r="A3640" t="s">
        <v>3765</v>
      </c>
      <c r="B3640" t="s">
        <v>127</v>
      </c>
      <c r="C3640">
        <v>190</v>
      </c>
      <c r="D3640">
        <f t="shared" si="132"/>
        <v>2012</v>
      </c>
      <c r="E3640">
        <f t="shared" si="133"/>
        <v>4</v>
      </c>
    </row>
    <row r="3641" spans="1:5" x14ac:dyDescent="0.3">
      <c r="A3641" t="s">
        <v>3766</v>
      </c>
      <c r="B3641" t="s">
        <v>127</v>
      </c>
      <c r="C3641">
        <v>184</v>
      </c>
      <c r="D3641">
        <f t="shared" si="132"/>
        <v>2012</v>
      </c>
      <c r="E3641">
        <f t="shared" si="133"/>
        <v>4</v>
      </c>
    </row>
    <row r="3642" spans="1:5" x14ac:dyDescent="0.3">
      <c r="A3642" t="s">
        <v>3767</v>
      </c>
      <c r="B3642" t="s">
        <v>127</v>
      </c>
      <c r="C3642">
        <v>185</v>
      </c>
      <c r="D3642">
        <f t="shared" si="132"/>
        <v>2012</v>
      </c>
      <c r="E3642">
        <f t="shared" si="133"/>
        <v>4</v>
      </c>
    </row>
    <row r="3643" spans="1:5" x14ac:dyDescent="0.3">
      <c r="A3643" t="s">
        <v>3768</v>
      </c>
      <c r="B3643" t="s">
        <v>127</v>
      </c>
      <c r="C3643">
        <v>190</v>
      </c>
      <c r="D3643">
        <f t="shared" si="132"/>
        <v>2012</v>
      </c>
      <c r="E3643">
        <f t="shared" si="133"/>
        <v>4</v>
      </c>
    </row>
    <row r="3644" spans="1:5" x14ac:dyDescent="0.3">
      <c r="A3644" t="s">
        <v>3769</v>
      </c>
      <c r="B3644" t="s">
        <v>127</v>
      </c>
      <c r="C3644">
        <v>188</v>
      </c>
      <c r="D3644">
        <f t="shared" si="132"/>
        <v>2012</v>
      </c>
      <c r="E3644">
        <f t="shared" si="133"/>
        <v>4</v>
      </c>
    </row>
    <row r="3645" spans="1:5" x14ac:dyDescent="0.3">
      <c r="A3645" t="s">
        <v>3770</v>
      </c>
      <c r="B3645" t="s">
        <v>127</v>
      </c>
      <c r="C3645">
        <v>188</v>
      </c>
      <c r="D3645">
        <f t="shared" si="132"/>
        <v>2012</v>
      </c>
      <c r="E3645">
        <f t="shared" si="133"/>
        <v>4</v>
      </c>
    </row>
    <row r="3646" spans="1:5" x14ac:dyDescent="0.3">
      <c r="A3646" t="s">
        <v>3771</v>
      </c>
      <c r="B3646" t="s">
        <v>127</v>
      </c>
      <c r="C3646">
        <v>188</v>
      </c>
      <c r="D3646">
        <f t="shared" si="132"/>
        <v>2012</v>
      </c>
      <c r="E3646">
        <f t="shared" si="133"/>
        <v>4</v>
      </c>
    </row>
    <row r="3647" spans="1:5" x14ac:dyDescent="0.3">
      <c r="A3647" t="s">
        <v>3772</v>
      </c>
      <c r="B3647" t="s">
        <v>127</v>
      </c>
      <c r="C3647">
        <v>188</v>
      </c>
      <c r="D3647">
        <f t="shared" si="132"/>
        <v>2012</v>
      </c>
      <c r="E3647">
        <f t="shared" si="133"/>
        <v>4</v>
      </c>
    </row>
    <row r="3648" spans="1:5" x14ac:dyDescent="0.3">
      <c r="A3648" t="s">
        <v>3773</v>
      </c>
      <c r="B3648" t="s">
        <v>127</v>
      </c>
      <c r="C3648">
        <v>187</v>
      </c>
      <c r="D3648">
        <f t="shared" si="132"/>
        <v>2012</v>
      </c>
      <c r="E3648">
        <f t="shared" si="133"/>
        <v>4</v>
      </c>
    </row>
    <row r="3649" spans="1:5" x14ac:dyDescent="0.3">
      <c r="A3649" t="s">
        <v>3774</v>
      </c>
      <c r="B3649" t="s">
        <v>127</v>
      </c>
      <c r="C3649">
        <v>185</v>
      </c>
      <c r="D3649">
        <f t="shared" si="132"/>
        <v>2012</v>
      </c>
      <c r="E3649">
        <f t="shared" si="133"/>
        <v>5</v>
      </c>
    </row>
    <row r="3650" spans="1:5" x14ac:dyDescent="0.3">
      <c r="A3650" t="s">
        <v>3775</v>
      </c>
      <c r="B3650" t="s">
        <v>127</v>
      </c>
      <c r="C3650">
        <v>182</v>
      </c>
      <c r="D3650">
        <f t="shared" si="132"/>
        <v>2012</v>
      </c>
      <c r="E3650">
        <f t="shared" si="133"/>
        <v>5</v>
      </c>
    </row>
    <row r="3651" spans="1:5" x14ac:dyDescent="0.3">
      <c r="A3651" t="s">
        <v>3776</v>
      </c>
      <c r="B3651" t="s">
        <v>127</v>
      </c>
      <c r="C3651">
        <v>180</v>
      </c>
      <c r="D3651">
        <f t="shared" ref="D3651:D3714" si="134">YEAR(A3651)</f>
        <v>2012</v>
      </c>
      <c r="E3651">
        <f t="shared" ref="E3651:E3714" si="135">MONTH(A3651)</f>
        <v>5</v>
      </c>
    </row>
    <row r="3652" spans="1:5" x14ac:dyDescent="0.3">
      <c r="A3652" t="s">
        <v>3777</v>
      </c>
      <c r="B3652" t="s">
        <v>127</v>
      </c>
      <c r="C3652">
        <v>184</v>
      </c>
      <c r="D3652">
        <f t="shared" si="134"/>
        <v>2012</v>
      </c>
      <c r="E3652">
        <f t="shared" si="135"/>
        <v>5</v>
      </c>
    </row>
    <row r="3653" spans="1:5" x14ac:dyDescent="0.3">
      <c r="A3653" t="s">
        <v>3778</v>
      </c>
      <c r="B3653" t="s">
        <v>127</v>
      </c>
      <c r="C3653">
        <v>183</v>
      </c>
      <c r="D3653">
        <f t="shared" si="134"/>
        <v>2012</v>
      </c>
      <c r="E3653">
        <f t="shared" si="135"/>
        <v>5</v>
      </c>
    </row>
    <row r="3654" spans="1:5" x14ac:dyDescent="0.3">
      <c r="A3654" t="s">
        <v>3779</v>
      </c>
      <c r="B3654" t="s">
        <v>127</v>
      </c>
      <c r="C3654">
        <v>186</v>
      </c>
      <c r="D3654">
        <f t="shared" si="134"/>
        <v>2012</v>
      </c>
      <c r="E3654">
        <f t="shared" si="135"/>
        <v>5</v>
      </c>
    </row>
    <row r="3655" spans="1:5" x14ac:dyDescent="0.3">
      <c r="A3655" t="s">
        <v>3780</v>
      </c>
      <c r="B3655" t="s">
        <v>127</v>
      </c>
      <c r="C3655">
        <v>190</v>
      </c>
      <c r="D3655">
        <f t="shared" si="134"/>
        <v>2012</v>
      </c>
      <c r="E3655">
        <f t="shared" si="135"/>
        <v>5</v>
      </c>
    </row>
    <row r="3656" spans="1:5" x14ac:dyDescent="0.3">
      <c r="A3656" t="s">
        <v>3781</v>
      </c>
      <c r="B3656" t="s">
        <v>127</v>
      </c>
      <c r="C3656">
        <v>187</v>
      </c>
      <c r="D3656">
        <f t="shared" si="134"/>
        <v>2012</v>
      </c>
      <c r="E3656">
        <f t="shared" si="135"/>
        <v>5</v>
      </c>
    </row>
    <row r="3657" spans="1:5" x14ac:dyDescent="0.3">
      <c r="A3657" t="s">
        <v>3782</v>
      </c>
      <c r="B3657" t="s">
        <v>127</v>
      </c>
      <c r="C3657">
        <v>196</v>
      </c>
      <c r="D3657">
        <f t="shared" si="134"/>
        <v>2012</v>
      </c>
      <c r="E3657">
        <f t="shared" si="135"/>
        <v>5</v>
      </c>
    </row>
    <row r="3658" spans="1:5" x14ac:dyDescent="0.3">
      <c r="A3658" t="s">
        <v>3783</v>
      </c>
      <c r="B3658" t="s">
        <v>127</v>
      </c>
      <c r="C3658">
        <v>204</v>
      </c>
      <c r="D3658">
        <f t="shared" si="134"/>
        <v>2012</v>
      </c>
      <c r="E3658">
        <f t="shared" si="135"/>
        <v>5</v>
      </c>
    </row>
    <row r="3659" spans="1:5" x14ac:dyDescent="0.3">
      <c r="A3659" t="s">
        <v>3784</v>
      </c>
      <c r="B3659" t="s">
        <v>127</v>
      </c>
      <c r="C3659">
        <v>208</v>
      </c>
      <c r="D3659">
        <f t="shared" si="134"/>
        <v>2012</v>
      </c>
      <c r="E3659">
        <f t="shared" si="135"/>
        <v>5</v>
      </c>
    </row>
    <row r="3660" spans="1:5" x14ac:dyDescent="0.3">
      <c r="A3660" t="s">
        <v>3785</v>
      </c>
      <c r="B3660" t="s">
        <v>127</v>
      </c>
      <c r="C3660">
        <v>214</v>
      </c>
      <c r="D3660">
        <f t="shared" si="134"/>
        <v>2012</v>
      </c>
      <c r="E3660">
        <f t="shared" si="135"/>
        <v>5</v>
      </c>
    </row>
    <row r="3661" spans="1:5" x14ac:dyDescent="0.3">
      <c r="A3661" t="s">
        <v>3786</v>
      </c>
      <c r="B3661" t="s">
        <v>127</v>
      </c>
      <c r="C3661">
        <v>226</v>
      </c>
      <c r="D3661">
        <f t="shared" si="134"/>
        <v>2012</v>
      </c>
      <c r="E3661">
        <f t="shared" si="135"/>
        <v>5</v>
      </c>
    </row>
    <row r="3662" spans="1:5" x14ac:dyDescent="0.3">
      <c r="A3662" t="s">
        <v>3787</v>
      </c>
      <c r="B3662" t="s">
        <v>127</v>
      </c>
      <c r="C3662">
        <v>227</v>
      </c>
      <c r="D3662">
        <f t="shared" si="134"/>
        <v>2012</v>
      </c>
      <c r="E3662">
        <f t="shared" si="135"/>
        <v>5</v>
      </c>
    </row>
    <row r="3663" spans="1:5" x14ac:dyDescent="0.3">
      <c r="A3663" t="s">
        <v>3788</v>
      </c>
      <c r="B3663" t="s">
        <v>127</v>
      </c>
      <c r="C3663">
        <v>226</v>
      </c>
      <c r="D3663">
        <f t="shared" si="134"/>
        <v>2012</v>
      </c>
      <c r="E3663">
        <f t="shared" si="135"/>
        <v>5</v>
      </c>
    </row>
    <row r="3664" spans="1:5" x14ac:dyDescent="0.3">
      <c r="A3664" t="s">
        <v>3789</v>
      </c>
      <c r="B3664" t="s">
        <v>127</v>
      </c>
      <c r="C3664">
        <v>226</v>
      </c>
      <c r="D3664">
        <f t="shared" si="134"/>
        <v>2012</v>
      </c>
      <c r="E3664">
        <f t="shared" si="135"/>
        <v>5</v>
      </c>
    </row>
    <row r="3665" spans="1:5" x14ac:dyDescent="0.3">
      <c r="A3665" t="s">
        <v>3790</v>
      </c>
      <c r="B3665" t="s">
        <v>127</v>
      </c>
      <c r="C3665">
        <v>237</v>
      </c>
      <c r="D3665">
        <f t="shared" si="134"/>
        <v>2012</v>
      </c>
      <c r="E3665">
        <f t="shared" si="135"/>
        <v>5</v>
      </c>
    </row>
    <row r="3666" spans="1:5" x14ac:dyDescent="0.3">
      <c r="A3666" t="s">
        <v>3791</v>
      </c>
      <c r="B3666" t="s">
        <v>127</v>
      </c>
      <c r="C3666">
        <v>234</v>
      </c>
      <c r="D3666">
        <f t="shared" si="134"/>
        <v>2012</v>
      </c>
      <c r="E3666">
        <f t="shared" si="135"/>
        <v>5</v>
      </c>
    </row>
    <row r="3667" spans="1:5" x14ac:dyDescent="0.3">
      <c r="A3667" t="s">
        <v>3792</v>
      </c>
      <c r="B3667" t="s">
        <v>127</v>
      </c>
      <c r="C3667">
        <v>234</v>
      </c>
      <c r="D3667">
        <f t="shared" si="134"/>
        <v>2012</v>
      </c>
      <c r="E3667">
        <f t="shared" si="135"/>
        <v>5</v>
      </c>
    </row>
    <row r="3668" spans="1:5" x14ac:dyDescent="0.3">
      <c r="A3668" t="s">
        <v>3793</v>
      </c>
      <c r="B3668" t="s">
        <v>127</v>
      </c>
      <c r="C3668">
        <v>234</v>
      </c>
      <c r="D3668">
        <f t="shared" si="134"/>
        <v>2012</v>
      </c>
      <c r="E3668">
        <f t="shared" si="135"/>
        <v>5</v>
      </c>
    </row>
    <row r="3669" spans="1:5" x14ac:dyDescent="0.3">
      <c r="A3669" t="s">
        <v>3794</v>
      </c>
      <c r="B3669" t="s">
        <v>127</v>
      </c>
      <c r="C3669">
        <v>235</v>
      </c>
      <c r="D3669">
        <f t="shared" si="134"/>
        <v>2012</v>
      </c>
      <c r="E3669">
        <f t="shared" si="135"/>
        <v>5</v>
      </c>
    </row>
    <row r="3670" spans="1:5" x14ac:dyDescent="0.3">
      <c r="A3670" t="s">
        <v>3795</v>
      </c>
      <c r="B3670" t="s">
        <v>127</v>
      </c>
      <c r="C3670">
        <v>242</v>
      </c>
      <c r="D3670">
        <f t="shared" si="134"/>
        <v>2012</v>
      </c>
      <c r="E3670">
        <f t="shared" si="135"/>
        <v>5</v>
      </c>
    </row>
    <row r="3671" spans="1:5" x14ac:dyDescent="0.3">
      <c r="A3671" t="s">
        <v>3796</v>
      </c>
      <c r="B3671" t="s">
        <v>127</v>
      </c>
      <c r="C3671">
        <v>249</v>
      </c>
      <c r="D3671">
        <f t="shared" si="134"/>
        <v>2012</v>
      </c>
      <c r="E3671">
        <f t="shared" si="135"/>
        <v>5</v>
      </c>
    </row>
    <row r="3672" spans="1:5" x14ac:dyDescent="0.3">
      <c r="A3672" t="s">
        <v>3797</v>
      </c>
      <c r="B3672" t="s">
        <v>127</v>
      </c>
      <c r="C3672">
        <v>256</v>
      </c>
      <c r="D3672">
        <f t="shared" si="134"/>
        <v>2012</v>
      </c>
      <c r="E3672">
        <f t="shared" si="135"/>
        <v>6</v>
      </c>
    </row>
    <row r="3673" spans="1:5" x14ac:dyDescent="0.3">
      <c r="A3673" t="s">
        <v>3798</v>
      </c>
      <c r="B3673" t="s">
        <v>127</v>
      </c>
      <c r="C3673">
        <v>250</v>
      </c>
      <c r="D3673">
        <f t="shared" si="134"/>
        <v>2012</v>
      </c>
      <c r="E3673">
        <f t="shared" si="135"/>
        <v>6</v>
      </c>
    </row>
    <row r="3674" spans="1:5" x14ac:dyDescent="0.3">
      <c r="A3674" t="s">
        <v>3799</v>
      </c>
      <c r="B3674" t="s">
        <v>127</v>
      </c>
      <c r="C3674">
        <v>238</v>
      </c>
      <c r="D3674">
        <f t="shared" si="134"/>
        <v>2012</v>
      </c>
      <c r="E3674">
        <f t="shared" si="135"/>
        <v>6</v>
      </c>
    </row>
    <row r="3675" spans="1:5" x14ac:dyDescent="0.3">
      <c r="A3675" t="s">
        <v>3800</v>
      </c>
      <c r="B3675" t="s">
        <v>127</v>
      </c>
      <c r="C3675">
        <v>226</v>
      </c>
      <c r="D3675">
        <f t="shared" si="134"/>
        <v>2012</v>
      </c>
      <c r="E3675">
        <f t="shared" si="135"/>
        <v>6</v>
      </c>
    </row>
    <row r="3676" spans="1:5" x14ac:dyDescent="0.3">
      <c r="A3676" t="s">
        <v>3801</v>
      </c>
      <c r="B3676" t="s">
        <v>127</v>
      </c>
      <c r="C3676">
        <v>224</v>
      </c>
      <c r="D3676">
        <f t="shared" si="134"/>
        <v>2012</v>
      </c>
      <c r="E3676">
        <f t="shared" si="135"/>
        <v>6</v>
      </c>
    </row>
    <row r="3677" spans="1:5" x14ac:dyDescent="0.3">
      <c r="A3677" t="s">
        <v>3802</v>
      </c>
      <c r="B3677" t="s">
        <v>127</v>
      </c>
      <c r="C3677">
        <v>223</v>
      </c>
      <c r="D3677">
        <f t="shared" si="134"/>
        <v>2012</v>
      </c>
      <c r="E3677">
        <f t="shared" si="135"/>
        <v>6</v>
      </c>
    </row>
    <row r="3678" spans="1:5" x14ac:dyDescent="0.3">
      <c r="A3678" t="s">
        <v>3803</v>
      </c>
      <c r="B3678" t="s">
        <v>127</v>
      </c>
      <c r="C3678">
        <v>227</v>
      </c>
      <c r="D3678">
        <f t="shared" si="134"/>
        <v>2012</v>
      </c>
      <c r="E3678">
        <f t="shared" si="135"/>
        <v>6</v>
      </c>
    </row>
    <row r="3679" spans="1:5" x14ac:dyDescent="0.3">
      <c r="A3679" t="s">
        <v>3804</v>
      </c>
      <c r="B3679" t="s">
        <v>127</v>
      </c>
      <c r="C3679">
        <v>217</v>
      </c>
      <c r="D3679">
        <f t="shared" si="134"/>
        <v>2012</v>
      </c>
      <c r="E3679">
        <f t="shared" si="135"/>
        <v>6</v>
      </c>
    </row>
    <row r="3680" spans="1:5" x14ac:dyDescent="0.3">
      <c r="A3680" t="s">
        <v>3805</v>
      </c>
      <c r="B3680" t="s">
        <v>127</v>
      </c>
      <c r="C3680">
        <v>218</v>
      </c>
      <c r="D3680">
        <f t="shared" si="134"/>
        <v>2012</v>
      </c>
      <c r="E3680">
        <f t="shared" si="135"/>
        <v>6</v>
      </c>
    </row>
    <row r="3681" spans="1:5" x14ac:dyDescent="0.3">
      <c r="A3681" t="s">
        <v>3806</v>
      </c>
      <c r="B3681" t="s">
        <v>127</v>
      </c>
      <c r="C3681">
        <v>215</v>
      </c>
      <c r="D3681">
        <f t="shared" si="134"/>
        <v>2012</v>
      </c>
      <c r="E3681">
        <f t="shared" si="135"/>
        <v>6</v>
      </c>
    </row>
    <row r="3682" spans="1:5" x14ac:dyDescent="0.3">
      <c r="A3682" t="s">
        <v>3807</v>
      </c>
      <c r="B3682" t="s">
        <v>127</v>
      </c>
      <c r="C3682">
        <v>206</v>
      </c>
      <c r="D3682">
        <f t="shared" si="134"/>
        <v>2012</v>
      </c>
      <c r="E3682">
        <f t="shared" si="135"/>
        <v>6</v>
      </c>
    </row>
    <row r="3683" spans="1:5" x14ac:dyDescent="0.3">
      <c r="A3683" t="s">
        <v>3808</v>
      </c>
      <c r="B3683" t="s">
        <v>127</v>
      </c>
      <c r="C3683">
        <v>211</v>
      </c>
      <c r="D3683">
        <f t="shared" si="134"/>
        <v>2012</v>
      </c>
      <c r="E3683">
        <f t="shared" si="135"/>
        <v>6</v>
      </c>
    </row>
    <row r="3684" spans="1:5" x14ac:dyDescent="0.3">
      <c r="A3684" t="s">
        <v>3809</v>
      </c>
      <c r="B3684" t="s">
        <v>127</v>
      </c>
      <c r="C3684">
        <v>211</v>
      </c>
      <c r="D3684">
        <f t="shared" si="134"/>
        <v>2012</v>
      </c>
      <c r="E3684">
        <f t="shared" si="135"/>
        <v>6</v>
      </c>
    </row>
    <row r="3685" spans="1:5" x14ac:dyDescent="0.3">
      <c r="A3685" t="s">
        <v>3810</v>
      </c>
      <c r="B3685" t="s">
        <v>127</v>
      </c>
      <c r="C3685">
        <v>213</v>
      </c>
      <c r="D3685">
        <f t="shared" si="134"/>
        <v>2012</v>
      </c>
      <c r="E3685">
        <f t="shared" si="135"/>
        <v>6</v>
      </c>
    </row>
    <row r="3686" spans="1:5" x14ac:dyDescent="0.3">
      <c r="A3686" t="s">
        <v>3811</v>
      </c>
      <c r="B3686" t="s">
        <v>127</v>
      </c>
      <c r="C3686">
        <v>214</v>
      </c>
      <c r="D3686">
        <f t="shared" si="134"/>
        <v>2012</v>
      </c>
      <c r="E3686">
        <f t="shared" si="135"/>
        <v>6</v>
      </c>
    </row>
    <row r="3687" spans="1:5" x14ac:dyDescent="0.3">
      <c r="A3687" t="s">
        <v>3812</v>
      </c>
      <c r="B3687" t="s">
        <v>127</v>
      </c>
      <c r="C3687">
        <v>209</v>
      </c>
      <c r="D3687">
        <f t="shared" si="134"/>
        <v>2012</v>
      </c>
      <c r="E3687">
        <f t="shared" si="135"/>
        <v>6</v>
      </c>
    </row>
    <row r="3688" spans="1:5" x14ac:dyDescent="0.3">
      <c r="A3688" t="s">
        <v>3813</v>
      </c>
      <c r="B3688" t="s">
        <v>127</v>
      </c>
      <c r="C3688">
        <v>216</v>
      </c>
      <c r="D3688">
        <f t="shared" si="134"/>
        <v>2012</v>
      </c>
      <c r="E3688">
        <f t="shared" si="135"/>
        <v>6</v>
      </c>
    </row>
    <row r="3689" spans="1:5" x14ac:dyDescent="0.3">
      <c r="A3689" t="s">
        <v>3814</v>
      </c>
      <c r="B3689" t="s">
        <v>127</v>
      </c>
      <c r="C3689">
        <v>214</v>
      </c>
      <c r="D3689">
        <f t="shared" si="134"/>
        <v>2012</v>
      </c>
      <c r="E3689">
        <f t="shared" si="135"/>
        <v>6</v>
      </c>
    </row>
    <row r="3690" spans="1:5" x14ac:dyDescent="0.3">
      <c r="A3690" t="s">
        <v>3815</v>
      </c>
      <c r="B3690" t="s">
        <v>127</v>
      </c>
      <c r="C3690">
        <v>212</v>
      </c>
      <c r="D3690">
        <f t="shared" si="134"/>
        <v>2012</v>
      </c>
      <c r="E3690">
        <f t="shared" si="135"/>
        <v>6</v>
      </c>
    </row>
    <row r="3691" spans="1:5" x14ac:dyDescent="0.3">
      <c r="A3691" t="s">
        <v>3816</v>
      </c>
      <c r="B3691" t="s">
        <v>127</v>
      </c>
      <c r="C3691">
        <v>213</v>
      </c>
      <c r="D3691">
        <f t="shared" si="134"/>
        <v>2012</v>
      </c>
      <c r="E3691">
        <f t="shared" si="135"/>
        <v>6</v>
      </c>
    </row>
    <row r="3692" spans="1:5" x14ac:dyDescent="0.3">
      <c r="A3692" t="s">
        <v>3817</v>
      </c>
      <c r="B3692" t="s">
        <v>127</v>
      </c>
      <c r="C3692">
        <v>202</v>
      </c>
      <c r="D3692">
        <f t="shared" si="134"/>
        <v>2012</v>
      </c>
      <c r="E3692">
        <f t="shared" si="135"/>
        <v>6</v>
      </c>
    </row>
    <row r="3693" spans="1:5" x14ac:dyDescent="0.3">
      <c r="A3693" t="s">
        <v>3818</v>
      </c>
      <c r="B3693" t="s">
        <v>127</v>
      </c>
      <c r="C3693">
        <v>219.69120000000001</v>
      </c>
      <c r="D3693">
        <f t="shared" si="134"/>
        <v>2012</v>
      </c>
      <c r="E3693">
        <f t="shared" si="135"/>
        <v>6</v>
      </c>
    </row>
    <row r="3694" spans="1:5" x14ac:dyDescent="0.3">
      <c r="A3694" t="s">
        <v>3819</v>
      </c>
      <c r="B3694" t="s">
        <v>127</v>
      </c>
      <c r="C3694">
        <v>206</v>
      </c>
      <c r="D3694">
        <f t="shared" si="134"/>
        <v>2012</v>
      </c>
      <c r="E3694">
        <f t="shared" si="135"/>
        <v>7</v>
      </c>
    </row>
    <row r="3695" spans="1:5" x14ac:dyDescent="0.3">
      <c r="A3695" t="s">
        <v>3820</v>
      </c>
      <c r="B3695" t="s">
        <v>127</v>
      </c>
      <c r="C3695">
        <v>198</v>
      </c>
      <c r="D3695">
        <f t="shared" si="134"/>
        <v>2012</v>
      </c>
      <c r="E3695">
        <f t="shared" si="135"/>
        <v>7</v>
      </c>
    </row>
    <row r="3696" spans="1:5" x14ac:dyDescent="0.3">
      <c r="A3696" t="s">
        <v>3821</v>
      </c>
      <c r="B3696" t="s">
        <v>127</v>
      </c>
      <c r="C3696">
        <v>198</v>
      </c>
      <c r="D3696">
        <f t="shared" si="134"/>
        <v>2012</v>
      </c>
      <c r="E3696">
        <f t="shared" si="135"/>
        <v>7</v>
      </c>
    </row>
    <row r="3697" spans="1:5" x14ac:dyDescent="0.3">
      <c r="A3697" t="s">
        <v>3822</v>
      </c>
      <c r="B3697" t="s">
        <v>127</v>
      </c>
      <c r="C3697">
        <v>198</v>
      </c>
      <c r="D3697">
        <f t="shared" si="134"/>
        <v>2012</v>
      </c>
      <c r="E3697">
        <f t="shared" si="135"/>
        <v>7</v>
      </c>
    </row>
    <row r="3698" spans="1:5" x14ac:dyDescent="0.3">
      <c r="A3698" t="s">
        <v>3823</v>
      </c>
      <c r="B3698" t="s">
        <v>127</v>
      </c>
      <c r="C3698">
        <v>200</v>
      </c>
      <c r="D3698">
        <f t="shared" si="134"/>
        <v>2012</v>
      </c>
      <c r="E3698">
        <f t="shared" si="135"/>
        <v>7</v>
      </c>
    </row>
    <row r="3699" spans="1:5" x14ac:dyDescent="0.3">
      <c r="A3699" t="s">
        <v>3824</v>
      </c>
      <c r="B3699" t="s">
        <v>127</v>
      </c>
      <c r="C3699">
        <v>195</v>
      </c>
      <c r="D3699">
        <f t="shared" si="134"/>
        <v>2012</v>
      </c>
      <c r="E3699">
        <f t="shared" si="135"/>
        <v>7</v>
      </c>
    </row>
    <row r="3700" spans="1:5" x14ac:dyDescent="0.3">
      <c r="A3700" t="s">
        <v>3825</v>
      </c>
      <c r="B3700" t="s">
        <v>127</v>
      </c>
      <c r="C3700">
        <v>192</v>
      </c>
      <c r="D3700">
        <f t="shared" si="134"/>
        <v>2012</v>
      </c>
      <c r="E3700">
        <f t="shared" si="135"/>
        <v>7</v>
      </c>
    </row>
    <row r="3701" spans="1:5" x14ac:dyDescent="0.3">
      <c r="A3701" t="s">
        <v>3826</v>
      </c>
      <c r="B3701" t="s">
        <v>127</v>
      </c>
      <c r="C3701">
        <v>187</v>
      </c>
      <c r="D3701">
        <f t="shared" si="134"/>
        <v>2012</v>
      </c>
      <c r="E3701">
        <f t="shared" si="135"/>
        <v>7</v>
      </c>
    </row>
    <row r="3702" spans="1:5" x14ac:dyDescent="0.3">
      <c r="A3702" t="s">
        <v>3827</v>
      </c>
      <c r="B3702" t="s">
        <v>127</v>
      </c>
      <c r="C3702">
        <v>189</v>
      </c>
      <c r="D3702">
        <f t="shared" si="134"/>
        <v>2012</v>
      </c>
      <c r="E3702">
        <f t="shared" si="135"/>
        <v>7</v>
      </c>
    </row>
    <row r="3703" spans="1:5" x14ac:dyDescent="0.3">
      <c r="A3703" t="s">
        <v>3828</v>
      </c>
      <c r="B3703" t="s">
        <v>127</v>
      </c>
      <c r="C3703">
        <v>185</v>
      </c>
      <c r="D3703">
        <f t="shared" si="134"/>
        <v>2012</v>
      </c>
      <c r="E3703">
        <f t="shared" si="135"/>
        <v>7</v>
      </c>
    </row>
    <row r="3704" spans="1:5" x14ac:dyDescent="0.3">
      <c r="A3704" t="s">
        <v>3829</v>
      </c>
      <c r="B3704" t="s">
        <v>127</v>
      </c>
      <c r="C3704">
        <v>184</v>
      </c>
      <c r="D3704">
        <f t="shared" si="134"/>
        <v>2012</v>
      </c>
      <c r="E3704">
        <f t="shared" si="135"/>
        <v>7</v>
      </c>
    </row>
    <row r="3705" spans="1:5" x14ac:dyDescent="0.3">
      <c r="A3705" t="s">
        <v>3830</v>
      </c>
      <c r="B3705" t="s">
        <v>127</v>
      </c>
      <c r="C3705">
        <v>180</v>
      </c>
      <c r="D3705">
        <f t="shared" si="134"/>
        <v>2012</v>
      </c>
      <c r="E3705">
        <f t="shared" si="135"/>
        <v>7</v>
      </c>
    </row>
    <row r="3706" spans="1:5" x14ac:dyDescent="0.3">
      <c r="A3706" t="s">
        <v>3831</v>
      </c>
      <c r="B3706" t="s">
        <v>127</v>
      </c>
      <c r="C3706">
        <v>181</v>
      </c>
      <c r="D3706">
        <f t="shared" si="134"/>
        <v>2012</v>
      </c>
      <c r="E3706">
        <f t="shared" si="135"/>
        <v>7</v>
      </c>
    </row>
    <row r="3707" spans="1:5" x14ac:dyDescent="0.3">
      <c r="A3707" t="s">
        <v>3832</v>
      </c>
      <c r="B3707" t="s">
        <v>127</v>
      </c>
      <c r="C3707">
        <v>177</v>
      </c>
      <c r="D3707">
        <f t="shared" si="134"/>
        <v>2012</v>
      </c>
      <c r="E3707">
        <f t="shared" si="135"/>
        <v>7</v>
      </c>
    </row>
    <row r="3708" spans="1:5" x14ac:dyDescent="0.3">
      <c r="A3708" t="s">
        <v>3833</v>
      </c>
      <c r="B3708" t="s">
        <v>127</v>
      </c>
      <c r="C3708">
        <v>180</v>
      </c>
      <c r="D3708">
        <f t="shared" si="134"/>
        <v>2012</v>
      </c>
      <c r="E3708">
        <f t="shared" si="135"/>
        <v>7</v>
      </c>
    </row>
    <row r="3709" spans="1:5" x14ac:dyDescent="0.3">
      <c r="A3709" t="s">
        <v>3834</v>
      </c>
      <c r="B3709" t="s">
        <v>127</v>
      </c>
      <c r="C3709">
        <v>182</v>
      </c>
      <c r="D3709">
        <f t="shared" si="134"/>
        <v>2012</v>
      </c>
      <c r="E3709">
        <f t="shared" si="135"/>
        <v>7</v>
      </c>
    </row>
    <row r="3710" spans="1:5" x14ac:dyDescent="0.3">
      <c r="A3710" t="s">
        <v>3835</v>
      </c>
      <c r="B3710" t="s">
        <v>127</v>
      </c>
      <c r="C3710">
        <v>188</v>
      </c>
      <c r="D3710">
        <f t="shared" si="134"/>
        <v>2012</v>
      </c>
      <c r="E3710">
        <f t="shared" si="135"/>
        <v>7</v>
      </c>
    </row>
    <row r="3711" spans="1:5" x14ac:dyDescent="0.3">
      <c r="A3711" t="s">
        <v>3836</v>
      </c>
      <c r="B3711" t="s">
        <v>127</v>
      </c>
      <c r="C3711">
        <v>190</v>
      </c>
      <c r="D3711">
        <f t="shared" si="134"/>
        <v>2012</v>
      </c>
      <c r="E3711">
        <f t="shared" si="135"/>
        <v>7</v>
      </c>
    </row>
    <row r="3712" spans="1:5" x14ac:dyDescent="0.3">
      <c r="A3712" t="s">
        <v>3837</v>
      </c>
      <c r="B3712" t="s">
        <v>127</v>
      </c>
      <c r="C3712">
        <v>189</v>
      </c>
      <c r="D3712">
        <f t="shared" si="134"/>
        <v>2012</v>
      </c>
      <c r="E3712">
        <f t="shared" si="135"/>
        <v>7</v>
      </c>
    </row>
    <row r="3713" spans="1:5" x14ac:dyDescent="0.3">
      <c r="A3713" t="s">
        <v>3838</v>
      </c>
      <c r="B3713" t="s">
        <v>127</v>
      </c>
      <c r="C3713">
        <v>175</v>
      </c>
      <c r="D3713">
        <f t="shared" si="134"/>
        <v>2012</v>
      </c>
      <c r="E3713">
        <f t="shared" si="135"/>
        <v>7</v>
      </c>
    </row>
    <row r="3714" spans="1:5" x14ac:dyDescent="0.3">
      <c r="A3714" t="s">
        <v>3839</v>
      </c>
      <c r="B3714" t="s">
        <v>127</v>
      </c>
      <c r="C3714">
        <v>175</v>
      </c>
      <c r="D3714">
        <f t="shared" si="134"/>
        <v>2012</v>
      </c>
      <c r="E3714">
        <f t="shared" si="135"/>
        <v>7</v>
      </c>
    </row>
    <row r="3715" spans="1:5" x14ac:dyDescent="0.3">
      <c r="A3715" t="s">
        <v>3840</v>
      </c>
      <c r="B3715" t="s">
        <v>127</v>
      </c>
      <c r="C3715">
        <v>176</v>
      </c>
      <c r="D3715">
        <f t="shared" ref="D3715:D3778" si="136">YEAR(A3715)</f>
        <v>2012</v>
      </c>
      <c r="E3715">
        <f t="shared" ref="E3715:E3778" si="137">MONTH(A3715)</f>
        <v>7</v>
      </c>
    </row>
    <row r="3716" spans="1:5" x14ac:dyDescent="0.3">
      <c r="A3716" t="s">
        <v>3841</v>
      </c>
      <c r="B3716" t="s">
        <v>127</v>
      </c>
      <c r="C3716">
        <v>171</v>
      </c>
      <c r="D3716">
        <f t="shared" si="136"/>
        <v>2012</v>
      </c>
      <c r="E3716">
        <f t="shared" si="137"/>
        <v>8</v>
      </c>
    </row>
    <row r="3717" spans="1:5" x14ac:dyDescent="0.3">
      <c r="A3717" t="s">
        <v>3842</v>
      </c>
      <c r="B3717" t="s">
        <v>127</v>
      </c>
      <c r="C3717">
        <v>176</v>
      </c>
      <c r="D3717">
        <f t="shared" si="136"/>
        <v>2012</v>
      </c>
      <c r="E3717">
        <f t="shared" si="137"/>
        <v>8</v>
      </c>
    </row>
    <row r="3718" spans="1:5" x14ac:dyDescent="0.3">
      <c r="A3718" t="s">
        <v>3843</v>
      </c>
      <c r="B3718" t="s">
        <v>127</v>
      </c>
      <c r="C3718">
        <v>169</v>
      </c>
      <c r="D3718">
        <f t="shared" si="136"/>
        <v>2012</v>
      </c>
      <c r="E3718">
        <f t="shared" si="137"/>
        <v>8</v>
      </c>
    </row>
    <row r="3719" spans="1:5" x14ac:dyDescent="0.3">
      <c r="A3719" t="s">
        <v>3844</v>
      </c>
      <c r="B3719" t="s">
        <v>127</v>
      </c>
      <c r="C3719">
        <v>167</v>
      </c>
      <c r="D3719">
        <f t="shared" si="136"/>
        <v>2012</v>
      </c>
      <c r="E3719">
        <f t="shared" si="137"/>
        <v>8</v>
      </c>
    </row>
    <row r="3720" spans="1:5" x14ac:dyDescent="0.3">
      <c r="A3720" t="s">
        <v>3845</v>
      </c>
      <c r="B3720" t="s">
        <v>127</v>
      </c>
      <c r="C3720">
        <v>162</v>
      </c>
      <c r="D3720">
        <f t="shared" si="136"/>
        <v>2012</v>
      </c>
      <c r="E3720">
        <f t="shared" si="137"/>
        <v>8</v>
      </c>
    </row>
    <row r="3721" spans="1:5" x14ac:dyDescent="0.3">
      <c r="A3721" t="s">
        <v>3846</v>
      </c>
      <c r="B3721" t="s">
        <v>127</v>
      </c>
      <c r="C3721">
        <v>159</v>
      </c>
      <c r="D3721">
        <f t="shared" si="136"/>
        <v>2012</v>
      </c>
      <c r="E3721">
        <f t="shared" si="137"/>
        <v>8</v>
      </c>
    </row>
    <row r="3722" spans="1:5" x14ac:dyDescent="0.3">
      <c r="A3722" t="s">
        <v>3847</v>
      </c>
      <c r="B3722" t="s">
        <v>127</v>
      </c>
      <c r="C3722">
        <v>159</v>
      </c>
      <c r="D3722">
        <f t="shared" si="136"/>
        <v>2012</v>
      </c>
      <c r="E3722">
        <f t="shared" si="137"/>
        <v>8</v>
      </c>
    </row>
    <row r="3723" spans="1:5" x14ac:dyDescent="0.3">
      <c r="A3723" t="s">
        <v>3848</v>
      </c>
      <c r="B3723" t="s">
        <v>127</v>
      </c>
      <c r="C3723">
        <v>163</v>
      </c>
      <c r="D3723">
        <f t="shared" si="136"/>
        <v>2012</v>
      </c>
      <c r="E3723">
        <f t="shared" si="137"/>
        <v>8</v>
      </c>
    </row>
    <row r="3724" spans="1:5" x14ac:dyDescent="0.3">
      <c r="A3724" t="s">
        <v>3849</v>
      </c>
      <c r="B3724" t="s">
        <v>127</v>
      </c>
      <c r="C3724">
        <v>163</v>
      </c>
      <c r="D3724">
        <f t="shared" si="136"/>
        <v>2012</v>
      </c>
      <c r="E3724">
        <f t="shared" si="137"/>
        <v>8</v>
      </c>
    </row>
    <row r="3725" spans="1:5" x14ac:dyDescent="0.3">
      <c r="A3725" t="s">
        <v>3850</v>
      </c>
      <c r="B3725" t="s">
        <v>127</v>
      </c>
      <c r="C3725">
        <v>161</v>
      </c>
      <c r="D3725">
        <f t="shared" si="136"/>
        <v>2012</v>
      </c>
      <c r="E3725">
        <f t="shared" si="137"/>
        <v>8</v>
      </c>
    </row>
    <row r="3726" spans="1:5" x14ac:dyDescent="0.3">
      <c r="A3726" t="s">
        <v>3851</v>
      </c>
      <c r="B3726" t="s">
        <v>127</v>
      </c>
      <c r="C3726">
        <v>159</v>
      </c>
      <c r="D3726">
        <f t="shared" si="136"/>
        <v>2012</v>
      </c>
      <c r="E3726">
        <f t="shared" si="137"/>
        <v>8</v>
      </c>
    </row>
    <row r="3727" spans="1:5" x14ac:dyDescent="0.3">
      <c r="A3727" t="s">
        <v>3852</v>
      </c>
      <c r="B3727" t="s">
        <v>127</v>
      </c>
      <c r="C3727">
        <v>163</v>
      </c>
      <c r="D3727">
        <f t="shared" si="136"/>
        <v>2012</v>
      </c>
      <c r="E3727">
        <f t="shared" si="137"/>
        <v>8</v>
      </c>
    </row>
    <row r="3728" spans="1:5" x14ac:dyDescent="0.3">
      <c r="A3728" t="s">
        <v>3853</v>
      </c>
      <c r="B3728" t="s">
        <v>127</v>
      </c>
      <c r="C3728">
        <v>166</v>
      </c>
      <c r="D3728">
        <f t="shared" si="136"/>
        <v>2012</v>
      </c>
      <c r="E3728">
        <f t="shared" si="137"/>
        <v>8</v>
      </c>
    </row>
    <row r="3729" spans="1:5" x14ac:dyDescent="0.3">
      <c r="A3729" t="s">
        <v>3854</v>
      </c>
      <c r="B3729" t="s">
        <v>127</v>
      </c>
      <c r="C3729">
        <v>166</v>
      </c>
      <c r="D3729">
        <f t="shared" si="136"/>
        <v>2012</v>
      </c>
      <c r="E3729">
        <f t="shared" si="137"/>
        <v>8</v>
      </c>
    </row>
    <row r="3730" spans="1:5" x14ac:dyDescent="0.3">
      <c r="A3730" t="s">
        <v>3855</v>
      </c>
      <c r="B3730" t="s">
        <v>127</v>
      </c>
      <c r="C3730">
        <v>166</v>
      </c>
      <c r="D3730">
        <f t="shared" si="136"/>
        <v>2012</v>
      </c>
      <c r="E3730">
        <f t="shared" si="137"/>
        <v>8</v>
      </c>
    </row>
    <row r="3731" spans="1:5" x14ac:dyDescent="0.3">
      <c r="A3731" t="s">
        <v>3856</v>
      </c>
      <c r="B3731" t="s">
        <v>127</v>
      </c>
      <c r="C3731">
        <v>170</v>
      </c>
      <c r="D3731">
        <f t="shared" si="136"/>
        <v>2012</v>
      </c>
      <c r="E3731">
        <f t="shared" si="137"/>
        <v>8</v>
      </c>
    </row>
    <row r="3732" spans="1:5" x14ac:dyDescent="0.3">
      <c r="A3732" t="s">
        <v>3857</v>
      </c>
      <c r="B3732" t="s">
        <v>127</v>
      </c>
      <c r="C3732">
        <v>173</v>
      </c>
      <c r="D3732">
        <f t="shared" si="136"/>
        <v>2012</v>
      </c>
      <c r="E3732">
        <f t="shared" si="137"/>
        <v>8</v>
      </c>
    </row>
    <row r="3733" spans="1:5" x14ac:dyDescent="0.3">
      <c r="A3733" t="s">
        <v>3858</v>
      </c>
      <c r="B3733" t="s">
        <v>127</v>
      </c>
      <c r="C3733">
        <v>173</v>
      </c>
      <c r="D3733">
        <f t="shared" si="136"/>
        <v>2012</v>
      </c>
      <c r="E3733">
        <f t="shared" si="137"/>
        <v>8</v>
      </c>
    </row>
    <row r="3734" spans="1:5" x14ac:dyDescent="0.3">
      <c r="A3734" t="s">
        <v>3859</v>
      </c>
      <c r="B3734" t="s">
        <v>127</v>
      </c>
      <c r="C3734">
        <v>176</v>
      </c>
      <c r="D3734">
        <f t="shared" si="136"/>
        <v>2012</v>
      </c>
      <c r="E3734">
        <f t="shared" si="137"/>
        <v>8</v>
      </c>
    </row>
    <row r="3735" spans="1:5" x14ac:dyDescent="0.3">
      <c r="A3735" t="s">
        <v>3860</v>
      </c>
      <c r="B3735" t="s">
        <v>127</v>
      </c>
      <c r="C3735">
        <v>177</v>
      </c>
      <c r="D3735">
        <f t="shared" si="136"/>
        <v>2012</v>
      </c>
      <c r="E3735">
        <f t="shared" si="137"/>
        <v>8</v>
      </c>
    </row>
    <row r="3736" spans="1:5" x14ac:dyDescent="0.3">
      <c r="A3736" t="s">
        <v>3861</v>
      </c>
      <c r="B3736" t="s">
        <v>127</v>
      </c>
      <c r="C3736">
        <v>177</v>
      </c>
      <c r="D3736">
        <f t="shared" si="136"/>
        <v>2012</v>
      </c>
      <c r="E3736">
        <f t="shared" si="137"/>
        <v>8</v>
      </c>
    </row>
    <row r="3737" spans="1:5" x14ac:dyDescent="0.3">
      <c r="A3737" t="s">
        <v>3862</v>
      </c>
      <c r="B3737" t="s">
        <v>127</v>
      </c>
      <c r="C3737">
        <v>179</v>
      </c>
      <c r="D3737">
        <f t="shared" si="136"/>
        <v>2012</v>
      </c>
      <c r="E3737">
        <f t="shared" si="137"/>
        <v>8</v>
      </c>
    </row>
    <row r="3738" spans="1:5" x14ac:dyDescent="0.3">
      <c r="A3738" t="s">
        <v>3863</v>
      </c>
      <c r="B3738" t="s">
        <v>127</v>
      </c>
      <c r="C3738">
        <v>186</v>
      </c>
      <c r="D3738">
        <f t="shared" si="136"/>
        <v>2012</v>
      </c>
      <c r="E3738">
        <f t="shared" si="137"/>
        <v>8</v>
      </c>
    </row>
    <row r="3739" spans="1:5" x14ac:dyDescent="0.3">
      <c r="A3739" t="s">
        <v>3864</v>
      </c>
      <c r="B3739" t="s">
        <v>127</v>
      </c>
      <c r="C3739">
        <v>186</v>
      </c>
      <c r="D3739">
        <f t="shared" si="136"/>
        <v>2012</v>
      </c>
      <c r="E3739">
        <f t="shared" si="137"/>
        <v>9</v>
      </c>
    </row>
    <row r="3740" spans="1:5" x14ac:dyDescent="0.3">
      <c r="A3740" t="s">
        <v>3865</v>
      </c>
      <c r="B3740" t="s">
        <v>127</v>
      </c>
      <c r="C3740">
        <v>182</v>
      </c>
      <c r="D3740">
        <f t="shared" si="136"/>
        <v>2012</v>
      </c>
      <c r="E3740">
        <f t="shared" si="137"/>
        <v>9</v>
      </c>
    </row>
    <row r="3741" spans="1:5" x14ac:dyDescent="0.3">
      <c r="A3741" t="s">
        <v>3866</v>
      </c>
      <c r="B3741" t="s">
        <v>127</v>
      </c>
      <c r="C3741">
        <v>180</v>
      </c>
      <c r="D3741">
        <f t="shared" si="136"/>
        <v>2012</v>
      </c>
      <c r="E3741">
        <f t="shared" si="137"/>
        <v>9</v>
      </c>
    </row>
    <row r="3742" spans="1:5" x14ac:dyDescent="0.3">
      <c r="A3742" t="s">
        <v>3867</v>
      </c>
      <c r="B3742" t="s">
        <v>127</v>
      </c>
      <c r="C3742">
        <v>171</v>
      </c>
      <c r="D3742">
        <f t="shared" si="136"/>
        <v>2012</v>
      </c>
      <c r="E3742">
        <f t="shared" si="137"/>
        <v>9</v>
      </c>
    </row>
    <row r="3743" spans="1:5" x14ac:dyDescent="0.3">
      <c r="A3743" t="s">
        <v>3868</v>
      </c>
      <c r="B3743" t="s">
        <v>127</v>
      </c>
      <c r="C3743">
        <v>169</v>
      </c>
      <c r="D3743">
        <f t="shared" si="136"/>
        <v>2012</v>
      </c>
      <c r="E3743">
        <f t="shared" si="137"/>
        <v>9</v>
      </c>
    </row>
    <row r="3744" spans="1:5" x14ac:dyDescent="0.3">
      <c r="A3744" t="s">
        <v>3869</v>
      </c>
      <c r="B3744" t="s">
        <v>127</v>
      </c>
      <c r="C3744">
        <v>167</v>
      </c>
      <c r="D3744">
        <f t="shared" si="136"/>
        <v>2012</v>
      </c>
      <c r="E3744">
        <f t="shared" si="137"/>
        <v>9</v>
      </c>
    </row>
    <row r="3745" spans="1:5" x14ac:dyDescent="0.3">
      <c r="A3745" t="s">
        <v>3870</v>
      </c>
      <c r="B3745" t="s">
        <v>127</v>
      </c>
      <c r="C3745">
        <v>166</v>
      </c>
      <c r="D3745">
        <f t="shared" si="136"/>
        <v>2012</v>
      </c>
      <c r="E3745">
        <f t="shared" si="137"/>
        <v>9</v>
      </c>
    </row>
    <row r="3746" spans="1:5" x14ac:dyDescent="0.3">
      <c r="A3746" t="s">
        <v>3871</v>
      </c>
      <c r="B3746" t="s">
        <v>127</v>
      </c>
      <c r="C3746">
        <v>160</v>
      </c>
      <c r="D3746">
        <f t="shared" si="136"/>
        <v>2012</v>
      </c>
      <c r="E3746">
        <f t="shared" si="137"/>
        <v>9</v>
      </c>
    </row>
    <row r="3747" spans="1:5" x14ac:dyDescent="0.3">
      <c r="A3747" t="s">
        <v>3872</v>
      </c>
      <c r="B3747" t="s">
        <v>127</v>
      </c>
      <c r="C3747">
        <v>159</v>
      </c>
      <c r="D3747">
        <f t="shared" si="136"/>
        <v>2012</v>
      </c>
      <c r="E3747">
        <f t="shared" si="137"/>
        <v>9</v>
      </c>
    </row>
    <row r="3748" spans="1:5" x14ac:dyDescent="0.3">
      <c r="A3748" t="s">
        <v>3873</v>
      </c>
      <c r="B3748" t="s">
        <v>127</v>
      </c>
      <c r="C3748">
        <v>152</v>
      </c>
      <c r="D3748">
        <f t="shared" si="136"/>
        <v>2012</v>
      </c>
      <c r="E3748">
        <f t="shared" si="137"/>
        <v>9</v>
      </c>
    </row>
    <row r="3749" spans="1:5" x14ac:dyDescent="0.3">
      <c r="A3749" t="s">
        <v>3874</v>
      </c>
      <c r="B3749" t="s">
        <v>127</v>
      </c>
      <c r="C3749">
        <v>154</v>
      </c>
      <c r="D3749">
        <f t="shared" si="136"/>
        <v>2012</v>
      </c>
      <c r="E3749">
        <f t="shared" si="137"/>
        <v>9</v>
      </c>
    </row>
    <row r="3750" spans="1:5" x14ac:dyDescent="0.3">
      <c r="A3750" t="s">
        <v>3875</v>
      </c>
      <c r="B3750" t="s">
        <v>127</v>
      </c>
      <c r="C3750">
        <v>158</v>
      </c>
      <c r="D3750">
        <f t="shared" si="136"/>
        <v>2012</v>
      </c>
      <c r="E3750">
        <f t="shared" si="137"/>
        <v>9</v>
      </c>
    </row>
    <row r="3751" spans="1:5" x14ac:dyDescent="0.3">
      <c r="A3751" t="s">
        <v>3876</v>
      </c>
      <c r="B3751" t="s">
        <v>127</v>
      </c>
      <c r="C3751">
        <v>161</v>
      </c>
      <c r="D3751">
        <f t="shared" si="136"/>
        <v>2012</v>
      </c>
      <c r="E3751">
        <f t="shared" si="137"/>
        <v>9</v>
      </c>
    </row>
    <row r="3752" spans="1:5" x14ac:dyDescent="0.3">
      <c r="A3752" t="s">
        <v>3877</v>
      </c>
      <c r="B3752" t="s">
        <v>127</v>
      </c>
      <c r="C3752">
        <v>163</v>
      </c>
      <c r="D3752">
        <f t="shared" si="136"/>
        <v>2012</v>
      </c>
      <c r="E3752">
        <f t="shared" si="137"/>
        <v>9</v>
      </c>
    </row>
    <row r="3753" spans="1:5" x14ac:dyDescent="0.3">
      <c r="A3753" t="s">
        <v>3878</v>
      </c>
      <c r="B3753" t="s">
        <v>127</v>
      </c>
      <c r="C3753">
        <v>161</v>
      </c>
      <c r="D3753">
        <f t="shared" si="136"/>
        <v>2012</v>
      </c>
      <c r="E3753">
        <f t="shared" si="137"/>
        <v>9</v>
      </c>
    </row>
    <row r="3754" spans="1:5" x14ac:dyDescent="0.3">
      <c r="A3754" t="s">
        <v>3879</v>
      </c>
      <c r="B3754" t="s">
        <v>127</v>
      </c>
      <c r="C3754">
        <v>163</v>
      </c>
      <c r="D3754">
        <f t="shared" si="136"/>
        <v>2012</v>
      </c>
      <c r="E3754">
        <f t="shared" si="137"/>
        <v>9</v>
      </c>
    </row>
    <row r="3755" spans="1:5" x14ac:dyDescent="0.3">
      <c r="A3755" t="s">
        <v>3880</v>
      </c>
      <c r="B3755" t="s">
        <v>127</v>
      </c>
      <c r="C3755">
        <v>169</v>
      </c>
      <c r="D3755">
        <f t="shared" si="136"/>
        <v>2012</v>
      </c>
      <c r="E3755">
        <f t="shared" si="137"/>
        <v>9</v>
      </c>
    </row>
    <row r="3756" spans="1:5" x14ac:dyDescent="0.3">
      <c r="A3756" t="s">
        <v>3881</v>
      </c>
      <c r="B3756" t="s">
        <v>127</v>
      </c>
      <c r="C3756">
        <v>174</v>
      </c>
      <c r="D3756">
        <f t="shared" si="136"/>
        <v>2012</v>
      </c>
      <c r="E3756">
        <f t="shared" si="137"/>
        <v>9</v>
      </c>
    </row>
    <row r="3757" spans="1:5" x14ac:dyDescent="0.3">
      <c r="A3757" t="s">
        <v>3882</v>
      </c>
      <c r="B3757" t="s">
        <v>127</v>
      </c>
      <c r="C3757">
        <v>171</v>
      </c>
      <c r="D3757">
        <f t="shared" si="136"/>
        <v>2012</v>
      </c>
      <c r="E3757">
        <f t="shared" si="137"/>
        <v>9</v>
      </c>
    </row>
    <row r="3758" spans="1:5" x14ac:dyDescent="0.3">
      <c r="A3758" t="s">
        <v>3883</v>
      </c>
      <c r="B3758" t="s">
        <v>127</v>
      </c>
      <c r="C3758">
        <v>172</v>
      </c>
      <c r="D3758">
        <f t="shared" si="136"/>
        <v>2012</v>
      </c>
      <c r="E3758">
        <f t="shared" si="137"/>
        <v>9</v>
      </c>
    </row>
    <row r="3759" spans="1:5" x14ac:dyDescent="0.3">
      <c r="A3759" t="s">
        <v>3884</v>
      </c>
      <c r="B3759" t="s">
        <v>127</v>
      </c>
      <c r="C3759">
        <v>166.90600000000001</v>
      </c>
      <c r="D3759">
        <f t="shared" si="136"/>
        <v>2012</v>
      </c>
      <c r="E3759">
        <f t="shared" si="137"/>
        <v>9</v>
      </c>
    </row>
    <row r="3760" spans="1:5" x14ac:dyDescent="0.3">
      <c r="A3760" t="s">
        <v>3885</v>
      </c>
      <c r="B3760" t="s">
        <v>127</v>
      </c>
      <c r="C3760">
        <v>168</v>
      </c>
      <c r="D3760">
        <f t="shared" si="136"/>
        <v>2012</v>
      </c>
      <c r="E3760">
        <f t="shared" si="137"/>
        <v>10</v>
      </c>
    </row>
    <row r="3761" spans="1:5" x14ac:dyDescent="0.3">
      <c r="A3761" t="s">
        <v>3886</v>
      </c>
      <c r="B3761" t="s">
        <v>127</v>
      </c>
      <c r="C3761">
        <v>167</v>
      </c>
      <c r="D3761">
        <f t="shared" si="136"/>
        <v>2012</v>
      </c>
      <c r="E3761">
        <f t="shared" si="137"/>
        <v>10</v>
      </c>
    </row>
    <row r="3762" spans="1:5" x14ac:dyDescent="0.3">
      <c r="A3762" t="s">
        <v>3887</v>
      </c>
      <c r="B3762" t="s">
        <v>127</v>
      </c>
      <c r="C3762">
        <v>164</v>
      </c>
      <c r="D3762">
        <f t="shared" si="136"/>
        <v>2012</v>
      </c>
      <c r="E3762">
        <f t="shared" si="137"/>
        <v>10</v>
      </c>
    </row>
    <row r="3763" spans="1:5" x14ac:dyDescent="0.3">
      <c r="A3763" t="s">
        <v>3888</v>
      </c>
      <c r="B3763" t="s">
        <v>127</v>
      </c>
      <c r="C3763">
        <v>158</v>
      </c>
      <c r="D3763">
        <f t="shared" si="136"/>
        <v>2012</v>
      </c>
      <c r="E3763">
        <f t="shared" si="137"/>
        <v>10</v>
      </c>
    </row>
    <row r="3764" spans="1:5" x14ac:dyDescent="0.3">
      <c r="A3764" t="s">
        <v>3889</v>
      </c>
      <c r="B3764" t="s">
        <v>127</v>
      </c>
      <c r="C3764">
        <v>151</v>
      </c>
      <c r="D3764">
        <f t="shared" si="136"/>
        <v>2012</v>
      </c>
      <c r="E3764">
        <f t="shared" si="137"/>
        <v>10</v>
      </c>
    </row>
    <row r="3765" spans="1:5" x14ac:dyDescent="0.3">
      <c r="A3765" t="s">
        <v>3890</v>
      </c>
      <c r="B3765" t="s">
        <v>127</v>
      </c>
      <c r="C3765">
        <v>151</v>
      </c>
      <c r="D3765">
        <f t="shared" si="136"/>
        <v>2012</v>
      </c>
      <c r="E3765">
        <f t="shared" si="137"/>
        <v>10</v>
      </c>
    </row>
    <row r="3766" spans="1:5" x14ac:dyDescent="0.3">
      <c r="A3766" t="s">
        <v>3891</v>
      </c>
      <c r="B3766" t="s">
        <v>127</v>
      </c>
      <c r="C3766">
        <v>153</v>
      </c>
      <c r="D3766">
        <f t="shared" si="136"/>
        <v>2012</v>
      </c>
      <c r="E3766">
        <f t="shared" si="137"/>
        <v>10</v>
      </c>
    </row>
    <row r="3767" spans="1:5" x14ac:dyDescent="0.3">
      <c r="A3767" t="s">
        <v>3892</v>
      </c>
      <c r="B3767" t="s">
        <v>127</v>
      </c>
      <c r="C3767">
        <v>156</v>
      </c>
      <c r="D3767">
        <f t="shared" si="136"/>
        <v>2012</v>
      </c>
      <c r="E3767">
        <f t="shared" si="137"/>
        <v>10</v>
      </c>
    </row>
    <row r="3768" spans="1:5" x14ac:dyDescent="0.3">
      <c r="A3768" t="s">
        <v>3893</v>
      </c>
      <c r="B3768" t="s">
        <v>127</v>
      </c>
      <c r="C3768">
        <v>158</v>
      </c>
      <c r="D3768">
        <f t="shared" si="136"/>
        <v>2012</v>
      </c>
      <c r="E3768">
        <f t="shared" si="137"/>
        <v>10</v>
      </c>
    </row>
    <row r="3769" spans="1:5" x14ac:dyDescent="0.3">
      <c r="A3769" t="s">
        <v>3894</v>
      </c>
      <c r="B3769" t="s">
        <v>127</v>
      </c>
      <c r="C3769">
        <v>156</v>
      </c>
      <c r="D3769">
        <f t="shared" si="136"/>
        <v>2012</v>
      </c>
      <c r="E3769">
        <f t="shared" si="137"/>
        <v>10</v>
      </c>
    </row>
    <row r="3770" spans="1:5" x14ac:dyDescent="0.3">
      <c r="A3770" t="s">
        <v>3895</v>
      </c>
      <c r="B3770" t="s">
        <v>127</v>
      </c>
      <c r="C3770">
        <v>155</v>
      </c>
      <c r="D3770">
        <f t="shared" si="136"/>
        <v>2012</v>
      </c>
      <c r="E3770">
        <f t="shared" si="137"/>
        <v>10</v>
      </c>
    </row>
    <row r="3771" spans="1:5" x14ac:dyDescent="0.3">
      <c r="A3771" t="s">
        <v>3896</v>
      </c>
      <c r="B3771" t="s">
        <v>127</v>
      </c>
      <c r="C3771">
        <v>149</v>
      </c>
      <c r="D3771">
        <f t="shared" si="136"/>
        <v>2012</v>
      </c>
      <c r="E3771">
        <f t="shared" si="137"/>
        <v>10</v>
      </c>
    </row>
    <row r="3772" spans="1:5" x14ac:dyDescent="0.3">
      <c r="A3772" t="s">
        <v>3897</v>
      </c>
      <c r="B3772" t="s">
        <v>127</v>
      </c>
      <c r="C3772">
        <v>142</v>
      </c>
      <c r="D3772">
        <f t="shared" si="136"/>
        <v>2012</v>
      </c>
      <c r="E3772">
        <f t="shared" si="137"/>
        <v>10</v>
      </c>
    </row>
    <row r="3773" spans="1:5" x14ac:dyDescent="0.3">
      <c r="A3773" t="s">
        <v>3898</v>
      </c>
      <c r="B3773" t="s">
        <v>127</v>
      </c>
      <c r="C3773">
        <v>139</v>
      </c>
      <c r="D3773">
        <f t="shared" si="136"/>
        <v>2012</v>
      </c>
      <c r="E3773">
        <f t="shared" si="137"/>
        <v>10</v>
      </c>
    </row>
    <row r="3774" spans="1:5" x14ac:dyDescent="0.3">
      <c r="A3774" t="s">
        <v>3899</v>
      </c>
      <c r="B3774" t="s">
        <v>127</v>
      </c>
      <c r="C3774">
        <v>147</v>
      </c>
      <c r="D3774">
        <f t="shared" si="136"/>
        <v>2012</v>
      </c>
      <c r="E3774">
        <f t="shared" si="137"/>
        <v>10</v>
      </c>
    </row>
    <row r="3775" spans="1:5" x14ac:dyDescent="0.3">
      <c r="A3775" t="s">
        <v>3900</v>
      </c>
      <c r="B3775" t="s">
        <v>127</v>
      </c>
      <c r="C3775">
        <v>147</v>
      </c>
      <c r="D3775">
        <f t="shared" si="136"/>
        <v>2012</v>
      </c>
      <c r="E3775">
        <f t="shared" si="137"/>
        <v>10</v>
      </c>
    </row>
    <row r="3776" spans="1:5" x14ac:dyDescent="0.3">
      <c r="A3776" t="s">
        <v>3901</v>
      </c>
      <c r="B3776" t="s">
        <v>127</v>
      </c>
      <c r="C3776">
        <v>150</v>
      </c>
      <c r="D3776">
        <f t="shared" si="136"/>
        <v>2012</v>
      </c>
      <c r="E3776">
        <f t="shared" si="137"/>
        <v>10</v>
      </c>
    </row>
    <row r="3777" spans="1:5" x14ac:dyDescent="0.3">
      <c r="A3777" t="s">
        <v>3902</v>
      </c>
      <c r="B3777" t="s">
        <v>127</v>
      </c>
      <c r="C3777">
        <v>152</v>
      </c>
      <c r="D3777">
        <f t="shared" si="136"/>
        <v>2012</v>
      </c>
      <c r="E3777">
        <f t="shared" si="137"/>
        <v>10</v>
      </c>
    </row>
    <row r="3778" spans="1:5" x14ac:dyDescent="0.3">
      <c r="A3778" t="s">
        <v>3903</v>
      </c>
      <c r="B3778" t="s">
        <v>127</v>
      </c>
      <c r="C3778">
        <v>150</v>
      </c>
      <c r="D3778">
        <f t="shared" si="136"/>
        <v>2012</v>
      </c>
      <c r="E3778">
        <f t="shared" si="137"/>
        <v>10</v>
      </c>
    </row>
    <row r="3779" spans="1:5" x14ac:dyDescent="0.3">
      <c r="A3779" t="s">
        <v>3904</v>
      </c>
      <c r="B3779" t="s">
        <v>127</v>
      </c>
      <c r="C3779">
        <v>160</v>
      </c>
      <c r="D3779">
        <f t="shared" ref="D3779:D3842" si="138">YEAR(A3779)</f>
        <v>2012</v>
      </c>
      <c r="E3779">
        <f t="shared" ref="E3779:E3842" si="139">MONTH(A3779)</f>
        <v>10</v>
      </c>
    </row>
    <row r="3780" spans="1:5" x14ac:dyDescent="0.3">
      <c r="A3780" t="s">
        <v>3905</v>
      </c>
      <c r="B3780" t="s">
        <v>127</v>
      </c>
      <c r="C3780">
        <v>163</v>
      </c>
      <c r="D3780">
        <f t="shared" si="138"/>
        <v>2012</v>
      </c>
      <c r="E3780">
        <f t="shared" si="139"/>
        <v>10</v>
      </c>
    </row>
    <row r="3781" spans="1:5" x14ac:dyDescent="0.3">
      <c r="A3781" t="s">
        <v>3906</v>
      </c>
      <c r="B3781" t="s">
        <v>127</v>
      </c>
      <c r="C3781">
        <v>163</v>
      </c>
      <c r="D3781">
        <f t="shared" si="138"/>
        <v>2012</v>
      </c>
      <c r="E3781">
        <f t="shared" si="139"/>
        <v>10</v>
      </c>
    </row>
    <row r="3782" spans="1:5" x14ac:dyDescent="0.3">
      <c r="A3782" t="s">
        <v>3907</v>
      </c>
      <c r="B3782" t="s">
        <v>127</v>
      </c>
      <c r="C3782">
        <v>166</v>
      </c>
      <c r="D3782">
        <f t="shared" si="138"/>
        <v>2012</v>
      </c>
      <c r="E3782">
        <f t="shared" si="139"/>
        <v>10</v>
      </c>
    </row>
    <row r="3783" spans="1:5" x14ac:dyDescent="0.3">
      <c r="A3783" t="s">
        <v>3908</v>
      </c>
      <c r="B3783" t="s">
        <v>127</v>
      </c>
      <c r="C3783">
        <v>162</v>
      </c>
      <c r="D3783">
        <f t="shared" si="138"/>
        <v>2012</v>
      </c>
      <c r="E3783">
        <f t="shared" si="139"/>
        <v>11</v>
      </c>
    </row>
    <row r="3784" spans="1:5" x14ac:dyDescent="0.3">
      <c r="A3784" t="s">
        <v>3909</v>
      </c>
      <c r="B3784" t="s">
        <v>127</v>
      </c>
      <c r="C3784">
        <v>160</v>
      </c>
      <c r="D3784">
        <f t="shared" si="138"/>
        <v>2012</v>
      </c>
      <c r="E3784">
        <f t="shared" si="139"/>
        <v>11</v>
      </c>
    </row>
    <row r="3785" spans="1:5" x14ac:dyDescent="0.3">
      <c r="A3785" t="s">
        <v>3910</v>
      </c>
      <c r="B3785" t="s">
        <v>127</v>
      </c>
      <c r="C3785">
        <v>161</v>
      </c>
      <c r="D3785">
        <f t="shared" si="138"/>
        <v>2012</v>
      </c>
      <c r="E3785">
        <f t="shared" si="139"/>
        <v>11</v>
      </c>
    </row>
    <row r="3786" spans="1:5" x14ac:dyDescent="0.3">
      <c r="A3786" t="s">
        <v>3911</v>
      </c>
      <c r="B3786" t="s">
        <v>127</v>
      </c>
      <c r="C3786">
        <v>157</v>
      </c>
      <c r="D3786">
        <f t="shared" si="138"/>
        <v>2012</v>
      </c>
      <c r="E3786">
        <f t="shared" si="139"/>
        <v>11</v>
      </c>
    </row>
    <row r="3787" spans="1:5" x14ac:dyDescent="0.3">
      <c r="A3787" t="s">
        <v>3912</v>
      </c>
      <c r="B3787" t="s">
        <v>127</v>
      </c>
      <c r="C3787">
        <v>165</v>
      </c>
      <c r="D3787">
        <f t="shared" si="138"/>
        <v>2012</v>
      </c>
      <c r="E3787">
        <f t="shared" si="139"/>
        <v>11</v>
      </c>
    </row>
    <row r="3788" spans="1:5" x14ac:dyDescent="0.3">
      <c r="A3788" t="s">
        <v>3913</v>
      </c>
      <c r="B3788" t="s">
        <v>127</v>
      </c>
      <c r="C3788">
        <v>168</v>
      </c>
      <c r="D3788">
        <f t="shared" si="138"/>
        <v>2012</v>
      </c>
      <c r="E3788">
        <f t="shared" si="139"/>
        <v>11</v>
      </c>
    </row>
    <row r="3789" spans="1:5" x14ac:dyDescent="0.3">
      <c r="A3789" t="s">
        <v>3914</v>
      </c>
      <c r="B3789" t="s">
        <v>127</v>
      </c>
      <c r="C3789">
        <v>170</v>
      </c>
      <c r="D3789">
        <f t="shared" si="138"/>
        <v>2012</v>
      </c>
      <c r="E3789">
        <f t="shared" si="139"/>
        <v>11</v>
      </c>
    </row>
    <row r="3790" spans="1:5" x14ac:dyDescent="0.3">
      <c r="A3790" t="s">
        <v>3915</v>
      </c>
      <c r="B3790" t="s">
        <v>127</v>
      </c>
      <c r="C3790">
        <v>170</v>
      </c>
      <c r="D3790">
        <f t="shared" si="138"/>
        <v>2012</v>
      </c>
      <c r="E3790">
        <f t="shared" si="139"/>
        <v>11</v>
      </c>
    </row>
    <row r="3791" spans="1:5" x14ac:dyDescent="0.3">
      <c r="A3791" t="s">
        <v>3916</v>
      </c>
      <c r="B3791" t="s">
        <v>127</v>
      </c>
      <c r="C3791">
        <v>174</v>
      </c>
      <c r="D3791">
        <f t="shared" si="138"/>
        <v>2012</v>
      </c>
      <c r="E3791">
        <f t="shared" si="139"/>
        <v>11</v>
      </c>
    </row>
    <row r="3792" spans="1:5" x14ac:dyDescent="0.3">
      <c r="A3792" t="s">
        <v>3917</v>
      </c>
      <c r="B3792" t="s">
        <v>127</v>
      </c>
      <c r="C3792">
        <v>176</v>
      </c>
      <c r="D3792">
        <f t="shared" si="138"/>
        <v>2012</v>
      </c>
      <c r="E3792">
        <f t="shared" si="139"/>
        <v>11</v>
      </c>
    </row>
    <row r="3793" spans="1:5" x14ac:dyDescent="0.3">
      <c r="A3793" t="s">
        <v>3918</v>
      </c>
      <c r="B3793" t="s">
        <v>127</v>
      </c>
      <c r="C3793">
        <v>177</v>
      </c>
      <c r="D3793">
        <f t="shared" si="138"/>
        <v>2012</v>
      </c>
      <c r="E3793">
        <f t="shared" si="139"/>
        <v>11</v>
      </c>
    </row>
    <row r="3794" spans="1:5" x14ac:dyDescent="0.3">
      <c r="A3794" t="s">
        <v>3919</v>
      </c>
      <c r="B3794" t="s">
        <v>127</v>
      </c>
      <c r="C3794">
        <v>176</v>
      </c>
      <c r="D3794">
        <f t="shared" si="138"/>
        <v>2012</v>
      </c>
      <c r="E3794">
        <f t="shared" si="139"/>
        <v>11</v>
      </c>
    </row>
    <row r="3795" spans="1:5" x14ac:dyDescent="0.3">
      <c r="A3795" t="s">
        <v>3920</v>
      </c>
      <c r="B3795" t="s">
        <v>127</v>
      </c>
      <c r="C3795">
        <v>174</v>
      </c>
      <c r="D3795">
        <f t="shared" si="138"/>
        <v>2012</v>
      </c>
      <c r="E3795">
        <f t="shared" si="139"/>
        <v>11</v>
      </c>
    </row>
    <row r="3796" spans="1:5" x14ac:dyDescent="0.3">
      <c r="A3796" t="s">
        <v>3921</v>
      </c>
      <c r="B3796" t="s">
        <v>127</v>
      </c>
      <c r="C3796">
        <v>170</v>
      </c>
      <c r="D3796">
        <f t="shared" si="138"/>
        <v>2012</v>
      </c>
      <c r="E3796">
        <f t="shared" si="139"/>
        <v>11</v>
      </c>
    </row>
    <row r="3797" spans="1:5" x14ac:dyDescent="0.3">
      <c r="A3797" t="s">
        <v>3922</v>
      </c>
      <c r="B3797" t="s">
        <v>127</v>
      </c>
      <c r="C3797">
        <v>168</v>
      </c>
      <c r="D3797">
        <f t="shared" si="138"/>
        <v>2012</v>
      </c>
      <c r="E3797">
        <f t="shared" si="139"/>
        <v>11</v>
      </c>
    </row>
    <row r="3798" spans="1:5" x14ac:dyDescent="0.3">
      <c r="A3798" t="s">
        <v>3923</v>
      </c>
      <c r="B3798" t="s">
        <v>127</v>
      </c>
      <c r="C3798">
        <v>168</v>
      </c>
      <c r="D3798">
        <f t="shared" si="138"/>
        <v>2012</v>
      </c>
      <c r="E3798">
        <f t="shared" si="139"/>
        <v>11</v>
      </c>
    </row>
    <row r="3799" spans="1:5" x14ac:dyDescent="0.3">
      <c r="A3799" t="s">
        <v>3924</v>
      </c>
      <c r="B3799" t="s">
        <v>127</v>
      </c>
      <c r="C3799">
        <v>168</v>
      </c>
      <c r="D3799">
        <f t="shared" si="138"/>
        <v>2012</v>
      </c>
      <c r="E3799">
        <f t="shared" si="139"/>
        <v>11</v>
      </c>
    </row>
    <row r="3800" spans="1:5" x14ac:dyDescent="0.3">
      <c r="A3800" t="s">
        <v>3925</v>
      </c>
      <c r="B3800" t="s">
        <v>127</v>
      </c>
      <c r="C3800">
        <v>169</v>
      </c>
      <c r="D3800">
        <f t="shared" si="138"/>
        <v>2012</v>
      </c>
      <c r="E3800">
        <f t="shared" si="139"/>
        <v>11</v>
      </c>
    </row>
    <row r="3801" spans="1:5" x14ac:dyDescent="0.3">
      <c r="A3801" t="s">
        <v>3926</v>
      </c>
      <c r="B3801" t="s">
        <v>127</v>
      </c>
      <c r="C3801">
        <v>167</v>
      </c>
      <c r="D3801">
        <f t="shared" si="138"/>
        <v>2012</v>
      </c>
      <c r="E3801">
        <f t="shared" si="139"/>
        <v>11</v>
      </c>
    </row>
    <row r="3802" spans="1:5" x14ac:dyDescent="0.3">
      <c r="A3802" t="s">
        <v>3927</v>
      </c>
      <c r="B3802" t="s">
        <v>127</v>
      </c>
      <c r="C3802">
        <v>169</v>
      </c>
      <c r="D3802">
        <f t="shared" si="138"/>
        <v>2012</v>
      </c>
      <c r="E3802">
        <f t="shared" si="139"/>
        <v>11</v>
      </c>
    </row>
    <row r="3803" spans="1:5" x14ac:dyDescent="0.3">
      <c r="A3803" t="s">
        <v>3928</v>
      </c>
      <c r="B3803" t="s">
        <v>127</v>
      </c>
      <c r="C3803">
        <v>167</v>
      </c>
      <c r="D3803">
        <f t="shared" si="138"/>
        <v>2012</v>
      </c>
      <c r="E3803">
        <f t="shared" si="139"/>
        <v>11</v>
      </c>
    </row>
    <row r="3804" spans="1:5" x14ac:dyDescent="0.3">
      <c r="A3804" t="s">
        <v>3929</v>
      </c>
      <c r="B3804" t="s">
        <v>127</v>
      </c>
      <c r="C3804">
        <v>169</v>
      </c>
      <c r="D3804">
        <f t="shared" si="138"/>
        <v>2012</v>
      </c>
      <c r="E3804">
        <f t="shared" si="139"/>
        <v>11</v>
      </c>
    </row>
    <row r="3805" spans="1:5" x14ac:dyDescent="0.3">
      <c r="A3805" t="s">
        <v>3930</v>
      </c>
      <c r="B3805" t="s">
        <v>127</v>
      </c>
      <c r="C3805">
        <v>169</v>
      </c>
      <c r="D3805">
        <f t="shared" si="138"/>
        <v>2012</v>
      </c>
      <c r="E3805">
        <f t="shared" si="139"/>
        <v>12</v>
      </c>
    </row>
    <row r="3806" spans="1:5" x14ac:dyDescent="0.3">
      <c r="A3806" t="s">
        <v>3931</v>
      </c>
      <c r="B3806" t="s">
        <v>127</v>
      </c>
      <c r="C3806">
        <v>170</v>
      </c>
      <c r="D3806">
        <f t="shared" si="138"/>
        <v>2012</v>
      </c>
      <c r="E3806">
        <f t="shared" si="139"/>
        <v>12</v>
      </c>
    </row>
    <row r="3807" spans="1:5" x14ac:dyDescent="0.3">
      <c r="A3807" t="s">
        <v>3932</v>
      </c>
      <c r="B3807" t="s">
        <v>127</v>
      </c>
      <c r="C3807">
        <v>170</v>
      </c>
      <c r="D3807">
        <f t="shared" si="138"/>
        <v>2012</v>
      </c>
      <c r="E3807">
        <f t="shared" si="139"/>
        <v>12</v>
      </c>
    </row>
    <row r="3808" spans="1:5" x14ac:dyDescent="0.3">
      <c r="A3808" t="s">
        <v>3933</v>
      </c>
      <c r="B3808" t="s">
        <v>127</v>
      </c>
      <c r="C3808">
        <v>171</v>
      </c>
      <c r="D3808">
        <f t="shared" si="138"/>
        <v>2012</v>
      </c>
      <c r="E3808">
        <f t="shared" si="139"/>
        <v>12</v>
      </c>
    </row>
    <row r="3809" spans="1:5" x14ac:dyDescent="0.3">
      <c r="A3809" t="s">
        <v>3934</v>
      </c>
      <c r="B3809" t="s">
        <v>127</v>
      </c>
      <c r="C3809">
        <v>168</v>
      </c>
      <c r="D3809">
        <f t="shared" si="138"/>
        <v>2012</v>
      </c>
      <c r="E3809">
        <f t="shared" si="139"/>
        <v>12</v>
      </c>
    </row>
    <row r="3810" spans="1:5" x14ac:dyDescent="0.3">
      <c r="A3810" t="s">
        <v>3935</v>
      </c>
      <c r="B3810" t="s">
        <v>127</v>
      </c>
      <c r="C3810">
        <v>169</v>
      </c>
      <c r="D3810">
        <f t="shared" si="138"/>
        <v>2012</v>
      </c>
      <c r="E3810">
        <f t="shared" si="139"/>
        <v>12</v>
      </c>
    </row>
    <row r="3811" spans="1:5" x14ac:dyDescent="0.3">
      <c r="A3811" t="s">
        <v>3936</v>
      </c>
      <c r="B3811" t="s">
        <v>127</v>
      </c>
      <c r="C3811">
        <v>167</v>
      </c>
      <c r="D3811">
        <f t="shared" si="138"/>
        <v>2012</v>
      </c>
      <c r="E3811">
        <f t="shared" si="139"/>
        <v>12</v>
      </c>
    </row>
    <row r="3812" spans="1:5" x14ac:dyDescent="0.3">
      <c r="A3812" t="s">
        <v>3937</v>
      </c>
      <c r="B3812" t="s">
        <v>127</v>
      </c>
      <c r="C3812">
        <v>161</v>
      </c>
      <c r="D3812">
        <f t="shared" si="138"/>
        <v>2012</v>
      </c>
      <c r="E3812">
        <f t="shared" si="139"/>
        <v>12</v>
      </c>
    </row>
    <row r="3813" spans="1:5" x14ac:dyDescent="0.3">
      <c r="A3813" t="s">
        <v>3938</v>
      </c>
      <c r="B3813" t="s">
        <v>127</v>
      </c>
      <c r="C3813">
        <v>160</v>
      </c>
      <c r="D3813">
        <f t="shared" si="138"/>
        <v>2012</v>
      </c>
      <c r="E3813">
        <f t="shared" si="139"/>
        <v>12</v>
      </c>
    </row>
    <row r="3814" spans="1:5" x14ac:dyDescent="0.3">
      <c r="A3814" t="s">
        <v>3939</v>
      </c>
      <c r="B3814" t="s">
        <v>127</v>
      </c>
      <c r="C3814">
        <v>162</v>
      </c>
      <c r="D3814">
        <f t="shared" si="138"/>
        <v>2012</v>
      </c>
      <c r="E3814">
        <f t="shared" si="139"/>
        <v>12</v>
      </c>
    </row>
    <row r="3815" spans="1:5" x14ac:dyDescent="0.3">
      <c r="A3815" t="s">
        <v>3940</v>
      </c>
      <c r="B3815" t="s">
        <v>127</v>
      </c>
      <c r="C3815">
        <v>156</v>
      </c>
      <c r="D3815">
        <f t="shared" si="138"/>
        <v>2012</v>
      </c>
      <c r="E3815">
        <f t="shared" si="139"/>
        <v>12</v>
      </c>
    </row>
    <row r="3816" spans="1:5" x14ac:dyDescent="0.3">
      <c r="A3816" t="s">
        <v>3941</v>
      </c>
      <c r="B3816" t="s">
        <v>127</v>
      </c>
      <c r="C3816">
        <v>151</v>
      </c>
      <c r="D3816">
        <f t="shared" si="138"/>
        <v>2012</v>
      </c>
      <c r="E3816">
        <f t="shared" si="139"/>
        <v>12</v>
      </c>
    </row>
    <row r="3817" spans="1:5" x14ac:dyDescent="0.3">
      <c r="A3817" t="s">
        <v>3942</v>
      </c>
      <c r="B3817" t="s">
        <v>127</v>
      </c>
      <c r="C3817">
        <v>152</v>
      </c>
      <c r="D3817">
        <f t="shared" si="138"/>
        <v>2012</v>
      </c>
      <c r="E3817">
        <f t="shared" si="139"/>
        <v>12</v>
      </c>
    </row>
    <row r="3818" spans="1:5" x14ac:dyDescent="0.3">
      <c r="A3818" t="s">
        <v>3943</v>
      </c>
      <c r="B3818" t="s">
        <v>127</v>
      </c>
      <c r="C3818">
        <v>152</v>
      </c>
      <c r="D3818">
        <f t="shared" si="138"/>
        <v>2012</v>
      </c>
      <c r="E3818">
        <f t="shared" si="139"/>
        <v>12</v>
      </c>
    </row>
    <row r="3819" spans="1:5" x14ac:dyDescent="0.3">
      <c r="A3819" t="s">
        <v>3944</v>
      </c>
      <c r="B3819" t="s">
        <v>127</v>
      </c>
      <c r="C3819">
        <v>157</v>
      </c>
      <c r="D3819">
        <f t="shared" si="138"/>
        <v>2012</v>
      </c>
      <c r="E3819">
        <f t="shared" si="139"/>
        <v>12</v>
      </c>
    </row>
    <row r="3820" spans="1:5" x14ac:dyDescent="0.3">
      <c r="A3820" t="s">
        <v>3945</v>
      </c>
      <c r="B3820" t="s">
        <v>127</v>
      </c>
      <c r="C3820">
        <v>155</v>
      </c>
      <c r="D3820">
        <f t="shared" si="138"/>
        <v>2012</v>
      </c>
      <c r="E3820">
        <f t="shared" si="139"/>
        <v>12</v>
      </c>
    </row>
    <row r="3821" spans="1:5" x14ac:dyDescent="0.3">
      <c r="A3821" t="s">
        <v>3946</v>
      </c>
      <c r="B3821" t="s">
        <v>127</v>
      </c>
      <c r="C3821">
        <v>155</v>
      </c>
      <c r="D3821">
        <f t="shared" si="138"/>
        <v>2012</v>
      </c>
      <c r="E3821">
        <f t="shared" si="139"/>
        <v>12</v>
      </c>
    </row>
    <row r="3822" spans="1:5" x14ac:dyDescent="0.3">
      <c r="A3822" t="s">
        <v>3947</v>
      </c>
      <c r="B3822" t="s">
        <v>127</v>
      </c>
      <c r="C3822">
        <v>156</v>
      </c>
      <c r="D3822">
        <f t="shared" si="138"/>
        <v>2012</v>
      </c>
      <c r="E3822">
        <f t="shared" si="139"/>
        <v>12</v>
      </c>
    </row>
    <row r="3823" spans="1:5" x14ac:dyDescent="0.3">
      <c r="A3823" t="s">
        <v>3948</v>
      </c>
      <c r="B3823" t="s">
        <v>127</v>
      </c>
      <c r="C3823">
        <v>160</v>
      </c>
      <c r="D3823">
        <f t="shared" si="138"/>
        <v>2012</v>
      </c>
      <c r="E3823">
        <f t="shared" si="139"/>
        <v>12</v>
      </c>
    </row>
    <row r="3824" spans="1:5" x14ac:dyDescent="0.3">
      <c r="A3824" t="s">
        <v>3949</v>
      </c>
      <c r="B3824" t="s">
        <v>127</v>
      </c>
      <c r="C3824">
        <v>161</v>
      </c>
      <c r="D3824">
        <f t="shared" si="138"/>
        <v>2012</v>
      </c>
      <c r="E3824">
        <f t="shared" si="139"/>
        <v>12</v>
      </c>
    </row>
    <row r="3825" spans="1:5" x14ac:dyDescent="0.3">
      <c r="A3825" t="s">
        <v>3950</v>
      </c>
      <c r="B3825" t="s">
        <v>127</v>
      </c>
      <c r="C3825">
        <v>155</v>
      </c>
      <c r="D3825">
        <f t="shared" si="138"/>
        <v>2012</v>
      </c>
      <c r="E3825">
        <f t="shared" si="139"/>
        <v>12</v>
      </c>
    </row>
    <row r="3826" spans="1:5" x14ac:dyDescent="0.3">
      <c r="A3826" t="s">
        <v>3951</v>
      </c>
      <c r="B3826" t="s">
        <v>127</v>
      </c>
      <c r="C3826">
        <v>155</v>
      </c>
      <c r="D3826">
        <f t="shared" si="138"/>
        <v>2013</v>
      </c>
      <c r="E3826">
        <f t="shared" si="139"/>
        <v>1</v>
      </c>
    </row>
    <row r="3827" spans="1:5" x14ac:dyDescent="0.3">
      <c r="A3827" t="s">
        <v>3952</v>
      </c>
      <c r="B3827" t="s">
        <v>127</v>
      </c>
      <c r="C3827">
        <v>148</v>
      </c>
      <c r="D3827">
        <f t="shared" si="138"/>
        <v>2013</v>
      </c>
      <c r="E3827">
        <f t="shared" si="139"/>
        <v>1</v>
      </c>
    </row>
    <row r="3828" spans="1:5" x14ac:dyDescent="0.3">
      <c r="A3828" t="s">
        <v>3953</v>
      </c>
      <c r="B3828" t="s">
        <v>127</v>
      </c>
      <c r="C3828">
        <v>144</v>
      </c>
      <c r="D3828">
        <f t="shared" si="138"/>
        <v>2013</v>
      </c>
      <c r="E3828">
        <f t="shared" si="139"/>
        <v>1</v>
      </c>
    </row>
    <row r="3829" spans="1:5" x14ac:dyDescent="0.3">
      <c r="A3829" t="s">
        <v>3954</v>
      </c>
      <c r="B3829" t="s">
        <v>127</v>
      </c>
      <c r="C3829">
        <v>145</v>
      </c>
      <c r="D3829">
        <f t="shared" si="138"/>
        <v>2013</v>
      </c>
      <c r="E3829">
        <f t="shared" si="139"/>
        <v>1</v>
      </c>
    </row>
    <row r="3830" spans="1:5" x14ac:dyDescent="0.3">
      <c r="A3830" t="s">
        <v>3955</v>
      </c>
      <c r="B3830" t="s">
        <v>127</v>
      </c>
      <c r="C3830">
        <v>150</v>
      </c>
      <c r="D3830">
        <f t="shared" si="138"/>
        <v>2013</v>
      </c>
      <c r="E3830">
        <f t="shared" si="139"/>
        <v>1</v>
      </c>
    </row>
    <row r="3831" spans="1:5" x14ac:dyDescent="0.3">
      <c r="A3831" t="s">
        <v>3956</v>
      </c>
      <c r="B3831" t="s">
        <v>127</v>
      </c>
      <c r="C3831">
        <v>153</v>
      </c>
      <c r="D3831">
        <f t="shared" si="138"/>
        <v>2013</v>
      </c>
      <c r="E3831">
        <f t="shared" si="139"/>
        <v>1</v>
      </c>
    </row>
    <row r="3832" spans="1:5" x14ac:dyDescent="0.3">
      <c r="A3832" t="s">
        <v>3957</v>
      </c>
      <c r="B3832" t="s">
        <v>127</v>
      </c>
      <c r="C3832">
        <v>157</v>
      </c>
      <c r="D3832">
        <f t="shared" si="138"/>
        <v>2013</v>
      </c>
      <c r="E3832">
        <f t="shared" si="139"/>
        <v>1</v>
      </c>
    </row>
    <row r="3833" spans="1:5" x14ac:dyDescent="0.3">
      <c r="A3833" t="s">
        <v>3958</v>
      </c>
      <c r="B3833" t="s">
        <v>127</v>
      </c>
      <c r="C3833">
        <v>154</v>
      </c>
      <c r="D3833">
        <f t="shared" si="138"/>
        <v>2013</v>
      </c>
      <c r="E3833">
        <f t="shared" si="139"/>
        <v>1</v>
      </c>
    </row>
    <row r="3834" spans="1:5" x14ac:dyDescent="0.3">
      <c r="A3834" t="s">
        <v>3959</v>
      </c>
      <c r="B3834" t="s">
        <v>127</v>
      </c>
      <c r="C3834">
        <v>157</v>
      </c>
      <c r="D3834">
        <f t="shared" si="138"/>
        <v>2013</v>
      </c>
      <c r="E3834">
        <f t="shared" si="139"/>
        <v>1</v>
      </c>
    </row>
    <row r="3835" spans="1:5" x14ac:dyDescent="0.3">
      <c r="A3835" t="s">
        <v>3960</v>
      </c>
      <c r="B3835" t="s">
        <v>127</v>
      </c>
      <c r="C3835">
        <v>155</v>
      </c>
      <c r="D3835">
        <f t="shared" si="138"/>
        <v>2013</v>
      </c>
      <c r="E3835">
        <f t="shared" si="139"/>
        <v>1</v>
      </c>
    </row>
    <row r="3836" spans="1:5" x14ac:dyDescent="0.3">
      <c r="A3836" t="s">
        <v>3961</v>
      </c>
      <c r="B3836" t="s">
        <v>127</v>
      </c>
      <c r="C3836">
        <v>158</v>
      </c>
      <c r="D3836">
        <f t="shared" si="138"/>
        <v>2013</v>
      </c>
      <c r="E3836">
        <f t="shared" si="139"/>
        <v>1</v>
      </c>
    </row>
    <row r="3837" spans="1:5" x14ac:dyDescent="0.3">
      <c r="A3837" t="s">
        <v>3962</v>
      </c>
      <c r="B3837" t="s">
        <v>127</v>
      </c>
      <c r="C3837">
        <v>157</v>
      </c>
      <c r="D3837">
        <f t="shared" si="138"/>
        <v>2013</v>
      </c>
      <c r="E3837">
        <f t="shared" si="139"/>
        <v>1</v>
      </c>
    </row>
    <row r="3838" spans="1:5" x14ac:dyDescent="0.3">
      <c r="A3838" t="s">
        <v>3963</v>
      </c>
      <c r="B3838" t="s">
        <v>127</v>
      </c>
      <c r="C3838">
        <v>154</v>
      </c>
      <c r="D3838">
        <f t="shared" si="138"/>
        <v>2013</v>
      </c>
      <c r="E3838">
        <f t="shared" si="139"/>
        <v>1</v>
      </c>
    </row>
    <row r="3839" spans="1:5" x14ac:dyDescent="0.3">
      <c r="A3839" t="s">
        <v>3964</v>
      </c>
      <c r="B3839" t="s">
        <v>127</v>
      </c>
      <c r="C3839">
        <v>155</v>
      </c>
      <c r="D3839">
        <f t="shared" si="138"/>
        <v>2013</v>
      </c>
      <c r="E3839">
        <f t="shared" si="139"/>
        <v>1</v>
      </c>
    </row>
    <row r="3840" spans="1:5" x14ac:dyDescent="0.3">
      <c r="A3840" t="s">
        <v>3965</v>
      </c>
      <c r="B3840" t="s">
        <v>127</v>
      </c>
      <c r="C3840">
        <v>155</v>
      </c>
      <c r="D3840">
        <f t="shared" si="138"/>
        <v>2013</v>
      </c>
      <c r="E3840">
        <f t="shared" si="139"/>
        <v>1</v>
      </c>
    </row>
    <row r="3841" spans="1:5" x14ac:dyDescent="0.3">
      <c r="A3841" t="s">
        <v>3966</v>
      </c>
      <c r="B3841" t="s">
        <v>127</v>
      </c>
      <c r="C3841">
        <v>156</v>
      </c>
      <c r="D3841">
        <f t="shared" si="138"/>
        <v>2013</v>
      </c>
      <c r="E3841">
        <f t="shared" si="139"/>
        <v>1</v>
      </c>
    </row>
    <row r="3842" spans="1:5" x14ac:dyDescent="0.3">
      <c r="A3842" t="s">
        <v>3967</v>
      </c>
      <c r="B3842" t="s">
        <v>127</v>
      </c>
      <c r="C3842">
        <v>157</v>
      </c>
      <c r="D3842">
        <f t="shared" si="138"/>
        <v>2013</v>
      </c>
      <c r="E3842">
        <f t="shared" si="139"/>
        <v>1</v>
      </c>
    </row>
    <row r="3843" spans="1:5" x14ac:dyDescent="0.3">
      <c r="A3843" t="s">
        <v>3968</v>
      </c>
      <c r="B3843" t="s">
        <v>127</v>
      </c>
      <c r="C3843">
        <v>157</v>
      </c>
      <c r="D3843">
        <f t="shared" ref="D3843:D3906" si="140">YEAR(A3843)</f>
        <v>2013</v>
      </c>
      <c r="E3843">
        <f t="shared" ref="E3843:E3906" si="141">MONTH(A3843)</f>
        <v>1</v>
      </c>
    </row>
    <row r="3844" spans="1:5" x14ac:dyDescent="0.3">
      <c r="A3844" t="s">
        <v>3969</v>
      </c>
      <c r="B3844" t="s">
        <v>127</v>
      </c>
      <c r="C3844">
        <v>152</v>
      </c>
      <c r="D3844">
        <f t="shared" si="140"/>
        <v>2013</v>
      </c>
      <c r="E3844">
        <f t="shared" si="141"/>
        <v>1</v>
      </c>
    </row>
    <row r="3845" spans="1:5" x14ac:dyDescent="0.3">
      <c r="A3845" t="s">
        <v>3970</v>
      </c>
      <c r="B3845" t="s">
        <v>127</v>
      </c>
      <c r="C3845">
        <v>153</v>
      </c>
      <c r="D3845">
        <f t="shared" si="140"/>
        <v>2013</v>
      </c>
      <c r="E3845">
        <f t="shared" si="141"/>
        <v>1</v>
      </c>
    </row>
    <row r="3846" spans="1:5" x14ac:dyDescent="0.3">
      <c r="A3846" t="s">
        <v>3971</v>
      </c>
      <c r="B3846" t="s">
        <v>127</v>
      </c>
      <c r="C3846">
        <v>156</v>
      </c>
      <c r="D3846">
        <f t="shared" si="140"/>
        <v>2013</v>
      </c>
      <c r="E3846">
        <f t="shared" si="141"/>
        <v>1</v>
      </c>
    </row>
    <row r="3847" spans="1:5" x14ac:dyDescent="0.3">
      <c r="A3847" t="s">
        <v>3972</v>
      </c>
      <c r="B3847" t="s">
        <v>127</v>
      </c>
      <c r="C3847">
        <v>159</v>
      </c>
      <c r="D3847">
        <f t="shared" si="140"/>
        <v>2013</v>
      </c>
      <c r="E3847">
        <f t="shared" si="141"/>
        <v>1</v>
      </c>
    </row>
    <row r="3848" spans="1:5" x14ac:dyDescent="0.3">
      <c r="A3848" t="s">
        <v>3973</v>
      </c>
      <c r="B3848" t="s">
        <v>127</v>
      </c>
      <c r="C3848">
        <v>165</v>
      </c>
      <c r="D3848">
        <f t="shared" si="140"/>
        <v>2013</v>
      </c>
      <c r="E3848">
        <f t="shared" si="141"/>
        <v>1</v>
      </c>
    </row>
    <row r="3849" spans="1:5" x14ac:dyDescent="0.3">
      <c r="A3849" t="s">
        <v>3974</v>
      </c>
      <c r="B3849" t="s">
        <v>127</v>
      </c>
      <c r="C3849">
        <v>163</v>
      </c>
      <c r="D3849">
        <f t="shared" si="140"/>
        <v>2013</v>
      </c>
      <c r="E3849">
        <f t="shared" si="141"/>
        <v>2</v>
      </c>
    </row>
    <row r="3850" spans="1:5" x14ac:dyDescent="0.3">
      <c r="A3850" t="s">
        <v>3975</v>
      </c>
      <c r="B3850" t="s">
        <v>127</v>
      </c>
      <c r="C3850">
        <v>168</v>
      </c>
      <c r="D3850">
        <f t="shared" si="140"/>
        <v>2013</v>
      </c>
      <c r="E3850">
        <f t="shared" si="141"/>
        <v>2</v>
      </c>
    </row>
    <row r="3851" spans="1:5" x14ac:dyDescent="0.3">
      <c r="A3851" t="s">
        <v>3976</v>
      </c>
      <c r="B3851" t="s">
        <v>127</v>
      </c>
      <c r="C3851">
        <v>166</v>
      </c>
      <c r="D3851">
        <f t="shared" si="140"/>
        <v>2013</v>
      </c>
      <c r="E3851">
        <f t="shared" si="141"/>
        <v>2</v>
      </c>
    </row>
    <row r="3852" spans="1:5" x14ac:dyDescent="0.3">
      <c r="A3852" t="s">
        <v>3977</v>
      </c>
      <c r="B3852" t="s">
        <v>127</v>
      </c>
      <c r="C3852">
        <v>168</v>
      </c>
      <c r="D3852">
        <f t="shared" si="140"/>
        <v>2013</v>
      </c>
      <c r="E3852">
        <f t="shared" si="141"/>
        <v>2</v>
      </c>
    </row>
    <row r="3853" spans="1:5" x14ac:dyDescent="0.3">
      <c r="A3853" t="s">
        <v>3978</v>
      </c>
      <c r="B3853" t="s">
        <v>127</v>
      </c>
      <c r="C3853">
        <v>167</v>
      </c>
      <c r="D3853">
        <f t="shared" si="140"/>
        <v>2013</v>
      </c>
      <c r="E3853">
        <f t="shared" si="141"/>
        <v>2</v>
      </c>
    </row>
    <row r="3854" spans="1:5" x14ac:dyDescent="0.3">
      <c r="A3854" t="s">
        <v>3979</v>
      </c>
      <c r="B3854" t="s">
        <v>127</v>
      </c>
      <c r="C3854">
        <v>165</v>
      </c>
      <c r="D3854">
        <f t="shared" si="140"/>
        <v>2013</v>
      </c>
      <c r="E3854">
        <f t="shared" si="141"/>
        <v>2</v>
      </c>
    </row>
    <row r="3855" spans="1:5" x14ac:dyDescent="0.3">
      <c r="A3855" t="s">
        <v>3980</v>
      </c>
      <c r="B3855" t="s">
        <v>127</v>
      </c>
      <c r="C3855">
        <v>166</v>
      </c>
      <c r="D3855">
        <f t="shared" si="140"/>
        <v>2013</v>
      </c>
      <c r="E3855">
        <f t="shared" si="141"/>
        <v>2</v>
      </c>
    </row>
    <row r="3856" spans="1:5" x14ac:dyDescent="0.3">
      <c r="A3856" t="s">
        <v>3981</v>
      </c>
      <c r="B3856" t="s">
        <v>127</v>
      </c>
      <c r="C3856">
        <v>165</v>
      </c>
      <c r="D3856">
        <f t="shared" si="140"/>
        <v>2013</v>
      </c>
      <c r="E3856">
        <f t="shared" si="141"/>
        <v>2</v>
      </c>
    </row>
    <row r="3857" spans="1:5" x14ac:dyDescent="0.3">
      <c r="A3857" t="s">
        <v>3982</v>
      </c>
      <c r="B3857" t="s">
        <v>127</v>
      </c>
      <c r="C3857">
        <v>163</v>
      </c>
      <c r="D3857">
        <f t="shared" si="140"/>
        <v>2013</v>
      </c>
      <c r="E3857">
        <f t="shared" si="141"/>
        <v>2</v>
      </c>
    </row>
    <row r="3858" spans="1:5" x14ac:dyDescent="0.3">
      <c r="A3858" t="s">
        <v>3983</v>
      </c>
      <c r="B3858" t="s">
        <v>127</v>
      </c>
      <c r="C3858">
        <v>167</v>
      </c>
      <c r="D3858">
        <f t="shared" si="140"/>
        <v>2013</v>
      </c>
      <c r="E3858">
        <f t="shared" si="141"/>
        <v>2</v>
      </c>
    </row>
    <row r="3859" spans="1:5" x14ac:dyDescent="0.3">
      <c r="A3859" t="s">
        <v>3984</v>
      </c>
      <c r="B3859" t="s">
        <v>127</v>
      </c>
      <c r="C3859">
        <v>168</v>
      </c>
      <c r="D3859">
        <f t="shared" si="140"/>
        <v>2013</v>
      </c>
      <c r="E3859">
        <f t="shared" si="141"/>
        <v>2</v>
      </c>
    </row>
    <row r="3860" spans="1:5" x14ac:dyDescent="0.3">
      <c r="A3860" t="s">
        <v>3985</v>
      </c>
      <c r="B3860" t="s">
        <v>127</v>
      </c>
      <c r="C3860">
        <v>168</v>
      </c>
      <c r="D3860">
        <f t="shared" si="140"/>
        <v>2013</v>
      </c>
      <c r="E3860">
        <f t="shared" si="141"/>
        <v>2</v>
      </c>
    </row>
    <row r="3861" spans="1:5" x14ac:dyDescent="0.3">
      <c r="A3861" t="s">
        <v>3986</v>
      </c>
      <c r="B3861" t="s">
        <v>127</v>
      </c>
      <c r="C3861">
        <v>167</v>
      </c>
      <c r="D3861">
        <f t="shared" si="140"/>
        <v>2013</v>
      </c>
      <c r="E3861">
        <f t="shared" si="141"/>
        <v>2</v>
      </c>
    </row>
    <row r="3862" spans="1:5" x14ac:dyDescent="0.3">
      <c r="A3862" t="s">
        <v>3987</v>
      </c>
      <c r="B3862" t="s">
        <v>127</v>
      </c>
      <c r="C3862">
        <v>172</v>
      </c>
      <c r="D3862">
        <f t="shared" si="140"/>
        <v>2013</v>
      </c>
      <c r="E3862">
        <f t="shared" si="141"/>
        <v>2</v>
      </c>
    </row>
    <row r="3863" spans="1:5" x14ac:dyDescent="0.3">
      <c r="A3863" t="s">
        <v>3988</v>
      </c>
      <c r="B3863" t="s">
        <v>127</v>
      </c>
      <c r="C3863">
        <v>175</v>
      </c>
      <c r="D3863">
        <f t="shared" si="140"/>
        <v>2013</v>
      </c>
      <c r="E3863">
        <f t="shared" si="141"/>
        <v>2</v>
      </c>
    </row>
    <row r="3864" spans="1:5" x14ac:dyDescent="0.3">
      <c r="A3864" t="s">
        <v>3989</v>
      </c>
      <c r="B3864" t="s">
        <v>127</v>
      </c>
      <c r="C3864">
        <v>176</v>
      </c>
      <c r="D3864">
        <f t="shared" si="140"/>
        <v>2013</v>
      </c>
      <c r="E3864">
        <f t="shared" si="141"/>
        <v>2</v>
      </c>
    </row>
    <row r="3865" spans="1:5" x14ac:dyDescent="0.3">
      <c r="A3865" t="s">
        <v>3990</v>
      </c>
      <c r="B3865" t="s">
        <v>127</v>
      </c>
      <c r="C3865">
        <v>179</v>
      </c>
      <c r="D3865">
        <f t="shared" si="140"/>
        <v>2013</v>
      </c>
      <c r="E3865">
        <f t="shared" si="141"/>
        <v>2</v>
      </c>
    </row>
    <row r="3866" spans="1:5" x14ac:dyDescent="0.3">
      <c r="A3866" t="s">
        <v>3991</v>
      </c>
      <c r="B3866" t="s">
        <v>127</v>
      </c>
      <c r="C3866">
        <v>182</v>
      </c>
      <c r="D3866">
        <f t="shared" si="140"/>
        <v>2013</v>
      </c>
      <c r="E3866">
        <f t="shared" si="141"/>
        <v>2</v>
      </c>
    </row>
    <row r="3867" spans="1:5" x14ac:dyDescent="0.3">
      <c r="A3867" t="s">
        <v>3992</v>
      </c>
      <c r="B3867" t="s">
        <v>127</v>
      </c>
      <c r="C3867">
        <v>179</v>
      </c>
      <c r="D3867">
        <f t="shared" si="140"/>
        <v>2013</v>
      </c>
      <c r="E3867">
        <f t="shared" si="141"/>
        <v>2</v>
      </c>
    </row>
    <row r="3868" spans="1:5" x14ac:dyDescent="0.3">
      <c r="A3868" t="s">
        <v>3993</v>
      </c>
      <c r="B3868" t="s">
        <v>127</v>
      </c>
      <c r="C3868">
        <v>180</v>
      </c>
      <c r="D3868">
        <f t="shared" si="140"/>
        <v>2013</v>
      </c>
      <c r="E3868">
        <f t="shared" si="141"/>
        <v>2</v>
      </c>
    </row>
    <row r="3869" spans="1:5" x14ac:dyDescent="0.3">
      <c r="A3869" t="s">
        <v>3994</v>
      </c>
      <c r="B3869" t="s">
        <v>127</v>
      </c>
      <c r="C3869">
        <v>181</v>
      </c>
      <c r="D3869">
        <f t="shared" si="140"/>
        <v>2013</v>
      </c>
      <c r="E3869">
        <f t="shared" si="141"/>
        <v>3</v>
      </c>
    </row>
    <row r="3870" spans="1:5" x14ac:dyDescent="0.3">
      <c r="A3870" t="s">
        <v>3995</v>
      </c>
      <c r="B3870" t="s">
        <v>127</v>
      </c>
      <c r="C3870">
        <v>179</v>
      </c>
      <c r="D3870">
        <f t="shared" si="140"/>
        <v>2013</v>
      </c>
      <c r="E3870">
        <f t="shared" si="141"/>
        <v>3</v>
      </c>
    </row>
    <row r="3871" spans="1:5" x14ac:dyDescent="0.3">
      <c r="A3871" t="s">
        <v>3996</v>
      </c>
      <c r="B3871" t="s">
        <v>127</v>
      </c>
      <c r="C3871">
        <v>175</v>
      </c>
      <c r="D3871">
        <f t="shared" si="140"/>
        <v>2013</v>
      </c>
      <c r="E3871">
        <f t="shared" si="141"/>
        <v>3</v>
      </c>
    </row>
    <row r="3872" spans="1:5" x14ac:dyDescent="0.3">
      <c r="A3872" t="s">
        <v>3997</v>
      </c>
      <c r="B3872" t="s">
        <v>127</v>
      </c>
      <c r="C3872">
        <v>171</v>
      </c>
      <c r="D3872">
        <f t="shared" si="140"/>
        <v>2013</v>
      </c>
      <c r="E3872">
        <f t="shared" si="141"/>
        <v>3</v>
      </c>
    </row>
    <row r="3873" spans="1:5" x14ac:dyDescent="0.3">
      <c r="A3873" t="s">
        <v>3998</v>
      </c>
      <c r="B3873" t="s">
        <v>127</v>
      </c>
      <c r="C3873">
        <v>168</v>
      </c>
      <c r="D3873">
        <f t="shared" si="140"/>
        <v>2013</v>
      </c>
      <c r="E3873">
        <f t="shared" si="141"/>
        <v>3</v>
      </c>
    </row>
    <row r="3874" spans="1:5" x14ac:dyDescent="0.3">
      <c r="A3874" t="s">
        <v>3999</v>
      </c>
      <c r="B3874" t="s">
        <v>127</v>
      </c>
      <c r="C3874">
        <v>169</v>
      </c>
      <c r="D3874">
        <f t="shared" si="140"/>
        <v>2013</v>
      </c>
      <c r="E3874">
        <f t="shared" si="141"/>
        <v>3</v>
      </c>
    </row>
    <row r="3875" spans="1:5" x14ac:dyDescent="0.3">
      <c r="A3875" t="s">
        <v>4000</v>
      </c>
      <c r="B3875" t="s">
        <v>127</v>
      </c>
      <c r="C3875">
        <v>170</v>
      </c>
      <c r="D3875">
        <f t="shared" si="140"/>
        <v>2013</v>
      </c>
      <c r="E3875">
        <f t="shared" si="141"/>
        <v>3</v>
      </c>
    </row>
    <row r="3876" spans="1:5" x14ac:dyDescent="0.3">
      <c r="A3876" t="s">
        <v>4001</v>
      </c>
      <c r="B3876" t="s">
        <v>127</v>
      </c>
      <c r="C3876">
        <v>170</v>
      </c>
      <c r="D3876">
        <f t="shared" si="140"/>
        <v>2013</v>
      </c>
      <c r="E3876">
        <f t="shared" si="141"/>
        <v>3</v>
      </c>
    </row>
    <row r="3877" spans="1:5" x14ac:dyDescent="0.3">
      <c r="A3877" t="s">
        <v>4002</v>
      </c>
      <c r="B3877" t="s">
        <v>127</v>
      </c>
      <c r="C3877">
        <v>171</v>
      </c>
      <c r="D3877">
        <f t="shared" si="140"/>
        <v>2013</v>
      </c>
      <c r="E3877">
        <f t="shared" si="141"/>
        <v>3</v>
      </c>
    </row>
    <row r="3878" spans="1:5" x14ac:dyDescent="0.3">
      <c r="A3878" t="s">
        <v>4003</v>
      </c>
      <c r="B3878" t="s">
        <v>127</v>
      </c>
      <c r="C3878">
        <v>171</v>
      </c>
      <c r="D3878">
        <f t="shared" si="140"/>
        <v>2013</v>
      </c>
      <c r="E3878">
        <f t="shared" si="141"/>
        <v>3</v>
      </c>
    </row>
    <row r="3879" spans="1:5" x14ac:dyDescent="0.3">
      <c r="A3879" t="s">
        <v>4004</v>
      </c>
      <c r="B3879" t="s">
        <v>127</v>
      </c>
      <c r="C3879">
        <v>176</v>
      </c>
      <c r="D3879">
        <f t="shared" si="140"/>
        <v>2013</v>
      </c>
      <c r="E3879">
        <f t="shared" si="141"/>
        <v>3</v>
      </c>
    </row>
    <row r="3880" spans="1:5" x14ac:dyDescent="0.3">
      <c r="A3880" t="s">
        <v>4005</v>
      </c>
      <c r="B3880" t="s">
        <v>127</v>
      </c>
      <c r="C3880">
        <v>179</v>
      </c>
      <c r="D3880">
        <f t="shared" si="140"/>
        <v>2013</v>
      </c>
      <c r="E3880">
        <f t="shared" si="141"/>
        <v>3</v>
      </c>
    </row>
    <row r="3881" spans="1:5" x14ac:dyDescent="0.3">
      <c r="A3881" t="s">
        <v>4006</v>
      </c>
      <c r="B3881" t="s">
        <v>127</v>
      </c>
      <c r="C3881">
        <v>184</v>
      </c>
      <c r="D3881">
        <f t="shared" si="140"/>
        <v>2013</v>
      </c>
      <c r="E3881">
        <f t="shared" si="141"/>
        <v>3</v>
      </c>
    </row>
    <row r="3882" spans="1:5" x14ac:dyDescent="0.3">
      <c r="A3882" t="s">
        <v>4007</v>
      </c>
      <c r="B3882" t="s">
        <v>127</v>
      </c>
      <c r="C3882">
        <v>181</v>
      </c>
      <c r="D3882">
        <f t="shared" si="140"/>
        <v>2013</v>
      </c>
      <c r="E3882">
        <f t="shared" si="141"/>
        <v>3</v>
      </c>
    </row>
    <row r="3883" spans="1:5" x14ac:dyDescent="0.3">
      <c r="A3883" t="s">
        <v>4008</v>
      </c>
      <c r="B3883" t="s">
        <v>127</v>
      </c>
      <c r="C3883">
        <v>183</v>
      </c>
      <c r="D3883">
        <f t="shared" si="140"/>
        <v>2013</v>
      </c>
      <c r="E3883">
        <f t="shared" si="141"/>
        <v>3</v>
      </c>
    </row>
    <row r="3884" spans="1:5" x14ac:dyDescent="0.3">
      <c r="A3884" t="s">
        <v>4009</v>
      </c>
      <c r="B3884" t="s">
        <v>127</v>
      </c>
      <c r="C3884">
        <v>184</v>
      </c>
      <c r="D3884">
        <f t="shared" si="140"/>
        <v>2013</v>
      </c>
      <c r="E3884">
        <f t="shared" si="141"/>
        <v>3</v>
      </c>
    </row>
    <row r="3885" spans="1:5" x14ac:dyDescent="0.3">
      <c r="A3885" t="s">
        <v>4010</v>
      </c>
      <c r="B3885" t="s">
        <v>127</v>
      </c>
      <c r="C3885">
        <v>184</v>
      </c>
      <c r="D3885">
        <f t="shared" si="140"/>
        <v>2013</v>
      </c>
      <c r="E3885">
        <f t="shared" si="141"/>
        <v>3</v>
      </c>
    </row>
    <row r="3886" spans="1:5" x14ac:dyDescent="0.3">
      <c r="A3886" t="s">
        <v>4011</v>
      </c>
      <c r="B3886" t="s">
        <v>127</v>
      </c>
      <c r="C3886">
        <v>182</v>
      </c>
      <c r="D3886">
        <f t="shared" si="140"/>
        <v>2013</v>
      </c>
      <c r="E3886">
        <f t="shared" si="141"/>
        <v>3</v>
      </c>
    </row>
    <row r="3887" spans="1:5" x14ac:dyDescent="0.3">
      <c r="A3887" t="s">
        <v>4012</v>
      </c>
      <c r="B3887" t="s">
        <v>127</v>
      </c>
      <c r="C3887">
        <v>184</v>
      </c>
      <c r="D3887">
        <f t="shared" si="140"/>
        <v>2013</v>
      </c>
      <c r="E3887">
        <f t="shared" si="141"/>
        <v>3</v>
      </c>
    </row>
    <row r="3888" spans="1:5" x14ac:dyDescent="0.3">
      <c r="A3888" t="s">
        <v>4013</v>
      </c>
      <c r="B3888" t="s">
        <v>127</v>
      </c>
      <c r="C3888">
        <v>182</v>
      </c>
      <c r="D3888">
        <f t="shared" si="140"/>
        <v>2013</v>
      </c>
      <c r="E3888">
        <f t="shared" si="141"/>
        <v>3</v>
      </c>
    </row>
    <row r="3889" spans="1:5" x14ac:dyDescent="0.3">
      <c r="A3889" t="s">
        <v>4014</v>
      </c>
      <c r="B3889" t="s">
        <v>127</v>
      </c>
      <c r="C3889">
        <v>182</v>
      </c>
      <c r="D3889">
        <f t="shared" si="140"/>
        <v>2013</v>
      </c>
      <c r="E3889">
        <f t="shared" si="141"/>
        <v>3</v>
      </c>
    </row>
    <row r="3890" spans="1:5" x14ac:dyDescent="0.3">
      <c r="A3890" t="s">
        <v>4015</v>
      </c>
      <c r="B3890" t="s">
        <v>127</v>
      </c>
      <c r="C3890">
        <v>177.42859999999999</v>
      </c>
      <c r="D3890">
        <f t="shared" si="140"/>
        <v>2013</v>
      </c>
      <c r="E3890">
        <f t="shared" si="141"/>
        <v>3</v>
      </c>
    </row>
    <row r="3891" spans="1:5" x14ac:dyDescent="0.3">
      <c r="A3891" t="s">
        <v>4016</v>
      </c>
      <c r="B3891" t="s">
        <v>127</v>
      </c>
      <c r="C3891">
        <v>183</v>
      </c>
      <c r="D3891">
        <f t="shared" si="140"/>
        <v>2013</v>
      </c>
      <c r="E3891">
        <f t="shared" si="141"/>
        <v>4</v>
      </c>
    </row>
    <row r="3892" spans="1:5" x14ac:dyDescent="0.3">
      <c r="A3892" t="s">
        <v>4017</v>
      </c>
      <c r="B3892" t="s">
        <v>127</v>
      </c>
      <c r="C3892">
        <v>179</v>
      </c>
      <c r="D3892">
        <f t="shared" si="140"/>
        <v>2013</v>
      </c>
      <c r="E3892">
        <f t="shared" si="141"/>
        <v>4</v>
      </c>
    </row>
    <row r="3893" spans="1:5" x14ac:dyDescent="0.3">
      <c r="A3893" t="s">
        <v>4018</v>
      </c>
      <c r="B3893" t="s">
        <v>127</v>
      </c>
      <c r="C3893">
        <v>176</v>
      </c>
      <c r="D3893">
        <f t="shared" si="140"/>
        <v>2013</v>
      </c>
      <c r="E3893">
        <f t="shared" si="141"/>
        <v>4</v>
      </c>
    </row>
    <row r="3894" spans="1:5" x14ac:dyDescent="0.3">
      <c r="A3894" t="s">
        <v>4019</v>
      </c>
      <c r="B3894" t="s">
        <v>127</v>
      </c>
      <c r="C3894">
        <v>169</v>
      </c>
      <c r="D3894">
        <f t="shared" si="140"/>
        <v>2013</v>
      </c>
      <c r="E3894">
        <f t="shared" si="141"/>
        <v>4</v>
      </c>
    </row>
    <row r="3895" spans="1:5" x14ac:dyDescent="0.3">
      <c r="A3895" t="s">
        <v>4020</v>
      </c>
      <c r="B3895" t="s">
        <v>127</v>
      </c>
      <c r="C3895">
        <v>168</v>
      </c>
      <c r="D3895">
        <f t="shared" si="140"/>
        <v>2013</v>
      </c>
      <c r="E3895">
        <f t="shared" si="141"/>
        <v>4</v>
      </c>
    </row>
    <row r="3896" spans="1:5" x14ac:dyDescent="0.3">
      <c r="A3896" t="s">
        <v>4021</v>
      </c>
      <c r="B3896" t="s">
        <v>127</v>
      </c>
      <c r="C3896">
        <v>165</v>
      </c>
      <c r="D3896">
        <f t="shared" si="140"/>
        <v>2013</v>
      </c>
      <c r="E3896">
        <f t="shared" si="141"/>
        <v>4</v>
      </c>
    </row>
    <row r="3897" spans="1:5" x14ac:dyDescent="0.3">
      <c r="A3897" t="s">
        <v>4022</v>
      </c>
      <c r="B3897" t="s">
        <v>127</v>
      </c>
      <c r="C3897">
        <v>163</v>
      </c>
      <c r="D3897">
        <f t="shared" si="140"/>
        <v>2013</v>
      </c>
      <c r="E3897">
        <f t="shared" si="141"/>
        <v>4</v>
      </c>
    </row>
    <row r="3898" spans="1:5" x14ac:dyDescent="0.3">
      <c r="A3898" t="s">
        <v>4023</v>
      </c>
      <c r="B3898" t="s">
        <v>127</v>
      </c>
      <c r="C3898">
        <v>159</v>
      </c>
      <c r="D3898">
        <f t="shared" si="140"/>
        <v>2013</v>
      </c>
      <c r="E3898">
        <f t="shared" si="141"/>
        <v>4</v>
      </c>
    </row>
    <row r="3899" spans="1:5" x14ac:dyDescent="0.3">
      <c r="A3899" t="s">
        <v>4024</v>
      </c>
      <c r="B3899" t="s">
        <v>127</v>
      </c>
      <c r="C3899">
        <v>157</v>
      </c>
      <c r="D3899">
        <f t="shared" si="140"/>
        <v>2013</v>
      </c>
      <c r="E3899">
        <f t="shared" si="141"/>
        <v>4</v>
      </c>
    </row>
    <row r="3900" spans="1:5" x14ac:dyDescent="0.3">
      <c r="A3900" t="s">
        <v>4025</v>
      </c>
      <c r="B3900" t="s">
        <v>127</v>
      </c>
      <c r="C3900">
        <v>161</v>
      </c>
      <c r="D3900">
        <f t="shared" si="140"/>
        <v>2013</v>
      </c>
      <c r="E3900">
        <f t="shared" si="141"/>
        <v>4</v>
      </c>
    </row>
    <row r="3901" spans="1:5" x14ac:dyDescent="0.3">
      <c r="A3901" t="s">
        <v>4026</v>
      </c>
      <c r="B3901" t="s">
        <v>127</v>
      </c>
      <c r="C3901">
        <v>165</v>
      </c>
      <c r="D3901">
        <f t="shared" si="140"/>
        <v>2013</v>
      </c>
      <c r="E3901">
        <f t="shared" si="141"/>
        <v>4</v>
      </c>
    </row>
    <row r="3902" spans="1:5" x14ac:dyDescent="0.3">
      <c r="A3902" t="s">
        <v>4027</v>
      </c>
      <c r="B3902" t="s">
        <v>127</v>
      </c>
      <c r="C3902">
        <v>163</v>
      </c>
      <c r="D3902">
        <f t="shared" si="140"/>
        <v>2013</v>
      </c>
      <c r="E3902">
        <f t="shared" si="141"/>
        <v>4</v>
      </c>
    </row>
    <row r="3903" spans="1:5" x14ac:dyDescent="0.3">
      <c r="A3903" t="s">
        <v>4028</v>
      </c>
      <c r="B3903" t="s">
        <v>127</v>
      </c>
      <c r="C3903">
        <v>164</v>
      </c>
      <c r="D3903">
        <f t="shared" si="140"/>
        <v>2013</v>
      </c>
      <c r="E3903">
        <f t="shared" si="141"/>
        <v>4</v>
      </c>
    </row>
    <row r="3904" spans="1:5" x14ac:dyDescent="0.3">
      <c r="A3904" t="s">
        <v>4029</v>
      </c>
      <c r="B3904" t="s">
        <v>127</v>
      </c>
      <c r="C3904">
        <v>170</v>
      </c>
      <c r="D3904">
        <f t="shared" si="140"/>
        <v>2013</v>
      </c>
      <c r="E3904">
        <f t="shared" si="141"/>
        <v>4</v>
      </c>
    </row>
    <row r="3905" spans="1:5" x14ac:dyDescent="0.3">
      <c r="A3905" t="s">
        <v>4030</v>
      </c>
      <c r="B3905" t="s">
        <v>127</v>
      </c>
      <c r="C3905">
        <v>171</v>
      </c>
      <c r="D3905">
        <f t="shared" si="140"/>
        <v>2013</v>
      </c>
      <c r="E3905">
        <f t="shared" si="141"/>
        <v>4</v>
      </c>
    </row>
    <row r="3906" spans="1:5" x14ac:dyDescent="0.3">
      <c r="A3906" t="s">
        <v>4031</v>
      </c>
      <c r="B3906" t="s">
        <v>127</v>
      </c>
      <c r="C3906">
        <v>171</v>
      </c>
      <c r="D3906">
        <f t="shared" si="140"/>
        <v>2013</v>
      </c>
      <c r="E3906">
        <f t="shared" si="141"/>
        <v>4</v>
      </c>
    </row>
    <row r="3907" spans="1:5" x14ac:dyDescent="0.3">
      <c r="A3907" t="s">
        <v>4032</v>
      </c>
      <c r="B3907" t="s">
        <v>127</v>
      </c>
      <c r="C3907">
        <v>170</v>
      </c>
      <c r="D3907">
        <f t="shared" ref="D3907:D3970" si="142">YEAR(A3907)</f>
        <v>2013</v>
      </c>
      <c r="E3907">
        <f t="shared" ref="E3907:E3970" si="143">MONTH(A3907)</f>
        <v>4</v>
      </c>
    </row>
    <row r="3908" spans="1:5" x14ac:dyDescent="0.3">
      <c r="A3908" t="s">
        <v>4033</v>
      </c>
      <c r="B3908" t="s">
        <v>127</v>
      </c>
      <c r="C3908">
        <v>171</v>
      </c>
      <c r="D3908">
        <f t="shared" si="142"/>
        <v>2013</v>
      </c>
      <c r="E3908">
        <f t="shared" si="143"/>
        <v>4</v>
      </c>
    </row>
    <row r="3909" spans="1:5" x14ac:dyDescent="0.3">
      <c r="A3909" t="s">
        <v>4034</v>
      </c>
      <c r="B3909" t="s">
        <v>127</v>
      </c>
      <c r="C3909">
        <v>170</v>
      </c>
      <c r="D3909">
        <f t="shared" si="142"/>
        <v>2013</v>
      </c>
      <c r="E3909">
        <f t="shared" si="143"/>
        <v>4</v>
      </c>
    </row>
    <row r="3910" spans="1:5" x14ac:dyDescent="0.3">
      <c r="A3910" t="s">
        <v>4035</v>
      </c>
      <c r="B3910" t="s">
        <v>127</v>
      </c>
      <c r="C3910">
        <v>173</v>
      </c>
      <c r="D3910">
        <f t="shared" si="142"/>
        <v>2013</v>
      </c>
      <c r="E3910">
        <f t="shared" si="143"/>
        <v>4</v>
      </c>
    </row>
    <row r="3911" spans="1:5" x14ac:dyDescent="0.3">
      <c r="A3911" t="s">
        <v>4036</v>
      </c>
      <c r="B3911" t="s">
        <v>127</v>
      </c>
      <c r="C3911">
        <v>171</v>
      </c>
      <c r="D3911">
        <f t="shared" si="142"/>
        <v>2013</v>
      </c>
      <c r="E3911">
        <f t="shared" si="143"/>
        <v>4</v>
      </c>
    </row>
    <row r="3912" spans="1:5" x14ac:dyDescent="0.3">
      <c r="A3912" t="s">
        <v>4037</v>
      </c>
      <c r="B3912" t="s">
        <v>127</v>
      </c>
      <c r="C3912">
        <v>169</v>
      </c>
      <c r="D3912">
        <f t="shared" si="142"/>
        <v>2013</v>
      </c>
      <c r="E3912">
        <f t="shared" si="143"/>
        <v>4</v>
      </c>
    </row>
    <row r="3913" spans="1:5" x14ac:dyDescent="0.3">
      <c r="A3913" t="s">
        <v>4038</v>
      </c>
      <c r="B3913" t="s">
        <v>127</v>
      </c>
      <c r="C3913">
        <v>169</v>
      </c>
      <c r="D3913">
        <f t="shared" si="142"/>
        <v>2013</v>
      </c>
      <c r="E3913">
        <f t="shared" si="143"/>
        <v>5</v>
      </c>
    </row>
    <row r="3914" spans="1:5" x14ac:dyDescent="0.3">
      <c r="A3914" t="s">
        <v>4039</v>
      </c>
      <c r="B3914" t="s">
        <v>127</v>
      </c>
      <c r="C3914">
        <v>167</v>
      </c>
      <c r="D3914">
        <f t="shared" si="142"/>
        <v>2013</v>
      </c>
      <c r="E3914">
        <f t="shared" si="143"/>
        <v>5</v>
      </c>
    </row>
    <row r="3915" spans="1:5" x14ac:dyDescent="0.3">
      <c r="A3915" t="s">
        <v>4040</v>
      </c>
      <c r="B3915" t="s">
        <v>127</v>
      </c>
      <c r="C3915">
        <v>163</v>
      </c>
      <c r="D3915">
        <f t="shared" si="142"/>
        <v>2013</v>
      </c>
      <c r="E3915">
        <f t="shared" si="143"/>
        <v>5</v>
      </c>
    </row>
    <row r="3916" spans="1:5" x14ac:dyDescent="0.3">
      <c r="A3916" t="s">
        <v>4041</v>
      </c>
      <c r="B3916" t="s">
        <v>127</v>
      </c>
      <c r="C3916">
        <v>162</v>
      </c>
      <c r="D3916">
        <f t="shared" si="142"/>
        <v>2013</v>
      </c>
      <c r="E3916">
        <f t="shared" si="143"/>
        <v>5</v>
      </c>
    </row>
    <row r="3917" spans="1:5" x14ac:dyDescent="0.3">
      <c r="A3917" t="s">
        <v>4042</v>
      </c>
      <c r="B3917" t="s">
        <v>127</v>
      </c>
      <c r="C3917">
        <v>161</v>
      </c>
      <c r="D3917">
        <f t="shared" si="142"/>
        <v>2013</v>
      </c>
      <c r="E3917">
        <f t="shared" si="143"/>
        <v>5</v>
      </c>
    </row>
    <row r="3918" spans="1:5" x14ac:dyDescent="0.3">
      <c r="A3918" t="s">
        <v>4043</v>
      </c>
      <c r="B3918" t="s">
        <v>127</v>
      </c>
      <c r="C3918">
        <v>161</v>
      </c>
      <c r="D3918">
        <f t="shared" si="142"/>
        <v>2013</v>
      </c>
      <c r="E3918">
        <f t="shared" si="143"/>
        <v>5</v>
      </c>
    </row>
    <row r="3919" spans="1:5" x14ac:dyDescent="0.3">
      <c r="A3919" t="s">
        <v>4044</v>
      </c>
      <c r="B3919" t="s">
        <v>127</v>
      </c>
      <c r="C3919">
        <v>156</v>
      </c>
      <c r="D3919">
        <f t="shared" si="142"/>
        <v>2013</v>
      </c>
      <c r="E3919">
        <f t="shared" si="143"/>
        <v>5</v>
      </c>
    </row>
    <row r="3920" spans="1:5" x14ac:dyDescent="0.3">
      <c r="A3920" t="s">
        <v>4045</v>
      </c>
      <c r="B3920" t="s">
        <v>127</v>
      </c>
      <c r="C3920">
        <v>153</v>
      </c>
      <c r="D3920">
        <f t="shared" si="142"/>
        <v>2013</v>
      </c>
      <c r="E3920">
        <f t="shared" si="143"/>
        <v>5</v>
      </c>
    </row>
    <row r="3921" spans="1:5" x14ac:dyDescent="0.3">
      <c r="A3921" t="s">
        <v>4046</v>
      </c>
      <c r="B3921" t="s">
        <v>127</v>
      </c>
      <c r="C3921">
        <v>155</v>
      </c>
      <c r="D3921">
        <f t="shared" si="142"/>
        <v>2013</v>
      </c>
      <c r="E3921">
        <f t="shared" si="143"/>
        <v>5</v>
      </c>
    </row>
    <row r="3922" spans="1:5" x14ac:dyDescent="0.3">
      <c r="A3922" t="s">
        <v>4047</v>
      </c>
      <c r="B3922" t="s">
        <v>127</v>
      </c>
      <c r="C3922">
        <v>151</v>
      </c>
      <c r="D3922">
        <f t="shared" si="142"/>
        <v>2013</v>
      </c>
      <c r="E3922">
        <f t="shared" si="143"/>
        <v>5</v>
      </c>
    </row>
    <row r="3923" spans="1:5" x14ac:dyDescent="0.3">
      <c r="A3923" t="s">
        <v>4048</v>
      </c>
      <c r="B3923" t="s">
        <v>127</v>
      </c>
      <c r="C3923">
        <v>157</v>
      </c>
      <c r="D3923">
        <f t="shared" si="142"/>
        <v>2013</v>
      </c>
      <c r="E3923">
        <f t="shared" si="143"/>
        <v>5</v>
      </c>
    </row>
    <row r="3924" spans="1:5" x14ac:dyDescent="0.3">
      <c r="A3924" t="s">
        <v>4049</v>
      </c>
      <c r="B3924" t="s">
        <v>127</v>
      </c>
      <c r="C3924">
        <v>166</v>
      </c>
      <c r="D3924">
        <f t="shared" si="142"/>
        <v>2013</v>
      </c>
      <c r="E3924">
        <f t="shared" si="143"/>
        <v>5</v>
      </c>
    </row>
    <row r="3925" spans="1:5" x14ac:dyDescent="0.3">
      <c r="A3925" t="s">
        <v>4050</v>
      </c>
      <c r="B3925" t="s">
        <v>127</v>
      </c>
      <c r="C3925">
        <v>163</v>
      </c>
      <c r="D3925">
        <f t="shared" si="142"/>
        <v>2013</v>
      </c>
      <c r="E3925">
        <f t="shared" si="143"/>
        <v>5</v>
      </c>
    </row>
    <row r="3926" spans="1:5" x14ac:dyDescent="0.3">
      <c r="A3926" t="s">
        <v>4051</v>
      </c>
      <c r="B3926" t="s">
        <v>127</v>
      </c>
      <c r="C3926">
        <v>166</v>
      </c>
      <c r="D3926">
        <f t="shared" si="142"/>
        <v>2013</v>
      </c>
      <c r="E3926">
        <f t="shared" si="143"/>
        <v>5</v>
      </c>
    </row>
    <row r="3927" spans="1:5" x14ac:dyDescent="0.3">
      <c r="A3927" t="s">
        <v>4052</v>
      </c>
      <c r="B3927" t="s">
        <v>127</v>
      </c>
      <c r="C3927">
        <v>170</v>
      </c>
      <c r="D3927">
        <f t="shared" si="142"/>
        <v>2013</v>
      </c>
      <c r="E3927">
        <f t="shared" si="143"/>
        <v>5</v>
      </c>
    </row>
    <row r="3928" spans="1:5" x14ac:dyDescent="0.3">
      <c r="A3928" t="s">
        <v>4053</v>
      </c>
      <c r="B3928" t="s">
        <v>127</v>
      </c>
      <c r="C3928">
        <v>165</v>
      </c>
      <c r="D3928">
        <f t="shared" si="142"/>
        <v>2013</v>
      </c>
      <c r="E3928">
        <f t="shared" si="143"/>
        <v>5</v>
      </c>
    </row>
    <row r="3929" spans="1:5" x14ac:dyDescent="0.3">
      <c r="A3929" t="s">
        <v>4054</v>
      </c>
      <c r="B3929" t="s">
        <v>127</v>
      </c>
      <c r="C3929">
        <v>176</v>
      </c>
      <c r="D3929">
        <f t="shared" si="142"/>
        <v>2013</v>
      </c>
      <c r="E3929">
        <f t="shared" si="143"/>
        <v>5</v>
      </c>
    </row>
    <row r="3930" spans="1:5" x14ac:dyDescent="0.3">
      <c r="A3930" t="s">
        <v>4055</v>
      </c>
      <c r="B3930" t="s">
        <v>127</v>
      </c>
      <c r="C3930">
        <v>178</v>
      </c>
      <c r="D3930">
        <f t="shared" si="142"/>
        <v>2013</v>
      </c>
      <c r="E3930">
        <f t="shared" si="143"/>
        <v>5</v>
      </c>
    </row>
    <row r="3931" spans="1:5" x14ac:dyDescent="0.3">
      <c r="A3931" t="s">
        <v>4056</v>
      </c>
      <c r="B3931" t="s">
        <v>127</v>
      </c>
      <c r="C3931">
        <v>178</v>
      </c>
      <c r="D3931">
        <f t="shared" si="142"/>
        <v>2013</v>
      </c>
      <c r="E3931">
        <f t="shared" si="143"/>
        <v>5</v>
      </c>
    </row>
    <row r="3932" spans="1:5" x14ac:dyDescent="0.3">
      <c r="A3932" t="s">
        <v>4057</v>
      </c>
      <c r="B3932" t="s">
        <v>127</v>
      </c>
      <c r="C3932">
        <v>182</v>
      </c>
      <c r="D3932">
        <f t="shared" si="142"/>
        <v>2013</v>
      </c>
      <c r="E3932">
        <f t="shared" si="143"/>
        <v>5</v>
      </c>
    </row>
    <row r="3933" spans="1:5" x14ac:dyDescent="0.3">
      <c r="A3933" t="s">
        <v>4058</v>
      </c>
      <c r="B3933" t="s">
        <v>127</v>
      </c>
      <c r="C3933">
        <v>192</v>
      </c>
      <c r="D3933">
        <f t="shared" si="142"/>
        <v>2013</v>
      </c>
      <c r="E3933">
        <f t="shared" si="143"/>
        <v>5</v>
      </c>
    </row>
    <row r="3934" spans="1:5" x14ac:dyDescent="0.3">
      <c r="A3934" t="s">
        <v>4059</v>
      </c>
      <c r="B3934" t="s">
        <v>127</v>
      </c>
      <c r="C3934">
        <v>192</v>
      </c>
      <c r="D3934">
        <f t="shared" si="142"/>
        <v>2013</v>
      </c>
      <c r="E3934">
        <f t="shared" si="143"/>
        <v>5</v>
      </c>
    </row>
    <row r="3935" spans="1:5" x14ac:dyDescent="0.3">
      <c r="A3935" t="s">
        <v>4060</v>
      </c>
      <c r="B3935" t="s">
        <v>127</v>
      </c>
      <c r="C3935">
        <v>196</v>
      </c>
      <c r="D3935">
        <f t="shared" si="142"/>
        <v>2013</v>
      </c>
      <c r="E3935">
        <f t="shared" si="143"/>
        <v>5</v>
      </c>
    </row>
    <row r="3936" spans="1:5" x14ac:dyDescent="0.3">
      <c r="A3936" t="s">
        <v>4061</v>
      </c>
      <c r="B3936" t="s">
        <v>127</v>
      </c>
      <c r="C3936">
        <v>199</v>
      </c>
      <c r="D3936">
        <f t="shared" si="142"/>
        <v>2013</v>
      </c>
      <c r="E3936">
        <f t="shared" si="143"/>
        <v>6</v>
      </c>
    </row>
    <row r="3937" spans="1:5" x14ac:dyDescent="0.3">
      <c r="A3937" t="s">
        <v>4062</v>
      </c>
      <c r="B3937" t="s">
        <v>127</v>
      </c>
      <c r="C3937">
        <v>196</v>
      </c>
      <c r="D3937">
        <f t="shared" si="142"/>
        <v>2013</v>
      </c>
      <c r="E3937">
        <f t="shared" si="143"/>
        <v>6</v>
      </c>
    </row>
    <row r="3938" spans="1:5" x14ac:dyDescent="0.3">
      <c r="A3938" t="s">
        <v>4063</v>
      </c>
      <c r="B3938" t="s">
        <v>127</v>
      </c>
      <c r="C3938">
        <v>200</v>
      </c>
      <c r="D3938">
        <f t="shared" si="142"/>
        <v>2013</v>
      </c>
      <c r="E3938">
        <f t="shared" si="143"/>
        <v>6</v>
      </c>
    </row>
    <row r="3939" spans="1:5" x14ac:dyDescent="0.3">
      <c r="A3939" t="s">
        <v>4064</v>
      </c>
      <c r="B3939" t="s">
        <v>127</v>
      </c>
      <c r="C3939">
        <v>206</v>
      </c>
      <c r="D3939">
        <f t="shared" si="142"/>
        <v>2013</v>
      </c>
      <c r="E3939">
        <f t="shared" si="143"/>
        <v>6</v>
      </c>
    </row>
    <row r="3940" spans="1:5" x14ac:dyDescent="0.3">
      <c r="A3940" t="s">
        <v>4065</v>
      </c>
      <c r="B3940" t="s">
        <v>127</v>
      </c>
      <c r="C3940">
        <v>196</v>
      </c>
      <c r="D3940">
        <f t="shared" si="142"/>
        <v>2013</v>
      </c>
      <c r="E3940">
        <f t="shared" si="143"/>
        <v>6</v>
      </c>
    </row>
    <row r="3941" spans="1:5" x14ac:dyDescent="0.3">
      <c r="A3941" t="s">
        <v>4066</v>
      </c>
      <c r="B3941" t="s">
        <v>127</v>
      </c>
      <c r="C3941">
        <v>199</v>
      </c>
      <c r="D3941">
        <f t="shared" si="142"/>
        <v>2013</v>
      </c>
      <c r="E3941">
        <f t="shared" si="143"/>
        <v>6</v>
      </c>
    </row>
    <row r="3942" spans="1:5" x14ac:dyDescent="0.3">
      <c r="A3942" t="s">
        <v>4067</v>
      </c>
      <c r="B3942" t="s">
        <v>127</v>
      </c>
      <c r="C3942">
        <v>217</v>
      </c>
      <c r="D3942">
        <f t="shared" si="142"/>
        <v>2013</v>
      </c>
      <c r="E3942">
        <f t="shared" si="143"/>
        <v>6</v>
      </c>
    </row>
    <row r="3943" spans="1:5" x14ac:dyDescent="0.3">
      <c r="A3943" t="s">
        <v>4068</v>
      </c>
      <c r="B3943" t="s">
        <v>127</v>
      </c>
      <c r="C3943">
        <v>207</v>
      </c>
      <c r="D3943">
        <f t="shared" si="142"/>
        <v>2013</v>
      </c>
      <c r="E3943">
        <f t="shared" si="143"/>
        <v>6</v>
      </c>
    </row>
    <row r="3944" spans="1:5" x14ac:dyDescent="0.3">
      <c r="A3944" t="s">
        <v>4069</v>
      </c>
      <c r="B3944" t="s">
        <v>127</v>
      </c>
      <c r="C3944">
        <v>192</v>
      </c>
      <c r="D3944">
        <f t="shared" si="142"/>
        <v>2013</v>
      </c>
      <c r="E3944">
        <f t="shared" si="143"/>
        <v>6</v>
      </c>
    </row>
    <row r="3945" spans="1:5" x14ac:dyDescent="0.3">
      <c r="A3945" t="s">
        <v>4070</v>
      </c>
      <c r="B3945" t="s">
        <v>127</v>
      </c>
      <c r="C3945">
        <v>197</v>
      </c>
      <c r="D3945">
        <f t="shared" si="142"/>
        <v>2013</v>
      </c>
      <c r="E3945">
        <f t="shared" si="143"/>
        <v>6</v>
      </c>
    </row>
    <row r="3946" spans="1:5" x14ac:dyDescent="0.3">
      <c r="A3946" t="s">
        <v>4071</v>
      </c>
      <c r="B3946" t="s">
        <v>127</v>
      </c>
      <c r="C3946">
        <v>195</v>
      </c>
      <c r="D3946">
        <f t="shared" si="142"/>
        <v>2013</v>
      </c>
      <c r="E3946">
        <f t="shared" si="143"/>
        <v>6</v>
      </c>
    </row>
    <row r="3947" spans="1:5" x14ac:dyDescent="0.3">
      <c r="A3947" t="s">
        <v>4072</v>
      </c>
      <c r="B3947" t="s">
        <v>127</v>
      </c>
      <c r="C3947">
        <v>201</v>
      </c>
      <c r="D3947">
        <f t="shared" si="142"/>
        <v>2013</v>
      </c>
      <c r="E3947">
        <f t="shared" si="143"/>
        <v>6</v>
      </c>
    </row>
    <row r="3948" spans="1:5" x14ac:dyDescent="0.3">
      <c r="A3948" t="s">
        <v>4073</v>
      </c>
      <c r="B3948" t="s">
        <v>127</v>
      </c>
      <c r="C3948">
        <v>211</v>
      </c>
      <c r="D3948">
        <f t="shared" si="142"/>
        <v>2013</v>
      </c>
      <c r="E3948">
        <f t="shared" si="143"/>
        <v>6</v>
      </c>
    </row>
    <row r="3949" spans="1:5" x14ac:dyDescent="0.3">
      <c r="A3949" t="s">
        <v>4074</v>
      </c>
      <c r="B3949" t="s">
        <v>127</v>
      </c>
      <c r="C3949">
        <v>230</v>
      </c>
      <c r="D3949">
        <f t="shared" si="142"/>
        <v>2013</v>
      </c>
      <c r="E3949">
        <f t="shared" si="143"/>
        <v>6</v>
      </c>
    </row>
    <row r="3950" spans="1:5" x14ac:dyDescent="0.3">
      <c r="A3950" t="s">
        <v>4075</v>
      </c>
      <c r="B3950" t="s">
        <v>127</v>
      </c>
      <c r="C3950">
        <v>230</v>
      </c>
      <c r="D3950">
        <f t="shared" si="142"/>
        <v>2013</v>
      </c>
      <c r="E3950">
        <f t="shared" si="143"/>
        <v>6</v>
      </c>
    </row>
    <row r="3951" spans="1:5" x14ac:dyDescent="0.3">
      <c r="A3951" t="s">
        <v>4076</v>
      </c>
      <c r="B3951" t="s">
        <v>127</v>
      </c>
      <c r="C3951">
        <v>247</v>
      </c>
      <c r="D3951">
        <f t="shared" si="142"/>
        <v>2013</v>
      </c>
      <c r="E3951">
        <f t="shared" si="143"/>
        <v>6</v>
      </c>
    </row>
    <row r="3952" spans="1:5" x14ac:dyDescent="0.3">
      <c r="A3952" t="s">
        <v>4077</v>
      </c>
      <c r="B3952" t="s">
        <v>127</v>
      </c>
      <c r="C3952">
        <v>242</v>
      </c>
      <c r="D3952">
        <f t="shared" si="142"/>
        <v>2013</v>
      </c>
      <c r="E3952">
        <f t="shared" si="143"/>
        <v>6</v>
      </c>
    </row>
    <row r="3953" spans="1:5" x14ac:dyDescent="0.3">
      <c r="A3953" t="s">
        <v>4078</v>
      </c>
      <c r="B3953" t="s">
        <v>127</v>
      </c>
      <c r="C3953">
        <v>235</v>
      </c>
      <c r="D3953">
        <f t="shared" si="142"/>
        <v>2013</v>
      </c>
      <c r="E3953">
        <f t="shared" si="143"/>
        <v>6</v>
      </c>
    </row>
    <row r="3954" spans="1:5" x14ac:dyDescent="0.3">
      <c r="A3954" t="s">
        <v>4079</v>
      </c>
      <c r="B3954" t="s">
        <v>127</v>
      </c>
      <c r="C3954">
        <v>230</v>
      </c>
      <c r="D3954">
        <f t="shared" si="142"/>
        <v>2013</v>
      </c>
      <c r="E3954">
        <f t="shared" si="143"/>
        <v>6</v>
      </c>
    </row>
    <row r="3955" spans="1:5" x14ac:dyDescent="0.3">
      <c r="A3955" t="s">
        <v>4080</v>
      </c>
      <c r="B3955" t="s">
        <v>127</v>
      </c>
      <c r="C3955">
        <v>223</v>
      </c>
      <c r="D3955">
        <f t="shared" si="142"/>
        <v>2013</v>
      </c>
      <c r="E3955">
        <f t="shared" si="143"/>
        <v>6</v>
      </c>
    </row>
    <row r="3956" spans="1:5" x14ac:dyDescent="0.3">
      <c r="A3956" t="s">
        <v>4081</v>
      </c>
      <c r="B3956" t="s">
        <v>127</v>
      </c>
      <c r="C3956">
        <v>212.65</v>
      </c>
      <c r="D3956">
        <f t="shared" si="142"/>
        <v>2013</v>
      </c>
      <c r="E3956">
        <f t="shared" si="143"/>
        <v>6</v>
      </c>
    </row>
    <row r="3957" spans="1:5" x14ac:dyDescent="0.3">
      <c r="A3957" t="s">
        <v>4082</v>
      </c>
      <c r="B3957" t="s">
        <v>127</v>
      </c>
      <c r="C3957">
        <v>213</v>
      </c>
      <c r="D3957">
        <f t="shared" si="142"/>
        <v>2013</v>
      </c>
      <c r="E3957">
        <f t="shared" si="143"/>
        <v>7</v>
      </c>
    </row>
    <row r="3958" spans="1:5" x14ac:dyDescent="0.3">
      <c r="A3958" t="s">
        <v>4083</v>
      </c>
      <c r="B3958" t="s">
        <v>127</v>
      </c>
      <c r="C3958">
        <v>211</v>
      </c>
      <c r="D3958">
        <f t="shared" si="142"/>
        <v>2013</v>
      </c>
      <c r="E3958">
        <f t="shared" si="143"/>
        <v>7</v>
      </c>
    </row>
    <row r="3959" spans="1:5" x14ac:dyDescent="0.3">
      <c r="A3959" t="s">
        <v>4084</v>
      </c>
      <c r="B3959" t="s">
        <v>127</v>
      </c>
      <c r="C3959">
        <v>214</v>
      </c>
      <c r="D3959">
        <f t="shared" si="142"/>
        <v>2013</v>
      </c>
      <c r="E3959">
        <f t="shared" si="143"/>
        <v>7</v>
      </c>
    </row>
    <row r="3960" spans="1:5" x14ac:dyDescent="0.3">
      <c r="A3960" t="s">
        <v>4085</v>
      </c>
      <c r="B3960" t="s">
        <v>127</v>
      </c>
      <c r="C3960">
        <v>214</v>
      </c>
      <c r="D3960">
        <f t="shared" si="142"/>
        <v>2013</v>
      </c>
      <c r="E3960">
        <f t="shared" si="143"/>
        <v>7</v>
      </c>
    </row>
    <row r="3961" spans="1:5" x14ac:dyDescent="0.3">
      <c r="A3961" t="s">
        <v>4086</v>
      </c>
      <c r="B3961" t="s">
        <v>127</v>
      </c>
      <c r="C3961">
        <v>211</v>
      </c>
      <c r="D3961">
        <f t="shared" si="142"/>
        <v>2013</v>
      </c>
      <c r="E3961">
        <f t="shared" si="143"/>
        <v>7</v>
      </c>
    </row>
    <row r="3962" spans="1:5" x14ac:dyDescent="0.3">
      <c r="A3962" t="s">
        <v>4087</v>
      </c>
      <c r="B3962" t="s">
        <v>127</v>
      </c>
      <c r="C3962">
        <v>217</v>
      </c>
      <c r="D3962">
        <f t="shared" si="142"/>
        <v>2013</v>
      </c>
      <c r="E3962">
        <f t="shared" si="143"/>
        <v>7</v>
      </c>
    </row>
    <row r="3963" spans="1:5" x14ac:dyDescent="0.3">
      <c r="A3963" t="s">
        <v>4088</v>
      </c>
      <c r="B3963" t="s">
        <v>127</v>
      </c>
      <c r="C3963">
        <v>215</v>
      </c>
      <c r="D3963">
        <f t="shared" si="142"/>
        <v>2013</v>
      </c>
      <c r="E3963">
        <f t="shared" si="143"/>
        <v>7</v>
      </c>
    </row>
    <row r="3964" spans="1:5" x14ac:dyDescent="0.3">
      <c r="A3964" t="s">
        <v>4089</v>
      </c>
      <c r="B3964" t="s">
        <v>127</v>
      </c>
      <c r="C3964">
        <v>211</v>
      </c>
      <c r="D3964">
        <f t="shared" si="142"/>
        <v>2013</v>
      </c>
      <c r="E3964">
        <f t="shared" si="143"/>
        <v>7</v>
      </c>
    </row>
    <row r="3965" spans="1:5" x14ac:dyDescent="0.3">
      <c r="A3965" t="s">
        <v>4090</v>
      </c>
      <c r="B3965" t="s">
        <v>127</v>
      </c>
      <c r="C3965">
        <v>219</v>
      </c>
      <c r="D3965">
        <f t="shared" si="142"/>
        <v>2013</v>
      </c>
      <c r="E3965">
        <f t="shared" si="143"/>
        <v>7</v>
      </c>
    </row>
    <row r="3966" spans="1:5" x14ac:dyDescent="0.3">
      <c r="A3966" t="s">
        <v>4091</v>
      </c>
      <c r="B3966" t="s">
        <v>127</v>
      </c>
      <c r="C3966">
        <v>212</v>
      </c>
      <c r="D3966">
        <f t="shared" si="142"/>
        <v>2013</v>
      </c>
      <c r="E3966">
        <f t="shared" si="143"/>
        <v>7</v>
      </c>
    </row>
    <row r="3967" spans="1:5" x14ac:dyDescent="0.3">
      <c r="A3967" t="s">
        <v>4092</v>
      </c>
      <c r="B3967" t="s">
        <v>127</v>
      </c>
      <c r="C3967">
        <v>204</v>
      </c>
      <c r="D3967">
        <f t="shared" si="142"/>
        <v>2013</v>
      </c>
      <c r="E3967">
        <f t="shared" si="143"/>
        <v>7</v>
      </c>
    </row>
    <row r="3968" spans="1:5" x14ac:dyDescent="0.3">
      <c r="A3968" t="s">
        <v>4093</v>
      </c>
      <c r="B3968" t="s">
        <v>127</v>
      </c>
      <c r="C3968">
        <v>197</v>
      </c>
      <c r="D3968">
        <f t="shared" si="142"/>
        <v>2013</v>
      </c>
      <c r="E3968">
        <f t="shared" si="143"/>
        <v>7</v>
      </c>
    </row>
    <row r="3969" spans="1:5" x14ac:dyDescent="0.3">
      <c r="A3969" t="s">
        <v>4094</v>
      </c>
      <c r="B3969" t="s">
        <v>127</v>
      </c>
      <c r="C3969">
        <v>188</v>
      </c>
      <c r="D3969">
        <f t="shared" si="142"/>
        <v>2013</v>
      </c>
      <c r="E3969">
        <f t="shared" si="143"/>
        <v>7</v>
      </c>
    </row>
    <row r="3970" spans="1:5" x14ac:dyDescent="0.3">
      <c r="A3970" t="s">
        <v>4095</v>
      </c>
      <c r="B3970" t="s">
        <v>127</v>
      </c>
      <c r="C3970">
        <v>181</v>
      </c>
      <c r="D3970">
        <f t="shared" si="142"/>
        <v>2013</v>
      </c>
      <c r="E3970">
        <f t="shared" si="143"/>
        <v>7</v>
      </c>
    </row>
    <row r="3971" spans="1:5" x14ac:dyDescent="0.3">
      <c r="A3971" t="s">
        <v>4096</v>
      </c>
      <c r="B3971" t="s">
        <v>127</v>
      </c>
      <c r="C3971">
        <v>185</v>
      </c>
      <c r="D3971">
        <f t="shared" ref="D3971:D4034" si="144">YEAR(A3971)</f>
        <v>2013</v>
      </c>
      <c r="E3971">
        <f t="shared" ref="E3971:E4034" si="145">MONTH(A3971)</f>
        <v>7</v>
      </c>
    </row>
    <row r="3972" spans="1:5" x14ac:dyDescent="0.3">
      <c r="A3972" t="s">
        <v>4097</v>
      </c>
      <c r="B3972" t="s">
        <v>127</v>
      </c>
      <c r="C3972">
        <v>186</v>
      </c>
      <c r="D3972">
        <f t="shared" si="144"/>
        <v>2013</v>
      </c>
      <c r="E3972">
        <f t="shared" si="145"/>
        <v>7</v>
      </c>
    </row>
    <row r="3973" spans="1:5" x14ac:dyDescent="0.3">
      <c r="A3973" t="s">
        <v>4098</v>
      </c>
      <c r="B3973" t="s">
        <v>127</v>
      </c>
      <c r="C3973">
        <v>185</v>
      </c>
      <c r="D3973">
        <f t="shared" si="144"/>
        <v>2013</v>
      </c>
      <c r="E3973">
        <f t="shared" si="145"/>
        <v>7</v>
      </c>
    </row>
    <row r="3974" spans="1:5" x14ac:dyDescent="0.3">
      <c r="A3974" t="s">
        <v>4099</v>
      </c>
      <c r="B3974" t="s">
        <v>127</v>
      </c>
      <c r="C3974">
        <v>185</v>
      </c>
      <c r="D3974">
        <f t="shared" si="144"/>
        <v>2013</v>
      </c>
      <c r="E3974">
        <f t="shared" si="145"/>
        <v>7</v>
      </c>
    </row>
    <row r="3975" spans="1:5" x14ac:dyDescent="0.3">
      <c r="A3975" t="s">
        <v>4100</v>
      </c>
      <c r="B3975" t="s">
        <v>127</v>
      </c>
      <c r="C3975">
        <v>189</v>
      </c>
      <c r="D3975">
        <f t="shared" si="144"/>
        <v>2013</v>
      </c>
      <c r="E3975">
        <f t="shared" si="145"/>
        <v>7</v>
      </c>
    </row>
    <row r="3976" spans="1:5" x14ac:dyDescent="0.3">
      <c r="A3976" t="s">
        <v>4101</v>
      </c>
      <c r="B3976" t="s">
        <v>127</v>
      </c>
      <c r="C3976">
        <v>197</v>
      </c>
      <c r="D3976">
        <f t="shared" si="144"/>
        <v>2013</v>
      </c>
      <c r="E3976">
        <f t="shared" si="145"/>
        <v>7</v>
      </c>
    </row>
    <row r="3977" spans="1:5" x14ac:dyDescent="0.3">
      <c r="A3977" t="s">
        <v>4102</v>
      </c>
      <c r="B3977" t="s">
        <v>127</v>
      </c>
      <c r="C3977">
        <v>199</v>
      </c>
      <c r="D3977">
        <f t="shared" si="144"/>
        <v>2013</v>
      </c>
      <c r="E3977">
        <f t="shared" si="145"/>
        <v>7</v>
      </c>
    </row>
    <row r="3978" spans="1:5" x14ac:dyDescent="0.3">
      <c r="A3978" t="s">
        <v>4103</v>
      </c>
      <c r="B3978" t="s">
        <v>127</v>
      </c>
      <c r="C3978">
        <v>202</v>
      </c>
      <c r="D3978">
        <f t="shared" si="144"/>
        <v>2013</v>
      </c>
      <c r="E3978">
        <f t="shared" si="145"/>
        <v>7</v>
      </c>
    </row>
    <row r="3979" spans="1:5" x14ac:dyDescent="0.3">
      <c r="A3979" t="s">
        <v>4104</v>
      </c>
      <c r="B3979" t="s">
        <v>127</v>
      </c>
      <c r="C3979">
        <v>202</v>
      </c>
      <c r="D3979">
        <f t="shared" si="144"/>
        <v>2013</v>
      </c>
      <c r="E3979">
        <f t="shared" si="145"/>
        <v>7</v>
      </c>
    </row>
    <row r="3980" spans="1:5" x14ac:dyDescent="0.3">
      <c r="A3980" t="s">
        <v>4105</v>
      </c>
      <c r="B3980" t="s">
        <v>127</v>
      </c>
      <c r="C3980">
        <v>198</v>
      </c>
      <c r="D3980">
        <f t="shared" si="144"/>
        <v>2013</v>
      </c>
      <c r="E3980">
        <f t="shared" si="145"/>
        <v>8</v>
      </c>
    </row>
    <row r="3981" spans="1:5" x14ac:dyDescent="0.3">
      <c r="A3981" t="s">
        <v>4106</v>
      </c>
      <c r="B3981" t="s">
        <v>127</v>
      </c>
      <c r="C3981">
        <v>200</v>
      </c>
      <c r="D3981">
        <f t="shared" si="144"/>
        <v>2013</v>
      </c>
      <c r="E3981">
        <f t="shared" si="145"/>
        <v>8</v>
      </c>
    </row>
    <row r="3982" spans="1:5" x14ac:dyDescent="0.3">
      <c r="A3982" t="s">
        <v>4107</v>
      </c>
      <c r="B3982" t="s">
        <v>127</v>
      </c>
      <c r="C3982">
        <v>199</v>
      </c>
      <c r="D3982">
        <f t="shared" si="144"/>
        <v>2013</v>
      </c>
      <c r="E3982">
        <f t="shared" si="145"/>
        <v>8</v>
      </c>
    </row>
    <row r="3983" spans="1:5" x14ac:dyDescent="0.3">
      <c r="A3983" t="s">
        <v>4108</v>
      </c>
      <c r="B3983" t="s">
        <v>127</v>
      </c>
      <c r="C3983">
        <v>196</v>
      </c>
      <c r="D3983">
        <f t="shared" si="144"/>
        <v>2013</v>
      </c>
      <c r="E3983">
        <f t="shared" si="145"/>
        <v>8</v>
      </c>
    </row>
    <row r="3984" spans="1:5" x14ac:dyDescent="0.3">
      <c r="A3984" t="s">
        <v>4109</v>
      </c>
      <c r="B3984" t="s">
        <v>127</v>
      </c>
      <c r="C3984">
        <v>200</v>
      </c>
      <c r="D3984">
        <f t="shared" si="144"/>
        <v>2013</v>
      </c>
      <c r="E3984">
        <f t="shared" si="145"/>
        <v>8</v>
      </c>
    </row>
    <row r="3985" spans="1:5" x14ac:dyDescent="0.3">
      <c r="A3985" t="s">
        <v>4110</v>
      </c>
      <c r="B3985" t="s">
        <v>127</v>
      </c>
      <c r="C3985">
        <v>201</v>
      </c>
      <c r="D3985">
        <f t="shared" si="144"/>
        <v>2013</v>
      </c>
      <c r="E3985">
        <f t="shared" si="145"/>
        <v>8</v>
      </c>
    </row>
    <row r="3986" spans="1:5" x14ac:dyDescent="0.3">
      <c r="A3986" t="s">
        <v>4111</v>
      </c>
      <c r="B3986" t="s">
        <v>127</v>
      </c>
      <c r="C3986">
        <v>204</v>
      </c>
      <c r="D3986">
        <f t="shared" si="144"/>
        <v>2013</v>
      </c>
      <c r="E3986">
        <f t="shared" si="145"/>
        <v>8</v>
      </c>
    </row>
    <row r="3987" spans="1:5" x14ac:dyDescent="0.3">
      <c r="A3987" t="s">
        <v>4112</v>
      </c>
      <c r="B3987" t="s">
        <v>127</v>
      </c>
      <c r="C3987">
        <v>202</v>
      </c>
      <c r="D3987">
        <f t="shared" si="144"/>
        <v>2013</v>
      </c>
      <c r="E3987">
        <f t="shared" si="145"/>
        <v>8</v>
      </c>
    </row>
    <row r="3988" spans="1:5" x14ac:dyDescent="0.3">
      <c r="A3988" t="s">
        <v>4113</v>
      </c>
      <c r="B3988" t="s">
        <v>127</v>
      </c>
      <c r="C3988">
        <v>195</v>
      </c>
      <c r="D3988">
        <f t="shared" si="144"/>
        <v>2013</v>
      </c>
      <c r="E3988">
        <f t="shared" si="145"/>
        <v>8</v>
      </c>
    </row>
    <row r="3989" spans="1:5" x14ac:dyDescent="0.3">
      <c r="A3989" t="s">
        <v>4114</v>
      </c>
      <c r="B3989" t="s">
        <v>127</v>
      </c>
      <c r="C3989">
        <v>193</v>
      </c>
      <c r="D3989">
        <f t="shared" si="144"/>
        <v>2013</v>
      </c>
      <c r="E3989">
        <f t="shared" si="145"/>
        <v>8</v>
      </c>
    </row>
    <row r="3990" spans="1:5" x14ac:dyDescent="0.3">
      <c r="A3990" t="s">
        <v>4115</v>
      </c>
      <c r="B3990" t="s">
        <v>127</v>
      </c>
      <c r="C3990">
        <v>193</v>
      </c>
      <c r="D3990">
        <f t="shared" si="144"/>
        <v>2013</v>
      </c>
      <c r="E3990">
        <f t="shared" si="145"/>
        <v>8</v>
      </c>
    </row>
    <row r="3991" spans="1:5" x14ac:dyDescent="0.3">
      <c r="A3991" t="s">
        <v>4116</v>
      </c>
      <c r="B3991" t="s">
        <v>127</v>
      </c>
      <c r="C3991">
        <v>194</v>
      </c>
      <c r="D3991">
        <f t="shared" si="144"/>
        <v>2013</v>
      </c>
      <c r="E3991">
        <f t="shared" si="145"/>
        <v>8</v>
      </c>
    </row>
    <row r="3992" spans="1:5" x14ac:dyDescent="0.3">
      <c r="A3992" t="s">
        <v>4117</v>
      </c>
      <c r="B3992" t="s">
        <v>127</v>
      </c>
      <c r="C3992">
        <v>205</v>
      </c>
      <c r="D3992">
        <f t="shared" si="144"/>
        <v>2013</v>
      </c>
      <c r="E3992">
        <f t="shared" si="145"/>
        <v>8</v>
      </c>
    </row>
    <row r="3993" spans="1:5" x14ac:dyDescent="0.3">
      <c r="A3993" t="s">
        <v>4118</v>
      </c>
      <c r="B3993" t="s">
        <v>127</v>
      </c>
      <c r="C3993">
        <v>207</v>
      </c>
      <c r="D3993">
        <f t="shared" si="144"/>
        <v>2013</v>
      </c>
      <c r="E3993">
        <f t="shared" si="145"/>
        <v>8</v>
      </c>
    </row>
    <row r="3994" spans="1:5" x14ac:dyDescent="0.3">
      <c r="A3994" t="s">
        <v>4119</v>
      </c>
      <c r="B3994" t="s">
        <v>127</v>
      </c>
      <c r="C3994">
        <v>214</v>
      </c>
      <c r="D3994">
        <f t="shared" si="144"/>
        <v>2013</v>
      </c>
      <c r="E3994">
        <f t="shared" si="145"/>
        <v>8</v>
      </c>
    </row>
    <row r="3995" spans="1:5" x14ac:dyDescent="0.3">
      <c r="A3995" t="s">
        <v>4120</v>
      </c>
      <c r="B3995" t="s">
        <v>127</v>
      </c>
      <c r="C3995">
        <v>210</v>
      </c>
      <c r="D3995">
        <f t="shared" si="144"/>
        <v>2013</v>
      </c>
      <c r="E3995">
        <f t="shared" si="145"/>
        <v>8</v>
      </c>
    </row>
    <row r="3996" spans="1:5" x14ac:dyDescent="0.3">
      <c r="A3996" t="s">
        <v>4121</v>
      </c>
      <c r="B3996" t="s">
        <v>127</v>
      </c>
      <c r="C3996">
        <v>216</v>
      </c>
      <c r="D3996">
        <f t="shared" si="144"/>
        <v>2013</v>
      </c>
      <c r="E3996">
        <f t="shared" si="145"/>
        <v>8</v>
      </c>
    </row>
    <row r="3997" spans="1:5" x14ac:dyDescent="0.3">
      <c r="A3997" t="s">
        <v>4122</v>
      </c>
      <c r="B3997" t="s">
        <v>127</v>
      </c>
      <c r="C3997">
        <v>216</v>
      </c>
      <c r="D3997">
        <f t="shared" si="144"/>
        <v>2013</v>
      </c>
      <c r="E3997">
        <f t="shared" si="145"/>
        <v>8</v>
      </c>
    </row>
    <row r="3998" spans="1:5" x14ac:dyDescent="0.3">
      <c r="A3998" t="s">
        <v>4123</v>
      </c>
      <c r="B3998" t="s">
        <v>127</v>
      </c>
      <c r="C3998">
        <v>223</v>
      </c>
      <c r="D3998">
        <f t="shared" si="144"/>
        <v>2013</v>
      </c>
      <c r="E3998">
        <f t="shared" si="145"/>
        <v>8</v>
      </c>
    </row>
    <row r="3999" spans="1:5" x14ac:dyDescent="0.3">
      <c r="A3999" t="s">
        <v>4124</v>
      </c>
      <c r="B3999" t="s">
        <v>127</v>
      </c>
      <c r="C3999">
        <v>222</v>
      </c>
      <c r="D3999">
        <f t="shared" si="144"/>
        <v>2013</v>
      </c>
      <c r="E3999">
        <f t="shared" si="145"/>
        <v>8</v>
      </c>
    </row>
    <row r="4000" spans="1:5" x14ac:dyDescent="0.3">
      <c r="A4000" t="s">
        <v>4125</v>
      </c>
      <c r="B4000" t="s">
        <v>127</v>
      </c>
      <c r="C4000">
        <v>224</v>
      </c>
      <c r="D4000">
        <f t="shared" si="144"/>
        <v>2013</v>
      </c>
      <c r="E4000">
        <f t="shared" si="145"/>
        <v>8</v>
      </c>
    </row>
    <row r="4001" spans="1:5" x14ac:dyDescent="0.3">
      <c r="A4001" t="s">
        <v>4126</v>
      </c>
      <c r="B4001" t="s">
        <v>127</v>
      </c>
      <c r="C4001">
        <v>222</v>
      </c>
      <c r="D4001">
        <f t="shared" si="144"/>
        <v>2013</v>
      </c>
      <c r="E4001">
        <f t="shared" si="145"/>
        <v>8</v>
      </c>
    </row>
    <row r="4002" spans="1:5" x14ac:dyDescent="0.3">
      <c r="A4002" t="s">
        <v>4127</v>
      </c>
      <c r="B4002" t="s">
        <v>127</v>
      </c>
      <c r="C4002">
        <v>206.0909</v>
      </c>
      <c r="D4002">
        <f t="shared" si="144"/>
        <v>2013</v>
      </c>
      <c r="E4002">
        <f t="shared" si="145"/>
        <v>8</v>
      </c>
    </row>
    <row r="4003" spans="1:5" x14ac:dyDescent="0.3">
      <c r="A4003" t="s">
        <v>4128</v>
      </c>
      <c r="B4003" t="s">
        <v>127</v>
      </c>
      <c r="C4003">
        <v>222</v>
      </c>
      <c r="D4003">
        <f t="shared" si="144"/>
        <v>2013</v>
      </c>
      <c r="E4003">
        <f t="shared" si="145"/>
        <v>9</v>
      </c>
    </row>
    <row r="4004" spans="1:5" x14ac:dyDescent="0.3">
      <c r="A4004" t="s">
        <v>4129</v>
      </c>
      <c r="B4004" t="s">
        <v>127</v>
      </c>
      <c r="C4004">
        <v>219</v>
      </c>
      <c r="D4004">
        <f t="shared" si="144"/>
        <v>2013</v>
      </c>
      <c r="E4004">
        <f t="shared" si="145"/>
        <v>9</v>
      </c>
    </row>
    <row r="4005" spans="1:5" x14ac:dyDescent="0.3">
      <c r="A4005" t="s">
        <v>4130</v>
      </c>
      <c r="B4005" t="s">
        <v>127</v>
      </c>
      <c r="C4005">
        <v>221</v>
      </c>
      <c r="D4005">
        <f t="shared" si="144"/>
        <v>2013</v>
      </c>
      <c r="E4005">
        <f t="shared" si="145"/>
        <v>9</v>
      </c>
    </row>
    <row r="4006" spans="1:5" x14ac:dyDescent="0.3">
      <c r="A4006" t="s">
        <v>4131</v>
      </c>
      <c r="B4006" t="s">
        <v>127</v>
      </c>
      <c r="C4006">
        <v>216</v>
      </c>
      <c r="D4006">
        <f t="shared" si="144"/>
        <v>2013</v>
      </c>
      <c r="E4006">
        <f t="shared" si="145"/>
        <v>9</v>
      </c>
    </row>
    <row r="4007" spans="1:5" x14ac:dyDescent="0.3">
      <c r="A4007" t="s">
        <v>4132</v>
      </c>
      <c r="B4007" t="s">
        <v>127</v>
      </c>
      <c r="C4007">
        <v>212</v>
      </c>
      <c r="D4007">
        <f t="shared" si="144"/>
        <v>2013</v>
      </c>
      <c r="E4007">
        <f t="shared" si="145"/>
        <v>9</v>
      </c>
    </row>
    <row r="4008" spans="1:5" x14ac:dyDescent="0.3">
      <c r="A4008" t="s">
        <v>4133</v>
      </c>
      <c r="B4008" t="s">
        <v>127</v>
      </c>
      <c r="C4008">
        <v>209</v>
      </c>
      <c r="D4008">
        <f t="shared" si="144"/>
        <v>2013</v>
      </c>
      <c r="E4008">
        <f t="shared" si="145"/>
        <v>9</v>
      </c>
    </row>
    <row r="4009" spans="1:5" x14ac:dyDescent="0.3">
      <c r="A4009" t="s">
        <v>4134</v>
      </c>
      <c r="B4009" t="s">
        <v>127</v>
      </c>
      <c r="C4009">
        <v>211</v>
      </c>
      <c r="D4009">
        <f t="shared" si="144"/>
        <v>2013</v>
      </c>
      <c r="E4009">
        <f t="shared" si="145"/>
        <v>9</v>
      </c>
    </row>
    <row r="4010" spans="1:5" x14ac:dyDescent="0.3">
      <c r="A4010" t="s">
        <v>4135</v>
      </c>
      <c r="B4010" t="s">
        <v>127</v>
      </c>
      <c r="C4010">
        <v>206</v>
      </c>
      <c r="D4010">
        <f t="shared" si="144"/>
        <v>2013</v>
      </c>
      <c r="E4010">
        <f t="shared" si="145"/>
        <v>9</v>
      </c>
    </row>
    <row r="4011" spans="1:5" x14ac:dyDescent="0.3">
      <c r="A4011" t="s">
        <v>4136</v>
      </c>
      <c r="B4011" t="s">
        <v>127</v>
      </c>
      <c r="C4011">
        <v>207</v>
      </c>
      <c r="D4011">
        <f t="shared" si="144"/>
        <v>2013</v>
      </c>
      <c r="E4011">
        <f t="shared" si="145"/>
        <v>9</v>
      </c>
    </row>
    <row r="4012" spans="1:5" x14ac:dyDescent="0.3">
      <c r="A4012" t="s">
        <v>4137</v>
      </c>
      <c r="B4012" t="s">
        <v>127</v>
      </c>
      <c r="C4012">
        <v>205</v>
      </c>
      <c r="D4012">
        <f t="shared" si="144"/>
        <v>2013</v>
      </c>
      <c r="E4012">
        <f t="shared" si="145"/>
        <v>9</v>
      </c>
    </row>
    <row r="4013" spans="1:5" x14ac:dyDescent="0.3">
      <c r="A4013" t="s">
        <v>4138</v>
      </c>
      <c r="B4013" t="s">
        <v>127</v>
      </c>
      <c r="C4013">
        <v>195</v>
      </c>
      <c r="D4013">
        <f t="shared" si="144"/>
        <v>2013</v>
      </c>
      <c r="E4013">
        <f t="shared" si="145"/>
        <v>9</v>
      </c>
    </row>
    <row r="4014" spans="1:5" x14ac:dyDescent="0.3">
      <c r="A4014" t="s">
        <v>4139</v>
      </c>
      <c r="B4014" t="s">
        <v>127</v>
      </c>
      <c r="C4014">
        <v>192</v>
      </c>
      <c r="D4014">
        <f t="shared" si="144"/>
        <v>2013</v>
      </c>
      <c r="E4014">
        <f t="shared" si="145"/>
        <v>9</v>
      </c>
    </row>
    <row r="4015" spans="1:5" x14ac:dyDescent="0.3">
      <c r="A4015" t="s">
        <v>4140</v>
      </c>
      <c r="B4015" t="s">
        <v>127</v>
      </c>
      <c r="C4015">
        <v>185</v>
      </c>
      <c r="D4015">
        <f t="shared" si="144"/>
        <v>2013</v>
      </c>
      <c r="E4015">
        <f t="shared" si="145"/>
        <v>9</v>
      </c>
    </row>
    <row r="4016" spans="1:5" x14ac:dyDescent="0.3">
      <c r="A4016" t="s">
        <v>4141</v>
      </c>
      <c r="B4016" t="s">
        <v>127</v>
      </c>
      <c r="C4016">
        <v>183</v>
      </c>
      <c r="D4016">
        <f t="shared" si="144"/>
        <v>2013</v>
      </c>
      <c r="E4016">
        <f t="shared" si="145"/>
        <v>9</v>
      </c>
    </row>
    <row r="4017" spans="1:5" x14ac:dyDescent="0.3">
      <c r="A4017" t="s">
        <v>4142</v>
      </c>
      <c r="B4017" t="s">
        <v>127</v>
      </c>
      <c r="C4017">
        <v>186</v>
      </c>
      <c r="D4017">
        <f t="shared" si="144"/>
        <v>2013</v>
      </c>
      <c r="E4017">
        <f t="shared" si="145"/>
        <v>9</v>
      </c>
    </row>
    <row r="4018" spans="1:5" x14ac:dyDescent="0.3">
      <c r="A4018" t="s">
        <v>4143</v>
      </c>
      <c r="B4018" t="s">
        <v>127</v>
      </c>
      <c r="C4018">
        <v>188</v>
      </c>
      <c r="D4018">
        <f t="shared" si="144"/>
        <v>2013</v>
      </c>
      <c r="E4018">
        <f t="shared" si="145"/>
        <v>9</v>
      </c>
    </row>
    <row r="4019" spans="1:5" x14ac:dyDescent="0.3">
      <c r="A4019" t="s">
        <v>4144</v>
      </c>
      <c r="B4019" t="s">
        <v>127</v>
      </c>
      <c r="C4019">
        <v>196</v>
      </c>
      <c r="D4019">
        <f t="shared" si="144"/>
        <v>2013</v>
      </c>
      <c r="E4019">
        <f t="shared" si="145"/>
        <v>9</v>
      </c>
    </row>
    <row r="4020" spans="1:5" x14ac:dyDescent="0.3">
      <c r="A4020" t="s">
        <v>4145</v>
      </c>
      <c r="B4020" t="s">
        <v>127</v>
      </c>
      <c r="C4020">
        <v>198</v>
      </c>
      <c r="D4020">
        <f t="shared" si="144"/>
        <v>2013</v>
      </c>
      <c r="E4020">
        <f t="shared" si="145"/>
        <v>9</v>
      </c>
    </row>
    <row r="4021" spans="1:5" x14ac:dyDescent="0.3">
      <c r="A4021" t="s">
        <v>4146</v>
      </c>
      <c r="B4021" t="s">
        <v>127</v>
      </c>
      <c r="C4021">
        <v>202</v>
      </c>
      <c r="D4021">
        <f t="shared" si="144"/>
        <v>2013</v>
      </c>
      <c r="E4021">
        <f t="shared" si="145"/>
        <v>9</v>
      </c>
    </row>
    <row r="4022" spans="1:5" x14ac:dyDescent="0.3">
      <c r="A4022" t="s">
        <v>4147</v>
      </c>
      <c r="B4022" t="s">
        <v>127</v>
      </c>
      <c r="C4022">
        <v>204</v>
      </c>
      <c r="D4022">
        <f t="shared" si="144"/>
        <v>2013</v>
      </c>
      <c r="E4022">
        <f t="shared" si="145"/>
        <v>9</v>
      </c>
    </row>
    <row r="4023" spans="1:5" x14ac:dyDescent="0.3">
      <c r="A4023" t="s">
        <v>4148</v>
      </c>
      <c r="B4023" t="s">
        <v>127</v>
      </c>
      <c r="C4023">
        <v>210</v>
      </c>
      <c r="D4023">
        <f t="shared" si="144"/>
        <v>2013</v>
      </c>
      <c r="E4023">
        <f t="shared" si="145"/>
        <v>9</v>
      </c>
    </row>
    <row r="4024" spans="1:5" x14ac:dyDescent="0.3">
      <c r="A4024" t="s">
        <v>4149</v>
      </c>
      <c r="B4024" t="s">
        <v>127</v>
      </c>
      <c r="C4024">
        <v>207</v>
      </c>
      <c r="D4024">
        <f t="shared" si="144"/>
        <v>2013</v>
      </c>
      <c r="E4024">
        <f t="shared" si="145"/>
        <v>10</v>
      </c>
    </row>
    <row r="4025" spans="1:5" x14ac:dyDescent="0.3">
      <c r="A4025" t="s">
        <v>4150</v>
      </c>
      <c r="B4025" t="s">
        <v>127</v>
      </c>
      <c r="C4025">
        <v>209</v>
      </c>
      <c r="D4025">
        <f t="shared" si="144"/>
        <v>2013</v>
      </c>
      <c r="E4025">
        <f t="shared" si="145"/>
        <v>10</v>
      </c>
    </row>
    <row r="4026" spans="1:5" x14ac:dyDescent="0.3">
      <c r="A4026" t="s">
        <v>4151</v>
      </c>
      <c r="B4026" t="s">
        <v>127</v>
      </c>
      <c r="C4026">
        <v>211</v>
      </c>
      <c r="D4026">
        <f t="shared" si="144"/>
        <v>2013</v>
      </c>
      <c r="E4026">
        <f t="shared" si="145"/>
        <v>10</v>
      </c>
    </row>
    <row r="4027" spans="1:5" x14ac:dyDescent="0.3">
      <c r="A4027" t="s">
        <v>4152</v>
      </c>
      <c r="B4027" t="s">
        <v>127</v>
      </c>
      <c r="C4027">
        <v>207</v>
      </c>
      <c r="D4027">
        <f t="shared" si="144"/>
        <v>2013</v>
      </c>
      <c r="E4027">
        <f t="shared" si="145"/>
        <v>10</v>
      </c>
    </row>
    <row r="4028" spans="1:5" x14ac:dyDescent="0.3">
      <c r="A4028" t="s">
        <v>4153</v>
      </c>
      <c r="B4028" t="s">
        <v>127</v>
      </c>
      <c r="C4028">
        <v>207</v>
      </c>
      <c r="D4028">
        <f t="shared" si="144"/>
        <v>2013</v>
      </c>
      <c r="E4028">
        <f t="shared" si="145"/>
        <v>10</v>
      </c>
    </row>
    <row r="4029" spans="1:5" x14ac:dyDescent="0.3">
      <c r="A4029" t="s">
        <v>4154</v>
      </c>
      <c r="B4029" t="s">
        <v>127</v>
      </c>
      <c r="C4029">
        <v>205</v>
      </c>
      <c r="D4029">
        <f t="shared" si="144"/>
        <v>2013</v>
      </c>
      <c r="E4029">
        <f t="shared" si="145"/>
        <v>10</v>
      </c>
    </row>
    <row r="4030" spans="1:5" x14ac:dyDescent="0.3">
      <c r="A4030" t="s">
        <v>4155</v>
      </c>
      <c r="B4030" t="s">
        <v>127</v>
      </c>
      <c r="C4030">
        <v>203</v>
      </c>
      <c r="D4030">
        <f t="shared" si="144"/>
        <v>2013</v>
      </c>
      <c r="E4030">
        <f t="shared" si="145"/>
        <v>10</v>
      </c>
    </row>
    <row r="4031" spans="1:5" x14ac:dyDescent="0.3">
      <c r="A4031" t="s">
        <v>4156</v>
      </c>
      <c r="B4031" t="s">
        <v>127</v>
      </c>
      <c r="C4031">
        <v>201</v>
      </c>
      <c r="D4031">
        <f t="shared" si="144"/>
        <v>2013</v>
      </c>
      <c r="E4031">
        <f t="shared" si="145"/>
        <v>10</v>
      </c>
    </row>
    <row r="4032" spans="1:5" x14ac:dyDescent="0.3">
      <c r="A4032" t="s">
        <v>4157</v>
      </c>
      <c r="B4032" t="s">
        <v>127</v>
      </c>
      <c r="C4032">
        <v>197</v>
      </c>
      <c r="D4032">
        <f t="shared" si="144"/>
        <v>2013</v>
      </c>
      <c r="E4032">
        <f t="shared" si="145"/>
        <v>10</v>
      </c>
    </row>
    <row r="4033" spans="1:5" x14ac:dyDescent="0.3">
      <c r="A4033" t="s">
        <v>4158</v>
      </c>
      <c r="B4033" t="s">
        <v>127</v>
      </c>
      <c r="C4033">
        <v>197</v>
      </c>
      <c r="D4033">
        <f t="shared" si="144"/>
        <v>2013</v>
      </c>
      <c r="E4033">
        <f t="shared" si="145"/>
        <v>10</v>
      </c>
    </row>
    <row r="4034" spans="1:5" x14ac:dyDescent="0.3">
      <c r="A4034" t="s">
        <v>4159</v>
      </c>
      <c r="B4034" t="s">
        <v>127</v>
      </c>
      <c r="C4034">
        <v>193</v>
      </c>
      <c r="D4034">
        <f t="shared" si="144"/>
        <v>2013</v>
      </c>
      <c r="E4034">
        <f t="shared" si="145"/>
        <v>10</v>
      </c>
    </row>
    <row r="4035" spans="1:5" x14ac:dyDescent="0.3">
      <c r="A4035" t="s">
        <v>4160</v>
      </c>
      <c r="B4035" t="s">
        <v>127</v>
      </c>
      <c r="C4035">
        <v>198</v>
      </c>
      <c r="D4035">
        <f t="shared" ref="D4035:D4098" si="146">YEAR(A4035)</f>
        <v>2013</v>
      </c>
      <c r="E4035">
        <f t="shared" ref="E4035:E4098" si="147">MONTH(A4035)</f>
        <v>10</v>
      </c>
    </row>
    <row r="4036" spans="1:5" x14ac:dyDescent="0.3">
      <c r="A4036" t="s">
        <v>4161</v>
      </c>
      <c r="B4036" t="s">
        <v>127</v>
      </c>
      <c r="C4036">
        <v>201</v>
      </c>
      <c r="D4036">
        <f t="shared" si="146"/>
        <v>2013</v>
      </c>
      <c r="E4036">
        <f t="shared" si="147"/>
        <v>10</v>
      </c>
    </row>
    <row r="4037" spans="1:5" x14ac:dyDescent="0.3">
      <c r="A4037" t="s">
        <v>4162</v>
      </c>
      <c r="B4037" t="s">
        <v>127</v>
      </c>
      <c r="C4037">
        <v>192</v>
      </c>
      <c r="D4037">
        <f t="shared" si="146"/>
        <v>2013</v>
      </c>
      <c r="E4037">
        <f t="shared" si="147"/>
        <v>10</v>
      </c>
    </row>
    <row r="4038" spans="1:5" x14ac:dyDescent="0.3">
      <c r="A4038" t="s">
        <v>4163</v>
      </c>
      <c r="B4038" t="s">
        <v>127</v>
      </c>
      <c r="C4038">
        <v>193</v>
      </c>
      <c r="D4038">
        <f t="shared" si="146"/>
        <v>2013</v>
      </c>
      <c r="E4038">
        <f t="shared" si="147"/>
        <v>10</v>
      </c>
    </row>
    <row r="4039" spans="1:5" x14ac:dyDescent="0.3">
      <c r="A4039" t="s">
        <v>4164</v>
      </c>
      <c r="B4039" t="s">
        <v>127</v>
      </c>
      <c r="C4039">
        <v>193</v>
      </c>
      <c r="D4039">
        <f t="shared" si="146"/>
        <v>2013</v>
      </c>
      <c r="E4039">
        <f t="shared" si="147"/>
        <v>10</v>
      </c>
    </row>
    <row r="4040" spans="1:5" x14ac:dyDescent="0.3">
      <c r="A4040" t="s">
        <v>4165</v>
      </c>
      <c r="B4040" t="s">
        <v>127</v>
      </c>
      <c r="C4040">
        <v>193</v>
      </c>
      <c r="D4040">
        <f t="shared" si="146"/>
        <v>2013</v>
      </c>
      <c r="E4040">
        <f t="shared" si="147"/>
        <v>10</v>
      </c>
    </row>
    <row r="4041" spans="1:5" x14ac:dyDescent="0.3">
      <c r="A4041" t="s">
        <v>4166</v>
      </c>
      <c r="B4041" t="s">
        <v>127</v>
      </c>
      <c r="C4041">
        <v>198</v>
      </c>
      <c r="D4041">
        <f t="shared" si="146"/>
        <v>2013</v>
      </c>
      <c r="E4041">
        <f t="shared" si="147"/>
        <v>10</v>
      </c>
    </row>
    <row r="4042" spans="1:5" x14ac:dyDescent="0.3">
      <c r="A4042" t="s">
        <v>4167</v>
      </c>
      <c r="B4042" t="s">
        <v>127</v>
      </c>
      <c r="C4042">
        <v>201</v>
      </c>
      <c r="D4042">
        <f t="shared" si="146"/>
        <v>2013</v>
      </c>
      <c r="E4042">
        <f t="shared" si="147"/>
        <v>10</v>
      </c>
    </row>
    <row r="4043" spans="1:5" x14ac:dyDescent="0.3">
      <c r="A4043" t="s">
        <v>4168</v>
      </c>
      <c r="B4043" t="s">
        <v>127</v>
      </c>
      <c r="C4043">
        <v>201</v>
      </c>
      <c r="D4043">
        <f t="shared" si="146"/>
        <v>2013</v>
      </c>
      <c r="E4043">
        <f t="shared" si="147"/>
        <v>10</v>
      </c>
    </row>
    <row r="4044" spans="1:5" x14ac:dyDescent="0.3">
      <c r="A4044" t="s">
        <v>4169</v>
      </c>
      <c r="B4044" t="s">
        <v>127</v>
      </c>
      <c r="C4044">
        <v>200</v>
      </c>
      <c r="D4044">
        <f t="shared" si="146"/>
        <v>2013</v>
      </c>
      <c r="E4044">
        <f t="shared" si="147"/>
        <v>10</v>
      </c>
    </row>
    <row r="4045" spans="1:5" x14ac:dyDescent="0.3">
      <c r="A4045" t="s">
        <v>4170</v>
      </c>
      <c r="B4045" t="s">
        <v>127</v>
      </c>
      <c r="C4045">
        <v>195</v>
      </c>
      <c r="D4045">
        <f t="shared" si="146"/>
        <v>2013</v>
      </c>
      <c r="E4045">
        <f t="shared" si="147"/>
        <v>10</v>
      </c>
    </row>
    <row r="4046" spans="1:5" x14ac:dyDescent="0.3">
      <c r="A4046" t="s">
        <v>4171</v>
      </c>
      <c r="B4046" t="s">
        <v>127</v>
      </c>
      <c r="C4046">
        <v>196</v>
      </c>
      <c r="D4046">
        <f t="shared" si="146"/>
        <v>2013</v>
      </c>
      <c r="E4046">
        <f t="shared" si="147"/>
        <v>10</v>
      </c>
    </row>
    <row r="4047" spans="1:5" x14ac:dyDescent="0.3">
      <c r="A4047" t="s">
        <v>4172</v>
      </c>
      <c r="B4047" t="s">
        <v>127</v>
      </c>
      <c r="C4047">
        <v>200</v>
      </c>
      <c r="D4047">
        <f t="shared" si="146"/>
        <v>2013</v>
      </c>
      <c r="E4047">
        <f t="shared" si="147"/>
        <v>11</v>
      </c>
    </row>
    <row r="4048" spans="1:5" x14ac:dyDescent="0.3">
      <c r="A4048" t="s">
        <v>4173</v>
      </c>
      <c r="B4048" t="s">
        <v>127</v>
      </c>
      <c r="C4048">
        <v>201</v>
      </c>
      <c r="D4048">
        <f t="shared" si="146"/>
        <v>2013</v>
      </c>
      <c r="E4048">
        <f t="shared" si="147"/>
        <v>11</v>
      </c>
    </row>
    <row r="4049" spans="1:5" x14ac:dyDescent="0.3">
      <c r="A4049" t="s">
        <v>4174</v>
      </c>
      <c r="B4049" t="s">
        <v>127</v>
      </c>
      <c r="C4049">
        <v>204</v>
      </c>
      <c r="D4049">
        <f t="shared" si="146"/>
        <v>2013</v>
      </c>
      <c r="E4049">
        <f t="shared" si="147"/>
        <v>11</v>
      </c>
    </row>
    <row r="4050" spans="1:5" x14ac:dyDescent="0.3">
      <c r="A4050" t="s">
        <v>4175</v>
      </c>
      <c r="B4050" t="s">
        <v>127</v>
      </c>
      <c r="C4050">
        <v>207</v>
      </c>
      <c r="D4050">
        <f t="shared" si="146"/>
        <v>2013</v>
      </c>
      <c r="E4050">
        <f t="shared" si="147"/>
        <v>11</v>
      </c>
    </row>
    <row r="4051" spans="1:5" x14ac:dyDescent="0.3">
      <c r="A4051" t="s">
        <v>4176</v>
      </c>
      <c r="B4051" t="s">
        <v>127</v>
      </c>
      <c r="C4051">
        <v>212</v>
      </c>
      <c r="D4051">
        <f t="shared" si="146"/>
        <v>2013</v>
      </c>
      <c r="E4051">
        <f t="shared" si="147"/>
        <v>11</v>
      </c>
    </row>
    <row r="4052" spans="1:5" x14ac:dyDescent="0.3">
      <c r="A4052" t="s">
        <v>4177</v>
      </c>
      <c r="B4052" t="s">
        <v>127</v>
      </c>
      <c r="C4052">
        <v>213</v>
      </c>
      <c r="D4052">
        <f t="shared" si="146"/>
        <v>2013</v>
      </c>
      <c r="E4052">
        <f t="shared" si="147"/>
        <v>11</v>
      </c>
    </row>
    <row r="4053" spans="1:5" x14ac:dyDescent="0.3">
      <c r="A4053" t="s">
        <v>4178</v>
      </c>
      <c r="B4053" t="s">
        <v>127</v>
      </c>
      <c r="C4053">
        <v>213</v>
      </c>
      <c r="D4053">
        <f t="shared" si="146"/>
        <v>2013</v>
      </c>
      <c r="E4053">
        <f t="shared" si="147"/>
        <v>11</v>
      </c>
    </row>
    <row r="4054" spans="1:5" x14ac:dyDescent="0.3">
      <c r="A4054" t="s">
        <v>4179</v>
      </c>
      <c r="B4054" t="s">
        <v>127</v>
      </c>
      <c r="C4054">
        <v>216</v>
      </c>
      <c r="D4054">
        <f t="shared" si="146"/>
        <v>2013</v>
      </c>
      <c r="E4054">
        <f t="shared" si="147"/>
        <v>11</v>
      </c>
    </row>
    <row r="4055" spans="1:5" x14ac:dyDescent="0.3">
      <c r="A4055" t="s">
        <v>4180</v>
      </c>
      <c r="B4055" t="s">
        <v>127</v>
      </c>
      <c r="C4055">
        <v>217</v>
      </c>
      <c r="D4055">
        <f t="shared" si="146"/>
        <v>2013</v>
      </c>
      <c r="E4055">
        <f t="shared" si="147"/>
        <v>11</v>
      </c>
    </row>
    <row r="4056" spans="1:5" x14ac:dyDescent="0.3">
      <c r="A4056" t="s">
        <v>4181</v>
      </c>
      <c r="B4056" t="s">
        <v>127</v>
      </c>
      <c r="C4056">
        <v>212</v>
      </c>
      <c r="D4056">
        <f t="shared" si="146"/>
        <v>2013</v>
      </c>
      <c r="E4056">
        <f t="shared" si="147"/>
        <v>11</v>
      </c>
    </row>
    <row r="4057" spans="1:5" x14ac:dyDescent="0.3">
      <c r="A4057" t="s">
        <v>4182</v>
      </c>
      <c r="B4057" t="s">
        <v>127</v>
      </c>
      <c r="C4057">
        <v>209</v>
      </c>
      <c r="D4057">
        <f t="shared" si="146"/>
        <v>2013</v>
      </c>
      <c r="E4057">
        <f t="shared" si="147"/>
        <v>11</v>
      </c>
    </row>
    <row r="4058" spans="1:5" x14ac:dyDescent="0.3">
      <c r="A4058" t="s">
        <v>4183</v>
      </c>
      <c r="B4058" t="s">
        <v>127</v>
      </c>
      <c r="C4058">
        <v>207</v>
      </c>
      <c r="D4058">
        <f t="shared" si="146"/>
        <v>2013</v>
      </c>
      <c r="E4058">
        <f t="shared" si="147"/>
        <v>11</v>
      </c>
    </row>
    <row r="4059" spans="1:5" x14ac:dyDescent="0.3">
      <c r="A4059" t="s">
        <v>4184</v>
      </c>
      <c r="B4059" t="s">
        <v>127</v>
      </c>
      <c r="C4059">
        <v>206</v>
      </c>
      <c r="D4059">
        <f t="shared" si="146"/>
        <v>2013</v>
      </c>
      <c r="E4059">
        <f t="shared" si="147"/>
        <v>11</v>
      </c>
    </row>
    <row r="4060" spans="1:5" x14ac:dyDescent="0.3">
      <c r="A4060" t="s">
        <v>4185</v>
      </c>
      <c r="B4060" t="s">
        <v>127</v>
      </c>
      <c r="C4060">
        <v>204</v>
      </c>
      <c r="D4060">
        <f t="shared" si="146"/>
        <v>2013</v>
      </c>
      <c r="E4060">
        <f t="shared" si="147"/>
        <v>11</v>
      </c>
    </row>
    <row r="4061" spans="1:5" x14ac:dyDescent="0.3">
      <c r="A4061" t="s">
        <v>4186</v>
      </c>
      <c r="B4061" t="s">
        <v>127</v>
      </c>
      <c r="C4061">
        <v>208</v>
      </c>
      <c r="D4061">
        <f t="shared" si="146"/>
        <v>2013</v>
      </c>
      <c r="E4061">
        <f t="shared" si="147"/>
        <v>11</v>
      </c>
    </row>
    <row r="4062" spans="1:5" x14ac:dyDescent="0.3">
      <c r="A4062" t="s">
        <v>4187</v>
      </c>
      <c r="B4062" t="s">
        <v>127</v>
      </c>
      <c r="C4062">
        <v>209</v>
      </c>
      <c r="D4062">
        <f t="shared" si="146"/>
        <v>2013</v>
      </c>
      <c r="E4062">
        <f t="shared" si="147"/>
        <v>11</v>
      </c>
    </row>
    <row r="4063" spans="1:5" x14ac:dyDescent="0.3">
      <c r="A4063" t="s">
        <v>4188</v>
      </c>
      <c r="B4063" t="s">
        <v>127</v>
      </c>
      <c r="C4063">
        <v>211</v>
      </c>
      <c r="D4063">
        <f t="shared" si="146"/>
        <v>2013</v>
      </c>
      <c r="E4063">
        <f t="shared" si="147"/>
        <v>11</v>
      </c>
    </row>
    <row r="4064" spans="1:5" x14ac:dyDescent="0.3">
      <c r="A4064" t="s">
        <v>4189</v>
      </c>
      <c r="B4064" t="s">
        <v>127</v>
      </c>
      <c r="C4064">
        <v>213</v>
      </c>
      <c r="D4064">
        <f t="shared" si="146"/>
        <v>2013</v>
      </c>
      <c r="E4064">
        <f t="shared" si="147"/>
        <v>11</v>
      </c>
    </row>
    <row r="4065" spans="1:5" x14ac:dyDescent="0.3">
      <c r="A4065" t="s">
        <v>4190</v>
      </c>
      <c r="B4065" t="s">
        <v>127</v>
      </c>
      <c r="C4065">
        <v>211</v>
      </c>
      <c r="D4065">
        <f t="shared" si="146"/>
        <v>2013</v>
      </c>
      <c r="E4065">
        <f t="shared" si="147"/>
        <v>11</v>
      </c>
    </row>
    <row r="4066" spans="1:5" x14ac:dyDescent="0.3">
      <c r="A4066" t="s">
        <v>4191</v>
      </c>
      <c r="B4066" t="s">
        <v>127</v>
      </c>
      <c r="C4066">
        <v>211</v>
      </c>
      <c r="D4066">
        <f t="shared" si="146"/>
        <v>2013</v>
      </c>
      <c r="E4066">
        <f t="shared" si="147"/>
        <v>11</v>
      </c>
    </row>
    <row r="4067" spans="1:5" x14ac:dyDescent="0.3">
      <c r="A4067" t="s">
        <v>4192</v>
      </c>
      <c r="B4067" t="s">
        <v>127</v>
      </c>
      <c r="C4067">
        <v>211</v>
      </c>
      <c r="D4067">
        <f t="shared" si="146"/>
        <v>2013</v>
      </c>
      <c r="E4067">
        <f t="shared" si="147"/>
        <v>11</v>
      </c>
    </row>
    <row r="4068" spans="1:5" x14ac:dyDescent="0.3">
      <c r="A4068" t="s">
        <v>4193</v>
      </c>
      <c r="B4068" t="s">
        <v>127</v>
      </c>
      <c r="C4068">
        <v>209.28569999999999</v>
      </c>
      <c r="D4068">
        <f t="shared" si="146"/>
        <v>2013</v>
      </c>
      <c r="E4068">
        <f t="shared" si="147"/>
        <v>11</v>
      </c>
    </row>
    <row r="4069" spans="1:5" x14ac:dyDescent="0.3">
      <c r="A4069" t="s">
        <v>4194</v>
      </c>
      <c r="B4069" t="s">
        <v>127</v>
      </c>
      <c r="C4069">
        <v>212</v>
      </c>
      <c r="D4069">
        <f t="shared" si="146"/>
        <v>2013</v>
      </c>
      <c r="E4069">
        <f t="shared" si="147"/>
        <v>12</v>
      </c>
    </row>
    <row r="4070" spans="1:5" x14ac:dyDescent="0.3">
      <c r="A4070" t="s">
        <v>4195</v>
      </c>
      <c r="B4070" t="s">
        <v>127</v>
      </c>
      <c r="C4070">
        <v>214</v>
      </c>
      <c r="D4070">
        <f t="shared" si="146"/>
        <v>2013</v>
      </c>
      <c r="E4070">
        <f t="shared" si="147"/>
        <v>12</v>
      </c>
    </row>
    <row r="4071" spans="1:5" x14ac:dyDescent="0.3">
      <c r="A4071" t="s">
        <v>4196</v>
      </c>
      <c r="B4071" t="s">
        <v>127</v>
      </c>
      <c r="C4071">
        <v>210</v>
      </c>
      <c r="D4071">
        <f t="shared" si="146"/>
        <v>2013</v>
      </c>
      <c r="E4071">
        <f t="shared" si="147"/>
        <v>12</v>
      </c>
    </row>
    <row r="4072" spans="1:5" x14ac:dyDescent="0.3">
      <c r="A4072" t="s">
        <v>4197</v>
      </c>
      <c r="B4072" t="s">
        <v>127</v>
      </c>
      <c r="C4072">
        <v>208</v>
      </c>
      <c r="D4072">
        <f t="shared" si="146"/>
        <v>2013</v>
      </c>
      <c r="E4072">
        <f t="shared" si="147"/>
        <v>12</v>
      </c>
    </row>
    <row r="4073" spans="1:5" x14ac:dyDescent="0.3">
      <c r="A4073" t="s">
        <v>4198</v>
      </c>
      <c r="B4073" t="s">
        <v>127</v>
      </c>
      <c r="C4073">
        <v>202</v>
      </c>
      <c r="D4073">
        <f t="shared" si="146"/>
        <v>2013</v>
      </c>
      <c r="E4073">
        <f t="shared" si="147"/>
        <v>12</v>
      </c>
    </row>
    <row r="4074" spans="1:5" x14ac:dyDescent="0.3">
      <c r="A4074" t="s">
        <v>4199</v>
      </c>
      <c r="B4074" t="s">
        <v>127</v>
      </c>
      <c r="C4074">
        <v>200</v>
      </c>
      <c r="D4074">
        <f t="shared" si="146"/>
        <v>2013</v>
      </c>
      <c r="E4074">
        <f t="shared" si="147"/>
        <v>12</v>
      </c>
    </row>
    <row r="4075" spans="1:5" x14ac:dyDescent="0.3">
      <c r="A4075" t="s">
        <v>4200</v>
      </c>
      <c r="B4075" t="s">
        <v>127</v>
      </c>
      <c r="C4075">
        <v>202</v>
      </c>
      <c r="D4075">
        <f t="shared" si="146"/>
        <v>2013</v>
      </c>
      <c r="E4075">
        <f t="shared" si="147"/>
        <v>12</v>
      </c>
    </row>
    <row r="4076" spans="1:5" x14ac:dyDescent="0.3">
      <c r="A4076" t="s">
        <v>4201</v>
      </c>
      <c r="B4076" t="s">
        <v>127</v>
      </c>
      <c r="C4076">
        <v>198</v>
      </c>
      <c r="D4076">
        <f t="shared" si="146"/>
        <v>2013</v>
      </c>
      <c r="E4076">
        <f t="shared" si="147"/>
        <v>12</v>
      </c>
    </row>
    <row r="4077" spans="1:5" x14ac:dyDescent="0.3">
      <c r="A4077" t="s">
        <v>4202</v>
      </c>
      <c r="B4077" t="s">
        <v>127</v>
      </c>
      <c r="C4077">
        <v>192</v>
      </c>
      <c r="D4077">
        <f t="shared" si="146"/>
        <v>2013</v>
      </c>
      <c r="E4077">
        <f t="shared" si="147"/>
        <v>12</v>
      </c>
    </row>
    <row r="4078" spans="1:5" x14ac:dyDescent="0.3">
      <c r="A4078" t="s">
        <v>4203</v>
      </c>
      <c r="B4078" t="s">
        <v>127</v>
      </c>
      <c r="C4078">
        <v>189</v>
      </c>
      <c r="D4078">
        <f t="shared" si="146"/>
        <v>2013</v>
      </c>
      <c r="E4078">
        <f t="shared" si="147"/>
        <v>12</v>
      </c>
    </row>
    <row r="4079" spans="1:5" x14ac:dyDescent="0.3">
      <c r="A4079" t="s">
        <v>4204</v>
      </c>
      <c r="B4079" t="s">
        <v>127</v>
      </c>
      <c r="C4079">
        <v>186</v>
      </c>
      <c r="D4079">
        <f t="shared" si="146"/>
        <v>2013</v>
      </c>
      <c r="E4079">
        <f t="shared" si="147"/>
        <v>12</v>
      </c>
    </row>
    <row r="4080" spans="1:5" x14ac:dyDescent="0.3">
      <c r="A4080" t="s">
        <v>4205</v>
      </c>
      <c r="B4080" t="s">
        <v>127</v>
      </c>
      <c r="C4080">
        <v>193</v>
      </c>
      <c r="D4080">
        <f t="shared" si="146"/>
        <v>2013</v>
      </c>
      <c r="E4080">
        <f t="shared" si="147"/>
        <v>12</v>
      </c>
    </row>
    <row r="4081" spans="1:5" x14ac:dyDescent="0.3">
      <c r="A4081" t="s">
        <v>4206</v>
      </c>
      <c r="B4081" t="s">
        <v>127</v>
      </c>
      <c r="C4081">
        <v>189</v>
      </c>
      <c r="D4081">
        <f t="shared" si="146"/>
        <v>2013</v>
      </c>
      <c r="E4081">
        <f t="shared" si="147"/>
        <v>12</v>
      </c>
    </row>
    <row r="4082" spans="1:5" x14ac:dyDescent="0.3">
      <c r="A4082" t="s">
        <v>4207</v>
      </c>
      <c r="B4082" t="s">
        <v>127</v>
      </c>
      <c r="C4082">
        <v>187</v>
      </c>
      <c r="D4082">
        <f t="shared" si="146"/>
        <v>2013</v>
      </c>
      <c r="E4082">
        <f t="shared" si="147"/>
        <v>12</v>
      </c>
    </row>
    <row r="4083" spans="1:5" x14ac:dyDescent="0.3">
      <c r="A4083" t="s">
        <v>4208</v>
      </c>
      <c r="B4083" t="s">
        <v>127</v>
      </c>
      <c r="C4083">
        <v>189</v>
      </c>
      <c r="D4083">
        <f t="shared" si="146"/>
        <v>2013</v>
      </c>
      <c r="E4083">
        <f t="shared" si="147"/>
        <v>12</v>
      </c>
    </row>
    <row r="4084" spans="1:5" x14ac:dyDescent="0.3">
      <c r="A4084" t="s">
        <v>4209</v>
      </c>
      <c r="B4084" t="s">
        <v>127</v>
      </c>
      <c r="C4084">
        <v>185</v>
      </c>
      <c r="D4084">
        <f t="shared" si="146"/>
        <v>2013</v>
      </c>
      <c r="E4084">
        <f t="shared" si="147"/>
        <v>12</v>
      </c>
    </row>
    <row r="4085" spans="1:5" x14ac:dyDescent="0.3">
      <c r="A4085" t="s">
        <v>4210</v>
      </c>
      <c r="B4085" t="s">
        <v>127</v>
      </c>
      <c r="C4085">
        <v>179</v>
      </c>
      <c r="D4085">
        <f t="shared" si="146"/>
        <v>2013</v>
      </c>
      <c r="E4085">
        <f t="shared" si="147"/>
        <v>12</v>
      </c>
    </row>
    <row r="4086" spans="1:5" x14ac:dyDescent="0.3">
      <c r="A4086" t="s">
        <v>4211</v>
      </c>
      <c r="B4086" t="s">
        <v>127</v>
      </c>
      <c r="C4086">
        <v>179</v>
      </c>
      <c r="D4086">
        <f t="shared" si="146"/>
        <v>2013</v>
      </c>
      <c r="E4086">
        <f t="shared" si="147"/>
        <v>12</v>
      </c>
    </row>
    <row r="4087" spans="1:5" x14ac:dyDescent="0.3">
      <c r="A4087" t="s">
        <v>4212</v>
      </c>
      <c r="B4087" t="s">
        <v>127</v>
      </c>
      <c r="C4087">
        <v>178</v>
      </c>
      <c r="D4087">
        <f t="shared" si="146"/>
        <v>2013</v>
      </c>
      <c r="E4087">
        <f t="shared" si="147"/>
        <v>12</v>
      </c>
    </row>
    <row r="4088" spans="1:5" x14ac:dyDescent="0.3">
      <c r="A4088" t="s">
        <v>4213</v>
      </c>
      <c r="B4088" t="s">
        <v>127</v>
      </c>
      <c r="C4088">
        <v>178</v>
      </c>
      <c r="D4088">
        <f t="shared" si="146"/>
        <v>2013</v>
      </c>
      <c r="E4088">
        <f t="shared" si="147"/>
        <v>12</v>
      </c>
    </row>
    <row r="4089" spans="1:5" x14ac:dyDescent="0.3">
      <c r="A4089" t="s">
        <v>4214</v>
      </c>
      <c r="B4089" t="s">
        <v>127</v>
      </c>
      <c r="C4089">
        <v>181</v>
      </c>
      <c r="D4089">
        <f t="shared" si="146"/>
        <v>2013</v>
      </c>
      <c r="E4089">
        <f t="shared" si="147"/>
        <v>12</v>
      </c>
    </row>
    <row r="4090" spans="1:5" x14ac:dyDescent="0.3">
      <c r="A4090" t="s">
        <v>4215</v>
      </c>
      <c r="B4090" t="s">
        <v>127</v>
      </c>
      <c r="C4090">
        <v>177</v>
      </c>
      <c r="D4090">
        <f t="shared" si="146"/>
        <v>2013</v>
      </c>
      <c r="E4090">
        <f t="shared" si="147"/>
        <v>12</v>
      </c>
    </row>
    <row r="4091" spans="1:5" x14ac:dyDescent="0.3">
      <c r="A4091" t="s">
        <v>4216</v>
      </c>
      <c r="B4091" t="s">
        <v>127</v>
      </c>
      <c r="C4091">
        <v>177</v>
      </c>
      <c r="D4091">
        <f t="shared" si="146"/>
        <v>2014</v>
      </c>
      <c r="E4091">
        <f t="shared" si="147"/>
        <v>1</v>
      </c>
    </row>
    <row r="4092" spans="1:5" x14ac:dyDescent="0.3">
      <c r="A4092" t="s">
        <v>4217</v>
      </c>
      <c r="B4092" t="s">
        <v>127</v>
      </c>
      <c r="C4092">
        <v>182</v>
      </c>
      <c r="D4092">
        <f t="shared" si="146"/>
        <v>2014</v>
      </c>
      <c r="E4092">
        <f t="shared" si="147"/>
        <v>1</v>
      </c>
    </row>
    <row r="4093" spans="1:5" x14ac:dyDescent="0.3">
      <c r="A4093" t="s">
        <v>4218</v>
      </c>
      <c r="B4093" t="s">
        <v>127</v>
      </c>
      <c r="C4093">
        <v>181</v>
      </c>
      <c r="D4093">
        <f t="shared" si="146"/>
        <v>2014</v>
      </c>
      <c r="E4093">
        <f t="shared" si="147"/>
        <v>1</v>
      </c>
    </row>
    <row r="4094" spans="1:5" x14ac:dyDescent="0.3">
      <c r="A4094" t="s">
        <v>4219</v>
      </c>
      <c r="B4094" t="s">
        <v>127</v>
      </c>
      <c r="C4094">
        <v>184</v>
      </c>
      <c r="D4094">
        <f t="shared" si="146"/>
        <v>2014</v>
      </c>
      <c r="E4094">
        <f t="shared" si="147"/>
        <v>1</v>
      </c>
    </row>
    <row r="4095" spans="1:5" x14ac:dyDescent="0.3">
      <c r="A4095" t="s">
        <v>4220</v>
      </c>
      <c r="B4095" t="s">
        <v>127</v>
      </c>
      <c r="C4095">
        <v>189</v>
      </c>
      <c r="D4095">
        <f t="shared" si="146"/>
        <v>2014</v>
      </c>
      <c r="E4095">
        <f t="shared" si="147"/>
        <v>1</v>
      </c>
    </row>
    <row r="4096" spans="1:5" x14ac:dyDescent="0.3">
      <c r="A4096" t="s">
        <v>4221</v>
      </c>
      <c r="B4096" t="s">
        <v>127</v>
      </c>
      <c r="C4096">
        <v>187</v>
      </c>
      <c r="D4096">
        <f t="shared" si="146"/>
        <v>2014</v>
      </c>
      <c r="E4096">
        <f t="shared" si="147"/>
        <v>1</v>
      </c>
    </row>
    <row r="4097" spans="1:5" x14ac:dyDescent="0.3">
      <c r="A4097" t="s">
        <v>4222</v>
      </c>
      <c r="B4097" t="s">
        <v>127</v>
      </c>
      <c r="C4097">
        <v>187</v>
      </c>
      <c r="D4097">
        <f t="shared" si="146"/>
        <v>2014</v>
      </c>
      <c r="E4097">
        <f t="shared" si="147"/>
        <v>1</v>
      </c>
    </row>
    <row r="4098" spans="1:5" x14ac:dyDescent="0.3">
      <c r="A4098" t="s">
        <v>4223</v>
      </c>
      <c r="B4098" t="s">
        <v>127</v>
      </c>
      <c r="C4098">
        <v>194</v>
      </c>
      <c r="D4098">
        <f t="shared" si="146"/>
        <v>2014</v>
      </c>
      <c r="E4098">
        <f t="shared" si="147"/>
        <v>1</v>
      </c>
    </row>
    <row r="4099" spans="1:5" x14ac:dyDescent="0.3">
      <c r="A4099" t="s">
        <v>4224</v>
      </c>
      <c r="B4099" t="s">
        <v>127</v>
      </c>
      <c r="C4099">
        <v>197</v>
      </c>
      <c r="D4099">
        <f t="shared" ref="D4099:D4162" si="148">YEAR(A4099)</f>
        <v>2014</v>
      </c>
      <c r="E4099">
        <f t="shared" ref="E4099:E4162" si="149">MONTH(A4099)</f>
        <v>1</v>
      </c>
    </row>
    <row r="4100" spans="1:5" x14ac:dyDescent="0.3">
      <c r="A4100" t="s">
        <v>4225</v>
      </c>
      <c r="B4100" t="s">
        <v>127</v>
      </c>
      <c r="C4100">
        <v>193</v>
      </c>
      <c r="D4100">
        <f t="shared" si="148"/>
        <v>2014</v>
      </c>
      <c r="E4100">
        <f t="shared" si="149"/>
        <v>1</v>
      </c>
    </row>
    <row r="4101" spans="1:5" x14ac:dyDescent="0.3">
      <c r="A4101" t="s">
        <v>4226</v>
      </c>
      <c r="B4101" t="s">
        <v>127</v>
      </c>
      <c r="C4101">
        <v>190</v>
      </c>
      <c r="D4101">
        <f t="shared" si="148"/>
        <v>2014</v>
      </c>
      <c r="E4101">
        <f t="shared" si="149"/>
        <v>1</v>
      </c>
    </row>
    <row r="4102" spans="1:5" x14ac:dyDescent="0.3">
      <c r="A4102" t="s">
        <v>4227</v>
      </c>
      <c r="B4102" t="s">
        <v>127</v>
      </c>
      <c r="C4102">
        <v>192</v>
      </c>
      <c r="D4102">
        <f t="shared" si="148"/>
        <v>2014</v>
      </c>
      <c r="E4102">
        <f t="shared" si="149"/>
        <v>1</v>
      </c>
    </row>
    <row r="4103" spans="1:5" x14ac:dyDescent="0.3">
      <c r="A4103" t="s">
        <v>4228</v>
      </c>
      <c r="B4103" t="s">
        <v>127</v>
      </c>
      <c r="C4103">
        <v>193</v>
      </c>
      <c r="D4103">
        <f t="shared" si="148"/>
        <v>2014</v>
      </c>
      <c r="E4103">
        <f t="shared" si="149"/>
        <v>1</v>
      </c>
    </row>
    <row r="4104" spans="1:5" x14ac:dyDescent="0.3">
      <c r="A4104" t="s">
        <v>4229</v>
      </c>
      <c r="B4104" t="s">
        <v>127</v>
      </c>
      <c r="C4104">
        <v>193</v>
      </c>
      <c r="D4104">
        <f t="shared" si="148"/>
        <v>2014</v>
      </c>
      <c r="E4104">
        <f t="shared" si="149"/>
        <v>1</v>
      </c>
    </row>
    <row r="4105" spans="1:5" x14ac:dyDescent="0.3">
      <c r="A4105" t="s">
        <v>4230</v>
      </c>
      <c r="B4105" t="s">
        <v>127</v>
      </c>
      <c r="C4105">
        <v>193</v>
      </c>
      <c r="D4105">
        <f t="shared" si="148"/>
        <v>2014</v>
      </c>
      <c r="E4105">
        <f t="shared" si="149"/>
        <v>1</v>
      </c>
    </row>
    <row r="4106" spans="1:5" x14ac:dyDescent="0.3">
      <c r="A4106" t="s">
        <v>4231</v>
      </c>
      <c r="B4106" t="s">
        <v>127</v>
      </c>
      <c r="C4106">
        <v>195</v>
      </c>
      <c r="D4106">
        <f t="shared" si="148"/>
        <v>2014</v>
      </c>
      <c r="E4106">
        <f t="shared" si="149"/>
        <v>1</v>
      </c>
    </row>
    <row r="4107" spans="1:5" x14ac:dyDescent="0.3">
      <c r="A4107" t="s">
        <v>4232</v>
      </c>
      <c r="B4107" t="s">
        <v>127</v>
      </c>
      <c r="C4107">
        <v>204</v>
      </c>
      <c r="D4107">
        <f t="shared" si="148"/>
        <v>2014</v>
      </c>
      <c r="E4107">
        <f t="shared" si="149"/>
        <v>1</v>
      </c>
    </row>
    <row r="4108" spans="1:5" x14ac:dyDescent="0.3">
      <c r="A4108" t="s">
        <v>4233</v>
      </c>
      <c r="B4108" t="s">
        <v>127</v>
      </c>
      <c r="C4108">
        <v>209</v>
      </c>
      <c r="D4108">
        <f t="shared" si="148"/>
        <v>2014</v>
      </c>
      <c r="E4108">
        <f t="shared" si="149"/>
        <v>1</v>
      </c>
    </row>
    <row r="4109" spans="1:5" x14ac:dyDescent="0.3">
      <c r="A4109" t="s">
        <v>4234</v>
      </c>
      <c r="B4109" t="s">
        <v>127</v>
      </c>
      <c r="C4109">
        <v>209</v>
      </c>
      <c r="D4109">
        <f t="shared" si="148"/>
        <v>2014</v>
      </c>
      <c r="E4109">
        <f t="shared" si="149"/>
        <v>1</v>
      </c>
    </row>
    <row r="4110" spans="1:5" x14ac:dyDescent="0.3">
      <c r="A4110" t="s">
        <v>4235</v>
      </c>
      <c r="B4110" t="s">
        <v>127</v>
      </c>
      <c r="C4110">
        <v>209</v>
      </c>
      <c r="D4110">
        <f t="shared" si="148"/>
        <v>2014</v>
      </c>
      <c r="E4110">
        <f t="shared" si="149"/>
        <v>1</v>
      </c>
    </row>
    <row r="4111" spans="1:5" x14ac:dyDescent="0.3">
      <c r="A4111" t="s">
        <v>4236</v>
      </c>
      <c r="B4111" t="s">
        <v>127</v>
      </c>
      <c r="C4111">
        <v>219</v>
      </c>
      <c r="D4111">
        <f t="shared" si="148"/>
        <v>2014</v>
      </c>
      <c r="E4111">
        <f t="shared" si="149"/>
        <v>1</v>
      </c>
    </row>
    <row r="4112" spans="1:5" x14ac:dyDescent="0.3">
      <c r="A4112" t="s">
        <v>4237</v>
      </c>
      <c r="B4112" t="s">
        <v>127</v>
      </c>
      <c r="C4112">
        <v>219</v>
      </c>
      <c r="D4112">
        <f t="shared" si="148"/>
        <v>2014</v>
      </c>
      <c r="E4112">
        <f t="shared" si="149"/>
        <v>1</v>
      </c>
    </row>
    <row r="4113" spans="1:5" x14ac:dyDescent="0.3">
      <c r="A4113" t="s">
        <v>4238</v>
      </c>
      <c r="B4113" t="s">
        <v>127</v>
      </c>
      <c r="C4113">
        <v>219</v>
      </c>
      <c r="D4113">
        <f t="shared" si="148"/>
        <v>2014</v>
      </c>
      <c r="E4113">
        <f t="shared" si="149"/>
        <v>1</v>
      </c>
    </row>
    <row r="4114" spans="1:5" x14ac:dyDescent="0.3">
      <c r="A4114" t="s">
        <v>4239</v>
      </c>
      <c r="B4114" t="s">
        <v>127</v>
      </c>
      <c r="C4114">
        <v>227</v>
      </c>
      <c r="D4114">
        <f t="shared" si="148"/>
        <v>2014</v>
      </c>
      <c r="E4114">
        <f t="shared" si="149"/>
        <v>2</v>
      </c>
    </row>
    <row r="4115" spans="1:5" x14ac:dyDescent="0.3">
      <c r="A4115" t="s">
        <v>4240</v>
      </c>
      <c r="B4115" t="s">
        <v>127</v>
      </c>
      <c r="C4115">
        <v>217</v>
      </c>
      <c r="D4115">
        <f t="shared" si="148"/>
        <v>2014</v>
      </c>
      <c r="E4115">
        <f t="shared" si="149"/>
        <v>2</v>
      </c>
    </row>
    <row r="4116" spans="1:5" x14ac:dyDescent="0.3">
      <c r="A4116" t="s">
        <v>4241</v>
      </c>
      <c r="B4116" t="s">
        <v>127</v>
      </c>
      <c r="C4116">
        <v>206</v>
      </c>
      <c r="D4116">
        <f t="shared" si="148"/>
        <v>2014</v>
      </c>
      <c r="E4116">
        <f t="shared" si="149"/>
        <v>2</v>
      </c>
    </row>
    <row r="4117" spans="1:5" x14ac:dyDescent="0.3">
      <c r="A4117" t="s">
        <v>4242</v>
      </c>
      <c r="B4117" t="s">
        <v>127</v>
      </c>
      <c r="C4117">
        <v>200</v>
      </c>
      <c r="D4117">
        <f t="shared" si="148"/>
        <v>2014</v>
      </c>
      <c r="E4117">
        <f t="shared" si="149"/>
        <v>2</v>
      </c>
    </row>
    <row r="4118" spans="1:5" x14ac:dyDescent="0.3">
      <c r="A4118" t="s">
        <v>4243</v>
      </c>
      <c r="B4118" t="s">
        <v>127</v>
      </c>
      <c r="C4118">
        <v>195</v>
      </c>
      <c r="D4118">
        <f t="shared" si="148"/>
        <v>2014</v>
      </c>
      <c r="E4118">
        <f t="shared" si="149"/>
        <v>2</v>
      </c>
    </row>
    <row r="4119" spans="1:5" x14ac:dyDescent="0.3">
      <c r="A4119" t="s">
        <v>4244</v>
      </c>
      <c r="B4119" t="s">
        <v>127</v>
      </c>
      <c r="C4119">
        <v>195</v>
      </c>
      <c r="D4119">
        <f t="shared" si="148"/>
        <v>2014</v>
      </c>
      <c r="E4119">
        <f t="shared" si="149"/>
        <v>2</v>
      </c>
    </row>
    <row r="4120" spans="1:5" x14ac:dyDescent="0.3">
      <c r="A4120" t="s">
        <v>4245</v>
      </c>
      <c r="B4120" t="s">
        <v>127</v>
      </c>
      <c r="C4120">
        <v>192</v>
      </c>
      <c r="D4120">
        <f t="shared" si="148"/>
        <v>2014</v>
      </c>
      <c r="E4120">
        <f t="shared" si="149"/>
        <v>2</v>
      </c>
    </row>
    <row r="4121" spans="1:5" x14ac:dyDescent="0.3">
      <c r="A4121" t="s">
        <v>4246</v>
      </c>
      <c r="B4121" t="s">
        <v>127</v>
      </c>
      <c r="C4121">
        <v>189</v>
      </c>
      <c r="D4121">
        <f t="shared" si="148"/>
        <v>2014</v>
      </c>
      <c r="E4121">
        <f t="shared" si="149"/>
        <v>2</v>
      </c>
    </row>
    <row r="4122" spans="1:5" x14ac:dyDescent="0.3">
      <c r="A4122" t="s">
        <v>4247</v>
      </c>
      <c r="B4122" t="s">
        <v>127</v>
      </c>
      <c r="C4122">
        <v>192</v>
      </c>
      <c r="D4122">
        <f t="shared" si="148"/>
        <v>2014</v>
      </c>
      <c r="E4122">
        <f t="shared" si="149"/>
        <v>2</v>
      </c>
    </row>
    <row r="4123" spans="1:5" x14ac:dyDescent="0.3">
      <c r="A4123" t="s">
        <v>4248</v>
      </c>
      <c r="B4123" t="s">
        <v>127</v>
      </c>
      <c r="C4123">
        <v>191</v>
      </c>
      <c r="D4123">
        <f t="shared" si="148"/>
        <v>2014</v>
      </c>
      <c r="E4123">
        <f t="shared" si="149"/>
        <v>2</v>
      </c>
    </row>
    <row r="4124" spans="1:5" x14ac:dyDescent="0.3">
      <c r="A4124" t="s">
        <v>4249</v>
      </c>
      <c r="B4124" t="s">
        <v>127</v>
      </c>
      <c r="C4124">
        <v>191</v>
      </c>
      <c r="D4124">
        <f t="shared" si="148"/>
        <v>2014</v>
      </c>
      <c r="E4124">
        <f t="shared" si="149"/>
        <v>2</v>
      </c>
    </row>
    <row r="4125" spans="1:5" x14ac:dyDescent="0.3">
      <c r="A4125" t="s">
        <v>4250</v>
      </c>
      <c r="B4125" t="s">
        <v>127</v>
      </c>
      <c r="C4125">
        <v>193</v>
      </c>
      <c r="D4125">
        <f t="shared" si="148"/>
        <v>2014</v>
      </c>
      <c r="E4125">
        <f t="shared" si="149"/>
        <v>2</v>
      </c>
    </row>
    <row r="4126" spans="1:5" x14ac:dyDescent="0.3">
      <c r="A4126" t="s">
        <v>4251</v>
      </c>
      <c r="B4126" t="s">
        <v>127</v>
      </c>
      <c r="C4126">
        <v>190</v>
      </c>
      <c r="D4126">
        <f t="shared" si="148"/>
        <v>2014</v>
      </c>
      <c r="E4126">
        <f t="shared" si="149"/>
        <v>2</v>
      </c>
    </row>
    <row r="4127" spans="1:5" x14ac:dyDescent="0.3">
      <c r="A4127" t="s">
        <v>4252</v>
      </c>
      <c r="B4127" t="s">
        <v>127</v>
      </c>
      <c r="C4127">
        <v>190</v>
      </c>
      <c r="D4127">
        <f t="shared" si="148"/>
        <v>2014</v>
      </c>
      <c r="E4127">
        <f t="shared" si="149"/>
        <v>2</v>
      </c>
    </row>
    <row r="4128" spans="1:5" x14ac:dyDescent="0.3">
      <c r="A4128" t="s">
        <v>4253</v>
      </c>
      <c r="B4128" t="s">
        <v>127</v>
      </c>
      <c r="C4128">
        <v>191</v>
      </c>
      <c r="D4128">
        <f t="shared" si="148"/>
        <v>2014</v>
      </c>
      <c r="E4128">
        <f t="shared" si="149"/>
        <v>2</v>
      </c>
    </row>
    <row r="4129" spans="1:5" x14ac:dyDescent="0.3">
      <c r="A4129" t="s">
        <v>4254</v>
      </c>
      <c r="B4129" t="s">
        <v>127</v>
      </c>
      <c r="C4129">
        <v>187</v>
      </c>
      <c r="D4129">
        <f t="shared" si="148"/>
        <v>2014</v>
      </c>
      <c r="E4129">
        <f t="shared" si="149"/>
        <v>2</v>
      </c>
    </row>
    <row r="4130" spans="1:5" x14ac:dyDescent="0.3">
      <c r="A4130" t="s">
        <v>4255</v>
      </c>
      <c r="B4130" t="s">
        <v>127</v>
      </c>
      <c r="C4130">
        <v>191</v>
      </c>
      <c r="D4130">
        <f t="shared" si="148"/>
        <v>2014</v>
      </c>
      <c r="E4130">
        <f t="shared" si="149"/>
        <v>2</v>
      </c>
    </row>
    <row r="4131" spans="1:5" x14ac:dyDescent="0.3">
      <c r="A4131" t="s">
        <v>4256</v>
      </c>
      <c r="B4131" t="s">
        <v>127</v>
      </c>
      <c r="C4131">
        <v>195</v>
      </c>
      <c r="D4131">
        <f t="shared" si="148"/>
        <v>2014</v>
      </c>
      <c r="E4131">
        <f t="shared" si="149"/>
        <v>2</v>
      </c>
    </row>
    <row r="4132" spans="1:5" x14ac:dyDescent="0.3">
      <c r="A4132" t="s">
        <v>4257</v>
      </c>
      <c r="B4132" t="s">
        <v>127</v>
      </c>
      <c r="C4132">
        <v>193</v>
      </c>
      <c r="D4132">
        <f t="shared" si="148"/>
        <v>2014</v>
      </c>
      <c r="E4132">
        <f t="shared" si="149"/>
        <v>2</v>
      </c>
    </row>
    <row r="4133" spans="1:5" x14ac:dyDescent="0.3">
      <c r="A4133" t="s">
        <v>4258</v>
      </c>
      <c r="B4133" t="s">
        <v>127</v>
      </c>
      <c r="C4133">
        <v>195</v>
      </c>
      <c r="D4133">
        <f t="shared" si="148"/>
        <v>2014</v>
      </c>
      <c r="E4133">
        <f t="shared" si="149"/>
        <v>2</v>
      </c>
    </row>
    <row r="4134" spans="1:5" x14ac:dyDescent="0.3">
      <c r="A4134" t="s">
        <v>4259</v>
      </c>
      <c r="B4134" t="s">
        <v>127</v>
      </c>
      <c r="C4134">
        <v>199</v>
      </c>
      <c r="D4134">
        <f t="shared" si="148"/>
        <v>2014</v>
      </c>
      <c r="E4134">
        <f t="shared" si="149"/>
        <v>3</v>
      </c>
    </row>
    <row r="4135" spans="1:5" x14ac:dyDescent="0.3">
      <c r="A4135" t="s">
        <v>4260</v>
      </c>
      <c r="B4135" t="s">
        <v>127</v>
      </c>
      <c r="C4135">
        <v>187</v>
      </c>
      <c r="D4135">
        <f t="shared" si="148"/>
        <v>2014</v>
      </c>
      <c r="E4135">
        <f t="shared" si="149"/>
        <v>3</v>
      </c>
    </row>
    <row r="4136" spans="1:5" x14ac:dyDescent="0.3">
      <c r="A4136" t="s">
        <v>4261</v>
      </c>
      <c r="B4136" t="s">
        <v>127</v>
      </c>
      <c r="C4136">
        <v>182</v>
      </c>
      <c r="D4136">
        <f t="shared" si="148"/>
        <v>2014</v>
      </c>
      <c r="E4136">
        <f t="shared" si="149"/>
        <v>3</v>
      </c>
    </row>
    <row r="4137" spans="1:5" x14ac:dyDescent="0.3">
      <c r="A4137" t="s">
        <v>4262</v>
      </c>
      <c r="B4137" t="s">
        <v>127</v>
      </c>
      <c r="C4137">
        <v>178</v>
      </c>
      <c r="D4137">
        <f t="shared" si="148"/>
        <v>2014</v>
      </c>
      <c r="E4137">
        <f t="shared" si="149"/>
        <v>3</v>
      </c>
    </row>
    <row r="4138" spans="1:5" x14ac:dyDescent="0.3">
      <c r="A4138" t="s">
        <v>4263</v>
      </c>
      <c r="B4138" t="s">
        <v>127</v>
      </c>
      <c r="C4138">
        <v>177</v>
      </c>
      <c r="D4138">
        <f t="shared" si="148"/>
        <v>2014</v>
      </c>
      <c r="E4138">
        <f t="shared" si="149"/>
        <v>3</v>
      </c>
    </row>
    <row r="4139" spans="1:5" x14ac:dyDescent="0.3">
      <c r="A4139" t="s">
        <v>4264</v>
      </c>
      <c r="B4139" t="s">
        <v>127</v>
      </c>
      <c r="C4139">
        <v>178</v>
      </c>
      <c r="D4139">
        <f t="shared" si="148"/>
        <v>2014</v>
      </c>
      <c r="E4139">
        <f t="shared" si="149"/>
        <v>3</v>
      </c>
    </row>
    <row r="4140" spans="1:5" x14ac:dyDescent="0.3">
      <c r="A4140" t="s">
        <v>4265</v>
      </c>
      <c r="B4140" t="s">
        <v>127</v>
      </c>
      <c r="C4140">
        <v>182</v>
      </c>
      <c r="D4140">
        <f t="shared" si="148"/>
        <v>2014</v>
      </c>
      <c r="E4140">
        <f t="shared" si="149"/>
        <v>3</v>
      </c>
    </row>
    <row r="4141" spans="1:5" x14ac:dyDescent="0.3">
      <c r="A4141" t="s">
        <v>4266</v>
      </c>
      <c r="B4141" t="s">
        <v>127</v>
      </c>
      <c r="C4141">
        <v>185</v>
      </c>
      <c r="D4141">
        <f t="shared" si="148"/>
        <v>2014</v>
      </c>
      <c r="E4141">
        <f t="shared" si="149"/>
        <v>3</v>
      </c>
    </row>
    <row r="4142" spans="1:5" x14ac:dyDescent="0.3">
      <c r="A4142" t="s">
        <v>4267</v>
      </c>
      <c r="B4142" t="s">
        <v>127</v>
      </c>
      <c r="C4142">
        <v>194</v>
      </c>
      <c r="D4142">
        <f t="shared" si="148"/>
        <v>2014</v>
      </c>
      <c r="E4142">
        <f t="shared" si="149"/>
        <v>3</v>
      </c>
    </row>
    <row r="4143" spans="1:5" x14ac:dyDescent="0.3">
      <c r="A4143" t="s">
        <v>4268</v>
      </c>
      <c r="B4143" t="s">
        <v>127</v>
      </c>
      <c r="C4143">
        <v>195</v>
      </c>
      <c r="D4143">
        <f t="shared" si="148"/>
        <v>2014</v>
      </c>
      <c r="E4143">
        <f t="shared" si="149"/>
        <v>3</v>
      </c>
    </row>
    <row r="4144" spans="1:5" x14ac:dyDescent="0.3">
      <c r="A4144" t="s">
        <v>4269</v>
      </c>
      <c r="B4144" t="s">
        <v>127</v>
      </c>
      <c r="C4144">
        <v>193</v>
      </c>
      <c r="D4144">
        <f t="shared" si="148"/>
        <v>2014</v>
      </c>
      <c r="E4144">
        <f t="shared" si="149"/>
        <v>3</v>
      </c>
    </row>
    <row r="4145" spans="1:5" x14ac:dyDescent="0.3">
      <c r="A4145" t="s">
        <v>4270</v>
      </c>
      <c r="B4145" t="s">
        <v>127</v>
      </c>
      <c r="C4145">
        <v>191</v>
      </c>
      <c r="D4145">
        <f t="shared" si="148"/>
        <v>2014</v>
      </c>
      <c r="E4145">
        <f t="shared" si="149"/>
        <v>3</v>
      </c>
    </row>
    <row r="4146" spans="1:5" x14ac:dyDescent="0.3">
      <c r="A4146" t="s">
        <v>4271</v>
      </c>
      <c r="B4146" t="s">
        <v>127</v>
      </c>
      <c r="C4146">
        <v>189</v>
      </c>
      <c r="D4146">
        <f t="shared" si="148"/>
        <v>2014</v>
      </c>
      <c r="E4146">
        <f t="shared" si="149"/>
        <v>3</v>
      </c>
    </row>
    <row r="4147" spans="1:5" x14ac:dyDescent="0.3">
      <c r="A4147" t="s">
        <v>4272</v>
      </c>
      <c r="B4147" t="s">
        <v>127</v>
      </c>
      <c r="C4147">
        <v>194</v>
      </c>
      <c r="D4147">
        <f t="shared" si="148"/>
        <v>2014</v>
      </c>
      <c r="E4147">
        <f t="shared" si="149"/>
        <v>3</v>
      </c>
    </row>
    <row r="4148" spans="1:5" x14ac:dyDescent="0.3">
      <c r="A4148" t="s">
        <v>4273</v>
      </c>
      <c r="B4148" t="s">
        <v>127</v>
      </c>
      <c r="C4148">
        <v>195</v>
      </c>
      <c r="D4148">
        <f t="shared" si="148"/>
        <v>2014</v>
      </c>
      <c r="E4148">
        <f t="shared" si="149"/>
        <v>3</v>
      </c>
    </row>
    <row r="4149" spans="1:5" x14ac:dyDescent="0.3">
      <c r="A4149" t="s">
        <v>4274</v>
      </c>
      <c r="B4149" t="s">
        <v>127</v>
      </c>
      <c r="C4149">
        <v>196</v>
      </c>
      <c r="D4149">
        <f t="shared" si="148"/>
        <v>2014</v>
      </c>
      <c r="E4149">
        <f t="shared" si="149"/>
        <v>3</v>
      </c>
    </row>
    <row r="4150" spans="1:5" x14ac:dyDescent="0.3">
      <c r="A4150" t="s">
        <v>4275</v>
      </c>
      <c r="B4150" t="s">
        <v>127</v>
      </c>
      <c r="C4150">
        <v>191</v>
      </c>
      <c r="D4150">
        <f t="shared" si="148"/>
        <v>2014</v>
      </c>
      <c r="E4150">
        <f t="shared" si="149"/>
        <v>3</v>
      </c>
    </row>
    <row r="4151" spans="1:5" x14ac:dyDescent="0.3">
      <c r="A4151" t="s">
        <v>4276</v>
      </c>
      <c r="B4151" t="s">
        <v>127</v>
      </c>
      <c r="C4151">
        <v>187</v>
      </c>
      <c r="D4151">
        <f t="shared" si="148"/>
        <v>2014</v>
      </c>
      <c r="E4151">
        <f t="shared" si="149"/>
        <v>3</v>
      </c>
    </row>
    <row r="4152" spans="1:5" x14ac:dyDescent="0.3">
      <c r="A4152" t="s">
        <v>4277</v>
      </c>
      <c r="B4152" t="s">
        <v>127</v>
      </c>
      <c r="C4152">
        <v>184</v>
      </c>
      <c r="D4152">
        <f t="shared" si="148"/>
        <v>2014</v>
      </c>
      <c r="E4152">
        <f t="shared" si="149"/>
        <v>3</v>
      </c>
    </row>
    <row r="4153" spans="1:5" x14ac:dyDescent="0.3">
      <c r="A4153" t="s">
        <v>4278</v>
      </c>
      <c r="B4153" t="s">
        <v>127</v>
      </c>
      <c r="C4153">
        <v>182</v>
      </c>
      <c r="D4153">
        <f t="shared" si="148"/>
        <v>2014</v>
      </c>
      <c r="E4153">
        <f t="shared" si="149"/>
        <v>3</v>
      </c>
    </row>
    <row r="4154" spans="1:5" x14ac:dyDescent="0.3">
      <c r="A4154" t="s">
        <v>4279</v>
      </c>
      <c r="B4154" t="s">
        <v>127</v>
      </c>
      <c r="C4154">
        <v>182</v>
      </c>
      <c r="D4154">
        <f t="shared" si="148"/>
        <v>2014</v>
      </c>
      <c r="E4154">
        <f t="shared" si="149"/>
        <v>3</v>
      </c>
    </row>
    <row r="4155" spans="1:5" x14ac:dyDescent="0.3">
      <c r="A4155" t="s">
        <v>4280</v>
      </c>
      <c r="B4155" t="s">
        <v>127</v>
      </c>
      <c r="C4155">
        <v>173</v>
      </c>
      <c r="D4155">
        <f t="shared" si="148"/>
        <v>2014</v>
      </c>
      <c r="E4155">
        <f t="shared" si="149"/>
        <v>4</v>
      </c>
    </row>
    <row r="4156" spans="1:5" x14ac:dyDescent="0.3">
      <c r="A4156" t="s">
        <v>4281</v>
      </c>
      <c r="B4156" t="s">
        <v>127</v>
      </c>
      <c r="C4156">
        <v>172</v>
      </c>
      <c r="D4156">
        <f t="shared" si="148"/>
        <v>2014</v>
      </c>
      <c r="E4156">
        <f t="shared" si="149"/>
        <v>4</v>
      </c>
    </row>
    <row r="4157" spans="1:5" x14ac:dyDescent="0.3">
      <c r="A4157" t="s">
        <v>4282</v>
      </c>
      <c r="B4157" t="s">
        <v>127</v>
      </c>
      <c r="C4157">
        <v>173</v>
      </c>
      <c r="D4157">
        <f t="shared" si="148"/>
        <v>2014</v>
      </c>
      <c r="E4157">
        <f t="shared" si="149"/>
        <v>4</v>
      </c>
    </row>
    <row r="4158" spans="1:5" x14ac:dyDescent="0.3">
      <c r="A4158" t="s">
        <v>4283</v>
      </c>
      <c r="B4158" t="s">
        <v>127</v>
      </c>
      <c r="C4158">
        <v>174</v>
      </c>
      <c r="D4158">
        <f t="shared" si="148"/>
        <v>2014</v>
      </c>
      <c r="E4158">
        <f t="shared" si="149"/>
        <v>4</v>
      </c>
    </row>
    <row r="4159" spans="1:5" x14ac:dyDescent="0.3">
      <c r="A4159" t="s">
        <v>4284</v>
      </c>
      <c r="B4159" t="s">
        <v>127</v>
      </c>
      <c r="C4159">
        <v>174</v>
      </c>
      <c r="D4159">
        <f t="shared" si="148"/>
        <v>2014</v>
      </c>
      <c r="E4159">
        <f t="shared" si="149"/>
        <v>4</v>
      </c>
    </row>
    <row r="4160" spans="1:5" x14ac:dyDescent="0.3">
      <c r="A4160" t="s">
        <v>4285</v>
      </c>
      <c r="B4160" t="s">
        <v>127</v>
      </c>
      <c r="C4160">
        <v>177</v>
      </c>
      <c r="D4160">
        <f t="shared" si="148"/>
        <v>2014</v>
      </c>
      <c r="E4160">
        <f t="shared" si="149"/>
        <v>4</v>
      </c>
    </row>
    <row r="4161" spans="1:5" x14ac:dyDescent="0.3">
      <c r="A4161" t="s">
        <v>4286</v>
      </c>
      <c r="B4161" t="s">
        <v>127</v>
      </c>
      <c r="C4161">
        <v>176</v>
      </c>
      <c r="D4161">
        <f t="shared" si="148"/>
        <v>2014</v>
      </c>
      <c r="E4161">
        <f t="shared" si="149"/>
        <v>4</v>
      </c>
    </row>
    <row r="4162" spans="1:5" x14ac:dyDescent="0.3">
      <c r="A4162" t="s">
        <v>4287</v>
      </c>
      <c r="B4162" t="s">
        <v>127</v>
      </c>
      <c r="C4162">
        <v>179</v>
      </c>
      <c r="D4162">
        <f t="shared" si="148"/>
        <v>2014</v>
      </c>
      <c r="E4162">
        <f t="shared" si="149"/>
        <v>4</v>
      </c>
    </row>
    <row r="4163" spans="1:5" x14ac:dyDescent="0.3">
      <c r="A4163" t="s">
        <v>4288</v>
      </c>
      <c r="B4163" t="s">
        <v>127</v>
      </c>
      <c r="C4163">
        <v>183</v>
      </c>
      <c r="D4163">
        <f t="shared" ref="D4163:D4226" si="150">YEAR(A4163)</f>
        <v>2014</v>
      </c>
      <c r="E4163">
        <f t="shared" ref="E4163:E4226" si="151">MONTH(A4163)</f>
        <v>4</v>
      </c>
    </row>
    <row r="4164" spans="1:5" x14ac:dyDescent="0.3">
      <c r="A4164" t="s">
        <v>4289</v>
      </c>
      <c r="B4164" t="s">
        <v>127</v>
      </c>
      <c r="C4164">
        <v>182</v>
      </c>
      <c r="D4164">
        <f t="shared" si="150"/>
        <v>2014</v>
      </c>
      <c r="E4164">
        <f t="shared" si="151"/>
        <v>4</v>
      </c>
    </row>
    <row r="4165" spans="1:5" x14ac:dyDescent="0.3">
      <c r="A4165" t="s">
        <v>4290</v>
      </c>
      <c r="B4165" t="s">
        <v>127</v>
      </c>
      <c r="C4165">
        <v>185</v>
      </c>
      <c r="D4165">
        <f t="shared" si="150"/>
        <v>2014</v>
      </c>
      <c r="E4165">
        <f t="shared" si="151"/>
        <v>4</v>
      </c>
    </row>
    <row r="4166" spans="1:5" x14ac:dyDescent="0.3">
      <c r="A4166" t="s">
        <v>4291</v>
      </c>
      <c r="B4166" t="s">
        <v>127</v>
      </c>
      <c r="C4166">
        <v>184</v>
      </c>
      <c r="D4166">
        <f t="shared" si="150"/>
        <v>2014</v>
      </c>
      <c r="E4166">
        <f t="shared" si="151"/>
        <v>4</v>
      </c>
    </row>
    <row r="4167" spans="1:5" x14ac:dyDescent="0.3">
      <c r="A4167" t="s">
        <v>4292</v>
      </c>
      <c r="B4167" t="s">
        <v>127</v>
      </c>
      <c r="C4167">
        <v>176</v>
      </c>
      <c r="D4167">
        <f t="shared" si="150"/>
        <v>2014</v>
      </c>
      <c r="E4167">
        <f t="shared" si="151"/>
        <v>4</v>
      </c>
    </row>
    <row r="4168" spans="1:5" x14ac:dyDescent="0.3">
      <c r="A4168" t="s">
        <v>4293</v>
      </c>
      <c r="B4168" t="s">
        <v>127</v>
      </c>
      <c r="C4168">
        <v>176</v>
      </c>
      <c r="D4168">
        <f t="shared" si="150"/>
        <v>2014</v>
      </c>
      <c r="E4168">
        <f t="shared" si="151"/>
        <v>4</v>
      </c>
    </row>
    <row r="4169" spans="1:5" x14ac:dyDescent="0.3">
      <c r="A4169" t="s">
        <v>4294</v>
      </c>
      <c r="B4169" t="s">
        <v>127</v>
      </c>
      <c r="C4169">
        <v>176</v>
      </c>
      <c r="D4169">
        <f t="shared" si="150"/>
        <v>2014</v>
      </c>
      <c r="E4169">
        <f t="shared" si="151"/>
        <v>4</v>
      </c>
    </row>
    <row r="4170" spans="1:5" x14ac:dyDescent="0.3">
      <c r="A4170" t="s">
        <v>4295</v>
      </c>
      <c r="B4170" t="s">
        <v>127</v>
      </c>
      <c r="C4170">
        <v>178</v>
      </c>
      <c r="D4170">
        <f t="shared" si="150"/>
        <v>2014</v>
      </c>
      <c r="E4170">
        <f t="shared" si="151"/>
        <v>4</v>
      </c>
    </row>
    <row r="4171" spans="1:5" x14ac:dyDescent="0.3">
      <c r="A4171" t="s">
        <v>4296</v>
      </c>
      <c r="B4171" t="s">
        <v>127</v>
      </c>
      <c r="C4171">
        <v>182</v>
      </c>
      <c r="D4171">
        <f t="shared" si="150"/>
        <v>2014</v>
      </c>
      <c r="E4171">
        <f t="shared" si="151"/>
        <v>4</v>
      </c>
    </row>
    <row r="4172" spans="1:5" x14ac:dyDescent="0.3">
      <c r="A4172" t="s">
        <v>4297</v>
      </c>
      <c r="B4172" t="s">
        <v>127</v>
      </c>
      <c r="C4172">
        <v>182</v>
      </c>
      <c r="D4172">
        <f t="shared" si="150"/>
        <v>2014</v>
      </c>
      <c r="E4172">
        <f t="shared" si="151"/>
        <v>4</v>
      </c>
    </row>
    <row r="4173" spans="1:5" x14ac:dyDescent="0.3">
      <c r="A4173" t="s">
        <v>4298</v>
      </c>
      <c r="B4173" t="s">
        <v>127</v>
      </c>
      <c r="C4173">
        <v>183</v>
      </c>
      <c r="D4173">
        <f t="shared" si="150"/>
        <v>2014</v>
      </c>
      <c r="E4173">
        <f t="shared" si="151"/>
        <v>4</v>
      </c>
    </row>
    <row r="4174" spans="1:5" x14ac:dyDescent="0.3">
      <c r="A4174" t="s">
        <v>4299</v>
      </c>
      <c r="B4174" t="s">
        <v>127</v>
      </c>
      <c r="C4174">
        <v>181</v>
      </c>
      <c r="D4174">
        <f t="shared" si="150"/>
        <v>2014</v>
      </c>
      <c r="E4174">
        <f t="shared" si="151"/>
        <v>4</v>
      </c>
    </row>
    <row r="4175" spans="1:5" x14ac:dyDescent="0.3">
      <c r="A4175" t="s">
        <v>4300</v>
      </c>
      <c r="B4175" t="s">
        <v>127</v>
      </c>
      <c r="C4175">
        <v>178</v>
      </c>
      <c r="D4175">
        <f t="shared" si="150"/>
        <v>2014</v>
      </c>
      <c r="E4175">
        <f t="shared" si="151"/>
        <v>4</v>
      </c>
    </row>
    <row r="4176" spans="1:5" x14ac:dyDescent="0.3">
      <c r="A4176" t="s">
        <v>4301</v>
      </c>
      <c r="B4176" t="s">
        <v>127</v>
      </c>
      <c r="C4176">
        <v>177</v>
      </c>
      <c r="D4176">
        <f t="shared" si="150"/>
        <v>2014</v>
      </c>
      <c r="E4176">
        <f t="shared" si="151"/>
        <v>4</v>
      </c>
    </row>
    <row r="4177" spans="1:5" x14ac:dyDescent="0.3">
      <c r="A4177" t="s">
        <v>4302</v>
      </c>
      <c r="B4177" t="s">
        <v>127</v>
      </c>
      <c r="C4177">
        <v>180</v>
      </c>
      <c r="D4177">
        <f t="shared" si="150"/>
        <v>2014</v>
      </c>
      <c r="E4177">
        <f t="shared" si="151"/>
        <v>5</v>
      </c>
    </row>
    <row r="4178" spans="1:5" x14ac:dyDescent="0.3">
      <c r="A4178" t="s">
        <v>4303</v>
      </c>
      <c r="B4178" t="s">
        <v>127</v>
      </c>
      <c r="C4178">
        <v>180</v>
      </c>
      <c r="D4178">
        <f t="shared" si="150"/>
        <v>2014</v>
      </c>
      <c r="E4178">
        <f t="shared" si="151"/>
        <v>5</v>
      </c>
    </row>
    <row r="4179" spans="1:5" x14ac:dyDescent="0.3">
      <c r="A4179" t="s">
        <v>4304</v>
      </c>
      <c r="B4179" t="s">
        <v>127</v>
      </c>
      <c r="C4179">
        <v>179</v>
      </c>
      <c r="D4179">
        <f t="shared" si="150"/>
        <v>2014</v>
      </c>
      <c r="E4179">
        <f t="shared" si="151"/>
        <v>5</v>
      </c>
    </row>
    <row r="4180" spans="1:5" x14ac:dyDescent="0.3">
      <c r="A4180" t="s">
        <v>4305</v>
      </c>
      <c r="B4180" t="s">
        <v>127</v>
      </c>
      <c r="C4180">
        <v>174</v>
      </c>
      <c r="D4180">
        <f t="shared" si="150"/>
        <v>2014</v>
      </c>
      <c r="E4180">
        <f t="shared" si="151"/>
        <v>5</v>
      </c>
    </row>
    <row r="4181" spans="1:5" x14ac:dyDescent="0.3">
      <c r="A4181" t="s">
        <v>4306</v>
      </c>
      <c r="B4181" t="s">
        <v>127</v>
      </c>
      <c r="C4181">
        <v>172</v>
      </c>
      <c r="D4181">
        <f t="shared" si="150"/>
        <v>2014</v>
      </c>
      <c r="E4181">
        <f t="shared" si="151"/>
        <v>5</v>
      </c>
    </row>
    <row r="4182" spans="1:5" x14ac:dyDescent="0.3">
      <c r="A4182" t="s">
        <v>4307</v>
      </c>
      <c r="B4182" t="s">
        <v>127</v>
      </c>
      <c r="C4182">
        <v>167</v>
      </c>
      <c r="D4182">
        <f t="shared" si="150"/>
        <v>2014</v>
      </c>
      <c r="E4182">
        <f t="shared" si="151"/>
        <v>5</v>
      </c>
    </row>
    <row r="4183" spans="1:5" x14ac:dyDescent="0.3">
      <c r="A4183" t="s">
        <v>4308</v>
      </c>
      <c r="B4183" t="s">
        <v>127</v>
      </c>
      <c r="C4183">
        <v>168</v>
      </c>
      <c r="D4183">
        <f t="shared" si="150"/>
        <v>2014</v>
      </c>
      <c r="E4183">
        <f t="shared" si="151"/>
        <v>5</v>
      </c>
    </row>
    <row r="4184" spans="1:5" x14ac:dyDescent="0.3">
      <c r="A4184" t="s">
        <v>4309</v>
      </c>
      <c r="B4184" t="s">
        <v>127</v>
      </c>
      <c r="C4184">
        <v>165</v>
      </c>
      <c r="D4184">
        <f t="shared" si="150"/>
        <v>2014</v>
      </c>
      <c r="E4184">
        <f t="shared" si="151"/>
        <v>5</v>
      </c>
    </row>
    <row r="4185" spans="1:5" x14ac:dyDescent="0.3">
      <c r="A4185" t="s">
        <v>4310</v>
      </c>
      <c r="B4185" t="s">
        <v>127</v>
      </c>
      <c r="C4185">
        <v>167</v>
      </c>
      <c r="D4185">
        <f t="shared" si="150"/>
        <v>2014</v>
      </c>
      <c r="E4185">
        <f t="shared" si="151"/>
        <v>5</v>
      </c>
    </row>
    <row r="4186" spans="1:5" x14ac:dyDescent="0.3">
      <c r="A4186" t="s">
        <v>4311</v>
      </c>
      <c r="B4186" t="s">
        <v>127</v>
      </c>
      <c r="C4186">
        <v>169</v>
      </c>
      <c r="D4186">
        <f t="shared" si="150"/>
        <v>2014</v>
      </c>
      <c r="E4186">
        <f t="shared" si="151"/>
        <v>5</v>
      </c>
    </row>
    <row r="4187" spans="1:5" x14ac:dyDescent="0.3">
      <c r="A4187" t="s">
        <v>4312</v>
      </c>
      <c r="B4187" t="s">
        <v>127</v>
      </c>
      <c r="C4187">
        <v>174</v>
      </c>
      <c r="D4187">
        <f t="shared" si="150"/>
        <v>2014</v>
      </c>
      <c r="E4187">
        <f t="shared" si="151"/>
        <v>5</v>
      </c>
    </row>
    <row r="4188" spans="1:5" x14ac:dyDescent="0.3">
      <c r="A4188" t="s">
        <v>4313</v>
      </c>
      <c r="B4188" t="s">
        <v>127</v>
      </c>
      <c r="C4188">
        <v>174</v>
      </c>
      <c r="D4188">
        <f t="shared" si="150"/>
        <v>2014</v>
      </c>
      <c r="E4188">
        <f t="shared" si="151"/>
        <v>5</v>
      </c>
    </row>
    <row r="4189" spans="1:5" x14ac:dyDescent="0.3">
      <c r="A4189" t="s">
        <v>4314</v>
      </c>
      <c r="B4189" t="s">
        <v>127</v>
      </c>
      <c r="C4189">
        <v>170</v>
      </c>
      <c r="D4189">
        <f t="shared" si="150"/>
        <v>2014</v>
      </c>
      <c r="E4189">
        <f t="shared" si="151"/>
        <v>5</v>
      </c>
    </row>
    <row r="4190" spans="1:5" x14ac:dyDescent="0.3">
      <c r="A4190" t="s">
        <v>4315</v>
      </c>
      <c r="B4190" t="s">
        <v>127</v>
      </c>
      <c r="C4190">
        <v>175</v>
      </c>
      <c r="D4190">
        <f t="shared" si="150"/>
        <v>2014</v>
      </c>
      <c r="E4190">
        <f t="shared" si="151"/>
        <v>5</v>
      </c>
    </row>
    <row r="4191" spans="1:5" x14ac:dyDescent="0.3">
      <c r="A4191" t="s">
        <v>4316</v>
      </c>
      <c r="B4191" t="s">
        <v>127</v>
      </c>
      <c r="C4191">
        <v>172</v>
      </c>
      <c r="D4191">
        <f t="shared" si="150"/>
        <v>2014</v>
      </c>
      <c r="E4191">
        <f t="shared" si="151"/>
        <v>5</v>
      </c>
    </row>
    <row r="4192" spans="1:5" x14ac:dyDescent="0.3">
      <c r="A4192" t="s">
        <v>4317</v>
      </c>
      <c r="B4192" t="s">
        <v>127</v>
      </c>
      <c r="C4192">
        <v>172</v>
      </c>
      <c r="D4192">
        <f t="shared" si="150"/>
        <v>2014</v>
      </c>
      <c r="E4192">
        <f t="shared" si="151"/>
        <v>5</v>
      </c>
    </row>
    <row r="4193" spans="1:5" x14ac:dyDescent="0.3">
      <c r="A4193" t="s">
        <v>4318</v>
      </c>
      <c r="B4193" t="s">
        <v>127</v>
      </c>
      <c r="C4193">
        <v>173</v>
      </c>
      <c r="D4193">
        <f t="shared" si="150"/>
        <v>2014</v>
      </c>
      <c r="E4193">
        <f t="shared" si="151"/>
        <v>5</v>
      </c>
    </row>
    <row r="4194" spans="1:5" x14ac:dyDescent="0.3">
      <c r="A4194" t="s">
        <v>4319</v>
      </c>
      <c r="B4194" t="s">
        <v>127</v>
      </c>
      <c r="C4194">
        <v>173</v>
      </c>
      <c r="D4194">
        <f t="shared" si="150"/>
        <v>2014</v>
      </c>
      <c r="E4194">
        <f t="shared" si="151"/>
        <v>5</v>
      </c>
    </row>
    <row r="4195" spans="1:5" x14ac:dyDescent="0.3">
      <c r="A4195" t="s">
        <v>4320</v>
      </c>
      <c r="B4195" t="s">
        <v>127</v>
      </c>
      <c r="C4195">
        <v>174</v>
      </c>
      <c r="D4195">
        <f t="shared" si="150"/>
        <v>2014</v>
      </c>
      <c r="E4195">
        <f t="shared" si="151"/>
        <v>5</v>
      </c>
    </row>
    <row r="4196" spans="1:5" x14ac:dyDescent="0.3">
      <c r="A4196" t="s">
        <v>4321</v>
      </c>
      <c r="B4196" t="s">
        <v>127</v>
      </c>
      <c r="C4196">
        <v>173</v>
      </c>
      <c r="D4196">
        <f t="shared" si="150"/>
        <v>2014</v>
      </c>
      <c r="E4196">
        <f t="shared" si="151"/>
        <v>5</v>
      </c>
    </row>
    <row r="4197" spans="1:5" x14ac:dyDescent="0.3">
      <c r="A4197" t="s">
        <v>4322</v>
      </c>
      <c r="B4197" t="s">
        <v>127</v>
      </c>
      <c r="C4197">
        <v>166</v>
      </c>
      <c r="D4197">
        <f t="shared" si="150"/>
        <v>2014</v>
      </c>
      <c r="E4197">
        <f t="shared" si="151"/>
        <v>5</v>
      </c>
    </row>
    <row r="4198" spans="1:5" x14ac:dyDescent="0.3">
      <c r="A4198" t="s">
        <v>4323</v>
      </c>
      <c r="B4198" t="s">
        <v>127</v>
      </c>
      <c r="C4198">
        <v>165</v>
      </c>
      <c r="D4198">
        <f t="shared" si="150"/>
        <v>2014</v>
      </c>
      <c r="E4198">
        <f t="shared" si="151"/>
        <v>5</v>
      </c>
    </row>
    <row r="4199" spans="1:5" x14ac:dyDescent="0.3">
      <c r="A4199" t="s">
        <v>4324</v>
      </c>
      <c r="B4199" t="s">
        <v>127</v>
      </c>
      <c r="C4199">
        <v>172.6</v>
      </c>
      <c r="D4199">
        <f t="shared" si="150"/>
        <v>2014</v>
      </c>
      <c r="E4199">
        <f t="shared" si="151"/>
        <v>5</v>
      </c>
    </row>
    <row r="4200" spans="1:5" x14ac:dyDescent="0.3">
      <c r="A4200" t="s">
        <v>4325</v>
      </c>
      <c r="B4200" t="s">
        <v>127</v>
      </c>
      <c r="C4200">
        <v>163</v>
      </c>
      <c r="D4200">
        <f t="shared" si="150"/>
        <v>2014</v>
      </c>
      <c r="E4200">
        <f t="shared" si="151"/>
        <v>6</v>
      </c>
    </row>
    <row r="4201" spans="1:5" x14ac:dyDescent="0.3">
      <c r="A4201" t="s">
        <v>4326</v>
      </c>
      <c r="B4201" t="s">
        <v>127</v>
      </c>
      <c r="C4201">
        <v>163</v>
      </c>
      <c r="D4201">
        <f t="shared" si="150"/>
        <v>2014</v>
      </c>
      <c r="E4201">
        <f t="shared" si="151"/>
        <v>6</v>
      </c>
    </row>
    <row r="4202" spans="1:5" x14ac:dyDescent="0.3">
      <c r="A4202" t="s">
        <v>4327</v>
      </c>
      <c r="B4202" t="s">
        <v>127</v>
      </c>
      <c r="C4202">
        <v>163</v>
      </c>
      <c r="D4202">
        <f t="shared" si="150"/>
        <v>2014</v>
      </c>
      <c r="E4202">
        <f t="shared" si="151"/>
        <v>6</v>
      </c>
    </row>
    <row r="4203" spans="1:5" x14ac:dyDescent="0.3">
      <c r="A4203" t="s">
        <v>4328</v>
      </c>
      <c r="B4203" t="s">
        <v>127</v>
      </c>
      <c r="C4203">
        <v>162</v>
      </c>
      <c r="D4203">
        <f t="shared" si="150"/>
        <v>2014</v>
      </c>
      <c r="E4203">
        <f t="shared" si="151"/>
        <v>6</v>
      </c>
    </row>
    <row r="4204" spans="1:5" x14ac:dyDescent="0.3">
      <c r="A4204" t="s">
        <v>4329</v>
      </c>
      <c r="B4204" t="s">
        <v>127</v>
      </c>
      <c r="C4204">
        <v>153</v>
      </c>
      <c r="D4204">
        <f t="shared" si="150"/>
        <v>2014</v>
      </c>
      <c r="E4204">
        <f t="shared" si="151"/>
        <v>6</v>
      </c>
    </row>
    <row r="4205" spans="1:5" x14ac:dyDescent="0.3">
      <c r="A4205" t="s">
        <v>4330</v>
      </c>
      <c r="B4205" t="s">
        <v>127</v>
      </c>
      <c r="C4205">
        <v>151</v>
      </c>
      <c r="D4205">
        <f t="shared" si="150"/>
        <v>2014</v>
      </c>
      <c r="E4205">
        <f t="shared" si="151"/>
        <v>6</v>
      </c>
    </row>
    <row r="4206" spans="1:5" x14ac:dyDescent="0.3">
      <c r="A4206" t="s">
        <v>4331</v>
      </c>
      <c r="B4206" t="s">
        <v>127</v>
      </c>
      <c r="C4206">
        <v>154</v>
      </c>
      <c r="D4206">
        <f t="shared" si="150"/>
        <v>2014</v>
      </c>
      <c r="E4206">
        <f t="shared" si="151"/>
        <v>6</v>
      </c>
    </row>
    <row r="4207" spans="1:5" x14ac:dyDescent="0.3">
      <c r="A4207" t="s">
        <v>4332</v>
      </c>
      <c r="B4207" t="s">
        <v>127</v>
      </c>
      <c r="C4207">
        <v>159</v>
      </c>
      <c r="D4207">
        <f t="shared" si="150"/>
        <v>2014</v>
      </c>
      <c r="E4207">
        <f t="shared" si="151"/>
        <v>6</v>
      </c>
    </row>
    <row r="4208" spans="1:5" x14ac:dyDescent="0.3">
      <c r="A4208" t="s">
        <v>4333</v>
      </c>
      <c r="B4208" t="s">
        <v>127</v>
      </c>
      <c r="C4208">
        <v>164</v>
      </c>
      <c r="D4208">
        <f t="shared" si="150"/>
        <v>2014</v>
      </c>
      <c r="E4208">
        <f t="shared" si="151"/>
        <v>6</v>
      </c>
    </row>
    <row r="4209" spans="1:5" x14ac:dyDescent="0.3">
      <c r="A4209" t="s">
        <v>4334</v>
      </c>
      <c r="B4209" t="s">
        <v>127</v>
      </c>
      <c r="C4209">
        <v>161</v>
      </c>
      <c r="D4209">
        <f t="shared" si="150"/>
        <v>2014</v>
      </c>
      <c r="E4209">
        <f t="shared" si="151"/>
        <v>6</v>
      </c>
    </row>
    <row r="4210" spans="1:5" x14ac:dyDescent="0.3">
      <c r="A4210" t="s">
        <v>4335</v>
      </c>
      <c r="B4210" t="s">
        <v>127</v>
      </c>
      <c r="C4210">
        <v>164</v>
      </c>
      <c r="D4210">
        <f t="shared" si="150"/>
        <v>2014</v>
      </c>
      <c r="E4210">
        <f t="shared" si="151"/>
        <v>6</v>
      </c>
    </row>
    <row r="4211" spans="1:5" x14ac:dyDescent="0.3">
      <c r="A4211" t="s">
        <v>4336</v>
      </c>
      <c r="B4211" t="s">
        <v>127</v>
      </c>
      <c r="C4211">
        <v>163</v>
      </c>
      <c r="D4211">
        <f t="shared" si="150"/>
        <v>2014</v>
      </c>
      <c r="E4211">
        <f t="shared" si="151"/>
        <v>6</v>
      </c>
    </row>
    <row r="4212" spans="1:5" x14ac:dyDescent="0.3">
      <c r="A4212" t="s">
        <v>4337</v>
      </c>
      <c r="B4212" t="s">
        <v>127</v>
      </c>
      <c r="C4212">
        <v>164</v>
      </c>
      <c r="D4212">
        <f t="shared" si="150"/>
        <v>2014</v>
      </c>
      <c r="E4212">
        <f t="shared" si="151"/>
        <v>6</v>
      </c>
    </row>
    <row r="4213" spans="1:5" x14ac:dyDescent="0.3">
      <c r="A4213" t="s">
        <v>4338</v>
      </c>
      <c r="B4213" t="s">
        <v>127</v>
      </c>
      <c r="C4213">
        <v>163</v>
      </c>
      <c r="D4213">
        <f t="shared" si="150"/>
        <v>2014</v>
      </c>
      <c r="E4213">
        <f t="shared" si="151"/>
        <v>6</v>
      </c>
    </row>
    <row r="4214" spans="1:5" x14ac:dyDescent="0.3">
      <c r="A4214" t="s">
        <v>4339</v>
      </c>
      <c r="B4214" t="s">
        <v>127</v>
      </c>
      <c r="C4214">
        <v>163</v>
      </c>
      <c r="D4214">
        <f t="shared" si="150"/>
        <v>2014</v>
      </c>
      <c r="E4214">
        <f t="shared" si="151"/>
        <v>6</v>
      </c>
    </row>
    <row r="4215" spans="1:5" x14ac:dyDescent="0.3">
      <c r="A4215" t="s">
        <v>4340</v>
      </c>
      <c r="B4215" t="s">
        <v>127</v>
      </c>
      <c r="C4215">
        <v>162</v>
      </c>
      <c r="D4215">
        <f t="shared" si="150"/>
        <v>2014</v>
      </c>
      <c r="E4215">
        <f t="shared" si="151"/>
        <v>6</v>
      </c>
    </row>
    <row r="4216" spans="1:5" x14ac:dyDescent="0.3">
      <c r="A4216" t="s">
        <v>4341</v>
      </c>
      <c r="B4216" t="s">
        <v>127</v>
      </c>
      <c r="C4216">
        <v>162</v>
      </c>
      <c r="D4216">
        <f t="shared" si="150"/>
        <v>2014</v>
      </c>
      <c r="E4216">
        <f t="shared" si="151"/>
        <v>6</v>
      </c>
    </row>
    <row r="4217" spans="1:5" x14ac:dyDescent="0.3">
      <c r="A4217" t="s">
        <v>4342</v>
      </c>
      <c r="B4217" t="s">
        <v>127</v>
      </c>
      <c r="C4217">
        <v>157</v>
      </c>
      <c r="D4217">
        <f t="shared" si="150"/>
        <v>2014</v>
      </c>
      <c r="E4217">
        <f t="shared" si="151"/>
        <v>6</v>
      </c>
    </row>
    <row r="4218" spans="1:5" x14ac:dyDescent="0.3">
      <c r="A4218" t="s">
        <v>4343</v>
      </c>
      <c r="B4218" t="s">
        <v>127</v>
      </c>
      <c r="C4218">
        <v>158</v>
      </c>
      <c r="D4218">
        <f t="shared" si="150"/>
        <v>2014</v>
      </c>
      <c r="E4218">
        <f t="shared" si="151"/>
        <v>6</v>
      </c>
    </row>
    <row r="4219" spans="1:5" x14ac:dyDescent="0.3">
      <c r="A4219" t="s">
        <v>4344</v>
      </c>
      <c r="B4219" t="s">
        <v>127</v>
      </c>
      <c r="C4219">
        <v>159</v>
      </c>
      <c r="D4219">
        <f t="shared" si="150"/>
        <v>2014</v>
      </c>
      <c r="E4219">
        <f t="shared" si="151"/>
        <v>6</v>
      </c>
    </row>
    <row r="4220" spans="1:5" x14ac:dyDescent="0.3">
      <c r="A4220" t="s">
        <v>4345</v>
      </c>
      <c r="B4220" t="s">
        <v>127</v>
      </c>
      <c r="C4220">
        <v>160</v>
      </c>
      <c r="D4220">
        <f t="shared" si="150"/>
        <v>2014</v>
      </c>
      <c r="E4220">
        <f t="shared" si="151"/>
        <v>6</v>
      </c>
    </row>
    <row r="4221" spans="1:5" x14ac:dyDescent="0.3">
      <c r="A4221" t="s">
        <v>4346</v>
      </c>
      <c r="B4221" t="s">
        <v>127</v>
      </c>
      <c r="C4221">
        <v>158</v>
      </c>
      <c r="D4221">
        <f t="shared" si="150"/>
        <v>2014</v>
      </c>
      <c r="E4221">
        <f t="shared" si="151"/>
        <v>7</v>
      </c>
    </row>
    <row r="4222" spans="1:5" x14ac:dyDescent="0.3">
      <c r="A4222" t="s">
        <v>4347</v>
      </c>
      <c r="B4222" t="s">
        <v>127</v>
      </c>
      <c r="C4222">
        <v>154</v>
      </c>
      <c r="D4222">
        <f t="shared" si="150"/>
        <v>2014</v>
      </c>
      <c r="E4222">
        <f t="shared" si="151"/>
        <v>7</v>
      </c>
    </row>
    <row r="4223" spans="1:5" x14ac:dyDescent="0.3">
      <c r="A4223" t="s">
        <v>4348</v>
      </c>
      <c r="B4223" t="s">
        <v>127</v>
      </c>
      <c r="C4223">
        <v>154</v>
      </c>
      <c r="D4223">
        <f t="shared" si="150"/>
        <v>2014</v>
      </c>
      <c r="E4223">
        <f t="shared" si="151"/>
        <v>7</v>
      </c>
    </row>
    <row r="4224" spans="1:5" x14ac:dyDescent="0.3">
      <c r="A4224" t="s">
        <v>4349</v>
      </c>
      <c r="B4224" t="s">
        <v>127</v>
      </c>
      <c r="C4224">
        <v>154</v>
      </c>
      <c r="D4224">
        <f t="shared" si="150"/>
        <v>2014</v>
      </c>
      <c r="E4224">
        <f t="shared" si="151"/>
        <v>7</v>
      </c>
    </row>
    <row r="4225" spans="1:5" x14ac:dyDescent="0.3">
      <c r="A4225" t="s">
        <v>4350</v>
      </c>
      <c r="B4225" t="s">
        <v>127</v>
      </c>
      <c r="C4225">
        <v>156</v>
      </c>
      <c r="D4225">
        <f t="shared" si="150"/>
        <v>2014</v>
      </c>
      <c r="E4225">
        <f t="shared" si="151"/>
        <v>7</v>
      </c>
    </row>
    <row r="4226" spans="1:5" x14ac:dyDescent="0.3">
      <c r="A4226" t="s">
        <v>4351</v>
      </c>
      <c r="B4226" t="s">
        <v>127</v>
      </c>
      <c r="C4226">
        <v>160</v>
      </c>
      <c r="D4226">
        <f t="shared" si="150"/>
        <v>2014</v>
      </c>
      <c r="E4226">
        <f t="shared" si="151"/>
        <v>7</v>
      </c>
    </row>
    <row r="4227" spans="1:5" x14ac:dyDescent="0.3">
      <c r="A4227" t="s">
        <v>4352</v>
      </c>
      <c r="B4227" t="s">
        <v>127</v>
      </c>
      <c r="C4227">
        <v>163</v>
      </c>
      <c r="D4227">
        <f t="shared" ref="D4227:D4290" si="152">YEAR(A4227)</f>
        <v>2014</v>
      </c>
      <c r="E4227">
        <f t="shared" ref="E4227:E4290" si="153">MONTH(A4227)</f>
        <v>7</v>
      </c>
    </row>
    <row r="4228" spans="1:5" x14ac:dyDescent="0.3">
      <c r="A4228" t="s">
        <v>4353</v>
      </c>
      <c r="B4228" t="s">
        <v>127</v>
      </c>
      <c r="C4228">
        <v>165</v>
      </c>
      <c r="D4228">
        <f t="shared" si="152"/>
        <v>2014</v>
      </c>
      <c r="E4228">
        <f t="shared" si="153"/>
        <v>7</v>
      </c>
    </row>
    <row r="4229" spans="1:5" x14ac:dyDescent="0.3">
      <c r="A4229" t="s">
        <v>4354</v>
      </c>
      <c r="B4229" t="s">
        <v>127</v>
      </c>
      <c r="C4229">
        <v>167</v>
      </c>
      <c r="D4229">
        <f t="shared" si="152"/>
        <v>2014</v>
      </c>
      <c r="E4229">
        <f t="shared" si="153"/>
        <v>7</v>
      </c>
    </row>
    <row r="4230" spans="1:5" x14ac:dyDescent="0.3">
      <c r="A4230" t="s">
        <v>4355</v>
      </c>
      <c r="B4230" t="s">
        <v>127</v>
      </c>
      <c r="C4230">
        <v>167</v>
      </c>
      <c r="D4230">
        <f t="shared" si="152"/>
        <v>2014</v>
      </c>
      <c r="E4230">
        <f t="shared" si="153"/>
        <v>7</v>
      </c>
    </row>
    <row r="4231" spans="1:5" x14ac:dyDescent="0.3">
      <c r="A4231" t="s">
        <v>4356</v>
      </c>
      <c r="B4231" t="s">
        <v>127</v>
      </c>
      <c r="C4231">
        <v>169</v>
      </c>
      <c r="D4231">
        <f t="shared" si="152"/>
        <v>2014</v>
      </c>
      <c r="E4231">
        <f t="shared" si="153"/>
        <v>7</v>
      </c>
    </row>
    <row r="4232" spans="1:5" x14ac:dyDescent="0.3">
      <c r="A4232" t="s">
        <v>4357</v>
      </c>
      <c r="B4232" t="s">
        <v>127</v>
      </c>
      <c r="C4232">
        <v>171</v>
      </c>
      <c r="D4232">
        <f t="shared" si="152"/>
        <v>2014</v>
      </c>
      <c r="E4232">
        <f t="shared" si="153"/>
        <v>7</v>
      </c>
    </row>
    <row r="4233" spans="1:5" x14ac:dyDescent="0.3">
      <c r="A4233" t="s">
        <v>4358</v>
      </c>
      <c r="B4233" t="s">
        <v>127</v>
      </c>
      <c r="C4233">
        <v>175</v>
      </c>
      <c r="D4233">
        <f t="shared" si="152"/>
        <v>2014</v>
      </c>
      <c r="E4233">
        <f t="shared" si="153"/>
        <v>7</v>
      </c>
    </row>
    <row r="4234" spans="1:5" x14ac:dyDescent="0.3">
      <c r="A4234" t="s">
        <v>4359</v>
      </c>
      <c r="B4234" t="s">
        <v>127</v>
      </c>
      <c r="C4234">
        <v>167</v>
      </c>
      <c r="D4234">
        <f t="shared" si="152"/>
        <v>2014</v>
      </c>
      <c r="E4234">
        <f t="shared" si="153"/>
        <v>7</v>
      </c>
    </row>
    <row r="4235" spans="1:5" x14ac:dyDescent="0.3">
      <c r="A4235" t="s">
        <v>4360</v>
      </c>
      <c r="B4235" t="s">
        <v>127</v>
      </c>
      <c r="C4235">
        <v>168</v>
      </c>
      <c r="D4235">
        <f t="shared" si="152"/>
        <v>2014</v>
      </c>
      <c r="E4235">
        <f t="shared" si="153"/>
        <v>7</v>
      </c>
    </row>
    <row r="4236" spans="1:5" x14ac:dyDescent="0.3">
      <c r="A4236" t="s">
        <v>4361</v>
      </c>
      <c r="B4236" t="s">
        <v>127</v>
      </c>
      <c r="C4236">
        <v>167</v>
      </c>
      <c r="D4236">
        <f t="shared" si="152"/>
        <v>2014</v>
      </c>
      <c r="E4236">
        <f t="shared" si="153"/>
        <v>7</v>
      </c>
    </row>
    <row r="4237" spans="1:5" x14ac:dyDescent="0.3">
      <c r="A4237" t="s">
        <v>4362</v>
      </c>
      <c r="B4237" t="s">
        <v>127</v>
      </c>
      <c r="C4237">
        <v>158</v>
      </c>
      <c r="D4237">
        <f t="shared" si="152"/>
        <v>2014</v>
      </c>
      <c r="E4237">
        <f t="shared" si="153"/>
        <v>7</v>
      </c>
    </row>
    <row r="4238" spans="1:5" x14ac:dyDescent="0.3">
      <c r="A4238" t="s">
        <v>4363</v>
      </c>
      <c r="B4238" t="s">
        <v>127</v>
      </c>
      <c r="C4238">
        <v>158</v>
      </c>
      <c r="D4238">
        <f t="shared" si="152"/>
        <v>2014</v>
      </c>
      <c r="E4238">
        <f t="shared" si="153"/>
        <v>7</v>
      </c>
    </row>
    <row r="4239" spans="1:5" x14ac:dyDescent="0.3">
      <c r="A4239" t="s">
        <v>4364</v>
      </c>
      <c r="B4239" t="s">
        <v>127</v>
      </c>
      <c r="C4239">
        <v>162</v>
      </c>
      <c r="D4239">
        <f t="shared" si="152"/>
        <v>2014</v>
      </c>
      <c r="E4239">
        <f t="shared" si="153"/>
        <v>7</v>
      </c>
    </row>
    <row r="4240" spans="1:5" x14ac:dyDescent="0.3">
      <c r="A4240" t="s">
        <v>4365</v>
      </c>
      <c r="B4240" t="s">
        <v>127</v>
      </c>
      <c r="C4240">
        <v>163</v>
      </c>
      <c r="D4240">
        <f t="shared" si="152"/>
        <v>2014</v>
      </c>
      <c r="E4240">
        <f t="shared" si="153"/>
        <v>7</v>
      </c>
    </row>
    <row r="4241" spans="1:5" x14ac:dyDescent="0.3">
      <c r="A4241" t="s">
        <v>4366</v>
      </c>
      <c r="B4241" t="s">
        <v>127</v>
      </c>
      <c r="C4241">
        <v>167</v>
      </c>
      <c r="D4241">
        <f t="shared" si="152"/>
        <v>2014</v>
      </c>
      <c r="E4241">
        <f t="shared" si="153"/>
        <v>7</v>
      </c>
    </row>
    <row r="4242" spans="1:5" x14ac:dyDescent="0.3">
      <c r="A4242" t="s">
        <v>4367</v>
      </c>
      <c r="B4242" t="s">
        <v>127</v>
      </c>
      <c r="C4242">
        <v>161</v>
      </c>
      <c r="D4242">
        <f t="shared" si="152"/>
        <v>2014</v>
      </c>
      <c r="E4242">
        <f t="shared" si="153"/>
        <v>7</v>
      </c>
    </row>
    <row r="4243" spans="1:5" x14ac:dyDescent="0.3">
      <c r="A4243" t="s">
        <v>4368</v>
      </c>
      <c r="B4243" t="s">
        <v>127</v>
      </c>
      <c r="C4243">
        <v>164</v>
      </c>
      <c r="D4243">
        <f t="shared" si="152"/>
        <v>2014</v>
      </c>
      <c r="E4243">
        <f t="shared" si="153"/>
        <v>7</v>
      </c>
    </row>
    <row r="4244" spans="1:5" x14ac:dyDescent="0.3">
      <c r="A4244" t="s">
        <v>4369</v>
      </c>
      <c r="B4244" t="s">
        <v>127</v>
      </c>
      <c r="C4244">
        <v>171</v>
      </c>
      <c r="D4244">
        <f t="shared" si="152"/>
        <v>2014</v>
      </c>
      <c r="E4244">
        <f t="shared" si="153"/>
        <v>8</v>
      </c>
    </row>
    <row r="4245" spans="1:5" x14ac:dyDescent="0.3">
      <c r="A4245" t="s">
        <v>4370</v>
      </c>
      <c r="B4245" t="s">
        <v>127</v>
      </c>
      <c r="C4245">
        <v>172</v>
      </c>
      <c r="D4245">
        <f t="shared" si="152"/>
        <v>2014</v>
      </c>
      <c r="E4245">
        <f t="shared" si="153"/>
        <v>8</v>
      </c>
    </row>
    <row r="4246" spans="1:5" x14ac:dyDescent="0.3">
      <c r="A4246" t="s">
        <v>4371</v>
      </c>
      <c r="B4246" t="s">
        <v>127</v>
      </c>
      <c r="C4246">
        <v>175</v>
      </c>
      <c r="D4246">
        <f t="shared" si="152"/>
        <v>2014</v>
      </c>
      <c r="E4246">
        <f t="shared" si="153"/>
        <v>8</v>
      </c>
    </row>
    <row r="4247" spans="1:5" x14ac:dyDescent="0.3">
      <c r="A4247" t="s">
        <v>4372</v>
      </c>
      <c r="B4247" t="s">
        <v>127</v>
      </c>
      <c r="C4247">
        <v>174</v>
      </c>
      <c r="D4247">
        <f t="shared" si="152"/>
        <v>2014</v>
      </c>
      <c r="E4247">
        <f t="shared" si="153"/>
        <v>8</v>
      </c>
    </row>
    <row r="4248" spans="1:5" x14ac:dyDescent="0.3">
      <c r="A4248" t="s">
        <v>4373</v>
      </c>
      <c r="B4248" t="s">
        <v>127</v>
      </c>
      <c r="C4248">
        <v>178</v>
      </c>
      <c r="D4248">
        <f t="shared" si="152"/>
        <v>2014</v>
      </c>
      <c r="E4248">
        <f t="shared" si="153"/>
        <v>8</v>
      </c>
    </row>
    <row r="4249" spans="1:5" x14ac:dyDescent="0.3">
      <c r="A4249" t="s">
        <v>4374</v>
      </c>
      <c r="B4249" t="s">
        <v>127</v>
      </c>
      <c r="C4249">
        <v>178</v>
      </c>
      <c r="D4249">
        <f t="shared" si="152"/>
        <v>2014</v>
      </c>
      <c r="E4249">
        <f t="shared" si="153"/>
        <v>8</v>
      </c>
    </row>
    <row r="4250" spans="1:5" x14ac:dyDescent="0.3">
      <c r="A4250" t="s">
        <v>4375</v>
      </c>
      <c r="B4250" t="s">
        <v>127</v>
      </c>
      <c r="C4250">
        <v>176</v>
      </c>
      <c r="D4250">
        <f t="shared" si="152"/>
        <v>2014</v>
      </c>
      <c r="E4250">
        <f t="shared" si="153"/>
        <v>8</v>
      </c>
    </row>
    <row r="4251" spans="1:5" x14ac:dyDescent="0.3">
      <c r="A4251" t="s">
        <v>4376</v>
      </c>
      <c r="B4251" t="s">
        <v>127</v>
      </c>
      <c r="C4251">
        <v>173</v>
      </c>
      <c r="D4251">
        <f t="shared" si="152"/>
        <v>2014</v>
      </c>
      <c r="E4251">
        <f t="shared" si="153"/>
        <v>8</v>
      </c>
    </row>
    <row r="4252" spans="1:5" x14ac:dyDescent="0.3">
      <c r="A4252" t="s">
        <v>4377</v>
      </c>
      <c r="B4252" t="s">
        <v>127</v>
      </c>
      <c r="C4252">
        <v>172</v>
      </c>
      <c r="D4252">
        <f t="shared" si="152"/>
        <v>2014</v>
      </c>
      <c r="E4252">
        <f t="shared" si="153"/>
        <v>8</v>
      </c>
    </row>
    <row r="4253" spans="1:5" x14ac:dyDescent="0.3">
      <c r="A4253" t="s">
        <v>4378</v>
      </c>
      <c r="B4253" t="s">
        <v>127</v>
      </c>
      <c r="C4253">
        <v>171</v>
      </c>
      <c r="D4253">
        <f t="shared" si="152"/>
        <v>2014</v>
      </c>
      <c r="E4253">
        <f t="shared" si="153"/>
        <v>8</v>
      </c>
    </row>
    <row r="4254" spans="1:5" x14ac:dyDescent="0.3">
      <c r="A4254" t="s">
        <v>4379</v>
      </c>
      <c r="B4254" t="s">
        <v>127</v>
      </c>
      <c r="C4254">
        <v>172</v>
      </c>
      <c r="D4254">
        <f t="shared" si="152"/>
        <v>2014</v>
      </c>
      <c r="E4254">
        <f t="shared" si="153"/>
        <v>8</v>
      </c>
    </row>
    <row r="4255" spans="1:5" x14ac:dyDescent="0.3">
      <c r="A4255" t="s">
        <v>4380</v>
      </c>
      <c r="B4255" t="s">
        <v>127</v>
      </c>
      <c r="C4255">
        <v>169</v>
      </c>
      <c r="D4255">
        <f t="shared" si="152"/>
        <v>2014</v>
      </c>
      <c r="E4255">
        <f t="shared" si="153"/>
        <v>8</v>
      </c>
    </row>
    <row r="4256" spans="1:5" x14ac:dyDescent="0.3">
      <c r="A4256" t="s">
        <v>4381</v>
      </c>
      <c r="B4256" t="s">
        <v>127</v>
      </c>
      <c r="C4256">
        <v>165</v>
      </c>
      <c r="D4256">
        <f t="shared" si="152"/>
        <v>2014</v>
      </c>
      <c r="E4256">
        <f t="shared" si="153"/>
        <v>8</v>
      </c>
    </row>
    <row r="4257" spans="1:5" x14ac:dyDescent="0.3">
      <c r="A4257" t="s">
        <v>4382</v>
      </c>
      <c r="B4257" t="s">
        <v>127</v>
      </c>
      <c r="C4257">
        <v>163</v>
      </c>
      <c r="D4257">
        <f t="shared" si="152"/>
        <v>2014</v>
      </c>
      <c r="E4257">
        <f t="shared" si="153"/>
        <v>8</v>
      </c>
    </row>
    <row r="4258" spans="1:5" x14ac:dyDescent="0.3">
      <c r="A4258" t="s">
        <v>4383</v>
      </c>
      <c r="B4258" t="s">
        <v>127</v>
      </c>
      <c r="C4258">
        <v>164</v>
      </c>
      <c r="D4258">
        <f t="shared" si="152"/>
        <v>2014</v>
      </c>
      <c r="E4258">
        <f t="shared" si="153"/>
        <v>8</v>
      </c>
    </row>
    <row r="4259" spans="1:5" x14ac:dyDescent="0.3">
      <c r="A4259" t="s">
        <v>4384</v>
      </c>
      <c r="B4259" t="s">
        <v>127</v>
      </c>
      <c r="C4259">
        <v>163</v>
      </c>
      <c r="D4259">
        <f t="shared" si="152"/>
        <v>2014</v>
      </c>
      <c r="E4259">
        <f t="shared" si="153"/>
        <v>8</v>
      </c>
    </row>
    <row r="4260" spans="1:5" x14ac:dyDescent="0.3">
      <c r="A4260" t="s">
        <v>4385</v>
      </c>
      <c r="B4260" t="s">
        <v>127</v>
      </c>
      <c r="C4260">
        <v>162</v>
      </c>
      <c r="D4260">
        <f t="shared" si="152"/>
        <v>2014</v>
      </c>
      <c r="E4260">
        <f t="shared" si="153"/>
        <v>8</v>
      </c>
    </row>
    <row r="4261" spans="1:5" x14ac:dyDescent="0.3">
      <c r="A4261" t="s">
        <v>4386</v>
      </c>
      <c r="B4261" t="s">
        <v>127</v>
      </c>
      <c r="C4261">
        <v>161</v>
      </c>
      <c r="D4261">
        <f t="shared" si="152"/>
        <v>2014</v>
      </c>
      <c r="E4261">
        <f t="shared" si="153"/>
        <v>8</v>
      </c>
    </row>
    <row r="4262" spans="1:5" x14ac:dyDescent="0.3">
      <c r="A4262" t="s">
        <v>4387</v>
      </c>
      <c r="B4262" t="s">
        <v>127</v>
      </c>
      <c r="C4262">
        <v>163</v>
      </c>
      <c r="D4262">
        <f t="shared" si="152"/>
        <v>2014</v>
      </c>
      <c r="E4262">
        <f t="shared" si="153"/>
        <v>8</v>
      </c>
    </row>
    <row r="4263" spans="1:5" x14ac:dyDescent="0.3">
      <c r="A4263" t="s">
        <v>4388</v>
      </c>
      <c r="B4263" t="s">
        <v>127</v>
      </c>
      <c r="C4263">
        <v>163</v>
      </c>
      <c r="D4263">
        <f t="shared" si="152"/>
        <v>2014</v>
      </c>
      <c r="E4263">
        <f t="shared" si="153"/>
        <v>8</v>
      </c>
    </row>
    <row r="4264" spans="1:5" x14ac:dyDescent="0.3">
      <c r="A4264" t="s">
        <v>4389</v>
      </c>
      <c r="B4264" t="s">
        <v>127</v>
      </c>
      <c r="C4264">
        <v>161</v>
      </c>
      <c r="D4264">
        <f t="shared" si="152"/>
        <v>2014</v>
      </c>
      <c r="E4264">
        <f t="shared" si="153"/>
        <v>8</v>
      </c>
    </row>
    <row r="4265" spans="1:5" x14ac:dyDescent="0.3">
      <c r="A4265" t="s">
        <v>4390</v>
      </c>
      <c r="B4265" t="s">
        <v>127</v>
      </c>
      <c r="C4265">
        <v>161</v>
      </c>
      <c r="D4265">
        <f t="shared" si="152"/>
        <v>2014</v>
      </c>
      <c r="E4265">
        <f t="shared" si="153"/>
        <v>9</v>
      </c>
    </row>
    <row r="4266" spans="1:5" x14ac:dyDescent="0.3">
      <c r="A4266" t="s">
        <v>4391</v>
      </c>
      <c r="B4266" t="s">
        <v>127</v>
      </c>
      <c r="C4266">
        <v>157</v>
      </c>
      <c r="D4266">
        <f t="shared" si="152"/>
        <v>2014</v>
      </c>
      <c r="E4266">
        <f t="shared" si="153"/>
        <v>9</v>
      </c>
    </row>
    <row r="4267" spans="1:5" x14ac:dyDescent="0.3">
      <c r="A4267" t="s">
        <v>4392</v>
      </c>
      <c r="B4267" t="s">
        <v>127</v>
      </c>
      <c r="C4267">
        <v>158</v>
      </c>
      <c r="D4267">
        <f t="shared" si="152"/>
        <v>2014</v>
      </c>
      <c r="E4267">
        <f t="shared" si="153"/>
        <v>9</v>
      </c>
    </row>
    <row r="4268" spans="1:5" x14ac:dyDescent="0.3">
      <c r="A4268" t="s">
        <v>4393</v>
      </c>
      <c r="B4268" t="s">
        <v>127</v>
      </c>
      <c r="C4268">
        <v>158</v>
      </c>
      <c r="D4268">
        <f t="shared" si="152"/>
        <v>2014</v>
      </c>
      <c r="E4268">
        <f t="shared" si="153"/>
        <v>9</v>
      </c>
    </row>
    <row r="4269" spans="1:5" x14ac:dyDescent="0.3">
      <c r="A4269" t="s">
        <v>4394</v>
      </c>
      <c r="B4269" t="s">
        <v>127</v>
      </c>
      <c r="C4269">
        <v>157</v>
      </c>
      <c r="D4269">
        <f t="shared" si="152"/>
        <v>2014</v>
      </c>
      <c r="E4269">
        <f t="shared" si="153"/>
        <v>9</v>
      </c>
    </row>
    <row r="4270" spans="1:5" x14ac:dyDescent="0.3">
      <c r="A4270" t="s">
        <v>4395</v>
      </c>
      <c r="B4270" t="s">
        <v>127</v>
      </c>
      <c r="C4270">
        <v>157</v>
      </c>
      <c r="D4270">
        <f t="shared" si="152"/>
        <v>2014</v>
      </c>
      <c r="E4270">
        <f t="shared" si="153"/>
        <v>9</v>
      </c>
    </row>
    <row r="4271" spans="1:5" x14ac:dyDescent="0.3">
      <c r="A4271" t="s">
        <v>4396</v>
      </c>
      <c r="B4271" t="s">
        <v>127</v>
      </c>
      <c r="C4271">
        <v>163</v>
      </c>
      <c r="D4271">
        <f t="shared" si="152"/>
        <v>2014</v>
      </c>
      <c r="E4271">
        <f t="shared" si="153"/>
        <v>9</v>
      </c>
    </row>
    <row r="4272" spans="1:5" x14ac:dyDescent="0.3">
      <c r="A4272" t="s">
        <v>4397</v>
      </c>
      <c r="B4272" t="s">
        <v>127</v>
      </c>
      <c r="C4272">
        <v>166</v>
      </c>
      <c r="D4272">
        <f t="shared" si="152"/>
        <v>2014</v>
      </c>
      <c r="E4272">
        <f t="shared" si="153"/>
        <v>9</v>
      </c>
    </row>
    <row r="4273" spans="1:5" x14ac:dyDescent="0.3">
      <c r="A4273" t="s">
        <v>4398</v>
      </c>
      <c r="B4273" t="s">
        <v>127</v>
      </c>
      <c r="C4273">
        <v>168</v>
      </c>
      <c r="D4273">
        <f t="shared" si="152"/>
        <v>2014</v>
      </c>
      <c r="E4273">
        <f t="shared" si="153"/>
        <v>9</v>
      </c>
    </row>
    <row r="4274" spans="1:5" x14ac:dyDescent="0.3">
      <c r="A4274" t="s">
        <v>4399</v>
      </c>
      <c r="B4274" t="s">
        <v>127</v>
      </c>
      <c r="C4274">
        <v>168</v>
      </c>
      <c r="D4274">
        <f t="shared" si="152"/>
        <v>2014</v>
      </c>
      <c r="E4274">
        <f t="shared" si="153"/>
        <v>9</v>
      </c>
    </row>
    <row r="4275" spans="1:5" x14ac:dyDescent="0.3">
      <c r="A4275" t="s">
        <v>4400</v>
      </c>
      <c r="B4275" t="s">
        <v>127</v>
      </c>
      <c r="C4275">
        <v>173</v>
      </c>
      <c r="D4275">
        <f t="shared" si="152"/>
        <v>2014</v>
      </c>
      <c r="E4275">
        <f t="shared" si="153"/>
        <v>9</v>
      </c>
    </row>
    <row r="4276" spans="1:5" x14ac:dyDescent="0.3">
      <c r="A4276" t="s">
        <v>4401</v>
      </c>
      <c r="B4276" t="s">
        <v>127</v>
      </c>
      <c r="C4276">
        <v>172</v>
      </c>
      <c r="D4276">
        <f t="shared" si="152"/>
        <v>2014</v>
      </c>
      <c r="E4276">
        <f t="shared" si="153"/>
        <v>9</v>
      </c>
    </row>
    <row r="4277" spans="1:5" x14ac:dyDescent="0.3">
      <c r="A4277" t="s">
        <v>4402</v>
      </c>
      <c r="B4277" t="s">
        <v>127</v>
      </c>
      <c r="C4277">
        <v>167</v>
      </c>
      <c r="D4277">
        <f t="shared" si="152"/>
        <v>2014</v>
      </c>
      <c r="E4277">
        <f t="shared" si="153"/>
        <v>9</v>
      </c>
    </row>
    <row r="4278" spans="1:5" x14ac:dyDescent="0.3">
      <c r="A4278" t="s">
        <v>4403</v>
      </c>
      <c r="B4278" t="s">
        <v>127</v>
      </c>
      <c r="C4278">
        <v>166</v>
      </c>
      <c r="D4278">
        <f t="shared" si="152"/>
        <v>2014</v>
      </c>
      <c r="E4278">
        <f t="shared" si="153"/>
        <v>9</v>
      </c>
    </row>
    <row r="4279" spans="1:5" x14ac:dyDescent="0.3">
      <c r="A4279" t="s">
        <v>4404</v>
      </c>
      <c r="B4279" t="s">
        <v>127</v>
      </c>
      <c r="C4279">
        <v>168</v>
      </c>
      <c r="D4279">
        <f t="shared" si="152"/>
        <v>2014</v>
      </c>
      <c r="E4279">
        <f t="shared" si="153"/>
        <v>9</v>
      </c>
    </row>
    <row r="4280" spans="1:5" x14ac:dyDescent="0.3">
      <c r="A4280" t="s">
        <v>4405</v>
      </c>
      <c r="B4280" t="s">
        <v>127</v>
      </c>
      <c r="C4280">
        <v>170</v>
      </c>
      <c r="D4280">
        <f t="shared" si="152"/>
        <v>2014</v>
      </c>
      <c r="E4280">
        <f t="shared" si="153"/>
        <v>9</v>
      </c>
    </row>
    <row r="4281" spans="1:5" x14ac:dyDescent="0.3">
      <c r="A4281" t="s">
        <v>4406</v>
      </c>
      <c r="B4281" t="s">
        <v>127</v>
      </c>
      <c r="C4281">
        <v>173</v>
      </c>
      <c r="D4281">
        <f t="shared" si="152"/>
        <v>2014</v>
      </c>
      <c r="E4281">
        <f t="shared" si="153"/>
        <v>9</v>
      </c>
    </row>
    <row r="4282" spans="1:5" x14ac:dyDescent="0.3">
      <c r="A4282" t="s">
        <v>4407</v>
      </c>
      <c r="B4282" t="s">
        <v>127</v>
      </c>
      <c r="C4282">
        <v>170</v>
      </c>
      <c r="D4282">
        <f t="shared" si="152"/>
        <v>2014</v>
      </c>
      <c r="E4282">
        <f t="shared" si="153"/>
        <v>9</v>
      </c>
    </row>
    <row r="4283" spans="1:5" x14ac:dyDescent="0.3">
      <c r="A4283" t="s">
        <v>4408</v>
      </c>
      <c r="B4283" t="s">
        <v>127</v>
      </c>
      <c r="C4283">
        <v>177</v>
      </c>
      <c r="D4283">
        <f t="shared" si="152"/>
        <v>2014</v>
      </c>
      <c r="E4283">
        <f t="shared" si="153"/>
        <v>9</v>
      </c>
    </row>
    <row r="4284" spans="1:5" x14ac:dyDescent="0.3">
      <c r="A4284" t="s">
        <v>4409</v>
      </c>
      <c r="B4284" t="s">
        <v>127</v>
      </c>
      <c r="C4284">
        <v>177</v>
      </c>
      <c r="D4284">
        <f t="shared" si="152"/>
        <v>2014</v>
      </c>
      <c r="E4284">
        <f t="shared" si="153"/>
        <v>9</v>
      </c>
    </row>
    <row r="4285" spans="1:5" x14ac:dyDescent="0.3">
      <c r="A4285" t="s">
        <v>4410</v>
      </c>
      <c r="B4285" t="s">
        <v>127</v>
      </c>
      <c r="C4285">
        <v>187</v>
      </c>
      <c r="D4285">
        <f t="shared" si="152"/>
        <v>2014</v>
      </c>
      <c r="E4285">
        <f t="shared" si="153"/>
        <v>9</v>
      </c>
    </row>
    <row r="4286" spans="1:5" x14ac:dyDescent="0.3">
      <c r="A4286" t="s">
        <v>4411</v>
      </c>
      <c r="B4286" t="s">
        <v>127</v>
      </c>
      <c r="C4286">
        <v>186</v>
      </c>
      <c r="D4286">
        <f t="shared" si="152"/>
        <v>2014</v>
      </c>
      <c r="E4286">
        <f t="shared" si="153"/>
        <v>9</v>
      </c>
    </row>
    <row r="4287" spans="1:5" x14ac:dyDescent="0.3">
      <c r="A4287" t="s">
        <v>4412</v>
      </c>
      <c r="B4287" t="s">
        <v>127</v>
      </c>
      <c r="C4287">
        <v>189</v>
      </c>
      <c r="D4287">
        <f t="shared" si="152"/>
        <v>2014</v>
      </c>
      <c r="E4287">
        <f t="shared" si="153"/>
        <v>10</v>
      </c>
    </row>
    <row r="4288" spans="1:5" x14ac:dyDescent="0.3">
      <c r="A4288" t="s">
        <v>4413</v>
      </c>
      <c r="B4288" t="s">
        <v>127</v>
      </c>
      <c r="C4288">
        <v>185</v>
      </c>
      <c r="D4288">
        <f t="shared" si="152"/>
        <v>2014</v>
      </c>
      <c r="E4288">
        <f t="shared" si="153"/>
        <v>10</v>
      </c>
    </row>
    <row r="4289" spans="1:5" x14ac:dyDescent="0.3">
      <c r="A4289" t="s">
        <v>4414</v>
      </c>
      <c r="B4289" t="s">
        <v>127</v>
      </c>
      <c r="C4289">
        <v>183</v>
      </c>
      <c r="D4289">
        <f t="shared" si="152"/>
        <v>2014</v>
      </c>
      <c r="E4289">
        <f t="shared" si="153"/>
        <v>10</v>
      </c>
    </row>
    <row r="4290" spans="1:5" x14ac:dyDescent="0.3">
      <c r="A4290" t="s">
        <v>4415</v>
      </c>
      <c r="B4290" t="s">
        <v>127</v>
      </c>
      <c r="C4290">
        <v>185</v>
      </c>
      <c r="D4290">
        <f t="shared" si="152"/>
        <v>2014</v>
      </c>
      <c r="E4290">
        <f t="shared" si="153"/>
        <v>10</v>
      </c>
    </row>
    <row r="4291" spans="1:5" x14ac:dyDescent="0.3">
      <c r="A4291" t="s">
        <v>4416</v>
      </c>
      <c r="B4291" t="s">
        <v>127</v>
      </c>
      <c r="C4291">
        <v>192</v>
      </c>
      <c r="D4291">
        <f t="shared" ref="D4291:D4354" si="154">YEAR(A4291)</f>
        <v>2014</v>
      </c>
      <c r="E4291">
        <f t="shared" ref="E4291:E4354" si="155">MONTH(A4291)</f>
        <v>10</v>
      </c>
    </row>
    <row r="4292" spans="1:5" x14ac:dyDescent="0.3">
      <c r="A4292" t="s">
        <v>4417</v>
      </c>
      <c r="B4292" t="s">
        <v>127</v>
      </c>
      <c r="C4292">
        <v>191</v>
      </c>
      <c r="D4292">
        <f t="shared" si="154"/>
        <v>2014</v>
      </c>
      <c r="E4292">
        <f t="shared" si="155"/>
        <v>10</v>
      </c>
    </row>
    <row r="4293" spans="1:5" x14ac:dyDescent="0.3">
      <c r="A4293" t="s">
        <v>4418</v>
      </c>
      <c r="B4293" t="s">
        <v>127</v>
      </c>
      <c r="C4293">
        <v>187</v>
      </c>
      <c r="D4293">
        <f t="shared" si="154"/>
        <v>2014</v>
      </c>
      <c r="E4293">
        <f t="shared" si="155"/>
        <v>10</v>
      </c>
    </row>
    <row r="4294" spans="1:5" x14ac:dyDescent="0.3">
      <c r="A4294" t="s">
        <v>4419</v>
      </c>
      <c r="B4294" t="s">
        <v>127</v>
      </c>
      <c r="C4294">
        <v>190</v>
      </c>
      <c r="D4294">
        <f t="shared" si="154"/>
        <v>2014</v>
      </c>
      <c r="E4294">
        <f t="shared" si="155"/>
        <v>10</v>
      </c>
    </row>
    <row r="4295" spans="1:5" x14ac:dyDescent="0.3">
      <c r="A4295" t="s">
        <v>4420</v>
      </c>
      <c r="B4295" t="s">
        <v>127</v>
      </c>
      <c r="C4295">
        <v>190</v>
      </c>
      <c r="D4295">
        <f t="shared" si="154"/>
        <v>2014</v>
      </c>
      <c r="E4295">
        <f t="shared" si="155"/>
        <v>10</v>
      </c>
    </row>
    <row r="4296" spans="1:5" x14ac:dyDescent="0.3">
      <c r="A4296" t="s">
        <v>4421</v>
      </c>
      <c r="B4296" t="s">
        <v>127</v>
      </c>
      <c r="C4296">
        <v>198</v>
      </c>
      <c r="D4296">
        <f t="shared" si="154"/>
        <v>2014</v>
      </c>
      <c r="E4296">
        <f t="shared" si="155"/>
        <v>10</v>
      </c>
    </row>
    <row r="4297" spans="1:5" x14ac:dyDescent="0.3">
      <c r="A4297" t="s">
        <v>4422</v>
      </c>
      <c r="B4297" t="s">
        <v>127</v>
      </c>
      <c r="C4297">
        <v>202</v>
      </c>
      <c r="D4297">
        <f t="shared" si="154"/>
        <v>2014</v>
      </c>
      <c r="E4297">
        <f t="shared" si="155"/>
        <v>10</v>
      </c>
    </row>
    <row r="4298" spans="1:5" x14ac:dyDescent="0.3">
      <c r="A4298" t="s">
        <v>4423</v>
      </c>
      <c r="B4298" t="s">
        <v>127</v>
      </c>
      <c r="C4298">
        <v>195</v>
      </c>
      <c r="D4298">
        <f t="shared" si="154"/>
        <v>2014</v>
      </c>
      <c r="E4298">
        <f t="shared" si="155"/>
        <v>10</v>
      </c>
    </row>
    <row r="4299" spans="1:5" x14ac:dyDescent="0.3">
      <c r="A4299" t="s">
        <v>4424</v>
      </c>
      <c r="B4299" t="s">
        <v>127</v>
      </c>
      <c r="C4299">
        <v>187</v>
      </c>
      <c r="D4299">
        <f t="shared" si="154"/>
        <v>2014</v>
      </c>
      <c r="E4299">
        <f t="shared" si="155"/>
        <v>10</v>
      </c>
    </row>
    <row r="4300" spans="1:5" x14ac:dyDescent="0.3">
      <c r="A4300" t="s">
        <v>4425</v>
      </c>
      <c r="B4300" t="s">
        <v>127</v>
      </c>
      <c r="C4300">
        <v>188</v>
      </c>
      <c r="D4300">
        <f t="shared" si="154"/>
        <v>2014</v>
      </c>
      <c r="E4300">
        <f t="shared" si="155"/>
        <v>10</v>
      </c>
    </row>
    <row r="4301" spans="1:5" x14ac:dyDescent="0.3">
      <c r="A4301" t="s">
        <v>4426</v>
      </c>
      <c r="B4301" t="s">
        <v>127</v>
      </c>
      <c r="C4301">
        <v>186</v>
      </c>
      <c r="D4301">
        <f t="shared" si="154"/>
        <v>2014</v>
      </c>
      <c r="E4301">
        <f t="shared" si="155"/>
        <v>10</v>
      </c>
    </row>
    <row r="4302" spans="1:5" x14ac:dyDescent="0.3">
      <c r="A4302" t="s">
        <v>4427</v>
      </c>
      <c r="B4302" t="s">
        <v>127</v>
      </c>
      <c r="C4302">
        <v>188</v>
      </c>
      <c r="D4302">
        <f t="shared" si="154"/>
        <v>2014</v>
      </c>
      <c r="E4302">
        <f t="shared" si="155"/>
        <v>10</v>
      </c>
    </row>
    <row r="4303" spans="1:5" x14ac:dyDescent="0.3">
      <c r="A4303" t="s">
        <v>4428</v>
      </c>
      <c r="B4303" t="s">
        <v>127</v>
      </c>
      <c r="C4303">
        <v>187</v>
      </c>
      <c r="D4303">
        <f t="shared" si="154"/>
        <v>2014</v>
      </c>
      <c r="E4303">
        <f t="shared" si="155"/>
        <v>10</v>
      </c>
    </row>
    <row r="4304" spans="1:5" x14ac:dyDescent="0.3">
      <c r="A4304" t="s">
        <v>4429</v>
      </c>
      <c r="B4304" t="s">
        <v>127</v>
      </c>
      <c r="C4304">
        <v>191</v>
      </c>
      <c r="D4304">
        <f t="shared" si="154"/>
        <v>2014</v>
      </c>
      <c r="E4304">
        <f t="shared" si="155"/>
        <v>10</v>
      </c>
    </row>
    <row r="4305" spans="1:5" x14ac:dyDescent="0.3">
      <c r="A4305" t="s">
        <v>4430</v>
      </c>
      <c r="B4305" t="s">
        <v>127</v>
      </c>
      <c r="C4305">
        <v>194</v>
      </c>
      <c r="D4305">
        <f t="shared" si="154"/>
        <v>2014</v>
      </c>
      <c r="E4305">
        <f t="shared" si="155"/>
        <v>10</v>
      </c>
    </row>
    <row r="4306" spans="1:5" x14ac:dyDescent="0.3">
      <c r="A4306" t="s">
        <v>4431</v>
      </c>
      <c r="B4306" t="s">
        <v>127</v>
      </c>
      <c r="C4306">
        <v>189</v>
      </c>
      <c r="D4306">
        <f t="shared" si="154"/>
        <v>2014</v>
      </c>
      <c r="E4306">
        <f t="shared" si="155"/>
        <v>10</v>
      </c>
    </row>
    <row r="4307" spans="1:5" x14ac:dyDescent="0.3">
      <c r="A4307" t="s">
        <v>4432</v>
      </c>
      <c r="B4307" t="s">
        <v>127</v>
      </c>
      <c r="C4307">
        <v>190</v>
      </c>
      <c r="D4307">
        <f t="shared" si="154"/>
        <v>2014</v>
      </c>
      <c r="E4307">
        <f t="shared" si="155"/>
        <v>10</v>
      </c>
    </row>
    <row r="4308" spans="1:5" x14ac:dyDescent="0.3">
      <c r="A4308" t="s">
        <v>4433</v>
      </c>
      <c r="B4308" t="s">
        <v>127</v>
      </c>
      <c r="C4308">
        <v>191</v>
      </c>
      <c r="D4308">
        <f t="shared" si="154"/>
        <v>2014</v>
      </c>
      <c r="E4308">
        <f t="shared" si="155"/>
        <v>10</v>
      </c>
    </row>
    <row r="4309" spans="1:5" x14ac:dyDescent="0.3">
      <c r="A4309" t="s">
        <v>4434</v>
      </c>
      <c r="B4309" t="s">
        <v>127</v>
      </c>
      <c r="C4309">
        <v>188</v>
      </c>
      <c r="D4309">
        <f t="shared" si="154"/>
        <v>2014</v>
      </c>
      <c r="E4309">
        <f t="shared" si="155"/>
        <v>10</v>
      </c>
    </row>
    <row r="4310" spans="1:5" x14ac:dyDescent="0.3">
      <c r="A4310" t="s">
        <v>4435</v>
      </c>
      <c r="B4310" t="s">
        <v>127</v>
      </c>
      <c r="C4310">
        <v>186</v>
      </c>
      <c r="D4310">
        <f t="shared" si="154"/>
        <v>2014</v>
      </c>
      <c r="E4310">
        <f t="shared" si="155"/>
        <v>11</v>
      </c>
    </row>
    <row r="4311" spans="1:5" x14ac:dyDescent="0.3">
      <c r="A4311" t="s">
        <v>4436</v>
      </c>
      <c r="B4311" t="s">
        <v>127</v>
      </c>
      <c r="C4311">
        <v>192</v>
      </c>
      <c r="D4311">
        <f t="shared" si="154"/>
        <v>2014</v>
      </c>
      <c r="E4311">
        <f t="shared" si="155"/>
        <v>11</v>
      </c>
    </row>
    <row r="4312" spans="1:5" x14ac:dyDescent="0.3">
      <c r="A4312" t="s">
        <v>4437</v>
      </c>
      <c r="B4312" t="s">
        <v>127</v>
      </c>
      <c r="C4312">
        <v>191</v>
      </c>
      <c r="D4312">
        <f t="shared" si="154"/>
        <v>2014</v>
      </c>
      <c r="E4312">
        <f t="shared" si="155"/>
        <v>11</v>
      </c>
    </row>
    <row r="4313" spans="1:5" x14ac:dyDescent="0.3">
      <c r="A4313" t="s">
        <v>4438</v>
      </c>
      <c r="B4313" t="s">
        <v>127</v>
      </c>
      <c r="C4313">
        <v>190</v>
      </c>
      <c r="D4313">
        <f t="shared" si="154"/>
        <v>2014</v>
      </c>
      <c r="E4313">
        <f t="shared" si="155"/>
        <v>11</v>
      </c>
    </row>
    <row r="4314" spans="1:5" x14ac:dyDescent="0.3">
      <c r="A4314" t="s">
        <v>4439</v>
      </c>
      <c r="B4314" t="s">
        <v>127</v>
      </c>
      <c r="C4314">
        <v>195</v>
      </c>
      <c r="D4314">
        <f t="shared" si="154"/>
        <v>2014</v>
      </c>
      <c r="E4314">
        <f t="shared" si="155"/>
        <v>11</v>
      </c>
    </row>
    <row r="4315" spans="1:5" x14ac:dyDescent="0.3">
      <c r="A4315" t="s">
        <v>4440</v>
      </c>
      <c r="B4315" t="s">
        <v>127</v>
      </c>
      <c r="C4315">
        <v>189</v>
      </c>
      <c r="D4315">
        <f t="shared" si="154"/>
        <v>2014</v>
      </c>
      <c r="E4315">
        <f t="shared" si="155"/>
        <v>11</v>
      </c>
    </row>
    <row r="4316" spans="1:5" x14ac:dyDescent="0.3">
      <c r="A4316" t="s">
        <v>4441</v>
      </c>
      <c r="B4316" t="s">
        <v>127</v>
      </c>
      <c r="C4316">
        <v>189</v>
      </c>
      <c r="D4316">
        <f t="shared" si="154"/>
        <v>2014</v>
      </c>
      <c r="E4316">
        <f t="shared" si="155"/>
        <v>11</v>
      </c>
    </row>
    <row r="4317" spans="1:5" x14ac:dyDescent="0.3">
      <c r="A4317" t="s">
        <v>4442</v>
      </c>
      <c r="B4317" t="s">
        <v>127</v>
      </c>
      <c r="C4317">
        <v>188</v>
      </c>
      <c r="D4317">
        <f t="shared" si="154"/>
        <v>2014</v>
      </c>
      <c r="E4317">
        <f t="shared" si="155"/>
        <v>11</v>
      </c>
    </row>
    <row r="4318" spans="1:5" x14ac:dyDescent="0.3">
      <c r="A4318" t="s">
        <v>4443</v>
      </c>
      <c r="B4318" t="s">
        <v>127</v>
      </c>
      <c r="C4318">
        <v>187</v>
      </c>
      <c r="D4318">
        <f t="shared" si="154"/>
        <v>2014</v>
      </c>
      <c r="E4318">
        <f t="shared" si="155"/>
        <v>11</v>
      </c>
    </row>
    <row r="4319" spans="1:5" x14ac:dyDescent="0.3">
      <c r="A4319" t="s">
        <v>4444</v>
      </c>
      <c r="B4319" t="s">
        <v>127</v>
      </c>
      <c r="C4319">
        <v>192</v>
      </c>
      <c r="D4319">
        <f t="shared" si="154"/>
        <v>2014</v>
      </c>
      <c r="E4319">
        <f t="shared" si="155"/>
        <v>11</v>
      </c>
    </row>
    <row r="4320" spans="1:5" x14ac:dyDescent="0.3">
      <c r="A4320" t="s">
        <v>4445</v>
      </c>
      <c r="B4320" t="s">
        <v>127</v>
      </c>
      <c r="C4320">
        <v>192</v>
      </c>
      <c r="D4320">
        <f t="shared" si="154"/>
        <v>2014</v>
      </c>
      <c r="E4320">
        <f t="shared" si="155"/>
        <v>11</v>
      </c>
    </row>
    <row r="4321" spans="1:5" x14ac:dyDescent="0.3">
      <c r="A4321" t="s">
        <v>4446</v>
      </c>
      <c r="B4321" t="s">
        <v>127</v>
      </c>
      <c r="C4321">
        <v>196</v>
      </c>
      <c r="D4321">
        <f t="shared" si="154"/>
        <v>2014</v>
      </c>
      <c r="E4321">
        <f t="shared" si="155"/>
        <v>11</v>
      </c>
    </row>
    <row r="4322" spans="1:5" x14ac:dyDescent="0.3">
      <c r="A4322" t="s">
        <v>4447</v>
      </c>
      <c r="B4322" t="s">
        <v>127</v>
      </c>
      <c r="C4322">
        <v>193</v>
      </c>
      <c r="D4322">
        <f t="shared" si="154"/>
        <v>2014</v>
      </c>
      <c r="E4322">
        <f t="shared" si="155"/>
        <v>11</v>
      </c>
    </row>
    <row r="4323" spans="1:5" x14ac:dyDescent="0.3">
      <c r="A4323" t="s">
        <v>4448</v>
      </c>
      <c r="B4323" t="s">
        <v>127</v>
      </c>
      <c r="C4323">
        <v>198</v>
      </c>
      <c r="D4323">
        <f t="shared" si="154"/>
        <v>2014</v>
      </c>
      <c r="E4323">
        <f t="shared" si="155"/>
        <v>11</v>
      </c>
    </row>
    <row r="4324" spans="1:5" x14ac:dyDescent="0.3">
      <c r="A4324" t="s">
        <v>4449</v>
      </c>
      <c r="B4324" t="s">
        <v>127</v>
      </c>
      <c r="C4324">
        <v>195</v>
      </c>
      <c r="D4324">
        <f t="shared" si="154"/>
        <v>2014</v>
      </c>
      <c r="E4324">
        <f t="shared" si="155"/>
        <v>11</v>
      </c>
    </row>
    <row r="4325" spans="1:5" x14ac:dyDescent="0.3">
      <c r="A4325" t="s">
        <v>4450</v>
      </c>
      <c r="B4325" t="s">
        <v>127</v>
      </c>
      <c r="C4325">
        <v>193</v>
      </c>
      <c r="D4325">
        <f t="shared" si="154"/>
        <v>2014</v>
      </c>
      <c r="E4325">
        <f t="shared" si="155"/>
        <v>11</v>
      </c>
    </row>
    <row r="4326" spans="1:5" x14ac:dyDescent="0.3">
      <c r="A4326" t="s">
        <v>4451</v>
      </c>
      <c r="B4326" t="s">
        <v>127</v>
      </c>
      <c r="C4326">
        <v>198</v>
      </c>
      <c r="D4326">
        <f t="shared" si="154"/>
        <v>2014</v>
      </c>
      <c r="E4326">
        <f t="shared" si="155"/>
        <v>11</v>
      </c>
    </row>
    <row r="4327" spans="1:5" x14ac:dyDescent="0.3">
      <c r="A4327" t="s">
        <v>4452</v>
      </c>
      <c r="B4327" t="s">
        <v>127</v>
      </c>
      <c r="C4327">
        <v>195</v>
      </c>
      <c r="D4327">
        <f t="shared" si="154"/>
        <v>2014</v>
      </c>
      <c r="E4327">
        <f t="shared" si="155"/>
        <v>11</v>
      </c>
    </row>
    <row r="4328" spans="1:5" x14ac:dyDescent="0.3">
      <c r="A4328" t="s">
        <v>4453</v>
      </c>
      <c r="B4328" t="s">
        <v>127</v>
      </c>
      <c r="C4328">
        <v>195</v>
      </c>
      <c r="D4328">
        <f t="shared" si="154"/>
        <v>2014</v>
      </c>
      <c r="E4328">
        <f t="shared" si="155"/>
        <v>11</v>
      </c>
    </row>
    <row r="4329" spans="1:5" x14ac:dyDescent="0.3">
      <c r="A4329" t="s">
        <v>4454</v>
      </c>
      <c r="B4329" t="s">
        <v>127</v>
      </c>
      <c r="C4329">
        <v>195</v>
      </c>
      <c r="D4329">
        <f t="shared" si="154"/>
        <v>2014</v>
      </c>
      <c r="E4329">
        <f t="shared" si="155"/>
        <v>11</v>
      </c>
    </row>
    <row r="4330" spans="1:5" x14ac:dyDescent="0.3">
      <c r="A4330" t="s">
        <v>4455</v>
      </c>
      <c r="B4330" t="s">
        <v>127</v>
      </c>
      <c r="C4330">
        <v>199</v>
      </c>
      <c r="D4330">
        <f t="shared" si="154"/>
        <v>2014</v>
      </c>
      <c r="E4330">
        <f t="shared" si="155"/>
        <v>12</v>
      </c>
    </row>
    <row r="4331" spans="1:5" x14ac:dyDescent="0.3">
      <c r="A4331" t="s">
        <v>4456</v>
      </c>
      <c r="B4331" t="s">
        <v>127</v>
      </c>
      <c r="C4331">
        <v>194</v>
      </c>
      <c r="D4331">
        <f t="shared" si="154"/>
        <v>2014</v>
      </c>
      <c r="E4331">
        <f t="shared" si="155"/>
        <v>12</v>
      </c>
    </row>
    <row r="4332" spans="1:5" x14ac:dyDescent="0.3">
      <c r="A4332" t="s">
        <v>4457</v>
      </c>
      <c r="B4332" t="s">
        <v>127</v>
      </c>
      <c r="C4332">
        <v>195</v>
      </c>
      <c r="D4332">
        <f t="shared" si="154"/>
        <v>2014</v>
      </c>
      <c r="E4332">
        <f t="shared" si="155"/>
        <v>12</v>
      </c>
    </row>
    <row r="4333" spans="1:5" x14ac:dyDescent="0.3">
      <c r="A4333" t="s">
        <v>4458</v>
      </c>
      <c r="B4333" t="s">
        <v>127</v>
      </c>
      <c r="C4333">
        <v>198</v>
      </c>
      <c r="D4333">
        <f t="shared" si="154"/>
        <v>2014</v>
      </c>
      <c r="E4333">
        <f t="shared" si="155"/>
        <v>12</v>
      </c>
    </row>
    <row r="4334" spans="1:5" x14ac:dyDescent="0.3">
      <c r="A4334" t="s">
        <v>4459</v>
      </c>
      <c r="B4334" t="s">
        <v>127</v>
      </c>
      <c r="C4334">
        <v>199</v>
      </c>
      <c r="D4334">
        <f t="shared" si="154"/>
        <v>2014</v>
      </c>
      <c r="E4334">
        <f t="shared" si="155"/>
        <v>12</v>
      </c>
    </row>
    <row r="4335" spans="1:5" x14ac:dyDescent="0.3">
      <c r="A4335" t="s">
        <v>4460</v>
      </c>
      <c r="B4335" t="s">
        <v>127</v>
      </c>
      <c r="C4335">
        <v>213</v>
      </c>
      <c r="D4335">
        <f t="shared" si="154"/>
        <v>2014</v>
      </c>
      <c r="E4335">
        <f t="shared" si="155"/>
        <v>12</v>
      </c>
    </row>
    <row r="4336" spans="1:5" x14ac:dyDescent="0.3">
      <c r="A4336" t="s">
        <v>4461</v>
      </c>
      <c r="B4336" t="s">
        <v>127</v>
      </c>
      <c r="C4336">
        <v>218</v>
      </c>
      <c r="D4336">
        <f t="shared" si="154"/>
        <v>2014</v>
      </c>
      <c r="E4336">
        <f t="shared" si="155"/>
        <v>12</v>
      </c>
    </row>
    <row r="4337" spans="1:5" x14ac:dyDescent="0.3">
      <c r="A4337" t="s">
        <v>4462</v>
      </c>
      <c r="B4337" t="s">
        <v>127</v>
      </c>
      <c r="C4337">
        <v>227</v>
      </c>
      <c r="D4337">
        <f t="shared" si="154"/>
        <v>2014</v>
      </c>
      <c r="E4337">
        <f t="shared" si="155"/>
        <v>12</v>
      </c>
    </row>
    <row r="4338" spans="1:5" x14ac:dyDescent="0.3">
      <c r="A4338" t="s">
        <v>4463</v>
      </c>
      <c r="B4338" t="s">
        <v>127</v>
      </c>
      <c r="C4338">
        <v>228</v>
      </c>
      <c r="D4338">
        <f t="shared" si="154"/>
        <v>2014</v>
      </c>
      <c r="E4338">
        <f t="shared" si="155"/>
        <v>12</v>
      </c>
    </row>
    <row r="4339" spans="1:5" x14ac:dyDescent="0.3">
      <c r="A4339" t="s">
        <v>4464</v>
      </c>
      <c r="B4339" t="s">
        <v>127</v>
      </c>
      <c r="C4339">
        <v>245</v>
      </c>
      <c r="D4339">
        <f t="shared" si="154"/>
        <v>2014</v>
      </c>
      <c r="E4339">
        <f t="shared" si="155"/>
        <v>12</v>
      </c>
    </row>
    <row r="4340" spans="1:5" x14ac:dyDescent="0.3">
      <c r="A4340" t="s">
        <v>4465</v>
      </c>
      <c r="B4340" t="s">
        <v>127</v>
      </c>
      <c r="C4340">
        <v>252</v>
      </c>
      <c r="D4340">
        <f t="shared" si="154"/>
        <v>2014</v>
      </c>
      <c r="E4340">
        <f t="shared" si="155"/>
        <v>12</v>
      </c>
    </row>
    <row r="4341" spans="1:5" x14ac:dyDescent="0.3">
      <c r="A4341" t="s">
        <v>4466</v>
      </c>
      <c r="B4341" t="s">
        <v>127</v>
      </c>
      <c r="C4341">
        <v>261</v>
      </c>
      <c r="D4341">
        <f t="shared" si="154"/>
        <v>2014</v>
      </c>
      <c r="E4341">
        <f t="shared" si="155"/>
        <v>12</v>
      </c>
    </row>
    <row r="4342" spans="1:5" x14ac:dyDescent="0.3">
      <c r="A4342" t="s">
        <v>4467</v>
      </c>
      <c r="B4342" t="s">
        <v>127</v>
      </c>
      <c r="C4342">
        <v>237</v>
      </c>
      <c r="D4342">
        <f t="shared" si="154"/>
        <v>2014</v>
      </c>
      <c r="E4342">
        <f t="shared" si="155"/>
        <v>12</v>
      </c>
    </row>
    <row r="4343" spans="1:5" x14ac:dyDescent="0.3">
      <c r="A4343" t="s">
        <v>4468</v>
      </c>
      <c r="B4343" t="s">
        <v>127</v>
      </c>
      <c r="C4343">
        <v>225</v>
      </c>
      <c r="D4343">
        <f t="shared" si="154"/>
        <v>2014</v>
      </c>
      <c r="E4343">
        <f t="shared" si="155"/>
        <v>12</v>
      </c>
    </row>
    <row r="4344" spans="1:5" x14ac:dyDescent="0.3">
      <c r="A4344" t="s">
        <v>4469</v>
      </c>
      <c r="B4344" t="s">
        <v>127</v>
      </c>
      <c r="C4344">
        <v>222</v>
      </c>
      <c r="D4344">
        <f t="shared" si="154"/>
        <v>2014</v>
      </c>
      <c r="E4344">
        <f t="shared" si="155"/>
        <v>12</v>
      </c>
    </row>
    <row r="4345" spans="1:5" x14ac:dyDescent="0.3">
      <c r="A4345" t="s">
        <v>4470</v>
      </c>
      <c r="B4345" t="s">
        <v>127</v>
      </c>
      <c r="C4345">
        <v>217</v>
      </c>
      <c r="D4345">
        <f t="shared" si="154"/>
        <v>2014</v>
      </c>
      <c r="E4345">
        <f t="shared" si="155"/>
        <v>12</v>
      </c>
    </row>
    <row r="4346" spans="1:5" x14ac:dyDescent="0.3">
      <c r="A4346" t="s">
        <v>4471</v>
      </c>
      <c r="B4346" t="s">
        <v>127</v>
      </c>
      <c r="C4346">
        <v>204</v>
      </c>
      <c r="D4346">
        <f t="shared" si="154"/>
        <v>2014</v>
      </c>
      <c r="E4346">
        <f t="shared" si="155"/>
        <v>12</v>
      </c>
    </row>
    <row r="4347" spans="1:5" x14ac:dyDescent="0.3">
      <c r="A4347" t="s">
        <v>4472</v>
      </c>
      <c r="B4347" t="s">
        <v>127</v>
      </c>
      <c r="C4347">
        <v>207</v>
      </c>
      <c r="D4347">
        <f t="shared" si="154"/>
        <v>2014</v>
      </c>
      <c r="E4347">
        <f t="shared" si="155"/>
        <v>12</v>
      </c>
    </row>
    <row r="4348" spans="1:5" x14ac:dyDescent="0.3">
      <c r="A4348" t="s">
        <v>4473</v>
      </c>
      <c r="B4348" t="s">
        <v>127</v>
      </c>
      <c r="C4348">
        <v>207</v>
      </c>
      <c r="D4348">
        <f t="shared" si="154"/>
        <v>2014</v>
      </c>
      <c r="E4348">
        <f t="shared" si="155"/>
        <v>12</v>
      </c>
    </row>
    <row r="4349" spans="1:5" x14ac:dyDescent="0.3">
      <c r="A4349" t="s">
        <v>4474</v>
      </c>
      <c r="B4349" t="s">
        <v>127</v>
      </c>
      <c r="C4349">
        <v>211</v>
      </c>
      <c r="D4349">
        <f t="shared" si="154"/>
        <v>2014</v>
      </c>
      <c r="E4349">
        <f t="shared" si="155"/>
        <v>12</v>
      </c>
    </row>
    <row r="4350" spans="1:5" x14ac:dyDescent="0.3">
      <c r="A4350" t="s">
        <v>4475</v>
      </c>
      <c r="B4350" t="s">
        <v>127</v>
      </c>
      <c r="C4350">
        <v>209</v>
      </c>
      <c r="D4350">
        <f t="shared" si="154"/>
        <v>2014</v>
      </c>
      <c r="E4350">
        <f t="shared" si="155"/>
        <v>12</v>
      </c>
    </row>
    <row r="4351" spans="1:5" x14ac:dyDescent="0.3">
      <c r="A4351" t="s">
        <v>4476</v>
      </c>
      <c r="B4351" t="s">
        <v>127</v>
      </c>
      <c r="C4351">
        <v>212</v>
      </c>
      <c r="D4351">
        <f t="shared" si="154"/>
        <v>2014</v>
      </c>
      <c r="E4351">
        <f t="shared" si="155"/>
        <v>12</v>
      </c>
    </row>
    <row r="4352" spans="1:5" x14ac:dyDescent="0.3">
      <c r="A4352" t="s">
        <v>4477</v>
      </c>
      <c r="B4352" t="s">
        <v>127</v>
      </c>
      <c r="C4352">
        <v>213</v>
      </c>
      <c r="D4352">
        <f t="shared" si="154"/>
        <v>2014</v>
      </c>
      <c r="E4352">
        <f t="shared" si="155"/>
        <v>12</v>
      </c>
    </row>
    <row r="4353" spans="1:5" x14ac:dyDescent="0.3">
      <c r="A4353" t="s">
        <v>4478</v>
      </c>
      <c r="B4353" t="s">
        <v>127</v>
      </c>
      <c r="C4353">
        <v>213</v>
      </c>
      <c r="D4353">
        <f t="shared" si="154"/>
        <v>2015</v>
      </c>
      <c r="E4353">
        <f t="shared" si="155"/>
        <v>1</v>
      </c>
    </row>
    <row r="4354" spans="1:5" x14ac:dyDescent="0.3">
      <c r="A4354" t="s">
        <v>4479</v>
      </c>
      <c r="B4354" t="s">
        <v>127</v>
      </c>
      <c r="C4354">
        <v>218</v>
      </c>
      <c r="D4354">
        <f t="shared" si="154"/>
        <v>2015</v>
      </c>
      <c r="E4354">
        <f t="shared" si="155"/>
        <v>1</v>
      </c>
    </row>
    <row r="4355" spans="1:5" x14ac:dyDescent="0.3">
      <c r="A4355" t="s">
        <v>4480</v>
      </c>
      <c r="B4355" t="s">
        <v>127</v>
      </c>
      <c r="C4355">
        <v>233</v>
      </c>
      <c r="D4355">
        <f t="shared" ref="D4355:D4418" si="156">YEAR(A4355)</f>
        <v>2015</v>
      </c>
      <c r="E4355">
        <f t="shared" ref="E4355:E4418" si="157">MONTH(A4355)</f>
        <v>1</v>
      </c>
    </row>
    <row r="4356" spans="1:5" x14ac:dyDescent="0.3">
      <c r="A4356" t="s">
        <v>4481</v>
      </c>
      <c r="B4356" t="s">
        <v>127</v>
      </c>
      <c r="C4356">
        <v>237</v>
      </c>
      <c r="D4356">
        <f t="shared" si="156"/>
        <v>2015</v>
      </c>
      <c r="E4356">
        <f t="shared" si="157"/>
        <v>1</v>
      </c>
    </row>
    <row r="4357" spans="1:5" x14ac:dyDescent="0.3">
      <c r="A4357" t="s">
        <v>4482</v>
      </c>
      <c r="B4357" t="s">
        <v>127</v>
      </c>
      <c r="C4357">
        <v>231</v>
      </c>
      <c r="D4357">
        <f t="shared" si="156"/>
        <v>2015</v>
      </c>
      <c r="E4357">
        <f t="shared" si="157"/>
        <v>1</v>
      </c>
    </row>
    <row r="4358" spans="1:5" x14ac:dyDescent="0.3">
      <c r="A4358" t="s">
        <v>4483</v>
      </c>
      <c r="B4358" t="s">
        <v>127</v>
      </c>
      <c r="C4358">
        <v>226</v>
      </c>
      <c r="D4358">
        <f t="shared" si="156"/>
        <v>2015</v>
      </c>
      <c r="E4358">
        <f t="shared" si="157"/>
        <v>1</v>
      </c>
    </row>
    <row r="4359" spans="1:5" x14ac:dyDescent="0.3">
      <c r="A4359" t="s">
        <v>4484</v>
      </c>
      <c r="B4359" t="s">
        <v>127</v>
      </c>
      <c r="C4359">
        <v>229</v>
      </c>
      <c r="D4359">
        <f t="shared" si="156"/>
        <v>2015</v>
      </c>
      <c r="E4359">
        <f t="shared" si="157"/>
        <v>1</v>
      </c>
    </row>
    <row r="4360" spans="1:5" x14ac:dyDescent="0.3">
      <c r="A4360" t="s">
        <v>4485</v>
      </c>
      <c r="B4360" t="s">
        <v>127</v>
      </c>
      <c r="C4360">
        <v>237</v>
      </c>
      <c r="D4360">
        <f t="shared" si="156"/>
        <v>2015</v>
      </c>
      <c r="E4360">
        <f t="shared" si="157"/>
        <v>1</v>
      </c>
    </row>
    <row r="4361" spans="1:5" x14ac:dyDescent="0.3">
      <c r="A4361" t="s">
        <v>4486</v>
      </c>
      <c r="B4361" t="s">
        <v>127</v>
      </c>
      <c r="C4361">
        <v>239</v>
      </c>
      <c r="D4361">
        <f t="shared" si="156"/>
        <v>2015</v>
      </c>
      <c r="E4361">
        <f t="shared" si="157"/>
        <v>1</v>
      </c>
    </row>
    <row r="4362" spans="1:5" x14ac:dyDescent="0.3">
      <c r="A4362" t="s">
        <v>4487</v>
      </c>
      <c r="B4362" t="s">
        <v>127</v>
      </c>
      <c r="C4362">
        <v>243</v>
      </c>
      <c r="D4362">
        <f t="shared" si="156"/>
        <v>2015</v>
      </c>
      <c r="E4362">
        <f t="shared" si="157"/>
        <v>1</v>
      </c>
    </row>
    <row r="4363" spans="1:5" x14ac:dyDescent="0.3">
      <c r="A4363" t="s">
        <v>4488</v>
      </c>
      <c r="B4363" t="s">
        <v>127</v>
      </c>
      <c r="C4363">
        <v>254</v>
      </c>
      <c r="D4363">
        <f t="shared" si="156"/>
        <v>2015</v>
      </c>
      <c r="E4363">
        <f t="shared" si="157"/>
        <v>1</v>
      </c>
    </row>
    <row r="4364" spans="1:5" x14ac:dyDescent="0.3">
      <c r="A4364" t="s">
        <v>4489</v>
      </c>
      <c r="B4364" t="s">
        <v>127</v>
      </c>
      <c r="C4364">
        <v>257</v>
      </c>
      <c r="D4364">
        <f t="shared" si="156"/>
        <v>2015</v>
      </c>
      <c r="E4364">
        <f t="shared" si="157"/>
        <v>1</v>
      </c>
    </row>
    <row r="4365" spans="1:5" x14ac:dyDescent="0.3">
      <c r="A4365" t="s">
        <v>4490</v>
      </c>
      <c r="B4365" t="s">
        <v>127</v>
      </c>
      <c r="C4365">
        <v>257</v>
      </c>
      <c r="D4365">
        <f t="shared" si="156"/>
        <v>2015</v>
      </c>
      <c r="E4365">
        <f t="shared" si="157"/>
        <v>1</v>
      </c>
    </row>
    <row r="4366" spans="1:5" x14ac:dyDescent="0.3">
      <c r="A4366" t="s">
        <v>4491</v>
      </c>
      <c r="B4366" t="s">
        <v>127</v>
      </c>
      <c r="C4366">
        <v>255</v>
      </c>
      <c r="D4366">
        <f t="shared" si="156"/>
        <v>2015</v>
      </c>
      <c r="E4366">
        <f t="shared" si="157"/>
        <v>1</v>
      </c>
    </row>
    <row r="4367" spans="1:5" x14ac:dyDescent="0.3">
      <c r="A4367" t="s">
        <v>4492</v>
      </c>
      <c r="B4367" t="s">
        <v>127</v>
      </c>
      <c r="C4367">
        <v>250</v>
      </c>
      <c r="D4367">
        <f t="shared" si="156"/>
        <v>2015</v>
      </c>
      <c r="E4367">
        <f t="shared" si="157"/>
        <v>1</v>
      </c>
    </row>
    <row r="4368" spans="1:5" x14ac:dyDescent="0.3">
      <c r="A4368" t="s">
        <v>4493</v>
      </c>
      <c r="B4368" t="s">
        <v>127</v>
      </c>
      <c r="C4368">
        <v>246</v>
      </c>
      <c r="D4368">
        <f t="shared" si="156"/>
        <v>2015</v>
      </c>
      <c r="E4368">
        <f t="shared" si="157"/>
        <v>1</v>
      </c>
    </row>
    <row r="4369" spans="1:5" x14ac:dyDescent="0.3">
      <c r="A4369" t="s">
        <v>4494</v>
      </c>
      <c r="B4369" t="s">
        <v>127</v>
      </c>
      <c r="C4369">
        <v>244</v>
      </c>
      <c r="D4369">
        <f t="shared" si="156"/>
        <v>2015</v>
      </c>
      <c r="E4369">
        <f t="shared" si="157"/>
        <v>1</v>
      </c>
    </row>
    <row r="4370" spans="1:5" x14ac:dyDescent="0.3">
      <c r="A4370" t="s">
        <v>4495</v>
      </c>
      <c r="B4370" t="s">
        <v>127</v>
      </c>
      <c r="C4370">
        <v>243</v>
      </c>
      <c r="D4370">
        <f t="shared" si="156"/>
        <v>2015</v>
      </c>
      <c r="E4370">
        <f t="shared" si="157"/>
        <v>1</v>
      </c>
    </row>
    <row r="4371" spans="1:5" x14ac:dyDescent="0.3">
      <c r="A4371" t="s">
        <v>4496</v>
      </c>
      <c r="B4371" t="s">
        <v>127</v>
      </c>
      <c r="C4371">
        <v>242</v>
      </c>
      <c r="D4371">
        <f t="shared" si="156"/>
        <v>2015</v>
      </c>
      <c r="E4371">
        <f t="shared" si="157"/>
        <v>1</v>
      </c>
    </row>
    <row r="4372" spans="1:5" x14ac:dyDescent="0.3">
      <c r="A4372" t="s">
        <v>4497</v>
      </c>
      <c r="B4372" t="s">
        <v>127</v>
      </c>
      <c r="C4372">
        <v>255</v>
      </c>
      <c r="D4372">
        <f t="shared" si="156"/>
        <v>2015</v>
      </c>
      <c r="E4372">
        <f t="shared" si="157"/>
        <v>1</v>
      </c>
    </row>
    <row r="4373" spans="1:5" x14ac:dyDescent="0.3">
      <c r="A4373" t="s">
        <v>4498</v>
      </c>
      <c r="B4373" t="s">
        <v>127</v>
      </c>
      <c r="C4373">
        <v>248</v>
      </c>
      <c r="D4373">
        <f t="shared" si="156"/>
        <v>2015</v>
      </c>
      <c r="E4373">
        <f t="shared" si="157"/>
        <v>1</v>
      </c>
    </row>
    <row r="4374" spans="1:5" x14ac:dyDescent="0.3">
      <c r="A4374" t="s">
        <v>4499</v>
      </c>
      <c r="B4374" t="s">
        <v>127</v>
      </c>
      <c r="C4374">
        <v>252</v>
      </c>
      <c r="D4374">
        <f t="shared" si="156"/>
        <v>2015</v>
      </c>
      <c r="E4374">
        <f t="shared" si="157"/>
        <v>1</v>
      </c>
    </row>
    <row r="4375" spans="1:5" x14ac:dyDescent="0.3">
      <c r="A4375" t="s">
        <v>4500</v>
      </c>
      <c r="B4375" t="s">
        <v>127</v>
      </c>
      <c r="C4375">
        <v>243</v>
      </c>
      <c r="D4375">
        <f t="shared" si="156"/>
        <v>2015</v>
      </c>
      <c r="E4375">
        <f t="shared" si="157"/>
        <v>2</v>
      </c>
    </row>
    <row r="4376" spans="1:5" x14ac:dyDescent="0.3">
      <c r="A4376" t="s">
        <v>4501</v>
      </c>
      <c r="B4376" t="s">
        <v>127</v>
      </c>
      <c r="C4376">
        <v>237</v>
      </c>
      <c r="D4376">
        <f t="shared" si="156"/>
        <v>2015</v>
      </c>
      <c r="E4376">
        <f t="shared" si="157"/>
        <v>2</v>
      </c>
    </row>
    <row r="4377" spans="1:5" x14ac:dyDescent="0.3">
      <c r="A4377" t="s">
        <v>4502</v>
      </c>
      <c r="B4377" t="s">
        <v>127</v>
      </c>
      <c r="C4377">
        <v>241</v>
      </c>
      <c r="D4377">
        <f t="shared" si="156"/>
        <v>2015</v>
      </c>
      <c r="E4377">
        <f t="shared" si="157"/>
        <v>2</v>
      </c>
    </row>
    <row r="4378" spans="1:5" x14ac:dyDescent="0.3">
      <c r="A4378" t="s">
        <v>4503</v>
      </c>
      <c r="B4378" t="s">
        <v>127</v>
      </c>
      <c r="C4378">
        <v>238</v>
      </c>
      <c r="D4378">
        <f t="shared" si="156"/>
        <v>2015</v>
      </c>
      <c r="E4378">
        <f t="shared" si="157"/>
        <v>2</v>
      </c>
    </row>
    <row r="4379" spans="1:5" x14ac:dyDescent="0.3">
      <c r="A4379" t="s">
        <v>4504</v>
      </c>
      <c r="B4379" t="s">
        <v>127</v>
      </c>
      <c r="C4379">
        <v>231</v>
      </c>
      <c r="D4379">
        <f t="shared" si="156"/>
        <v>2015</v>
      </c>
      <c r="E4379">
        <f t="shared" si="157"/>
        <v>2</v>
      </c>
    </row>
    <row r="4380" spans="1:5" x14ac:dyDescent="0.3">
      <c r="A4380" t="s">
        <v>4505</v>
      </c>
      <c r="B4380" t="s">
        <v>127</v>
      </c>
      <c r="C4380">
        <v>231</v>
      </c>
      <c r="D4380">
        <f t="shared" si="156"/>
        <v>2015</v>
      </c>
      <c r="E4380">
        <f t="shared" si="157"/>
        <v>2</v>
      </c>
    </row>
    <row r="4381" spans="1:5" x14ac:dyDescent="0.3">
      <c r="A4381" t="s">
        <v>4506</v>
      </c>
      <c r="B4381" t="s">
        <v>127</v>
      </c>
      <c r="C4381">
        <v>234</v>
      </c>
      <c r="D4381">
        <f t="shared" si="156"/>
        <v>2015</v>
      </c>
      <c r="E4381">
        <f t="shared" si="157"/>
        <v>2</v>
      </c>
    </row>
    <row r="4382" spans="1:5" x14ac:dyDescent="0.3">
      <c r="A4382" t="s">
        <v>4507</v>
      </c>
      <c r="B4382" t="s">
        <v>127</v>
      </c>
      <c r="C4382">
        <v>235</v>
      </c>
      <c r="D4382">
        <f t="shared" si="156"/>
        <v>2015</v>
      </c>
      <c r="E4382">
        <f t="shared" si="157"/>
        <v>2</v>
      </c>
    </row>
    <row r="4383" spans="1:5" x14ac:dyDescent="0.3">
      <c r="A4383" t="s">
        <v>4508</v>
      </c>
      <c r="B4383" t="s">
        <v>127</v>
      </c>
      <c r="C4383">
        <v>233</v>
      </c>
      <c r="D4383">
        <f t="shared" si="156"/>
        <v>2015</v>
      </c>
      <c r="E4383">
        <f t="shared" si="157"/>
        <v>2</v>
      </c>
    </row>
    <row r="4384" spans="1:5" x14ac:dyDescent="0.3">
      <c r="A4384" t="s">
        <v>4509</v>
      </c>
      <c r="B4384" t="s">
        <v>127</v>
      </c>
      <c r="C4384">
        <v>222</v>
      </c>
      <c r="D4384">
        <f t="shared" si="156"/>
        <v>2015</v>
      </c>
      <c r="E4384">
        <f t="shared" si="157"/>
        <v>2</v>
      </c>
    </row>
    <row r="4385" spans="1:5" x14ac:dyDescent="0.3">
      <c r="A4385" t="s">
        <v>4510</v>
      </c>
      <c r="B4385" t="s">
        <v>127</v>
      </c>
      <c r="C4385">
        <v>222</v>
      </c>
      <c r="D4385">
        <f t="shared" si="156"/>
        <v>2015</v>
      </c>
      <c r="E4385">
        <f t="shared" si="157"/>
        <v>2</v>
      </c>
    </row>
    <row r="4386" spans="1:5" x14ac:dyDescent="0.3">
      <c r="A4386" t="s">
        <v>4511</v>
      </c>
      <c r="B4386" t="s">
        <v>127</v>
      </c>
      <c r="C4386">
        <v>214</v>
      </c>
      <c r="D4386">
        <f t="shared" si="156"/>
        <v>2015</v>
      </c>
      <c r="E4386">
        <f t="shared" si="157"/>
        <v>2</v>
      </c>
    </row>
    <row r="4387" spans="1:5" x14ac:dyDescent="0.3">
      <c r="A4387" t="s">
        <v>4512</v>
      </c>
      <c r="B4387" t="s">
        <v>127</v>
      </c>
      <c r="C4387">
        <v>220</v>
      </c>
      <c r="D4387">
        <f t="shared" si="156"/>
        <v>2015</v>
      </c>
      <c r="E4387">
        <f t="shared" si="157"/>
        <v>2</v>
      </c>
    </row>
    <row r="4388" spans="1:5" x14ac:dyDescent="0.3">
      <c r="A4388" t="s">
        <v>4513</v>
      </c>
      <c r="B4388" t="s">
        <v>127</v>
      </c>
      <c r="C4388">
        <v>219</v>
      </c>
      <c r="D4388">
        <f t="shared" si="156"/>
        <v>2015</v>
      </c>
      <c r="E4388">
        <f t="shared" si="157"/>
        <v>2</v>
      </c>
    </row>
    <row r="4389" spans="1:5" x14ac:dyDescent="0.3">
      <c r="A4389" t="s">
        <v>4514</v>
      </c>
      <c r="B4389" t="s">
        <v>127</v>
      </c>
      <c r="C4389">
        <v>216</v>
      </c>
      <c r="D4389">
        <f t="shared" si="156"/>
        <v>2015</v>
      </c>
      <c r="E4389">
        <f t="shared" si="157"/>
        <v>2</v>
      </c>
    </row>
    <row r="4390" spans="1:5" x14ac:dyDescent="0.3">
      <c r="A4390" t="s">
        <v>4515</v>
      </c>
      <c r="B4390" t="s">
        <v>127</v>
      </c>
      <c r="C4390">
        <v>223</v>
      </c>
      <c r="D4390">
        <f t="shared" si="156"/>
        <v>2015</v>
      </c>
      <c r="E4390">
        <f t="shared" si="157"/>
        <v>2</v>
      </c>
    </row>
    <row r="4391" spans="1:5" x14ac:dyDescent="0.3">
      <c r="A4391" t="s">
        <v>4516</v>
      </c>
      <c r="B4391" t="s">
        <v>127</v>
      </c>
      <c r="C4391">
        <v>222</v>
      </c>
      <c r="D4391">
        <f t="shared" si="156"/>
        <v>2015</v>
      </c>
      <c r="E4391">
        <f t="shared" si="157"/>
        <v>2</v>
      </c>
    </row>
    <row r="4392" spans="1:5" x14ac:dyDescent="0.3">
      <c r="A4392" t="s">
        <v>4517</v>
      </c>
      <c r="B4392" t="s">
        <v>127</v>
      </c>
      <c r="C4392">
        <v>219</v>
      </c>
      <c r="D4392">
        <f t="shared" si="156"/>
        <v>2015</v>
      </c>
      <c r="E4392">
        <f t="shared" si="157"/>
        <v>2</v>
      </c>
    </row>
    <row r="4393" spans="1:5" x14ac:dyDescent="0.3">
      <c r="A4393" t="s">
        <v>4518</v>
      </c>
      <c r="B4393" t="s">
        <v>127</v>
      </c>
      <c r="C4393">
        <v>214</v>
      </c>
      <c r="D4393">
        <f t="shared" si="156"/>
        <v>2015</v>
      </c>
      <c r="E4393">
        <f t="shared" si="157"/>
        <v>2</v>
      </c>
    </row>
    <row r="4394" spans="1:5" x14ac:dyDescent="0.3">
      <c r="A4394" t="s">
        <v>4519</v>
      </c>
      <c r="B4394" t="s">
        <v>127</v>
      </c>
      <c r="C4394">
        <v>215</v>
      </c>
      <c r="D4394">
        <f t="shared" si="156"/>
        <v>2015</v>
      </c>
      <c r="E4394">
        <f t="shared" si="157"/>
        <v>2</v>
      </c>
    </row>
    <row r="4395" spans="1:5" x14ac:dyDescent="0.3">
      <c r="A4395" t="s">
        <v>4520</v>
      </c>
      <c r="B4395" t="s">
        <v>127</v>
      </c>
      <c r="C4395">
        <v>208</v>
      </c>
      <c r="D4395">
        <f t="shared" si="156"/>
        <v>2015</v>
      </c>
      <c r="E4395">
        <f t="shared" si="157"/>
        <v>3</v>
      </c>
    </row>
    <row r="4396" spans="1:5" x14ac:dyDescent="0.3">
      <c r="A4396" t="s">
        <v>4521</v>
      </c>
      <c r="B4396" t="s">
        <v>127</v>
      </c>
      <c r="C4396">
        <v>209</v>
      </c>
      <c r="D4396">
        <f t="shared" si="156"/>
        <v>2015</v>
      </c>
      <c r="E4396">
        <f t="shared" si="157"/>
        <v>3</v>
      </c>
    </row>
    <row r="4397" spans="1:5" x14ac:dyDescent="0.3">
      <c r="A4397" t="s">
        <v>4522</v>
      </c>
      <c r="B4397" t="s">
        <v>127</v>
      </c>
      <c r="C4397">
        <v>214</v>
      </c>
      <c r="D4397">
        <f t="shared" si="156"/>
        <v>2015</v>
      </c>
      <c r="E4397">
        <f t="shared" si="157"/>
        <v>3</v>
      </c>
    </row>
    <row r="4398" spans="1:5" x14ac:dyDescent="0.3">
      <c r="A4398" t="s">
        <v>4523</v>
      </c>
      <c r="B4398" t="s">
        <v>127</v>
      </c>
      <c r="C4398">
        <v>221</v>
      </c>
      <c r="D4398">
        <f t="shared" si="156"/>
        <v>2015</v>
      </c>
      <c r="E4398">
        <f t="shared" si="157"/>
        <v>3</v>
      </c>
    </row>
    <row r="4399" spans="1:5" x14ac:dyDescent="0.3">
      <c r="A4399" t="s">
        <v>4524</v>
      </c>
      <c r="B4399" t="s">
        <v>127</v>
      </c>
      <c r="C4399">
        <v>223</v>
      </c>
      <c r="D4399">
        <f t="shared" si="156"/>
        <v>2015</v>
      </c>
      <c r="E4399">
        <f t="shared" si="157"/>
        <v>3</v>
      </c>
    </row>
    <row r="4400" spans="1:5" x14ac:dyDescent="0.3">
      <c r="A4400" t="s">
        <v>4525</v>
      </c>
      <c r="B4400" t="s">
        <v>127</v>
      </c>
      <c r="C4400">
        <v>231</v>
      </c>
      <c r="D4400">
        <f t="shared" si="156"/>
        <v>2015</v>
      </c>
      <c r="E4400">
        <f t="shared" si="157"/>
        <v>3</v>
      </c>
    </row>
    <row r="4401" spans="1:5" x14ac:dyDescent="0.3">
      <c r="A4401" t="s">
        <v>4526</v>
      </c>
      <c r="B4401" t="s">
        <v>127</v>
      </c>
      <c r="C4401">
        <v>243</v>
      </c>
      <c r="D4401">
        <f t="shared" si="156"/>
        <v>2015</v>
      </c>
      <c r="E4401">
        <f t="shared" si="157"/>
        <v>3</v>
      </c>
    </row>
    <row r="4402" spans="1:5" x14ac:dyDescent="0.3">
      <c r="A4402" t="s">
        <v>4527</v>
      </c>
      <c r="B4402" t="s">
        <v>127</v>
      </c>
      <c r="C4402">
        <v>246</v>
      </c>
      <c r="D4402">
        <f t="shared" si="156"/>
        <v>2015</v>
      </c>
      <c r="E4402">
        <f t="shared" si="157"/>
        <v>3</v>
      </c>
    </row>
    <row r="4403" spans="1:5" x14ac:dyDescent="0.3">
      <c r="A4403" t="s">
        <v>4528</v>
      </c>
      <c r="B4403" t="s">
        <v>127</v>
      </c>
      <c r="C4403">
        <v>237</v>
      </c>
      <c r="D4403">
        <f t="shared" si="156"/>
        <v>2015</v>
      </c>
      <c r="E4403">
        <f t="shared" si="157"/>
        <v>3</v>
      </c>
    </row>
    <row r="4404" spans="1:5" x14ac:dyDescent="0.3">
      <c r="A4404" t="s">
        <v>4529</v>
      </c>
      <c r="B4404" t="s">
        <v>127</v>
      </c>
      <c r="C4404">
        <v>243</v>
      </c>
      <c r="D4404">
        <f t="shared" si="156"/>
        <v>2015</v>
      </c>
      <c r="E4404">
        <f t="shared" si="157"/>
        <v>3</v>
      </c>
    </row>
    <row r="4405" spans="1:5" x14ac:dyDescent="0.3">
      <c r="A4405" t="s">
        <v>4530</v>
      </c>
      <c r="B4405" t="s">
        <v>127</v>
      </c>
      <c r="C4405">
        <v>249</v>
      </c>
      <c r="D4405">
        <f t="shared" si="156"/>
        <v>2015</v>
      </c>
      <c r="E4405">
        <f t="shared" si="157"/>
        <v>3</v>
      </c>
    </row>
    <row r="4406" spans="1:5" x14ac:dyDescent="0.3">
      <c r="A4406" t="s">
        <v>4531</v>
      </c>
      <c r="B4406" t="s">
        <v>127</v>
      </c>
      <c r="C4406">
        <v>255</v>
      </c>
      <c r="D4406">
        <f t="shared" si="156"/>
        <v>2015</v>
      </c>
      <c r="E4406">
        <f t="shared" si="157"/>
        <v>3</v>
      </c>
    </row>
    <row r="4407" spans="1:5" x14ac:dyDescent="0.3">
      <c r="A4407" t="s">
        <v>4532</v>
      </c>
      <c r="B4407" t="s">
        <v>127</v>
      </c>
      <c r="C4407">
        <v>257</v>
      </c>
      <c r="D4407">
        <f t="shared" si="156"/>
        <v>2015</v>
      </c>
      <c r="E4407">
        <f t="shared" si="157"/>
        <v>3</v>
      </c>
    </row>
    <row r="4408" spans="1:5" x14ac:dyDescent="0.3">
      <c r="A4408" t="s">
        <v>4533</v>
      </c>
      <c r="B4408" t="s">
        <v>127</v>
      </c>
      <c r="C4408">
        <v>247</v>
      </c>
      <c r="D4408">
        <f t="shared" si="156"/>
        <v>2015</v>
      </c>
      <c r="E4408">
        <f t="shared" si="157"/>
        <v>3</v>
      </c>
    </row>
    <row r="4409" spans="1:5" x14ac:dyDescent="0.3">
      <c r="A4409" t="s">
        <v>4534</v>
      </c>
      <c r="B4409" t="s">
        <v>127</v>
      </c>
      <c r="C4409">
        <v>242</v>
      </c>
      <c r="D4409">
        <f t="shared" si="156"/>
        <v>2015</v>
      </c>
      <c r="E4409">
        <f t="shared" si="157"/>
        <v>3</v>
      </c>
    </row>
    <row r="4410" spans="1:5" x14ac:dyDescent="0.3">
      <c r="A4410" t="s">
        <v>4535</v>
      </c>
      <c r="B4410" t="s">
        <v>127</v>
      </c>
      <c r="C4410">
        <v>235</v>
      </c>
      <c r="D4410">
        <f t="shared" si="156"/>
        <v>2015</v>
      </c>
      <c r="E4410">
        <f t="shared" si="157"/>
        <v>3</v>
      </c>
    </row>
    <row r="4411" spans="1:5" x14ac:dyDescent="0.3">
      <c r="A4411" t="s">
        <v>4536</v>
      </c>
      <c r="B4411" t="s">
        <v>127</v>
      </c>
      <c r="C4411">
        <v>235</v>
      </c>
      <c r="D4411">
        <f t="shared" si="156"/>
        <v>2015</v>
      </c>
      <c r="E4411">
        <f t="shared" si="157"/>
        <v>3</v>
      </c>
    </row>
    <row r="4412" spans="1:5" x14ac:dyDescent="0.3">
      <c r="A4412" t="s">
        <v>4537</v>
      </c>
      <c r="B4412" t="s">
        <v>127</v>
      </c>
      <c r="C4412">
        <v>233</v>
      </c>
      <c r="D4412">
        <f t="shared" si="156"/>
        <v>2015</v>
      </c>
      <c r="E4412">
        <f t="shared" si="157"/>
        <v>3</v>
      </c>
    </row>
    <row r="4413" spans="1:5" x14ac:dyDescent="0.3">
      <c r="A4413" t="s">
        <v>4538</v>
      </c>
      <c r="B4413" t="s">
        <v>127</v>
      </c>
      <c r="C4413">
        <v>229</v>
      </c>
      <c r="D4413">
        <f t="shared" si="156"/>
        <v>2015</v>
      </c>
      <c r="E4413">
        <f t="shared" si="157"/>
        <v>3</v>
      </c>
    </row>
    <row r="4414" spans="1:5" x14ac:dyDescent="0.3">
      <c r="A4414" t="s">
        <v>4539</v>
      </c>
      <c r="B4414" t="s">
        <v>127</v>
      </c>
      <c r="C4414">
        <v>232</v>
      </c>
      <c r="D4414">
        <f t="shared" si="156"/>
        <v>2015</v>
      </c>
      <c r="E4414">
        <f t="shared" si="157"/>
        <v>3</v>
      </c>
    </row>
    <row r="4415" spans="1:5" x14ac:dyDescent="0.3">
      <c r="A4415" t="s">
        <v>4540</v>
      </c>
      <c r="B4415" t="s">
        <v>127</v>
      </c>
      <c r="C4415">
        <v>227</v>
      </c>
      <c r="D4415">
        <f t="shared" si="156"/>
        <v>2015</v>
      </c>
      <c r="E4415">
        <f t="shared" si="157"/>
        <v>3</v>
      </c>
    </row>
    <row r="4416" spans="1:5" x14ac:dyDescent="0.3">
      <c r="A4416" t="s">
        <v>4541</v>
      </c>
      <c r="B4416" t="s">
        <v>127</v>
      </c>
      <c r="C4416">
        <v>228</v>
      </c>
      <c r="D4416">
        <f t="shared" si="156"/>
        <v>2015</v>
      </c>
      <c r="E4416">
        <f t="shared" si="157"/>
        <v>3</v>
      </c>
    </row>
    <row r="4417" spans="1:5" x14ac:dyDescent="0.3">
      <c r="A4417" t="s">
        <v>4542</v>
      </c>
      <c r="B4417" t="s">
        <v>127</v>
      </c>
      <c r="C4417">
        <v>232</v>
      </c>
      <c r="D4417">
        <f t="shared" si="156"/>
        <v>2015</v>
      </c>
      <c r="E4417">
        <f t="shared" si="157"/>
        <v>4</v>
      </c>
    </row>
    <row r="4418" spans="1:5" x14ac:dyDescent="0.3">
      <c r="A4418" t="s">
        <v>4543</v>
      </c>
      <c r="B4418" t="s">
        <v>127</v>
      </c>
      <c r="C4418">
        <v>225</v>
      </c>
      <c r="D4418">
        <f t="shared" si="156"/>
        <v>2015</v>
      </c>
      <c r="E4418">
        <f t="shared" si="157"/>
        <v>4</v>
      </c>
    </row>
    <row r="4419" spans="1:5" x14ac:dyDescent="0.3">
      <c r="A4419" t="s">
        <v>4544</v>
      </c>
      <c r="B4419" t="s">
        <v>127</v>
      </c>
      <c r="C4419">
        <v>229</v>
      </c>
      <c r="D4419">
        <f t="shared" ref="D4419:D4482" si="158">YEAR(A4419)</f>
        <v>2015</v>
      </c>
      <c r="E4419">
        <f t="shared" ref="E4419:E4482" si="159">MONTH(A4419)</f>
        <v>4</v>
      </c>
    </row>
    <row r="4420" spans="1:5" x14ac:dyDescent="0.3">
      <c r="A4420" t="s">
        <v>4545</v>
      </c>
      <c r="B4420" t="s">
        <v>127</v>
      </c>
      <c r="C4420">
        <v>220</v>
      </c>
      <c r="D4420">
        <f t="shared" si="158"/>
        <v>2015</v>
      </c>
      <c r="E4420">
        <f t="shared" si="159"/>
        <v>4</v>
      </c>
    </row>
    <row r="4421" spans="1:5" x14ac:dyDescent="0.3">
      <c r="A4421" t="s">
        <v>4546</v>
      </c>
      <c r="B4421" t="s">
        <v>127</v>
      </c>
      <c r="C4421">
        <v>225</v>
      </c>
      <c r="D4421">
        <f t="shared" si="158"/>
        <v>2015</v>
      </c>
      <c r="E4421">
        <f t="shared" si="159"/>
        <v>4</v>
      </c>
    </row>
    <row r="4422" spans="1:5" x14ac:dyDescent="0.3">
      <c r="A4422" t="s">
        <v>4547</v>
      </c>
      <c r="B4422" t="s">
        <v>127</v>
      </c>
      <c r="C4422">
        <v>227</v>
      </c>
      <c r="D4422">
        <f t="shared" si="158"/>
        <v>2015</v>
      </c>
      <c r="E4422">
        <f t="shared" si="159"/>
        <v>4</v>
      </c>
    </row>
    <row r="4423" spans="1:5" x14ac:dyDescent="0.3">
      <c r="A4423" t="s">
        <v>4548</v>
      </c>
      <c r="B4423" t="s">
        <v>127</v>
      </c>
      <c r="C4423">
        <v>223</v>
      </c>
      <c r="D4423">
        <f t="shared" si="158"/>
        <v>2015</v>
      </c>
      <c r="E4423">
        <f t="shared" si="159"/>
        <v>4</v>
      </c>
    </row>
    <row r="4424" spans="1:5" x14ac:dyDescent="0.3">
      <c r="A4424" t="s">
        <v>4549</v>
      </c>
      <c r="B4424" t="s">
        <v>127</v>
      </c>
      <c r="C4424">
        <v>225</v>
      </c>
      <c r="D4424">
        <f t="shared" si="158"/>
        <v>2015</v>
      </c>
      <c r="E4424">
        <f t="shared" si="159"/>
        <v>4</v>
      </c>
    </row>
    <row r="4425" spans="1:5" x14ac:dyDescent="0.3">
      <c r="A4425" t="s">
        <v>4550</v>
      </c>
      <c r="B4425" t="s">
        <v>127</v>
      </c>
      <c r="C4425">
        <v>225</v>
      </c>
      <c r="D4425">
        <f t="shared" si="158"/>
        <v>2015</v>
      </c>
      <c r="E4425">
        <f t="shared" si="159"/>
        <v>4</v>
      </c>
    </row>
    <row r="4426" spans="1:5" x14ac:dyDescent="0.3">
      <c r="A4426" t="s">
        <v>4551</v>
      </c>
      <c r="B4426" t="s">
        <v>127</v>
      </c>
      <c r="C4426">
        <v>227</v>
      </c>
      <c r="D4426">
        <f t="shared" si="158"/>
        <v>2015</v>
      </c>
      <c r="E4426">
        <f t="shared" si="159"/>
        <v>4</v>
      </c>
    </row>
    <row r="4427" spans="1:5" x14ac:dyDescent="0.3">
      <c r="A4427" t="s">
        <v>4552</v>
      </c>
      <c r="B4427" t="s">
        <v>127</v>
      </c>
      <c r="C4427">
        <v>225</v>
      </c>
      <c r="D4427">
        <f t="shared" si="158"/>
        <v>2015</v>
      </c>
      <c r="E4427">
        <f t="shared" si="159"/>
        <v>4</v>
      </c>
    </row>
    <row r="4428" spans="1:5" x14ac:dyDescent="0.3">
      <c r="A4428" t="s">
        <v>4553</v>
      </c>
      <c r="B4428" t="s">
        <v>127</v>
      </c>
      <c r="C4428">
        <v>227</v>
      </c>
      <c r="D4428">
        <f t="shared" si="158"/>
        <v>2015</v>
      </c>
      <c r="E4428">
        <f t="shared" si="159"/>
        <v>4</v>
      </c>
    </row>
    <row r="4429" spans="1:5" x14ac:dyDescent="0.3">
      <c r="A4429" t="s">
        <v>4554</v>
      </c>
      <c r="B4429" t="s">
        <v>127</v>
      </c>
      <c r="C4429">
        <v>233</v>
      </c>
      <c r="D4429">
        <f t="shared" si="158"/>
        <v>2015</v>
      </c>
      <c r="E4429">
        <f t="shared" si="159"/>
        <v>4</v>
      </c>
    </row>
    <row r="4430" spans="1:5" x14ac:dyDescent="0.3">
      <c r="A4430" t="s">
        <v>4555</v>
      </c>
      <c r="B4430" t="s">
        <v>127</v>
      </c>
      <c r="C4430">
        <v>229</v>
      </c>
      <c r="D4430">
        <f t="shared" si="158"/>
        <v>2015</v>
      </c>
      <c r="E4430">
        <f t="shared" si="159"/>
        <v>4</v>
      </c>
    </row>
    <row r="4431" spans="1:5" x14ac:dyDescent="0.3">
      <c r="A4431" t="s">
        <v>4556</v>
      </c>
      <c r="B4431" t="s">
        <v>127</v>
      </c>
      <c r="C4431">
        <v>224</v>
      </c>
      <c r="D4431">
        <f t="shared" si="158"/>
        <v>2015</v>
      </c>
      <c r="E4431">
        <f t="shared" si="159"/>
        <v>4</v>
      </c>
    </row>
    <row r="4432" spans="1:5" x14ac:dyDescent="0.3">
      <c r="A4432" t="s">
        <v>4557</v>
      </c>
      <c r="B4432" t="s">
        <v>127</v>
      </c>
      <c r="C4432">
        <v>219</v>
      </c>
      <c r="D4432">
        <f t="shared" si="158"/>
        <v>2015</v>
      </c>
      <c r="E4432">
        <f t="shared" si="159"/>
        <v>4</v>
      </c>
    </row>
    <row r="4433" spans="1:5" x14ac:dyDescent="0.3">
      <c r="A4433" t="s">
        <v>4558</v>
      </c>
      <c r="B4433" t="s">
        <v>127</v>
      </c>
      <c r="C4433">
        <v>222</v>
      </c>
      <c r="D4433">
        <f t="shared" si="158"/>
        <v>2015</v>
      </c>
      <c r="E4433">
        <f t="shared" si="159"/>
        <v>4</v>
      </c>
    </row>
    <row r="4434" spans="1:5" x14ac:dyDescent="0.3">
      <c r="A4434" t="s">
        <v>4559</v>
      </c>
      <c r="B4434" t="s">
        <v>127</v>
      </c>
      <c r="C4434">
        <v>221</v>
      </c>
      <c r="D4434">
        <f t="shared" si="158"/>
        <v>2015</v>
      </c>
      <c r="E4434">
        <f t="shared" si="159"/>
        <v>4</v>
      </c>
    </row>
    <row r="4435" spans="1:5" x14ac:dyDescent="0.3">
      <c r="A4435" t="s">
        <v>4560</v>
      </c>
      <c r="B4435" t="s">
        <v>127</v>
      </c>
      <c r="C4435">
        <v>222</v>
      </c>
      <c r="D4435">
        <f t="shared" si="158"/>
        <v>2015</v>
      </c>
      <c r="E4435">
        <f t="shared" si="159"/>
        <v>4</v>
      </c>
    </row>
    <row r="4436" spans="1:5" x14ac:dyDescent="0.3">
      <c r="A4436" t="s">
        <v>4561</v>
      </c>
      <c r="B4436" t="s">
        <v>127</v>
      </c>
      <c r="C4436">
        <v>218</v>
      </c>
      <c r="D4436">
        <f t="shared" si="158"/>
        <v>2015</v>
      </c>
      <c r="E4436">
        <f t="shared" si="159"/>
        <v>4</v>
      </c>
    </row>
    <row r="4437" spans="1:5" x14ac:dyDescent="0.3">
      <c r="A4437" t="s">
        <v>4562</v>
      </c>
      <c r="B4437" t="s">
        <v>127</v>
      </c>
      <c r="C4437">
        <v>219</v>
      </c>
      <c r="D4437">
        <f t="shared" si="158"/>
        <v>2015</v>
      </c>
      <c r="E4437">
        <f t="shared" si="159"/>
        <v>4</v>
      </c>
    </row>
    <row r="4438" spans="1:5" x14ac:dyDescent="0.3">
      <c r="A4438" t="s">
        <v>4563</v>
      </c>
      <c r="B4438" t="s">
        <v>127</v>
      </c>
      <c r="C4438">
        <v>224</v>
      </c>
      <c r="D4438">
        <f t="shared" si="158"/>
        <v>2015</v>
      </c>
      <c r="E4438">
        <f t="shared" si="159"/>
        <v>4</v>
      </c>
    </row>
    <row r="4439" spans="1:5" x14ac:dyDescent="0.3">
      <c r="A4439" t="s">
        <v>4564</v>
      </c>
      <c r="B4439" t="s">
        <v>127</v>
      </c>
      <c r="C4439">
        <v>222</v>
      </c>
      <c r="D4439">
        <f t="shared" si="158"/>
        <v>2015</v>
      </c>
      <c r="E4439">
        <f t="shared" si="159"/>
        <v>5</v>
      </c>
    </row>
    <row r="4440" spans="1:5" x14ac:dyDescent="0.3">
      <c r="A4440" t="s">
        <v>4565</v>
      </c>
      <c r="B4440" t="s">
        <v>127</v>
      </c>
      <c r="C4440">
        <v>219</v>
      </c>
      <c r="D4440">
        <f t="shared" si="158"/>
        <v>2015</v>
      </c>
      <c r="E4440">
        <f t="shared" si="159"/>
        <v>5</v>
      </c>
    </row>
    <row r="4441" spans="1:5" x14ac:dyDescent="0.3">
      <c r="A4441" t="s">
        <v>4566</v>
      </c>
      <c r="B4441" t="s">
        <v>127</v>
      </c>
      <c r="C4441">
        <v>219</v>
      </c>
      <c r="D4441">
        <f t="shared" si="158"/>
        <v>2015</v>
      </c>
      <c r="E4441">
        <f t="shared" si="159"/>
        <v>5</v>
      </c>
    </row>
    <row r="4442" spans="1:5" x14ac:dyDescent="0.3">
      <c r="A4442" t="s">
        <v>4567</v>
      </c>
      <c r="B4442" t="s">
        <v>127</v>
      </c>
      <c r="C4442">
        <v>214</v>
      </c>
      <c r="D4442">
        <f t="shared" si="158"/>
        <v>2015</v>
      </c>
      <c r="E4442">
        <f t="shared" si="159"/>
        <v>5</v>
      </c>
    </row>
    <row r="4443" spans="1:5" x14ac:dyDescent="0.3">
      <c r="A4443" t="s">
        <v>4568</v>
      </c>
      <c r="B4443" t="s">
        <v>127</v>
      </c>
      <c r="C4443">
        <v>223</v>
      </c>
      <c r="D4443">
        <f t="shared" si="158"/>
        <v>2015</v>
      </c>
      <c r="E4443">
        <f t="shared" si="159"/>
        <v>5</v>
      </c>
    </row>
    <row r="4444" spans="1:5" x14ac:dyDescent="0.3">
      <c r="A4444" t="s">
        <v>4569</v>
      </c>
      <c r="B4444" t="s">
        <v>127</v>
      </c>
      <c r="C4444">
        <v>218</v>
      </c>
      <c r="D4444">
        <f t="shared" si="158"/>
        <v>2015</v>
      </c>
      <c r="E4444">
        <f t="shared" si="159"/>
        <v>5</v>
      </c>
    </row>
    <row r="4445" spans="1:5" x14ac:dyDescent="0.3">
      <c r="A4445" t="s">
        <v>4570</v>
      </c>
      <c r="B4445" t="s">
        <v>127</v>
      </c>
      <c r="C4445">
        <v>210</v>
      </c>
      <c r="D4445">
        <f t="shared" si="158"/>
        <v>2015</v>
      </c>
      <c r="E4445">
        <f t="shared" si="159"/>
        <v>5</v>
      </c>
    </row>
    <row r="4446" spans="1:5" x14ac:dyDescent="0.3">
      <c r="A4446" t="s">
        <v>4571</v>
      </c>
      <c r="B4446" t="s">
        <v>127</v>
      </c>
      <c r="C4446">
        <v>219</v>
      </c>
      <c r="D4446">
        <f t="shared" si="158"/>
        <v>2015</v>
      </c>
      <c r="E4446">
        <f t="shared" si="159"/>
        <v>5</v>
      </c>
    </row>
    <row r="4447" spans="1:5" x14ac:dyDescent="0.3">
      <c r="A4447" t="s">
        <v>4572</v>
      </c>
      <c r="B4447" t="s">
        <v>127</v>
      </c>
      <c r="C4447">
        <v>215</v>
      </c>
      <c r="D4447">
        <f t="shared" si="158"/>
        <v>2015</v>
      </c>
      <c r="E4447">
        <f t="shared" si="159"/>
        <v>5</v>
      </c>
    </row>
    <row r="4448" spans="1:5" x14ac:dyDescent="0.3">
      <c r="A4448" t="s">
        <v>4573</v>
      </c>
      <c r="B4448" t="s">
        <v>127</v>
      </c>
      <c r="C4448">
        <v>219</v>
      </c>
      <c r="D4448">
        <f t="shared" si="158"/>
        <v>2015</v>
      </c>
      <c r="E4448">
        <f t="shared" si="159"/>
        <v>5</v>
      </c>
    </row>
    <row r="4449" spans="1:5" x14ac:dyDescent="0.3">
      <c r="A4449" t="s">
        <v>4574</v>
      </c>
      <c r="B4449" t="s">
        <v>127</v>
      </c>
      <c r="C4449">
        <v>221</v>
      </c>
      <c r="D4449">
        <f t="shared" si="158"/>
        <v>2015</v>
      </c>
      <c r="E4449">
        <f t="shared" si="159"/>
        <v>5</v>
      </c>
    </row>
    <row r="4450" spans="1:5" x14ac:dyDescent="0.3">
      <c r="A4450" t="s">
        <v>4575</v>
      </c>
      <c r="B4450" t="s">
        <v>127</v>
      </c>
      <c r="C4450">
        <v>212</v>
      </c>
      <c r="D4450">
        <f t="shared" si="158"/>
        <v>2015</v>
      </c>
      <c r="E4450">
        <f t="shared" si="159"/>
        <v>5</v>
      </c>
    </row>
    <row r="4451" spans="1:5" x14ac:dyDescent="0.3">
      <c r="A4451" t="s">
        <v>4576</v>
      </c>
      <c r="B4451" t="s">
        <v>127</v>
      </c>
      <c r="C4451">
        <v>213</v>
      </c>
      <c r="D4451">
        <f t="shared" si="158"/>
        <v>2015</v>
      </c>
      <c r="E4451">
        <f t="shared" si="159"/>
        <v>5</v>
      </c>
    </row>
    <row r="4452" spans="1:5" x14ac:dyDescent="0.3">
      <c r="A4452" t="s">
        <v>4577</v>
      </c>
      <c r="B4452" t="s">
        <v>127</v>
      </c>
      <c r="C4452">
        <v>212</v>
      </c>
      <c r="D4452">
        <f t="shared" si="158"/>
        <v>2015</v>
      </c>
      <c r="E4452">
        <f t="shared" si="159"/>
        <v>5</v>
      </c>
    </row>
    <row r="4453" spans="1:5" x14ac:dyDescent="0.3">
      <c r="A4453" t="s">
        <v>4578</v>
      </c>
      <c r="B4453" t="s">
        <v>127</v>
      </c>
      <c r="C4453">
        <v>213</v>
      </c>
      <c r="D4453">
        <f t="shared" si="158"/>
        <v>2015</v>
      </c>
      <c r="E4453">
        <f t="shared" si="159"/>
        <v>5</v>
      </c>
    </row>
    <row r="4454" spans="1:5" x14ac:dyDescent="0.3">
      <c r="A4454" t="s">
        <v>4579</v>
      </c>
      <c r="B4454" t="s">
        <v>127</v>
      </c>
      <c r="C4454">
        <v>211</v>
      </c>
      <c r="D4454">
        <f t="shared" si="158"/>
        <v>2015</v>
      </c>
      <c r="E4454">
        <f t="shared" si="159"/>
        <v>5</v>
      </c>
    </row>
    <row r="4455" spans="1:5" x14ac:dyDescent="0.3">
      <c r="A4455" t="s">
        <v>4580</v>
      </c>
      <c r="B4455" t="s">
        <v>127</v>
      </c>
      <c r="C4455">
        <v>211</v>
      </c>
      <c r="D4455">
        <f t="shared" si="158"/>
        <v>2015</v>
      </c>
      <c r="E4455">
        <f t="shared" si="159"/>
        <v>5</v>
      </c>
    </row>
    <row r="4456" spans="1:5" x14ac:dyDescent="0.3">
      <c r="A4456" t="s">
        <v>4581</v>
      </c>
      <c r="B4456" t="s">
        <v>127</v>
      </c>
      <c r="C4456">
        <v>219</v>
      </c>
      <c r="D4456">
        <f t="shared" si="158"/>
        <v>2015</v>
      </c>
      <c r="E4456">
        <f t="shared" si="159"/>
        <v>5</v>
      </c>
    </row>
    <row r="4457" spans="1:5" x14ac:dyDescent="0.3">
      <c r="A4457" t="s">
        <v>4582</v>
      </c>
      <c r="B4457" t="s">
        <v>127</v>
      </c>
      <c r="C4457">
        <v>221</v>
      </c>
      <c r="D4457">
        <f t="shared" si="158"/>
        <v>2015</v>
      </c>
      <c r="E4457">
        <f t="shared" si="159"/>
        <v>5</v>
      </c>
    </row>
    <row r="4458" spans="1:5" x14ac:dyDescent="0.3">
      <c r="A4458" t="s">
        <v>4583</v>
      </c>
      <c r="B4458" t="s">
        <v>127</v>
      </c>
      <c r="C4458">
        <v>222</v>
      </c>
      <c r="D4458">
        <f t="shared" si="158"/>
        <v>2015</v>
      </c>
      <c r="E4458">
        <f t="shared" si="159"/>
        <v>5</v>
      </c>
    </row>
    <row r="4459" spans="1:5" x14ac:dyDescent="0.3">
      <c r="A4459" t="s">
        <v>4584</v>
      </c>
      <c r="B4459" t="s">
        <v>127</v>
      </c>
      <c r="C4459">
        <v>225</v>
      </c>
      <c r="D4459">
        <f t="shared" si="158"/>
        <v>2015</v>
      </c>
      <c r="E4459">
        <f t="shared" si="159"/>
        <v>5</v>
      </c>
    </row>
    <row r="4460" spans="1:5" x14ac:dyDescent="0.3">
      <c r="A4460" t="s">
        <v>4585</v>
      </c>
      <c r="B4460" t="s">
        <v>127</v>
      </c>
      <c r="C4460">
        <v>222</v>
      </c>
      <c r="D4460">
        <f t="shared" si="158"/>
        <v>2015</v>
      </c>
      <c r="E4460">
        <f t="shared" si="159"/>
        <v>6</v>
      </c>
    </row>
    <row r="4461" spans="1:5" x14ac:dyDescent="0.3">
      <c r="A4461" t="s">
        <v>4586</v>
      </c>
      <c r="B4461" t="s">
        <v>127</v>
      </c>
      <c r="C4461">
        <v>221</v>
      </c>
      <c r="D4461">
        <f t="shared" si="158"/>
        <v>2015</v>
      </c>
      <c r="E4461">
        <f t="shared" si="159"/>
        <v>6</v>
      </c>
    </row>
    <row r="4462" spans="1:5" x14ac:dyDescent="0.3">
      <c r="A4462" t="s">
        <v>4587</v>
      </c>
      <c r="B4462" t="s">
        <v>127</v>
      </c>
      <c r="C4462">
        <v>218</v>
      </c>
      <c r="D4462">
        <f t="shared" si="158"/>
        <v>2015</v>
      </c>
      <c r="E4462">
        <f t="shared" si="159"/>
        <v>6</v>
      </c>
    </row>
    <row r="4463" spans="1:5" x14ac:dyDescent="0.3">
      <c r="A4463" t="s">
        <v>4588</v>
      </c>
      <c r="B4463" t="s">
        <v>127</v>
      </c>
      <c r="C4463">
        <v>226</v>
      </c>
      <c r="D4463">
        <f t="shared" si="158"/>
        <v>2015</v>
      </c>
      <c r="E4463">
        <f t="shared" si="159"/>
        <v>6</v>
      </c>
    </row>
    <row r="4464" spans="1:5" x14ac:dyDescent="0.3">
      <c r="A4464" t="s">
        <v>4589</v>
      </c>
      <c r="B4464" t="s">
        <v>127</v>
      </c>
      <c r="C4464">
        <v>225</v>
      </c>
      <c r="D4464">
        <f t="shared" si="158"/>
        <v>2015</v>
      </c>
      <c r="E4464">
        <f t="shared" si="159"/>
        <v>6</v>
      </c>
    </row>
    <row r="4465" spans="1:5" x14ac:dyDescent="0.3">
      <c r="A4465" t="s">
        <v>4590</v>
      </c>
      <c r="B4465" t="s">
        <v>127</v>
      </c>
      <c r="C4465">
        <v>231</v>
      </c>
      <c r="D4465">
        <f t="shared" si="158"/>
        <v>2015</v>
      </c>
      <c r="E4465">
        <f t="shared" si="159"/>
        <v>6</v>
      </c>
    </row>
    <row r="4466" spans="1:5" x14ac:dyDescent="0.3">
      <c r="A4466" t="s">
        <v>4591</v>
      </c>
      <c r="B4466" t="s">
        <v>127</v>
      </c>
      <c r="C4466">
        <v>235</v>
      </c>
      <c r="D4466">
        <f t="shared" si="158"/>
        <v>2015</v>
      </c>
      <c r="E4466">
        <f t="shared" si="159"/>
        <v>6</v>
      </c>
    </row>
    <row r="4467" spans="1:5" x14ac:dyDescent="0.3">
      <c r="A4467" t="s">
        <v>4592</v>
      </c>
      <c r="B4467" t="s">
        <v>127</v>
      </c>
      <c r="C4467">
        <v>237</v>
      </c>
      <c r="D4467">
        <f t="shared" si="158"/>
        <v>2015</v>
      </c>
      <c r="E4467">
        <f t="shared" si="159"/>
        <v>6</v>
      </c>
    </row>
    <row r="4468" spans="1:5" x14ac:dyDescent="0.3">
      <c r="A4468" t="s">
        <v>4593</v>
      </c>
      <c r="B4468" t="s">
        <v>127</v>
      </c>
      <c r="C4468">
        <v>238</v>
      </c>
      <c r="D4468">
        <f t="shared" si="158"/>
        <v>2015</v>
      </c>
      <c r="E4468">
        <f t="shared" si="159"/>
        <v>6</v>
      </c>
    </row>
    <row r="4469" spans="1:5" x14ac:dyDescent="0.3">
      <c r="A4469" t="s">
        <v>4594</v>
      </c>
      <c r="B4469" t="s">
        <v>127</v>
      </c>
      <c r="C4469">
        <v>233</v>
      </c>
      <c r="D4469">
        <f t="shared" si="158"/>
        <v>2015</v>
      </c>
      <c r="E4469">
        <f t="shared" si="159"/>
        <v>6</v>
      </c>
    </row>
    <row r="4470" spans="1:5" x14ac:dyDescent="0.3">
      <c r="A4470" t="s">
        <v>4595</v>
      </c>
      <c r="B4470" t="s">
        <v>127</v>
      </c>
      <c r="C4470">
        <v>237</v>
      </c>
      <c r="D4470">
        <f t="shared" si="158"/>
        <v>2015</v>
      </c>
      <c r="E4470">
        <f t="shared" si="159"/>
        <v>6</v>
      </c>
    </row>
    <row r="4471" spans="1:5" x14ac:dyDescent="0.3">
      <c r="A4471" t="s">
        <v>4596</v>
      </c>
      <c r="B4471" t="s">
        <v>127</v>
      </c>
      <c r="C4471">
        <v>244</v>
      </c>
      <c r="D4471">
        <f t="shared" si="158"/>
        <v>2015</v>
      </c>
      <c r="E4471">
        <f t="shared" si="159"/>
        <v>6</v>
      </c>
    </row>
    <row r="4472" spans="1:5" x14ac:dyDescent="0.3">
      <c r="A4472" t="s">
        <v>4597</v>
      </c>
      <c r="B4472" t="s">
        <v>127</v>
      </c>
      <c r="C4472">
        <v>244</v>
      </c>
      <c r="D4472">
        <f t="shared" si="158"/>
        <v>2015</v>
      </c>
      <c r="E4472">
        <f t="shared" si="159"/>
        <v>6</v>
      </c>
    </row>
    <row r="4473" spans="1:5" x14ac:dyDescent="0.3">
      <c r="A4473" t="s">
        <v>4598</v>
      </c>
      <c r="B4473" t="s">
        <v>127</v>
      </c>
      <c r="C4473">
        <v>231</v>
      </c>
      <c r="D4473">
        <f t="shared" si="158"/>
        <v>2015</v>
      </c>
      <c r="E4473">
        <f t="shared" si="159"/>
        <v>6</v>
      </c>
    </row>
    <row r="4474" spans="1:5" x14ac:dyDescent="0.3">
      <c r="A4474" t="s">
        <v>4599</v>
      </c>
      <c r="B4474" t="s">
        <v>127</v>
      </c>
      <c r="C4474">
        <v>233</v>
      </c>
      <c r="D4474">
        <f t="shared" si="158"/>
        <v>2015</v>
      </c>
      <c r="E4474">
        <f t="shared" si="159"/>
        <v>6</v>
      </c>
    </row>
    <row r="4475" spans="1:5" x14ac:dyDescent="0.3">
      <c r="A4475" t="s">
        <v>4600</v>
      </c>
      <c r="B4475" t="s">
        <v>127</v>
      </c>
      <c r="C4475">
        <v>225</v>
      </c>
      <c r="D4475">
        <f t="shared" si="158"/>
        <v>2015</v>
      </c>
      <c r="E4475">
        <f t="shared" si="159"/>
        <v>6</v>
      </c>
    </row>
    <row r="4476" spans="1:5" x14ac:dyDescent="0.3">
      <c r="A4476" t="s">
        <v>4601</v>
      </c>
      <c r="B4476" t="s">
        <v>127</v>
      </c>
      <c r="C4476">
        <v>221</v>
      </c>
      <c r="D4476">
        <f t="shared" si="158"/>
        <v>2015</v>
      </c>
      <c r="E4476">
        <f t="shared" si="159"/>
        <v>6</v>
      </c>
    </row>
    <row r="4477" spans="1:5" x14ac:dyDescent="0.3">
      <c r="A4477" t="s">
        <v>4602</v>
      </c>
      <c r="B4477" t="s">
        <v>127</v>
      </c>
      <c r="C4477">
        <v>226</v>
      </c>
      <c r="D4477">
        <f t="shared" si="158"/>
        <v>2015</v>
      </c>
      <c r="E4477">
        <f t="shared" si="159"/>
        <v>6</v>
      </c>
    </row>
    <row r="4478" spans="1:5" x14ac:dyDescent="0.3">
      <c r="A4478" t="s">
        <v>4603</v>
      </c>
      <c r="B4478" t="s">
        <v>127</v>
      </c>
      <c r="C4478">
        <v>229</v>
      </c>
      <c r="D4478">
        <f t="shared" si="158"/>
        <v>2015</v>
      </c>
      <c r="E4478">
        <f t="shared" si="159"/>
        <v>6</v>
      </c>
    </row>
    <row r="4479" spans="1:5" x14ac:dyDescent="0.3">
      <c r="A4479" t="s">
        <v>4604</v>
      </c>
      <c r="B4479" t="s">
        <v>127</v>
      </c>
      <c r="C4479">
        <v>224</v>
      </c>
      <c r="D4479">
        <f t="shared" si="158"/>
        <v>2015</v>
      </c>
      <c r="E4479">
        <f t="shared" si="159"/>
        <v>6</v>
      </c>
    </row>
    <row r="4480" spans="1:5" x14ac:dyDescent="0.3">
      <c r="A4480" t="s">
        <v>4605</v>
      </c>
      <c r="B4480" t="s">
        <v>127</v>
      </c>
      <c r="C4480">
        <v>237</v>
      </c>
      <c r="D4480">
        <f t="shared" si="158"/>
        <v>2015</v>
      </c>
      <c r="E4480">
        <f t="shared" si="159"/>
        <v>6</v>
      </c>
    </row>
    <row r="4481" spans="1:5" x14ac:dyDescent="0.3">
      <c r="A4481" t="s">
        <v>4606</v>
      </c>
      <c r="B4481" t="s">
        <v>127</v>
      </c>
      <c r="C4481">
        <v>232</v>
      </c>
      <c r="D4481">
        <f t="shared" si="158"/>
        <v>2015</v>
      </c>
      <c r="E4481">
        <f t="shared" si="159"/>
        <v>6</v>
      </c>
    </row>
    <row r="4482" spans="1:5" x14ac:dyDescent="0.3">
      <c r="A4482" t="s">
        <v>4607</v>
      </c>
      <c r="B4482" t="s">
        <v>127</v>
      </c>
      <c r="C4482">
        <v>225</v>
      </c>
      <c r="D4482">
        <f t="shared" si="158"/>
        <v>2015</v>
      </c>
      <c r="E4482">
        <f t="shared" si="159"/>
        <v>7</v>
      </c>
    </row>
    <row r="4483" spans="1:5" x14ac:dyDescent="0.3">
      <c r="A4483" t="s">
        <v>4608</v>
      </c>
      <c r="B4483" t="s">
        <v>127</v>
      </c>
      <c r="C4483">
        <v>224</v>
      </c>
      <c r="D4483">
        <f t="shared" ref="D4483:D4546" si="160">YEAR(A4483)</f>
        <v>2015</v>
      </c>
      <c r="E4483">
        <f t="shared" ref="E4483:E4546" si="161">MONTH(A4483)</f>
        <v>7</v>
      </c>
    </row>
    <row r="4484" spans="1:5" x14ac:dyDescent="0.3">
      <c r="A4484" t="s">
        <v>4609</v>
      </c>
      <c r="B4484" t="s">
        <v>127</v>
      </c>
      <c r="C4484">
        <v>224</v>
      </c>
      <c r="D4484">
        <f t="shared" si="160"/>
        <v>2015</v>
      </c>
      <c r="E4484">
        <f t="shared" si="161"/>
        <v>7</v>
      </c>
    </row>
    <row r="4485" spans="1:5" x14ac:dyDescent="0.3">
      <c r="A4485" t="s">
        <v>4610</v>
      </c>
      <c r="B4485" t="s">
        <v>127</v>
      </c>
      <c r="C4485">
        <v>236</v>
      </c>
      <c r="D4485">
        <f t="shared" si="160"/>
        <v>2015</v>
      </c>
      <c r="E4485">
        <f t="shared" si="161"/>
        <v>7</v>
      </c>
    </row>
    <row r="4486" spans="1:5" x14ac:dyDescent="0.3">
      <c r="A4486" t="s">
        <v>4611</v>
      </c>
      <c r="B4486" t="s">
        <v>127</v>
      </c>
      <c r="C4486">
        <v>237</v>
      </c>
      <c r="D4486">
        <f t="shared" si="160"/>
        <v>2015</v>
      </c>
      <c r="E4486">
        <f t="shared" si="161"/>
        <v>7</v>
      </c>
    </row>
    <row r="4487" spans="1:5" x14ac:dyDescent="0.3">
      <c r="A4487" t="s">
        <v>4612</v>
      </c>
      <c r="B4487" t="s">
        <v>127</v>
      </c>
      <c r="C4487">
        <v>240</v>
      </c>
      <c r="D4487">
        <f t="shared" si="160"/>
        <v>2015</v>
      </c>
      <c r="E4487">
        <f t="shared" si="161"/>
        <v>7</v>
      </c>
    </row>
    <row r="4488" spans="1:5" x14ac:dyDescent="0.3">
      <c r="A4488" t="s">
        <v>4613</v>
      </c>
      <c r="B4488" t="s">
        <v>127</v>
      </c>
      <c r="C4488">
        <v>232</v>
      </c>
      <c r="D4488">
        <f t="shared" si="160"/>
        <v>2015</v>
      </c>
      <c r="E4488">
        <f t="shared" si="161"/>
        <v>7</v>
      </c>
    </row>
    <row r="4489" spans="1:5" x14ac:dyDescent="0.3">
      <c r="A4489" t="s">
        <v>4614</v>
      </c>
      <c r="B4489" t="s">
        <v>127</v>
      </c>
      <c r="C4489">
        <v>223</v>
      </c>
      <c r="D4489">
        <f t="shared" si="160"/>
        <v>2015</v>
      </c>
      <c r="E4489">
        <f t="shared" si="161"/>
        <v>7</v>
      </c>
    </row>
    <row r="4490" spans="1:5" x14ac:dyDescent="0.3">
      <c r="A4490" t="s">
        <v>4615</v>
      </c>
      <c r="B4490" t="s">
        <v>127</v>
      </c>
      <c r="C4490">
        <v>222</v>
      </c>
      <c r="D4490">
        <f t="shared" si="160"/>
        <v>2015</v>
      </c>
      <c r="E4490">
        <f t="shared" si="161"/>
        <v>7</v>
      </c>
    </row>
    <row r="4491" spans="1:5" x14ac:dyDescent="0.3">
      <c r="A4491" t="s">
        <v>4616</v>
      </c>
      <c r="B4491" t="s">
        <v>127</v>
      </c>
      <c r="C4491">
        <v>225</v>
      </c>
      <c r="D4491">
        <f t="shared" si="160"/>
        <v>2015</v>
      </c>
      <c r="E4491">
        <f t="shared" si="161"/>
        <v>7</v>
      </c>
    </row>
    <row r="4492" spans="1:5" x14ac:dyDescent="0.3">
      <c r="A4492" t="s">
        <v>4617</v>
      </c>
      <c r="B4492" t="s">
        <v>127</v>
      </c>
      <c r="C4492">
        <v>232</v>
      </c>
      <c r="D4492">
        <f t="shared" si="160"/>
        <v>2015</v>
      </c>
      <c r="E4492">
        <f t="shared" si="161"/>
        <v>7</v>
      </c>
    </row>
    <row r="4493" spans="1:5" x14ac:dyDescent="0.3">
      <c r="A4493" t="s">
        <v>4618</v>
      </c>
      <c r="B4493" t="s">
        <v>127</v>
      </c>
      <c r="C4493">
        <v>233</v>
      </c>
      <c r="D4493">
        <f t="shared" si="160"/>
        <v>2015</v>
      </c>
      <c r="E4493">
        <f t="shared" si="161"/>
        <v>7</v>
      </c>
    </row>
    <row r="4494" spans="1:5" x14ac:dyDescent="0.3">
      <c r="A4494" t="s">
        <v>4619</v>
      </c>
      <c r="B4494" t="s">
        <v>127</v>
      </c>
      <c r="C4494">
        <v>235</v>
      </c>
      <c r="D4494">
        <f t="shared" si="160"/>
        <v>2015</v>
      </c>
      <c r="E4494">
        <f t="shared" si="161"/>
        <v>7</v>
      </c>
    </row>
    <row r="4495" spans="1:5" x14ac:dyDescent="0.3">
      <c r="A4495" t="s">
        <v>4620</v>
      </c>
      <c r="B4495" t="s">
        <v>127</v>
      </c>
      <c r="C4495">
        <v>234</v>
      </c>
      <c r="D4495">
        <f t="shared" si="160"/>
        <v>2015</v>
      </c>
      <c r="E4495">
        <f t="shared" si="161"/>
        <v>7</v>
      </c>
    </row>
    <row r="4496" spans="1:5" x14ac:dyDescent="0.3">
      <c r="A4496" t="s">
        <v>4621</v>
      </c>
      <c r="B4496" t="s">
        <v>127</v>
      </c>
      <c r="C4496">
        <v>236</v>
      </c>
      <c r="D4496">
        <f t="shared" si="160"/>
        <v>2015</v>
      </c>
      <c r="E4496">
        <f t="shared" si="161"/>
        <v>7</v>
      </c>
    </row>
    <row r="4497" spans="1:5" x14ac:dyDescent="0.3">
      <c r="A4497" t="s">
        <v>4622</v>
      </c>
      <c r="B4497" t="s">
        <v>127</v>
      </c>
      <c r="C4497">
        <v>240</v>
      </c>
      <c r="D4497">
        <f t="shared" si="160"/>
        <v>2015</v>
      </c>
      <c r="E4497">
        <f t="shared" si="161"/>
        <v>7</v>
      </c>
    </row>
    <row r="4498" spans="1:5" x14ac:dyDescent="0.3">
      <c r="A4498" t="s">
        <v>4623</v>
      </c>
      <c r="B4498" t="s">
        <v>127</v>
      </c>
      <c r="C4498">
        <v>250</v>
      </c>
      <c r="D4498">
        <f t="shared" si="160"/>
        <v>2015</v>
      </c>
      <c r="E4498">
        <f t="shared" si="161"/>
        <v>7</v>
      </c>
    </row>
    <row r="4499" spans="1:5" x14ac:dyDescent="0.3">
      <c r="A4499" t="s">
        <v>4624</v>
      </c>
      <c r="B4499" t="s">
        <v>127</v>
      </c>
      <c r="C4499">
        <v>254</v>
      </c>
      <c r="D4499">
        <f t="shared" si="160"/>
        <v>2015</v>
      </c>
      <c r="E4499">
        <f t="shared" si="161"/>
        <v>7</v>
      </c>
    </row>
    <row r="4500" spans="1:5" x14ac:dyDescent="0.3">
      <c r="A4500" t="s">
        <v>4625</v>
      </c>
      <c r="B4500" t="s">
        <v>127</v>
      </c>
      <c r="C4500">
        <v>261</v>
      </c>
      <c r="D4500">
        <f t="shared" si="160"/>
        <v>2015</v>
      </c>
      <c r="E4500">
        <f t="shared" si="161"/>
        <v>7</v>
      </c>
    </row>
    <row r="4501" spans="1:5" x14ac:dyDescent="0.3">
      <c r="A4501" t="s">
        <v>4626</v>
      </c>
      <c r="B4501" t="s">
        <v>127</v>
      </c>
      <c r="C4501">
        <v>258</v>
      </c>
      <c r="D4501">
        <f t="shared" si="160"/>
        <v>2015</v>
      </c>
      <c r="E4501">
        <f t="shared" si="161"/>
        <v>7</v>
      </c>
    </row>
    <row r="4502" spans="1:5" x14ac:dyDescent="0.3">
      <c r="A4502" t="s">
        <v>4627</v>
      </c>
      <c r="B4502" t="s">
        <v>127</v>
      </c>
      <c r="C4502">
        <v>247</v>
      </c>
      <c r="D4502">
        <f t="shared" si="160"/>
        <v>2015</v>
      </c>
      <c r="E4502">
        <f t="shared" si="161"/>
        <v>7</v>
      </c>
    </row>
    <row r="4503" spans="1:5" x14ac:dyDescent="0.3">
      <c r="A4503" t="s">
        <v>4628</v>
      </c>
      <c r="B4503" t="s">
        <v>127</v>
      </c>
      <c r="C4503">
        <v>242</v>
      </c>
      <c r="D4503">
        <f t="shared" si="160"/>
        <v>2015</v>
      </c>
      <c r="E4503">
        <f t="shared" si="161"/>
        <v>7</v>
      </c>
    </row>
    <row r="4504" spans="1:5" x14ac:dyDescent="0.3">
      <c r="A4504" t="s">
        <v>4629</v>
      </c>
      <c r="B4504" t="s">
        <v>127</v>
      </c>
      <c r="C4504">
        <v>244</v>
      </c>
      <c r="D4504">
        <f t="shared" si="160"/>
        <v>2015</v>
      </c>
      <c r="E4504">
        <f t="shared" si="161"/>
        <v>7</v>
      </c>
    </row>
    <row r="4505" spans="1:5" x14ac:dyDescent="0.3">
      <c r="A4505" t="s">
        <v>4630</v>
      </c>
      <c r="B4505" t="s">
        <v>127</v>
      </c>
      <c r="C4505">
        <v>249</v>
      </c>
      <c r="D4505">
        <f t="shared" si="160"/>
        <v>2015</v>
      </c>
      <c r="E4505">
        <f t="shared" si="161"/>
        <v>8</v>
      </c>
    </row>
    <row r="4506" spans="1:5" x14ac:dyDescent="0.3">
      <c r="A4506" t="s">
        <v>4631</v>
      </c>
      <c r="B4506" t="s">
        <v>127</v>
      </c>
      <c r="C4506">
        <v>245</v>
      </c>
      <c r="D4506">
        <f t="shared" si="160"/>
        <v>2015</v>
      </c>
      <c r="E4506">
        <f t="shared" si="161"/>
        <v>8</v>
      </c>
    </row>
    <row r="4507" spans="1:5" x14ac:dyDescent="0.3">
      <c r="A4507" t="s">
        <v>4632</v>
      </c>
      <c r="B4507" t="s">
        <v>127</v>
      </c>
      <c r="C4507">
        <v>240</v>
      </c>
      <c r="D4507">
        <f t="shared" si="160"/>
        <v>2015</v>
      </c>
      <c r="E4507">
        <f t="shared" si="161"/>
        <v>8</v>
      </c>
    </row>
    <row r="4508" spans="1:5" x14ac:dyDescent="0.3">
      <c r="A4508" t="s">
        <v>4633</v>
      </c>
      <c r="B4508" t="s">
        <v>127</v>
      </c>
      <c r="C4508">
        <v>244</v>
      </c>
      <c r="D4508">
        <f t="shared" si="160"/>
        <v>2015</v>
      </c>
      <c r="E4508">
        <f t="shared" si="161"/>
        <v>8</v>
      </c>
    </row>
    <row r="4509" spans="1:5" x14ac:dyDescent="0.3">
      <c r="A4509" t="s">
        <v>4634</v>
      </c>
      <c r="B4509" t="s">
        <v>127</v>
      </c>
      <c r="C4509">
        <v>249</v>
      </c>
      <c r="D4509">
        <f t="shared" si="160"/>
        <v>2015</v>
      </c>
      <c r="E4509">
        <f t="shared" si="161"/>
        <v>8</v>
      </c>
    </row>
    <row r="4510" spans="1:5" x14ac:dyDescent="0.3">
      <c r="A4510" t="s">
        <v>4635</v>
      </c>
      <c r="B4510" t="s">
        <v>127</v>
      </c>
      <c r="C4510">
        <v>246</v>
      </c>
      <c r="D4510">
        <f t="shared" si="160"/>
        <v>2015</v>
      </c>
      <c r="E4510">
        <f t="shared" si="161"/>
        <v>8</v>
      </c>
    </row>
    <row r="4511" spans="1:5" x14ac:dyDescent="0.3">
      <c r="A4511" t="s">
        <v>4636</v>
      </c>
      <c r="B4511" t="s">
        <v>127</v>
      </c>
      <c r="C4511">
        <v>256</v>
      </c>
      <c r="D4511">
        <f t="shared" si="160"/>
        <v>2015</v>
      </c>
      <c r="E4511">
        <f t="shared" si="161"/>
        <v>8</v>
      </c>
    </row>
    <row r="4512" spans="1:5" x14ac:dyDescent="0.3">
      <c r="A4512" t="s">
        <v>4637</v>
      </c>
      <c r="B4512" t="s">
        <v>127</v>
      </c>
      <c r="C4512">
        <v>252</v>
      </c>
      <c r="D4512">
        <f t="shared" si="160"/>
        <v>2015</v>
      </c>
      <c r="E4512">
        <f t="shared" si="161"/>
        <v>8</v>
      </c>
    </row>
    <row r="4513" spans="1:5" x14ac:dyDescent="0.3">
      <c r="A4513" t="s">
        <v>4638</v>
      </c>
      <c r="B4513" t="s">
        <v>127</v>
      </c>
      <c r="C4513">
        <v>248</v>
      </c>
      <c r="D4513">
        <f t="shared" si="160"/>
        <v>2015</v>
      </c>
      <c r="E4513">
        <f t="shared" si="161"/>
        <v>8</v>
      </c>
    </row>
    <row r="4514" spans="1:5" x14ac:dyDescent="0.3">
      <c r="A4514" t="s">
        <v>4639</v>
      </c>
      <c r="B4514" t="s">
        <v>127</v>
      </c>
      <c r="C4514">
        <v>251</v>
      </c>
      <c r="D4514">
        <f t="shared" si="160"/>
        <v>2015</v>
      </c>
      <c r="E4514">
        <f t="shared" si="161"/>
        <v>8</v>
      </c>
    </row>
    <row r="4515" spans="1:5" x14ac:dyDescent="0.3">
      <c r="A4515" t="s">
        <v>4640</v>
      </c>
      <c r="B4515" t="s">
        <v>127</v>
      </c>
      <c r="C4515">
        <v>253</v>
      </c>
      <c r="D4515">
        <f t="shared" si="160"/>
        <v>2015</v>
      </c>
      <c r="E4515">
        <f t="shared" si="161"/>
        <v>8</v>
      </c>
    </row>
    <row r="4516" spans="1:5" x14ac:dyDescent="0.3">
      <c r="A4516" t="s">
        <v>4641</v>
      </c>
      <c r="B4516" t="s">
        <v>127</v>
      </c>
      <c r="C4516">
        <v>253</v>
      </c>
      <c r="D4516">
        <f t="shared" si="160"/>
        <v>2015</v>
      </c>
      <c r="E4516">
        <f t="shared" si="161"/>
        <v>8</v>
      </c>
    </row>
    <row r="4517" spans="1:5" x14ac:dyDescent="0.3">
      <c r="A4517" t="s">
        <v>4642</v>
      </c>
      <c r="B4517" t="s">
        <v>127</v>
      </c>
      <c r="C4517">
        <v>265</v>
      </c>
      <c r="D4517">
        <f t="shared" si="160"/>
        <v>2015</v>
      </c>
      <c r="E4517">
        <f t="shared" si="161"/>
        <v>8</v>
      </c>
    </row>
    <row r="4518" spans="1:5" x14ac:dyDescent="0.3">
      <c r="A4518" t="s">
        <v>4643</v>
      </c>
      <c r="B4518" t="s">
        <v>127</v>
      </c>
      <c r="C4518">
        <v>273</v>
      </c>
      <c r="D4518">
        <f t="shared" si="160"/>
        <v>2015</v>
      </c>
      <c r="E4518">
        <f t="shared" si="161"/>
        <v>8</v>
      </c>
    </row>
    <row r="4519" spans="1:5" x14ac:dyDescent="0.3">
      <c r="A4519" t="s">
        <v>4644</v>
      </c>
      <c r="B4519" t="s">
        <v>127</v>
      </c>
      <c r="C4519">
        <v>280</v>
      </c>
      <c r="D4519">
        <f t="shared" si="160"/>
        <v>2015</v>
      </c>
      <c r="E4519">
        <f t="shared" si="161"/>
        <v>8</v>
      </c>
    </row>
    <row r="4520" spans="1:5" x14ac:dyDescent="0.3">
      <c r="A4520" t="s">
        <v>4645</v>
      </c>
      <c r="B4520" t="s">
        <v>127</v>
      </c>
      <c r="C4520">
        <v>293</v>
      </c>
      <c r="D4520">
        <f t="shared" si="160"/>
        <v>2015</v>
      </c>
      <c r="E4520">
        <f t="shared" si="161"/>
        <v>8</v>
      </c>
    </row>
    <row r="4521" spans="1:5" x14ac:dyDescent="0.3">
      <c r="A4521" t="s">
        <v>4646</v>
      </c>
      <c r="B4521" t="s">
        <v>127</v>
      </c>
      <c r="C4521">
        <v>280</v>
      </c>
      <c r="D4521">
        <f t="shared" si="160"/>
        <v>2015</v>
      </c>
      <c r="E4521">
        <f t="shared" si="161"/>
        <v>8</v>
      </c>
    </row>
    <row r="4522" spans="1:5" x14ac:dyDescent="0.3">
      <c r="A4522" t="s">
        <v>4647</v>
      </c>
      <c r="B4522" t="s">
        <v>127</v>
      </c>
      <c r="C4522">
        <v>284</v>
      </c>
      <c r="D4522">
        <f t="shared" si="160"/>
        <v>2015</v>
      </c>
      <c r="E4522">
        <f t="shared" si="161"/>
        <v>8</v>
      </c>
    </row>
    <row r="4523" spans="1:5" x14ac:dyDescent="0.3">
      <c r="A4523" t="s">
        <v>4648</v>
      </c>
      <c r="B4523" t="s">
        <v>127</v>
      </c>
      <c r="C4523">
        <v>276</v>
      </c>
      <c r="D4523">
        <f t="shared" si="160"/>
        <v>2015</v>
      </c>
      <c r="E4523">
        <f t="shared" si="161"/>
        <v>8</v>
      </c>
    </row>
    <row r="4524" spans="1:5" x14ac:dyDescent="0.3">
      <c r="A4524" t="s">
        <v>4649</v>
      </c>
      <c r="B4524" t="s">
        <v>127</v>
      </c>
      <c r="C4524">
        <v>273</v>
      </c>
      <c r="D4524">
        <f t="shared" si="160"/>
        <v>2015</v>
      </c>
      <c r="E4524">
        <f t="shared" si="161"/>
        <v>8</v>
      </c>
    </row>
    <row r="4525" spans="1:5" x14ac:dyDescent="0.3">
      <c r="A4525" t="s">
        <v>4650</v>
      </c>
      <c r="B4525" t="s">
        <v>127</v>
      </c>
      <c r="C4525">
        <v>270</v>
      </c>
      <c r="D4525">
        <f t="shared" si="160"/>
        <v>2015</v>
      </c>
      <c r="E4525">
        <f t="shared" si="161"/>
        <v>8</v>
      </c>
    </row>
    <row r="4526" spans="1:5" x14ac:dyDescent="0.3">
      <c r="A4526" t="s">
        <v>4651</v>
      </c>
      <c r="B4526" t="s">
        <v>127</v>
      </c>
      <c r="C4526">
        <v>276</v>
      </c>
      <c r="D4526">
        <f t="shared" si="160"/>
        <v>2015</v>
      </c>
      <c r="E4526">
        <f t="shared" si="161"/>
        <v>9</v>
      </c>
    </row>
    <row r="4527" spans="1:5" x14ac:dyDescent="0.3">
      <c r="A4527" t="s">
        <v>4652</v>
      </c>
      <c r="B4527" t="s">
        <v>127</v>
      </c>
      <c r="C4527">
        <v>271</v>
      </c>
      <c r="D4527">
        <f t="shared" si="160"/>
        <v>2015</v>
      </c>
      <c r="E4527">
        <f t="shared" si="161"/>
        <v>9</v>
      </c>
    </row>
    <row r="4528" spans="1:5" x14ac:dyDescent="0.3">
      <c r="A4528" t="s">
        <v>4653</v>
      </c>
      <c r="B4528" t="s">
        <v>127</v>
      </c>
      <c r="C4528">
        <v>273</v>
      </c>
      <c r="D4528">
        <f t="shared" si="160"/>
        <v>2015</v>
      </c>
      <c r="E4528">
        <f t="shared" si="161"/>
        <v>9</v>
      </c>
    </row>
    <row r="4529" spans="1:5" x14ac:dyDescent="0.3">
      <c r="A4529" t="s">
        <v>4654</v>
      </c>
      <c r="B4529" t="s">
        <v>127</v>
      </c>
      <c r="C4529">
        <v>276</v>
      </c>
      <c r="D4529">
        <f t="shared" si="160"/>
        <v>2015</v>
      </c>
      <c r="E4529">
        <f t="shared" si="161"/>
        <v>9</v>
      </c>
    </row>
    <row r="4530" spans="1:5" x14ac:dyDescent="0.3">
      <c r="A4530" t="s">
        <v>4655</v>
      </c>
      <c r="B4530" t="s">
        <v>127</v>
      </c>
      <c r="C4530">
        <v>276</v>
      </c>
      <c r="D4530">
        <f t="shared" si="160"/>
        <v>2015</v>
      </c>
      <c r="E4530">
        <f t="shared" si="161"/>
        <v>9</v>
      </c>
    </row>
    <row r="4531" spans="1:5" x14ac:dyDescent="0.3">
      <c r="A4531" t="s">
        <v>4656</v>
      </c>
      <c r="B4531" t="s">
        <v>127</v>
      </c>
      <c r="C4531">
        <v>268</v>
      </c>
      <c r="D4531">
        <f t="shared" si="160"/>
        <v>2015</v>
      </c>
      <c r="E4531">
        <f t="shared" si="161"/>
        <v>9</v>
      </c>
    </row>
    <row r="4532" spans="1:5" x14ac:dyDescent="0.3">
      <c r="A4532" t="s">
        <v>4657</v>
      </c>
      <c r="B4532" t="s">
        <v>127</v>
      </c>
      <c r="C4532">
        <v>264</v>
      </c>
      <c r="D4532">
        <f t="shared" si="160"/>
        <v>2015</v>
      </c>
      <c r="E4532">
        <f t="shared" si="161"/>
        <v>9</v>
      </c>
    </row>
    <row r="4533" spans="1:5" x14ac:dyDescent="0.3">
      <c r="A4533" t="s">
        <v>4658</v>
      </c>
      <c r="B4533" t="s">
        <v>127</v>
      </c>
      <c r="C4533">
        <v>262</v>
      </c>
      <c r="D4533">
        <f t="shared" si="160"/>
        <v>2015</v>
      </c>
      <c r="E4533">
        <f t="shared" si="161"/>
        <v>9</v>
      </c>
    </row>
    <row r="4534" spans="1:5" x14ac:dyDescent="0.3">
      <c r="A4534" t="s">
        <v>4659</v>
      </c>
      <c r="B4534" t="s">
        <v>127</v>
      </c>
      <c r="C4534">
        <v>266</v>
      </c>
      <c r="D4534">
        <f t="shared" si="160"/>
        <v>2015</v>
      </c>
      <c r="E4534">
        <f t="shared" si="161"/>
        <v>9</v>
      </c>
    </row>
    <row r="4535" spans="1:5" x14ac:dyDescent="0.3">
      <c r="A4535" t="s">
        <v>4660</v>
      </c>
      <c r="B4535" t="s">
        <v>127</v>
      </c>
      <c r="C4535">
        <v>266</v>
      </c>
      <c r="D4535">
        <f t="shared" si="160"/>
        <v>2015</v>
      </c>
      <c r="E4535">
        <f t="shared" si="161"/>
        <v>9</v>
      </c>
    </row>
    <row r="4536" spans="1:5" x14ac:dyDescent="0.3">
      <c r="A4536" t="s">
        <v>4661</v>
      </c>
      <c r="B4536" t="s">
        <v>127</v>
      </c>
      <c r="C4536">
        <v>255</v>
      </c>
      <c r="D4536">
        <f t="shared" si="160"/>
        <v>2015</v>
      </c>
      <c r="E4536">
        <f t="shared" si="161"/>
        <v>9</v>
      </c>
    </row>
    <row r="4537" spans="1:5" x14ac:dyDescent="0.3">
      <c r="A4537" t="s">
        <v>4662</v>
      </c>
      <c r="B4537" t="s">
        <v>127</v>
      </c>
      <c r="C4537">
        <v>250</v>
      </c>
      <c r="D4537">
        <f t="shared" si="160"/>
        <v>2015</v>
      </c>
      <c r="E4537">
        <f t="shared" si="161"/>
        <v>9</v>
      </c>
    </row>
    <row r="4538" spans="1:5" x14ac:dyDescent="0.3">
      <c r="A4538" t="s">
        <v>4663</v>
      </c>
      <c r="B4538" t="s">
        <v>127</v>
      </c>
      <c r="C4538">
        <v>255</v>
      </c>
      <c r="D4538">
        <f t="shared" si="160"/>
        <v>2015</v>
      </c>
      <c r="E4538">
        <f t="shared" si="161"/>
        <v>9</v>
      </c>
    </row>
    <row r="4539" spans="1:5" x14ac:dyDescent="0.3">
      <c r="A4539" t="s">
        <v>4664</v>
      </c>
      <c r="B4539" t="s">
        <v>127</v>
      </c>
      <c r="C4539">
        <v>261</v>
      </c>
      <c r="D4539">
        <f t="shared" si="160"/>
        <v>2015</v>
      </c>
      <c r="E4539">
        <f t="shared" si="161"/>
        <v>9</v>
      </c>
    </row>
    <row r="4540" spans="1:5" x14ac:dyDescent="0.3">
      <c r="A4540" t="s">
        <v>4665</v>
      </c>
      <c r="B4540" t="s">
        <v>127</v>
      </c>
      <c r="C4540">
        <v>259</v>
      </c>
      <c r="D4540">
        <f t="shared" si="160"/>
        <v>2015</v>
      </c>
      <c r="E4540">
        <f t="shared" si="161"/>
        <v>9</v>
      </c>
    </row>
    <row r="4541" spans="1:5" x14ac:dyDescent="0.3">
      <c r="A4541" t="s">
        <v>4666</v>
      </c>
      <c r="B4541" t="s">
        <v>127</v>
      </c>
      <c r="C4541">
        <v>274</v>
      </c>
      <c r="D4541">
        <f t="shared" si="160"/>
        <v>2015</v>
      </c>
      <c r="E4541">
        <f t="shared" si="161"/>
        <v>9</v>
      </c>
    </row>
    <row r="4542" spans="1:5" x14ac:dyDescent="0.3">
      <c r="A4542" t="s">
        <v>4667</v>
      </c>
      <c r="B4542" t="s">
        <v>127</v>
      </c>
      <c r="C4542">
        <v>277</v>
      </c>
      <c r="D4542">
        <f t="shared" si="160"/>
        <v>2015</v>
      </c>
      <c r="E4542">
        <f t="shared" si="161"/>
        <v>9</v>
      </c>
    </row>
    <row r="4543" spans="1:5" x14ac:dyDescent="0.3">
      <c r="A4543" t="s">
        <v>4668</v>
      </c>
      <c r="B4543" t="s">
        <v>127</v>
      </c>
      <c r="C4543">
        <v>290</v>
      </c>
      <c r="D4543">
        <f t="shared" si="160"/>
        <v>2015</v>
      </c>
      <c r="E4543">
        <f t="shared" si="161"/>
        <v>9</v>
      </c>
    </row>
    <row r="4544" spans="1:5" x14ac:dyDescent="0.3">
      <c r="A4544" t="s">
        <v>4669</v>
      </c>
      <c r="B4544" t="s">
        <v>127</v>
      </c>
      <c r="C4544">
        <v>297</v>
      </c>
      <c r="D4544">
        <f t="shared" si="160"/>
        <v>2015</v>
      </c>
      <c r="E4544">
        <f t="shared" si="161"/>
        <v>9</v>
      </c>
    </row>
    <row r="4545" spans="1:5" x14ac:dyDescent="0.3">
      <c r="A4545" t="s">
        <v>4670</v>
      </c>
      <c r="B4545" t="s">
        <v>127</v>
      </c>
      <c r="C4545">
        <v>322</v>
      </c>
      <c r="D4545">
        <f t="shared" si="160"/>
        <v>2015</v>
      </c>
      <c r="E4545">
        <f t="shared" si="161"/>
        <v>9</v>
      </c>
    </row>
    <row r="4546" spans="1:5" x14ac:dyDescent="0.3">
      <c r="A4546" t="s">
        <v>4671</v>
      </c>
      <c r="B4546" t="s">
        <v>127</v>
      </c>
      <c r="C4546">
        <v>322</v>
      </c>
      <c r="D4546">
        <f t="shared" si="160"/>
        <v>2015</v>
      </c>
      <c r="E4546">
        <f t="shared" si="161"/>
        <v>9</v>
      </c>
    </row>
    <row r="4547" spans="1:5" x14ac:dyDescent="0.3">
      <c r="A4547" t="s">
        <v>4672</v>
      </c>
      <c r="B4547" t="s">
        <v>127</v>
      </c>
      <c r="C4547">
        <v>313</v>
      </c>
      <c r="D4547">
        <f t="shared" ref="D4547:D4610" si="162">YEAR(A4547)</f>
        <v>2015</v>
      </c>
      <c r="E4547">
        <f t="shared" ref="E4547:E4610" si="163">MONTH(A4547)</f>
        <v>9</v>
      </c>
    </row>
    <row r="4548" spans="1:5" x14ac:dyDescent="0.3">
      <c r="A4548" t="s">
        <v>4673</v>
      </c>
      <c r="B4548" t="s">
        <v>127</v>
      </c>
      <c r="C4548">
        <v>305</v>
      </c>
      <c r="D4548">
        <f t="shared" si="162"/>
        <v>2015</v>
      </c>
      <c r="E4548">
        <f t="shared" si="163"/>
        <v>10</v>
      </c>
    </row>
    <row r="4549" spans="1:5" x14ac:dyDescent="0.3">
      <c r="A4549" t="s">
        <v>4674</v>
      </c>
      <c r="B4549" t="s">
        <v>127</v>
      </c>
      <c r="C4549">
        <v>297</v>
      </c>
      <c r="D4549">
        <f t="shared" si="162"/>
        <v>2015</v>
      </c>
      <c r="E4549">
        <f t="shared" si="163"/>
        <v>10</v>
      </c>
    </row>
    <row r="4550" spans="1:5" x14ac:dyDescent="0.3">
      <c r="A4550" t="s">
        <v>4675</v>
      </c>
      <c r="B4550" t="s">
        <v>127</v>
      </c>
      <c r="C4550">
        <v>275</v>
      </c>
      <c r="D4550">
        <f t="shared" si="162"/>
        <v>2015</v>
      </c>
      <c r="E4550">
        <f t="shared" si="163"/>
        <v>10</v>
      </c>
    </row>
    <row r="4551" spans="1:5" x14ac:dyDescent="0.3">
      <c r="A4551" t="s">
        <v>4676</v>
      </c>
      <c r="B4551" t="s">
        <v>127</v>
      </c>
      <c r="C4551">
        <v>274</v>
      </c>
      <c r="D4551">
        <f t="shared" si="162"/>
        <v>2015</v>
      </c>
      <c r="E4551">
        <f t="shared" si="163"/>
        <v>10</v>
      </c>
    </row>
    <row r="4552" spans="1:5" x14ac:dyDescent="0.3">
      <c r="A4552" t="s">
        <v>4677</v>
      </c>
      <c r="B4552" t="s">
        <v>127</v>
      </c>
      <c r="C4552">
        <v>275</v>
      </c>
      <c r="D4552">
        <f t="shared" si="162"/>
        <v>2015</v>
      </c>
      <c r="E4552">
        <f t="shared" si="163"/>
        <v>10</v>
      </c>
    </row>
    <row r="4553" spans="1:5" x14ac:dyDescent="0.3">
      <c r="A4553" t="s">
        <v>4678</v>
      </c>
      <c r="B4553" t="s">
        <v>127</v>
      </c>
      <c r="C4553">
        <v>272</v>
      </c>
      <c r="D4553">
        <f t="shared" si="162"/>
        <v>2015</v>
      </c>
      <c r="E4553">
        <f t="shared" si="163"/>
        <v>10</v>
      </c>
    </row>
    <row r="4554" spans="1:5" x14ac:dyDescent="0.3">
      <c r="A4554" t="s">
        <v>4679</v>
      </c>
      <c r="B4554" t="s">
        <v>127</v>
      </c>
      <c r="C4554">
        <v>270</v>
      </c>
      <c r="D4554">
        <f t="shared" si="162"/>
        <v>2015</v>
      </c>
      <c r="E4554">
        <f t="shared" si="163"/>
        <v>10</v>
      </c>
    </row>
    <row r="4555" spans="1:5" x14ac:dyDescent="0.3">
      <c r="A4555" t="s">
        <v>4680</v>
      </c>
      <c r="B4555" t="s">
        <v>127</v>
      </c>
      <c r="C4555">
        <v>270</v>
      </c>
      <c r="D4555">
        <f t="shared" si="162"/>
        <v>2015</v>
      </c>
      <c r="E4555">
        <f t="shared" si="163"/>
        <v>10</v>
      </c>
    </row>
    <row r="4556" spans="1:5" x14ac:dyDescent="0.3">
      <c r="A4556" t="s">
        <v>4681</v>
      </c>
      <c r="B4556" t="s">
        <v>127</v>
      </c>
      <c r="C4556">
        <v>281</v>
      </c>
      <c r="D4556">
        <f t="shared" si="162"/>
        <v>2015</v>
      </c>
      <c r="E4556">
        <f t="shared" si="163"/>
        <v>10</v>
      </c>
    </row>
    <row r="4557" spans="1:5" x14ac:dyDescent="0.3">
      <c r="A4557" t="s">
        <v>4682</v>
      </c>
      <c r="B4557" t="s">
        <v>127</v>
      </c>
      <c r="C4557">
        <v>283</v>
      </c>
      <c r="D4557">
        <f t="shared" si="162"/>
        <v>2015</v>
      </c>
      <c r="E4557">
        <f t="shared" si="163"/>
        <v>10</v>
      </c>
    </row>
    <row r="4558" spans="1:5" x14ac:dyDescent="0.3">
      <c r="A4558" t="s">
        <v>4683</v>
      </c>
      <c r="B4558" t="s">
        <v>127</v>
      </c>
      <c r="C4558">
        <v>273</v>
      </c>
      <c r="D4558">
        <f t="shared" si="162"/>
        <v>2015</v>
      </c>
      <c r="E4558">
        <f t="shared" si="163"/>
        <v>10</v>
      </c>
    </row>
    <row r="4559" spans="1:5" x14ac:dyDescent="0.3">
      <c r="A4559" t="s">
        <v>4684</v>
      </c>
      <c r="B4559" t="s">
        <v>127</v>
      </c>
      <c r="C4559">
        <v>269</v>
      </c>
      <c r="D4559">
        <f t="shared" si="162"/>
        <v>2015</v>
      </c>
      <c r="E4559">
        <f t="shared" si="163"/>
        <v>10</v>
      </c>
    </row>
    <row r="4560" spans="1:5" x14ac:dyDescent="0.3">
      <c r="A4560" t="s">
        <v>4685</v>
      </c>
      <c r="B4560" t="s">
        <v>127</v>
      </c>
      <c r="C4560">
        <v>274</v>
      </c>
      <c r="D4560">
        <f t="shared" si="162"/>
        <v>2015</v>
      </c>
      <c r="E4560">
        <f t="shared" si="163"/>
        <v>10</v>
      </c>
    </row>
    <row r="4561" spans="1:5" x14ac:dyDescent="0.3">
      <c r="A4561" t="s">
        <v>4686</v>
      </c>
      <c r="B4561" t="s">
        <v>127</v>
      </c>
      <c r="C4561">
        <v>278</v>
      </c>
      <c r="D4561">
        <f t="shared" si="162"/>
        <v>2015</v>
      </c>
      <c r="E4561">
        <f t="shared" si="163"/>
        <v>10</v>
      </c>
    </row>
    <row r="4562" spans="1:5" x14ac:dyDescent="0.3">
      <c r="A4562" t="s">
        <v>4687</v>
      </c>
      <c r="B4562" t="s">
        <v>127</v>
      </c>
      <c r="C4562">
        <v>286</v>
      </c>
      <c r="D4562">
        <f t="shared" si="162"/>
        <v>2015</v>
      </c>
      <c r="E4562">
        <f t="shared" si="163"/>
        <v>10</v>
      </c>
    </row>
    <row r="4563" spans="1:5" x14ac:dyDescent="0.3">
      <c r="A4563" t="s">
        <v>4688</v>
      </c>
      <c r="B4563" t="s">
        <v>127</v>
      </c>
      <c r="C4563">
        <v>284</v>
      </c>
      <c r="D4563">
        <f t="shared" si="162"/>
        <v>2015</v>
      </c>
      <c r="E4563">
        <f t="shared" si="163"/>
        <v>10</v>
      </c>
    </row>
    <row r="4564" spans="1:5" x14ac:dyDescent="0.3">
      <c r="A4564" t="s">
        <v>4689</v>
      </c>
      <c r="B4564" t="s">
        <v>127</v>
      </c>
      <c r="C4564">
        <v>275</v>
      </c>
      <c r="D4564">
        <f t="shared" si="162"/>
        <v>2015</v>
      </c>
      <c r="E4564">
        <f t="shared" si="163"/>
        <v>10</v>
      </c>
    </row>
    <row r="4565" spans="1:5" x14ac:dyDescent="0.3">
      <c r="A4565" t="s">
        <v>4690</v>
      </c>
      <c r="B4565" t="s">
        <v>127</v>
      </c>
      <c r="C4565">
        <v>273</v>
      </c>
      <c r="D4565">
        <f t="shared" si="162"/>
        <v>2015</v>
      </c>
      <c r="E4565">
        <f t="shared" si="163"/>
        <v>10</v>
      </c>
    </row>
    <row r="4566" spans="1:5" x14ac:dyDescent="0.3">
      <c r="A4566" t="s">
        <v>4691</v>
      </c>
      <c r="B4566" t="s">
        <v>127</v>
      </c>
      <c r="C4566">
        <v>280</v>
      </c>
      <c r="D4566">
        <f t="shared" si="162"/>
        <v>2015</v>
      </c>
      <c r="E4566">
        <f t="shared" si="163"/>
        <v>10</v>
      </c>
    </row>
    <row r="4567" spans="1:5" x14ac:dyDescent="0.3">
      <c r="A4567" t="s">
        <v>4692</v>
      </c>
      <c r="B4567" t="s">
        <v>127</v>
      </c>
      <c r="C4567">
        <v>273</v>
      </c>
      <c r="D4567">
        <f t="shared" si="162"/>
        <v>2015</v>
      </c>
      <c r="E4567">
        <f t="shared" si="163"/>
        <v>10</v>
      </c>
    </row>
    <row r="4568" spans="1:5" x14ac:dyDescent="0.3">
      <c r="A4568" t="s">
        <v>4693</v>
      </c>
      <c r="B4568" t="s">
        <v>127</v>
      </c>
      <c r="C4568">
        <v>272</v>
      </c>
      <c r="D4568">
        <f t="shared" si="162"/>
        <v>2015</v>
      </c>
      <c r="E4568">
        <f t="shared" si="163"/>
        <v>10</v>
      </c>
    </row>
    <row r="4569" spans="1:5" x14ac:dyDescent="0.3">
      <c r="A4569" t="s">
        <v>4694</v>
      </c>
      <c r="B4569" t="s">
        <v>127</v>
      </c>
      <c r="C4569">
        <v>275</v>
      </c>
      <c r="D4569">
        <f t="shared" si="162"/>
        <v>2015</v>
      </c>
      <c r="E4569">
        <f t="shared" si="163"/>
        <v>10</v>
      </c>
    </row>
    <row r="4570" spans="1:5" x14ac:dyDescent="0.3">
      <c r="A4570" t="s">
        <v>4695</v>
      </c>
      <c r="B4570" t="s">
        <v>127</v>
      </c>
      <c r="C4570">
        <v>269</v>
      </c>
      <c r="D4570">
        <f t="shared" si="162"/>
        <v>2015</v>
      </c>
      <c r="E4570">
        <f t="shared" si="163"/>
        <v>11</v>
      </c>
    </row>
    <row r="4571" spans="1:5" x14ac:dyDescent="0.3">
      <c r="A4571" t="s">
        <v>4696</v>
      </c>
      <c r="B4571" t="s">
        <v>127</v>
      </c>
      <c r="C4571">
        <v>260</v>
      </c>
      <c r="D4571">
        <f t="shared" si="162"/>
        <v>2015</v>
      </c>
      <c r="E4571">
        <f t="shared" si="163"/>
        <v>11</v>
      </c>
    </row>
    <row r="4572" spans="1:5" x14ac:dyDescent="0.3">
      <c r="A4572" t="s">
        <v>4697</v>
      </c>
      <c r="B4572" t="s">
        <v>127</v>
      </c>
      <c r="C4572">
        <v>261</v>
      </c>
      <c r="D4572">
        <f t="shared" si="162"/>
        <v>2015</v>
      </c>
      <c r="E4572">
        <f t="shared" si="163"/>
        <v>11</v>
      </c>
    </row>
    <row r="4573" spans="1:5" x14ac:dyDescent="0.3">
      <c r="A4573" t="s">
        <v>4698</v>
      </c>
      <c r="B4573" t="s">
        <v>127</v>
      </c>
      <c r="C4573">
        <v>262</v>
      </c>
      <c r="D4573">
        <f t="shared" si="162"/>
        <v>2015</v>
      </c>
      <c r="E4573">
        <f t="shared" si="163"/>
        <v>11</v>
      </c>
    </row>
    <row r="4574" spans="1:5" x14ac:dyDescent="0.3">
      <c r="A4574" t="s">
        <v>4699</v>
      </c>
      <c r="B4574" t="s">
        <v>127</v>
      </c>
      <c r="C4574">
        <v>263</v>
      </c>
      <c r="D4574">
        <f t="shared" si="162"/>
        <v>2015</v>
      </c>
      <c r="E4574">
        <f t="shared" si="163"/>
        <v>11</v>
      </c>
    </row>
    <row r="4575" spans="1:5" x14ac:dyDescent="0.3">
      <c r="A4575" t="s">
        <v>4700</v>
      </c>
      <c r="B4575" t="s">
        <v>127</v>
      </c>
      <c r="C4575">
        <v>268</v>
      </c>
      <c r="D4575">
        <f t="shared" si="162"/>
        <v>2015</v>
      </c>
      <c r="E4575">
        <f t="shared" si="163"/>
        <v>11</v>
      </c>
    </row>
    <row r="4576" spans="1:5" x14ac:dyDescent="0.3">
      <c r="A4576" t="s">
        <v>4701</v>
      </c>
      <c r="B4576" t="s">
        <v>127</v>
      </c>
      <c r="C4576">
        <v>273</v>
      </c>
      <c r="D4576">
        <f t="shared" si="162"/>
        <v>2015</v>
      </c>
      <c r="E4576">
        <f t="shared" si="163"/>
        <v>11</v>
      </c>
    </row>
    <row r="4577" spans="1:5" x14ac:dyDescent="0.3">
      <c r="A4577" t="s">
        <v>4702</v>
      </c>
      <c r="B4577" t="s">
        <v>127</v>
      </c>
      <c r="C4577">
        <v>273</v>
      </c>
      <c r="D4577">
        <f t="shared" si="162"/>
        <v>2015</v>
      </c>
      <c r="E4577">
        <f t="shared" si="163"/>
        <v>11</v>
      </c>
    </row>
    <row r="4578" spans="1:5" x14ac:dyDescent="0.3">
      <c r="A4578" t="s">
        <v>4703</v>
      </c>
      <c r="B4578" t="s">
        <v>127</v>
      </c>
      <c r="C4578">
        <v>276</v>
      </c>
      <c r="D4578">
        <f t="shared" si="162"/>
        <v>2015</v>
      </c>
      <c r="E4578">
        <f t="shared" si="163"/>
        <v>11</v>
      </c>
    </row>
    <row r="4579" spans="1:5" x14ac:dyDescent="0.3">
      <c r="A4579" t="s">
        <v>4704</v>
      </c>
      <c r="B4579" t="s">
        <v>127</v>
      </c>
      <c r="C4579">
        <v>283</v>
      </c>
      <c r="D4579">
        <f t="shared" si="162"/>
        <v>2015</v>
      </c>
      <c r="E4579">
        <f t="shared" si="163"/>
        <v>11</v>
      </c>
    </row>
    <row r="4580" spans="1:5" x14ac:dyDescent="0.3">
      <c r="A4580" t="s">
        <v>4705</v>
      </c>
      <c r="B4580" t="s">
        <v>127</v>
      </c>
      <c r="C4580">
        <v>281</v>
      </c>
      <c r="D4580">
        <f t="shared" si="162"/>
        <v>2015</v>
      </c>
      <c r="E4580">
        <f t="shared" si="163"/>
        <v>11</v>
      </c>
    </row>
    <row r="4581" spans="1:5" x14ac:dyDescent="0.3">
      <c r="A4581" t="s">
        <v>4706</v>
      </c>
      <c r="B4581" t="s">
        <v>127</v>
      </c>
      <c r="C4581">
        <v>282</v>
      </c>
      <c r="D4581">
        <f t="shared" si="162"/>
        <v>2015</v>
      </c>
      <c r="E4581">
        <f t="shared" si="163"/>
        <v>11</v>
      </c>
    </row>
    <row r="4582" spans="1:5" x14ac:dyDescent="0.3">
      <c r="A4582" t="s">
        <v>4707</v>
      </c>
      <c r="B4582" t="s">
        <v>127</v>
      </c>
      <c r="C4582">
        <v>283</v>
      </c>
      <c r="D4582">
        <f t="shared" si="162"/>
        <v>2015</v>
      </c>
      <c r="E4582">
        <f t="shared" si="163"/>
        <v>11</v>
      </c>
    </row>
    <row r="4583" spans="1:5" x14ac:dyDescent="0.3">
      <c r="A4583" t="s">
        <v>4708</v>
      </c>
      <c r="B4583" t="s">
        <v>127</v>
      </c>
      <c r="C4583">
        <v>281</v>
      </c>
      <c r="D4583">
        <f t="shared" si="162"/>
        <v>2015</v>
      </c>
      <c r="E4583">
        <f t="shared" si="163"/>
        <v>11</v>
      </c>
    </row>
    <row r="4584" spans="1:5" x14ac:dyDescent="0.3">
      <c r="A4584" t="s">
        <v>4709</v>
      </c>
      <c r="B4584" t="s">
        <v>127</v>
      </c>
      <c r="C4584">
        <v>278</v>
      </c>
      <c r="D4584">
        <f t="shared" si="162"/>
        <v>2015</v>
      </c>
      <c r="E4584">
        <f t="shared" si="163"/>
        <v>11</v>
      </c>
    </row>
    <row r="4585" spans="1:5" x14ac:dyDescent="0.3">
      <c r="A4585" t="s">
        <v>4710</v>
      </c>
      <c r="B4585" t="s">
        <v>127</v>
      </c>
      <c r="C4585">
        <v>277</v>
      </c>
      <c r="D4585">
        <f t="shared" si="162"/>
        <v>2015</v>
      </c>
      <c r="E4585">
        <f t="shared" si="163"/>
        <v>11</v>
      </c>
    </row>
    <row r="4586" spans="1:5" x14ac:dyDescent="0.3">
      <c r="A4586" t="s">
        <v>4711</v>
      </c>
      <c r="B4586" t="s">
        <v>127</v>
      </c>
      <c r="C4586">
        <v>275</v>
      </c>
      <c r="D4586">
        <f t="shared" si="162"/>
        <v>2015</v>
      </c>
      <c r="E4586">
        <f t="shared" si="163"/>
        <v>11</v>
      </c>
    </row>
    <row r="4587" spans="1:5" x14ac:dyDescent="0.3">
      <c r="A4587" t="s">
        <v>4712</v>
      </c>
      <c r="B4587" t="s">
        <v>127</v>
      </c>
      <c r="C4587">
        <v>277</v>
      </c>
      <c r="D4587">
        <f t="shared" si="162"/>
        <v>2015</v>
      </c>
      <c r="E4587">
        <f t="shared" si="163"/>
        <v>11</v>
      </c>
    </row>
    <row r="4588" spans="1:5" x14ac:dyDescent="0.3">
      <c r="A4588" t="s">
        <v>4713</v>
      </c>
      <c r="B4588" t="s">
        <v>127</v>
      </c>
      <c r="C4588">
        <v>277</v>
      </c>
      <c r="D4588">
        <f t="shared" si="162"/>
        <v>2015</v>
      </c>
      <c r="E4588">
        <f t="shared" si="163"/>
        <v>11</v>
      </c>
    </row>
    <row r="4589" spans="1:5" x14ac:dyDescent="0.3">
      <c r="A4589" t="s">
        <v>4714</v>
      </c>
      <c r="B4589" t="s">
        <v>127</v>
      </c>
      <c r="C4589">
        <v>278</v>
      </c>
      <c r="D4589">
        <f t="shared" si="162"/>
        <v>2015</v>
      </c>
      <c r="E4589">
        <f t="shared" si="163"/>
        <v>11</v>
      </c>
    </row>
    <row r="4590" spans="1:5" x14ac:dyDescent="0.3">
      <c r="A4590" t="s">
        <v>4715</v>
      </c>
      <c r="B4590" t="s">
        <v>127</v>
      </c>
      <c r="C4590">
        <v>280</v>
      </c>
      <c r="D4590">
        <f t="shared" si="162"/>
        <v>2015</v>
      </c>
      <c r="E4590">
        <f t="shared" si="163"/>
        <v>11</v>
      </c>
    </row>
    <row r="4591" spans="1:5" x14ac:dyDescent="0.3">
      <c r="A4591" t="s">
        <v>4716</v>
      </c>
      <c r="B4591" t="s">
        <v>127</v>
      </c>
      <c r="C4591">
        <v>287</v>
      </c>
      <c r="D4591">
        <f t="shared" si="162"/>
        <v>2015</v>
      </c>
      <c r="E4591">
        <f t="shared" si="163"/>
        <v>12</v>
      </c>
    </row>
    <row r="4592" spans="1:5" x14ac:dyDescent="0.3">
      <c r="A4592" t="s">
        <v>4717</v>
      </c>
      <c r="B4592" t="s">
        <v>127</v>
      </c>
      <c r="C4592">
        <v>287</v>
      </c>
      <c r="D4592">
        <f t="shared" si="162"/>
        <v>2015</v>
      </c>
      <c r="E4592">
        <f t="shared" si="163"/>
        <v>12</v>
      </c>
    </row>
    <row r="4593" spans="1:5" x14ac:dyDescent="0.3">
      <c r="A4593" t="s">
        <v>4718</v>
      </c>
      <c r="B4593" t="s">
        <v>127</v>
      </c>
      <c r="C4593">
        <v>288</v>
      </c>
      <c r="D4593">
        <f t="shared" si="162"/>
        <v>2015</v>
      </c>
      <c r="E4593">
        <f t="shared" si="163"/>
        <v>12</v>
      </c>
    </row>
    <row r="4594" spans="1:5" x14ac:dyDescent="0.3">
      <c r="A4594" t="s">
        <v>4719</v>
      </c>
      <c r="B4594" t="s">
        <v>127</v>
      </c>
      <c r="C4594">
        <v>292</v>
      </c>
      <c r="D4594">
        <f t="shared" si="162"/>
        <v>2015</v>
      </c>
      <c r="E4594">
        <f t="shared" si="163"/>
        <v>12</v>
      </c>
    </row>
    <row r="4595" spans="1:5" x14ac:dyDescent="0.3">
      <c r="A4595" t="s">
        <v>4720</v>
      </c>
      <c r="B4595" t="s">
        <v>127</v>
      </c>
      <c r="C4595">
        <v>301</v>
      </c>
      <c r="D4595">
        <f t="shared" si="162"/>
        <v>2015</v>
      </c>
      <c r="E4595">
        <f t="shared" si="163"/>
        <v>12</v>
      </c>
    </row>
    <row r="4596" spans="1:5" x14ac:dyDescent="0.3">
      <c r="A4596" t="s">
        <v>4721</v>
      </c>
      <c r="B4596" t="s">
        <v>127</v>
      </c>
      <c r="C4596">
        <v>309</v>
      </c>
      <c r="D4596">
        <f t="shared" si="162"/>
        <v>2015</v>
      </c>
      <c r="E4596">
        <f t="shared" si="163"/>
        <v>12</v>
      </c>
    </row>
    <row r="4597" spans="1:5" x14ac:dyDescent="0.3">
      <c r="A4597" t="s">
        <v>4722</v>
      </c>
      <c r="B4597" t="s">
        <v>127</v>
      </c>
      <c r="C4597">
        <v>307</v>
      </c>
      <c r="D4597">
        <f t="shared" si="162"/>
        <v>2015</v>
      </c>
      <c r="E4597">
        <f t="shared" si="163"/>
        <v>12</v>
      </c>
    </row>
    <row r="4598" spans="1:5" x14ac:dyDescent="0.3">
      <c r="A4598" t="s">
        <v>4723</v>
      </c>
      <c r="B4598" t="s">
        <v>127</v>
      </c>
      <c r="C4598">
        <v>312</v>
      </c>
      <c r="D4598">
        <f t="shared" si="162"/>
        <v>2015</v>
      </c>
      <c r="E4598">
        <f t="shared" si="163"/>
        <v>12</v>
      </c>
    </row>
    <row r="4599" spans="1:5" x14ac:dyDescent="0.3">
      <c r="A4599" t="s">
        <v>4724</v>
      </c>
      <c r="B4599" t="s">
        <v>127</v>
      </c>
      <c r="C4599">
        <v>332</v>
      </c>
      <c r="D4599">
        <f t="shared" si="162"/>
        <v>2015</v>
      </c>
      <c r="E4599">
        <f t="shared" si="163"/>
        <v>12</v>
      </c>
    </row>
    <row r="4600" spans="1:5" x14ac:dyDescent="0.3">
      <c r="A4600" t="s">
        <v>4725</v>
      </c>
      <c r="B4600" t="s">
        <v>127</v>
      </c>
      <c r="C4600">
        <v>329</v>
      </c>
      <c r="D4600">
        <f t="shared" si="162"/>
        <v>2015</v>
      </c>
      <c r="E4600">
        <f t="shared" si="163"/>
        <v>12</v>
      </c>
    </row>
    <row r="4601" spans="1:5" x14ac:dyDescent="0.3">
      <c r="A4601" t="s">
        <v>4726</v>
      </c>
      <c r="B4601" t="s">
        <v>127</v>
      </c>
      <c r="C4601">
        <v>314</v>
      </c>
      <c r="D4601">
        <f t="shared" si="162"/>
        <v>2015</v>
      </c>
      <c r="E4601">
        <f t="shared" si="163"/>
        <v>12</v>
      </c>
    </row>
    <row r="4602" spans="1:5" x14ac:dyDescent="0.3">
      <c r="A4602" t="s">
        <v>4727</v>
      </c>
      <c r="B4602" t="s">
        <v>127</v>
      </c>
      <c r="C4602">
        <v>313</v>
      </c>
      <c r="D4602">
        <f t="shared" si="162"/>
        <v>2015</v>
      </c>
      <c r="E4602">
        <f t="shared" si="163"/>
        <v>12</v>
      </c>
    </row>
    <row r="4603" spans="1:5" x14ac:dyDescent="0.3">
      <c r="A4603" t="s">
        <v>4728</v>
      </c>
      <c r="B4603" t="s">
        <v>127</v>
      </c>
      <c r="C4603">
        <v>313</v>
      </c>
      <c r="D4603">
        <f t="shared" si="162"/>
        <v>2015</v>
      </c>
      <c r="E4603">
        <f t="shared" si="163"/>
        <v>12</v>
      </c>
    </row>
    <row r="4604" spans="1:5" x14ac:dyDescent="0.3">
      <c r="A4604" t="s">
        <v>4729</v>
      </c>
      <c r="B4604" t="s">
        <v>127</v>
      </c>
      <c r="C4604">
        <v>321</v>
      </c>
      <c r="D4604">
        <f t="shared" si="162"/>
        <v>2015</v>
      </c>
      <c r="E4604">
        <f t="shared" si="163"/>
        <v>12</v>
      </c>
    </row>
    <row r="4605" spans="1:5" x14ac:dyDescent="0.3">
      <c r="A4605" t="s">
        <v>4730</v>
      </c>
      <c r="B4605" t="s">
        <v>127</v>
      </c>
      <c r="C4605">
        <v>324</v>
      </c>
      <c r="D4605">
        <f t="shared" si="162"/>
        <v>2015</v>
      </c>
      <c r="E4605">
        <f t="shared" si="163"/>
        <v>12</v>
      </c>
    </row>
    <row r="4606" spans="1:5" x14ac:dyDescent="0.3">
      <c r="A4606" t="s">
        <v>4731</v>
      </c>
      <c r="B4606" t="s">
        <v>127</v>
      </c>
      <c r="C4606">
        <v>320</v>
      </c>
      <c r="D4606">
        <f t="shared" si="162"/>
        <v>2015</v>
      </c>
      <c r="E4606">
        <f t="shared" si="163"/>
        <v>12</v>
      </c>
    </row>
    <row r="4607" spans="1:5" x14ac:dyDescent="0.3">
      <c r="A4607" t="s">
        <v>4732</v>
      </c>
      <c r="B4607" t="s">
        <v>127</v>
      </c>
      <c r="C4607">
        <v>317</v>
      </c>
      <c r="D4607">
        <f t="shared" si="162"/>
        <v>2015</v>
      </c>
      <c r="E4607">
        <f t="shared" si="163"/>
        <v>12</v>
      </c>
    </row>
    <row r="4608" spans="1:5" x14ac:dyDescent="0.3">
      <c r="A4608" t="s">
        <v>4733</v>
      </c>
      <c r="B4608" t="s">
        <v>127</v>
      </c>
      <c r="C4608">
        <v>319</v>
      </c>
      <c r="D4608">
        <f t="shared" si="162"/>
        <v>2015</v>
      </c>
      <c r="E4608">
        <f t="shared" si="163"/>
        <v>12</v>
      </c>
    </row>
    <row r="4609" spans="1:5" x14ac:dyDescent="0.3">
      <c r="A4609" t="s">
        <v>4734</v>
      </c>
      <c r="B4609" t="s">
        <v>127</v>
      </c>
      <c r="C4609">
        <v>319</v>
      </c>
      <c r="D4609">
        <f t="shared" si="162"/>
        <v>2015</v>
      </c>
      <c r="E4609">
        <f t="shared" si="163"/>
        <v>12</v>
      </c>
    </row>
    <row r="4610" spans="1:5" x14ac:dyDescent="0.3">
      <c r="A4610" t="s">
        <v>4735</v>
      </c>
      <c r="B4610" t="s">
        <v>127</v>
      </c>
      <c r="C4610">
        <v>320</v>
      </c>
      <c r="D4610">
        <f t="shared" si="162"/>
        <v>2015</v>
      </c>
      <c r="E4610">
        <f t="shared" si="163"/>
        <v>12</v>
      </c>
    </row>
    <row r="4611" spans="1:5" x14ac:dyDescent="0.3">
      <c r="A4611" t="s">
        <v>4736</v>
      </c>
      <c r="B4611" t="s">
        <v>127</v>
      </c>
      <c r="C4611">
        <v>309</v>
      </c>
      <c r="D4611">
        <f t="shared" ref="D4611:D4674" si="164">YEAR(A4611)</f>
        <v>2015</v>
      </c>
      <c r="E4611">
        <f t="shared" ref="E4611:E4674" si="165">MONTH(A4611)</f>
        <v>12</v>
      </c>
    </row>
    <row r="4612" spans="1:5" x14ac:dyDescent="0.3">
      <c r="A4612" t="s">
        <v>4737</v>
      </c>
      <c r="B4612" t="s">
        <v>127</v>
      </c>
      <c r="C4612">
        <v>311</v>
      </c>
      <c r="D4612">
        <f t="shared" si="164"/>
        <v>2015</v>
      </c>
      <c r="E4612">
        <f t="shared" si="165"/>
        <v>12</v>
      </c>
    </row>
    <row r="4613" spans="1:5" x14ac:dyDescent="0.3">
      <c r="A4613" t="s">
        <v>4738</v>
      </c>
      <c r="B4613" t="s">
        <v>127</v>
      </c>
      <c r="C4613">
        <v>315</v>
      </c>
      <c r="D4613">
        <f t="shared" si="164"/>
        <v>2015</v>
      </c>
      <c r="E4613">
        <f t="shared" si="165"/>
        <v>12</v>
      </c>
    </row>
    <row r="4614" spans="1:5" x14ac:dyDescent="0.3">
      <c r="A4614" t="s">
        <v>4739</v>
      </c>
      <c r="B4614" t="s">
        <v>127</v>
      </c>
      <c r="C4614">
        <v>318</v>
      </c>
      <c r="D4614">
        <f t="shared" si="164"/>
        <v>2016</v>
      </c>
      <c r="E4614">
        <f t="shared" si="165"/>
        <v>1</v>
      </c>
    </row>
    <row r="4615" spans="1:5" x14ac:dyDescent="0.3">
      <c r="A4615" t="s">
        <v>4740</v>
      </c>
      <c r="B4615" t="s">
        <v>127</v>
      </c>
      <c r="C4615">
        <v>309</v>
      </c>
      <c r="D4615">
        <f t="shared" si="164"/>
        <v>2016</v>
      </c>
      <c r="E4615">
        <f t="shared" si="165"/>
        <v>1</v>
      </c>
    </row>
    <row r="4616" spans="1:5" x14ac:dyDescent="0.3">
      <c r="A4616" t="s">
        <v>4741</v>
      </c>
      <c r="B4616" t="s">
        <v>127</v>
      </c>
      <c r="C4616">
        <v>317</v>
      </c>
      <c r="D4616">
        <f t="shared" si="164"/>
        <v>2016</v>
      </c>
      <c r="E4616">
        <f t="shared" si="165"/>
        <v>1</v>
      </c>
    </row>
    <row r="4617" spans="1:5" x14ac:dyDescent="0.3">
      <c r="A4617" t="s">
        <v>4742</v>
      </c>
      <c r="B4617" t="s">
        <v>127</v>
      </c>
      <c r="C4617">
        <v>327</v>
      </c>
      <c r="D4617">
        <f t="shared" si="164"/>
        <v>2016</v>
      </c>
      <c r="E4617">
        <f t="shared" si="165"/>
        <v>1</v>
      </c>
    </row>
    <row r="4618" spans="1:5" x14ac:dyDescent="0.3">
      <c r="A4618" t="s">
        <v>4743</v>
      </c>
      <c r="B4618" t="s">
        <v>127</v>
      </c>
      <c r="C4618">
        <v>337</v>
      </c>
      <c r="D4618">
        <f t="shared" si="164"/>
        <v>2016</v>
      </c>
      <c r="E4618">
        <f t="shared" si="165"/>
        <v>1</v>
      </c>
    </row>
    <row r="4619" spans="1:5" x14ac:dyDescent="0.3">
      <c r="A4619" t="s">
        <v>4744</v>
      </c>
      <c r="B4619" t="s">
        <v>127</v>
      </c>
      <c r="C4619">
        <v>338</v>
      </c>
      <c r="D4619">
        <f t="shared" si="164"/>
        <v>2016</v>
      </c>
      <c r="E4619">
        <f t="shared" si="165"/>
        <v>1</v>
      </c>
    </row>
    <row r="4620" spans="1:5" x14ac:dyDescent="0.3">
      <c r="A4620" t="s">
        <v>4745</v>
      </c>
      <c r="B4620" t="s">
        <v>127</v>
      </c>
      <c r="C4620">
        <v>347</v>
      </c>
      <c r="D4620">
        <f t="shared" si="164"/>
        <v>2016</v>
      </c>
      <c r="E4620">
        <f t="shared" si="165"/>
        <v>1</v>
      </c>
    </row>
    <row r="4621" spans="1:5" x14ac:dyDescent="0.3">
      <c r="A4621" t="s">
        <v>4746</v>
      </c>
      <c r="B4621" t="s">
        <v>127</v>
      </c>
      <c r="C4621">
        <v>360</v>
      </c>
      <c r="D4621">
        <f t="shared" si="164"/>
        <v>2016</v>
      </c>
      <c r="E4621">
        <f t="shared" si="165"/>
        <v>1</v>
      </c>
    </row>
    <row r="4622" spans="1:5" x14ac:dyDescent="0.3">
      <c r="A4622" t="s">
        <v>4747</v>
      </c>
      <c r="B4622" t="s">
        <v>127</v>
      </c>
      <c r="C4622">
        <v>358</v>
      </c>
      <c r="D4622">
        <f t="shared" si="164"/>
        <v>2016</v>
      </c>
      <c r="E4622">
        <f t="shared" si="165"/>
        <v>1</v>
      </c>
    </row>
    <row r="4623" spans="1:5" x14ac:dyDescent="0.3">
      <c r="A4623" t="s">
        <v>4748</v>
      </c>
      <c r="B4623" t="s">
        <v>127</v>
      </c>
      <c r="C4623">
        <v>380</v>
      </c>
      <c r="D4623">
        <f t="shared" si="164"/>
        <v>2016</v>
      </c>
      <c r="E4623">
        <f t="shared" si="165"/>
        <v>1</v>
      </c>
    </row>
    <row r="4624" spans="1:5" x14ac:dyDescent="0.3">
      <c r="A4624" t="s">
        <v>4749</v>
      </c>
      <c r="B4624" t="s">
        <v>127</v>
      </c>
      <c r="C4624">
        <v>380</v>
      </c>
      <c r="D4624">
        <f t="shared" si="164"/>
        <v>2016</v>
      </c>
      <c r="E4624">
        <f t="shared" si="165"/>
        <v>1</v>
      </c>
    </row>
    <row r="4625" spans="1:5" x14ac:dyDescent="0.3">
      <c r="A4625" t="s">
        <v>4750</v>
      </c>
      <c r="B4625" t="s">
        <v>127</v>
      </c>
      <c r="C4625">
        <v>380</v>
      </c>
      <c r="D4625">
        <f t="shared" si="164"/>
        <v>2016</v>
      </c>
      <c r="E4625">
        <f t="shared" si="165"/>
        <v>1</v>
      </c>
    </row>
    <row r="4626" spans="1:5" x14ac:dyDescent="0.3">
      <c r="A4626" t="s">
        <v>4751</v>
      </c>
      <c r="B4626" t="s">
        <v>127</v>
      </c>
      <c r="C4626">
        <v>395</v>
      </c>
      <c r="D4626">
        <f t="shared" si="164"/>
        <v>2016</v>
      </c>
      <c r="E4626">
        <f t="shared" si="165"/>
        <v>1</v>
      </c>
    </row>
    <row r="4627" spans="1:5" x14ac:dyDescent="0.3">
      <c r="A4627" t="s">
        <v>4752</v>
      </c>
      <c r="B4627" t="s">
        <v>127</v>
      </c>
      <c r="C4627">
        <v>380</v>
      </c>
      <c r="D4627">
        <f t="shared" si="164"/>
        <v>2016</v>
      </c>
      <c r="E4627">
        <f t="shared" si="165"/>
        <v>1</v>
      </c>
    </row>
    <row r="4628" spans="1:5" x14ac:dyDescent="0.3">
      <c r="A4628" t="s">
        <v>4753</v>
      </c>
      <c r="B4628" t="s">
        <v>127</v>
      </c>
      <c r="C4628">
        <v>363</v>
      </c>
      <c r="D4628">
        <f t="shared" si="164"/>
        <v>2016</v>
      </c>
      <c r="E4628">
        <f t="shared" si="165"/>
        <v>1</v>
      </c>
    </row>
    <row r="4629" spans="1:5" x14ac:dyDescent="0.3">
      <c r="A4629" t="s">
        <v>4754</v>
      </c>
      <c r="B4629" t="s">
        <v>127</v>
      </c>
      <c r="C4629">
        <v>364</v>
      </c>
      <c r="D4629">
        <f t="shared" si="164"/>
        <v>2016</v>
      </c>
      <c r="E4629">
        <f t="shared" si="165"/>
        <v>1</v>
      </c>
    </row>
    <row r="4630" spans="1:5" x14ac:dyDescent="0.3">
      <c r="A4630" t="s">
        <v>4755</v>
      </c>
      <c r="B4630" t="s">
        <v>127</v>
      </c>
      <c r="C4630">
        <v>362</v>
      </c>
      <c r="D4630">
        <f t="shared" si="164"/>
        <v>2016</v>
      </c>
      <c r="E4630">
        <f t="shared" si="165"/>
        <v>1</v>
      </c>
    </row>
    <row r="4631" spans="1:5" x14ac:dyDescent="0.3">
      <c r="A4631" t="s">
        <v>4756</v>
      </c>
      <c r="B4631" t="s">
        <v>127</v>
      </c>
      <c r="C4631">
        <v>353</v>
      </c>
      <c r="D4631">
        <f t="shared" si="164"/>
        <v>2016</v>
      </c>
      <c r="E4631">
        <f t="shared" si="165"/>
        <v>1</v>
      </c>
    </row>
    <row r="4632" spans="1:5" x14ac:dyDescent="0.3">
      <c r="A4632" t="s">
        <v>4757</v>
      </c>
      <c r="B4632" t="s">
        <v>127</v>
      </c>
      <c r="C4632">
        <v>357</v>
      </c>
      <c r="D4632">
        <f t="shared" si="164"/>
        <v>2016</v>
      </c>
      <c r="E4632">
        <f t="shared" si="165"/>
        <v>1</v>
      </c>
    </row>
    <row r="4633" spans="1:5" x14ac:dyDescent="0.3">
      <c r="A4633" t="s">
        <v>4758</v>
      </c>
      <c r="B4633" t="s">
        <v>127</v>
      </c>
      <c r="C4633">
        <v>362</v>
      </c>
      <c r="D4633">
        <f t="shared" si="164"/>
        <v>2016</v>
      </c>
      <c r="E4633">
        <f t="shared" si="165"/>
        <v>1</v>
      </c>
    </row>
    <row r="4634" spans="1:5" x14ac:dyDescent="0.3">
      <c r="A4634" t="s">
        <v>4759</v>
      </c>
      <c r="B4634" t="s">
        <v>127</v>
      </c>
      <c r="C4634">
        <v>365</v>
      </c>
      <c r="D4634">
        <f t="shared" si="164"/>
        <v>2016</v>
      </c>
      <c r="E4634">
        <f t="shared" si="165"/>
        <v>2</v>
      </c>
    </row>
    <row r="4635" spans="1:5" x14ac:dyDescent="0.3">
      <c r="A4635" t="s">
        <v>4760</v>
      </c>
      <c r="B4635" t="s">
        <v>127</v>
      </c>
      <c r="C4635">
        <v>378</v>
      </c>
      <c r="D4635">
        <f t="shared" si="164"/>
        <v>2016</v>
      </c>
      <c r="E4635">
        <f t="shared" si="165"/>
        <v>2</v>
      </c>
    </row>
    <row r="4636" spans="1:5" x14ac:dyDescent="0.3">
      <c r="A4636" t="s">
        <v>4761</v>
      </c>
      <c r="B4636" t="s">
        <v>127</v>
      </c>
      <c r="C4636">
        <v>374</v>
      </c>
      <c r="D4636">
        <f t="shared" si="164"/>
        <v>2016</v>
      </c>
      <c r="E4636">
        <f t="shared" si="165"/>
        <v>2</v>
      </c>
    </row>
    <row r="4637" spans="1:5" x14ac:dyDescent="0.3">
      <c r="A4637" t="s">
        <v>4762</v>
      </c>
      <c r="B4637" t="s">
        <v>127</v>
      </c>
      <c r="C4637">
        <v>370</v>
      </c>
      <c r="D4637">
        <f t="shared" si="164"/>
        <v>2016</v>
      </c>
      <c r="E4637">
        <f t="shared" si="165"/>
        <v>2</v>
      </c>
    </row>
    <row r="4638" spans="1:5" x14ac:dyDescent="0.3">
      <c r="A4638" t="s">
        <v>4763</v>
      </c>
      <c r="B4638" t="s">
        <v>127</v>
      </c>
      <c r="C4638">
        <v>366</v>
      </c>
      <c r="D4638">
        <f t="shared" si="164"/>
        <v>2016</v>
      </c>
      <c r="E4638">
        <f t="shared" si="165"/>
        <v>2</v>
      </c>
    </row>
    <row r="4639" spans="1:5" x14ac:dyDescent="0.3">
      <c r="A4639" t="s">
        <v>4764</v>
      </c>
      <c r="B4639" t="s">
        <v>127</v>
      </c>
      <c r="C4639">
        <v>389</v>
      </c>
      <c r="D4639">
        <f t="shared" si="164"/>
        <v>2016</v>
      </c>
      <c r="E4639">
        <f t="shared" si="165"/>
        <v>2</v>
      </c>
    </row>
    <row r="4640" spans="1:5" x14ac:dyDescent="0.3">
      <c r="A4640" t="s">
        <v>4765</v>
      </c>
      <c r="B4640" t="s">
        <v>127</v>
      </c>
      <c r="C4640">
        <v>391</v>
      </c>
      <c r="D4640">
        <f t="shared" si="164"/>
        <v>2016</v>
      </c>
      <c r="E4640">
        <f t="shared" si="165"/>
        <v>2</v>
      </c>
    </row>
    <row r="4641" spans="1:5" x14ac:dyDescent="0.3">
      <c r="A4641" t="s">
        <v>4766</v>
      </c>
      <c r="B4641" t="s">
        <v>127</v>
      </c>
      <c r="C4641">
        <v>390</v>
      </c>
      <c r="D4641">
        <f t="shared" si="164"/>
        <v>2016</v>
      </c>
      <c r="E4641">
        <f t="shared" si="165"/>
        <v>2</v>
      </c>
    </row>
    <row r="4642" spans="1:5" x14ac:dyDescent="0.3">
      <c r="A4642" t="s">
        <v>4767</v>
      </c>
      <c r="B4642" t="s">
        <v>127</v>
      </c>
      <c r="C4642">
        <v>402</v>
      </c>
      <c r="D4642">
        <f t="shared" si="164"/>
        <v>2016</v>
      </c>
      <c r="E4642">
        <f t="shared" si="165"/>
        <v>2</v>
      </c>
    </row>
    <row r="4643" spans="1:5" x14ac:dyDescent="0.3">
      <c r="A4643" t="s">
        <v>4768</v>
      </c>
      <c r="B4643" t="s">
        <v>127</v>
      </c>
      <c r="C4643">
        <v>387</v>
      </c>
      <c r="D4643">
        <f t="shared" si="164"/>
        <v>2016</v>
      </c>
      <c r="E4643">
        <f t="shared" si="165"/>
        <v>2</v>
      </c>
    </row>
    <row r="4644" spans="1:5" x14ac:dyDescent="0.3">
      <c r="A4644" t="s">
        <v>4769</v>
      </c>
      <c r="B4644" t="s">
        <v>127</v>
      </c>
      <c r="C4644">
        <v>387</v>
      </c>
      <c r="D4644">
        <f t="shared" si="164"/>
        <v>2016</v>
      </c>
      <c r="E4644">
        <f t="shared" si="165"/>
        <v>2</v>
      </c>
    </row>
    <row r="4645" spans="1:5" x14ac:dyDescent="0.3">
      <c r="A4645" t="s">
        <v>4770</v>
      </c>
      <c r="B4645" t="s">
        <v>127</v>
      </c>
      <c r="C4645">
        <v>381</v>
      </c>
      <c r="D4645">
        <f t="shared" si="164"/>
        <v>2016</v>
      </c>
      <c r="E4645">
        <f t="shared" si="165"/>
        <v>2</v>
      </c>
    </row>
    <row r="4646" spans="1:5" x14ac:dyDescent="0.3">
      <c r="A4646" t="s">
        <v>4771</v>
      </c>
      <c r="B4646" t="s">
        <v>127</v>
      </c>
      <c r="C4646">
        <v>364</v>
      </c>
      <c r="D4646">
        <f t="shared" si="164"/>
        <v>2016</v>
      </c>
      <c r="E4646">
        <f t="shared" si="165"/>
        <v>2</v>
      </c>
    </row>
    <row r="4647" spans="1:5" x14ac:dyDescent="0.3">
      <c r="A4647" t="s">
        <v>4772</v>
      </c>
      <c r="B4647" t="s">
        <v>127</v>
      </c>
      <c r="C4647">
        <v>365</v>
      </c>
      <c r="D4647">
        <f t="shared" si="164"/>
        <v>2016</v>
      </c>
      <c r="E4647">
        <f t="shared" si="165"/>
        <v>2</v>
      </c>
    </row>
    <row r="4648" spans="1:5" x14ac:dyDescent="0.3">
      <c r="A4648" t="s">
        <v>4773</v>
      </c>
      <c r="B4648" t="s">
        <v>127</v>
      </c>
      <c r="C4648">
        <v>364</v>
      </c>
      <c r="D4648">
        <f t="shared" si="164"/>
        <v>2016</v>
      </c>
      <c r="E4648">
        <f t="shared" si="165"/>
        <v>2</v>
      </c>
    </row>
    <row r="4649" spans="1:5" x14ac:dyDescent="0.3">
      <c r="A4649" t="s">
        <v>4774</v>
      </c>
      <c r="B4649" t="s">
        <v>127</v>
      </c>
      <c r="C4649">
        <v>360</v>
      </c>
      <c r="D4649">
        <f t="shared" si="164"/>
        <v>2016</v>
      </c>
      <c r="E4649">
        <f t="shared" si="165"/>
        <v>2</v>
      </c>
    </row>
    <row r="4650" spans="1:5" x14ac:dyDescent="0.3">
      <c r="A4650" t="s">
        <v>4775</v>
      </c>
      <c r="B4650" t="s">
        <v>127</v>
      </c>
      <c r="C4650">
        <v>363</v>
      </c>
      <c r="D4650">
        <f t="shared" si="164"/>
        <v>2016</v>
      </c>
      <c r="E4650">
        <f t="shared" si="165"/>
        <v>2</v>
      </c>
    </row>
    <row r="4651" spans="1:5" x14ac:dyDescent="0.3">
      <c r="A4651" t="s">
        <v>4776</v>
      </c>
      <c r="B4651" t="s">
        <v>127</v>
      </c>
      <c r="C4651">
        <v>359</v>
      </c>
      <c r="D4651">
        <f t="shared" si="164"/>
        <v>2016</v>
      </c>
      <c r="E4651">
        <f t="shared" si="165"/>
        <v>2</v>
      </c>
    </row>
    <row r="4652" spans="1:5" x14ac:dyDescent="0.3">
      <c r="A4652" t="s">
        <v>4777</v>
      </c>
      <c r="B4652" t="s">
        <v>127</v>
      </c>
      <c r="C4652">
        <v>360</v>
      </c>
      <c r="D4652">
        <f t="shared" si="164"/>
        <v>2016</v>
      </c>
      <c r="E4652">
        <f t="shared" si="165"/>
        <v>2</v>
      </c>
    </row>
    <row r="4653" spans="1:5" x14ac:dyDescent="0.3">
      <c r="A4653" t="s">
        <v>4778</v>
      </c>
      <c r="B4653" t="s">
        <v>127</v>
      </c>
      <c r="C4653">
        <v>352</v>
      </c>
      <c r="D4653">
        <f t="shared" si="164"/>
        <v>2016</v>
      </c>
      <c r="E4653">
        <f t="shared" si="165"/>
        <v>2</v>
      </c>
    </row>
    <row r="4654" spans="1:5" x14ac:dyDescent="0.3">
      <c r="A4654" t="s">
        <v>4779</v>
      </c>
      <c r="B4654" t="s">
        <v>127</v>
      </c>
      <c r="C4654">
        <v>353</v>
      </c>
      <c r="D4654">
        <f t="shared" si="164"/>
        <v>2016</v>
      </c>
      <c r="E4654">
        <f t="shared" si="165"/>
        <v>2</v>
      </c>
    </row>
    <row r="4655" spans="1:5" x14ac:dyDescent="0.3">
      <c r="A4655" t="s">
        <v>4780</v>
      </c>
      <c r="B4655" t="s">
        <v>127</v>
      </c>
      <c r="C4655">
        <v>336</v>
      </c>
      <c r="D4655">
        <f t="shared" si="164"/>
        <v>2016</v>
      </c>
      <c r="E4655">
        <f t="shared" si="165"/>
        <v>3</v>
      </c>
    </row>
    <row r="4656" spans="1:5" x14ac:dyDescent="0.3">
      <c r="A4656" t="s">
        <v>4781</v>
      </c>
      <c r="B4656" t="s">
        <v>127</v>
      </c>
      <c r="C4656">
        <v>336</v>
      </c>
      <c r="D4656">
        <f t="shared" si="164"/>
        <v>2016</v>
      </c>
      <c r="E4656">
        <f t="shared" si="165"/>
        <v>3</v>
      </c>
    </row>
    <row r="4657" spans="1:5" x14ac:dyDescent="0.3">
      <c r="A4657" t="s">
        <v>4782</v>
      </c>
      <c r="B4657" t="s">
        <v>127</v>
      </c>
      <c r="C4657">
        <v>333</v>
      </c>
      <c r="D4657">
        <f t="shared" si="164"/>
        <v>2016</v>
      </c>
      <c r="E4657">
        <f t="shared" si="165"/>
        <v>3</v>
      </c>
    </row>
    <row r="4658" spans="1:5" x14ac:dyDescent="0.3">
      <c r="A4658" t="s">
        <v>4783</v>
      </c>
      <c r="B4658" t="s">
        <v>127</v>
      </c>
      <c r="C4658">
        <v>325</v>
      </c>
      <c r="D4658">
        <f t="shared" si="164"/>
        <v>2016</v>
      </c>
      <c r="E4658">
        <f t="shared" si="165"/>
        <v>3</v>
      </c>
    </row>
    <row r="4659" spans="1:5" x14ac:dyDescent="0.3">
      <c r="A4659" t="s">
        <v>4784</v>
      </c>
      <c r="B4659" t="s">
        <v>127</v>
      </c>
      <c r="C4659">
        <v>325</v>
      </c>
      <c r="D4659">
        <f t="shared" si="164"/>
        <v>2016</v>
      </c>
      <c r="E4659">
        <f t="shared" si="165"/>
        <v>3</v>
      </c>
    </row>
    <row r="4660" spans="1:5" x14ac:dyDescent="0.3">
      <c r="A4660" t="s">
        <v>4785</v>
      </c>
      <c r="B4660" t="s">
        <v>127</v>
      </c>
      <c r="C4660">
        <v>329</v>
      </c>
      <c r="D4660">
        <f t="shared" si="164"/>
        <v>2016</v>
      </c>
      <c r="E4660">
        <f t="shared" si="165"/>
        <v>3</v>
      </c>
    </row>
    <row r="4661" spans="1:5" x14ac:dyDescent="0.3">
      <c r="A4661" t="s">
        <v>4786</v>
      </c>
      <c r="B4661" t="s">
        <v>127</v>
      </c>
      <c r="C4661">
        <v>321</v>
      </c>
      <c r="D4661">
        <f t="shared" si="164"/>
        <v>2016</v>
      </c>
      <c r="E4661">
        <f t="shared" si="165"/>
        <v>3</v>
      </c>
    </row>
    <row r="4662" spans="1:5" x14ac:dyDescent="0.3">
      <c r="A4662" t="s">
        <v>4787</v>
      </c>
      <c r="B4662" t="s">
        <v>127</v>
      </c>
      <c r="C4662">
        <v>316</v>
      </c>
      <c r="D4662">
        <f t="shared" si="164"/>
        <v>2016</v>
      </c>
      <c r="E4662">
        <f t="shared" si="165"/>
        <v>3</v>
      </c>
    </row>
    <row r="4663" spans="1:5" x14ac:dyDescent="0.3">
      <c r="A4663" t="s">
        <v>4788</v>
      </c>
      <c r="B4663" t="s">
        <v>127</v>
      </c>
      <c r="C4663">
        <v>307</v>
      </c>
      <c r="D4663">
        <f t="shared" si="164"/>
        <v>2016</v>
      </c>
      <c r="E4663">
        <f t="shared" si="165"/>
        <v>3</v>
      </c>
    </row>
    <row r="4664" spans="1:5" x14ac:dyDescent="0.3">
      <c r="A4664" t="s">
        <v>4789</v>
      </c>
      <c r="B4664" t="s">
        <v>127</v>
      </c>
      <c r="C4664">
        <v>307</v>
      </c>
      <c r="D4664">
        <f t="shared" si="164"/>
        <v>2016</v>
      </c>
      <c r="E4664">
        <f t="shared" si="165"/>
        <v>3</v>
      </c>
    </row>
    <row r="4665" spans="1:5" x14ac:dyDescent="0.3">
      <c r="A4665" t="s">
        <v>4790</v>
      </c>
      <c r="B4665" t="s">
        <v>127</v>
      </c>
      <c r="C4665">
        <v>314</v>
      </c>
      <c r="D4665">
        <f t="shared" si="164"/>
        <v>2016</v>
      </c>
      <c r="E4665">
        <f t="shared" si="165"/>
        <v>3</v>
      </c>
    </row>
    <row r="4666" spans="1:5" x14ac:dyDescent="0.3">
      <c r="A4666" t="s">
        <v>4791</v>
      </c>
      <c r="B4666" t="s">
        <v>127</v>
      </c>
      <c r="C4666">
        <v>313</v>
      </c>
      <c r="D4666">
        <f t="shared" si="164"/>
        <v>2016</v>
      </c>
      <c r="E4666">
        <f t="shared" si="165"/>
        <v>3</v>
      </c>
    </row>
    <row r="4667" spans="1:5" x14ac:dyDescent="0.3">
      <c r="A4667" t="s">
        <v>4792</v>
      </c>
      <c r="B4667" t="s">
        <v>127</v>
      </c>
      <c r="C4667">
        <v>301</v>
      </c>
      <c r="D4667">
        <f t="shared" si="164"/>
        <v>2016</v>
      </c>
      <c r="E4667">
        <f t="shared" si="165"/>
        <v>3</v>
      </c>
    </row>
    <row r="4668" spans="1:5" x14ac:dyDescent="0.3">
      <c r="A4668" t="s">
        <v>4793</v>
      </c>
      <c r="B4668" t="s">
        <v>127</v>
      </c>
      <c r="C4668">
        <v>296</v>
      </c>
      <c r="D4668">
        <f t="shared" si="164"/>
        <v>2016</v>
      </c>
      <c r="E4668">
        <f t="shared" si="165"/>
        <v>3</v>
      </c>
    </row>
    <row r="4669" spans="1:5" x14ac:dyDescent="0.3">
      <c r="A4669" t="s">
        <v>4794</v>
      </c>
      <c r="B4669" t="s">
        <v>127</v>
      </c>
      <c r="C4669">
        <v>290</v>
      </c>
      <c r="D4669">
        <f t="shared" si="164"/>
        <v>2016</v>
      </c>
      <c r="E4669">
        <f t="shared" si="165"/>
        <v>3</v>
      </c>
    </row>
    <row r="4670" spans="1:5" x14ac:dyDescent="0.3">
      <c r="A4670" t="s">
        <v>4795</v>
      </c>
      <c r="B4670" t="s">
        <v>127</v>
      </c>
      <c r="C4670">
        <v>289</v>
      </c>
      <c r="D4670">
        <f t="shared" si="164"/>
        <v>2016</v>
      </c>
      <c r="E4670">
        <f t="shared" si="165"/>
        <v>3</v>
      </c>
    </row>
    <row r="4671" spans="1:5" x14ac:dyDescent="0.3">
      <c r="A4671" t="s">
        <v>4796</v>
      </c>
      <c r="B4671" t="s">
        <v>127</v>
      </c>
      <c r="C4671">
        <v>299</v>
      </c>
      <c r="D4671">
        <f t="shared" si="164"/>
        <v>2016</v>
      </c>
      <c r="E4671">
        <f t="shared" si="165"/>
        <v>3</v>
      </c>
    </row>
    <row r="4672" spans="1:5" x14ac:dyDescent="0.3">
      <c r="A4672" t="s">
        <v>4797</v>
      </c>
      <c r="B4672" t="s">
        <v>127</v>
      </c>
      <c r="C4672">
        <v>303</v>
      </c>
      <c r="D4672">
        <f t="shared" si="164"/>
        <v>2016</v>
      </c>
      <c r="E4672">
        <f t="shared" si="165"/>
        <v>3</v>
      </c>
    </row>
    <row r="4673" spans="1:5" x14ac:dyDescent="0.3">
      <c r="A4673" t="s">
        <v>4798</v>
      </c>
      <c r="B4673" t="s">
        <v>127</v>
      </c>
      <c r="C4673">
        <v>303</v>
      </c>
      <c r="D4673">
        <f t="shared" si="164"/>
        <v>2016</v>
      </c>
      <c r="E4673">
        <f t="shared" si="165"/>
        <v>3</v>
      </c>
    </row>
    <row r="4674" spans="1:5" x14ac:dyDescent="0.3">
      <c r="A4674" t="s">
        <v>4799</v>
      </c>
      <c r="B4674" t="s">
        <v>127</v>
      </c>
      <c r="C4674">
        <v>307</v>
      </c>
      <c r="D4674">
        <f t="shared" si="164"/>
        <v>2016</v>
      </c>
      <c r="E4674">
        <f t="shared" si="165"/>
        <v>3</v>
      </c>
    </row>
    <row r="4675" spans="1:5" x14ac:dyDescent="0.3">
      <c r="A4675" t="s">
        <v>4800</v>
      </c>
      <c r="B4675" t="s">
        <v>127</v>
      </c>
      <c r="C4675">
        <v>315</v>
      </c>
      <c r="D4675">
        <f t="shared" ref="D4675:D4738" si="166">YEAR(A4675)</f>
        <v>2016</v>
      </c>
      <c r="E4675">
        <f t="shared" ref="E4675:E4738" si="167">MONTH(A4675)</f>
        <v>3</v>
      </c>
    </row>
    <row r="4676" spans="1:5" x14ac:dyDescent="0.3">
      <c r="A4676" t="s">
        <v>4801</v>
      </c>
      <c r="B4676" t="s">
        <v>127</v>
      </c>
      <c r="C4676">
        <v>308</v>
      </c>
      <c r="D4676">
        <f t="shared" si="166"/>
        <v>2016</v>
      </c>
      <c r="E4676">
        <f t="shared" si="167"/>
        <v>3</v>
      </c>
    </row>
    <row r="4677" spans="1:5" x14ac:dyDescent="0.3">
      <c r="A4677" t="s">
        <v>4802</v>
      </c>
      <c r="B4677" t="s">
        <v>127</v>
      </c>
      <c r="C4677">
        <v>308</v>
      </c>
      <c r="D4677">
        <f t="shared" si="166"/>
        <v>2016</v>
      </c>
      <c r="E4677">
        <f t="shared" si="167"/>
        <v>3</v>
      </c>
    </row>
    <row r="4678" spans="1:5" x14ac:dyDescent="0.3">
      <c r="A4678" t="s">
        <v>4803</v>
      </c>
      <c r="B4678" t="s">
        <v>127</v>
      </c>
      <c r="C4678">
        <v>309</v>
      </c>
      <c r="D4678">
        <f t="shared" si="166"/>
        <v>2016</v>
      </c>
      <c r="E4678">
        <f t="shared" si="167"/>
        <v>4</v>
      </c>
    </row>
    <row r="4679" spans="1:5" x14ac:dyDescent="0.3">
      <c r="A4679" t="s">
        <v>4804</v>
      </c>
      <c r="B4679" t="s">
        <v>127</v>
      </c>
      <c r="C4679">
        <v>311</v>
      </c>
      <c r="D4679">
        <f t="shared" si="166"/>
        <v>2016</v>
      </c>
      <c r="E4679">
        <f t="shared" si="167"/>
        <v>4</v>
      </c>
    </row>
    <row r="4680" spans="1:5" x14ac:dyDescent="0.3">
      <c r="A4680" t="s">
        <v>4805</v>
      </c>
      <c r="B4680" t="s">
        <v>127</v>
      </c>
      <c r="C4680">
        <v>322</v>
      </c>
      <c r="D4680">
        <f t="shared" si="166"/>
        <v>2016</v>
      </c>
      <c r="E4680">
        <f t="shared" si="167"/>
        <v>4</v>
      </c>
    </row>
    <row r="4681" spans="1:5" x14ac:dyDescent="0.3">
      <c r="A4681" t="s">
        <v>4806</v>
      </c>
      <c r="B4681" t="s">
        <v>127</v>
      </c>
      <c r="C4681">
        <v>315</v>
      </c>
      <c r="D4681">
        <f t="shared" si="166"/>
        <v>2016</v>
      </c>
      <c r="E4681">
        <f t="shared" si="167"/>
        <v>4</v>
      </c>
    </row>
    <row r="4682" spans="1:5" x14ac:dyDescent="0.3">
      <c r="A4682" t="s">
        <v>4807</v>
      </c>
      <c r="B4682" t="s">
        <v>127</v>
      </c>
      <c r="C4682">
        <v>326</v>
      </c>
      <c r="D4682">
        <f t="shared" si="166"/>
        <v>2016</v>
      </c>
      <c r="E4682">
        <f t="shared" si="167"/>
        <v>4</v>
      </c>
    </row>
    <row r="4683" spans="1:5" x14ac:dyDescent="0.3">
      <c r="A4683" t="s">
        <v>4808</v>
      </c>
      <c r="B4683" t="s">
        <v>127</v>
      </c>
      <c r="C4683">
        <v>320</v>
      </c>
      <c r="D4683">
        <f t="shared" si="166"/>
        <v>2016</v>
      </c>
      <c r="E4683">
        <f t="shared" si="167"/>
        <v>4</v>
      </c>
    </row>
    <row r="4684" spans="1:5" x14ac:dyDescent="0.3">
      <c r="A4684" t="s">
        <v>4809</v>
      </c>
      <c r="B4684" t="s">
        <v>127</v>
      </c>
      <c r="C4684">
        <v>313</v>
      </c>
      <c r="D4684">
        <f t="shared" si="166"/>
        <v>2016</v>
      </c>
      <c r="E4684">
        <f t="shared" si="167"/>
        <v>4</v>
      </c>
    </row>
    <row r="4685" spans="1:5" x14ac:dyDescent="0.3">
      <c r="A4685" t="s">
        <v>4810</v>
      </c>
      <c r="B4685" t="s">
        <v>127</v>
      </c>
      <c r="C4685">
        <v>303</v>
      </c>
      <c r="D4685">
        <f t="shared" si="166"/>
        <v>2016</v>
      </c>
      <c r="E4685">
        <f t="shared" si="167"/>
        <v>4</v>
      </c>
    </row>
    <row r="4686" spans="1:5" x14ac:dyDescent="0.3">
      <c r="A4686" t="s">
        <v>4811</v>
      </c>
      <c r="B4686" t="s">
        <v>127</v>
      </c>
      <c r="C4686">
        <v>295</v>
      </c>
      <c r="D4686">
        <f t="shared" si="166"/>
        <v>2016</v>
      </c>
      <c r="E4686">
        <f t="shared" si="167"/>
        <v>4</v>
      </c>
    </row>
    <row r="4687" spans="1:5" x14ac:dyDescent="0.3">
      <c r="A4687" t="s">
        <v>4812</v>
      </c>
      <c r="B4687" t="s">
        <v>127</v>
      </c>
      <c r="C4687">
        <v>287</v>
      </c>
      <c r="D4687">
        <f t="shared" si="166"/>
        <v>2016</v>
      </c>
      <c r="E4687">
        <f t="shared" si="167"/>
        <v>4</v>
      </c>
    </row>
    <row r="4688" spans="1:5" x14ac:dyDescent="0.3">
      <c r="A4688" t="s">
        <v>4813</v>
      </c>
      <c r="B4688" t="s">
        <v>127</v>
      </c>
      <c r="C4688">
        <v>293</v>
      </c>
      <c r="D4688">
        <f t="shared" si="166"/>
        <v>2016</v>
      </c>
      <c r="E4688">
        <f t="shared" si="167"/>
        <v>4</v>
      </c>
    </row>
    <row r="4689" spans="1:5" x14ac:dyDescent="0.3">
      <c r="A4689" t="s">
        <v>4814</v>
      </c>
      <c r="B4689" t="s">
        <v>127</v>
      </c>
      <c r="C4689">
        <v>292</v>
      </c>
      <c r="D4689">
        <f t="shared" si="166"/>
        <v>2016</v>
      </c>
      <c r="E4689">
        <f t="shared" si="167"/>
        <v>4</v>
      </c>
    </row>
    <row r="4690" spans="1:5" x14ac:dyDescent="0.3">
      <c r="A4690" t="s">
        <v>4815</v>
      </c>
      <c r="B4690" t="s">
        <v>127</v>
      </c>
      <c r="C4690">
        <v>281</v>
      </c>
      <c r="D4690">
        <f t="shared" si="166"/>
        <v>2016</v>
      </c>
      <c r="E4690">
        <f t="shared" si="167"/>
        <v>4</v>
      </c>
    </row>
    <row r="4691" spans="1:5" x14ac:dyDescent="0.3">
      <c r="A4691" t="s">
        <v>4816</v>
      </c>
      <c r="B4691" t="s">
        <v>127</v>
      </c>
      <c r="C4691">
        <v>269</v>
      </c>
      <c r="D4691">
        <f t="shared" si="166"/>
        <v>2016</v>
      </c>
      <c r="E4691">
        <f t="shared" si="167"/>
        <v>4</v>
      </c>
    </row>
    <row r="4692" spans="1:5" x14ac:dyDescent="0.3">
      <c r="A4692" t="s">
        <v>4817</v>
      </c>
      <c r="B4692" t="s">
        <v>127</v>
      </c>
      <c r="C4692">
        <v>273</v>
      </c>
      <c r="D4692">
        <f t="shared" si="166"/>
        <v>2016</v>
      </c>
      <c r="E4692">
        <f t="shared" si="167"/>
        <v>4</v>
      </c>
    </row>
    <row r="4693" spans="1:5" x14ac:dyDescent="0.3">
      <c r="A4693" t="s">
        <v>4818</v>
      </c>
      <c r="B4693" t="s">
        <v>127</v>
      </c>
      <c r="C4693">
        <v>279</v>
      </c>
      <c r="D4693">
        <f t="shared" si="166"/>
        <v>2016</v>
      </c>
      <c r="E4693">
        <f t="shared" si="167"/>
        <v>4</v>
      </c>
    </row>
    <row r="4694" spans="1:5" x14ac:dyDescent="0.3">
      <c r="A4694" t="s">
        <v>4819</v>
      </c>
      <c r="B4694" t="s">
        <v>127</v>
      </c>
      <c r="C4694">
        <v>280</v>
      </c>
      <c r="D4694">
        <f t="shared" si="166"/>
        <v>2016</v>
      </c>
      <c r="E4694">
        <f t="shared" si="167"/>
        <v>4</v>
      </c>
    </row>
    <row r="4695" spans="1:5" x14ac:dyDescent="0.3">
      <c r="A4695" t="s">
        <v>4820</v>
      </c>
      <c r="B4695" t="s">
        <v>127</v>
      </c>
      <c r="C4695">
        <v>278</v>
      </c>
      <c r="D4695">
        <f t="shared" si="166"/>
        <v>2016</v>
      </c>
      <c r="E4695">
        <f t="shared" si="167"/>
        <v>4</v>
      </c>
    </row>
    <row r="4696" spans="1:5" x14ac:dyDescent="0.3">
      <c r="A4696" t="s">
        <v>4821</v>
      </c>
      <c r="B4696" t="s">
        <v>127</v>
      </c>
      <c r="C4696">
        <v>278</v>
      </c>
      <c r="D4696">
        <f t="shared" si="166"/>
        <v>2016</v>
      </c>
      <c r="E4696">
        <f t="shared" si="167"/>
        <v>4</v>
      </c>
    </row>
    <row r="4697" spans="1:5" x14ac:dyDescent="0.3">
      <c r="A4697" t="s">
        <v>4822</v>
      </c>
      <c r="B4697" t="s">
        <v>127</v>
      </c>
      <c r="C4697">
        <v>276</v>
      </c>
      <c r="D4697">
        <f t="shared" si="166"/>
        <v>2016</v>
      </c>
      <c r="E4697">
        <f t="shared" si="167"/>
        <v>4</v>
      </c>
    </row>
    <row r="4698" spans="1:5" x14ac:dyDescent="0.3">
      <c r="A4698" t="s">
        <v>4823</v>
      </c>
      <c r="B4698" t="s">
        <v>127</v>
      </c>
      <c r="C4698">
        <v>286</v>
      </c>
      <c r="D4698">
        <f t="shared" si="166"/>
        <v>2016</v>
      </c>
      <c r="E4698">
        <f t="shared" si="167"/>
        <v>4</v>
      </c>
    </row>
    <row r="4699" spans="1:5" x14ac:dyDescent="0.3">
      <c r="A4699" t="s">
        <v>4824</v>
      </c>
      <c r="B4699" t="s">
        <v>127</v>
      </c>
      <c r="C4699">
        <v>284</v>
      </c>
      <c r="D4699">
        <f t="shared" si="166"/>
        <v>2016</v>
      </c>
      <c r="E4699">
        <f t="shared" si="167"/>
        <v>5</v>
      </c>
    </row>
    <row r="4700" spans="1:5" x14ac:dyDescent="0.3">
      <c r="A4700" t="s">
        <v>4825</v>
      </c>
      <c r="B4700" t="s">
        <v>127</v>
      </c>
      <c r="C4700">
        <v>291</v>
      </c>
      <c r="D4700">
        <f t="shared" si="166"/>
        <v>2016</v>
      </c>
      <c r="E4700">
        <f t="shared" si="167"/>
        <v>5</v>
      </c>
    </row>
    <row r="4701" spans="1:5" x14ac:dyDescent="0.3">
      <c r="A4701" t="s">
        <v>4826</v>
      </c>
      <c r="B4701" t="s">
        <v>127</v>
      </c>
      <c r="C4701">
        <v>295</v>
      </c>
      <c r="D4701">
        <f t="shared" si="166"/>
        <v>2016</v>
      </c>
      <c r="E4701">
        <f t="shared" si="167"/>
        <v>5</v>
      </c>
    </row>
    <row r="4702" spans="1:5" x14ac:dyDescent="0.3">
      <c r="A4702" t="s">
        <v>4827</v>
      </c>
      <c r="B4702" t="s">
        <v>127</v>
      </c>
      <c r="C4702">
        <v>296</v>
      </c>
      <c r="D4702">
        <f t="shared" si="166"/>
        <v>2016</v>
      </c>
      <c r="E4702">
        <f t="shared" si="167"/>
        <v>5</v>
      </c>
    </row>
    <row r="4703" spans="1:5" x14ac:dyDescent="0.3">
      <c r="A4703" t="s">
        <v>4828</v>
      </c>
      <c r="B4703" t="s">
        <v>127</v>
      </c>
      <c r="C4703">
        <v>295</v>
      </c>
      <c r="D4703">
        <f t="shared" si="166"/>
        <v>2016</v>
      </c>
      <c r="E4703">
        <f t="shared" si="167"/>
        <v>5</v>
      </c>
    </row>
    <row r="4704" spans="1:5" x14ac:dyDescent="0.3">
      <c r="A4704" t="s">
        <v>4829</v>
      </c>
      <c r="B4704" t="s">
        <v>127</v>
      </c>
      <c r="C4704">
        <v>294</v>
      </c>
      <c r="D4704">
        <f t="shared" si="166"/>
        <v>2016</v>
      </c>
      <c r="E4704">
        <f t="shared" si="167"/>
        <v>5</v>
      </c>
    </row>
    <row r="4705" spans="1:5" x14ac:dyDescent="0.3">
      <c r="A4705" t="s">
        <v>4830</v>
      </c>
      <c r="B4705" t="s">
        <v>127</v>
      </c>
      <c r="C4705">
        <v>292</v>
      </c>
      <c r="D4705">
        <f t="shared" si="166"/>
        <v>2016</v>
      </c>
      <c r="E4705">
        <f t="shared" si="167"/>
        <v>5</v>
      </c>
    </row>
    <row r="4706" spans="1:5" x14ac:dyDescent="0.3">
      <c r="A4706" t="s">
        <v>4831</v>
      </c>
      <c r="B4706" t="s">
        <v>127</v>
      </c>
      <c r="C4706">
        <v>292</v>
      </c>
      <c r="D4706">
        <f t="shared" si="166"/>
        <v>2016</v>
      </c>
      <c r="E4706">
        <f t="shared" si="167"/>
        <v>5</v>
      </c>
    </row>
    <row r="4707" spans="1:5" x14ac:dyDescent="0.3">
      <c r="A4707" t="s">
        <v>4832</v>
      </c>
      <c r="B4707" t="s">
        <v>127</v>
      </c>
      <c r="C4707">
        <v>291</v>
      </c>
      <c r="D4707">
        <f t="shared" si="166"/>
        <v>2016</v>
      </c>
      <c r="E4707">
        <f t="shared" si="167"/>
        <v>5</v>
      </c>
    </row>
    <row r="4708" spans="1:5" x14ac:dyDescent="0.3">
      <c r="A4708" t="s">
        <v>4833</v>
      </c>
      <c r="B4708" t="s">
        <v>127</v>
      </c>
      <c r="C4708">
        <v>297</v>
      </c>
      <c r="D4708">
        <f t="shared" si="166"/>
        <v>2016</v>
      </c>
      <c r="E4708">
        <f t="shared" si="167"/>
        <v>5</v>
      </c>
    </row>
    <row r="4709" spans="1:5" x14ac:dyDescent="0.3">
      <c r="A4709" t="s">
        <v>4834</v>
      </c>
      <c r="B4709" t="s">
        <v>127</v>
      </c>
      <c r="C4709">
        <v>292</v>
      </c>
      <c r="D4709">
        <f t="shared" si="166"/>
        <v>2016</v>
      </c>
      <c r="E4709">
        <f t="shared" si="167"/>
        <v>5</v>
      </c>
    </row>
    <row r="4710" spans="1:5" x14ac:dyDescent="0.3">
      <c r="A4710" t="s">
        <v>4835</v>
      </c>
      <c r="B4710" t="s">
        <v>127</v>
      </c>
      <c r="C4710">
        <v>293</v>
      </c>
      <c r="D4710">
        <f t="shared" si="166"/>
        <v>2016</v>
      </c>
      <c r="E4710">
        <f t="shared" si="167"/>
        <v>5</v>
      </c>
    </row>
    <row r="4711" spans="1:5" x14ac:dyDescent="0.3">
      <c r="A4711" t="s">
        <v>4836</v>
      </c>
      <c r="B4711" t="s">
        <v>127</v>
      </c>
      <c r="C4711">
        <v>289</v>
      </c>
      <c r="D4711">
        <f t="shared" si="166"/>
        <v>2016</v>
      </c>
      <c r="E4711">
        <f t="shared" si="167"/>
        <v>5</v>
      </c>
    </row>
    <row r="4712" spans="1:5" x14ac:dyDescent="0.3">
      <c r="A4712" t="s">
        <v>4837</v>
      </c>
      <c r="B4712" t="s">
        <v>127</v>
      </c>
      <c r="C4712">
        <v>304</v>
      </c>
      <c r="D4712">
        <f t="shared" si="166"/>
        <v>2016</v>
      </c>
      <c r="E4712">
        <f t="shared" si="167"/>
        <v>5</v>
      </c>
    </row>
    <row r="4713" spans="1:5" x14ac:dyDescent="0.3">
      <c r="A4713" t="s">
        <v>4838</v>
      </c>
      <c r="B4713" t="s">
        <v>127</v>
      </c>
      <c r="C4713">
        <v>302</v>
      </c>
      <c r="D4713">
        <f t="shared" si="166"/>
        <v>2016</v>
      </c>
      <c r="E4713">
        <f t="shared" si="167"/>
        <v>5</v>
      </c>
    </row>
    <row r="4714" spans="1:5" x14ac:dyDescent="0.3">
      <c r="A4714" t="s">
        <v>4839</v>
      </c>
      <c r="B4714" t="s">
        <v>127</v>
      </c>
      <c r="C4714">
        <v>308</v>
      </c>
      <c r="D4714">
        <f t="shared" si="166"/>
        <v>2016</v>
      </c>
      <c r="E4714">
        <f t="shared" si="167"/>
        <v>5</v>
      </c>
    </row>
    <row r="4715" spans="1:5" x14ac:dyDescent="0.3">
      <c r="A4715" t="s">
        <v>4840</v>
      </c>
      <c r="B4715" t="s">
        <v>127</v>
      </c>
      <c r="C4715">
        <v>307</v>
      </c>
      <c r="D4715">
        <f t="shared" si="166"/>
        <v>2016</v>
      </c>
      <c r="E4715">
        <f t="shared" si="167"/>
        <v>5</v>
      </c>
    </row>
    <row r="4716" spans="1:5" x14ac:dyDescent="0.3">
      <c r="A4716" t="s">
        <v>4841</v>
      </c>
      <c r="B4716" t="s">
        <v>127</v>
      </c>
      <c r="C4716">
        <v>305</v>
      </c>
      <c r="D4716">
        <f t="shared" si="166"/>
        <v>2016</v>
      </c>
      <c r="E4716">
        <f t="shared" si="167"/>
        <v>5</v>
      </c>
    </row>
    <row r="4717" spans="1:5" x14ac:dyDescent="0.3">
      <c r="A4717" t="s">
        <v>4842</v>
      </c>
      <c r="B4717" t="s">
        <v>127</v>
      </c>
      <c r="C4717">
        <v>305</v>
      </c>
      <c r="D4717">
        <f t="shared" si="166"/>
        <v>2016</v>
      </c>
      <c r="E4717">
        <f t="shared" si="167"/>
        <v>5</v>
      </c>
    </row>
    <row r="4718" spans="1:5" x14ac:dyDescent="0.3">
      <c r="A4718" t="s">
        <v>4843</v>
      </c>
      <c r="B4718" t="s">
        <v>127</v>
      </c>
      <c r="C4718">
        <v>300</v>
      </c>
      <c r="D4718">
        <f t="shared" si="166"/>
        <v>2016</v>
      </c>
      <c r="E4718">
        <f t="shared" si="167"/>
        <v>5</v>
      </c>
    </row>
    <row r="4719" spans="1:5" x14ac:dyDescent="0.3">
      <c r="A4719" t="s">
        <v>4844</v>
      </c>
      <c r="B4719" t="s">
        <v>127</v>
      </c>
      <c r="C4719">
        <v>300</v>
      </c>
      <c r="D4719">
        <f t="shared" si="166"/>
        <v>2016</v>
      </c>
      <c r="E4719">
        <f t="shared" si="167"/>
        <v>5</v>
      </c>
    </row>
    <row r="4720" spans="1:5" x14ac:dyDescent="0.3">
      <c r="A4720" t="s">
        <v>4845</v>
      </c>
      <c r="B4720" t="s">
        <v>127</v>
      </c>
      <c r="C4720">
        <v>304</v>
      </c>
      <c r="D4720">
        <f t="shared" si="166"/>
        <v>2016</v>
      </c>
      <c r="E4720">
        <f t="shared" si="167"/>
        <v>5</v>
      </c>
    </row>
    <row r="4721" spans="1:5" x14ac:dyDescent="0.3">
      <c r="A4721" t="s">
        <v>4846</v>
      </c>
      <c r="B4721" t="s">
        <v>127</v>
      </c>
      <c r="C4721">
        <v>302</v>
      </c>
      <c r="D4721">
        <f t="shared" si="166"/>
        <v>2016</v>
      </c>
      <c r="E4721">
        <f t="shared" si="167"/>
        <v>6</v>
      </c>
    </row>
    <row r="4722" spans="1:5" x14ac:dyDescent="0.3">
      <c r="A4722" t="s">
        <v>4847</v>
      </c>
      <c r="B4722" t="s">
        <v>127</v>
      </c>
      <c r="C4722">
        <v>301</v>
      </c>
      <c r="D4722">
        <f t="shared" si="166"/>
        <v>2016</v>
      </c>
      <c r="E4722">
        <f t="shared" si="167"/>
        <v>6</v>
      </c>
    </row>
    <row r="4723" spans="1:5" x14ac:dyDescent="0.3">
      <c r="A4723" t="s">
        <v>4848</v>
      </c>
      <c r="B4723" t="s">
        <v>127</v>
      </c>
      <c r="C4723">
        <v>301</v>
      </c>
      <c r="D4723">
        <f t="shared" si="166"/>
        <v>2016</v>
      </c>
      <c r="E4723">
        <f t="shared" si="167"/>
        <v>6</v>
      </c>
    </row>
    <row r="4724" spans="1:5" x14ac:dyDescent="0.3">
      <c r="A4724" t="s">
        <v>4849</v>
      </c>
      <c r="B4724" t="s">
        <v>127</v>
      </c>
      <c r="C4724">
        <v>295</v>
      </c>
      <c r="D4724">
        <f t="shared" si="166"/>
        <v>2016</v>
      </c>
      <c r="E4724">
        <f t="shared" si="167"/>
        <v>6</v>
      </c>
    </row>
    <row r="4725" spans="1:5" x14ac:dyDescent="0.3">
      <c r="A4725" t="s">
        <v>4850</v>
      </c>
      <c r="B4725" t="s">
        <v>127</v>
      </c>
      <c r="C4725">
        <v>293</v>
      </c>
      <c r="D4725">
        <f t="shared" si="166"/>
        <v>2016</v>
      </c>
      <c r="E4725">
        <f t="shared" si="167"/>
        <v>6</v>
      </c>
    </row>
    <row r="4726" spans="1:5" x14ac:dyDescent="0.3">
      <c r="A4726" t="s">
        <v>4851</v>
      </c>
      <c r="B4726" t="s">
        <v>127</v>
      </c>
      <c r="C4726">
        <v>290</v>
      </c>
      <c r="D4726">
        <f t="shared" si="166"/>
        <v>2016</v>
      </c>
      <c r="E4726">
        <f t="shared" si="167"/>
        <v>6</v>
      </c>
    </row>
    <row r="4727" spans="1:5" x14ac:dyDescent="0.3">
      <c r="A4727" t="s">
        <v>4852</v>
      </c>
      <c r="B4727" t="s">
        <v>127</v>
      </c>
      <c r="C4727">
        <v>293</v>
      </c>
      <c r="D4727">
        <f t="shared" si="166"/>
        <v>2016</v>
      </c>
      <c r="E4727">
        <f t="shared" si="167"/>
        <v>6</v>
      </c>
    </row>
    <row r="4728" spans="1:5" x14ac:dyDescent="0.3">
      <c r="A4728" t="s">
        <v>4853</v>
      </c>
      <c r="B4728" t="s">
        <v>127</v>
      </c>
      <c r="C4728">
        <v>301</v>
      </c>
      <c r="D4728">
        <f t="shared" si="166"/>
        <v>2016</v>
      </c>
      <c r="E4728">
        <f t="shared" si="167"/>
        <v>6</v>
      </c>
    </row>
    <row r="4729" spans="1:5" x14ac:dyDescent="0.3">
      <c r="A4729" t="s">
        <v>4854</v>
      </c>
      <c r="B4729" t="s">
        <v>127</v>
      </c>
      <c r="C4729">
        <v>307</v>
      </c>
      <c r="D4729">
        <f t="shared" si="166"/>
        <v>2016</v>
      </c>
      <c r="E4729">
        <f t="shared" si="167"/>
        <v>6</v>
      </c>
    </row>
    <row r="4730" spans="1:5" x14ac:dyDescent="0.3">
      <c r="A4730" t="s">
        <v>4855</v>
      </c>
      <c r="B4730" t="s">
        <v>127</v>
      </c>
      <c r="C4730">
        <v>316</v>
      </c>
      <c r="D4730">
        <f t="shared" si="166"/>
        <v>2016</v>
      </c>
      <c r="E4730">
        <f t="shared" si="167"/>
        <v>6</v>
      </c>
    </row>
    <row r="4731" spans="1:5" x14ac:dyDescent="0.3">
      <c r="A4731" t="s">
        <v>4856</v>
      </c>
      <c r="B4731" t="s">
        <v>127</v>
      </c>
      <c r="C4731">
        <v>314</v>
      </c>
      <c r="D4731">
        <f t="shared" si="166"/>
        <v>2016</v>
      </c>
      <c r="E4731">
        <f t="shared" si="167"/>
        <v>6</v>
      </c>
    </row>
    <row r="4732" spans="1:5" x14ac:dyDescent="0.3">
      <c r="A4732" t="s">
        <v>4857</v>
      </c>
      <c r="B4732" t="s">
        <v>127</v>
      </c>
      <c r="C4732">
        <v>319</v>
      </c>
      <c r="D4732">
        <f t="shared" si="166"/>
        <v>2016</v>
      </c>
      <c r="E4732">
        <f t="shared" si="167"/>
        <v>6</v>
      </c>
    </row>
    <row r="4733" spans="1:5" x14ac:dyDescent="0.3">
      <c r="A4733" t="s">
        <v>4858</v>
      </c>
      <c r="B4733" t="s">
        <v>127</v>
      </c>
      <c r="C4733">
        <v>315</v>
      </c>
      <c r="D4733">
        <f t="shared" si="166"/>
        <v>2016</v>
      </c>
      <c r="E4733">
        <f t="shared" si="167"/>
        <v>6</v>
      </c>
    </row>
    <row r="4734" spans="1:5" x14ac:dyDescent="0.3">
      <c r="A4734" t="s">
        <v>4859</v>
      </c>
      <c r="B4734" t="s">
        <v>127</v>
      </c>
      <c r="C4734">
        <v>306</v>
      </c>
      <c r="D4734">
        <f t="shared" si="166"/>
        <v>2016</v>
      </c>
      <c r="E4734">
        <f t="shared" si="167"/>
        <v>6</v>
      </c>
    </row>
    <row r="4735" spans="1:5" x14ac:dyDescent="0.3">
      <c r="A4735" t="s">
        <v>4860</v>
      </c>
      <c r="B4735" t="s">
        <v>127</v>
      </c>
      <c r="C4735">
        <v>303</v>
      </c>
      <c r="D4735">
        <f t="shared" si="166"/>
        <v>2016</v>
      </c>
      <c r="E4735">
        <f t="shared" si="167"/>
        <v>6</v>
      </c>
    </row>
    <row r="4736" spans="1:5" x14ac:dyDescent="0.3">
      <c r="A4736" t="s">
        <v>4861</v>
      </c>
      <c r="B4736" t="s">
        <v>127</v>
      </c>
      <c r="C4736">
        <v>301</v>
      </c>
      <c r="D4736">
        <f t="shared" si="166"/>
        <v>2016</v>
      </c>
      <c r="E4736">
        <f t="shared" si="167"/>
        <v>6</v>
      </c>
    </row>
    <row r="4737" spans="1:5" x14ac:dyDescent="0.3">
      <c r="A4737" t="s">
        <v>4862</v>
      </c>
      <c r="B4737" t="s">
        <v>127</v>
      </c>
      <c r="C4737">
        <v>292</v>
      </c>
      <c r="D4737">
        <f t="shared" si="166"/>
        <v>2016</v>
      </c>
      <c r="E4737">
        <f t="shared" si="167"/>
        <v>6</v>
      </c>
    </row>
    <row r="4738" spans="1:5" x14ac:dyDescent="0.3">
      <c r="A4738" t="s">
        <v>4863</v>
      </c>
      <c r="B4738" t="s">
        <v>127</v>
      </c>
      <c r="C4738">
        <v>309</v>
      </c>
      <c r="D4738">
        <f t="shared" si="166"/>
        <v>2016</v>
      </c>
      <c r="E4738">
        <f t="shared" si="167"/>
        <v>6</v>
      </c>
    </row>
    <row r="4739" spans="1:5" x14ac:dyDescent="0.3">
      <c r="A4739" t="s">
        <v>4864</v>
      </c>
      <c r="B4739" t="s">
        <v>127</v>
      </c>
      <c r="C4739">
        <v>322</v>
      </c>
      <c r="D4739">
        <f t="shared" ref="D4739:D4802" si="168">YEAR(A4739)</f>
        <v>2016</v>
      </c>
      <c r="E4739">
        <f t="shared" ref="E4739:E4802" si="169">MONTH(A4739)</f>
        <v>6</v>
      </c>
    </row>
    <row r="4740" spans="1:5" x14ac:dyDescent="0.3">
      <c r="A4740" t="s">
        <v>4865</v>
      </c>
      <c r="B4740" t="s">
        <v>127</v>
      </c>
      <c r="C4740">
        <v>314</v>
      </c>
      <c r="D4740">
        <f t="shared" si="168"/>
        <v>2016</v>
      </c>
      <c r="E4740">
        <f t="shared" si="169"/>
        <v>6</v>
      </c>
    </row>
    <row r="4741" spans="1:5" x14ac:dyDescent="0.3">
      <c r="A4741" t="s">
        <v>4866</v>
      </c>
      <c r="B4741" t="s">
        <v>127</v>
      </c>
      <c r="C4741">
        <v>297</v>
      </c>
      <c r="D4741">
        <f t="shared" si="168"/>
        <v>2016</v>
      </c>
      <c r="E4741">
        <f t="shared" si="169"/>
        <v>6</v>
      </c>
    </row>
    <row r="4742" spans="1:5" x14ac:dyDescent="0.3">
      <c r="A4742" t="s">
        <v>4867</v>
      </c>
      <c r="B4742" t="s">
        <v>127</v>
      </c>
      <c r="C4742">
        <v>293</v>
      </c>
      <c r="D4742">
        <f t="shared" si="168"/>
        <v>2016</v>
      </c>
      <c r="E4742">
        <f t="shared" si="169"/>
        <v>6</v>
      </c>
    </row>
    <row r="4743" spans="1:5" x14ac:dyDescent="0.3">
      <c r="A4743" t="s">
        <v>4868</v>
      </c>
      <c r="B4743" t="s">
        <v>127</v>
      </c>
      <c r="C4743">
        <v>286</v>
      </c>
      <c r="D4743">
        <f t="shared" si="168"/>
        <v>2016</v>
      </c>
      <c r="E4743">
        <f t="shared" si="169"/>
        <v>7</v>
      </c>
    </row>
    <row r="4744" spans="1:5" x14ac:dyDescent="0.3">
      <c r="A4744" t="s">
        <v>4869</v>
      </c>
      <c r="B4744" t="s">
        <v>127</v>
      </c>
      <c r="C4744">
        <v>286</v>
      </c>
      <c r="D4744">
        <f t="shared" si="168"/>
        <v>2016</v>
      </c>
      <c r="E4744">
        <f t="shared" si="169"/>
        <v>7</v>
      </c>
    </row>
    <row r="4745" spans="1:5" x14ac:dyDescent="0.3">
      <c r="A4745" t="s">
        <v>4870</v>
      </c>
      <c r="B4745" t="s">
        <v>127</v>
      </c>
      <c r="C4745">
        <v>287</v>
      </c>
      <c r="D4745">
        <f t="shared" si="168"/>
        <v>2016</v>
      </c>
      <c r="E4745">
        <f t="shared" si="169"/>
        <v>7</v>
      </c>
    </row>
    <row r="4746" spans="1:5" x14ac:dyDescent="0.3">
      <c r="A4746" t="s">
        <v>4871</v>
      </c>
      <c r="B4746" t="s">
        <v>127</v>
      </c>
      <c r="C4746">
        <v>287</v>
      </c>
      <c r="D4746">
        <f t="shared" si="168"/>
        <v>2016</v>
      </c>
      <c r="E4746">
        <f t="shared" si="169"/>
        <v>7</v>
      </c>
    </row>
    <row r="4747" spans="1:5" x14ac:dyDescent="0.3">
      <c r="A4747" t="s">
        <v>4872</v>
      </c>
      <c r="B4747" t="s">
        <v>127</v>
      </c>
      <c r="C4747">
        <v>286</v>
      </c>
      <c r="D4747">
        <f t="shared" si="168"/>
        <v>2016</v>
      </c>
      <c r="E4747">
        <f t="shared" si="169"/>
        <v>7</v>
      </c>
    </row>
    <row r="4748" spans="1:5" x14ac:dyDescent="0.3">
      <c r="A4748" t="s">
        <v>4873</v>
      </c>
      <c r="B4748" t="s">
        <v>127</v>
      </c>
      <c r="C4748">
        <v>283</v>
      </c>
      <c r="D4748">
        <f t="shared" si="168"/>
        <v>2016</v>
      </c>
      <c r="E4748">
        <f t="shared" si="169"/>
        <v>7</v>
      </c>
    </row>
    <row r="4749" spans="1:5" x14ac:dyDescent="0.3">
      <c r="A4749" t="s">
        <v>4874</v>
      </c>
      <c r="B4749" t="s">
        <v>127</v>
      </c>
      <c r="C4749">
        <v>274</v>
      </c>
      <c r="D4749">
        <f t="shared" si="168"/>
        <v>2016</v>
      </c>
      <c r="E4749">
        <f t="shared" si="169"/>
        <v>7</v>
      </c>
    </row>
    <row r="4750" spans="1:5" x14ac:dyDescent="0.3">
      <c r="A4750" t="s">
        <v>4875</v>
      </c>
      <c r="B4750" t="s">
        <v>127</v>
      </c>
      <c r="C4750">
        <v>267</v>
      </c>
      <c r="D4750">
        <f t="shared" si="168"/>
        <v>2016</v>
      </c>
      <c r="E4750">
        <f t="shared" si="169"/>
        <v>7</v>
      </c>
    </row>
    <row r="4751" spans="1:5" x14ac:dyDescent="0.3">
      <c r="A4751" t="s">
        <v>4876</v>
      </c>
      <c r="B4751" t="s">
        <v>127</v>
      </c>
      <c r="C4751">
        <v>272</v>
      </c>
      <c r="D4751">
        <f t="shared" si="168"/>
        <v>2016</v>
      </c>
      <c r="E4751">
        <f t="shared" si="169"/>
        <v>7</v>
      </c>
    </row>
    <row r="4752" spans="1:5" x14ac:dyDescent="0.3">
      <c r="A4752" t="s">
        <v>4877</v>
      </c>
      <c r="B4752" t="s">
        <v>127</v>
      </c>
      <c r="C4752">
        <v>269</v>
      </c>
      <c r="D4752">
        <f t="shared" si="168"/>
        <v>2016</v>
      </c>
      <c r="E4752">
        <f t="shared" si="169"/>
        <v>7</v>
      </c>
    </row>
    <row r="4753" spans="1:5" x14ac:dyDescent="0.3">
      <c r="A4753" t="s">
        <v>4878</v>
      </c>
      <c r="B4753" t="s">
        <v>127</v>
      </c>
      <c r="C4753">
        <v>267</v>
      </c>
      <c r="D4753">
        <f t="shared" si="168"/>
        <v>2016</v>
      </c>
      <c r="E4753">
        <f t="shared" si="169"/>
        <v>7</v>
      </c>
    </row>
    <row r="4754" spans="1:5" x14ac:dyDescent="0.3">
      <c r="A4754" t="s">
        <v>4879</v>
      </c>
      <c r="B4754" t="s">
        <v>127</v>
      </c>
      <c r="C4754">
        <v>269</v>
      </c>
      <c r="D4754">
        <f t="shared" si="168"/>
        <v>2016</v>
      </c>
      <c r="E4754">
        <f t="shared" si="169"/>
        <v>7</v>
      </c>
    </row>
    <row r="4755" spans="1:5" x14ac:dyDescent="0.3">
      <c r="A4755" t="s">
        <v>4880</v>
      </c>
      <c r="B4755" t="s">
        <v>127</v>
      </c>
      <c r="C4755">
        <v>268</v>
      </c>
      <c r="D4755">
        <f t="shared" si="168"/>
        <v>2016</v>
      </c>
      <c r="E4755">
        <f t="shared" si="169"/>
        <v>7</v>
      </c>
    </row>
    <row r="4756" spans="1:5" x14ac:dyDescent="0.3">
      <c r="A4756" t="s">
        <v>4881</v>
      </c>
      <c r="B4756" t="s">
        <v>127</v>
      </c>
      <c r="C4756">
        <v>262</v>
      </c>
      <c r="D4756">
        <f t="shared" si="168"/>
        <v>2016</v>
      </c>
      <c r="E4756">
        <f t="shared" si="169"/>
        <v>7</v>
      </c>
    </row>
    <row r="4757" spans="1:5" x14ac:dyDescent="0.3">
      <c r="A4757" t="s">
        <v>4882</v>
      </c>
      <c r="B4757" t="s">
        <v>127</v>
      </c>
      <c r="C4757">
        <v>267</v>
      </c>
      <c r="D4757">
        <f t="shared" si="168"/>
        <v>2016</v>
      </c>
      <c r="E4757">
        <f t="shared" si="169"/>
        <v>7</v>
      </c>
    </row>
    <row r="4758" spans="1:5" x14ac:dyDescent="0.3">
      <c r="A4758" t="s">
        <v>4883</v>
      </c>
      <c r="B4758" t="s">
        <v>127</v>
      </c>
      <c r="C4758">
        <v>267</v>
      </c>
      <c r="D4758">
        <f t="shared" si="168"/>
        <v>2016</v>
      </c>
      <c r="E4758">
        <f t="shared" si="169"/>
        <v>7</v>
      </c>
    </row>
    <row r="4759" spans="1:5" x14ac:dyDescent="0.3">
      <c r="A4759" t="s">
        <v>4884</v>
      </c>
      <c r="B4759" t="s">
        <v>127</v>
      </c>
      <c r="C4759">
        <v>270</v>
      </c>
      <c r="D4759">
        <f t="shared" si="168"/>
        <v>2016</v>
      </c>
      <c r="E4759">
        <f t="shared" si="169"/>
        <v>7</v>
      </c>
    </row>
    <row r="4760" spans="1:5" x14ac:dyDescent="0.3">
      <c r="A4760" t="s">
        <v>4885</v>
      </c>
      <c r="B4760" t="s">
        <v>127</v>
      </c>
      <c r="C4760">
        <v>277</v>
      </c>
      <c r="D4760">
        <f t="shared" si="168"/>
        <v>2016</v>
      </c>
      <c r="E4760">
        <f t="shared" si="169"/>
        <v>7</v>
      </c>
    </row>
    <row r="4761" spans="1:5" x14ac:dyDescent="0.3">
      <c r="A4761" t="s">
        <v>4886</v>
      </c>
      <c r="B4761" t="s">
        <v>127</v>
      </c>
      <c r="C4761">
        <v>284</v>
      </c>
      <c r="D4761">
        <f t="shared" si="168"/>
        <v>2016</v>
      </c>
      <c r="E4761">
        <f t="shared" si="169"/>
        <v>7</v>
      </c>
    </row>
    <row r="4762" spans="1:5" x14ac:dyDescent="0.3">
      <c r="A4762" t="s">
        <v>4887</v>
      </c>
      <c r="B4762" t="s">
        <v>127</v>
      </c>
      <c r="C4762">
        <v>290</v>
      </c>
      <c r="D4762">
        <f t="shared" si="168"/>
        <v>2016</v>
      </c>
      <c r="E4762">
        <f t="shared" si="169"/>
        <v>7</v>
      </c>
    </row>
    <row r="4763" spans="1:5" x14ac:dyDescent="0.3">
      <c r="A4763" t="s">
        <v>4888</v>
      </c>
      <c r="B4763" t="s">
        <v>127</v>
      </c>
      <c r="C4763">
        <v>294</v>
      </c>
      <c r="D4763">
        <f t="shared" si="168"/>
        <v>2016</v>
      </c>
      <c r="E4763">
        <f t="shared" si="169"/>
        <v>7</v>
      </c>
    </row>
    <row r="4764" spans="1:5" x14ac:dyDescent="0.3">
      <c r="A4764" t="s">
        <v>4889</v>
      </c>
      <c r="B4764" t="s">
        <v>127</v>
      </c>
      <c r="C4764">
        <v>290</v>
      </c>
      <c r="D4764">
        <f t="shared" si="168"/>
        <v>2016</v>
      </c>
      <c r="E4764">
        <f t="shared" si="169"/>
        <v>8</v>
      </c>
    </row>
    <row r="4765" spans="1:5" x14ac:dyDescent="0.3">
      <c r="A4765" t="s">
        <v>4890</v>
      </c>
      <c r="B4765" t="s">
        <v>127</v>
      </c>
      <c r="C4765">
        <v>289</v>
      </c>
      <c r="D4765">
        <f t="shared" si="168"/>
        <v>2016</v>
      </c>
      <c r="E4765">
        <f t="shared" si="169"/>
        <v>8</v>
      </c>
    </row>
    <row r="4766" spans="1:5" x14ac:dyDescent="0.3">
      <c r="A4766" t="s">
        <v>4891</v>
      </c>
      <c r="B4766" t="s">
        <v>127</v>
      </c>
      <c r="C4766">
        <v>289</v>
      </c>
      <c r="D4766">
        <f t="shared" si="168"/>
        <v>2016</v>
      </c>
      <c r="E4766">
        <f t="shared" si="169"/>
        <v>8</v>
      </c>
    </row>
    <row r="4767" spans="1:5" x14ac:dyDescent="0.3">
      <c r="A4767" t="s">
        <v>4892</v>
      </c>
      <c r="B4767" t="s">
        <v>127</v>
      </c>
      <c r="C4767">
        <v>279</v>
      </c>
      <c r="D4767">
        <f t="shared" si="168"/>
        <v>2016</v>
      </c>
      <c r="E4767">
        <f t="shared" si="169"/>
        <v>8</v>
      </c>
    </row>
    <row r="4768" spans="1:5" x14ac:dyDescent="0.3">
      <c r="A4768" t="s">
        <v>4893</v>
      </c>
      <c r="B4768" t="s">
        <v>127</v>
      </c>
      <c r="C4768">
        <v>270</v>
      </c>
      <c r="D4768">
        <f t="shared" si="168"/>
        <v>2016</v>
      </c>
      <c r="E4768">
        <f t="shared" si="169"/>
        <v>8</v>
      </c>
    </row>
    <row r="4769" spans="1:5" x14ac:dyDescent="0.3">
      <c r="A4769" t="s">
        <v>4894</v>
      </c>
      <c r="B4769" t="s">
        <v>127</v>
      </c>
      <c r="C4769">
        <v>268</v>
      </c>
      <c r="D4769">
        <f t="shared" si="168"/>
        <v>2016</v>
      </c>
      <c r="E4769">
        <f t="shared" si="169"/>
        <v>8</v>
      </c>
    </row>
    <row r="4770" spans="1:5" x14ac:dyDescent="0.3">
      <c r="A4770" t="s">
        <v>4895</v>
      </c>
      <c r="B4770" t="s">
        <v>127</v>
      </c>
      <c r="C4770">
        <v>271</v>
      </c>
      <c r="D4770">
        <f t="shared" si="168"/>
        <v>2016</v>
      </c>
      <c r="E4770">
        <f t="shared" si="169"/>
        <v>8</v>
      </c>
    </row>
    <row r="4771" spans="1:5" x14ac:dyDescent="0.3">
      <c r="A4771" t="s">
        <v>4896</v>
      </c>
      <c r="B4771" t="s">
        <v>127</v>
      </c>
      <c r="C4771">
        <v>269</v>
      </c>
      <c r="D4771">
        <f t="shared" si="168"/>
        <v>2016</v>
      </c>
      <c r="E4771">
        <f t="shared" si="169"/>
        <v>8</v>
      </c>
    </row>
    <row r="4772" spans="1:5" x14ac:dyDescent="0.3">
      <c r="A4772" t="s">
        <v>4897</v>
      </c>
      <c r="B4772" t="s">
        <v>127</v>
      </c>
      <c r="C4772">
        <v>264</v>
      </c>
      <c r="D4772">
        <f t="shared" si="168"/>
        <v>2016</v>
      </c>
      <c r="E4772">
        <f t="shared" si="169"/>
        <v>8</v>
      </c>
    </row>
    <row r="4773" spans="1:5" x14ac:dyDescent="0.3">
      <c r="A4773" t="s">
        <v>4898</v>
      </c>
      <c r="B4773" t="s">
        <v>127</v>
      </c>
      <c r="C4773">
        <v>263</v>
      </c>
      <c r="D4773">
        <f t="shared" si="168"/>
        <v>2016</v>
      </c>
      <c r="E4773">
        <f t="shared" si="169"/>
        <v>8</v>
      </c>
    </row>
    <row r="4774" spans="1:5" x14ac:dyDescent="0.3">
      <c r="A4774" t="s">
        <v>4899</v>
      </c>
      <c r="B4774" t="s">
        <v>127</v>
      </c>
      <c r="C4774">
        <v>259</v>
      </c>
      <c r="D4774">
        <f t="shared" si="168"/>
        <v>2016</v>
      </c>
      <c r="E4774">
        <f t="shared" si="169"/>
        <v>8</v>
      </c>
    </row>
    <row r="4775" spans="1:5" x14ac:dyDescent="0.3">
      <c r="A4775" t="s">
        <v>4900</v>
      </c>
      <c r="B4775" t="s">
        <v>127</v>
      </c>
      <c r="C4775">
        <v>258</v>
      </c>
      <c r="D4775">
        <f t="shared" si="168"/>
        <v>2016</v>
      </c>
      <c r="E4775">
        <f t="shared" si="169"/>
        <v>8</v>
      </c>
    </row>
    <row r="4776" spans="1:5" x14ac:dyDescent="0.3">
      <c r="A4776" t="s">
        <v>4901</v>
      </c>
      <c r="B4776" t="s">
        <v>127</v>
      </c>
      <c r="C4776">
        <v>260</v>
      </c>
      <c r="D4776">
        <f t="shared" si="168"/>
        <v>2016</v>
      </c>
      <c r="E4776">
        <f t="shared" si="169"/>
        <v>8</v>
      </c>
    </row>
    <row r="4777" spans="1:5" x14ac:dyDescent="0.3">
      <c r="A4777" t="s">
        <v>4902</v>
      </c>
      <c r="B4777" t="s">
        <v>127</v>
      </c>
      <c r="C4777">
        <v>256</v>
      </c>
      <c r="D4777">
        <f t="shared" si="168"/>
        <v>2016</v>
      </c>
      <c r="E4777">
        <f t="shared" si="169"/>
        <v>8</v>
      </c>
    </row>
    <row r="4778" spans="1:5" x14ac:dyDescent="0.3">
      <c r="A4778" t="s">
        <v>4903</v>
      </c>
      <c r="B4778" t="s">
        <v>127</v>
      </c>
      <c r="C4778">
        <v>255</v>
      </c>
      <c r="D4778">
        <f t="shared" si="168"/>
        <v>2016</v>
      </c>
      <c r="E4778">
        <f t="shared" si="169"/>
        <v>8</v>
      </c>
    </row>
    <row r="4779" spans="1:5" x14ac:dyDescent="0.3">
      <c r="A4779" t="s">
        <v>4904</v>
      </c>
      <c r="B4779" t="s">
        <v>127</v>
      </c>
      <c r="C4779">
        <v>262</v>
      </c>
      <c r="D4779">
        <f t="shared" si="168"/>
        <v>2016</v>
      </c>
      <c r="E4779">
        <f t="shared" si="169"/>
        <v>8</v>
      </c>
    </row>
    <row r="4780" spans="1:5" x14ac:dyDescent="0.3">
      <c r="A4780" t="s">
        <v>4905</v>
      </c>
      <c r="B4780" t="s">
        <v>127</v>
      </c>
      <c r="C4780">
        <v>260</v>
      </c>
      <c r="D4780">
        <f t="shared" si="168"/>
        <v>2016</v>
      </c>
      <c r="E4780">
        <f t="shared" si="169"/>
        <v>8</v>
      </c>
    </row>
    <row r="4781" spans="1:5" x14ac:dyDescent="0.3">
      <c r="A4781" t="s">
        <v>4906</v>
      </c>
      <c r="B4781" t="s">
        <v>127</v>
      </c>
      <c r="C4781">
        <v>260</v>
      </c>
      <c r="D4781">
        <f t="shared" si="168"/>
        <v>2016</v>
      </c>
      <c r="E4781">
        <f t="shared" si="169"/>
        <v>8</v>
      </c>
    </row>
    <row r="4782" spans="1:5" x14ac:dyDescent="0.3">
      <c r="A4782" t="s">
        <v>4907</v>
      </c>
      <c r="B4782" t="s">
        <v>127</v>
      </c>
      <c r="C4782">
        <v>264</v>
      </c>
      <c r="D4782">
        <f t="shared" si="168"/>
        <v>2016</v>
      </c>
      <c r="E4782">
        <f t="shared" si="169"/>
        <v>8</v>
      </c>
    </row>
    <row r="4783" spans="1:5" x14ac:dyDescent="0.3">
      <c r="A4783" t="s">
        <v>4908</v>
      </c>
      <c r="B4783" t="s">
        <v>127</v>
      </c>
      <c r="C4783">
        <v>256</v>
      </c>
      <c r="D4783">
        <f t="shared" si="168"/>
        <v>2016</v>
      </c>
      <c r="E4783">
        <f t="shared" si="169"/>
        <v>8</v>
      </c>
    </row>
    <row r="4784" spans="1:5" x14ac:dyDescent="0.3">
      <c r="A4784" t="s">
        <v>4909</v>
      </c>
      <c r="B4784" t="s">
        <v>127</v>
      </c>
      <c r="C4784">
        <v>260</v>
      </c>
      <c r="D4784">
        <f t="shared" si="168"/>
        <v>2016</v>
      </c>
      <c r="E4784">
        <f t="shared" si="169"/>
        <v>8</v>
      </c>
    </row>
    <row r="4785" spans="1:5" x14ac:dyDescent="0.3">
      <c r="A4785" t="s">
        <v>4910</v>
      </c>
      <c r="B4785" t="s">
        <v>127</v>
      </c>
      <c r="C4785">
        <v>259</v>
      </c>
      <c r="D4785">
        <f t="shared" si="168"/>
        <v>2016</v>
      </c>
      <c r="E4785">
        <f t="shared" si="169"/>
        <v>8</v>
      </c>
    </row>
    <row r="4786" spans="1:5" x14ac:dyDescent="0.3">
      <c r="A4786" t="s">
        <v>4911</v>
      </c>
      <c r="B4786" t="s">
        <v>127</v>
      </c>
      <c r="C4786">
        <v>258</v>
      </c>
      <c r="D4786">
        <f t="shared" si="168"/>
        <v>2016</v>
      </c>
      <c r="E4786">
        <f t="shared" si="169"/>
        <v>8</v>
      </c>
    </row>
    <row r="4787" spans="1:5" x14ac:dyDescent="0.3">
      <c r="A4787" t="s">
        <v>4912</v>
      </c>
      <c r="B4787" t="s">
        <v>127</v>
      </c>
      <c r="C4787">
        <v>262</v>
      </c>
      <c r="D4787">
        <f t="shared" si="168"/>
        <v>2016</v>
      </c>
      <c r="E4787">
        <f t="shared" si="169"/>
        <v>9</v>
      </c>
    </row>
    <row r="4788" spans="1:5" x14ac:dyDescent="0.3">
      <c r="A4788" t="s">
        <v>4913</v>
      </c>
      <c r="B4788" t="s">
        <v>127</v>
      </c>
      <c r="C4788">
        <v>259</v>
      </c>
      <c r="D4788">
        <f t="shared" si="168"/>
        <v>2016</v>
      </c>
      <c r="E4788">
        <f t="shared" si="169"/>
        <v>9</v>
      </c>
    </row>
    <row r="4789" spans="1:5" x14ac:dyDescent="0.3">
      <c r="A4789" t="s">
        <v>4914</v>
      </c>
      <c r="B4789" t="s">
        <v>127</v>
      </c>
      <c r="C4789">
        <v>259</v>
      </c>
      <c r="D4789">
        <f t="shared" si="168"/>
        <v>2016</v>
      </c>
      <c r="E4789">
        <f t="shared" si="169"/>
        <v>9</v>
      </c>
    </row>
    <row r="4790" spans="1:5" x14ac:dyDescent="0.3">
      <c r="A4790" t="s">
        <v>4915</v>
      </c>
      <c r="B4790" t="s">
        <v>127</v>
      </c>
      <c r="C4790">
        <v>259</v>
      </c>
      <c r="D4790">
        <f t="shared" si="168"/>
        <v>2016</v>
      </c>
      <c r="E4790">
        <f t="shared" si="169"/>
        <v>9</v>
      </c>
    </row>
    <row r="4791" spans="1:5" x14ac:dyDescent="0.3">
      <c r="A4791" t="s">
        <v>4916</v>
      </c>
      <c r="B4791" t="s">
        <v>127</v>
      </c>
      <c r="C4791">
        <v>254</v>
      </c>
      <c r="D4791">
        <f t="shared" si="168"/>
        <v>2016</v>
      </c>
      <c r="E4791">
        <f t="shared" si="169"/>
        <v>9</v>
      </c>
    </row>
    <row r="4792" spans="1:5" x14ac:dyDescent="0.3">
      <c r="A4792" t="s">
        <v>4917</v>
      </c>
      <c r="B4792" t="s">
        <v>127</v>
      </c>
      <c r="C4792">
        <v>251</v>
      </c>
      <c r="D4792">
        <f t="shared" si="168"/>
        <v>2016</v>
      </c>
      <c r="E4792">
        <f t="shared" si="169"/>
        <v>9</v>
      </c>
    </row>
    <row r="4793" spans="1:5" x14ac:dyDescent="0.3">
      <c r="A4793" t="s">
        <v>4918</v>
      </c>
      <c r="B4793" t="s">
        <v>127</v>
      </c>
      <c r="C4793">
        <v>260</v>
      </c>
      <c r="D4793">
        <f t="shared" si="168"/>
        <v>2016</v>
      </c>
      <c r="E4793">
        <f t="shared" si="169"/>
        <v>9</v>
      </c>
    </row>
    <row r="4794" spans="1:5" x14ac:dyDescent="0.3">
      <c r="A4794" t="s">
        <v>4919</v>
      </c>
      <c r="B4794" t="s">
        <v>127</v>
      </c>
      <c r="C4794">
        <v>263</v>
      </c>
      <c r="D4794">
        <f t="shared" si="168"/>
        <v>2016</v>
      </c>
      <c r="E4794">
        <f t="shared" si="169"/>
        <v>9</v>
      </c>
    </row>
    <row r="4795" spans="1:5" x14ac:dyDescent="0.3">
      <c r="A4795" t="s">
        <v>4920</v>
      </c>
      <c r="B4795" t="s">
        <v>127</v>
      </c>
      <c r="C4795">
        <v>268</v>
      </c>
      <c r="D4795">
        <f t="shared" si="168"/>
        <v>2016</v>
      </c>
      <c r="E4795">
        <f t="shared" si="169"/>
        <v>9</v>
      </c>
    </row>
    <row r="4796" spans="1:5" x14ac:dyDescent="0.3">
      <c r="A4796" t="s">
        <v>4921</v>
      </c>
      <c r="B4796" t="s">
        <v>127</v>
      </c>
      <c r="C4796">
        <v>279</v>
      </c>
      <c r="D4796">
        <f t="shared" si="168"/>
        <v>2016</v>
      </c>
      <c r="E4796">
        <f t="shared" si="169"/>
        <v>9</v>
      </c>
    </row>
    <row r="4797" spans="1:5" x14ac:dyDescent="0.3">
      <c r="A4797" t="s">
        <v>4922</v>
      </c>
      <c r="B4797" t="s">
        <v>127</v>
      </c>
      <c r="C4797">
        <v>275</v>
      </c>
      <c r="D4797">
        <f t="shared" si="168"/>
        <v>2016</v>
      </c>
      <c r="E4797">
        <f t="shared" si="169"/>
        <v>9</v>
      </c>
    </row>
    <row r="4798" spans="1:5" x14ac:dyDescent="0.3">
      <c r="A4798" t="s">
        <v>4923</v>
      </c>
      <c r="B4798" t="s">
        <v>127</v>
      </c>
      <c r="C4798">
        <v>287</v>
      </c>
      <c r="D4798">
        <f t="shared" si="168"/>
        <v>2016</v>
      </c>
      <c r="E4798">
        <f t="shared" si="169"/>
        <v>9</v>
      </c>
    </row>
    <row r="4799" spans="1:5" x14ac:dyDescent="0.3">
      <c r="A4799" t="s">
        <v>4924</v>
      </c>
      <c r="B4799" t="s">
        <v>127</v>
      </c>
      <c r="C4799">
        <v>284</v>
      </c>
      <c r="D4799">
        <f t="shared" si="168"/>
        <v>2016</v>
      </c>
      <c r="E4799">
        <f t="shared" si="169"/>
        <v>9</v>
      </c>
    </row>
    <row r="4800" spans="1:5" x14ac:dyDescent="0.3">
      <c r="A4800" t="s">
        <v>4925</v>
      </c>
      <c r="B4800" t="s">
        <v>127</v>
      </c>
      <c r="C4800">
        <v>284</v>
      </c>
      <c r="D4800">
        <f t="shared" si="168"/>
        <v>2016</v>
      </c>
      <c r="E4800">
        <f t="shared" si="169"/>
        <v>9</v>
      </c>
    </row>
    <row r="4801" spans="1:5" x14ac:dyDescent="0.3">
      <c r="A4801" t="s">
        <v>4926</v>
      </c>
      <c r="B4801" t="s">
        <v>127</v>
      </c>
      <c r="C4801">
        <v>278</v>
      </c>
      <c r="D4801">
        <f t="shared" si="168"/>
        <v>2016</v>
      </c>
      <c r="E4801">
        <f t="shared" si="169"/>
        <v>9</v>
      </c>
    </row>
    <row r="4802" spans="1:5" x14ac:dyDescent="0.3">
      <c r="A4802" t="s">
        <v>4927</v>
      </c>
      <c r="B4802" t="s">
        <v>127</v>
      </c>
      <c r="C4802">
        <v>275</v>
      </c>
      <c r="D4802">
        <f t="shared" si="168"/>
        <v>2016</v>
      </c>
      <c r="E4802">
        <f t="shared" si="169"/>
        <v>9</v>
      </c>
    </row>
    <row r="4803" spans="1:5" x14ac:dyDescent="0.3">
      <c r="A4803" t="s">
        <v>4928</v>
      </c>
      <c r="B4803" t="s">
        <v>127</v>
      </c>
      <c r="C4803">
        <v>289</v>
      </c>
      <c r="D4803">
        <f t="shared" ref="D4803:D4866" si="170">YEAR(A4803)</f>
        <v>2016</v>
      </c>
      <c r="E4803">
        <f t="shared" ref="E4803:E4866" si="171">MONTH(A4803)</f>
        <v>9</v>
      </c>
    </row>
    <row r="4804" spans="1:5" x14ac:dyDescent="0.3">
      <c r="A4804" t="s">
        <v>4929</v>
      </c>
      <c r="B4804" t="s">
        <v>127</v>
      </c>
      <c r="C4804">
        <v>301</v>
      </c>
      <c r="D4804">
        <f t="shared" si="170"/>
        <v>2016</v>
      </c>
      <c r="E4804">
        <f t="shared" si="171"/>
        <v>9</v>
      </c>
    </row>
    <row r="4805" spans="1:5" x14ac:dyDescent="0.3">
      <c r="A4805" t="s">
        <v>4930</v>
      </c>
      <c r="B4805" t="s">
        <v>127</v>
      </c>
      <c r="C4805">
        <v>297</v>
      </c>
      <c r="D4805">
        <f t="shared" si="170"/>
        <v>2016</v>
      </c>
      <c r="E4805">
        <f t="shared" si="171"/>
        <v>9</v>
      </c>
    </row>
    <row r="4806" spans="1:5" x14ac:dyDescent="0.3">
      <c r="A4806" t="s">
        <v>4931</v>
      </c>
      <c r="B4806" t="s">
        <v>127</v>
      </c>
      <c r="C4806">
        <v>289</v>
      </c>
      <c r="D4806">
        <f t="shared" si="170"/>
        <v>2016</v>
      </c>
      <c r="E4806">
        <f t="shared" si="171"/>
        <v>9</v>
      </c>
    </row>
    <row r="4807" spans="1:5" x14ac:dyDescent="0.3">
      <c r="A4807" t="s">
        <v>4932</v>
      </c>
      <c r="B4807" t="s">
        <v>127</v>
      </c>
      <c r="C4807">
        <v>293</v>
      </c>
      <c r="D4807">
        <f t="shared" si="170"/>
        <v>2016</v>
      </c>
      <c r="E4807">
        <f t="shared" si="171"/>
        <v>9</v>
      </c>
    </row>
    <row r="4808" spans="1:5" x14ac:dyDescent="0.3">
      <c r="A4808" t="s">
        <v>4933</v>
      </c>
      <c r="B4808" t="s">
        <v>127</v>
      </c>
      <c r="C4808">
        <v>294</v>
      </c>
      <c r="D4808">
        <f t="shared" si="170"/>
        <v>2016</v>
      </c>
      <c r="E4808">
        <f t="shared" si="171"/>
        <v>9</v>
      </c>
    </row>
    <row r="4809" spans="1:5" x14ac:dyDescent="0.3">
      <c r="A4809" t="s">
        <v>4934</v>
      </c>
      <c r="B4809" t="s">
        <v>127</v>
      </c>
      <c r="C4809">
        <v>290</v>
      </c>
      <c r="D4809">
        <f t="shared" si="170"/>
        <v>2016</v>
      </c>
      <c r="E4809">
        <f t="shared" si="171"/>
        <v>10</v>
      </c>
    </row>
    <row r="4810" spans="1:5" x14ac:dyDescent="0.3">
      <c r="A4810" t="s">
        <v>4935</v>
      </c>
      <c r="B4810" t="s">
        <v>127</v>
      </c>
      <c r="C4810">
        <v>283</v>
      </c>
      <c r="D4810">
        <f t="shared" si="170"/>
        <v>2016</v>
      </c>
      <c r="E4810">
        <f t="shared" si="171"/>
        <v>10</v>
      </c>
    </row>
    <row r="4811" spans="1:5" x14ac:dyDescent="0.3">
      <c r="A4811" t="s">
        <v>4936</v>
      </c>
      <c r="B4811" t="s">
        <v>127</v>
      </c>
      <c r="C4811">
        <v>279</v>
      </c>
      <c r="D4811">
        <f t="shared" si="170"/>
        <v>2016</v>
      </c>
      <c r="E4811">
        <f t="shared" si="171"/>
        <v>10</v>
      </c>
    </row>
    <row r="4812" spans="1:5" x14ac:dyDescent="0.3">
      <c r="A4812" t="s">
        <v>4937</v>
      </c>
      <c r="B4812" t="s">
        <v>127</v>
      </c>
      <c r="C4812">
        <v>277</v>
      </c>
      <c r="D4812">
        <f t="shared" si="170"/>
        <v>2016</v>
      </c>
      <c r="E4812">
        <f t="shared" si="171"/>
        <v>10</v>
      </c>
    </row>
    <row r="4813" spans="1:5" x14ac:dyDescent="0.3">
      <c r="A4813" t="s">
        <v>4938</v>
      </c>
      <c r="B4813" t="s">
        <v>127</v>
      </c>
      <c r="C4813">
        <v>275</v>
      </c>
      <c r="D4813">
        <f t="shared" si="170"/>
        <v>2016</v>
      </c>
      <c r="E4813">
        <f t="shared" si="171"/>
        <v>10</v>
      </c>
    </row>
    <row r="4814" spans="1:5" x14ac:dyDescent="0.3">
      <c r="A4814" t="s">
        <v>4939</v>
      </c>
      <c r="B4814" t="s">
        <v>127</v>
      </c>
      <c r="C4814">
        <v>275</v>
      </c>
      <c r="D4814">
        <f t="shared" si="170"/>
        <v>2016</v>
      </c>
      <c r="E4814">
        <f t="shared" si="171"/>
        <v>10</v>
      </c>
    </row>
    <row r="4815" spans="1:5" x14ac:dyDescent="0.3">
      <c r="A4815" t="s">
        <v>4940</v>
      </c>
      <c r="B4815" t="s">
        <v>127</v>
      </c>
      <c r="C4815">
        <v>271</v>
      </c>
      <c r="D4815">
        <f t="shared" si="170"/>
        <v>2016</v>
      </c>
      <c r="E4815">
        <f t="shared" si="171"/>
        <v>10</v>
      </c>
    </row>
    <row r="4816" spans="1:5" x14ac:dyDescent="0.3">
      <c r="A4816" t="s">
        <v>4941</v>
      </c>
      <c r="B4816" t="s">
        <v>127</v>
      </c>
      <c r="C4816">
        <v>268</v>
      </c>
      <c r="D4816">
        <f t="shared" si="170"/>
        <v>2016</v>
      </c>
      <c r="E4816">
        <f t="shared" si="171"/>
        <v>10</v>
      </c>
    </row>
    <row r="4817" spans="1:5" x14ac:dyDescent="0.3">
      <c r="A4817" t="s">
        <v>4942</v>
      </c>
      <c r="B4817" t="s">
        <v>127</v>
      </c>
      <c r="C4817">
        <v>267</v>
      </c>
      <c r="D4817">
        <f t="shared" si="170"/>
        <v>2016</v>
      </c>
      <c r="E4817">
        <f t="shared" si="171"/>
        <v>10</v>
      </c>
    </row>
    <row r="4818" spans="1:5" x14ac:dyDescent="0.3">
      <c r="A4818" t="s">
        <v>4943</v>
      </c>
      <c r="B4818" t="s">
        <v>127</v>
      </c>
      <c r="C4818">
        <v>265</v>
      </c>
      <c r="D4818">
        <f t="shared" si="170"/>
        <v>2016</v>
      </c>
      <c r="E4818">
        <f t="shared" si="171"/>
        <v>10</v>
      </c>
    </row>
    <row r="4819" spans="1:5" x14ac:dyDescent="0.3">
      <c r="A4819" t="s">
        <v>4944</v>
      </c>
      <c r="B4819" t="s">
        <v>127</v>
      </c>
      <c r="C4819">
        <v>269</v>
      </c>
      <c r="D4819">
        <f t="shared" si="170"/>
        <v>2016</v>
      </c>
      <c r="E4819">
        <f t="shared" si="171"/>
        <v>10</v>
      </c>
    </row>
    <row r="4820" spans="1:5" x14ac:dyDescent="0.3">
      <c r="A4820" t="s">
        <v>4945</v>
      </c>
      <c r="B4820" t="s">
        <v>127</v>
      </c>
      <c r="C4820">
        <v>268</v>
      </c>
      <c r="D4820">
        <f t="shared" si="170"/>
        <v>2016</v>
      </c>
      <c r="E4820">
        <f t="shared" si="171"/>
        <v>10</v>
      </c>
    </row>
    <row r="4821" spans="1:5" x14ac:dyDescent="0.3">
      <c r="A4821" t="s">
        <v>4946</v>
      </c>
      <c r="B4821" t="s">
        <v>127</v>
      </c>
      <c r="C4821">
        <v>263</v>
      </c>
      <c r="D4821">
        <f t="shared" si="170"/>
        <v>2016</v>
      </c>
      <c r="E4821">
        <f t="shared" si="171"/>
        <v>10</v>
      </c>
    </row>
    <row r="4822" spans="1:5" x14ac:dyDescent="0.3">
      <c r="A4822" t="s">
        <v>4947</v>
      </c>
      <c r="B4822" t="s">
        <v>127</v>
      </c>
      <c r="C4822">
        <v>261</v>
      </c>
      <c r="D4822">
        <f t="shared" si="170"/>
        <v>2016</v>
      </c>
      <c r="E4822">
        <f t="shared" si="171"/>
        <v>10</v>
      </c>
    </row>
    <row r="4823" spans="1:5" x14ac:dyDescent="0.3">
      <c r="A4823" t="s">
        <v>4948</v>
      </c>
      <c r="B4823" t="s">
        <v>127</v>
      </c>
      <c r="C4823">
        <v>262</v>
      </c>
      <c r="D4823">
        <f t="shared" si="170"/>
        <v>2016</v>
      </c>
      <c r="E4823">
        <f t="shared" si="171"/>
        <v>10</v>
      </c>
    </row>
    <row r="4824" spans="1:5" x14ac:dyDescent="0.3">
      <c r="A4824" t="s">
        <v>4949</v>
      </c>
      <c r="B4824" t="s">
        <v>127</v>
      </c>
      <c r="C4824">
        <v>261</v>
      </c>
      <c r="D4824">
        <f t="shared" si="170"/>
        <v>2016</v>
      </c>
      <c r="E4824">
        <f t="shared" si="171"/>
        <v>10</v>
      </c>
    </row>
    <row r="4825" spans="1:5" x14ac:dyDescent="0.3">
      <c r="A4825" t="s">
        <v>4950</v>
      </c>
      <c r="B4825" t="s">
        <v>127</v>
      </c>
      <c r="C4825">
        <v>266</v>
      </c>
      <c r="D4825">
        <f t="shared" si="170"/>
        <v>2016</v>
      </c>
      <c r="E4825">
        <f t="shared" si="171"/>
        <v>10</v>
      </c>
    </row>
    <row r="4826" spans="1:5" x14ac:dyDescent="0.3">
      <c r="A4826" t="s">
        <v>4951</v>
      </c>
      <c r="B4826" t="s">
        <v>127</v>
      </c>
      <c r="C4826">
        <v>270</v>
      </c>
      <c r="D4826">
        <f t="shared" si="170"/>
        <v>2016</v>
      </c>
      <c r="E4826">
        <f t="shared" si="171"/>
        <v>10</v>
      </c>
    </row>
    <row r="4827" spans="1:5" x14ac:dyDescent="0.3">
      <c r="A4827" t="s">
        <v>4952</v>
      </c>
      <c r="B4827" t="s">
        <v>127</v>
      </c>
      <c r="C4827">
        <v>274</v>
      </c>
      <c r="D4827">
        <f t="shared" si="170"/>
        <v>2016</v>
      </c>
      <c r="E4827">
        <f t="shared" si="171"/>
        <v>10</v>
      </c>
    </row>
    <row r="4828" spans="1:5" x14ac:dyDescent="0.3">
      <c r="A4828" t="s">
        <v>4953</v>
      </c>
      <c r="B4828" t="s">
        <v>127</v>
      </c>
      <c r="C4828">
        <v>279</v>
      </c>
      <c r="D4828">
        <f t="shared" si="170"/>
        <v>2016</v>
      </c>
      <c r="E4828">
        <f t="shared" si="171"/>
        <v>10</v>
      </c>
    </row>
    <row r="4829" spans="1:5" x14ac:dyDescent="0.3">
      <c r="A4829" t="s">
        <v>4954</v>
      </c>
      <c r="B4829" t="s">
        <v>127</v>
      </c>
      <c r="C4829">
        <v>293</v>
      </c>
      <c r="D4829">
        <f t="shared" si="170"/>
        <v>2016</v>
      </c>
      <c r="E4829">
        <f t="shared" si="171"/>
        <v>10</v>
      </c>
    </row>
    <row r="4830" spans="1:5" x14ac:dyDescent="0.3">
      <c r="A4830" t="s">
        <v>4955</v>
      </c>
      <c r="B4830" t="s">
        <v>127</v>
      </c>
      <c r="C4830">
        <v>300</v>
      </c>
      <c r="D4830">
        <f t="shared" si="170"/>
        <v>2016</v>
      </c>
      <c r="E4830">
        <f t="shared" si="171"/>
        <v>11</v>
      </c>
    </row>
    <row r="4831" spans="1:5" x14ac:dyDescent="0.3">
      <c r="A4831" t="s">
        <v>4956</v>
      </c>
      <c r="B4831" t="s">
        <v>127</v>
      </c>
      <c r="C4831">
        <v>302</v>
      </c>
      <c r="D4831">
        <f t="shared" si="170"/>
        <v>2016</v>
      </c>
      <c r="E4831">
        <f t="shared" si="171"/>
        <v>11</v>
      </c>
    </row>
    <row r="4832" spans="1:5" x14ac:dyDescent="0.3">
      <c r="A4832" t="s">
        <v>4957</v>
      </c>
      <c r="B4832" t="s">
        <v>127</v>
      </c>
      <c r="C4832">
        <v>294</v>
      </c>
      <c r="D4832">
        <f t="shared" si="170"/>
        <v>2016</v>
      </c>
      <c r="E4832">
        <f t="shared" si="171"/>
        <v>11</v>
      </c>
    </row>
    <row r="4833" spans="1:5" x14ac:dyDescent="0.3">
      <c r="A4833" t="s">
        <v>4958</v>
      </c>
      <c r="B4833" t="s">
        <v>127</v>
      </c>
      <c r="C4833">
        <v>296</v>
      </c>
      <c r="D4833">
        <f t="shared" si="170"/>
        <v>2016</v>
      </c>
      <c r="E4833">
        <f t="shared" si="171"/>
        <v>11</v>
      </c>
    </row>
    <row r="4834" spans="1:5" x14ac:dyDescent="0.3">
      <c r="A4834" t="s">
        <v>4959</v>
      </c>
      <c r="B4834" t="s">
        <v>127</v>
      </c>
      <c r="C4834">
        <v>279</v>
      </c>
      <c r="D4834">
        <f t="shared" si="170"/>
        <v>2016</v>
      </c>
      <c r="E4834">
        <f t="shared" si="171"/>
        <v>11</v>
      </c>
    </row>
    <row r="4835" spans="1:5" x14ac:dyDescent="0.3">
      <c r="A4835" t="s">
        <v>4960</v>
      </c>
      <c r="B4835" t="s">
        <v>127</v>
      </c>
      <c r="C4835">
        <v>271</v>
      </c>
      <c r="D4835">
        <f t="shared" si="170"/>
        <v>2016</v>
      </c>
      <c r="E4835">
        <f t="shared" si="171"/>
        <v>11</v>
      </c>
    </row>
    <row r="4836" spans="1:5" x14ac:dyDescent="0.3">
      <c r="A4836" t="s">
        <v>4961</v>
      </c>
      <c r="B4836" t="s">
        <v>127</v>
      </c>
      <c r="C4836">
        <v>288</v>
      </c>
      <c r="D4836">
        <f t="shared" si="170"/>
        <v>2016</v>
      </c>
      <c r="E4836">
        <f t="shared" si="171"/>
        <v>11</v>
      </c>
    </row>
    <row r="4837" spans="1:5" x14ac:dyDescent="0.3">
      <c r="A4837" t="s">
        <v>4962</v>
      </c>
      <c r="B4837" t="s">
        <v>127</v>
      </c>
      <c r="C4837">
        <v>322</v>
      </c>
      <c r="D4837">
        <f t="shared" si="170"/>
        <v>2016</v>
      </c>
      <c r="E4837">
        <f t="shared" si="171"/>
        <v>11</v>
      </c>
    </row>
    <row r="4838" spans="1:5" x14ac:dyDescent="0.3">
      <c r="A4838" t="s">
        <v>4963</v>
      </c>
      <c r="B4838" t="s">
        <v>127</v>
      </c>
      <c r="C4838">
        <v>322</v>
      </c>
      <c r="D4838">
        <f t="shared" si="170"/>
        <v>2016</v>
      </c>
      <c r="E4838">
        <f t="shared" si="171"/>
        <v>11</v>
      </c>
    </row>
    <row r="4839" spans="1:5" x14ac:dyDescent="0.3">
      <c r="A4839" t="s">
        <v>4964</v>
      </c>
      <c r="B4839" t="s">
        <v>127</v>
      </c>
      <c r="C4839">
        <v>342</v>
      </c>
      <c r="D4839">
        <f t="shared" si="170"/>
        <v>2016</v>
      </c>
      <c r="E4839">
        <f t="shared" si="171"/>
        <v>11</v>
      </c>
    </row>
    <row r="4840" spans="1:5" x14ac:dyDescent="0.3">
      <c r="A4840" t="s">
        <v>4965</v>
      </c>
      <c r="B4840" t="s">
        <v>127</v>
      </c>
      <c r="C4840">
        <v>319</v>
      </c>
      <c r="D4840">
        <f t="shared" si="170"/>
        <v>2016</v>
      </c>
      <c r="E4840">
        <f t="shared" si="171"/>
        <v>11</v>
      </c>
    </row>
    <row r="4841" spans="1:5" x14ac:dyDescent="0.3">
      <c r="A4841" t="s">
        <v>4966</v>
      </c>
      <c r="B4841" t="s">
        <v>127</v>
      </c>
      <c r="C4841">
        <v>325</v>
      </c>
      <c r="D4841">
        <f t="shared" si="170"/>
        <v>2016</v>
      </c>
      <c r="E4841">
        <f t="shared" si="171"/>
        <v>11</v>
      </c>
    </row>
    <row r="4842" spans="1:5" x14ac:dyDescent="0.3">
      <c r="A4842" t="s">
        <v>4967</v>
      </c>
      <c r="B4842" t="s">
        <v>127</v>
      </c>
      <c r="C4842">
        <v>327</v>
      </c>
      <c r="D4842">
        <f t="shared" si="170"/>
        <v>2016</v>
      </c>
      <c r="E4842">
        <f t="shared" si="171"/>
        <v>11</v>
      </c>
    </row>
    <row r="4843" spans="1:5" x14ac:dyDescent="0.3">
      <c r="A4843" t="s">
        <v>4968</v>
      </c>
      <c r="B4843" t="s">
        <v>127</v>
      </c>
      <c r="C4843">
        <v>336</v>
      </c>
      <c r="D4843">
        <f t="shared" si="170"/>
        <v>2016</v>
      </c>
      <c r="E4843">
        <f t="shared" si="171"/>
        <v>11</v>
      </c>
    </row>
    <row r="4844" spans="1:5" x14ac:dyDescent="0.3">
      <c r="A4844" t="s">
        <v>4969</v>
      </c>
      <c r="B4844" t="s">
        <v>127</v>
      </c>
      <c r="C4844">
        <v>335</v>
      </c>
      <c r="D4844">
        <f t="shared" si="170"/>
        <v>2016</v>
      </c>
      <c r="E4844">
        <f t="shared" si="171"/>
        <v>11</v>
      </c>
    </row>
    <row r="4845" spans="1:5" x14ac:dyDescent="0.3">
      <c r="A4845" t="s">
        <v>4970</v>
      </c>
      <c r="B4845" t="s">
        <v>127</v>
      </c>
      <c r="C4845">
        <v>332</v>
      </c>
      <c r="D4845">
        <f t="shared" si="170"/>
        <v>2016</v>
      </c>
      <c r="E4845">
        <f t="shared" si="171"/>
        <v>11</v>
      </c>
    </row>
    <row r="4846" spans="1:5" x14ac:dyDescent="0.3">
      <c r="A4846" t="s">
        <v>4971</v>
      </c>
      <c r="B4846" t="s">
        <v>127</v>
      </c>
      <c r="C4846">
        <v>335</v>
      </c>
      <c r="D4846">
        <f t="shared" si="170"/>
        <v>2016</v>
      </c>
      <c r="E4846">
        <f t="shared" si="171"/>
        <v>11</v>
      </c>
    </row>
    <row r="4847" spans="1:5" x14ac:dyDescent="0.3">
      <c r="A4847" t="s">
        <v>4972</v>
      </c>
      <c r="B4847" t="s">
        <v>127</v>
      </c>
      <c r="C4847">
        <v>335</v>
      </c>
      <c r="D4847">
        <f t="shared" si="170"/>
        <v>2016</v>
      </c>
      <c r="E4847">
        <f t="shared" si="171"/>
        <v>11</v>
      </c>
    </row>
    <row r="4848" spans="1:5" x14ac:dyDescent="0.3">
      <c r="A4848" t="s">
        <v>4973</v>
      </c>
      <c r="B4848" t="s">
        <v>127</v>
      </c>
      <c r="C4848">
        <v>336</v>
      </c>
      <c r="D4848">
        <f t="shared" si="170"/>
        <v>2016</v>
      </c>
      <c r="E4848">
        <f t="shared" si="171"/>
        <v>11</v>
      </c>
    </row>
    <row r="4849" spans="1:5" x14ac:dyDescent="0.3">
      <c r="A4849" t="s">
        <v>4974</v>
      </c>
      <c r="B4849" t="s">
        <v>127</v>
      </c>
      <c r="C4849">
        <v>333</v>
      </c>
      <c r="D4849">
        <f t="shared" si="170"/>
        <v>2016</v>
      </c>
      <c r="E4849">
        <f t="shared" si="171"/>
        <v>11</v>
      </c>
    </row>
    <row r="4850" spans="1:5" x14ac:dyDescent="0.3">
      <c r="A4850" t="s">
        <v>4975</v>
      </c>
      <c r="B4850" t="s">
        <v>127</v>
      </c>
      <c r="C4850">
        <v>336</v>
      </c>
      <c r="D4850">
        <f t="shared" si="170"/>
        <v>2016</v>
      </c>
      <c r="E4850">
        <f t="shared" si="171"/>
        <v>11</v>
      </c>
    </row>
    <row r="4851" spans="1:5" x14ac:dyDescent="0.3">
      <c r="A4851" t="s">
        <v>4976</v>
      </c>
      <c r="B4851" t="s">
        <v>127</v>
      </c>
      <c r="C4851">
        <v>330</v>
      </c>
      <c r="D4851">
        <f t="shared" si="170"/>
        <v>2016</v>
      </c>
      <c r="E4851">
        <f t="shared" si="171"/>
        <v>11</v>
      </c>
    </row>
    <row r="4852" spans="1:5" x14ac:dyDescent="0.3">
      <c r="A4852" t="s">
        <v>4977</v>
      </c>
      <c r="B4852" t="s">
        <v>127</v>
      </c>
      <c r="C4852">
        <v>330</v>
      </c>
      <c r="D4852">
        <f t="shared" si="170"/>
        <v>2016</v>
      </c>
      <c r="E4852">
        <f t="shared" si="171"/>
        <v>12</v>
      </c>
    </row>
    <row r="4853" spans="1:5" x14ac:dyDescent="0.3">
      <c r="A4853" t="s">
        <v>4978</v>
      </c>
      <c r="B4853" t="s">
        <v>127</v>
      </c>
      <c r="C4853">
        <v>329</v>
      </c>
      <c r="D4853">
        <f t="shared" si="170"/>
        <v>2016</v>
      </c>
      <c r="E4853">
        <f t="shared" si="171"/>
        <v>12</v>
      </c>
    </row>
    <row r="4854" spans="1:5" x14ac:dyDescent="0.3">
      <c r="A4854" t="s">
        <v>4979</v>
      </c>
      <c r="B4854" t="s">
        <v>127</v>
      </c>
      <c r="C4854">
        <v>317</v>
      </c>
      <c r="D4854">
        <f t="shared" si="170"/>
        <v>2016</v>
      </c>
      <c r="E4854">
        <f t="shared" si="171"/>
        <v>12</v>
      </c>
    </row>
    <row r="4855" spans="1:5" x14ac:dyDescent="0.3">
      <c r="A4855" t="s">
        <v>4980</v>
      </c>
      <c r="B4855" t="s">
        <v>127</v>
      </c>
      <c r="C4855">
        <v>313</v>
      </c>
      <c r="D4855">
        <f t="shared" si="170"/>
        <v>2016</v>
      </c>
      <c r="E4855">
        <f t="shared" si="171"/>
        <v>12</v>
      </c>
    </row>
    <row r="4856" spans="1:5" x14ac:dyDescent="0.3">
      <c r="A4856" t="s">
        <v>4981</v>
      </c>
      <c r="B4856" t="s">
        <v>127</v>
      </c>
      <c r="C4856">
        <v>307</v>
      </c>
      <c r="D4856">
        <f t="shared" si="170"/>
        <v>2016</v>
      </c>
      <c r="E4856">
        <f t="shared" si="171"/>
        <v>12</v>
      </c>
    </row>
    <row r="4857" spans="1:5" x14ac:dyDescent="0.3">
      <c r="A4857" t="s">
        <v>4982</v>
      </c>
      <c r="B4857" t="s">
        <v>127</v>
      </c>
      <c r="C4857">
        <v>307</v>
      </c>
      <c r="D4857">
        <f t="shared" si="170"/>
        <v>2016</v>
      </c>
      <c r="E4857">
        <f t="shared" si="171"/>
        <v>12</v>
      </c>
    </row>
    <row r="4858" spans="1:5" x14ac:dyDescent="0.3">
      <c r="A4858" t="s">
        <v>4983</v>
      </c>
      <c r="B4858" t="s">
        <v>127</v>
      </c>
      <c r="C4858">
        <v>305</v>
      </c>
      <c r="D4858">
        <f t="shared" si="170"/>
        <v>2016</v>
      </c>
      <c r="E4858">
        <f t="shared" si="171"/>
        <v>12</v>
      </c>
    </row>
    <row r="4859" spans="1:5" x14ac:dyDescent="0.3">
      <c r="A4859" t="s">
        <v>4984</v>
      </c>
      <c r="B4859" t="s">
        <v>127</v>
      </c>
      <c r="C4859">
        <v>307</v>
      </c>
      <c r="D4859">
        <f t="shared" si="170"/>
        <v>2016</v>
      </c>
      <c r="E4859">
        <f t="shared" si="171"/>
        <v>12</v>
      </c>
    </row>
    <row r="4860" spans="1:5" x14ac:dyDescent="0.3">
      <c r="A4860" t="s">
        <v>4985</v>
      </c>
      <c r="B4860" t="s">
        <v>127</v>
      </c>
      <c r="C4860">
        <v>304</v>
      </c>
      <c r="D4860">
        <f t="shared" si="170"/>
        <v>2016</v>
      </c>
      <c r="E4860">
        <f t="shared" si="171"/>
        <v>12</v>
      </c>
    </row>
    <row r="4861" spans="1:5" x14ac:dyDescent="0.3">
      <c r="A4861" t="s">
        <v>4986</v>
      </c>
      <c r="B4861" t="s">
        <v>127</v>
      </c>
      <c r="C4861">
        <v>299</v>
      </c>
      <c r="D4861">
        <f t="shared" si="170"/>
        <v>2016</v>
      </c>
      <c r="E4861">
        <f t="shared" si="171"/>
        <v>12</v>
      </c>
    </row>
    <row r="4862" spans="1:5" x14ac:dyDescent="0.3">
      <c r="A4862" t="s">
        <v>4987</v>
      </c>
      <c r="B4862" t="s">
        <v>127</v>
      </c>
      <c r="C4862">
        <v>300</v>
      </c>
      <c r="D4862">
        <f t="shared" si="170"/>
        <v>2016</v>
      </c>
      <c r="E4862">
        <f t="shared" si="171"/>
        <v>12</v>
      </c>
    </row>
    <row r="4863" spans="1:5" x14ac:dyDescent="0.3">
      <c r="A4863" t="s">
        <v>4988</v>
      </c>
      <c r="B4863" t="s">
        <v>127</v>
      </c>
      <c r="C4863">
        <v>292</v>
      </c>
      <c r="D4863">
        <f t="shared" si="170"/>
        <v>2016</v>
      </c>
      <c r="E4863">
        <f t="shared" si="171"/>
        <v>12</v>
      </c>
    </row>
    <row r="4864" spans="1:5" x14ac:dyDescent="0.3">
      <c r="A4864" t="s">
        <v>4989</v>
      </c>
      <c r="B4864" t="s">
        <v>127</v>
      </c>
      <c r="C4864">
        <v>296</v>
      </c>
      <c r="D4864">
        <f t="shared" si="170"/>
        <v>2016</v>
      </c>
      <c r="E4864">
        <f t="shared" si="171"/>
        <v>12</v>
      </c>
    </row>
    <row r="4865" spans="1:5" x14ac:dyDescent="0.3">
      <c r="A4865" t="s">
        <v>4990</v>
      </c>
      <c r="B4865" t="s">
        <v>127</v>
      </c>
      <c r="C4865">
        <v>291</v>
      </c>
      <c r="D4865">
        <f t="shared" si="170"/>
        <v>2016</v>
      </c>
      <c r="E4865">
        <f t="shared" si="171"/>
        <v>12</v>
      </c>
    </row>
    <row r="4866" spans="1:5" x14ac:dyDescent="0.3">
      <c r="A4866" t="s">
        <v>4991</v>
      </c>
      <c r="B4866" t="s">
        <v>127</v>
      </c>
      <c r="C4866">
        <v>288</v>
      </c>
      <c r="D4866">
        <f t="shared" si="170"/>
        <v>2016</v>
      </c>
      <c r="E4866">
        <f t="shared" si="171"/>
        <v>12</v>
      </c>
    </row>
    <row r="4867" spans="1:5" x14ac:dyDescent="0.3">
      <c r="A4867" t="s">
        <v>4992</v>
      </c>
      <c r="B4867" t="s">
        <v>127</v>
      </c>
      <c r="C4867">
        <v>293</v>
      </c>
      <c r="D4867">
        <f t="shared" ref="D4867:D4930" si="172">YEAR(A4867)</f>
        <v>2016</v>
      </c>
      <c r="E4867">
        <f t="shared" ref="E4867:E4930" si="173">MONTH(A4867)</f>
        <v>12</v>
      </c>
    </row>
    <row r="4868" spans="1:5" x14ac:dyDescent="0.3">
      <c r="A4868" t="s">
        <v>4993</v>
      </c>
      <c r="B4868" t="s">
        <v>127</v>
      </c>
      <c r="C4868">
        <v>292</v>
      </c>
      <c r="D4868">
        <f t="shared" si="172"/>
        <v>2016</v>
      </c>
      <c r="E4868">
        <f t="shared" si="173"/>
        <v>12</v>
      </c>
    </row>
    <row r="4869" spans="1:5" x14ac:dyDescent="0.3">
      <c r="A4869" t="s">
        <v>4994</v>
      </c>
      <c r="B4869" t="s">
        <v>127</v>
      </c>
      <c r="C4869">
        <v>292</v>
      </c>
      <c r="D4869">
        <f t="shared" si="172"/>
        <v>2016</v>
      </c>
      <c r="E4869">
        <f t="shared" si="173"/>
        <v>12</v>
      </c>
    </row>
    <row r="4870" spans="1:5" x14ac:dyDescent="0.3">
      <c r="A4870" t="s">
        <v>4995</v>
      </c>
      <c r="B4870" t="s">
        <v>127</v>
      </c>
      <c r="C4870">
        <v>288</v>
      </c>
      <c r="D4870">
        <f t="shared" si="172"/>
        <v>2016</v>
      </c>
      <c r="E4870">
        <f t="shared" si="173"/>
        <v>12</v>
      </c>
    </row>
    <row r="4871" spans="1:5" x14ac:dyDescent="0.3">
      <c r="A4871" t="s">
        <v>4996</v>
      </c>
      <c r="B4871" t="s">
        <v>127</v>
      </c>
      <c r="C4871">
        <v>293</v>
      </c>
      <c r="D4871">
        <f t="shared" si="172"/>
        <v>2016</v>
      </c>
      <c r="E4871">
        <f t="shared" si="173"/>
        <v>12</v>
      </c>
    </row>
    <row r="4872" spans="1:5" x14ac:dyDescent="0.3">
      <c r="A4872" t="s">
        <v>4997</v>
      </c>
      <c r="B4872" t="s">
        <v>127</v>
      </c>
      <c r="C4872">
        <v>292</v>
      </c>
      <c r="D4872">
        <f t="shared" si="172"/>
        <v>2016</v>
      </c>
      <c r="E4872">
        <f t="shared" si="173"/>
        <v>12</v>
      </c>
    </row>
    <row r="4873" spans="1:5" x14ac:dyDescent="0.3">
      <c r="A4873" t="s">
        <v>4998</v>
      </c>
      <c r="B4873" t="s">
        <v>127</v>
      </c>
      <c r="C4873">
        <v>296</v>
      </c>
      <c r="D4873">
        <f t="shared" si="172"/>
        <v>2016</v>
      </c>
      <c r="E4873">
        <f t="shared" si="173"/>
        <v>12</v>
      </c>
    </row>
    <row r="4874" spans="1:5" x14ac:dyDescent="0.3">
      <c r="A4874" t="s">
        <v>4999</v>
      </c>
      <c r="B4874" t="s">
        <v>127</v>
      </c>
      <c r="C4874">
        <v>296</v>
      </c>
      <c r="D4874">
        <f t="shared" si="172"/>
        <v>2017</v>
      </c>
      <c r="E4874">
        <f t="shared" si="173"/>
        <v>1</v>
      </c>
    </row>
    <row r="4875" spans="1:5" x14ac:dyDescent="0.3">
      <c r="A4875" t="s">
        <v>5000</v>
      </c>
      <c r="B4875" t="s">
        <v>127</v>
      </c>
      <c r="C4875">
        <v>296</v>
      </c>
      <c r="D4875">
        <f t="shared" si="172"/>
        <v>2017</v>
      </c>
      <c r="E4875">
        <f t="shared" si="173"/>
        <v>1</v>
      </c>
    </row>
    <row r="4876" spans="1:5" x14ac:dyDescent="0.3">
      <c r="A4876" t="s">
        <v>5001</v>
      </c>
      <c r="B4876" t="s">
        <v>127</v>
      </c>
      <c r="C4876">
        <v>300</v>
      </c>
      <c r="D4876">
        <f t="shared" si="172"/>
        <v>2017</v>
      </c>
      <c r="E4876">
        <f t="shared" si="173"/>
        <v>1</v>
      </c>
    </row>
    <row r="4877" spans="1:5" x14ac:dyDescent="0.3">
      <c r="A4877" t="s">
        <v>5002</v>
      </c>
      <c r="B4877" t="s">
        <v>127</v>
      </c>
      <c r="C4877">
        <v>307</v>
      </c>
      <c r="D4877">
        <f t="shared" si="172"/>
        <v>2017</v>
      </c>
      <c r="E4877">
        <f t="shared" si="173"/>
        <v>1</v>
      </c>
    </row>
    <row r="4878" spans="1:5" x14ac:dyDescent="0.3">
      <c r="A4878" t="s">
        <v>5003</v>
      </c>
      <c r="B4878" t="s">
        <v>127</v>
      </c>
      <c r="C4878">
        <v>302</v>
      </c>
      <c r="D4878">
        <f t="shared" si="172"/>
        <v>2017</v>
      </c>
      <c r="E4878">
        <f t="shared" si="173"/>
        <v>1</v>
      </c>
    </row>
    <row r="4879" spans="1:5" x14ac:dyDescent="0.3">
      <c r="A4879" t="s">
        <v>5004</v>
      </c>
      <c r="B4879" t="s">
        <v>127</v>
      </c>
      <c r="C4879">
        <v>303</v>
      </c>
      <c r="D4879">
        <f t="shared" si="172"/>
        <v>2017</v>
      </c>
      <c r="E4879">
        <f t="shared" si="173"/>
        <v>1</v>
      </c>
    </row>
    <row r="4880" spans="1:5" x14ac:dyDescent="0.3">
      <c r="A4880" t="s">
        <v>5005</v>
      </c>
      <c r="B4880" t="s">
        <v>127</v>
      </c>
      <c r="C4880">
        <v>311</v>
      </c>
      <c r="D4880">
        <f t="shared" si="172"/>
        <v>2017</v>
      </c>
      <c r="E4880">
        <f t="shared" si="173"/>
        <v>1</v>
      </c>
    </row>
    <row r="4881" spans="1:5" x14ac:dyDescent="0.3">
      <c r="A4881" t="s">
        <v>5006</v>
      </c>
      <c r="B4881" t="s">
        <v>127</v>
      </c>
      <c r="C4881">
        <v>320</v>
      </c>
      <c r="D4881">
        <f t="shared" si="172"/>
        <v>2017</v>
      </c>
      <c r="E4881">
        <f t="shared" si="173"/>
        <v>1</v>
      </c>
    </row>
    <row r="4882" spans="1:5" x14ac:dyDescent="0.3">
      <c r="A4882" t="s">
        <v>5007</v>
      </c>
      <c r="B4882" t="s">
        <v>127</v>
      </c>
      <c r="C4882">
        <v>312</v>
      </c>
      <c r="D4882">
        <f t="shared" si="172"/>
        <v>2017</v>
      </c>
      <c r="E4882">
        <f t="shared" si="173"/>
        <v>1</v>
      </c>
    </row>
    <row r="4883" spans="1:5" x14ac:dyDescent="0.3">
      <c r="A4883" t="s">
        <v>5008</v>
      </c>
      <c r="B4883" t="s">
        <v>127</v>
      </c>
      <c r="C4883">
        <v>307</v>
      </c>
      <c r="D4883">
        <f t="shared" si="172"/>
        <v>2017</v>
      </c>
      <c r="E4883">
        <f t="shared" si="173"/>
        <v>1</v>
      </c>
    </row>
    <row r="4884" spans="1:5" x14ac:dyDescent="0.3">
      <c r="A4884" t="s">
        <v>5009</v>
      </c>
      <c r="B4884" t="s">
        <v>127</v>
      </c>
      <c r="C4884">
        <v>307</v>
      </c>
      <c r="D4884">
        <f t="shared" si="172"/>
        <v>2017</v>
      </c>
      <c r="E4884">
        <f t="shared" si="173"/>
        <v>1</v>
      </c>
    </row>
    <row r="4885" spans="1:5" x14ac:dyDescent="0.3">
      <c r="A4885" t="s">
        <v>5010</v>
      </c>
      <c r="B4885" t="s">
        <v>127</v>
      </c>
      <c r="C4885">
        <v>304</v>
      </c>
      <c r="D4885">
        <f t="shared" si="172"/>
        <v>2017</v>
      </c>
      <c r="E4885">
        <f t="shared" si="173"/>
        <v>1</v>
      </c>
    </row>
    <row r="4886" spans="1:5" x14ac:dyDescent="0.3">
      <c r="A4886" t="s">
        <v>5011</v>
      </c>
      <c r="B4886" t="s">
        <v>127</v>
      </c>
      <c r="C4886">
        <v>304</v>
      </c>
      <c r="D4886">
        <f t="shared" si="172"/>
        <v>2017</v>
      </c>
      <c r="E4886">
        <f t="shared" si="173"/>
        <v>1</v>
      </c>
    </row>
    <row r="4887" spans="1:5" x14ac:dyDescent="0.3">
      <c r="A4887" t="s">
        <v>5012</v>
      </c>
      <c r="B4887" t="s">
        <v>127</v>
      </c>
      <c r="C4887">
        <v>313</v>
      </c>
      <c r="D4887">
        <f t="shared" si="172"/>
        <v>2017</v>
      </c>
      <c r="E4887">
        <f t="shared" si="173"/>
        <v>1</v>
      </c>
    </row>
    <row r="4888" spans="1:5" x14ac:dyDescent="0.3">
      <c r="A4888" t="s">
        <v>5013</v>
      </c>
      <c r="B4888" t="s">
        <v>127</v>
      </c>
      <c r="C4888">
        <v>312</v>
      </c>
      <c r="D4888">
        <f t="shared" si="172"/>
        <v>2017</v>
      </c>
      <c r="E4888">
        <f t="shared" si="173"/>
        <v>1</v>
      </c>
    </row>
    <row r="4889" spans="1:5" x14ac:dyDescent="0.3">
      <c r="A4889" t="s">
        <v>5014</v>
      </c>
      <c r="B4889" t="s">
        <v>127</v>
      </c>
      <c r="C4889">
        <v>314</v>
      </c>
      <c r="D4889">
        <f t="shared" si="172"/>
        <v>2017</v>
      </c>
      <c r="E4889">
        <f t="shared" si="173"/>
        <v>1</v>
      </c>
    </row>
    <row r="4890" spans="1:5" x14ac:dyDescent="0.3">
      <c r="A4890" t="s">
        <v>5015</v>
      </c>
      <c r="B4890" t="s">
        <v>127</v>
      </c>
      <c r="C4890">
        <v>309</v>
      </c>
      <c r="D4890">
        <f t="shared" si="172"/>
        <v>2017</v>
      </c>
      <c r="E4890">
        <f t="shared" si="173"/>
        <v>1</v>
      </c>
    </row>
    <row r="4891" spans="1:5" x14ac:dyDescent="0.3">
      <c r="A4891" t="s">
        <v>5016</v>
      </c>
      <c r="B4891" t="s">
        <v>127</v>
      </c>
      <c r="C4891">
        <v>301</v>
      </c>
      <c r="D4891">
        <f t="shared" si="172"/>
        <v>2017</v>
      </c>
      <c r="E4891">
        <f t="shared" si="173"/>
        <v>1</v>
      </c>
    </row>
    <row r="4892" spans="1:5" x14ac:dyDescent="0.3">
      <c r="A4892" t="s">
        <v>5017</v>
      </c>
      <c r="B4892" t="s">
        <v>127</v>
      </c>
      <c r="C4892">
        <v>297</v>
      </c>
      <c r="D4892">
        <f t="shared" si="172"/>
        <v>2017</v>
      </c>
      <c r="E4892">
        <f t="shared" si="173"/>
        <v>1</v>
      </c>
    </row>
    <row r="4893" spans="1:5" x14ac:dyDescent="0.3">
      <c r="A4893" t="s">
        <v>5018</v>
      </c>
      <c r="B4893" t="s">
        <v>127</v>
      </c>
      <c r="C4893">
        <v>294</v>
      </c>
      <c r="D4893">
        <f t="shared" si="172"/>
        <v>2017</v>
      </c>
      <c r="E4893">
        <f t="shared" si="173"/>
        <v>1</v>
      </c>
    </row>
    <row r="4894" spans="1:5" x14ac:dyDescent="0.3">
      <c r="A4894" t="s">
        <v>5019</v>
      </c>
      <c r="B4894" t="s">
        <v>127</v>
      </c>
      <c r="C4894">
        <v>295</v>
      </c>
      <c r="D4894">
        <f t="shared" si="172"/>
        <v>2017</v>
      </c>
      <c r="E4894">
        <f t="shared" si="173"/>
        <v>1</v>
      </c>
    </row>
    <row r="4895" spans="1:5" x14ac:dyDescent="0.3">
      <c r="A4895" t="s">
        <v>5020</v>
      </c>
      <c r="B4895" t="s">
        <v>127</v>
      </c>
      <c r="C4895">
        <v>296</v>
      </c>
      <c r="D4895">
        <f t="shared" si="172"/>
        <v>2017</v>
      </c>
      <c r="E4895">
        <f t="shared" si="173"/>
        <v>1</v>
      </c>
    </row>
    <row r="4896" spans="1:5" x14ac:dyDescent="0.3">
      <c r="A4896" t="s">
        <v>5021</v>
      </c>
      <c r="B4896" t="s">
        <v>127</v>
      </c>
      <c r="C4896">
        <v>293</v>
      </c>
      <c r="D4896">
        <f t="shared" si="172"/>
        <v>2017</v>
      </c>
      <c r="E4896">
        <f t="shared" si="173"/>
        <v>2</v>
      </c>
    </row>
    <row r="4897" spans="1:5" x14ac:dyDescent="0.3">
      <c r="A4897" t="s">
        <v>5022</v>
      </c>
      <c r="B4897" t="s">
        <v>127</v>
      </c>
      <c r="C4897">
        <v>284</v>
      </c>
      <c r="D4897">
        <f t="shared" si="172"/>
        <v>2017</v>
      </c>
      <c r="E4897">
        <f t="shared" si="173"/>
        <v>2</v>
      </c>
    </row>
    <row r="4898" spans="1:5" x14ac:dyDescent="0.3">
      <c r="A4898" t="s">
        <v>5023</v>
      </c>
      <c r="B4898" t="s">
        <v>127</v>
      </c>
      <c r="C4898">
        <v>279</v>
      </c>
      <c r="D4898">
        <f t="shared" si="172"/>
        <v>2017</v>
      </c>
      <c r="E4898">
        <f t="shared" si="173"/>
        <v>2</v>
      </c>
    </row>
    <row r="4899" spans="1:5" x14ac:dyDescent="0.3">
      <c r="A4899" t="s">
        <v>5024</v>
      </c>
      <c r="B4899" t="s">
        <v>127</v>
      </c>
      <c r="C4899">
        <v>284</v>
      </c>
      <c r="D4899">
        <f t="shared" si="172"/>
        <v>2017</v>
      </c>
      <c r="E4899">
        <f t="shared" si="173"/>
        <v>2</v>
      </c>
    </row>
    <row r="4900" spans="1:5" x14ac:dyDescent="0.3">
      <c r="A4900" t="s">
        <v>5025</v>
      </c>
      <c r="B4900" t="s">
        <v>127</v>
      </c>
      <c r="C4900">
        <v>290</v>
      </c>
      <c r="D4900">
        <f t="shared" si="172"/>
        <v>2017</v>
      </c>
      <c r="E4900">
        <f t="shared" si="173"/>
        <v>2</v>
      </c>
    </row>
    <row r="4901" spans="1:5" x14ac:dyDescent="0.3">
      <c r="A4901" t="s">
        <v>5026</v>
      </c>
      <c r="B4901" t="s">
        <v>127</v>
      </c>
      <c r="C4901">
        <v>290</v>
      </c>
      <c r="D4901">
        <f t="shared" si="172"/>
        <v>2017</v>
      </c>
      <c r="E4901">
        <f t="shared" si="173"/>
        <v>2</v>
      </c>
    </row>
    <row r="4902" spans="1:5" x14ac:dyDescent="0.3">
      <c r="A4902" t="s">
        <v>5027</v>
      </c>
      <c r="B4902" t="s">
        <v>127</v>
      </c>
      <c r="C4902">
        <v>284</v>
      </c>
      <c r="D4902">
        <f t="shared" si="172"/>
        <v>2017</v>
      </c>
      <c r="E4902">
        <f t="shared" si="173"/>
        <v>2</v>
      </c>
    </row>
    <row r="4903" spans="1:5" x14ac:dyDescent="0.3">
      <c r="A4903" t="s">
        <v>5028</v>
      </c>
      <c r="B4903" t="s">
        <v>127</v>
      </c>
      <c r="C4903">
        <v>281</v>
      </c>
      <c r="D4903">
        <f t="shared" si="172"/>
        <v>2017</v>
      </c>
      <c r="E4903">
        <f t="shared" si="173"/>
        <v>2</v>
      </c>
    </row>
    <row r="4904" spans="1:5" x14ac:dyDescent="0.3">
      <c r="A4904" t="s">
        <v>5029</v>
      </c>
      <c r="B4904" t="s">
        <v>127</v>
      </c>
      <c r="C4904">
        <v>278</v>
      </c>
      <c r="D4904">
        <f t="shared" si="172"/>
        <v>2017</v>
      </c>
      <c r="E4904">
        <f t="shared" si="173"/>
        <v>2</v>
      </c>
    </row>
    <row r="4905" spans="1:5" x14ac:dyDescent="0.3">
      <c r="A4905" t="s">
        <v>5030</v>
      </c>
      <c r="B4905" t="s">
        <v>127</v>
      </c>
      <c r="C4905">
        <v>277</v>
      </c>
      <c r="D4905">
        <f t="shared" si="172"/>
        <v>2017</v>
      </c>
      <c r="E4905">
        <f t="shared" si="173"/>
        <v>2</v>
      </c>
    </row>
    <row r="4906" spans="1:5" x14ac:dyDescent="0.3">
      <c r="A4906" t="s">
        <v>5031</v>
      </c>
      <c r="B4906" t="s">
        <v>127</v>
      </c>
      <c r="C4906">
        <v>283</v>
      </c>
      <c r="D4906">
        <f t="shared" si="172"/>
        <v>2017</v>
      </c>
      <c r="E4906">
        <f t="shared" si="173"/>
        <v>2</v>
      </c>
    </row>
    <row r="4907" spans="1:5" x14ac:dyDescent="0.3">
      <c r="A4907" t="s">
        <v>5032</v>
      </c>
      <c r="B4907" t="s">
        <v>127</v>
      </c>
      <c r="C4907">
        <v>288</v>
      </c>
      <c r="D4907">
        <f t="shared" si="172"/>
        <v>2017</v>
      </c>
      <c r="E4907">
        <f t="shared" si="173"/>
        <v>2</v>
      </c>
    </row>
    <row r="4908" spans="1:5" x14ac:dyDescent="0.3">
      <c r="A4908" t="s">
        <v>5033</v>
      </c>
      <c r="B4908" t="s">
        <v>127</v>
      </c>
      <c r="C4908">
        <v>290</v>
      </c>
      <c r="D4908">
        <f t="shared" si="172"/>
        <v>2017</v>
      </c>
      <c r="E4908">
        <f t="shared" si="173"/>
        <v>2</v>
      </c>
    </row>
    <row r="4909" spans="1:5" x14ac:dyDescent="0.3">
      <c r="A4909" t="s">
        <v>5034</v>
      </c>
      <c r="B4909" t="s">
        <v>127</v>
      </c>
      <c r="C4909">
        <v>290</v>
      </c>
      <c r="D4909">
        <f t="shared" si="172"/>
        <v>2017</v>
      </c>
      <c r="E4909">
        <f t="shared" si="173"/>
        <v>2</v>
      </c>
    </row>
    <row r="4910" spans="1:5" x14ac:dyDescent="0.3">
      <c r="A4910" t="s">
        <v>5035</v>
      </c>
      <c r="B4910" t="s">
        <v>127</v>
      </c>
      <c r="C4910">
        <v>283</v>
      </c>
      <c r="D4910">
        <f t="shared" si="172"/>
        <v>2017</v>
      </c>
      <c r="E4910">
        <f t="shared" si="173"/>
        <v>2</v>
      </c>
    </row>
    <row r="4911" spans="1:5" x14ac:dyDescent="0.3">
      <c r="A4911" t="s">
        <v>5036</v>
      </c>
      <c r="B4911" t="s">
        <v>127</v>
      </c>
      <c r="C4911">
        <v>277</v>
      </c>
      <c r="D4911">
        <f t="shared" si="172"/>
        <v>2017</v>
      </c>
      <c r="E4911">
        <f t="shared" si="173"/>
        <v>2</v>
      </c>
    </row>
    <row r="4912" spans="1:5" x14ac:dyDescent="0.3">
      <c r="A4912" t="s">
        <v>5037</v>
      </c>
      <c r="B4912" t="s">
        <v>127</v>
      </c>
      <c r="C4912">
        <v>274</v>
      </c>
      <c r="D4912">
        <f t="shared" si="172"/>
        <v>2017</v>
      </c>
      <c r="E4912">
        <f t="shared" si="173"/>
        <v>2</v>
      </c>
    </row>
    <row r="4913" spans="1:5" x14ac:dyDescent="0.3">
      <c r="A4913" t="s">
        <v>5038</v>
      </c>
      <c r="B4913" t="s">
        <v>127</v>
      </c>
      <c r="C4913">
        <v>275</v>
      </c>
      <c r="D4913">
        <f t="shared" si="172"/>
        <v>2017</v>
      </c>
      <c r="E4913">
        <f t="shared" si="173"/>
        <v>2</v>
      </c>
    </row>
    <row r="4914" spans="1:5" x14ac:dyDescent="0.3">
      <c r="A4914" t="s">
        <v>5039</v>
      </c>
      <c r="B4914" t="s">
        <v>127</v>
      </c>
      <c r="C4914">
        <v>272</v>
      </c>
      <c r="D4914">
        <f t="shared" si="172"/>
        <v>2017</v>
      </c>
      <c r="E4914">
        <f t="shared" si="173"/>
        <v>2</v>
      </c>
    </row>
    <row r="4915" spans="1:5" x14ac:dyDescent="0.3">
      <c r="A4915" t="s">
        <v>5040</v>
      </c>
      <c r="B4915" t="s">
        <v>127</v>
      </c>
      <c r="C4915">
        <v>275</v>
      </c>
      <c r="D4915">
        <f t="shared" si="172"/>
        <v>2017</v>
      </c>
      <c r="E4915">
        <f t="shared" si="173"/>
        <v>2</v>
      </c>
    </row>
    <row r="4916" spans="1:5" x14ac:dyDescent="0.3">
      <c r="A4916" t="s">
        <v>5041</v>
      </c>
      <c r="B4916" t="s">
        <v>127</v>
      </c>
      <c r="C4916">
        <v>268</v>
      </c>
      <c r="D4916">
        <f t="shared" si="172"/>
        <v>2017</v>
      </c>
      <c r="E4916">
        <f t="shared" si="173"/>
        <v>3</v>
      </c>
    </row>
    <row r="4917" spans="1:5" x14ac:dyDescent="0.3">
      <c r="A4917" t="s">
        <v>5042</v>
      </c>
      <c r="B4917" t="s">
        <v>127</v>
      </c>
      <c r="C4917">
        <v>266</v>
      </c>
      <c r="D4917">
        <f t="shared" si="172"/>
        <v>2017</v>
      </c>
      <c r="E4917">
        <f t="shared" si="173"/>
        <v>3</v>
      </c>
    </row>
    <row r="4918" spans="1:5" x14ac:dyDescent="0.3">
      <c r="A4918" t="s">
        <v>5043</v>
      </c>
      <c r="B4918" t="s">
        <v>127</v>
      </c>
      <c r="C4918">
        <v>260</v>
      </c>
      <c r="D4918">
        <f t="shared" si="172"/>
        <v>2017</v>
      </c>
      <c r="E4918">
        <f t="shared" si="173"/>
        <v>3</v>
      </c>
    </row>
    <row r="4919" spans="1:5" x14ac:dyDescent="0.3">
      <c r="A4919" t="s">
        <v>5044</v>
      </c>
      <c r="B4919" t="s">
        <v>127</v>
      </c>
      <c r="C4919">
        <v>258</v>
      </c>
      <c r="D4919">
        <f t="shared" si="172"/>
        <v>2017</v>
      </c>
      <c r="E4919">
        <f t="shared" si="173"/>
        <v>3</v>
      </c>
    </row>
    <row r="4920" spans="1:5" x14ac:dyDescent="0.3">
      <c r="A4920" t="s">
        <v>5045</v>
      </c>
      <c r="B4920" t="s">
        <v>127</v>
      </c>
      <c r="C4920">
        <v>256</v>
      </c>
      <c r="D4920">
        <f t="shared" si="172"/>
        <v>2017</v>
      </c>
      <c r="E4920">
        <f t="shared" si="173"/>
        <v>3</v>
      </c>
    </row>
    <row r="4921" spans="1:5" x14ac:dyDescent="0.3">
      <c r="A4921" t="s">
        <v>5046</v>
      </c>
      <c r="B4921" t="s">
        <v>127</v>
      </c>
      <c r="C4921">
        <v>262</v>
      </c>
      <c r="D4921">
        <f t="shared" si="172"/>
        <v>2017</v>
      </c>
      <c r="E4921">
        <f t="shared" si="173"/>
        <v>3</v>
      </c>
    </row>
    <row r="4922" spans="1:5" x14ac:dyDescent="0.3">
      <c r="A4922" t="s">
        <v>5047</v>
      </c>
      <c r="B4922" t="s">
        <v>127</v>
      </c>
      <c r="C4922">
        <v>269</v>
      </c>
      <c r="D4922">
        <f t="shared" si="172"/>
        <v>2017</v>
      </c>
      <c r="E4922">
        <f t="shared" si="173"/>
        <v>3</v>
      </c>
    </row>
    <row r="4923" spans="1:5" x14ac:dyDescent="0.3">
      <c r="A4923" t="s">
        <v>5048</v>
      </c>
      <c r="B4923" t="s">
        <v>127</v>
      </c>
      <c r="C4923">
        <v>267</v>
      </c>
      <c r="D4923">
        <f t="shared" si="172"/>
        <v>2017</v>
      </c>
      <c r="E4923">
        <f t="shared" si="173"/>
        <v>3</v>
      </c>
    </row>
    <row r="4924" spans="1:5" x14ac:dyDescent="0.3">
      <c r="A4924" t="s">
        <v>5049</v>
      </c>
      <c r="B4924" t="s">
        <v>127</v>
      </c>
      <c r="C4924">
        <v>269</v>
      </c>
      <c r="D4924">
        <f t="shared" si="172"/>
        <v>2017</v>
      </c>
      <c r="E4924">
        <f t="shared" si="173"/>
        <v>3</v>
      </c>
    </row>
    <row r="4925" spans="1:5" x14ac:dyDescent="0.3">
      <c r="A4925" t="s">
        <v>5050</v>
      </c>
      <c r="B4925" t="s">
        <v>127</v>
      </c>
      <c r="C4925">
        <v>276</v>
      </c>
      <c r="D4925">
        <f t="shared" si="172"/>
        <v>2017</v>
      </c>
      <c r="E4925">
        <f t="shared" si="173"/>
        <v>3</v>
      </c>
    </row>
    <row r="4926" spans="1:5" x14ac:dyDescent="0.3">
      <c r="A4926" t="s">
        <v>5051</v>
      </c>
      <c r="B4926" t="s">
        <v>127</v>
      </c>
      <c r="C4926">
        <v>273</v>
      </c>
      <c r="D4926">
        <f t="shared" si="172"/>
        <v>2017</v>
      </c>
      <c r="E4926">
        <f t="shared" si="173"/>
        <v>3</v>
      </c>
    </row>
    <row r="4927" spans="1:5" x14ac:dyDescent="0.3">
      <c r="A4927" t="s">
        <v>5052</v>
      </c>
      <c r="B4927" t="s">
        <v>127</v>
      </c>
      <c r="C4927">
        <v>265</v>
      </c>
      <c r="D4927">
        <f t="shared" si="172"/>
        <v>2017</v>
      </c>
      <c r="E4927">
        <f t="shared" si="173"/>
        <v>3</v>
      </c>
    </row>
    <row r="4928" spans="1:5" x14ac:dyDescent="0.3">
      <c r="A4928" t="s">
        <v>5053</v>
      </c>
      <c r="B4928" t="s">
        <v>127</v>
      </c>
      <c r="C4928">
        <v>265</v>
      </c>
      <c r="D4928">
        <f t="shared" si="172"/>
        <v>2017</v>
      </c>
      <c r="E4928">
        <f t="shared" si="173"/>
        <v>3</v>
      </c>
    </row>
    <row r="4929" spans="1:5" x14ac:dyDescent="0.3">
      <c r="A4929" t="s">
        <v>5054</v>
      </c>
      <c r="B4929" t="s">
        <v>127</v>
      </c>
      <c r="C4929">
        <v>266</v>
      </c>
      <c r="D4929">
        <f t="shared" si="172"/>
        <v>2017</v>
      </c>
      <c r="E4929">
        <f t="shared" si="173"/>
        <v>3</v>
      </c>
    </row>
    <row r="4930" spans="1:5" x14ac:dyDescent="0.3">
      <c r="A4930" t="s">
        <v>5055</v>
      </c>
      <c r="B4930" t="s">
        <v>127</v>
      </c>
      <c r="C4930">
        <v>268</v>
      </c>
      <c r="D4930">
        <f t="shared" si="172"/>
        <v>2017</v>
      </c>
      <c r="E4930">
        <f t="shared" si="173"/>
        <v>3</v>
      </c>
    </row>
    <row r="4931" spans="1:5" x14ac:dyDescent="0.3">
      <c r="A4931" t="s">
        <v>5056</v>
      </c>
      <c r="B4931" t="s">
        <v>127</v>
      </c>
      <c r="C4931">
        <v>271</v>
      </c>
      <c r="D4931">
        <f t="shared" ref="D4931:D4994" si="174">YEAR(A4931)</f>
        <v>2017</v>
      </c>
      <c r="E4931">
        <f t="shared" ref="E4931:E4994" si="175">MONTH(A4931)</f>
        <v>3</v>
      </c>
    </row>
    <row r="4932" spans="1:5" x14ac:dyDescent="0.3">
      <c r="A4932" t="s">
        <v>5057</v>
      </c>
      <c r="B4932" t="s">
        <v>127</v>
      </c>
      <c r="C4932">
        <v>266</v>
      </c>
      <c r="D4932">
        <f t="shared" si="174"/>
        <v>2017</v>
      </c>
      <c r="E4932">
        <f t="shared" si="175"/>
        <v>3</v>
      </c>
    </row>
    <row r="4933" spans="1:5" x14ac:dyDescent="0.3">
      <c r="A4933" t="s">
        <v>5058</v>
      </c>
      <c r="B4933" t="s">
        <v>127</v>
      </c>
      <c r="C4933">
        <v>260</v>
      </c>
      <c r="D4933">
        <f t="shared" si="174"/>
        <v>2017</v>
      </c>
      <c r="E4933">
        <f t="shared" si="175"/>
        <v>3</v>
      </c>
    </row>
    <row r="4934" spans="1:5" x14ac:dyDescent="0.3">
      <c r="A4934" t="s">
        <v>5059</v>
      </c>
      <c r="B4934" t="s">
        <v>127</v>
      </c>
      <c r="C4934">
        <v>258</v>
      </c>
      <c r="D4934">
        <f t="shared" si="174"/>
        <v>2017</v>
      </c>
      <c r="E4934">
        <f t="shared" si="175"/>
        <v>3</v>
      </c>
    </row>
    <row r="4935" spans="1:5" x14ac:dyDescent="0.3">
      <c r="A4935" t="s">
        <v>5060</v>
      </c>
      <c r="B4935" t="s">
        <v>127</v>
      </c>
      <c r="C4935">
        <v>251</v>
      </c>
      <c r="D4935">
        <f t="shared" si="174"/>
        <v>2017</v>
      </c>
      <c r="E4935">
        <f t="shared" si="175"/>
        <v>3</v>
      </c>
    </row>
    <row r="4936" spans="1:5" x14ac:dyDescent="0.3">
      <c r="A4936" t="s">
        <v>5061</v>
      </c>
      <c r="B4936" t="s">
        <v>127</v>
      </c>
      <c r="C4936">
        <v>250</v>
      </c>
      <c r="D4936">
        <f t="shared" si="174"/>
        <v>2017</v>
      </c>
      <c r="E4936">
        <f t="shared" si="175"/>
        <v>3</v>
      </c>
    </row>
    <row r="4937" spans="1:5" x14ac:dyDescent="0.3">
      <c r="A4937" t="s">
        <v>5062</v>
      </c>
      <c r="B4937" t="s">
        <v>127</v>
      </c>
      <c r="C4937">
        <v>251</v>
      </c>
      <c r="D4937">
        <f t="shared" si="174"/>
        <v>2017</v>
      </c>
      <c r="E4937">
        <f t="shared" si="175"/>
        <v>3</v>
      </c>
    </row>
    <row r="4938" spans="1:5" x14ac:dyDescent="0.3">
      <c r="A4938" t="s">
        <v>5063</v>
      </c>
      <c r="B4938" t="s">
        <v>127</v>
      </c>
      <c r="C4938">
        <v>255</v>
      </c>
      <c r="D4938">
        <f t="shared" si="174"/>
        <v>2017</v>
      </c>
      <c r="E4938">
        <f t="shared" si="175"/>
        <v>3</v>
      </c>
    </row>
    <row r="4939" spans="1:5" x14ac:dyDescent="0.3">
      <c r="A4939" t="s">
        <v>5064</v>
      </c>
      <c r="B4939" t="s">
        <v>127</v>
      </c>
      <c r="C4939">
        <v>260</v>
      </c>
      <c r="D4939">
        <f t="shared" si="174"/>
        <v>2017</v>
      </c>
      <c r="E4939">
        <f t="shared" si="175"/>
        <v>4</v>
      </c>
    </row>
    <row r="4940" spans="1:5" x14ac:dyDescent="0.3">
      <c r="A4940" t="s">
        <v>5065</v>
      </c>
      <c r="B4940" t="s">
        <v>127</v>
      </c>
      <c r="C4940">
        <v>259</v>
      </c>
      <c r="D4940">
        <f t="shared" si="174"/>
        <v>2017</v>
      </c>
      <c r="E4940">
        <f t="shared" si="175"/>
        <v>4</v>
      </c>
    </row>
    <row r="4941" spans="1:5" x14ac:dyDescent="0.3">
      <c r="A4941" t="s">
        <v>5066</v>
      </c>
      <c r="B4941" t="s">
        <v>127</v>
      </c>
      <c r="C4941">
        <v>259</v>
      </c>
      <c r="D4941">
        <f t="shared" si="174"/>
        <v>2017</v>
      </c>
      <c r="E4941">
        <f t="shared" si="175"/>
        <v>4</v>
      </c>
    </row>
    <row r="4942" spans="1:5" x14ac:dyDescent="0.3">
      <c r="A4942" t="s">
        <v>5067</v>
      </c>
      <c r="B4942" t="s">
        <v>127</v>
      </c>
      <c r="C4942">
        <v>260</v>
      </c>
      <c r="D4942">
        <f t="shared" si="174"/>
        <v>2017</v>
      </c>
      <c r="E4942">
        <f t="shared" si="175"/>
        <v>4</v>
      </c>
    </row>
    <row r="4943" spans="1:5" x14ac:dyDescent="0.3">
      <c r="A4943" t="s">
        <v>5068</v>
      </c>
      <c r="B4943" t="s">
        <v>127</v>
      </c>
      <c r="C4943">
        <v>258</v>
      </c>
      <c r="D4943">
        <f t="shared" si="174"/>
        <v>2017</v>
      </c>
      <c r="E4943">
        <f t="shared" si="175"/>
        <v>4</v>
      </c>
    </row>
    <row r="4944" spans="1:5" x14ac:dyDescent="0.3">
      <c r="A4944" t="s">
        <v>5069</v>
      </c>
      <c r="B4944" t="s">
        <v>127</v>
      </c>
      <c r="C4944">
        <v>259</v>
      </c>
      <c r="D4944">
        <f t="shared" si="174"/>
        <v>2017</v>
      </c>
      <c r="E4944">
        <f t="shared" si="175"/>
        <v>4</v>
      </c>
    </row>
    <row r="4945" spans="1:5" x14ac:dyDescent="0.3">
      <c r="A4945" t="s">
        <v>5070</v>
      </c>
      <c r="B4945" t="s">
        <v>127</v>
      </c>
      <c r="C4945">
        <v>263</v>
      </c>
      <c r="D4945">
        <f t="shared" si="174"/>
        <v>2017</v>
      </c>
      <c r="E4945">
        <f t="shared" si="175"/>
        <v>4</v>
      </c>
    </row>
    <row r="4946" spans="1:5" x14ac:dyDescent="0.3">
      <c r="A4946" t="s">
        <v>5071</v>
      </c>
      <c r="B4946" t="s">
        <v>127</v>
      </c>
      <c r="C4946">
        <v>261</v>
      </c>
      <c r="D4946">
        <f t="shared" si="174"/>
        <v>2017</v>
      </c>
      <c r="E4946">
        <f t="shared" si="175"/>
        <v>4</v>
      </c>
    </row>
    <row r="4947" spans="1:5" x14ac:dyDescent="0.3">
      <c r="A4947" t="s">
        <v>5072</v>
      </c>
      <c r="B4947" t="s">
        <v>127</v>
      </c>
      <c r="C4947">
        <v>259</v>
      </c>
      <c r="D4947">
        <f t="shared" si="174"/>
        <v>2017</v>
      </c>
      <c r="E4947">
        <f t="shared" si="175"/>
        <v>4</v>
      </c>
    </row>
    <row r="4948" spans="1:5" x14ac:dyDescent="0.3">
      <c r="A4948" t="s">
        <v>5073</v>
      </c>
      <c r="B4948" t="s">
        <v>127</v>
      </c>
      <c r="C4948">
        <v>259</v>
      </c>
      <c r="D4948">
        <f t="shared" si="174"/>
        <v>2017</v>
      </c>
      <c r="E4948">
        <f t="shared" si="175"/>
        <v>4</v>
      </c>
    </row>
    <row r="4949" spans="1:5" x14ac:dyDescent="0.3">
      <c r="A4949" t="s">
        <v>5074</v>
      </c>
      <c r="B4949" t="s">
        <v>127</v>
      </c>
      <c r="C4949">
        <v>258</v>
      </c>
      <c r="D4949">
        <f t="shared" si="174"/>
        <v>2017</v>
      </c>
      <c r="E4949">
        <f t="shared" si="175"/>
        <v>4</v>
      </c>
    </row>
    <row r="4950" spans="1:5" x14ac:dyDescent="0.3">
      <c r="A4950" t="s">
        <v>5075</v>
      </c>
      <c r="B4950" t="s">
        <v>127</v>
      </c>
      <c r="C4950">
        <v>265</v>
      </c>
      <c r="D4950">
        <f t="shared" si="174"/>
        <v>2017</v>
      </c>
      <c r="E4950">
        <f t="shared" si="175"/>
        <v>4</v>
      </c>
    </row>
    <row r="4951" spans="1:5" x14ac:dyDescent="0.3">
      <c r="A4951" t="s">
        <v>5076</v>
      </c>
      <c r="B4951" t="s">
        <v>127</v>
      </c>
      <c r="C4951">
        <v>262</v>
      </c>
      <c r="D4951">
        <f t="shared" si="174"/>
        <v>2017</v>
      </c>
      <c r="E4951">
        <f t="shared" si="175"/>
        <v>4</v>
      </c>
    </row>
    <row r="4952" spans="1:5" x14ac:dyDescent="0.3">
      <c r="A4952" t="s">
        <v>5077</v>
      </c>
      <c r="B4952" t="s">
        <v>127</v>
      </c>
      <c r="C4952">
        <v>263</v>
      </c>
      <c r="D4952">
        <f t="shared" si="174"/>
        <v>2017</v>
      </c>
      <c r="E4952">
        <f t="shared" si="175"/>
        <v>4</v>
      </c>
    </row>
    <row r="4953" spans="1:5" x14ac:dyDescent="0.3">
      <c r="A4953" t="s">
        <v>5078</v>
      </c>
      <c r="B4953" t="s">
        <v>127</v>
      </c>
      <c r="C4953">
        <v>260</v>
      </c>
      <c r="D4953">
        <f t="shared" si="174"/>
        <v>2017</v>
      </c>
      <c r="E4953">
        <f t="shared" si="175"/>
        <v>4</v>
      </c>
    </row>
    <row r="4954" spans="1:5" x14ac:dyDescent="0.3">
      <c r="A4954" t="s">
        <v>5079</v>
      </c>
      <c r="B4954" t="s">
        <v>127</v>
      </c>
      <c r="C4954">
        <v>255</v>
      </c>
      <c r="D4954">
        <f t="shared" si="174"/>
        <v>2017</v>
      </c>
      <c r="E4954">
        <f t="shared" si="175"/>
        <v>4</v>
      </c>
    </row>
    <row r="4955" spans="1:5" x14ac:dyDescent="0.3">
      <c r="A4955" t="s">
        <v>5080</v>
      </c>
      <c r="B4955" t="s">
        <v>127</v>
      </c>
      <c r="C4955">
        <v>254</v>
      </c>
      <c r="D4955">
        <f t="shared" si="174"/>
        <v>2017</v>
      </c>
      <c r="E4955">
        <f t="shared" si="175"/>
        <v>4</v>
      </c>
    </row>
    <row r="4956" spans="1:5" x14ac:dyDescent="0.3">
      <c r="A4956" t="s">
        <v>5081</v>
      </c>
      <c r="B4956" t="s">
        <v>127</v>
      </c>
      <c r="C4956">
        <v>260</v>
      </c>
      <c r="D4956">
        <f t="shared" si="174"/>
        <v>2017</v>
      </c>
      <c r="E4956">
        <f t="shared" si="175"/>
        <v>4</v>
      </c>
    </row>
    <row r="4957" spans="1:5" x14ac:dyDescent="0.3">
      <c r="A4957" t="s">
        <v>5082</v>
      </c>
      <c r="B4957" t="s">
        <v>127</v>
      </c>
      <c r="C4957">
        <v>260</v>
      </c>
      <c r="D4957">
        <f t="shared" si="174"/>
        <v>2017</v>
      </c>
      <c r="E4957">
        <f t="shared" si="175"/>
        <v>4</v>
      </c>
    </row>
    <row r="4958" spans="1:5" x14ac:dyDescent="0.3">
      <c r="A4958" t="s">
        <v>5083</v>
      </c>
      <c r="B4958" t="s">
        <v>127</v>
      </c>
      <c r="C4958">
        <v>254</v>
      </c>
      <c r="D4958">
        <f t="shared" si="174"/>
        <v>2017</v>
      </c>
      <c r="E4958">
        <f t="shared" si="175"/>
        <v>4</v>
      </c>
    </row>
    <row r="4959" spans="1:5" x14ac:dyDescent="0.3">
      <c r="A4959" t="s">
        <v>5084</v>
      </c>
      <c r="B4959" t="s">
        <v>127</v>
      </c>
      <c r="C4959">
        <v>251</v>
      </c>
      <c r="D4959">
        <f t="shared" si="174"/>
        <v>2017</v>
      </c>
      <c r="E4959">
        <f t="shared" si="175"/>
        <v>5</v>
      </c>
    </row>
    <row r="4960" spans="1:5" x14ac:dyDescent="0.3">
      <c r="A4960" t="s">
        <v>5085</v>
      </c>
      <c r="B4960" t="s">
        <v>127</v>
      </c>
      <c r="C4960">
        <v>251</v>
      </c>
      <c r="D4960">
        <f t="shared" si="174"/>
        <v>2017</v>
      </c>
      <c r="E4960">
        <f t="shared" si="175"/>
        <v>5</v>
      </c>
    </row>
    <row r="4961" spans="1:5" x14ac:dyDescent="0.3">
      <c r="A4961" t="s">
        <v>5086</v>
      </c>
      <c r="B4961" t="s">
        <v>127</v>
      </c>
      <c r="C4961">
        <v>247</v>
      </c>
      <c r="D4961">
        <f t="shared" si="174"/>
        <v>2017</v>
      </c>
      <c r="E4961">
        <f t="shared" si="175"/>
        <v>5</v>
      </c>
    </row>
    <row r="4962" spans="1:5" x14ac:dyDescent="0.3">
      <c r="A4962" t="s">
        <v>5087</v>
      </c>
      <c r="B4962" t="s">
        <v>127</v>
      </c>
      <c r="C4962">
        <v>250</v>
      </c>
      <c r="D4962">
        <f t="shared" si="174"/>
        <v>2017</v>
      </c>
      <c r="E4962">
        <f t="shared" si="175"/>
        <v>5</v>
      </c>
    </row>
    <row r="4963" spans="1:5" x14ac:dyDescent="0.3">
      <c r="A4963" t="s">
        <v>5088</v>
      </c>
      <c r="B4963" t="s">
        <v>127</v>
      </c>
      <c r="C4963">
        <v>249</v>
      </c>
      <c r="D4963">
        <f t="shared" si="174"/>
        <v>2017</v>
      </c>
      <c r="E4963">
        <f t="shared" si="175"/>
        <v>5</v>
      </c>
    </row>
    <row r="4964" spans="1:5" x14ac:dyDescent="0.3">
      <c r="A4964" t="s">
        <v>5089</v>
      </c>
      <c r="B4964" t="s">
        <v>127</v>
      </c>
      <c r="C4964">
        <v>247</v>
      </c>
      <c r="D4964">
        <f t="shared" si="174"/>
        <v>2017</v>
      </c>
      <c r="E4964">
        <f t="shared" si="175"/>
        <v>5</v>
      </c>
    </row>
    <row r="4965" spans="1:5" x14ac:dyDescent="0.3">
      <c r="A4965" t="s">
        <v>5090</v>
      </c>
      <c r="B4965" t="s">
        <v>127</v>
      </c>
      <c r="C4965">
        <v>247</v>
      </c>
      <c r="D4965">
        <f t="shared" si="174"/>
        <v>2017</v>
      </c>
      <c r="E4965">
        <f t="shared" si="175"/>
        <v>5</v>
      </c>
    </row>
    <row r="4966" spans="1:5" x14ac:dyDescent="0.3">
      <c r="A4966" t="s">
        <v>5091</v>
      </c>
      <c r="B4966" t="s">
        <v>127</v>
      </c>
      <c r="C4966">
        <v>243</v>
      </c>
      <c r="D4966">
        <f t="shared" si="174"/>
        <v>2017</v>
      </c>
      <c r="E4966">
        <f t="shared" si="175"/>
        <v>5</v>
      </c>
    </row>
    <row r="4967" spans="1:5" x14ac:dyDescent="0.3">
      <c r="A4967" t="s">
        <v>5092</v>
      </c>
      <c r="B4967" t="s">
        <v>127</v>
      </c>
      <c r="C4967">
        <v>243</v>
      </c>
      <c r="D4967">
        <f t="shared" si="174"/>
        <v>2017</v>
      </c>
      <c r="E4967">
        <f t="shared" si="175"/>
        <v>5</v>
      </c>
    </row>
    <row r="4968" spans="1:5" x14ac:dyDescent="0.3">
      <c r="A4968" t="s">
        <v>5093</v>
      </c>
      <c r="B4968" t="s">
        <v>127</v>
      </c>
      <c r="C4968">
        <v>244</v>
      </c>
      <c r="D4968">
        <f t="shared" si="174"/>
        <v>2017</v>
      </c>
      <c r="E4968">
        <f t="shared" si="175"/>
        <v>5</v>
      </c>
    </row>
    <row r="4969" spans="1:5" x14ac:dyDescent="0.3">
      <c r="A4969" t="s">
        <v>5094</v>
      </c>
      <c r="B4969" t="s">
        <v>127</v>
      </c>
      <c r="C4969">
        <v>241</v>
      </c>
      <c r="D4969">
        <f t="shared" si="174"/>
        <v>2017</v>
      </c>
      <c r="E4969">
        <f t="shared" si="175"/>
        <v>5</v>
      </c>
    </row>
    <row r="4970" spans="1:5" x14ac:dyDescent="0.3">
      <c r="A4970" t="s">
        <v>5095</v>
      </c>
      <c r="B4970" t="s">
        <v>127</v>
      </c>
      <c r="C4970">
        <v>241</v>
      </c>
      <c r="D4970">
        <f t="shared" si="174"/>
        <v>2017</v>
      </c>
      <c r="E4970">
        <f t="shared" si="175"/>
        <v>5</v>
      </c>
    </row>
    <row r="4971" spans="1:5" x14ac:dyDescent="0.3">
      <c r="A4971" t="s">
        <v>5096</v>
      </c>
      <c r="B4971" t="s">
        <v>127</v>
      </c>
      <c r="C4971">
        <v>250</v>
      </c>
      <c r="D4971">
        <f t="shared" si="174"/>
        <v>2017</v>
      </c>
      <c r="E4971">
        <f t="shared" si="175"/>
        <v>5</v>
      </c>
    </row>
    <row r="4972" spans="1:5" x14ac:dyDescent="0.3">
      <c r="A4972" t="s">
        <v>5097</v>
      </c>
      <c r="B4972" t="s">
        <v>127</v>
      </c>
      <c r="C4972">
        <v>252</v>
      </c>
      <c r="D4972">
        <f t="shared" si="174"/>
        <v>2017</v>
      </c>
      <c r="E4972">
        <f t="shared" si="175"/>
        <v>5</v>
      </c>
    </row>
    <row r="4973" spans="1:5" x14ac:dyDescent="0.3">
      <c r="A4973" t="s">
        <v>5098</v>
      </c>
      <c r="B4973" t="s">
        <v>127</v>
      </c>
      <c r="C4973">
        <v>251</v>
      </c>
      <c r="D4973">
        <f t="shared" si="174"/>
        <v>2017</v>
      </c>
      <c r="E4973">
        <f t="shared" si="175"/>
        <v>5</v>
      </c>
    </row>
    <row r="4974" spans="1:5" x14ac:dyDescent="0.3">
      <c r="A4974" t="s">
        <v>5099</v>
      </c>
      <c r="B4974" t="s">
        <v>127</v>
      </c>
      <c r="C4974">
        <v>250</v>
      </c>
      <c r="D4974">
        <f t="shared" si="174"/>
        <v>2017</v>
      </c>
      <c r="E4974">
        <f t="shared" si="175"/>
        <v>5</v>
      </c>
    </row>
    <row r="4975" spans="1:5" x14ac:dyDescent="0.3">
      <c r="A4975" t="s">
        <v>5100</v>
      </c>
      <c r="B4975" t="s">
        <v>127</v>
      </c>
      <c r="C4975">
        <v>246</v>
      </c>
      <c r="D4975">
        <f t="shared" si="174"/>
        <v>2017</v>
      </c>
      <c r="E4975">
        <f t="shared" si="175"/>
        <v>5</v>
      </c>
    </row>
    <row r="4976" spans="1:5" x14ac:dyDescent="0.3">
      <c r="A4976" t="s">
        <v>5101</v>
      </c>
      <c r="B4976" t="s">
        <v>127</v>
      </c>
      <c r="C4976">
        <v>246</v>
      </c>
      <c r="D4976">
        <f t="shared" si="174"/>
        <v>2017</v>
      </c>
      <c r="E4976">
        <f t="shared" si="175"/>
        <v>5</v>
      </c>
    </row>
    <row r="4977" spans="1:5" x14ac:dyDescent="0.3">
      <c r="A4977" t="s">
        <v>5102</v>
      </c>
      <c r="B4977" t="s">
        <v>127</v>
      </c>
      <c r="C4977">
        <v>247</v>
      </c>
      <c r="D4977">
        <f t="shared" si="174"/>
        <v>2017</v>
      </c>
      <c r="E4977">
        <f t="shared" si="175"/>
        <v>5</v>
      </c>
    </row>
    <row r="4978" spans="1:5" x14ac:dyDescent="0.3">
      <c r="A4978" t="s">
        <v>5103</v>
      </c>
      <c r="B4978" t="s">
        <v>127</v>
      </c>
      <c r="C4978">
        <v>247</v>
      </c>
      <c r="D4978">
        <f t="shared" si="174"/>
        <v>2017</v>
      </c>
      <c r="E4978">
        <f t="shared" si="175"/>
        <v>5</v>
      </c>
    </row>
    <row r="4979" spans="1:5" x14ac:dyDescent="0.3">
      <c r="A4979" t="s">
        <v>5104</v>
      </c>
      <c r="B4979" t="s">
        <v>127</v>
      </c>
      <c r="C4979">
        <v>247</v>
      </c>
      <c r="D4979">
        <f t="shared" si="174"/>
        <v>2017</v>
      </c>
      <c r="E4979">
        <f t="shared" si="175"/>
        <v>5</v>
      </c>
    </row>
    <row r="4980" spans="1:5" x14ac:dyDescent="0.3">
      <c r="A4980" t="s">
        <v>5105</v>
      </c>
      <c r="B4980" t="s">
        <v>127</v>
      </c>
      <c r="C4980">
        <v>251</v>
      </c>
      <c r="D4980">
        <f t="shared" si="174"/>
        <v>2017</v>
      </c>
      <c r="E4980">
        <f t="shared" si="175"/>
        <v>5</v>
      </c>
    </row>
    <row r="4981" spans="1:5" x14ac:dyDescent="0.3">
      <c r="A4981" t="s">
        <v>5106</v>
      </c>
      <c r="B4981" t="s">
        <v>127</v>
      </c>
      <c r="C4981">
        <v>255</v>
      </c>
      <c r="D4981">
        <f t="shared" si="174"/>
        <v>2017</v>
      </c>
      <c r="E4981">
        <f t="shared" si="175"/>
        <v>5</v>
      </c>
    </row>
    <row r="4982" spans="1:5" x14ac:dyDescent="0.3">
      <c r="A4982" t="s">
        <v>5107</v>
      </c>
      <c r="B4982" t="s">
        <v>127</v>
      </c>
      <c r="C4982">
        <v>256</v>
      </c>
      <c r="D4982">
        <f t="shared" si="174"/>
        <v>2017</v>
      </c>
      <c r="E4982">
        <f t="shared" si="175"/>
        <v>6</v>
      </c>
    </row>
    <row r="4983" spans="1:5" x14ac:dyDescent="0.3">
      <c r="A4983" t="s">
        <v>5108</v>
      </c>
      <c r="B4983" t="s">
        <v>127</v>
      </c>
      <c r="C4983">
        <v>260</v>
      </c>
      <c r="D4983">
        <f t="shared" si="174"/>
        <v>2017</v>
      </c>
      <c r="E4983">
        <f t="shared" si="175"/>
        <v>6</v>
      </c>
    </row>
    <row r="4984" spans="1:5" x14ac:dyDescent="0.3">
      <c r="A4984" t="s">
        <v>5109</v>
      </c>
      <c r="B4984" t="s">
        <v>127</v>
      </c>
      <c r="C4984">
        <v>249</v>
      </c>
      <c r="D4984">
        <f t="shared" si="174"/>
        <v>2017</v>
      </c>
      <c r="E4984">
        <f t="shared" si="175"/>
        <v>6</v>
      </c>
    </row>
    <row r="4985" spans="1:5" x14ac:dyDescent="0.3">
      <c r="A4985" t="s">
        <v>5110</v>
      </c>
      <c r="B4985" t="s">
        <v>127</v>
      </c>
      <c r="C4985">
        <v>247</v>
      </c>
      <c r="D4985">
        <f t="shared" si="174"/>
        <v>2017</v>
      </c>
      <c r="E4985">
        <f t="shared" si="175"/>
        <v>6</v>
      </c>
    </row>
    <row r="4986" spans="1:5" x14ac:dyDescent="0.3">
      <c r="A4986" t="s">
        <v>5111</v>
      </c>
      <c r="B4986" t="s">
        <v>127</v>
      </c>
      <c r="C4986">
        <v>243</v>
      </c>
      <c r="D4986">
        <f t="shared" si="174"/>
        <v>2017</v>
      </c>
      <c r="E4986">
        <f t="shared" si="175"/>
        <v>6</v>
      </c>
    </row>
    <row r="4987" spans="1:5" x14ac:dyDescent="0.3">
      <c r="A4987" t="s">
        <v>5112</v>
      </c>
      <c r="B4987" t="s">
        <v>127</v>
      </c>
      <c r="C4987">
        <v>244</v>
      </c>
      <c r="D4987">
        <f t="shared" si="174"/>
        <v>2017</v>
      </c>
      <c r="E4987">
        <f t="shared" si="175"/>
        <v>6</v>
      </c>
    </row>
    <row r="4988" spans="1:5" x14ac:dyDescent="0.3">
      <c r="A4988" t="s">
        <v>5113</v>
      </c>
      <c r="B4988" t="s">
        <v>127</v>
      </c>
      <c r="C4988">
        <v>243</v>
      </c>
      <c r="D4988">
        <f t="shared" si="174"/>
        <v>2017</v>
      </c>
      <c r="E4988">
        <f t="shared" si="175"/>
        <v>6</v>
      </c>
    </row>
    <row r="4989" spans="1:5" x14ac:dyDescent="0.3">
      <c r="A4989" t="s">
        <v>5114</v>
      </c>
      <c r="B4989" t="s">
        <v>127</v>
      </c>
      <c r="C4989">
        <v>243</v>
      </c>
      <c r="D4989">
        <f t="shared" si="174"/>
        <v>2017</v>
      </c>
      <c r="E4989">
        <f t="shared" si="175"/>
        <v>6</v>
      </c>
    </row>
    <row r="4990" spans="1:5" x14ac:dyDescent="0.3">
      <c r="A4990" t="s">
        <v>5115</v>
      </c>
      <c r="B4990" t="s">
        <v>127</v>
      </c>
      <c r="C4990">
        <v>243</v>
      </c>
      <c r="D4990">
        <f t="shared" si="174"/>
        <v>2017</v>
      </c>
      <c r="E4990">
        <f t="shared" si="175"/>
        <v>6</v>
      </c>
    </row>
    <row r="4991" spans="1:5" x14ac:dyDescent="0.3">
      <c r="A4991" t="s">
        <v>5116</v>
      </c>
      <c r="B4991" t="s">
        <v>127</v>
      </c>
      <c r="C4991">
        <v>244</v>
      </c>
      <c r="D4991">
        <f t="shared" si="174"/>
        <v>2017</v>
      </c>
      <c r="E4991">
        <f t="shared" si="175"/>
        <v>6</v>
      </c>
    </row>
    <row r="4992" spans="1:5" x14ac:dyDescent="0.3">
      <c r="A4992" t="s">
        <v>5117</v>
      </c>
      <c r="B4992" t="s">
        <v>127</v>
      </c>
      <c r="C4992">
        <v>247</v>
      </c>
      <c r="D4992">
        <f t="shared" si="174"/>
        <v>2017</v>
      </c>
      <c r="E4992">
        <f t="shared" si="175"/>
        <v>6</v>
      </c>
    </row>
    <row r="4993" spans="1:5" x14ac:dyDescent="0.3">
      <c r="A4993" t="s">
        <v>5118</v>
      </c>
      <c r="B4993" t="s">
        <v>127</v>
      </c>
      <c r="C4993">
        <v>248</v>
      </c>
      <c r="D4993">
        <f t="shared" si="174"/>
        <v>2017</v>
      </c>
      <c r="E4993">
        <f t="shared" si="175"/>
        <v>6</v>
      </c>
    </row>
    <row r="4994" spans="1:5" x14ac:dyDescent="0.3">
      <c r="A4994" t="s">
        <v>5119</v>
      </c>
      <c r="B4994" t="s">
        <v>127</v>
      </c>
      <c r="C4994">
        <v>247</v>
      </c>
      <c r="D4994">
        <f t="shared" si="174"/>
        <v>2017</v>
      </c>
      <c r="E4994">
        <f t="shared" si="175"/>
        <v>6</v>
      </c>
    </row>
    <row r="4995" spans="1:5" x14ac:dyDescent="0.3">
      <c r="A4995" t="s">
        <v>5120</v>
      </c>
      <c r="B4995" t="s">
        <v>127</v>
      </c>
      <c r="C4995">
        <v>258</v>
      </c>
      <c r="D4995">
        <f t="shared" ref="D4995:D5058" si="176">YEAR(A4995)</f>
        <v>2017</v>
      </c>
      <c r="E4995">
        <f t="shared" ref="E4995:E5058" si="177">MONTH(A4995)</f>
        <v>6</v>
      </c>
    </row>
    <row r="4996" spans="1:5" x14ac:dyDescent="0.3">
      <c r="A4996" t="s">
        <v>5121</v>
      </c>
      <c r="B4996" t="s">
        <v>127</v>
      </c>
      <c r="C4996">
        <v>263</v>
      </c>
      <c r="D4996">
        <f t="shared" si="176"/>
        <v>2017</v>
      </c>
      <c r="E4996">
        <f t="shared" si="177"/>
        <v>6</v>
      </c>
    </row>
    <row r="4997" spans="1:5" x14ac:dyDescent="0.3">
      <c r="A4997" t="s">
        <v>5122</v>
      </c>
      <c r="B4997" t="s">
        <v>127</v>
      </c>
      <c r="C4997">
        <v>262</v>
      </c>
      <c r="D4997">
        <f t="shared" si="176"/>
        <v>2017</v>
      </c>
      <c r="E4997">
        <f t="shared" si="177"/>
        <v>6</v>
      </c>
    </row>
    <row r="4998" spans="1:5" x14ac:dyDescent="0.3">
      <c r="A4998" t="s">
        <v>5123</v>
      </c>
      <c r="B4998" t="s">
        <v>127</v>
      </c>
      <c r="C4998">
        <v>261</v>
      </c>
      <c r="D4998">
        <f t="shared" si="176"/>
        <v>2017</v>
      </c>
      <c r="E4998">
        <f t="shared" si="177"/>
        <v>6</v>
      </c>
    </row>
    <row r="4999" spans="1:5" x14ac:dyDescent="0.3">
      <c r="A4999" t="s">
        <v>5124</v>
      </c>
      <c r="B4999" t="s">
        <v>127</v>
      </c>
      <c r="C4999">
        <v>258</v>
      </c>
      <c r="D4999">
        <f t="shared" si="176"/>
        <v>2017</v>
      </c>
      <c r="E4999">
        <f t="shared" si="177"/>
        <v>6</v>
      </c>
    </row>
    <row r="5000" spans="1:5" x14ac:dyDescent="0.3">
      <c r="A5000" t="s">
        <v>5125</v>
      </c>
      <c r="B5000" t="s">
        <v>127</v>
      </c>
      <c r="C5000">
        <v>255</v>
      </c>
      <c r="D5000">
        <f t="shared" si="176"/>
        <v>2017</v>
      </c>
      <c r="E5000">
        <f t="shared" si="177"/>
        <v>6</v>
      </c>
    </row>
    <row r="5001" spans="1:5" x14ac:dyDescent="0.3">
      <c r="A5001" t="s">
        <v>5126</v>
      </c>
      <c r="B5001" t="s">
        <v>127</v>
      </c>
      <c r="C5001">
        <v>255</v>
      </c>
      <c r="D5001">
        <f t="shared" si="176"/>
        <v>2017</v>
      </c>
      <c r="E5001">
        <f t="shared" si="177"/>
        <v>6</v>
      </c>
    </row>
    <row r="5002" spans="1:5" x14ac:dyDescent="0.3">
      <c r="A5002" t="s">
        <v>5127</v>
      </c>
      <c r="B5002" t="s">
        <v>127</v>
      </c>
      <c r="C5002">
        <v>258</v>
      </c>
      <c r="D5002">
        <f t="shared" si="176"/>
        <v>2017</v>
      </c>
      <c r="E5002">
        <f t="shared" si="177"/>
        <v>6</v>
      </c>
    </row>
    <row r="5003" spans="1:5" x14ac:dyDescent="0.3">
      <c r="A5003" t="s">
        <v>5128</v>
      </c>
      <c r="B5003" t="s">
        <v>127</v>
      </c>
      <c r="C5003">
        <v>255</v>
      </c>
      <c r="D5003">
        <f t="shared" si="176"/>
        <v>2017</v>
      </c>
      <c r="E5003">
        <f t="shared" si="177"/>
        <v>6</v>
      </c>
    </row>
    <row r="5004" spans="1:5" x14ac:dyDescent="0.3">
      <c r="A5004" t="s">
        <v>5129</v>
      </c>
      <c r="B5004" t="s">
        <v>127</v>
      </c>
      <c r="C5004">
        <v>252</v>
      </c>
      <c r="D5004">
        <f t="shared" si="176"/>
        <v>2017</v>
      </c>
      <c r="E5004">
        <f t="shared" si="177"/>
        <v>7</v>
      </c>
    </row>
    <row r="5005" spans="1:5" x14ac:dyDescent="0.3">
      <c r="A5005" t="s">
        <v>5130</v>
      </c>
      <c r="B5005" t="s">
        <v>127</v>
      </c>
      <c r="C5005">
        <v>252</v>
      </c>
      <c r="D5005">
        <f t="shared" si="176"/>
        <v>2017</v>
      </c>
      <c r="E5005">
        <f t="shared" si="177"/>
        <v>7</v>
      </c>
    </row>
    <row r="5006" spans="1:5" x14ac:dyDescent="0.3">
      <c r="A5006" t="s">
        <v>5131</v>
      </c>
      <c r="B5006" t="s">
        <v>127</v>
      </c>
      <c r="C5006">
        <v>256</v>
      </c>
      <c r="D5006">
        <f t="shared" si="176"/>
        <v>2017</v>
      </c>
      <c r="E5006">
        <f t="shared" si="177"/>
        <v>7</v>
      </c>
    </row>
    <row r="5007" spans="1:5" x14ac:dyDescent="0.3">
      <c r="A5007" t="s">
        <v>5132</v>
      </c>
      <c r="B5007" t="s">
        <v>127</v>
      </c>
      <c r="C5007">
        <v>258</v>
      </c>
      <c r="D5007">
        <f t="shared" si="176"/>
        <v>2017</v>
      </c>
      <c r="E5007">
        <f t="shared" si="177"/>
        <v>7</v>
      </c>
    </row>
    <row r="5008" spans="1:5" x14ac:dyDescent="0.3">
      <c r="A5008" t="s">
        <v>5133</v>
      </c>
      <c r="B5008" t="s">
        <v>127</v>
      </c>
      <c r="C5008">
        <v>254</v>
      </c>
      <c r="D5008">
        <f t="shared" si="176"/>
        <v>2017</v>
      </c>
      <c r="E5008">
        <f t="shared" si="177"/>
        <v>7</v>
      </c>
    </row>
    <row r="5009" spans="1:5" x14ac:dyDescent="0.3">
      <c r="A5009" t="s">
        <v>5134</v>
      </c>
      <c r="B5009" t="s">
        <v>127</v>
      </c>
      <c r="C5009">
        <v>251</v>
      </c>
      <c r="D5009">
        <f t="shared" si="176"/>
        <v>2017</v>
      </c>
      <c r="E5009">
        <f t="shared" si="177"/>
        <v>7</v>
      </c>
    </row>
    <row r="5010" spans="1:5" x14ac:dyDescent="0.3">
      <c r="A5010" t="s">
        <v>5135</v>
      </c>
      <c r="B5010" t="s">
        <v>127</v>
      </c>
      <c r="C5010">
        <v>254</v>
      </c>
      <c r="D5010">
        <f t="shared" si="176"/>
        <v>2017</v>
      </c>
      <c r="E5010">
        <f t="shared" si="177"/>
        <v>7</v>
      </c>
    </row>
    <row r="5011" spans="1:5" x14ac:dyDescent="0.3">
      <c r="A5011" t="s">
        <v>5136</v>
      </c>
      <c r="B5011" t="s">
        <v>127</v>
      </c>
      <c r="C5011">
        <v>253</v>
      </c>
      <c r="D5011">
        <f t="shared" si="176"/>
        <v>2017</v>
      </c>
      <c r="E5011">
        <f t="shared" si="177"/>
        <v>7</v>
      </c>
    </row>
    <row r="5012" spans="1:5" x14ac:dyDescent="0.3">
      <c r="A5012" t="s">
        <v>5137</v>
      </c>
      <c r="B5012" t="s">
        <v>127</v>
      </c>
      <c r="C5012">
        <v>253</v>
      </c>
      <c r="D5012">
        <f t="shared" si="176"/>
        <v>2017</v>
      </c>
      <c r="E5012">
        <f t="shared" si="177"/>
        <v>7</v>
      </c>
    </row>
    <row r="5013" spans="1:5" x14ac:dyDescent="0.3">
      <c r="A5013" t="s">
        <v>5138</v>
      </c>
      <c r="B5013" t="s">
        <v>127</v>
      </c>
      <c r="C5013">
        <v>252</v>
      </c>
      <c r="D5013">
        <f t="shared" si="176"/>
        <v>2017</v>
      </c>
      <c r="E5013">
        <f t="shared" si="177"/>
        <v>7</v>
      </c>
    </row>
    <row r="5014" spans="1:5" x14ac:dyDescent="0.3">
      <c r="A5014" t="s">
        <v>5139</v>
      </c>
      <c r="B5014" t="s">
        <v>127</v>
      </c>
      <c r="C5014">
        <v>251</v>
      </c>
      <c r="D5014">
        <f t="shared" si="176"/>
        <v>2017</v>
      </c>
      <c r="E5014">
        <f t="shared" si="177"/>
        <v>7</v>
      </c>
    </row>
    <row r="5015" spans="1:5" x14ac:dyDescent="0.3">
      <c r="A5015" t="s">
        <v>5140</v>
      </c>
      <c r="B5015" t="s">
        <v>127</v>
      </c>
      <c r="C5015">
        <v>250</v>
      </c>
      <c r="D5015">
        <f t="shared" si="176"/>
        <v>2017</v>
      </c>
      <c r="E5015">
        <f t="shared" si="177"/>
        <v>7</v>
      </c>
    </row>
    <row r="5016" spans="1:5" x14ac:dyDescent="0.3">
      <c r="A5016" t="s">
        <v>5141</v>
      </c>
      <c r="B5016" t="s">
        <v>127</v>
      </c>
      <c r="C5016">
        <v>247</v>
      </c>
      <c r="D5016">
        <f t="shared" si="176"/>
        <v>2017</v>
      </c>
      <c r="E5016">
        <f t="shared" si="177"/>
        <v>7</v>
      </c>
    </row>
    <row r="5017" spans="1:5" x14ac:dyDescent="0.3">
      <c r="A5017" t="s">
        <v>5142</v>
      </c>
      <c r="B5017" t="s">
        <v>127</v>
      </c>
      <c r="C5017">
        <v>243</v>
      </c>
      <c r="D5017">
        <f t="shared" si="176"/>
        <v>2017</v>
      </c>
      <c r="E5017">
        <f t="shared" si="177"/>
        <v>7</v>
      </c>
    </row>
    <row r="5018" spans="1:5" x14ac:dyDescent="0.3">
      <c r="A5018" t="s">
        <v>5143</v>
      </c>
      <c r="B5018" t="s">
        <v>127</v>
      </c>
      <c r="C5018">
        <v>244</v>
      </c>
      <c r="D5018">
        <f t="shared" si="176"/>
        <v>2017</v>
      </c>
      <c r="E5018">
        <f t="shared" si="177"/>
        <v>7</v>
      </c>
    </row>
    <row r="5019" spans="1:5" x14ac:dyDescent="0.3">
      <c r="A5019" t="s">
        <v>5144</v>
      </c>
      <c r="B5019" t="s">
        <v>127</v>
      </c>
      <c r="C5019">
        <v>246</v>
      </c>
      <c r="D5019">
        <f t="shared" si="176"/>
        <v>2017</v>
      </c>
      <c r="E5019">
        <f t="shared" si="177"/>
        <v>7</v>
      </c>
    </row>
    <row r="5020" spans="1:5" x14ac:dyDescent="0.3">
      <c r="A5020" t="s">
        <v>5145</v>
      </c>
      <c r="B5020" t="s">
        <v>127</v>
      </c>
      <c r="C5020">
        <v>243</v>
      </c>
      <c r="D5020">
        <f t="shared" si="176"/>
        <v>2017</v>
      </c>
      <c r="E5020">
        <f t="shared" si="177"/>
        <v>7</v>
      </c>
    </row>
    <row r="5021" spans="1:5" x14ac:dyDescent="0.3">
      <c r="A5021" t="s">
        <v>5146</v>
      </c>
      <c r="B5021" t="s">
        <v>127</v>
      </c>
      <c r="C5021">
        <v>242</v>
      </c>
      <c r="D5021">
        <f t="shared" si="176"/>
        <v>2017</v>
      </c>
      <c r="E5021">
        <f t="shared" si="177"/>
        <v>7</v>
      </c>
    </row>
    <row r="5022" spans="1:5" x14ac:dyDescent="0.3">
      <c r="A5022" t="s">
        <v>5147</v>
      </c>
      <c r="B5022" t="s">
        <v>127</v>
      </c>
      <c r="C5022">
        <v>237</v>
      </c>
      <c r="D5022">
        <f t="shared" si="176"/>
        <v>2017</v>
      </c>
      <c r="E5022">
        <f t="shared" si="177"/>
        <v>7</v>
      </c>
    </row>
    <row r="5023" spans="1:5" x14ac:dyDescent="0.3">
      <c r="A5023" t="s">
        <v>5148</v>
      </c>
      <c r="B5023" t="s">
        <v>127</v>
      </c>
      <c r="C5023">
        <v>239</v>
      </c>
      <c r="D5023">
        <f t="shared" si="176"/>
        <v>2017</v>
      </c>
      <c r="E5023">
        <f t="shared" si="177"/>
        <v>7</v>
      </c>
    </row>
    <row r="5024" spans="1:5" x14ac:dyDescent="0.3">
      <c r="A5024" t="s">
        <v>5149</v>
      </c>
      <c r="B5024" t="s">
        <v>127</v>
      </c>
      <c r="C5024">
        <v>237</v>
      </c>
      <c r="D5024">
        <f t="shared" si="176"/>
        <v>2017</v>
      </c>
      <c r="E5024">
        <f t="shared" si="177"/>
        <v>7</v>
      </c>
    </row>
    <row r="5025" spans="1:5" x14ac:dyDescent="0.3">
      <c r="A5025" t="s">
        <v>5150</v>
      </c>
      <c r="B5025" t="s">
        <v>127</v>
      </c>
      <c r="C5025">
        <v>236</v>
      </c>
      <c r="D5025">
        <f t="shared" si="176"/>
        <v>2017</v>
      </c>
      <c r="E5025">
        <f t="shared" si="177"/>
        <v>8</v>
      </c>
    </row>
    <row r="5026" spans="1:5" x14ac:dyDescent="0.3">
      <c r="A5026" t="s">
        <v>5151</v>
      </c>
      <c r="B5026" t="s">
        <v>127</v>
      </c>
      <c r="C5026">
        <v>238</v>
      </c>
      <c r="D5026">
        <f t="shared" si="176"/>
        <v>2017</v>
      </c>
      <c r="E5026">
        <f t="shared" si="177"/>
        <v>8</v>
      </c>
    </row>
    <row r="5027" spans="1:5" x14ac:dyDescent="0.3">
      <c r="A5027" t="s">
        <v>5152</v>
      </c>
      <c r="B5027" t="s">
        <v>127</v>
      </c>
      <c r="C5027">
        <v>240</v>
      </c>
      <c r="D5027">
        <f t="shared" si="176"/>
        <v>2017</v>
      </c>
      <c r="E5027">
        <f t="shared" si="177"/>
        <v>8</v>
      </c>
    </row>
    <row r="5028" spans="1:5" x14ac:dyDescent="0.3">
      <c r="A5028" t="s">
        <v>5153</v>
      </c>
      <c r="B5028" t="s">
        <v>127</v>
      </c>
      <c r="C5028">
        <v>240</v>
      </c>
      <c r="D5028">
        <f t="shared" si="176"/>
        <v>2017</v>
      </c>
      <c r="E5028">
        <f t="shared" si="177"/>
        <v>8</v>
      </c>
    </row>
    <row r="5029" spans="1:5" x14ac:dyDescent="0.3">
      <c r="A5029" t="s">
        <v>5154</v>
      </c>
      <c r="B5029" t="s">
        <v>127</v>
      </c>
      <c r="C5029">
        <v>242</v>
      </c>
      <c r="D5029">
        <f t="shared" si="176"/>
        <v>2017</v>
      </c>
      <c r="E5029">
        <f t="shared" si="177"/>
        <v>8</v>
      </c>
    </row>
    <row r="5030" spans="1:5" x14ac:dyDescent="0.3">
      <c r="A5030" t="s">
        <v>5155</v>
      </c>
      <c r="B5030" t="s">
        <v>127</v>
      </c>
      <c r="C5030">
        <v>239</v>
      </c>
      <c r="D5030">
        <f t="shared" si="176"/>
        <v>2017</v>
      </c>
      <c r="E5030">
        <f t="shared" si="177"/>
        <v>8</v>
      </c>
    </row>
    <row r="5031" spans="1:5" x14ac:dyDescent="0.3">
      <c r="A5031" t="s">
        <v>5156</v>
      </c>
      <c r="B5031" t="s">
        <v>127</v>
      </c>
      <c r="C5031">
        <v>246</v>
      </c>
      <c r="D5031">
        <f t="shared" si="176"/>
        <v>2017</v>
      </c>
      <c r="E5031">
        <f t="shared" si="177"/>
        <v>8</v>
      </c>
    </row>
    <row r="5032" spans="1:5" x14ac:dyDescent="0.3">
      <c r="A5032" t="s">
        <v>5157</v>
      </c>
      <c r="B5032" t="s">
        <v>127</v>
      </c>
      <c r="C5032">
        <v>254</v>
      </c>
      <c r="D5032">
        <f t="shared" si="176"/>
        <v>2017</v>
      </c>
      <c r="E5032">
        <f t="shared" si="177"/>
        <v>8</v>
      </c>
    </row>
    <row r="5033" spans="1:5" x14ac:dyDescent="0.3">
      <c r="A5033" t="s">
        <v>5158</v>
      </c>
      <c r="B5033" t="s">
        <v>127</v>
      </c>
      <c r="C5033">
        <v>254</v>
      </c>
      <c r="D5033">
        <f t="shared" si="176"/>
        <v>2017</v>
      </c>
      <c r="E5033">
        <f t="shared" si="177"/>
        <v>8</v>
      </c>
    </row>
    <row r="5034" spans="1:5" x14ac:dyDescent="0.3">
      <c r="A5034" t="s">
        <v>5159</v>
      </c>
      <c r="B5034" t="s">
        <v>127</v>
      </c>
      <c r="C5034">
        <v>249</v>
      </c>
      <c r="D5034">
        <f t="shared" si="176"/>
        <v>2017</v>
      </c>
      <c r="E5034">
        <f t="shared" si="177"/>
        <v>8</v>
      </c>
    </row>
    <row r="5035" spans="1:5" x14ac:dyDescent="0.3">
      <c r="A5035" t="s">
        <v>5160</v>
      </c>
      <c r="B5035" t="s">
        <v>127</v>
      </c>
      <c r="C5035">
        <v>244</v>
      </c>
      <c r="D5035">
        <f t="shared" si="176"/>
        <v>2017</v>
      </c>
      <c r="E5035">
        <f t="shared" si="177"/>
        <v>8</v>
      </c>
    </row>
    <row r="5036" spans="1:5" x14ac:dyDescent="0.3">
      <c r="A5036" t="s">
        <v>5161</v>
      </c>
      <c r="B5036" t="s">
        <v>127</v>
      </c>
      <c r="C5036">
        <v>245</v>
      </c>
      <c r="D5036">
        <f t="shared" si="176"/>
        <v>2017</v>
      </c>
      <c r="E5036">
        <f t="shared" si="177"/>
        <v>8</v>
      </c>
    </row>
    <row r="5037" spans="1:5" x14ac:dyDescent="0.3">
      <c r="A5037" t="s">
        <v>5162</v>
      </c>
      <c r="B5037" t="s">
        <v>127</v>
      </c>
      <c r="C5037">
        <v>249</v>
      </c>
      <c r="D5037">
        <f t="shared" si="176"/>
        <v>2017</v>
      </c>
      <c r="E5037">
        <f t="shared" si="177"/>
        <v>8</v>
      </c>
    </row>
    <row r="5038" spans="1:5" x14ac:dyDescent="0.3">
      <c r="A5038" t="s">
        <v>5163</v>
      </c>
      <c r="B5038" t="s">
        <v>127</v>
      </c>
      <c r="C5038">
        <v>247</v>
      </c>
      <c r="D5038">
        <f t="shared" si="176"/>
        <v>2017</v>
      </c>
      <c r="E5038">
        <f t="shared" si="177"/>
        <v>8</v>
      </c>
    </row>
    <row r="5039" spans="1:5" x14ac:dyDescent="0.3">
      <c r="A5039" t="s">
        <v>5164</v>
      </c>
      <c r="B5039" t="s">
        <v>127</v>
      </c>
      <c r="C5039">
        <v>247</v>
      </c>
      <c r="D5039">
        <f t="shared" si="176"/>
        <v>2017</v>
      </c>
      <c r="E5039">
        <f t="shared" si="177"/>
        <v>8</v>
      </c>
    </row>
    <row r="5040" spans="1:5" x14ac:dyDescent="0.3">
      <c r="A5040" t="s">
        <v>5165</v>
      </c>
      <c r="B5040" t="s">
        <v>127</v>
      </c>
      <c r="C5040">
        <v>245</v>
      </c>
      <c r="D5040">
        <f t="shared" si="176"/>
        <v>2017</v>
      </c>
      <c r="E5040">
        <f t="shared" si="177"/>
        <v>8</v>
      </c>
    </row>
    <row r="5041" spans="1:5" x14ac:dyDescent="0.3">
      <c r="A5041" t="s">
        <v>5166</v>
      </c>
      <c r="B5041" t="s">
        <v>127</v>
      </c>
      <c r="C5041">
        <v>248</v>
      </c>
      <c r="D5041">
        <f t="shared" si="176"/>
        <v>2017</v>
      </c>
      <c r="E5041">
        <f t="shared" si="177"/>
        <v>8</v>
      </c>
    </row>
    <row r="5042" spans="1:5" x14ac:dyDescent="0.3">
      <c r="A5042" t="s">
        <v>5167</v>
      </c>
      <c r="B5042" t="s">
        <v>127</v>
      </c>
      <c r="C5042">
        <v>243</v>
      </c>
      <c r="D5042">
        <f t="shared" si="176"/>
        <v>2017</v>
      </c>
      <c r="E5042">
        <f t="shared" si="177"/>
        <v>8</v>
      </c>
    </row>
    <row r="5043" spans="1:5" x14ac:dyDescent="0.3">
      <c r="A5043" t="s">
        <v>5168</v>
      </c>
      <c r="B5043" t="s">
        <v>127</v>
      </c>
      <c r="C5043">
        <v>241</v>
      </c>
      <c r="D5043">
        <f t="shared" si="176"/>
        <v>2017</v>
      </c>
      <c r="E5043">
        <f t="shared" si="177"/>
        <v>8</v>
      </c>
    </row>
    <row r="5044" spans="1:5" x14ac:dyDescent="0.3">
      <c r="A5044" t="s">
        <v>5169</v>
      </c>
      <c r="B5044" t="s">
        <v>127</v>
      </c>
      <c r="C5044">
        <v>242</v>
      </c>
      <c r="D5044">
        <f t="shared" si="176"/>
        <v>2017</v>
      </c>
      <c r="E5044">
        <f t="shared" si="177"/>
        <v>8</v>
      </c>
    </row>
    <row r="5045" spans="1:5" x14ac:dyDescent="0.3">
      <c r="A5045" t="s">
        <v>5170</v>
      </c>
      <c r="B5045" t="s">
        <v>127</v>
      </c>
      <c r="C5045">
        <v>242</v>
      </c>
      <c r="D5045">
        <f t="shared" si="176"/>
        <v>2017</v>
      </c>
      <c r="E5045">
        <f t="shared" si="177"/>
        <v>8</v>
      </c>
    </row>
    <row r="5046" spans="1:5" x14ac:dyDescent="0.3">
      <c r="A5046" t="s">
        <v>5171</v>
      </c>
      <c r="B5046" t="s">
        <v>127</v>
      </c>
      <c r="C5046">
        <v>239</v>
      </c>
      <c r="D5046">
        <f t="shared" si="176"/>
        <v>2017</v>
      </c>
      <c r="E5046">
        <f t="shared" si="177"/>
        <v>8</v>
      </c>
    </row>
    <row r="5047" spans="1:5" x14ac:dyDescent="0.3">
      <c r="A5047" t="s">
        <v>5172</v>
      </c>
      <c r="B5047" t="s">
        <v>127</v>
      </c>
      <c r="C5047">
        <v>244</v>
      </c>
      <c r="D5047">
        <f t="shared" si="176"/>
        <v>2017</v>
      </c>
      <c r="E5047">
        <f t="shared" si="177"/>
        <v>8</v>
      </c>
    </row>
    <row r="5048" spans="1:5" x14ac:dyDescent="0.3">
      <c r="A5048" t="s">
        <v>5173</v>
      </c>
      <c r="B5048" t="s">
        <v>127</v>
      </c>
      <c r="C5048">
        <v>241</v>
      </c>
      <c r="D5048">
        <f t="shared" si="176"/>
        <v>2017</v>
      </c>
      <c r="E5048">
        <f t="shared" si="177"/>
        <v>9</v>
      </c>
    </row>
    <row r="5049" spans="1:5" x14ac:dyDescent="0.3">
      <c r="A5049" t="s">
        <v>5174</v>
      </c>
      <c r="B5049" t="s">
        <v>127</v>
      </c>
      <c r="C5049">
        <v>241</v>
      </c>
      <c r="D5049">
        <f t="shared" si="176"/>
        <v>2017</v>
      </c>
      <c r="E5049">
        <f t="shared" si="177"/>
        <v>9</v>
      </c>
    </row>
    <row r="5050" spans="1:5" x14ac:dyDescent="0.3">
      <c r="A5050" t="s">
        <v>5175</v>
      </c>
      <c r="B5050" t="s">
        <v>127</v>
      </c>
      <c r="C5050">
        <v>246</v>
      </c>
      <c r="D5050">
        <f t="shared" si="176"/>
        <v>2017</v>
      </c>
      <c r="E5050">
        <f t="shared" si="177"/>
        <v>9</v>
      </c>
    </row>
    <row r="5051" spans="1:5" x14ac:dyDescent="0.3">
      <c r="A5051" t="s">
        <v>5176</v>
      </c>
      <c r="B5051" t="s">
        <v>127</v>
      </c>
      <c r="C5051">
        <v>246</v>
      </c>
      <c r="D5051">
        <f t="shared" si="176"/>
        <v>2017</v>
      </c>
      <c r="E5051">
        <f t="shared" si="177"/>
        <v>9</v>
      </c>
    </row>
    <row r="5052" spans="1:5" x14ac:dyDescent="0.3">
      <c r="A5052" t="s">
        <v>5177</v>
      </c>
      <c r="B5052" t="s">
        <v>127</v>
      </c>
      <c r="C5052">
        <v>246</v>
      </c>
      <c r="D5052">
        <f t="shared" si="176"/>
        <v>2017</v>
      </c>
      <c r="E5052">
        <f t="shared" si="177"/>
        <v>9</v>
      </c>
    </row>
    <row r="5053" spans="1:5" x14ac:dyDescent="0.3">
      <c r="A5053" t="s">
        <v>5178</v>
      </c>
      <c r="B5053" t="s">
        <v>127</v>
      </c>
      <c r="C5053">
        <v>246</v>
      </c>
      <c r="D5053">
        <f t="shared" si="176"/>
        <v>2017</v>
      </c>
      <c r="E5053">
        <f t="shared" si="177"/>
        <v>9</v>
      </c>
    </row>
    <row r="5054" spans="1:5" x14ac:dyDescent="0.3">
      <c r="A5054" t="s">
        <v>5179</v>
      </c>
      <c r="B5054" t="s">
        <v>127</v>
      </c>
      <c r="C5054">
        <v>242</v>
      </c>
      <c r="D5054">
        <f t="shared" si="176"/>
        <v>2017</v>
      </c>
      <c r="E5054">
        <f t="shared" si="177"/>
        <v>9</v>
      </c>
    </row>
    <row r="5055" spans="1:5" x14ac:dyDescent="0.3">
      <c r="A5055" t="s">
        <v>5180</v>
      </c>
      <c r="B5055" t="s">
        <v>127</v>
      </c>
      <c r="C5055">
        <v>242</v>
      </c>
      <c r="D5055">
        <f t="shared" si="176"/>
        <v>2017</v>
      </c>
      <c r="E5055">
        <f t="shared" si="177"/>
        <v>9</v>
      </c>
    </row>
    <row r="5056" spans="1:5" x14ac:dyDescent="0.3">
      <c r="A5056" t="s">
        <v>5181</v>
      </c>
      <c r="B5056" t="s">
        <v>127</v>
      </c>
      <c r="C5056">
        <v>238</v>
      </c>
      <c r="D5056">
        <f t="shared" si="176"/>
        <v>2017</v>
      </c>
      <c r="E5056">
        <f t="shared" si="177"/>
        <v>9</v>
      </c>
    </row>
    <row r="5057" spans="1:5" x14ac:dyDescent="0.3">
      <c r="A5057" t="s">
        <v>5182</v>
      </c>
      <c r="B5057" t="s">
        <v>127</v>
      </c>
      <c r="C5057">
        <v>240</v>
      </c>
      <c r="D5057">
        <f t="shared" si="176"/>
        <v>2017</v>
      </c>
      <c r="E5057">
        <f t="shared" si="177"/>
        <v>9</v>
      </c>
    </row>
    <row r="5058" spans="1:5" x14ac:dyDescent="0.3">
      <c r="A5058" t="s">
        <v>5183</v>
      </c>
      <c r="B5058" t="s">
        <v>127</v>
      </c>
      <c r="C5058">
        <v>240</v>
      </c>
      <c r="D5058">
        <f t="shared" si="176"/>
        <v>2017</v>
      </c>
      <c r="E5058">
        <f t="shared" si="177"/>
        <v>9</v>
      </c>
    </row>
    <row r="5059" spans="1:5" x14ac:dyDescent="0.3">
      <c r="A5059" t="s">
        <v>5184</v>
      </c>
      <c r="B5059" t="s">
        <v>127</v>
      </c>
      <c r="C5059">
        <v>239</v>
      </c>
      <c r="D5059">
        <f t="shared" ref="D5059:D5122" si="178">YEAR(A5059)</f>
        <v>2017</v>
      </c>
      <c r="E5059">
        <f t="shared" ref="E5059:E5122" si="179">MONTH(A5059)</f>
        <v>9</v>
      </c>
    </row>
    <row r="5060" spans="1:5" x14ac:dyDescent="0.3">
      <c r="A5060" t="s">
        <v>5185</v>
      </c>
      <c r="B5060" t="s">
        <v>127</v>
      </c>
      <c r="C5060">
        <v>240</v>
      </c>
      <c r="D5060">
        <f t="shared" si="178"/>
        <v>2017</v>
      </c>
      <c r="E5060">
        <f t="shared" si="179"/>
        <v>9</v>
      </c>
    </row>
    <row r="5061" spans="1:5" x14ac:dyDescent="0.3">
      <c r="A5061" t="s">
        <v>5186</v>
      </c>
      <c r="B5061" t="s">
        <v>127</v>
      </c>
      <c r="C5061">
        <v>240</v>
      </c>
      <c r="D5061">
        <f t="shared" si="178"/>
        <v>2017</v>
      </c>
      <c r="E5061">
        <f t="shared" si="179"/>
        <v>9</v>
      </c>
    </row>
    <row r="5062" spans="1:5" x14ac:dyDescent="0.3">
      <c r="A5062" t="s">
        <v>5187</v>
      </c>
      <c r="B5062" t="s">
        <v>127</v>
      </c>
      <c r="C5062">
        <v>243</v>
      </c>
      <c r="D5062">
        <f t="shared" si="178"/>
        <v>2017</v>
      </c>
      <c r="E5062">
        <f t="shared" si="179"/>
        <v>9</v>
      </c>
    </row>
    <row r="5063" spans="1:5" x14ac:dyDescent="0.3">
      <c r="A5063" t="s">
        <v>5188</v>
      </c>
      <c r="B5063" t="s">
        <v>127</v>
      </c>
      <c r="C5063">
        <v>241</v>
      </c>
      <c r="D5063">
        <f t="shared" si="178"/>
        <v>2017</v>
      </c>
      <c r="E5063">
        <f t="shared" si="179"/>
        <v>9</v>
      </c>
    </row>
    <row r="5064" spans="1:5" x14ac:dyDescent="0.3">
      <c r="A5064" t="s">
        <v>5189</v>
      </c>
      <c r="B5064" t="s">
        <v>127</v>
      </c>
      <c r="C5064">
        <v>244</v>
      </c>
      <c r="D5064">
        <f t="shared" si="178"/>
        <v>2017</v>
      </c>
      <c r="E5064">
        <f t="shared" si="179"/>
        <v>9</v>
      </c>
    </row>
    <row r="5065" spans="1:5" x14ac:dyDescent="0.3">
      <c r="A5065" t="s">
        <v>5190</v>
      </c>
      <c r="B5065" t="s">
        <v>127</v>
      </c>
      <c r="C5065">
        <v>241</v>
      </c>
      <c r="D5065">
        <f t="shared" si="178"/>
        <v>2017</v>
      </c>
      <c r="E5065">
        <f t="shared" si="179"/>
        <v>9</v>
      </c>
    </row>
    <row r="5066" spans="1:5" x14ac:dyDescent="0.3">
      <c r="A5066" t="s">
        <v>5191</v>
      </c>
      <c r="B5066" t="s">
        <v>127</v>
      </c>
      <c r="C5066">
        <v>240</v>
      </c>
      <c r="D5066">
        <f t="shared" si="178"/>
        <v>2017</v>
      </c>
      <c r="E5066">
        <f t="shared" si="179"/>
        <v>9</v>
      </c>
    </row>
    <row r="5067" spans="1:5" x14ac:dyDescent="0.3">
      <c r="A5067" t="s">
        <v>5192</v>
      </c>
      <c r="B5067" t="s">
        <v>127</v>
      </c>
      <c r="C5067">
        <v>237</v>
      </c>
      <c r="D5067">
        <f t="shared" si="178"/>
        <v>2017</v>
      </c>
      <c r="E5067">
        <f t="shared" si="179"/>
        <v>9</v>
      </c>
    </row>
    <row r="5068" spans="1:5" x14ac:dyDescent="0.3">
      <c r="A5068" t="s">
        <v>5193</v>
      </c>
      <c r="B5068" t="s">
        <v>127</v>
      </c>
      <c r="C5068">
        <v>233</v>
      </c>
      <c r="D5068">
        <f t="shared" si="178"/>
        <v>2017</v>
      </c>
      <c r="E5068">
        <f t="shared" si="179"/>
        <v>9</v>
      </c>
    </row>
    <row r="5069" spans="1:5" x14ac:dyDescent="0.3">
      <c r="A5069" t="s">
        <v>5194</v>
      </c>
      <c r="B5069" t="s">
        <v>127</v>
      </c>
      <c r="C5069">
        <v>233</v>
      </c>
      <c r="D5069">
        <f t="shared" si="178"/>
        <v>2017</v>
      </c>
      <c r="E5069">
        <f t="shared" si="179"/>
        <v>10</v>
      </c>
    </row>
    <row r="5070" spans="1:5" x14ac:dyDescent="0.3">
      <c r="A5070" t="s">
        <v>5195</v>
      </c>
      <c r="B5070" t="s">
        <v>127</v>
      </c>
      <c r="C5070">
        <v>232</v>
      </c>
      <c r="D5070">
        <f t="shared" si="178"/>
        <v>2017</v>
      </c>
      <c r="E5070">
        <f t="shared" si="179"/>
        <v>10</v>
      </c>
    </row>
    <row r="5071" spans="1:5" x14ac:dyDescent="0.3">
      <c r="A5071" t="s">
        <v>5196</v>
      </c>
      <c r="B5071" t="s">
        <v>127</v>
      </c>
      <c r="C5071">
        <v>232</v>
      </c>
      <c r="D5071">
        <f t="shared" si="178"/>
        <v>2017</v>
      </c>
      <c r="E5071">
        <f t="shared" si="179"/>
        <v>10</v>
      </c>
    </row>
    <row r="5072" spans="1:5" x14ac:dyDescent="0.3">
      <c r="A5072" t="s">
        <v>5197</v>
      </c>
      <c r="B5072" t="s">
        <v>127</v>
      </c>
      <c r="C5072">
        <v>232</v>
      </c>
      <c r="D5072">
        <f t="shared" si="178"/>
        <v>2017</v>
      </c>
      <c r="E5072">
        <f t="shared" si="179"/>
        <v>10</v>
      </c>
    </row>
    <row r="5073" spans="1:5" x14ac:dyDescent="0.3">
      <c r="A5073" t="s">
        <v>5198</v>
      </c>
      <c r="B5073" t="s">
        <v>127</v>
      </c>
      <c r="C5073">
        <v>237</v>
      </c>
      <c r="D5073">
        <f t="shared" si="178"/>
        <v>2017</v>
      </c>
      <c r="E5073">
        <f t="shared" si="179"/>
        <v>10</v>
      </c>
    </row>
    <row r="5074" spans="1:5" x14ac:dyDescent="0.3">
      <c r="A5074" t="s">
        <v>5199</v>
      </c>
      <c r="B5074" t="s">
        <v>127</v>
      </c>
      <c r="C5074">
        <v>237</v>
      </c>
      <c r="D5074">
        <f t="shared" si="178"/>
        <v>2017</v>
      </c>
      <c r="E5074">
        <f t="shared" si="179"/>
        <v>10</v>
      </c>
    </row>
    <row r="5075" spans="1:5" x14ac:dyDescent="0.3">
      <c r="A5075" t="s">
        <v>5200</v>
      </c>
      <c r="B5075" t="s">
        <v>127</v>
      </c>
      <c r="C5075">
        <v>241</v>
      </c>
      <c r="D5075">
        <f t="shared" si="178"/>
        <v>2017</v>
      </c>
      <c r="E5075">
        <f t="shared" si="179"/>
        <v>10</v>
      </c>
    </row>
    <row r="5076" spans="1:5" x14ac:dyDescent="0.3">
      <c r="A5076" t="s">
        <v>5201</v>
      </c>
      <c r="B5076" t="s">
        <v>127</v>
      </c>
      <c r="C5076">
        <v>244</v>
      </c>
      <c r="D5076">
        <f t="shared" si="178"/>
        <v>2017</v>
      </c>
      <c r="E5076">
        <f t="shared" si="179"/>
        <v>10</v>
      </c>
    </row>
    <row r="5077" spans="1:5" x14ac:dyDescent="0.3">
      <c r="A5077" t="s">
        <v>5202</v>
      </c>
      <c r="B5077" t="s">
        <v>127</v>
      </c>
      <c r="C5077">
        <v>247</v>
      </c>
      <c r="D5077">
        <f t="shared" si="178"/>
        <v>2017</v>
      </c>
      <c r="E5077">
        <f t="shared" si="179"/>
        <v>10</v>
      </c>
    </row>
    <row r="5078" spans="1:5" x14ac:dyDescent="0.3">
      <c r="A5078" t="s">
        <v>5203</v>
      </c>
      <c r="B5078" t="s">
        <v>127</v>
      </c>
      <c r="C5078">
        <v>254</v>
      </c>
      <c r="D5078">
        <f t="shared" si="178"/>
        <v>2017</v>
      </c>
      <c r="E5078">
        <f t="shared" si="179"/>
        <v>10</v>
      </c>
    </row>
    <row r="5079" spans="1:5" x14ac:dyDescent="0.3">
      <c r="A5079" t="s">
        <v>5204</v>
      </c>
      <c r="B5079" t="s">
        <v>127</v>
      </c>
      <c r="C5079">
        <v>252</v>
      </c>
      <c r="D5079">
        <f t="shared" si="178"/>
        <v>2017</v>
      </c>
      <c r="E5079">
        <f t="shared" si="179"/>
        <v>10</v>
      </c>
    </row>
    <row r="5080" spans="1:5" x14ac:dyDescent="0.3">
      <c r="A5080" t="s">
        <v>5205</v>
      </c>
      <c r="B5080" t="s">
        <v>127</v>
      </c>
      <c r="C5080">
        <v>247</v>
      </c>
      <c r="D5080">
        <f t="shared" si="178"/>
        <v>2017</v>
      </c>
      <c r="E5080">
        <f t="shared" si="179"/>
        <v>10</v>
      </c>
    </row>
    <row r="5081" spans="1:5" x14ac:dyDescent="0.3">
      <c r="A5081" t="s">
        <v>5206</v>
      </c>
      <c r="B5081" t="s">
        <v>127</v>
      </c>
      <c r="C5081">
        <v>243</v>
      </c>
      <c r="D5081">
        <f t="shared" si="178"/>
        <v>2017</v>
      </c>
      <c r="E5081">
        <f t="shared" si="179"/>
        <v>10</v>
      </c>
    </row>
    <row r="5082" spans="1:5" x14ac:dyDescent="0.3">
      <c r="A5082" t="s">
        <v>5207</v>
      </c>
      <c r="B5082" t="s">
        <v>127</v>
      </c>
      <c r="C5082">
        <v>244</v>
      </c>
      <c r="D5082">
        <f t="shared" si="178"/>
        <v>2017</v>
      </c>
      <c r="E5082">
        <f t="shared" si="179"/>
        <v>10</v>
      </c>
    </row>
    <row r="5083" spans="1:5" x14ac:dyDescent="0.3">
      <c r="A5083" t="s">
        <v>5208</v>
      </c>
      <c r="B5083" t="s">
        <v>127</v>
      </c>
      <c r="C5083">
        <v>241</v>
      </c>
      <c r="D5083">
        <f t="shared" si="178"/>
        <v>2017</v>
      </c>
      <c r="E5083">
        <f t="shared" si="179"/>
        <v>10</v>
      </c>
    </row>
    <row r="5084" spans="1:5" x14ac:dyDescent="0.3">
      <c r="A5084" t="s">
        <v>5209</v>
      </c>
      <c r="B5084" t="s">
        <v>127</v>
      </c>
      <c r="C5084">
        <v>243</v>
      </c>
      <c r="D5084">
        <f t="shared" si="178"/>
        <v>2017</v>
      </c>
      <c r="E5084">
        <f t="shared" si="179"/>
        <v>10</v>
      </c>
    </row>
    <row r="5085" spans="1:5" x14ac:dyDescent="0.3">
      <c r="A5085" t="s">
        <v>5210</v>
      </c>
      <c r="B5085" t="s">
        <v>127</v>
      </c>
      <c r="C5085">
        <v>245</v>
      </c>
      <c r="D5085">
        <f t="shared" si="178"/>
        <v>2017</v>
      </c>
      <c r="E5085">
        <f t="shared" si="179"/>
        <v>10</v>
      </c>
    </row>
    <row r="5086" spans="1:5" x14ac:dyDescent="0.3">
      <c r="A5086" t="s">
        <v>5211</v>
      </c>
      <c r="B5086" t="s">
        <v>127</v>
      </c>
      <c r="C5086">
        <v>245</v>
      </c>
      <c r="D5086">
        <f t="shared" si="178"/>
        <v>2017</v>
      </c>
      <c r="E5086">
        <f t="shared" si="179"/>
        <v>10</v>
      </c>
    </row>
    <row r="5087" spans="1:5" x14ac:dyDescent="0.3">
      <c r="A5087" t="s">
        <v>5212</v>
      </c>
      <c r="B5087" t="s">
        <v>127</v>
      </c>
      <c r="C5087">
        <v>245</v>
      </c>
      <c r="D5087">
        <f t="shared" si="178"/>
        <v>2017</v>
      </c>
      <c r="E5087">
        <f t="shared" si="179"/>
        <v>10</v>
      </c>
    </row>
    <row r="5088" spans="1:5" x14ac:dyDescent="0.3">
      <c r="A5088" t="s">
        <v>5213</v>
      </c>
      <c r="B5088" t="s">
        <v>127</v>
      </c>
      <c r="C5088">
        <v>246</v>
      </c>
      <c r="D5088">
        <f t="shared" si="178"/>
        <v>2017</v>
      </c>
      <c r="E5088">
        <f t="shared" si="179"/>
        <v>10</v>
      </c>
    </row>
    <row r="5089" spans="1:5" x14ac:dyDescent="0.3">
      <c r="A5089" t="s">
        <v>5214</v>
      </c>
      <c r="B5089" t="s">
        <v>127</v>
      </c>
      <c r="C5089">
        <v>247</v>
      </c>
      <c r="D5089">
        <f t="shared" si="178"/>
        <v>2017</v>
      </c>
      <c r="E5089">
        <f t="shared" si="179"/>
        <v>10</v>
      </c>
    </row>
    <row r="5090" spans="1:5" x14ac:dyDescent="0.3">
      <c r="A5090" t="s">
        <v>5215</v>
      </c>
      <c r="B5090" t="s">
        <v>127</v>
      </c>
      <c r="C5090">
        <v>247</v>
      </c>
      <c r="D5090">
        <f t="shared" si="178"/>
        <v>2017</v>
      </c>
      <c r="E5090">
        <f t="shared" si="179"/>
        <v>10</v>
      </c>
    </row>
    <row r="5091" spans="1:5" x14ac:dyDescent="0.3">
      <c r="A5091" t="s">
        <v>5216</v>
      </c>
      <c r="B5091" t="s">
        <v>127</v>
      </c>
      <c r="C5091">
        <v>248</v>
      </c>
      <c r="D5091">
        <f t="shared" si="178"/>
        <v>2017</v>
      </c>
      <c r="E5091">
        <f t="shared" si="179"/>
        <v>11</v>
      </c>
    </row>
    <row r="5092" spans="1:5" x14ac:dyDescent="0.3">
      <c r="A5092" t="s">
        <v>5217</v>
      </c>
      <c r="B5092" t="s">
        <v>127</v>
      </c>
      <c r="C5092">
        <v>248</v>
      </c>
      <c r="D5092">
        <f t="shared" si="178"/>
        <v>2017</v>
      </c>
      <c r="E5092">
        <f t="shared" si="179"/>
        <v>11</v>
      </c>
    </row>
    <row r="5093" spans="1:5" x14ac:dyDescent="0.3">
      <c r="A5093" t="s">
        <v>5218</v>
      </c>
      <c r="B5093" t="s">
        <v>127</v>
      </c>
      <c r="C5093">
        <v>247</v>
      </c>
      <c r="D5093">
        <f t="shared" si="178"/>
        <v>2017</v>
      </c>
      <c r="E5093">
        <f t="shared" si="179"/>
        <v>11</v>
      </c>
    </row>
    <row r="5094" spans="1:5" x14ac:dyDescent="0.3">
      <c r="A5094" t="s">
        <v>5219</v>
      </c>
      <c r="B5094" t="s">
        <v>127</v>
      </c>
      <c r="C5094">
        <v>248</v>
      </c>
      <c r="D5094">
        <f t="shared" si="178"/>
        <v>2017</v>
      </c>
      <c r="E5094">
        <f t="shared" si="179"/>
        <v>11</v>
      </c>
    </row>
    <row r="5095" spans="1:5" x14ac:dyDescent="0.3">
      <c r="A5095" t="s">
        <v>5220</v>
      </c>
      <c r="B5095" t="s">
        <v>127</v>
      </c>
      <c r="C5095">
        <v>251</v>
      </c>
      <c r="D5095">
        <f t="shared" si="178"/>
        <v>2017</v>
      </c>
      <c r="E5095">
        <f t="shared" si="179"/>
        <v>11</v>
      </c>
    </row>
    <row r="5096" spans="1:5" x14ac:dyDescent="0.3">
      <c r="A5096" t="s">
        <v>5221</v>
      </c>
      <c r="B5096" t="s">
        <v>127</v>
      </c>
      <c r="C5096">
        <v>251</v>
      </c>
      <c r="D5096">
        <f t="shared" si="178"/>
        <v>2017</v>
      </c>
      <c r="E5096">
        <f t="shared" si="179"/>
        <v>11</v>
      </c>
    </row>
    <row r="5097" spans="1:5" x14ac:dyDescent="0.3">
      <c r="A5097" t="s">
        <v>5222</v>
      </c>
      <c r="B5097" t="s">
        <v>127</v>
      </c>
      <c r="C5097">
        <v>252</v>
      </c>
      <c r="D5097">
        <f t="shared" si="178"/>
        <v>2017</v>
      </c>
      <c r="E5097">
        <f t="shared" si="179"/>
        <v>11</v>
      </c>
    </row>
    <row r="5098" spans="1:5" x14ac:dyDescent="0.3">
      <c r="A5098" t="s">
        <v>5223</v>
      </c>
      <c r="B5098" t="s">
        <v>127</v>
      </c>
      <c r="C5098">
        <v>249</v>
      </c>
      <c r="D5098">
        <f t="shared" si="178"/>
        <v>2017</v>
      </c>
      <c r="E5098">
        <f t="shared" si="179"/>
        <v>11</v>
      </c>
    </row>
    <row r="5099" spans="1:5" x14ac:dyDescent="0.3">
      <c r="A5099" t="s">
        <v>5224</v>
      </c>
      <c r="B5099" t="s">
        <v>127</v>
      </c>
      <c r="C5099">
        <v>249</v>
      </c>
      <c r="D5099">
        <f t="shared" si="178"/>
        <v>2017</v>
      </c>
      <c r="E5099">
        <f t="shared" si="179"/>
        <v>11</v>
      </c>
    </row>
    <row r="5100" spans="1:5" x14ac:dyDescent="0.3">
      <c r="A5100" t="s">
        <v>5225</v>
      </c>
      <c r="B5100" t="s">
        <v>127</v>
      </c>
      <c r="C5100">
        <v>250</v>
      </c>
      <c r="D5100">
        <f t="shared" si="178"/>
        <v>2017</v>
      </c>
      <c r="E5100">
        <f t="shared" si="179"/>
        <v>11</v>
      </c>
    </row>
    <row r="5101" spans="1:5" x14ac:dyDescent="0.3">
      <c r="A5101" t="s">
        <v>5226</v>
      </c>
      <c r="B5101" t="s">
        <v>127</v>
      </c>
      <c r="C5101">
        <v>256</v>
      </c>
      <c r="D5101">
        <f t="shared" si="178"/>
        <v>2017</v>
      </c>
      <c r="E5101">
        <f t="shared" si="179"/>
        <v>11</v>
      </c>
    </row>
    <row r="5102" spans="1:5" x14ac:dyDescent="0.3">
      <c r="A5102" t="s">
        <v>5227</v>
      </c>
      <c r="B5102" t="s">
        <v>127</v>
      </c>
      <c r="C5102">
        <v>249</v>
      </c>
      <c r="D5102">
        <f t="shared" si="178"/>
        <v>2017</v>
      </c>
      <c r="E5102">
        <f t="shared" si="179"/>
        <v>11</v>
      </c>
    </row>
    <row r="5103" spans="1:5" x14ac:dyDescent="0.3">
      <c r="A5103" t="s">
        <v>5228</v>
      </c>
      <c r="B5103" t="s">
        <v>127</v>
      </c>
      <c r="C5103">
        <v>247</v>
      </c>
      <c r="D5103">
        <f t="shared" si="178"/>
        <v>2017</v>
      </c>
      <c r="E5103">
        <f t="shared" si="179"/>
        <v>11</v>
      </c>
    </row>
    <row r="5104" spans="1:5" x14ac:dyDescent="0.3">
      <c r="A5104" t="s">
        <v>5229</v>
      </c>
      <c r="B5104" t="s">
        <v>127</v>
      </c>
      <c r="C5104">
        <v>246</v>
      </c>
      <c r="D5104">
        <f t="shared" si="178"/>
        <v>2017</v>
      </c>
      <c r="E5104">
        <f t="shared" si="179"/>
        <v>11</v>
      </c>
    </row>
    <row r="5105" spans="1:5" x14ac:dyDescent="0.3">
      <c r="A5105" t="s">
        <v>5230</v>
      </c>
      <c r="B5105" t="s">
        <v>127</v>
      </c>
      <c r="C5105">
        <v>243</v>
      </c>
      <c r="D5105">
        <f t="shared" si="178"/>
        <v>2017</v>
      </c>
      <c r="E5105">
        <f t="shared" si="179"/>
        <v>11</v>
      </c>
    </row>
    <row r="5106" spans="1:5" x14ac:dyDescent="0.3">
      <c r="A5106" t="s">
        <v>5231</v>
      </c>
      <c r="B5106" t="s">
        <v>127</v>
      </c>
      <c r="C5106">
        <v>241</v>
      </c>
      <c r="D5106">
        <f t="shared" si="178"/>
        <v>2017</v>
      </c>
      <c r="E5106">
        <f t="shared" si="179"/>
        <v>11</v>
      </c>
    </row>
    <row r="5107" spans="1:5" x14ac:dyDescent="0.3">
      <c r="A5107" t="s">
        <v>5232</v>
      </c>
      <c r="B5107" t="s">
        <v>127</v>
      </c>
      <c r="C5107">
        <v>241</v>
      </c>
      <c r="D5107">
        <f t="shared" si="178"/>
        <v>2017</v>
      </c>
      <c r="E5107">
        <f t="shared" si="179"/>
        <v>11</v>
      </c>
    </row>
    <row r="5108" spans="1:5" x14ac:dyDescent="0.3">
      <c r="A5108" t="s">
        <v>5233</v>
      </c>
      <c r="B5108" t="s">
        <v>127</v>
      </c>
      <c r="C5108">
        <v>240</v>
      </c>
      <c r="D5108">
        <f t="shared" si="178"/>
        <v>2017</v>
      </c>
      <c r="E5108">
        <f t="shared" si="179"/>
        <v>11</v>
      </c>
    </row>
    <row r="5109" spans="1:5" x14ac:dyDescent="0.3">
      <c r="A5109" t="s">
        <v>5234</v>
      </c>
      <c r="B5109" t="s">
        <v>127</v>
      </c>
      <c r="C5109">
        <v>236</v>
      </c>
      <c r="D5109">
        <f t="shared" si="178"/>
        <v>2017</v>
      </c>
      <c r="E5109">
        <f t="shared" si="179"/>
        <v>11</v>
      </c>
    </row>
    <row r="5110" spans="1:5" x14ac:dyDescent="0.3">
      <c r="A5110" t="s">
        <v>5235</v>
      </c>
      <c r="B5110" t="s">
        <v>127</v>
      </c>
      <c r="C5110">
        <v>232</v>
      </c>
      <c r="D5110">
        <f t="shared" si="178"/>
        <v>2017</v>
      </c>
      <c r="E5110">
        <f t="shared" si="179"/>
        <v>11</v>
      </c>
    </row>
    <row r="5111" spans="1:5" x14ac:dyDescent="0.3">
      <c r="A5111" t="s">
        <v>5236</v>
      </c>
      <c r="B5111" t="s">
        <v>127</v>
      </c>
      <c r="C5111">
        <v>232</v>
      </c>
      <c r="D5111">
        <f t="shared" si="178"/>
        <v>2017</v>
      </c>
      <c r="E5111">
        <f t="shared" si="179"/>
        <v>11</v>
      </c>
    </row>
    <row r="5112" spans="1:5" x14ac:dyDescent="0.3">
      <c r="A5112" t="s">
        <v>5237</v>
      </c>
      <c r="B5112" t="s">
        <v>127</v>
      </c>
      <c r="C5112">
        <v>232</v>
      </c>
      <c r="D5112">
        <f t="shared" si="178"/>
        <v>2017</v>
      </c>
      <c r="E5112">
        <f t="shared" si="179"/>
        <v>11</v>
      </c>
    </row>
    <row r="5113" spans="1:5" x14ac:dyDescent="0.3">
      <c r="A5113" t="s">
        <v>5238</v>
      </c>
      <c r="B5113" t="s">
        <v>127</v>
      </c>
      <c r="C5113">
        <v>236</v>
      </c>
      <c r="D5113">
        <f t="shared" si="178"/>
        <v>2017</v>
      </c>
      <c r="E5113">
        <f t="shared" si="179"/>
        <v>12</v>
      </c>
    </row>
    <row r="5114" spans="1:5" x14ac:dyDescent="0.3">
      <c r="A5114" t="s">
        <v>5239</v>
      </c>
      <c r="B5114" t="s">
        <v>127</v>
      </c>
      <c r="C5114">
        <v>235</v>
      </c>
      <c r="D5114">
        <f t="shared" si="178"/>
        <v>2017</v>
      </c>
      <c r="E5114">
        <f t="shared" si="179"/>
        <v>12</v>
      </c>
    </row>
    <row r="5115" spans="1:5" x14ac:dyDescent="0.3">
      <c r="A5115" t="s">
        <v>5240</v>
      </c>
      <c r="B5115" t="s">
        <v>127</v>
      </c>
      <c r="C5115">
        <v>236</v>
      </c>
      <c r="D5115">
        <f t="shared" si="178"/>
        <v>2017</v>
      </c>
      <c r="E5115">
        <f t="shared" si="179"/>
        <v>12</v>
      </c>
    </row>
    <row r="5116" spans="1:5" x14ac:dyDescent="0.3">
      <c r="A5116" t="s">
        <v>5241</v>
      </c>
      <c r="B5116" t="s">
        <v>127</v>
      </c>
      <c r="C5116">
        <v>242</v>
      </c>
      <c r="D5116">
        <f t="shared" si="178"/>
        <v>2017</v>
      </c>
      <c r="E5116">
        <f t="shared" si="179"/>
        <v>12</v>
      </c>
    </row>
    <row r="5117" spans="1:5" x14ac:dyDescent="0.3">
      <c r="A5117" t="s">
        <v>5242</v>
      </c>
      <c r="B5117" t="s">
        <v>127</v>
      </c>
      <c r="C5117">
        <v>242</v>
      </c>
      <c r="D5117">
        <f t="shared" si="178"/>
        <v>2017</v>
      </c>
      <c r="E5117">
        <f t="shared" si="179"/>
        <v>12</v>
      </c>
    </row>
    <row r="5118" spans="1:5" x14ac:dyDescent="0.3">
      <c r="A5118" t="s">
        <v>5243</v>
      </c>
      <c r="B5118" t="s">
        <v>127</v>
      </c>
      <c r="C5118">
        <v>243</v>
      </c>
      <c r="D5118">
        <f t="shared" si="178"/>
        <v>2017</v>
      </c>
      <c r="E5118">
        <f t="shared" si="179"/>
        <v>12</v>
      </c>
    </row>
    <row r="5119" spans="1:5" x14ac:dyDescent="0.3">
      <c r="A5119" t="s">
        <v>5244</v>
      </c>
      <c r="B5119" t="s">
        <v>127</v>
      </c>
      <c r="C5119">
        <v>246</v>
      </c>
      <c r="D5119">
        <f t="shared" si="178"/>
        <v>2017</v>
      </c>
      <c r="E5119">
        <f t="shared" si="179"/>
        <v>12</v>
      </c>
    </row>
    <row r="5120" spans="1:5" x14ac:dyDescent="0.3">
      <c r="A5120" t="s">
        <v>5245</v>
      </c>
      <c r="B5120" t="s">
        <v>127</v>
      </c>
      <c r="C5120">
        <v>247</v>
      </c>
      <c r="D5120">
        <f t="shared" si="178"/>
        <v>2017</v>
      </c>
      <c r="E5120">
        <f t="shared" si="179"/>
        <v>12</v>
      </c>
    </row>
    <row r="5121" spans="1:5" x14ac:dyDescent="0.3">
      <c r="A5121" t="s">
        <v>5246</v>
      </c>
      <c r="B5121" t="s">
        <v>127</v>
      </c>
      <c r="C5121">
        <v>248</v>
      </c>
      <c r="D5121">
        <f t="shared" si="178"/>
        <v>2017</v>
      </c>
      <c r="E5121">
        <f t="shared" si="179"/>
        <v>12</v>
      </c>
    </row>
    <row r="5122" spans="1:5" x14ac:dyDescent="0.3">
      <c r="A5122" t="s">
        <v>5247</v>
      </c>
      <c r="B5122" t="s">
        <v>127</v>
      </c>
      <c r="C5122">
        <v>248</v>
      </c>
      <c r="D5122">
        <f t="shared" si="178"/>
        <v>2017</v>
      </c>
      <c r="E5122">
        <f t="shared" si="179"/>
        <v>12</v>
      </c>
    </row>
    <row r="5123" spans="1:5" x14ac:dyDescent="0.3">
      <c r="A5123" t="s">
        <v>5248</v>
      </c>
      <c r="B5123" t="s">
        <v>127</v>
      </c>
      <c r="C5123">
        <v>247</v>
      </c>
      <c r="D5123">
        <f t="shared" ref="D5123:D5186" si="180">YEAR(A5123)</f>
        <v>2017</v>
      </c>
      <c r="E5123">
        <f t="shared" ref="E5123:E5186" si="181">MONTH(A5123)</f>
        <v>12</v>
      </c>
    </row>
    <row r="5124" spans="1:5" x14ac:dyDescent="0.3">
      <c r="A5124" t="s">
        <v>5249</v>
      </c>
      <c r="B5124" t="s">
        <v>127</v>
      </c>
      <c r="C5124">
        <v>241</v>
      </c>
      <c r="D5124">
        <f t="shared" si="180"/>
        <v>2017</v>
      </c>
      <c r="E5124">
        <f t="shared" si="181"/>
        <v>12</v>
      </c>
    </row>
    <row r="5125" spans="1:5" x14ac:dyDescent="0.3">
      <c r="A5125" t="s">
        <v>5250</v>
      </c>
      <c r="B5125" t="s">
        <v>127</v>
      </c>
      <c r="C5125">
        <v>237</v>
      </c>
      <c r="D5125">
        <f t="shared" si="180"/>
        <v>2017</v>
      </c>
      <c r="E5125">
        <f t="shared" si="181"/>
        <v>12</v>
      </c>
    </row>
    <row r="5126" spans="1:5" x14ac:dyDescent="0.3">
      <c r="A5126" t="s">
        <v>5251</v>
      </c>
      <c r="B5126" t="s">
        <v>127</v>
      </c>
      <c r="C5126">
        <v>235</v>
      </c>
      <c r="D5126">
        <f t="shared" si="180"/>
        <v>2017</v>
      </c>
      <c r="E5126">
        <f t="shared" si="181"/>
        <v>12</v>
      </c>
    </row>
    <row r="5127" spans="1:5" x14ac:dyDescent="0.3">
      <c r="A5127" t="s">
        <v>5252</v>
      </c>
      <c r="B5127" t="s">
        <v>127</v>
      </c>
      <c r="C5127">
        <v>240</v>
      </c>
      <c r="D5127">
        <f t="shared" si="180"/>
        <v>2017</v>
      </c>
      <c r="E5127">
        <f t="shared" si="181"/>
        <v>12</v>
      </c>
    </row>
    <row r="5128" spans="1:5" x14ac:dyDescent="0.3">
      <c r="A5128" t="s">
        <v>5253</v>
      </c>
      <c r="B5128" t="s">
        <v>127</v>
      </c>
      <c r="C5128">
        <v>240</v>
      </c>
      <c r="D5128">
        <f t="shared" si="180"/>
        <v>2017</v>
      </c>
      <c r="E5128">
        <f t="shared" si="181"/>
        <v>12</v>
      </c>
    </row>
    <row r="5129" spans="1:5" x14ac:dyDescent="0.3">
      <c r="A5129" t="s">
        <v>5254</v>
      </c>
      <c r="B5129" t="s">
        <v>127</v>
      </c>
      <c r="C5129">
        <v>240</v>
      </c>
      <c r="D5129">
        <f t="shared" si="180"/>
        <v>2017</v>
      </c>
      <c r="E5129">
        <f t="shared" si="181"/>
        <v>12</v>
      </c>
    </row>
    <row r="5130" spans="1:5" x14ac:dyDescent="0.3">
      <c r="A5130" t="s">
        <v>5255</v>
      </c>
      <c r="B5130" t="s">
        <v>127</v>
      </c>
      <c r="C5130">
        <v>241</v>
      </c>
      <c r="D5130">
        <f t="shared" si="180"/>
        <v>2017</v>
      </c>
      <c r="E5130">
        <f t="shared" si="181"/>
        <v>12</v>
      </c>
    </row>
    <row r="5131" spans="1:5" x14ac:dyDescent="0.3">
      <c r="A5131" t="s">
        <v>5256</v>
      </c>
      <c r="B5131" t="s">
        <v>127</v>
      </c>
      <c r="C5131">
        <v>245</v>
      </c>
      <c r="D5131">
        <f t="shared" si="180"/>
        <v>2017</v>
      </c>
      <c r="E5131">
        <f t="shared" si="181"/>
        <v>12</v>
      </c>
    </row>
    <row r="5132" spans="1:5" x14ac:dyDescent="0.3">
      <c r="A5132" t="s">
        <v>5257</v>
      </c>
      <c r="B5132" t="s">
        <v>127</v>
      </c>
      <c r="C5132">
        <v>243</v>
      </c>
      <c r="D5132">
        <f t="shared" si="180"/>
        <v>2017</v>
      </c>
      <c r="E5132">
        <f t="shared" si="181"/>
        <v>12</v>
      </c>
    </row>
    <row r="5133" spans="1:5" x14ac:dyDescent="0.3">
      <c r="A5133" t="s">
        <v>5258</v>
      </c>
      <c r="B5133" t="s">
        <v>127</v>
      </c>
      <c r="C5133">
        <v>245</v>
      </c>
      <c r="D5133">
        <f t="shared" si="180"/>
        <v>2017</v>
      </c>
      <c r="E5133">
        <f t="shared" si="181"/>
        <v>12</v>
      </c>
    </row>
    <row r="5134" spans="1:5" x14ac:dyDescent="0.3">
      <c r="A5134" t="s">
        <v>5259</v>
      </c>
      <c r="B5134" t="s">
        <v>127</v>
      </c>
      <c r="C5134">
        <v>245</v>
      </c>
      <c r="D5134">
        <f t="shared" si="180"/>
        <v>2018</v>
      </c>
      <c r="E5134">
        <f t="shared" si="181"/>
        <v>1</v>
      </c>
    </row>
    <row r="5135" spans="1:5" x14ac:dyDescent="0.3">
      <c r="A5135" t="s">
        <v>5260</v>
      </c>
      <c r="B5135" t="s">
        <v>127</v>
      </c>
      <c r="C5135">
        <v>239</v>
      </c>
      <c r="D5135">
        <f t="shared" si="180"/>
        <v>2018</v>
      </c>
      <c r="E5135">
        <f t="shared" si="181"/>
        <v>1</v>
      </c>
    </row>
    <row r="5136" spans="1:5" x14ac:dyDescent="0.3">
      <c r="A5136" t="s">
        <v>5261</v>
      </c>
      <c r="B5136" t="s">
        <v>127</v>
      </c>
      <c r="C5136">
        <v>238</v>
      </c>
      <c r="D5136">
        <f t="shared" si="180"/>
        <v>2018</v>
      </c>
      <c r="E5136">
        <f t="shared" si="181"/>
        <v>1</v>
      </c>
    </row>
    <row r="5137" spans="1:5" x14ac:dyDescent="0.3">
      <c r="A5137" t="s">
        <v>5262</v>
      </c>
      <c r="B5137" t="s">
        <v>127</v>
      </c>
      <c r="C5137">
        <v>238</v>
      </c>
      <c r="D5137">
        <f t="shared" si="180"/>
        <v>2018</v>
      </c>
      <c r="E5137">
        <f t="shared" si="181"/>
        <v>1</v>
      </c>
    </row>
    <row r="5138" spans="1:5" x14ac:dyDescent="0.3">
      <c r="A5138" t="s">
        <v>5263</v>
      </c>
      <c r="B5138" t="s">
        <v>127</v>
      </c>
      <c r="C5138">
        <v>236</v>
      </c>
      <c r="D5138">
        <f t="shared" si="180"/>
        <v>2018</v>
      </c>
      <c r="E5138">
        <f t="shared" si="181"/>
        <v>1</v>
      </c>
    </row>
    <row r="5139" spans="1:5" x14ac:dyDescent="0.3">
      <c r="A5139" t="s">
        <v>5264</v>
      </c>
      <c r="B5139" t="s">
        <v>127</v>
      </c>
      <c r="C5139">
        <v>235</v>
      </c>
      <c r="D5139">
        <f t="shared" si="180"/>
        <v>2018</v>
      </c>
      <c r="E5139">
        <f t="shared" si="181"/>
        <v>1</v>
      </c>
    </row>
    <row r="5140" spans="1:5" x14ac:dyDescent="0.3">
      <c r="A5140" t="s">
        <v>5265</v>
      </c>
      <c r="B5140" t="s">
        <v>127</v>
      </c>
      <c r="C5140">
        <v>234</v>
      </c>
      <c r="D5140">
        <f t="shared" si="180"/>
        <v>2018</v>
      </c>
      <c r="E5140">
        <f t="shared" si="181"/>
        <v>1</v>
      </c>
    </row>
    <row r="5141" spans="1:5" x14ac:dyDescent="0.3">
      <c r="A5141" t="s">
        <v>5266</v>
      </c>
      <c r="B5141" t="s">
        <v>127</v>
      </c>
      <c r="C5141">
        <v>237</v>
      </c>
      <c r="D5141">
        <f t="shared" si="180"/>
        <v>2018</v>
      </c>
      <c r="E5141">
        <f t="shared" si="181"/>
        <v>1</v>
      </c>
    </row>
    <row r="5142" spans="1:5" x14ac:dyDescent="0.3">
      <c r="A5142" t="s">
        <v>5267</v>
      </c>
      <c r="B5142" t="s">
        <v>127</v>
      </c>
      <c r="C5142">
        <v>237</v>
      </c>
      <c r="D5142">
        <f t="shared" si="180"/>
        <v>2018</v>
      </c>
      <c r="E5142">
        <f t="shared" si="181"/>
        <v>1</v>
      </c>
    </row>
    <row r="5143" spans="1:5" x14ac:dyDescent="0.3">
      <c r="A5143" t="s">
        <v>5268</v>
      </c>
      <c r="B5143" t="s">
        <v>127</v>
      </c>
      <c r="C5143">
        <v>240</v>
      </c>
      <c r="D5143">
        <f t="shared" si="180"/>
        <v>2018</v>
      </c>
      <c r="E5143">
        <f t="shared" si="181"/>
        <v>1</v>
      </c>
    </row>
    <row r="5144" spans="1:5" x14ac:dyDescent="0.3">
      <c r="A5144" t="s">
        <v>5269</v>
      </c>
      <c r="B5144" t="s">
        <v>127</v>
      </c>
      <c r="C5144">
        <v>240</v>
      </c>
      <c r="D5144">
        <f t="shared" si="180"/>
        <v>2018</v>
      </c>
      <c r="E5144">
        <f t="shared" si="181"/>
        <v>1</v>
      </c>
    </row>
    <row r="5145" spans="1:5" x14ac:dyDescent="0.3">
      <c r="A5145" t="s">
        <v>5270</v>
      </c>
      <c r="B5145" t="s">
        <v>127</v>
      </c>
      <c r="C5145">
        <v>238</v>
      </c>
      <c r="D5145">
        <f t="shared" si="180"/>
        <v>2018</v>
      </c>
      <c r="E5145">
        <f t="shared" si="181"/>
        <v>1</v>
      </c>
    </row>
    <row r="5146" spans="1:5" x14ac:dyDescent="0.3">
      <c r="A5146" t="s">
        <v>5271</v>
      </c>
      <c r="B5146" t="s">
        <v>127</v>
      </c>
      <c r="C5146">
        <v>237</v>
      </c>
      <c r="D5146">
        <f t="shared" si="180"/>
        <v>2018</v>
      </c>
      <c r="E5146">
        <f t="shared" si="181"/>
        <v>1</v>
      </c>
    </row>
    <row r="5147" spans="1:5" x14ac:dyDescent="0.3">
      <c r="A5147" t="s">
        <v>5272</v>
      </c>
      <c r="B5147" t="s">
        <v>127</v>
      </c>
      <c r="C5147">
        <v>234</v>
      </c>
      <c r="D5147">
        <f t="shared" si="180"/>
        <v>2018</v>
      </c>
      <c r="E5147">
        <f t="shared" si="181"/>
        <v>1</v>
      </c>
    </row>
    <row r="5148" spans="1:5" x14ac:dyDescent="0.3">
      <c r="A5148" t="s">
        <v>5273</v>
      </c>
      <c r="B5148" t="s">
        <v>127</v>
      </c>
      <c r="C5148">
        <v>236</v>
      </c>
      <c r="D5148">
        <f t="shared" si="180"/>
        <v>2018</v>
      </c>
      <c r="E5148">
        <f t="shared" si="181"/>
        <v>1</v>
      </c>
    </row>
    <row r="5149" spans="1:5" x14ac:dyDescent="0.3">
      <c r="A5149" t="s">
        <v>5274</v>
      </c>
      <c r="B5149" t="s">
        <v>127</v>
      </c>
      <c r="C5149">
        <v>235</v>
      </c>
      <c r="D5149">
        <f t="shared" si="180"/>
        <v>2018</v>
      </c>
      <c r="E5149">
        <f t="shared" si="181"/>
        <v>1</v>
      </c>
    </row>
    <row r="5150" spans="1:5" x14ac:dyDescent="0.3">
      <c r="A5150" t="s">
        <v>5275</v>
      </c>
      <c r="B5150" t="s">
        <v>127</v>
      </c>
      <c r="C5150">
        <v>235</v>
      </c>
      <c r="D5150">
        <f t="shared" si="180"/>
        <v>2018</v>
      </c>
      <c r="E5150">
        <f t="shared" si="181"/>
        <v>1</v>
      </c>
    </row>
    <row r="5151" spans="1:5" x14ac:dyDescent="0.3">
      <c r="A5151" t="s">
        <v>5276</v>
      </c>
      <c r="B5151" t="s">
        <v>127</v>
      </c>
      <c r="C5151">
        <v>233</v>
      </c>
      <c r="D5151">
        <f t="shared" si="180"/>
        <v>2018</v>
      </c>
      <c r="E5151">
        <f t="shared" si="181"/>
        <v>1</v>
      </c>
    </row>
    <row r="5152" spans="1:5" x14ac:dyDescent="0.3">
      <c r="A5152" t="s">
        <v>5277</v>
      </c>
      <c r="B5152" t="s">
        <v>127</v>
      </c>
      <c r="C5152">
        <v>234</v>
      </c>
      <c r="D5152">
        <f t="shared" si="180"/>
        <v>2018</v>
      </c>
      <c r="E5152">
        <f t="shared" si="181"/>
        <v>1</v>
      </c>
    </row>
    <row r="5153" spans="1:5" x14ac:dyDescent="0.3">
      <c r="A5153" t="s">
        <v>5278</v>
      </c>
      <c r="B5153" t="s">
        <v>127</v>
      </c>
      <c r="C5153">
        <v>230</v>
      </c>
      <c r="D5153">
        <f t="shared" si="180"/>
        <v>2018</v>
      </c>
      <c r="E5153">
        <f t="shared" si="181"/>
        <v>1</v>
      </c>
    </row>
    <row r="5154" spans="1:5" x14ac:dyDescent="0.3">
      <c r="A5154" t="s">
        <v>5279</v>
      </c>
      <c r="B5154" t="s">
        <v>127</v>
      </c>
      <c r="C5154">
        <v>229</v>
      </c>
      <c r="D5154">
        <f t="shared" si="180"/>
        <v>2018</v>
      </c>
      <c r="E5154">
        <f t="shared" si="181"/>
        <v>1</v>
      </c>
    </row>
    <row r="5155" spans="1:5" x14ac:dyDescent="0.3">
      <c r="A5155" t="s">
        <v>5280</v>
      </c>
      <c r="B5155" t="s">
        <v>127</v>
      </c>
      <c r="C5155">
        <v>227</v>
      </c>
      <c r="D5155">
        <f t="shared" si="180"/>
        <v>2018</v>
      </c>
      <c r="E5155">
        <f t="shared" si="181"/>
        <v>1</v>
      </c>
    </row>
    <row r="5156" spans="1:5" x14ac:dyDescent="0.3">
      <c r="A5156" t="s">
        <v>5281</v>
      </c>
      <c r="B5156" t="s">
        <v>127</v>
      </c>
      <c r="C5156">
        <v>223</v>
      </c>
      <c r="D5156">
        <f t="shared" si="180"/>
        <v>2018</v>
      </c>
      <c r="E5156">
        <f t="shared" si="181"/>
        <v>1</v>
      </c>
    </row>
    <row r="5157" spans="1:5" x14ac:dyDescent="0.3">
      <c r="A5157" t="s">
        <v>5282</v>
      </c>
      <c r="B5157" t="s">
        <v>127</v>
      </c>
      <c r="C5157">
        <v>220</v>
      </c>
      <c r="D5157">
        <f t="shared" si="180"/>
        <v>2018</v>
      </c>
      <c r="E5157">
        <f t="shared" si="181"/>
        <v>2</v>
      </c>
    </row>
    <row r="5158" spans="1:5" x14ac:dyDescent="0.3">
      <c r="A5158" t="s">
        <v>5283</v>
      </c>
      <c r="B5158" t="s">
        <v>127</v>
      </c>
      <c r="C5158">
        <v>219</v>
      </c>
      <c r="D5158">
        <f t="shared" si="180"/>
        <v>2018</v>
      </c>
      <c r="E5158">
        <f t="shared" si="181"/>
        <v>2</v>
      </c>
    </row>
    <row r="5159" spans="1:5" x14ac:dyDescent="0.3">
      <c r="A5159" t="s">
        <v>5284</v>
      </c>
      <c r="B5159" t="s">
        <v>127</v>
      </c>
      <c r="C5159">
        <v>232</v>
      </c>
      <c r="D5159">
        <f t="shared" si="180"/>
        <v>2018</v>
      </c>
      <c r="E5159">
        <f t="shared" si="181"/>
        <v>2</v>
      </c>
    </row>
    <row r="5160" spans="1:5" x14ac:dyDescent="0.3">
      <c r="A5160" t="s">
        <v>5285</v>
      </c>
      <c r="B5160" t="s">
        <v>127</v>
      </c>
      <c r="C5160">
        <v>228</v>
      </c>
      <c r="D5160">
        <f t="shared" si="180"/>
        <v>2018</v>
      </c>
      <c r="E5160">
        <f t="shared" si="181"/>
        <v>2</v>
      </c>
    </row>
    <row r="5161" spans="1:5" x14ac:dyDescent="0.3">
      <c r="A5161" t="s">
        <v>5286</v>
      </c>
      <c r="B5161" t="s">
        <v>127</v>
      </c>
      <c r="C5161">
        <v>222</v>
      </c>
      <c r="D5161">
        <f t="shared" si="180"/>
        <v>2018</v>
      </c>
      <c r="E5161">
        <f t="shared" si="181"/>
        <v>2</v>
      </c>
    </row>
    <row r="5162" spans="1:5" x14ac:dyDescent="0.3">
      <c r="A5162" t="s">
        <v>5287</v>
      </c>
      <c r="B5162" t="s">
        <v>127</v>
      </c>
      <c r="C5162">
        <v>232</v>
      </c>
      <c r="D5162">
        <f t="shared" si="180"/>
        <v>2018</v>
      </c>
      <c r="E5162">
        <f t="shared" si="181"/>
        <v>2</v>
      </c>
    </row>
    <row r="5163" spans="1:5" x14ac:dyDescent="0.3">
      <c r="A5163" t="s">
        <v>5288</v>
      </c>
      <c r="B5163" t="s">
        <v>127</v>
      </c>
      <c r="C5163">
        <v>247</v>
      </c>
      <c r="D5163">
        <f t="shared" si="180"/>
        <v>2018</v>
      </c>
      <c r="E5163">
        <f t="shared" si="181"/>
        <v>2</v>
      </c>
    </row>
    <row r="5164" spans="1:5" x14ac:dyDescent="0.3">
      <c r="A5164" t="s">
        <v>5289</v>
      </c>
      <c r="B5164" t="s">
        <v>127</v>
      </c>
      <c r="C5164">
        <v>241</v>
      </c>
      <c r="D5164">
        <f t="shared" si="180"/>
        <v>2018</v>
      </c>
      <c r="E5164">
        <f t="shared" si="181"/>
        <v>2</v>
      </c>
    </row>
    <row r="5165" spans="1:5" x14ac:dyDescent="0.3">
      <c r="A5165" t="s">
        <v>5290</v>
      </c>
      <c r="B5165" t="s">
        <v>127</v>
      </c>
      <c r="C5165">
        <v>246</v>
      </c>
      <c r="D5165">
        <f t="shared" si="180"/>
        <v>2018</v>
      </c>
      <c r="E5165">
        <f t="shared" si="181"/>
        <v>2</v>
      </c>
    </row>
    <row r="5166" spans="1:5" x14ac:dyDescent="0.3">
      <c r="A5166" t="s">
        <v>5291</v>
      </c>
      <c r="B5166" t="s">
        <v>127</v>
      </c>
      <c r="C5166">
        <v>243</v>
      </c>
      <c r="D5166">
        <f t="shared" si="180"/>
        <v>2018</v>
      </c>
      <c r="E5166">
        <f t="shared" si="181"/>
        <v>2</v>
      </c>
    </row>
    <row r="5167" spans="1:5" x14ac:dyDescent="0.3">
      <c r="A5167" t="s">
        <v>5292</v>
      </c>
      <c r="B5167" t="s">
        <v>127</v>
      </c>
      <c r="C5167">
        <v>235</v>
      </c>
      <c r="D5167">
        <f t="shared" si="180"/>
        <v>2018</v>
      </c>
      <c r="E5167">
        <f t="shared" si="181"/>
        <v>2</v>
      </c>
    </row>
    <row r="5168" spans="1:5" x14ac:dyDescent="0.3">
      <c r="A5168" t="s">
        <v>5293</v>
      </c>
      <c r="B5168" t="s">
        <v>127</v>
      </c>
      <c r="C5168">
        <v>230</v>
      </c>
      <c r="D5168">
        <f t="shared" si="180"/>
        <v>2018</v>
      </c>
      <c r="E5168">
        <f t="shared" si="181"/>
        <v>2</v>
      </c>
    </row>
    <row r="5169" spans="1:5" x14ac:dyDescent="0.3">
      <c r="A5169" t="s">
        <v>5294</v>
      </c>
      <c r="B5169" t="s">
        <v>127</v>
      </c>
      <c r="C5169">
        <v>230</v>
      </c>
      <c r="D5169">
        <f t="shared" si="180"/>
        <v>2018</v>
      </c>
      <c r="E5169">
        <f t="shared" si="181"/>
        <v>2</v>
      </c>
    </row>
    <row r="5170" spans="1:5" x14ac:dyDescent="0.3">
      <c r="A5170" t="s">
        <v>5295</v>
      </c>
      <c r="B5170" t="s">
        <v>127</v>
      </c>
      <c r="C5170">
        <v>233</v>
      </c>
      <c r="D5170">
        <f t="shared" si="180"/>
        <v>2018</v>
      </c>
      <c r="E5170">
        <f t="shared" si="181"/>
        <v>2</v>
      </c>
    </row>
    <row r="5171" spans="1:5" x14ac:dyDescent="0.3">
      <c r="A5171" t="s">
        <v>5296</v>
      </c>
      <c r="B5171" t="s">
        <v>127</v>
      </c>
      <c r="C5171">
        <v>230</v>
      </c>
      <c r="D5171">
        <f t="shared" si="180"/>
        <v>2018</v>
      </c>
      <c r="E5171">
        <f t="shared" si="181"/>
        <v>2</v>
      </c>
    </row>
    <row r="5172" spans="1:5" x14ac:dyDescent="0.3">
      <c r="A5172" t="s">
        <v>5297</v>
      </c>
      <c r="B5172" t="s">
        <v>127</v>
      </c>
      <c r="C5172">
        <v>235</v>
      </c>
      <c r="D5172">
        <f t="shared" si="180"/>
        <v>2018</v>
      </c>
      <c r="E5172">
        <f t="shared" si="181"/>
        <v>2</v>
      </c>
    </row>
    <row r="5173" spans="1:5" x14ac:dyDescent="0.3">
      <c r="A5173" t="s">
        <v>5298</v>
      </c>
      <c r="B5173" t="s">
        <v>127</v>
      </c>
      <c r="C5173">
        <v>237</v>
      </c>
      <c r="D5173">
        <f t="shared" si="180"/>
        <v>2018</v>
      </c>
      <c r="E5173">
        <f t="shared" si="181"/>
        <v>2</v>
      </c>
    </row>
    <row r="5174" spans="1:5" x14ac:dyDescent="0.3">
      <c r="A5174" t="s">
        <v>5299</v>
      </c>
      <c r="B5174" t="s">
        <v>127</v>
      </c>
      <c r="C5174">
        <v>232</v>
      </c>
      <c r="D5174">
        <f t="shared" si="180"/>
        <v>2018</v>
      </c>
      <c r="E5174">
        <f t="shared" si="181"/>
        <v>2</v>
      </c>
    </row>
    <row r="5175" spans="1:5" x14ac:dyDescent="0.3">
      <c r="A5175" t="s">
        <v>5300</v>
      </c>
      <c r="B5175" t="s">
        <v>127</v>
      </c>
      <c r="C5175">
        <v>229</v>
      </c>
      <c r="D5175">
        <f t="shared" si="180"/>
        <v>2018</v>
      </c>
      <c r="E5175">
        <f t="shared" si="181"/>
        <v>2</v>
      </c>
    </row>
    <row r="5176" spans="1:5" x14ac:dyDescent="0.3">
      <c r="A5176" t="s">
        <v>5301</v>
      </c>
      <c r="B5176" t="s">
        <v>127</v>
      </c>
      <c r="C5176">
        <v>238</v>
      </c>
      <c r="D5176">
        <f t="shared" si="180"/>
        <v>2018</v>
      </c>
      <c r="E5176">
        <f t="shared" si="181"/>
        <v>2</v>
      </c>
    </row>
    <row r="5177" spans="1:5" x14ac:dyDescent="0.3">
      <c r="A5177" t="s">
        <v>5302</v>
      </c>
      <c r="B5177" t="s">
        <v>127</v>
      </c>
      <c r="C5177">
        <v>245</v>
      </c>
      <c r="D5177">
        <f t="shared" si="180"/>
        <v>2018</v>
      </c>
      <c r="E5177">
        <f t="shared" si="181"/>
        <v>3</v>
      </c>
    </row>
    <row r="5178" spans="1:5" x14ac:dyDescent="0.3">
      <c r="A5178" t="s">
        <v>5303</v>
      </c>
      <c r="B5178" t="s">
        <v>127</v>
      </c>
      <c r="C5178">
        <v>241</v>
      </c>
      <c r="D5178">
        <f t="shared" si="180"/>
        <v>2018</v>
      </c>
      <c r="E5178">
        <f t="shared" si="181"/>
        <v>3</v>
      </c>
    </row>
    <row r="5179" spans="1:5" x14ac:dyDescent="0.3">
      <c r="A5179" t="s">
        <v>5304</v>
      </c>
      <c r="B5179" t="s">
        <v>127</v>
      </c>
      <c r="C5179">
        <v>237</v>
      </c>
      <c r="D5179">
        <f t="shared" si="180"/>
        <v>2018</v>
      </c>
      <c r="E5179">
        <f t="shared" si="181"/>
        <v>3</v>
      </c>
    </row>
    <row r="5180" spans="1:5" x14ac:dyDescent="0.3">
      <c r="A5180" t="s">
        <v>5305</v>
      </c>
      <c r="B5180" t="s">
        <v>127</v>
      </c>
      <c r="C5180">
        <v>236</v>
      </c>
      <c r="D5180">
        <f t="shared" si="180"/>
        <v>2018</v>
      </c>
      <c r="E5180">
        <f t="shared" si="181"/>
        <v>3</v>
      </c>
    </row>
    <row r="5181" spans="1:5" x14ac:dyDescent="0.3">
      <c r="A5181" t="s">
        <v>5306</v>
      </c>
      <c r="B5181" t="s">
        <v>127</v>
      </c>
      <c r="C5181">
        <v>239</v>
      </c>
      <c r="D5181">
        <f t="shared" si="180"/>
        <v>2018</v>
      </c>
      <c r="E5181">
        <f t="shared" si="181"/>
        <v>3</v>
      </c>
    </row>
    <row r="5182" spans="1:5" x14ac:dyDescent="0.3">
      <c r="A5182" t="s">
        <v>5307</v>
      </c>
      <c r="B5182" t="s">
        <v>127</v>
      </c>
      <c r="C5182">
        <v>240</v>
      </c>
      <c r="D5182">
        <f t="shared" si="180"/>
        <v>2018</v>
      </c>
      <c r="E5182">
        <f t="shared" si="181"/>
        <v>3</v>
      </c>
    </row>
    <row r="5183" spans="1:5" x14ac:dyDescent="0.3">
      <c r="A5183" t="s">
        <v>5308</v>
      </c>
      <c r="B5183" t="s">
        <v>127</v>
      </c>
      <c r="C5183">
        <v>237</v>
      </c>
      <c r="D5183">
        <f t="shared" si="180"/>
        <v>2018</v>
      </c>
      <c r="E5183">
        <f t="shared" si="181"/>
        <v>3</v>
      </c>
    </row>
    <row r="5184" spans="1:5" x14ac:dyDescent="0.3">
      <c r="A5184" t="s">
        <v>5309</v>
      </c>
      <c r="B5184" t="s">
        <v>127</v>
      </c>
      <c r="C5184">
        <v>239</v>
      </c>
      <c r="D5184">
        <f t="shared" si="180"/>
        <v>2018</v>
      </c>
      <c r="E5184">
        <f t="shared" si="181"/>
        <v>3</v>
      </c>
    </row>
    <row r="5185" spans="1:5" x14ac:dyDescent="0.3">
      <c r="A5185" t="s">
        <v>5310</v>
      </c>
      <c r="B5185" t="s">
        <v>127</v>
      </c>
      <c r="C5185">
        <v>243</v>
      </c>
      <c r="D5185">
        <f t="shared" si="180"/>
        <v>2018</v>
      </c>
      <c r="E5185">
        <f t="shared" si="181"/>
        <v>3</v>
      </c>
    </row>
    <row r="5186" spans="1:5" x14ac:dyDescent="0.3">
      <c r="A5186" t="s">
        <v>5311</v>
      </c>
      <c r="B5186" t="s">
        <v>127</v>
      </c>
      <c r="C5186">
        <v>244</v>
      </c>
      <c r="D5186">
        <f t="shared" si="180"/>
        <v>2018</v>
      </c>
      <c r="E5186">
        <f t="shared" si="181"/>
        <v>3</v>
      </c>
    </row>
    <row r="5187" spans="1:5" x14ac:dyDescent="0.3">
      <c r="A5187" t="s">
        <v>5312</v>
      </c>
      <c r="B5187" t="s">
        <v>127</v>
      </c>
      <c r="C5187">
        <v>245</v>
      </c>
      <c r="D5187">
        <f t="shared" ref="D5187:D5250" si="182">YEAR(A5187)</f>
        <v>2018</v>
      </c>
      <c r="E5187">
        <f t="shared" ref="E5187:E5250" si="183">MONTH(A5187)</f>
        <v>3</v>
      </c>
    </row>
    <row r="5188" spans="1:5" x14ac:dyDescent="0.3">
      <c r="A5188" t="s">
        <v>5313</v>
      </c>
      <c r="B5188" t="s">
        <v>127</v>
      </c>
      <c r="C5188">
        <v>244</v>
      </c>
      <c r="D5188">
        <f t="shared" si="182"/>
        <v>2018</v>
      </c>
      <c r="E5188">
        <f t="shared" si="183"/>
        <v>3</v>
      </c>
    </row>
    <row r="5189" spans="1:5" x14ac:dyDescent="0.3">
      <c r="A5189" t="s">
        <v>5314</v>
      </c>
      <c r="B5189" t="s">
        <v>127</v>
      </c>
      <c r="C5189">
        <v>249</v>
      </c>
      <c r="D5189">
        <f t="shared" si="182"/>
        <v>2018</v>
      </c>
      <c r="E5189">
        <f t="shared" si="183"/>
        <v>3</v>
      </c>
    </row>
    <row r="5190" spans="1:5" x14ac:dyDescent="0.3">
      <c r="A5190" t="s">
        <v>5315</v>
      </c>
      <c r="B5190" t="s">
        <v>127</v>
      </c>
      <c r="C5190">
        <v>247</v>
      </c>
      <c r="D5190">
        <f t="shared" si="182"/>
        <v>2018</v>
      </c>
      <c r="E5190">
        <f t="shared" si="183"/>
        <v>3</v>
      </c>
    </row>
    <row r="5191" spans="1:5" x14ac:dyDescent="0.3">
      <c r="A5191" t="s">
        <v>5316</v>
      </c>
      <c r="B5191" t="s">
        <v>127</v>
      </c>
      <c r="C5191">
        <v>246</v>
      </c>
      <c r="D5191">
        <f t="shared" si="182"/>
        <v>2018</v>
      </c>
      <c r="E5191">
        <f t="shared" si="183"/>
        <v>3</v>
      </c>
    </row>
    <row r="5192" spans="1:5" x14ac:dyDescent="0.3">
      <c r="A5192" t="s">
        <v>5317</v>
      </c>
      <c r="B5192" t="s">
        <v>127</v>
      </c>
      <c r="C5192">
        <v>252</v>
      </c>
      <c r="D5192">
        <f t="shared" si="182"/>
        <v>2018</v>
      </c>
      <c r="E5192">
        <f t="shared" si="183"/>
        <v>3</v>
      </c>
    </row>
    <row r="5193" spans="1:5" x14ac:dyDescent="0.3">
      <c r="A5193" t="s">
        <v>5318</v>
      </c>
      <c r="B5193" t="s">
        <v>127</v>
      </c>
      <c r="C5193">
        <v>258</v>
      </c>
      <c r="D5193">
        <f t="shared" si="182"/>
        <v>2018</v>
      </c>
      <c r="E5193">
        <f t="shared" si="183"/>
        <v>3</v>
      </c>
    </row>
    <row r="5194" spans="1:5" x14ac:dyDescent="0.3">
      <c r="A5194" t="s">
        <v>5319</v>
      </c>
      <c r="B5194" t="s">
        <v>127</v>
      </c>
      <c r="C5194">
        <v>254</v>
      </c>
      <c r="D5194">
        <f t="shared" si="182"/>
        <v>2018</v>
      </c>
      <c r="E5194">
        <f t="shared" si="183"/>
        <v>3</v>
      </c>
    </row>
    <row r="5195" spans="1:5" x14ac:dyDescent="0.3">
      <c r="A5195" t="s">
        <v>5320</v>
      </c>
      <c r="B5195" t="s">
        <v>127</v>
      </c>
      <c r="C5195">
        <v>254</v>
      </c>
      <c r="D5195">
        <f t="shared" si="182"/>
        <v>2018</v>
      </c>
      <c r="E5195">
        <f t="shared" si="183"/>
        <v>3</v>
      </c>
    </row>
    <row r="5196" spans="1:5" x14ac:dyDescent="0.3">
      <c r="A5196" t="s">
        <v>5321</v>
      </c>
      <c r="B5196" t="s">
        <v>127</v>
      </c>
      <c r="C5196">
        <v>254</v>
      </c>
      <c r="D5196">
        <f t="shared" si="182"/>
        <v>2018</v>
      </c>
      <c r="E5196">
        <f t="shared" si="183"/>
        <v>3</v>
      </c>
    </row>
    <row r="5197" spans="1:5" x14ac:dyDescent="0.3">
      <c r="A5197" t="s">
        <v>5322</v>
      </c>
      <c r="B5197" t="s">
        <v>127</v>
      </c>
      <c r="C5197">
        <v>252</v>
      </c>
      <c r="D5197">
        <f t="shared" si="182"/>
        <v>2018</v>
      </c>
      <c r="E5197">
        <f t="shared" si="183"/>
        <v>3</v>
      </c>
    </row>
    <row r="5198" spans="1:5" x14ac:dyDescent="0.3">
      <c r="A5198" t="s">
        <v>5323</v>
      </c>
      <c r="B5198" t="s">
        <v>127</v>
      </c>
      <c r="C5198">
        <v>252</v>
      </c>
      <c r="D5198">
        <f t="shared" si="182"/>
        <v>2018</v>
      </c>
      <c r="E5198">
        <f t="shared" si="183"/>
        <v>3</v>
      </c>
    </row>
    <row r="5199" spans="1:5" x14ac:dyDescent="0.3">
      <c r="A5199" t="s">
        <v>5324</v>
      </c>
      <c r="B5199" t="s">
        <v>127</v>
      </c>
      <c r="C5199">
        <v>255</v>
      </c>
      <c r="D5199">
        <f t="shared" si="182"/>
        <v>2018</v>
      </c>
      <c r="E5199">
        <f t="shared" si="183"/>
        <v>4</v>
      </c>
    </row>
    <row r="5200" spans="1:5" x14ac:dyDescent="0.3">
      <c r="A5200" t="s">
        <v>5325</v>
      </c>
      <c r="B5200" t="s">
        <v>127</v>
      </c>
      <c r="C5200">
        <v>248</v>
      </c>
      <c r="D5200">
        <f t="shared" si="182"/>
        <v>2018</v>
      </c>
      <c r="E5200">
        <f t="shared" si="183"/>
        <v>4</v>
      </c>
    </row>
    <row r="5201" spans="1:5" x14ac:dyDescent="0.3">
      <c r="A5201" t="s">
        <v>5326</v>
      </c>
      <c r="B5201" t="s">
        <v>127</v>
      </c>
      <c r="C5201">
        <v>246</v>
      </c>
      <c r="D5201">
        <f t="shared" si="182"/>
        <v>2018</v>
      </c>
      <c r="E5201">
        <f t="shared" si="183"/>
        <v>4</v>
      </c>
    </row>
    <row r="5202" spans="1:5" x14ac:dyDescent="0.3">
      <c r="A5202" t="s">
        <v>5327</v>
      </c>
      <c r="B5202" t="s">
        <v>127</v>
      </c>
      <c r="C5202">
        <v>238</v>
      </c>
      <c r="D5202">
        <f t="shared" si="182"/>
        <v>2018</v>
      </c>
      <c r="E5202">
        <f t="shared" si="183"/>
        <v>4</v>
      </c>
    </row>
    <row r="5203" spans="1:5" x14ac:dyDescent="0.3">
      <c r="A5203" t="s">
        <v>5328</v>
      </c>
      <c r="B5203" t="s">
        <v>127</v>
      </c>
      <c r="C5203">
        <v>243</v>
      </c>
      <c r="D5203">
        <f t="shared" si="182"/>
        <v>2018</v>
      </c>
      <c r="E5203">
        <f t="shared" si="183"/>
        <v>4</v>
      </c>
    </row>
    <row r="5204" spans="1:5" x14ac:dyDescent="0.3">
      <c r="A5204" t="s">
        <v>5329</v>
      </c>
      <c r="B5204" t="s">
        <v>127</v>
      </c>
      <c r="C5204">
        <v>243</v>
      </c>
      <c r="D5204">
        <f t="shared" si="182"/>
        <v>2018</v>
      </c>
      <c r="E5204">
        <f t="shared" si="183"/>
        <v>4</v>
      </c>
    </row>
    <row r="5205" spans="1:5" x14ac:dyDescent="0.3">
      <c r="A5205" t="s">
        <v>5330</v>
      </c>
      <c r="B5205" t="s">
        <v>127</v>
      </c>
      <c r="C5205">
        <v>240</v>
      </c>
      <c r="D5205">
        <f t="shared" si="182"/>
        <v>2018</v>
      </c>
      <c r="E5205">
        <f t="shared" si="183"/>
        <v>4</v>
      </c>
    </row>
    <row r="5206" spans="1:5" x14ac:dyDescent="0.3">
      <c r="A5206" t="s">
        <v>5331</v>
      </c>
      <c r="B5206" t="s">
        <v>127</v>
      </c>
      <c r="C5206">
        <v>239</v>
      </c>
      <c r="D5206">
        <f t="shared" si="182"/>
        <v>2018</v>
      </c>
      <c r="E5206">
        <f t="shared" si="183"/>
        <v>4</v>
      </c>
    </row>
    <row r="5207" spans="1:5" x14ac:dyDescent="0.3">
      <c r="A5207" t="s">
        <v>5332</v>
      </c>
      <c r="B5207" t="s">
        <v>127</v>
      </c>
      <c r="C5207">
        <v>235</v>
      </c>
      <c r="D5207">
        <f t="shared" si="182"/>
        <v>2018</v>
      </c>
      <c r="E5207">
        <f t="shared" si="183"/>
        <v>4</v>
      </c>
    </row>
    <row r="5208" spans="1:5" x14ac:dyDescent="0.3">
      <c r="A5208" t="s">
        <v>5333</v>
      </c>
      <c r="B5208" t="s">
        <v>127</v>
      </c>
      <c r="C5208">
        <v>237</v>
      </c>
      <c r="D5208">
        <f t="shared" si="182"/>
        <v>2018</v>
      </c>
      <c r="E5208">
        <f t="shared" si="183"/>
        <v>4</v>
      </c>
    </row>
    <row r="5209" spans="1:5" x14ac:dyDescent="0.3">
      <c r="A5209" t="s">
        <v>5334</v>
      </c>
      <c r="B5209" t="s">
        <v>127</v>
      </c>
      <c r="C5209">
        <v>238</v>
      </c>
      <c r="D5209">
        <f t="shared" si="182"/>
        <v>2018</v>
      </c>
      <c r="E5209">
        <f t="shared" si="183"/>
        <v>4</v>
      </c>
    </row>
    <row r="5210" spans="1:5" x14ac:dyDescent="0.3">
      <c r="A5210" t="s">
        <v>5335</v>
      </c>
      <c r="B5210" t="s">
        <v>127</v>
      </c>
      <c r="C5210">
        <v>241</v>
      </c>
      <c r="D5210">
        <f t="shared" si="182"/>
        <v>2018</v>
      </c>
      <c r="E5210">
        <f t="shared" si="183"/>
        <v>4</v>
      </c>
    </row>
    <row r="5211" spans="1:5" x14ac:dyDescent="0.3">
      <c r="A5211" t="s">
        <v>5336</v>
      </c>
      <c r="B5211" t="s">
        <v>127</v>
      </c>
      <c r="C5211">
        <v>239</v>
      </c>
      <c r="D5211">
        <f t="shared" si="182"/>
        <v>2018</v>
      </c>
      <c r="E5211">
        <f t="shared" si="183"/>
        <v>4</v>
      </c>
    </row>
    <row r="5212" spans="1:5" x14ac:dyDescent="0.3">
      <c r="A5212" t="s">
        <v>5337</v>
      </c>
      <c r="B5212" t="s">
        <v>127</v>
      </c>
      <c r="C5212">
        <v>244</v>
      </c>
      <c r="D5212">
        <f t="shared" si="182"/>
        <v>2018</v>
      </c>
      <c r="E5212">
        <f t="shared" si="183"/>
        <v>4</v>
      </c>
    </row>
    <row r="5213" spans="1:5" x14ac:dyDescent="0.3">
      <c r="A5213" t="s">
        <v>5338</v>
      </c>
      <c r="B5213" t="s">
        <v>127</v>
      </c>
      <c r="C5213">
        <v>245</v>
      </c>
      <c r="D5213">
        <f t="shared" si="182"/>
        <v>2018</v>
      </c>
      <c r="E5213">
        <f t="shared" si="183"/>
        <v>4</v>
      </c>
    </row>
    <row r="5214" spans="1:5" x14ac:dyDescent="0.3">
      <c r="A5214" t="s">
        <v>5339</v>
      </c>
      <c r="B5214" t="s">
        <v>127</v>
      </c>
      <c r="C5214">
        <v>248</v>
      </c>
      <c r="D5214">
        <f t="shared" si="182"/>
        <v>2018</v>
      </c>
      <c r="E5214">
        <f t="shared" si="183"/>
        <v>4</v>
      </c>
    </row>
    <row r="5215" spans="1:5" x14ac:dyDescent="0.3">
      <c r="A5215" t="s">
        <v>5340</v>
      </c>
      <c r="B5215" t="s">
        <v>127</v>
      </c>
      <c r="C5215">
        <v>248</v>
      </c>
      <c r="D5215">
        <f t="shared" si="182"/>
        <v>2018</v>
      </c>
      <c r="E5215">
        <f t="shared" si="183"/>
        <v>4</v>
      </c>
    </row>
    <row r="5216" spans="1:5" x14ac:dyDescent="0.3">
      <c r="A5216" t="s">
        <v>5341</v>
      </c>
      <c r="B5216" t="s">
        <v>127</v>
      </c>
      <c r="C5216">
        <v>251</v>
      </c>
      <c r="D5216">
        <f t="shared" si="182"/>
        <v>2018</v>
      </c>
      <c r="E5216">
        <f t="shared" si="183"/>
        <v>4</v>
      </c>
    </row>
    <row r="5217" spans="1:5" x14ac:dyDescent="0.3">
      <c r="A5217" t="s">
        <v>5342</v>
      </c>
      <c r="B5217" t="s">
        <v>127</v>
      </c>
      <c r="C5217">
        <v>254</v>
      </c>
      <c r="D5217">
        <f t="shared" si="182"/>
        <v>2018</v>
      </c>
      <c r="E5217">
        <f t="shared" si="183"/>
        <v>4</v>
      </c>
    </row>
    <row r="5218" spans="1:5" x14ac:dyDescent="0.3">
      <c r="A5218" t="s">
        <v>5343</v>
      </c>
      <c r="B5218" t="s">
        <v>127</v>
      </c>
      <c r="C5218">
        <v>258</v>
      </c>
      <c r="D5218">
        <f t="shared" si="182"/>
        <v>2018</v>
      </c>
      <c r="E5218">
        <f t="shared" si="183"/>
        <v>4</v>
      </c>
    </row>
    <row r="5219" spans="1:5" x14ac:dyDescent="0.3">
      <c r="A5219" t="s">
        <v>5344</v>
      </c>
      <c r="B5219" t="s">
        <v>127</v>
      </c>
      <c r="C5219">
        <v>263</v>
      </c>
      <c r="D5219">
        <f t="shared" si="182"/>
        <v>2018</v>
      </c>
      <c r="E5219">
        <f t="shared" si="183"/>
        <v>4</v>
      </c>
    </row>
    <row r="5220" spans="1:5" x14ac:dyDescent="0.3">
      <c r="A5220" t="s">
        <v>5345</v>
      </c>
      <c r="B5220" t="s">
        <v>127</v>
      </c>
      <c r="C5220">
        <v>264</v>
      </c>
      <c r="D5220">
        <f t="shared" si="182"/>
        <v>2018</v>
      </c>
      <c r="E5220">
        <f t="shared" si="183"/>
        <v>5</v>
      </c>
    </row>
    <row r="5221" spans="1:5" x14ac:dyDescent="0.3">
      <c r="A5221" t="s">
        <v>5346</v>
      </c>
      <c r="B5221" t="s">
        <v>127</v>
      </c>
      <c r="C5221">
        <v>269</v>
      </c>
      <c r="D5221">
        <f t="shared" si="182"/>
        <v>2018</v>
      </c>
      <c r="E5221">
        <f t="shared" si="183"/>
        <v>5</v>
      </c>
    </row>
    <row r="5222" spans="1:5" x14ac:dyDescent="0.3">
      <c r="A5222" t="s">
        <v>5347</v>
      </c>
      <c r="B5222" t="s">
        <v>127</v>
      </c>
      <c r="C5222">
        <v>277</v>
      </c>
      <c r="D5222">
        <f t="shared" si="182"/>
        <v>2018</v>
      </c>
      <c r="E5222">
        <f t="shared" si="183"/>
        <v>5</v>
      </c>
    </row>
    <row r="5223" spans="1:5" x14ac:dyDescent="0.3">
      <c r="A5223" t="s">
        <v>5348</v>
      </c>
      <c r="B5223" t="s">
        <v>127</v>
      </c>
      <c r="C5223">
        <v>272</v>
      </c>
      <c r="D5223">
        <f t="shared" si="182"/>
        <v>2018</v>
      </c>
      <c r="E5223">
        <f t="shared" si="183"/>
        <v>5</v>
      </c>
    </row>
    <row r="5224" spans="1:5" x14ac:dyDescent="0.3">
      <c r="A5224" t="s">
        <v>5349</v>
      </c>
      <c r="B5224" t="s">
        <v>127</v>
      </c>
      <c r="C5224">
        <v>269</v>
      </c>
      <c r="D5224">
        <f t="shared" si="182"/>
        <v>2018</v>
      </c>
      <c r="E5224">
        <f t="shared" si="183"/>
        <v>5</v>
      </c>
    </row>
    <row r="5225" spans="1:5" x14ac:dyDescent="0.3">
      <c r="A5225" t="s">
        <v>5350</v>
      </c>
      <c r="B5225" t="s">
        <v>127</v>
      </c>
      <c r="C5225">
        <v>274</v>
      </c>
      <c r="D5225">
        <f t="shared" si="182"/>
        <v>2018</v>
      </c>
      <c r="E5225">
        <f t="shared" si="183"/>
        <v>5</v>
      </c>
    </row>
    <row r="5226" spans="1:5" x14ac:dyDescent="0.3">
      <c r="A5226" t="s">
        <v>5351</v>
      </c>
      <c r="B5226" t="s">
        <v>127</v>
      </c>
      <c r="C5226">
        <v>270</v>
      </c>
      <c r="D5226">
        <f t="shared" si="182"/>
        <v>2018</v>
      </c>
      <c r="E5226">
        <f t="shared" si="183"/>
        <v>5</v>
      </c>
    </row>
    <row r="5227" spans="1:5" x14ac:dyDescent="0.3">
      <c r="A5227" t="s">
        <v>5352</v>
      </c>
      <c r="B5227" t="s">
        <v>127</v>
      </c>
      <c r="C5227">
        <v>260</v>
      </c>
      <c r="D5227">
        <f t="shared" si="182"/>
        <v>2018</v>
      </c>
      <c r="E5227">
        <f t="shared" si="183"/>
        <v>5</v>
      </c>
    </row>
    <row r="5228" spans="1:5" x14ac:dyDescent="0.3">
      <c r="A5228" t="s">
        <v>5353</v>
      </c>
      <c r="B5228" t="s">
        <v>127</v>
      </c>
      <c r="C5228">
        <v>260</v>
      </c>
      <c r="D5228">
        <f t="shared" si="182"/>
        <v>2018</v>
      </c>
      <c r="E5228">
        <f t="shared" si="183"/>
        <v>5</v>
      </c>
    </row>
    <row r="5229" spans="1:5" x14ac:dyDescent="0.3">
      <c r="A5229" t="s">
        <v>5354</v>
      </c>
      <c r="B5229" t="s">
        <v>127</v>
      </c>
      <c r="C5229">
        <v>258</v>
      </c>
      <c r="D5229">
        <f t="shared" si="182"/>
        <v>2018</v>
      </c>
      <c r="E5229">
        <f t="shared" si="183"/>
        <v>5</v>
      </c>
    </row>
    <row r="5230" spans="1:5" x14ac:dyDescent="0.3">
      <c r="A5230" t="s">
        <v>5355</v>
      </c>
      <c r="B5230" t="s">
        <v>127</v>
      </c>
      <c r="C5230">
        <v>262</v>
      </c>
      <c r="D5230">
        <f t="shared" si="182"/>
        <v>2018</v>
      </c>
      <c r="E5230">
        <f t="shared" si="183"/>
        <v>5</v>
      </c>
    </row>
    <row r="5231" spans="1:5" x14ac:dyDescent="0.3">
      <c r="A5231" t="s">
        <v>5356</v>
      </c>
      <c r="B5231" t="s">
        <v>127</v>
      </c>
      <c r="C5231">
        <v>260</v>
      </c>
      <c r="D5231">
        <f t="shared" si="182"/>
        <v>2018</v>
      </c>
      <c r="E5231">
        <f t="shared" si="183"/>
        <v>5</v>
      </c>
    </row>
    <row r="5232" spans="1:5" x14ac:dyDescent="0.3">
      <c r="A5232" t="s">
        <v>5357</v>
      </c>
      <c r="B5232" t="s">
        <v>127</v>
      </c>
      <c r="C5232">
        <v>263</v>
      </c>
      <c r="D5232">
        <f t="shared" si="182"/>
        <v>2018</v>
      </c>
      <c r="E5232">
        <f t="shared" si="183"/>
        <v>5</v>
      </c>
    </row>
    <row r="5233" spans="1:5" x14ac:dyDescent="0.3">
      <c r="A5233" t="s">
        <v>5358</v>
      </c>
      <c r="B5233" t="s">
        <v>127</v>
      </c>
      <c r="C5233">
        <v>271</v>
      </c>
      <c r="D5233">
        <f t="shared" si="182"/>
        <v>2018</v>
      </c>
      <c r="E5233">
        <f t="shared" si="183"/>
        <v>5</v>
      </c>
    </row>
    <row r="5234" spans="1:5" x14ac:dyDescent="0.3">
      <c r="A5234" t="s">
        <v>5359</v>
      </c>
      <c r="B5234" t="s">
        <v>127</v>
      </c>
      <c r="C5234">
        <v>272</v>
      </c>
      <c r="D5234">
        <f t="shared" si="182"/>
        <v>2018</v>
      </c>
      <c r="E5234">
        <f t="shared" si="183"/>
        <v>5</v>
      </c>
    </row>
    <row r="5235" spans="1:5" x14ac:dyDescent="0.3">
      <c r="A5235" t="s">
        <v>5360</v>
      </c>
      <c r="B5235" t="s">
        <v>127</v>
      </c>
      <c r="C5235">
        <v>265</v>
      </c>
      <c r="D5235">
        <f t="shared" si="182"/>
        <v>2018</v>
      </c>
      <c r="E5235">
        <f t="shared" si="183"/>
        <v>5</v>
      </c>
    </row>
    <row r="5236" spans="1:5" x14ac:dyDescent="0.3">
      <c r="A5236" t="s">
        <v>5361</v>
      </c>
      <c r="B5236" t="s">
        <v>127</v>
      </c>
      <c r="C5236">
        <v>267</v>
      </c>
      <c r="D5236">
        <f t="shared" si="182"/>
        <v>2018</v>
      </c>
      <c r="E5236">
        <f t="shared" si="183"/>
        <v>5</v>
      </c>
    </row>
    <row r="5237" spans="1:5" x14ac:dyDescent="0.3">
      <c r="A5237" t="s">
        <v>5362</v>
      </c>
      <c r="B5237" t="s">
        <v>127</v>
      </c>
      <c r="C5237">
        <v>265</v>
      </c>
      <c r="D5237">
        <f t="shared" si="182"/>
        <v>2018</v>
      </c>
      <c r="E5237">
        <f t="shared" si="183"/>
        <v>5</v>
      </c>
    </row>
    <row r="5238" spans="1:5" x14ac:dyDescent="0.3">
      <c r="A5238" t="s">
        <v>5363</v>
      </c>
      <c r="B5238" t="s">
        <v>127</v>
      </c>
      <c r="C5238">
        <v>265</v>
      </c>
      <c r="D5238">
        <f t="shared" si="182"/>
        <v>2018</v>
      </c>
      <c r="E5238">
        <f t="shared" si="183"/>
        <v>5</v>
      </c>
    </row>
    <row r="5239" spans="1:5" x14ac:dyDescent="0.3">
      <c r="A5239" t="s">
        <v>5364</v>
      </c>
      <c r="B5239" t="s">
        <v>127</v>
      </c>
      <c r="C5239">
        <v>265</v>
      </c>
      <c r="D5239">
        <f t="shared" si="182"/>
        <v>2018</v>
      </c>
      <c r="E5239">
        <f t="shared" si="183"/>
        <v>5</v>
      </c>
    </row>
    <row r="5240" spans="1:5" x14ac:dyDescent="0.3">
      <c r="A5240" t="s">
        <v>5365</v>
      </c>
      <c r="B5240" t="s">
        <v>127</v>
      </c>
      <c r="C5240">
        <v>282</v>
      </c>
      <c r="D5240">
        <f t="shared" si="182"/>
        <v>2018</v>
      </c>
      <c r="E5240">
        <f t="shared" si="183"/>
        <v>5</v>
      </c>
    </row>
    <row r="5241" spans="1:5" x14ac:dyDescent="0.3">
      <c r="A5241" t="s">
        <v>5366</v>
      </c>
      <c r="B5241" t="s">
        <v>127</v>
      </c>
      <c r="C5241">
        <v>278</v>
      </c>
      <c r="D5241">
        <f t="shared" si="182"/>
        <v>2018</v>
      </c>
      <c r="E5241">
        <f t="shared" si="183"/>
        <v>5</v>
      </c>
    </row>
    <row r="5242" spans="1:5" x14ac:dyDescent="0.3">
      <c r="A5242" t="s">
        <v>5367</v>
      </c>
      <c r="B5242" t="s">
        <v>127</v>
      </c>
      <c r="C5242">
        <v>288</v>
      </c>
      <c r="D5242">
        <f t="shared" si="182"/>
        <v>2018</v>
      </c>
      <c r="E5242">
        <f t="shared" si="183"/>
        <v>5</v>
      </c>
    </row>
    <row r="5243" spans="1:5" x14ac:dyDescent="0.3">
      <c r="A5243" t="s">
        <v>5368</v>
      </c>
      <c r="B5243" t="s">
        <v>127</v>
      </c>
      <c r="C5243">
        <v>285</v>
      </c>
      <c r="D5243">
        <f t="shared" si="182"/>
        <v>2018</v>
      </c>
      <c r="E5243">
        <f t="shared" si="183"/>
        <v>6</v>
      </c>
    </row>
    <row r="5244" spans="1:5" x14ac:dyDescent="0.3">
      <c r="A5244" t="s">
        <v>5369</v>
      </c>
      <c r="B5244" t="s">
        <v>127</v>
      </c>
      <c r="C5244">
        <v>281</v>
      </c>
      <c r="D5244">
        <f t="shared" si="182"/>
        <v>2018</v>
      </c>
      <c r="E5244">
        <f t="shared" si="183"/>
        <v>6</v>
      </c>
    </row>
    <row r="5245" spans="1:5" x14ac:dyDescent="0.3">
      <c r="A5245" t="s">
        <v>5370</v>
      </c>
      <c r="B5245" t="s">
        <v>127</v>
      </c>
      <c r="C5245">
        <v>291</v>
      </c>
      <c r="D5245">
        <f t="shared" si="182"/>
        <v>2018</v>
      </c>
      <c r="E5245">
        <f t="shared" si="183"/>
        <v>6</v>
      </c>
    </row>
    <row r="5246" spans="1:5" x14ac:dyDescent="0.3">
      <c r="A5246" t="s">
        <v>5371</v>
      </c>
      <c r="B5246" t="s">
        <v>127</v>
      </c>
      <c r="C5246">
        <v>289</v>
      </c>
      <c r="D5246">
        <f t="shared" si="182"/>
        <v>2018</v>
      </c>
      <c r="E5246">
        <f t="shared" si="183"/>
        <v>6</v>
      </c>
    </row>
    <row r="5247" spans="1:5" x14ac:dyDescent="0.3">
      <c r="A5247" t="s">
        <v>5372</v>
      </c>
      <c r="B5247" t="s">
        <v>127</v>
      </c>
      <c r="C5247">
        <v>300</v>
      </c>
      <c r="D5247">
        <f t="shared" si="182"/>
        <v>2018</v>
      </c>
      <c r="E5247">
        <f t="shared" si="183"/>
        <v>6</v>
      </c>
    </row>
    <row r="5248" spans="1:5" x14ac:dyDescent="0.3">
      <c r="A5248" t="s">
        <v>5373</v>
      </c>
      <c r="B5248" t="s">
        <v>127</v>
      </c>
      <c r="C5248">
        <v>302</v>
      </c>
      <c r="D5248">
        <f t="shared" si="182"/>
        <v>2018</v>
      </c>
      <c r="E5248">
        <f t="shared" si="183"/>
        <v>6</v>
      </c>
    </row>
    <row r="5249" spans="1:5" x14ac:dyDescent="0.3">
      <c r="A5249" t="s">
        <v>5374</v>
      </c>
      <c r="B5249" t="s">
        <v>127</v>
      </c>
      <c r="C5249">
        <v>306</v>
      </c>
      <c r="D5249">
        <f t="shared" si="182"/>
        <v>2018</v>
      </c>
      <c r="E5249">
        <f t="shared" si="183"/>
        <v>6</v>
      </c>
    </row>
    <row r="5250" spans="1:5" x14ac:dyDescent="0.3">
      <c r="A5250" t="s">
        <v>5375</v>
      </c>
      <c r="B5250" t="s">
        <v>127</v>
      </c>
      <c r="C5250">
        <v>307</v>
      </c>
      <c r="D5250">
        <f t="shared" si="182"/>
        <v>2018</v>
      </c>
      <c r="E5250">
        <f t="shared" si="183"/>
        <v>6</v>
      </c>
    </row>
    <row r="5251" spans="1:5" x14ac:dyDescent="0.3">
      <c r="A5251" t="s">
        <v>5376</v>
      </c>
      <c r="B5251" t="s">
        <v>127</v>
      </c>
      <c r="C5251">
        <v>304</v>
      </c>
      <c r="D5251">
        <f t="shared" ref="D5251:D5314" si="184">YEAR(A5251)</f>
        <v>2018</v>
      </c>
      <c r="E5251">
        <f t="shared" ref="E5251:E5314" si="185">MONTH(A5251)</f>
        <v>6</v>
      </c>
    </row>
    <row r="5252" spans="1:5" x14ac:dyDescent="0.3">
      <c r="A5252" t="s">
        <v>5377</v>
      </c>
      <c r="B5252" t="s">
        <v>127</v>
      </c>
      <c r="C5252">
        <v>303</v>
      </c>
      <c r="D5252">
        <f t="shared" si="184"/>
        <v>2018</v>
      </c>
      <c r="E5252">
        <f t="shared" si="185"/>
        <v>6</v>
      </c>
    </row>
    <row r="5253" spans="1:5" x14ac:dyDescent="0.3">
      <c r="A5253" t="s">
        <v>5378</v>
      </c>
      <c r="B5253" t="s">
        <v>127</v>
      </c>
      <c r="C5253">
        <v>299</v>
      </c>
      <c r="D5253">
        <f t="shared" si="184"/>
        <v>2018</v>
      </c>
      <c r="E5253">
        <f t="shared" si="185"/>
        <v>6</v>
      </c>
    </row>
    <row r="5254" spans="1:5" x14ac:dyDescent="0.3">
      <c r="A5254" t="s">
        <v>5379</v>
      </c>
      <c r="B5254" t="s">
        <v>127</v>
      </c>
      <c r="C5254">
        <v>301</v>
      </c>
      <c r="D5254">
        <f t="shared" si="184"/>
        <v>2018</v>
      </c>
      <c r="E5254">
        <f t="shared" si="185"/>
        <v>6</v>
      </c>
    </row>
    <row r="5255" spans="1:5" x14ac:dyDescent="0.3">
      <c r="A5255" t="s">
        <v>5380</v>
      </c>
      <c r="B5255" t="s">
        <v>127</v>
      </c>
      <c r="C5255">
        <v>302</v>
      </c>
      <c r="D5255">
        <f t="shared" si="184"/>
        <v>2018</v>
      </c>
      <c r="E5255">
        <f t="shared" si="185"/>
        <v>6</v>
      </c>
    </row>
    <row r="5256" spans="1:5" x14ac:dyDescent="0.3">
      <c r="A5256" t="s">
        <v>5381</v>
      </c>
      <c r="B5256" t="s">
        <v>127</v>
      </c>
      <c r="C5256">
        <v>292</v>
      </c>
      <c r="D5256">
        <f t="shared" si="184"/>
        <v>2018</v>
      </c>
      <c r="E5256">
        <f t="shared" si="185"/>
        <v>6</v>
      </c>
    </row>
    <row r="5257" spans="1:5" x14ac:dyDescent="0.3">
      <c r="A5257" t="s">
        <v>5382</v>
      </c>
      <c r="B5257" t="s">
        <v>127</v>
      </c>
      <c r="C5257">
        <v>286</v>
      </c>
      <c r="D5257">
        <f t="shared" si="184"/>
        <v>2018</v>
      </c>
      <c r="E5257">
        <f t="shared" si="185"/>
        <v>6</v>
      </c>
    </row>
    <row r="5258" spans="1:5" x14ac:dyDescent="0.3">
      <c r="A5258" t="s">
        <v>5383</v>
      </c>
      <c r="B5258" t="s">
        <v>127</v>
      </c>
      <c r="C5258">
        <v>279</v>
      </c>
      <c r="D5258">
        <f t="shared" si="184"/>
        <v>2018</v>
      </c>
      <c r="E5258">
        <f t="shared" si="185"/>
        <v>6</v>
      </c>
    </row>
    <row r="5259" spans="1:5" x14ac:dyDescent="0.3">
      <c r="A5259" t="s">
        <v>5384</v>
      </c>
      <c r="B5259" t="s">
        <v>127</v>
      </c>
      <c r="C5259">
        <v>284</v>
      </c>
      <c r="D5259">
        <f t="shared" si="184"/>
        <v>2018</v>
      </c>
      <c r="E5259">
        <f t="shared" si="185"/>
        <v>6</v>
      </c>
    </row>
    <row r="5260" spans="1:5" x14ac:dyDescent="0.3">
      <c r="A5260" t="s">
        <v>5385</v>
      </c>
      <c r="B5260" t="s">
        <v>127</v>
      </c>
      <c r="C5260">
        <v>283</v>
      </c>
      <c r="D5260">
        <f t="shared" si="184"/>
        <v>2018</v>
      </c>
      <c r="E5260">
        <f t="shared" si="185"/>
        <v>6</v>
      </c>
    </row>
    <row r="5261" spans="1:5" x14ac:dyDescent="0.3">
      <c r="A5261" t="s">
        <v>5386</v>
      </c>
      <c r="B5261" t="s">
        <v>127</v>
      </c>
      <c r="C5261">
        <v>288</v>
      </c>
      <c r="D5261">
        <f t="shared" si="184"/>
        <v>2018</v>
      </c>
      <c r="E5261">
        <f t="shared" si="185"/>
        <v>6</v>
      </c>
    </row>
    <row r="5262" spans="1:5" x14ac:dyDescent="0.3">
      <c r="A5262" t="s">
        <v>5387</v>
      </c>
      <c r="B5262" t="s">
        <v>127</v>
      </c>
      <c r="C5262">
        <v>283</v>
      </c>
      <c r="D5262">
        <f t="shared" si="184"/>
        <v>2018</v>
      </c>
      <c r="E5262">
        <f t="shared" si="185"/>
        <v>6</v>
      </c>
    </row>
    <row r="5263" spans="1:5" x14ac:dyDescent="0.3">
      <c r="A5263" t="s">
        <v>5388</v>
      </c>
      <c r="B5263" t="s">
        <v>127</v>
      </c>
      <c r="C5263">
        <v>281</v>
      </c>
      <c r="D5263">
        <f t="shared" si="184"/>
        <v>2018</v>
      </c>
      <c r="E5263">
        <f t="shared" si="185"/>
        <v>6</v>
      </c>
    </row>
    <row r="5264" spans="1:5" x14ac:dyDescent="0.3">
      <c r="A5264" t="s">
        <v>5389</v>
      </c>
      <c r="B5264" t="s">
        <v>127</v>
      </c>
      <c r="C5264">
        <v>289</v>
      </c>
      <c r="D5264">
        <f t="shared" si="184"/>
        <v>2018</v>
      </c>
      <c r="E5264">
        <f t="shared" si="185"/>
        <v>7</v>
      </c>
    </row>
    <row r="5265" spans="1:5" x14ac:dyDescent="0.3">
      <c r="A5265" t="s">
        <v>5390</v>
      </c>
      <c r="B5265" t="s">
        <v>127</v>
      </c>
      <c r="C5265">
        <v>282</v>
      </c>
      <c r="D5265">
        <f t="shared" si="184"/>
        <v>2018</v>
      </c>
      <c r="E5265">
        <f t="shared" si="185"/>
        <v>7</v>
      </c>
    </row>
    <row r="5266" spans="1:5" x14ac:dyDescent="0.3">
      <c r="A5266" t="s">
        <v>5391</v>
      </c>
      <c r="B5266" t="s">
        <v>127</v>
      </c>
      <c r="C5266">
        <v>282</v>
      </c>
      <c r="D5266">
        <f t="shared" si="184"/>
        <v>2018</v>
      </c>
      <c r="E5266">
        <f t="shared" si="185"/>
        <v>7</v>
      </c>
    </row>
    <row r="5267" spans="1:5" x14ac:dyDescent="0.3">
      <c r="A5267" t="s">
        <v>5392</v>
      </c>
      <c r="B5267" t="s">
        <v>127</v>
      </c>
      <c r="C5267">
        <v>278</v>
      </c>
      <c r="D5267">
        <f t="shared" si="184"/>
        <v>2018</v>
      </c>
      <c r="E5267">
        <f t="shared" si="185"/>
        <v>7</v>
      </c>
    </row>
    <row r="5268" spans="1:5" x14ac:dyDescent="0.3">
      <c r="A5268" t="s">
        <v>5393</v>
      </c>
      <c r="B5268" t="s">
        <v>127</v>
      </c>
      <c r="C5268">
        <v>272</v>
      </c>
      <c r="D5268">
        <f t="shared" si="184"/>
        <v>2018</v>
      </c>
      <c r="E5268">
        <f t="shared" si="185"/>
        <v>7</v>
      </c>
    </row>
    <row r="5269" spans="1:5" x14ac:dyDescent="0.3">
      <c r="A5269" t="s">
        <v>5394</v>
      </c>
      <c r="B5269" t="s">
        <v>127</v>
      </c>
      <c r="C5269">
        <v>268</v>
      </c>
      <c r="D5269">
        <f t="shared" si="184"/>
        <v>2018</v>
      </c>
      <c r="E5269">
        <f t="shared" si="185"/>
        <v>7</v>
      </c>
    </row>
    <row r="5270" spans="1:5" x14ac:dyDescent="0.3">
      <c r="A5270" t="s">
        <v>5395</v>
      </c>
      <c r="B5270" t="s">
        <v>127</v>
      </c>
      <c r="C5270">
        <v>267</v>
      </c>
      <c r="D5270">
        <f t="shared" si="184"/>
        <v>2018</v>
      </c>
      <c r="E5270">
        <f t="shared" si="185"/>
        <v>7</v>
      </c>
    </row>
    <row r="5271" spans="1:5" x14ac:dyDescent="0.3">
      <c r="A5271" t="s">
        <v>5396</v>
      </c>
      <c r="B5271" t="s">
        <v>127</v>
      </c>
      <c r="C5271">
        <v>272</v>
      </c>
      <c r="D5271">
        <f t="shared" si="184"/>
        <v>2018</v>
      </c>
      <c r="E5271">
        <f t="shared" si="185"/>
        <v>7</v>
      </c>
    </row>
    <row r="5272" spans="1:5" x14ac:dyDescent="0.3">
      <c r="A5272" t="s">
        <v>5397</v>
      </c>
      <c r="B5272" t="s">
        <v>127</v>
      </c>
      <c r="C5272">
        <v>269</v>
      </c>
      <c r="D5272">
        <f t="shared" si="184"/>
        <v>2018</v>
      </c>
      <c r="E5272">
        <f t="shared" si="185"/>
        <v>7</v>
      </c>
    </row>
    <row r="5273" spans="1:5" x14ac:dyDescent="0.3">
      <c r="A5273" t="s">
        <v>5398</v>
      </c>
      <c r="B5273" t="s">
        <v>127</v>
      </c>
      <c r="C5273">
        <v>267</v>
      </c>
      <c r="D5273">
        <f t="shared" si="184"/>
        <v>2018</v>
      </c>
      <c r="E5273">
        <f t="shared" si="185"/>
        <v>7</v>
      </c>
    </row>
    <row r="5274" spans="1:5" x14ac:dyDescent="0.3">
      <c r="A5274" t="s">
        <v>5399</v>
      </c>
      <c r="B5274" t="s">
        <v>127</v>
      </c>
      <c r="C5274">
        <v>263</v>
      </c>
      <c r="D5274">
        <f t="shared" si="184"/>
        <v>2018</v>
      </c>
      <c r="E5274">
        <f t="shared" si="185"/>
        <v>7</v>
      </c>
    </row>
    <row r="5275" spans="1:5" x14ac:dyDescent="0.3">
      <c r="A5275" t="s">
        <v>5400</v>
      </c>
      <c r="B5275" t="s">
        <v>127</v>
      </c>
      <c r="C5275">
        <v>265</v>
      </c>
      <c r="D5275">
        <f t="shared" si="184"/>
        <v>2018</v>
      </c>
      <c r="E5275">
        <f t="shared" si="185"/>
        <v>7</v>
      </c>
    </row>
    <row r="5276" spans="1:5" x14ac:dyDescent="0.3">
      <c r="A5276" t="s">
        <v>5401</v>
      </c>
      <c r="B5276" t="s">
        <v>127</v>
      </c>
      <c r="C5276">
        <v>262</v>
      </c>
      <c r="D5276">
        <f t="shared" si="184"/>
        <v>2018</v>
      </c>
      <c r="E5276">
        <f t="shared" si="185"/>
        <v>7</v>
      </c>
    </row>
    <row r="5277" spans="1:5" x14ac:dyDescent="0.3">
      <c r="A5277" t="s">
        <v>5402</v>
      </c>
      <c r="B5277" t="s">
        <v>127</v>
      </c>
      <c r="C5277">
        <v>267</v>
      </c>
      <c r="D5277">
        <f t="shared" si="184"/>
        <v>2018</v>
      </c>
      <c r="E5277">
        <f t="shared" si="185"/>
        <v>7</v>
      </c>
    </row>
    <row r="5278" spans="1:5" x14ac:dyDescent="0.3">
      <c r="A5278" t="s">
        <v>5403</v>
      </c>
      <c r="B5278" t="s">
        <v>127</v>
      </c>
      <c r="C5278">
        <v>264</v>
      </c>
      <c r="D5278">
        <f t="shared" si="184"/>
        <v>2018</v>
      </c>
      <c r="E5278">
        <f t="shared" si="185"/>
        <v>7</v>
      </c>
    </row>
    <row r="5279" spans="1:5" x14ac:dyDescent="0.3">
      <c r="A5279" t="s">
        <v>5404</v>
      </c>
      <c r="B5279" t="s">
        <v>127</v>
      </c>
      <c r="C5279">
        <v>262</v>
      </c>
      <c r="D5279">
        <f t="shared" si="184"/>
        <v>2018</v>
      </c>
      <c r="E5279">
        <f t="shared" si="185"/>
        <v>7</v>
      </c>
    </row>
    <row r="5280" spans="1:5" x14ac:dyDescent="0.3">
      <c r="A5280" t="s">
        <v>5405</v>
      </c>
      <c r="B5280" t="s">
        <v>127</v>
      </c>
      <c r="C5280">
        <v>263</v>
      </c>
      <c r="D5280">
        <f t="shared" si="184"/>
        <v>2018</v>
      </c>
      <c r="E5280">
        <f t="shared" si="185"/>
        <v>7</v>
      </c>
    </row>
    <row r="5281" spans="1:5" x14ac:dyDescent="0.3">
      <c r="A5281" t="s">
        <v>5406</v>
      </c>
      <c r="B5281" t="s">
        <v>127</v>
      </c>
      <c r="C5281">
        <v>261</v>
      </c>
      <c r="D5281">
        <f t="shared" si="184"/>
        <v>2018</v>
      </c>
      <c r="E5281">
        <f t="shared" si="185"/>
        <v>7</v>
      </c>
    </row>
    <row r="5282" spans="1:5" x14ac:dyDescent="0.3">
      <c r="A5282" t="s">
        <v>5407</v>
      </c>
      <c r="B5282" t="s">
        <v>127</v>
      </c>
      <c r="C5282">
        <v>255</v>
      </c>
      <c r="D5282">
        <f t="shared" si="184"/>
        <v>2018</v>
      </c>
      <c r="E5282">
        <f t="shared" si="185"/>
        <v>7</v>
      </c>
    </row>
    <row r="5283" spans="1:5" x14ac:dyDescent="0.3">
      <c r="A5283" t="s">
        <v>5408</v>
      </c>
      <c r="B5283" t="s">
        <v>127</v>
      </c>
      <c r="C5283">
        <v>257</v>
      </c>
      <c r="D5283">
        <f t="shared" si="184"/>
        <v>2018</v>
      </c>
      <c r="E5283">
        <f t="shared" si="185"/>
        <v>7</v>
      </c>
    </row>
    <row r="5284" spans="1:5" x14ac:dyDescent="0.3">
      <c r="A5284" t="s">
        <v>5409</v>
      </c>
      <c r="B5284" t="s">
        <v>127</v>
      </c>
      <c r="C5284">
        <v>264</v>
      </c>
      <c r="D5284">
        <f t="shared" si="184"/>
        <v>2018</v>
      </c>
      <c r="E5284">
        <f t="shared" si="185"/>
        <v>7</v>
      </c>
    </row>
    <row r="5285" spans="1:5" x14ac:dyDescent="0.3">
      <c r="A5285" t="s">
        <v>5410</v>
      </c>
      <c r="B5285" t="s">
        <v>127</v>
      </c>
      <c r="C5285">
        <v>274</v>
      </c>
      <c r="D5285">
        <f t="shared" si="184"/>
        <v>2018</v>
      </c>
      <c r="E5285">
        <f t="shared" si="185"/>
        <v>7</v>
      </c>
    </row>
    <row r="5286" spans="1:5" x14ac:dyDescent="0.3">
      <c r="A5286" t="s">
        <v>5411</v>
      </c>
      <c r="B5286" t="s">
        <v>127</v>
      </c>
      <c r="C5286">
        <v>277</v>
      </c>
      <c r="D5286">
        <f t="shared" si="184"/>
        <v>2018</v>
      </c>
      <c r="E5286">
        <f t="shared" si="185"/>
        <v>8</v>
      </c>
    </row>
    <row r="5287" spans="1:5" x14ac:dyDescent="0.3">
      <c r="A5287" t="s">
        <v>5412</v>
      </c>
      <c r="B5287" t="s">
        <v>127</v>
      </c>
      <c r="C5287">
        <v>275</v>
      </c>
      <c r="D5287">
        <f t="shared" si="184"/>
        <v>2018</v>
      </c>
      <c r="E5287">
        <f t="shared" si="185"/>
        <v>8</v>
      </c>
    </row>
    <row r="5288" spans="1:5" x14ac:dyDescent="0.3">
      <c r="A5288" t="s">
        <v>5413</v>
      </c>
      <c r="B5288" t="s">
        <v>127</v>
      </c>
      <c r="C5288">
        <v>274</v>
      </c>
      <c r="D5288">
        <f t="shared" si="184"/>
        <v>2018</v>
      </c>
      <c r="E5288">
        <f t="shared" si="185"/>
        <v>8</v>
      </c>
    </row>
    <row r="5289" spans="1:5" x14ac:dyDescent="0.3">
      <c r="A5289" t="s">
        <v>5414</v>
      </c>
      <c r="B5289" t="s">
        <v>127</v>
      </c>
      <c r="C5289">
        <v>275</v>
      </c>
      <c r="D5289">
        <f t="shared" si="184"/>
        <v>2018</v>
      </c>
      <c r="E5289">
        <f t="shared" si="185"/>
        <v>8</v>
      </c>
    </row>
    <row r="5290" spans="1:5" x14ac:dyDescent="0.3">
      <c r="A5290" t="s">
        <v>5415</v>
      </c>
      <c r="B5290" t="s">
        <v>127</v>
      </c>
      <c r="C5290">
        <v>272</v>
      </c>
      <c r="D5290">
        <f t="shared" si="184"/>
        <v>2018</v>
      </c>
      <c r="E5290">
        <f t="shared" si="185"/>
        <v>8</v>
      </c>
    </row>
    <row r="5291" spans="1:5" x14ac:dyDescent="0.3">
      <c r="A5291" t="s">
        <v>5416</v>
      </c>
      <c r="B5291" t="s">
        <v>127</v>
      </c>
      <c r="C5291">
        <v>274</v>
      </c>
      <c r="D5291">
        <f t="shared" si="184"/>
        <v>2018</v>
      </c>
      <c r="E5291">
        <f t="shared" si="185"/>
        <v>8</v>
      </c>
    </row>
    <row r="5292" spans="1:5" x14ac:dyDescent="0.3">
      <c r="A5292" t="s">
        <v>5417</v>
      </c>
      <c r="B5292" t="s">
        <v>127</v>
      </c>
      <c r="C5292">
        <v>278</v>
      </c>
      <c r="D5292">
        <f t="shared" si="184"/>
        <v>2018</v>
      </c>
      <c r="E5292">
        <f t="shared" si="185"/>
        <v>8</v>
      </c>
    </row>
    <row r="5293" spans="1:5" x14ac:dyDescent="0.3">
      <c r="A5293" t="s">
        <v>5418</v>
      </c>
      <c r="B5293" t="s">
        <v>127</v>
      </c>
      <c r="C5293">
        <v>290</v>
      </c>
      <c r="D5293">
        <f t="shared" si="184"/>
        <v>2018</v>
      </c>
      <c r="E5293">
        <f t="shared" si="185"/>
        <v>8</v>
      </c>
    </row>
    <row r="5294" spans="1:5" x14ac:dyDescent="0.3">
      <c r="A5294" t="s">
        <v>5419</v>
      </c>
      <c r="B5294" t="s">
        <v>127</v>
      </c>
      <c r="C5294">
        <v>292</v>
      </c>
      <c r="D5294">
        <f t="shared" si="184"/>
        <v>2018</v>
      </c>
      <c r="E5294">
        <f t="shared" si="185"/>
        <v>8</v>
      </c>
    </row>
    <row r="5295" spans="1:5" x14ac:dyDescent="0.3">
      <c r="A5295" t="s">
        <v>5420</v>
      </c>
      <c r="B5295" t="s">
        <v>127</v>
      </c>
      <c r="C5295">
        <v>284</v>
      </c>
      <c r="D5295">
        <f t="shared" si="184"/>
        <v>2018</v>
      </c>
      <c r="E5295">
        <f t="shared" si="185"/>
        <v>8</v>
      </c>
    </row>
    <row r="5296" spans="1:5" x14ac:dyDescent="0.3">
      <c r="A5296" t="s">
        <v>5421</v>
      </c>
      <c r="B5296" t="s">
        <v>127</v>
      </c>
      <c r="C5296">
        <v>289</v>
      </c>
      <c r="D5296">
        <f t="shared" si="184"/>
        <v>2018</v>
      </c>
      <c r="E5296">
        <f t="shared" si="185"/>
        <v>8</v>
      </c>
    </row>
    <row r="5297" spans="1:5" x14ac:dyDescent="0.3">
      <c r="A5297" t="s">
        <v>5422</v>
      </c>
      <c r="B5297" t="s">
        <v>127</v>
      </c>
      <c r="C5297">
        <v>282</v>
      </c>
      <c r="D5297">
        <f t="shared" si="184"/>
        <v>2018</v>
      </c>
      <c r="E5297">
        <f t="shared" si="185"/>
        <v>8</v>
      </c>
    </row>
    <row r="5298" spans="1:5" x14ac:dyDescent="0.3">
      <c r="A5298" t="s">
        <v>5423</v>
      </c>
      <c r="B5298" t="s">
        <v>127</v>
      </c>
      <c r="C5298">
        <v>278</v>
      </c>
      <c r="D5298">
        <f t="shared" si="184"/>
        <v>2018</v>
      </c>
      <c r="E5298">
        <f t="shared" si="185"/>
        <v>8</v>
      </c>
    </row>
    <row r="5299" spans="1:5" x14ac:dyDescent="0.3">
      <c r="A5299" t="s">
        <v>5424</v>
      </c>
      <c r="B5299" t="s">
        <v>127</v>
      </c>
      <c r="C5299">
        <v>279</v>
      </c>
      <c r="D5299">
        <f t="shared" si="184"/>
        <v>2018</v>
      </c>
      <c r="E5299">
        <f t="shared" si="185"/>
        <v>8</v>
      </c>
    </row>
    <row r="5300" spans="1:5" x14ac:dyDescent="0.3">
      <c r="A5300" t="s">
        <v>5425</v>
      </c>
      <c r="B5300" t="s">
        <v>127</v>
      </c>
      <c r="C5300">
        <v>276</v>
      </c>
      <c r="D5300">
        <f t="shared" si="184"/>
        <v>2018</v>
      </c>
      <c r="E5300">
        <f t="shared" si="185"/>
        <v>8</v>
      </c>
    </row>
    <row r="5301" spans="1:5" x14ac:dyDescent="0.3">
      <c r="A5301" t="s">
        <v>5426</v>
      </c>
      <c r="B5301" t="s">
        <v>127</v>
      </c>
      <c r="C5301">
        <v>276</v>
      </c>
      <c r="D5301">
        <f t="shared" si="184"/>
        <v>2018</v>
      </c>
      <c r="E5301">
        <f t="shared" si="185"/>
        <v>8</v>
      </c>
    </row>
    <row r="5302" spans="1:5" x14ac:dyDescent="0.3">
      <c r="A5302" t="s">
        <v>5427</v>
      </c>
      <c r="B5302" t="s">
        <v>127</v>
      </c>
      <c r="C5302">
        <v>280</v>
      </c>
      <c r="D5302">
        <f t="shared" si="184"/>
        <v>2018</v>
      </c>
      <c r="E5302">
        <f t="shared" si="185"/>
        <v>8</v>
      </c>
    </row>
    <row r="5303" spans="1:5" x14ac:dyDescent="0.3">
      <c r="A5303" t="s">
        <v>5428</v>
      </c>
      <c r="B5303" t="s">
        <v>127</v>
      </c>
      <c r="C5303">
        <v>281</v>
      </c>
      <c r="D5303">
        <f t="shared" si="184"/>
        <v>2018</v>
      </c>
      <c r="E5303">
        <f t="shared" si="185"/>
        <v>8</v>
      </c>
    </row>
    <row r="5304" spans="1:5" x14ac:dyDescent="0.3">
      <c r="A5304" t="s">
        <v>5429</v>
      </c>
      <c r="B5304" t="s">
        <v>127</v>
      </c>
      <c r="C5304">
        <v>276</v>
      </c>
      <c r="D5304">
        <f t="shared" si="184"/>
        <v>2018</v>
      </c>
      <c r="E5304">
        <f t="shared" si="185"/>
        <v>8</v>
      </c>
    </row>
    <row r="5305" spans="1:5" x14ac:dyDescent="0.3">
      <c r="A5305" t="s">
        <v>5430</v>
      </c>
      <c r="B5305" t="s">
        <v>127</v>
      </c>
      <c r="C5305">
        <v>272</v>
      </c>
      <c r="D5305">
        <f t="shared" si="184"/>
        <v>2018</v>
      </c>
      <c r="E5305">
        <f t="shared" si="185"/>
        <v>8</v>
      </c>
    </row>
    <row r="5306" spans="1:5" x14ac:dyDescent="0.3">
      <c r="A5306" t="s">
        <v>5431</v>
      </c>
      <c r="B5306" t="s">
        <v>127</v>
      </c>
      <c r="C5306">
        <v>274</v>
      </c>
      <c r="D5306">
        <f t="shared" si="184"/>
        <v>2018</v>
      </c>
      <c r="E5306">
        <f t="shared" si="185"/>
        <v>8</v>
      </c>
    </row>
    <row r="5307" spans="1:5" x14ac:dyDescent="0.3">
      <c r="A5307" t="s">
        <v>5432</v>
      </c>
      <c r="B5307" t="s">
        <v>127</v>
      </c>
      <c r="C5307">
        <v>279</v>
      </c>
      <c r="D5307">
        <f t="shared" si="184"/>
        <v>2018</v>
      </c>
      <c r="E5307">
        <f t="shared" si="185"/>
        <v>8</v>
      </c>
    </row>
    <row r="5308" spans="1:5" x14ac:dyDescent="0.3">
      <c r="A5308" t="s">
        <v>5433</v>
      </c>
      <c r="B5308" t="s">
        <v>127</v>
      </c>
      <c r="C5308">
        <v>282</v>
      </c>
      <c r="D5308">
        <f t="shared" si="184"/>
        <v>2018</v>
      </c>
      <c r="E5308">
        <f t="shared" si="185"/>
        <v>8</v>
      </c>
    </row>
    <row r="5309" spans="1:5" x14ac:dyDescent="0.3">
      <c r="A5309" t="s">
        <v>5434</v>
      </c>
      <c r="B5309" t="s">
        <v>127</v>
      </c>
      <c r="C5309">
        <v>282</v>
      </c>
      <c r="D5309">
        <f t="shared" si="184"/>
        <v>2018</v>
      </c>
      <c r="E5309">
        <f t="shared" si="185"/>
        <v>9</v>
      </c>
    </row>
    <row r="5310" spans="1:5" x14ac:dyDescent="0.3">
      <c r="A5310" t="s">
        <v>5435</v>
      </c>
      <c r="B5310" t="s">
        <v>127</v>
      </c>
      <c r="C5310">
        <v>285</v>
      </c>
      <c r="D5310">
        <f t="shared" si="184"/>
        <v>2018</v>
      </c>
      <c r="E5310">
        <f t="shared" si="185"/>
        <v>9</v>
      </c>
    </row>
    <row r="5311" spans="1:5" x14ac:dyDescent="0.3">
      <c r="A5311" t="s">
        <v>5436</v>
      </c>
      <c r="B5311" t="s">
        <v>127</v>
      </c>
      <c r="C5311">
        <v>284</v>
      </c>
      <c r="D5311">
        <f t="shared" si="184"/>
        <v>2018</v>
      </c>
      <c r="E5311">
        <f t="shared" si="185"/>
        <v>9</v>
      </c>
    </row>
    <row r="5312" spans="1:5" x14ac:dyDescent="0.3">
      <c r="A5312" t="s">
        <v>5437</v>
      </c>
      <c r="B5312" t="s">
        <v>127</v>
      </c>
      <c r="C5312">
        <v>283</v>
      </c>
      <c r="D5312">
        <f t="shared" si="184"/>
        <v>2018</v>
      </c>
      <c r="E5312">
        <f t="shared" si="185"/>
        <v>9</v>
      </c>
    </row>
    <row r="5313" spans="1:5" x14ac:dyDescent="0.3">
      <c r="A5313" t="s">
        <v>5438</v>
      </c>
      <c r="B5313" t="s">
        <v>127</v>
      </c>
      <c r="C5313">
        <v>280</v>
      </c>
      <c r="D5313">
        <f t="shared" si="184"/>
        <v>2018</v>
      </c>
      <c r="E5313">
        <f t="shared" si="185"/>
        <v>9</v>
      </c>
    </row>
    <row r="5314" spans="1:5" x14ac:dyDescent="0.3">
      <c r="A5314" t="s">
        <v>5439</v>
      </c>
      <c r="B5314" t="s">
        <v>127</v>
      </c>
      <c r="C5314">
        <v>281</v>
      </c>
      <c r="D5314">
        <f t="shared" si="184"/>
        <v>2018</v>
      </c>
      <c r="E5314">
        <f t="shared" si="185"/>
        <v>9</v>
      </c>
    </row>
    <row r="5315" spans="1:5" x14ac:dyDescent="0.3">
      <c r="A5315" t="s">
        <v>5440</v>
      </c>
      <c r="B5315" t="s">
        <v>127</v>
      </c>
      <c r="C5315">
        <v>280</v>
      </c>
      <c r="D5315">
        <f t="shared" ref="D5315:D5378" si="186">YEAR(A5315)</f>
        <v>2018</v>
      </c>
      <c r="E5315">
        <f t="shared" ref="E5315:E5378" si="187">MONTH(A5315)</f>
        <v>9</v>
      </c>
    </row>
    <row r="5316" spans="1:5" x14ac:dyDescent="0.3">
      <c r="A5316" t="s">
        <v>5441</v>
      </c>
      <c r="B5316" t="s">
        <v>127</v>
      </c>
      <c r="C5316">
        <v>278</v>
      </c>
      <c r="D5316">
        <f t="shared" si="186"/>
        <v>2018</v>
      </c>
      <c r="E5316">
        <f t="shared" si="187"/>
        <v>9</v>
      </c>
    </row>
    <row r="5317" spans="1:5" x14ac:dyDescent="0.3">
      <c r="A5317" t="s">
        <v>5442</v>
      </c>
      <c r="B5317" t="s">
        <v>127</v>
      </c>
      <c r="C5317">
        <v>270</v>
      </c>
      <c r="D5317">
        <f t="shared" si="186"/>
        <v>2018</v>
      </c>
      <c r="E5317">
        <f t="shared" si="187"/>
        <v>9</v>
      </c>
    </row>
    <row r="5318" spans="1:5" x14ac:dyDescent="0.3">
      <c r="A5318" t="s">
        <v>5443</v>
      </c>
      <c r="B5318" t="s">
        <v>127</v>
      </c>
      <c r="C5318">
        <v>267</v>
      </c>
      <c r="D5318">
        <f t="shared" si="186"/>
        <v>2018</v>
      </c>
      <c r="E5318">
        <f t="shared" si="187"/>
        <v>9</v>
      </c>
    </row>
    <row r="5319" spans="1:5" x14ac:dyDescent="0.3">
      <c r="A5319" t="s">
        <v>5444</v>
      </c>
      <c r="B5319" t="s">
        <v>127</v>
      </c>
      <c r="C5319">
        <v>268</v>
      </c>
      <c r="D5319">
        <f t="shared" si="186"/>
        <v>2018</v>
      </c>
      <c r="E5319">
        <f t="shared" si="187"/>
        <v>9</v>
      </c>
    </row>
    <row r="5320" spans="1:5" x14ac:dyDescent="0.3">
      <c r="A5320" t="s">
        <v>5445</v>
      </c>
      <c r="B5320" t="s">
        <v>127</v>
      </c>
      <c r="C5320">
        <v>265</v>
      </c>
      <c r="D5320">
        <f t="shared" si="186"/>
        <v>2018</v>
      </c>
      <c r="E5320">
        <f t="shared" si="187"/>
        <v>9</v>
      </c>
    </row>
    <row r="5321" spans="1:5" x14ac:dyDescent="0.3">
      <c r="A5321" t="s">
        <v>5446</v>
      </c>
      <c r="B5321" t="s">
        <v>127</v>
      </c>
      <c r="C5321">
        <v>263</v>
      </c>
      <c r="D5321">
        <f t="shared" si="186"/>
        <v>2018</v>
      </c>
      <c r="E5321">
        <f t="shared" si="187"/>
        <v>9</v>
      </c>
    </row>
    <row r="5322" spans="1:5" x14ac:dyDescent="0.3">
      <c r="A5322" t="s">
        <v>5447</v>
      </c>
      <c r="B5322" t="s">
        <v>127</v>
      </c>
      <c r="C5322">
        <v>263</v>
      </c>
      <c r="D5322">
        <f t="shared" si="186"/>
        <v>2018</v>
      </c>
      <c r="E5322">
        <f t="shared" si="187"/>
        <v>9</v>
      </c>
    </row>
    <row r="5323" spans="1:5" x14ac:dyDescent="0.3">
      <c r="A5323" t="s">
        <v>5448</v>
      </c>
      <c r="B5323" t="s">
        <v>127</v>
      </c>
      <c r="C5323">
        <v>261</v>
      </c>
      <c r="D5323">
        <f t="shared" si="186"/>
        <v>2018</v>
      </c>
      <c r="E5323">
        <f t="shared" si="187"/>
        <v>9</v>
      </c>
    </row>
    <row r="5324" spans="1:5" x14ac:dyDescent="0.3">
      <c r="A5324" t="s">
        <v>5449</v>
      </c>
      <c r="B5324" t="s">
        <v>127</v>
      </c>
      <c r="C5324">
        <v>260</v>
      </c>
      <c r="D5324">
        <f t="shared" si="186"/>
        <v>2018</v>
      </c>
      <c r="E5324">
        <f t="shared" si="187"/>
        <v>9</v>
      </c>
    </row>
    <row r="5325" spans="1:5" x14ac:dyDescent="0.3">
      <c r="A5325" t="s">
        <v>5450</v>
      </c>
      <c r="B5325" t="s">
        <v>127</v>
      </c>
      <c r="C5325">
        <v>260</v>
      </c>
      <c r="D5325">
        <f t="shared" si="186"/>
        <v>2018</v>
      </c>
      <c r="E5325">
        <f t="shared" si="187"/>
        <v>9</v>
      </c>
    </row>
    <row r="5326" spans="1:5" x14ac:dyDescent="0.3">
      <c r="A5326" t="s">
        <v>5451</v>
      </c>
      <c r="B5326" t="s">
        <v>127</v>
      </c>
      <c r="C5326">
        <v>257</v>
      </c>
      <c r="D5326">
        <f t="shared" si="186"/>
        <v>2018</v>
      </c>
      <c r="E5326">
        <f t="shared" si="187"/>
        <v>9</v>
      </c>
    </row>
    <row r="5327" spans="1:5" x14ac:dyDescent="0.3">
      <c r="A5327" t="s">
        <v>5452</v>
      </c>
      <c r="B5327" t="s">
        <v>127</v>
      </c>
      <c r="C5327">
        <v>254</v>
      </c>
      <c r="D5327">
        <f t="shared" si="186"/>
        <v>2018</v>
      </c>
      <c r="E5327">
        <f t="shared" si="187"/>
        <v>9</v>
      </c>
    </row>
    <row r="5328" spans="1:5" x14ac:dyDescent="0.3">
      <c r="A5328" t="s">
        <v>5453</v>
      </c>
      <c r="B5328" t="s">
        <v>127</v>
      </c>
      <c r="C5328">
        <v>256</v>
      </c>
      <c r="D5328">
        <f t="shared" si="186"/>
        <v>2018</v>
      </c>
      <c r="E5328">
        <f t="shared" si="187"/>
        <v>9</v>
      </c>
    </row>
    <row r="5329" spans="1:5" x14ac:dyDescent="0.3">
      <c r="A5329" t="s">
        <v>5454</v>
      </c>
      <c r="B5329" t="s">
        <v>127</v>
      </c>
      <c r="C5329">
        <v>255</v>
      </c>
      <c r="D5329">
        <f t="shared" si="186"/>
        <v>2018</v>
      </c>
      <c r="E5329">
        <f t="shared" si="187"/>
        <v>10</v>
      </c>
    </row>
    <row r="5330" spans="1:5" x14ac:dyDescent="0.3">
      <c r="A5330" t="s">
        <v>5455</v>
      </c>
      <c r="B5330" t="s">
        <v>127</v>
      </c>
      <c r="C5330">
        <v>256</v>
      </c>
      <c r="D5330">
        <f t="shared" si="186"/>
        <v>2018</v>
      </c>
      <c r="E5330">
        <f t="shared" si="187"/>
        <v>10</v>
      </c>
    </row>
    <row r="5331" spans="1:5" x14ac:dyDescent="0.3">
      <c r="A5331" t="s">
        <v>5456</v>
      </c>
      <c r="B5331" t="s">
        <v>127</v>
      </c>
      <c r="C5331">
        <v>252</v>
      </c>
      <c r="D5331">
        <f t="shared" si="186"/>
        <v>2018</v>
      </c>
      <c r="E5331">
        <f t="shared" si="187"/>
        <v>10</v>
      </c>
    </row>
    <row r="5332" spans="1:5" x14ac:dyDescent="0.3">
      <c r="A5332" t="s">
        <v>5457</v>
      </c>
      <c r="B5332" t="s">
        <v>127</v>
      </c>
      <c r="C5332">
        <v>257</v>
      </c>
      <c r="D5332">
        <f t="shared" si="186"/>
        <v>2018</v>
      </c>
      <c r="E5332">
        <f t="shared" si="187"/>
        <v>10</v>
      </c>
    </row>
    <row r="5333" spans="1:5" x14ac:dyDescent="0.3">
      <c r="A5333" t="s">
        <v>5458</v>
      </c>
      <c r="B5333" t="s">
        <v>127</v>
      </c>
      <c r="C5333">
        <v>256</v>
      </c>
      <c r="D5333">
        <f t="shared" si="186"/>
        <v>2018</v>
      </c>
      <c r="E5333">
        <f t="shared" si="187"/>
        <v>10</v>
      </c>
    </row>
    <row r="5334" spans="1:5" x14ac:dyDescent="0.3">
      <c r="A5334" t="s">
        <v>5459</v>
      </c>
      <c r="B5334" t="s">
        <v>127</v>
      </c>
      <c r="C5334">
        <v>256</v>
      </c>
      <c r="D5334">
        <f t="shared" si="186"/>
        <v>2018</v>
      </c>
      <c r="E5334">
        <f t="shared" si="187"/>
        <v>10</v>
      </c>
    </row>
    <row r="5335" spans="1:5" x14ac:dyDescent="0.3">
      <c r="A5335" t="s">
        <v>5460</v>
      </c>
      <c r="B5335" t="s">
        <v>127</v>
      </c>
      <c r="C5335">
        <v>257</v>
      </c>
      <c r="D5335">
        <f t="shared" si="186"/>
        <v>2018</v>
      </c>
      <c r="E5335">
        <f t="shared" si="187"/>
        <v>10</v>
      </c>
    </row>
    <row r="5336" spans="1:5" x14ac:dyDescent="0.3">
      <c r="A5336" t="s">
        <v>5461</v>
      </c>
      <c r="B5336" t="s">
        <v>127</v>
      </c>
      <c r="C5336">
        <v>257</v>
      </c>
      <c r="D5336">
        <f t="shared" si="186"/>
        <v>2018</v>
      </c>
      <c r="E5336">
        <f t="shared" si="187"/>
        <v>10</v>
      </c>
    </row>
    <row r="5337" spans="1:5" x14ac:dyDescent="0.3">
      <c r="A5337" t="s">
        <v>5462</v>
      </c>
      <c r="B5337" t="s">
        <v>127</v>
      </c>
      <c r="C5337">
        <v>264</v>
      </c>
      <c r="D5337">
        <f t="shared" si="186"/>
        <v>2018</v>
      </c>
      <c r="E5337">
        <f t="shared" si="187"/>
        <v>10</v>
      </c>
    </row>
    <row r="5338" spans="1:5" x14ac:dyDescent="0.3">
      <c r="A5338" t="s">
        <v>5463</v>
      </c>
      <c r="B5338" t="s">
        <v>127</v>
      </c>
      <c r="C5338">
        <v>260</v>
      </c>
      <c r="D5338">
        <f t="shared" si="186"/>
        <v>2018</v>
      </c>
      <c r="E5338">
        <f t="shared" si="187"/>
        <v>10</v>
      </c>
    </row>
    <row r="5339" spans="1:5" x14ac:dyDescent="0.3">
      <c r="A5339" t="s">
        <v>5464</v>
      </c>
      <c r="B5339" t="s">
        <v>127</v>
      </c>
      <c r="C5339">
        <v>259</v>
      </c>
      <c r="D5339">
        <f t="shared" si="186"/>
        <v>2018</v>
      </c>
      <c r="E5339">
        <f t="shared" si="187"/>
        <v>10</v>
      </c>
    </row>
    <row r="5340" spans="1:5" x14ac:dyDescent="0.3">
      <c r="A5340" t="s">
        <v>5465</v>
      </c>
      <c r="B5340" t="s">
        <v>127</v>
      </c>
      <c r="C5340">
        <v>255</v>
      </c>
      <c r="D5340">
        <f t="shared" si="186"/>
        <v>2018</v>
      </c>
      <c r="E5340">
        <f t="shared" si="187"/>
        <v>10</v>
      </c>
    </row>
    <row r="5341" spans="1:5" x14ac:dyDescent="0.3">
      <c r="A5341" t="s">
        <v>5466</v>
      </c>
      <c r="B5341" t="s">
        <v>127</v>
      </c>
      <c r="C5341">
        <v>252</v>
      </c>
      <c r="D5341">
        <f t="shared" si="186"/>
        <v>2018</v>
      </c>
      <c r="E5341">
        <f t="shared" si="187"/>
        <v>10</v>
      </c>
    </row>
    <row r="5342" spans="1:5" x14ac:dyDescent="0.3">
      <c r="A5342" t="s">
        <v>5467</v>
      </c>
      <c r="B5342" t="s">
        <v>127</v>
      </c>
      <c r="C5342">
        <v>261</v>
      </c>
      <c r="D5342">
        <f t="shared" si="186"/>
        <v>2018</v>
      </c>
      <c r="E5342">
        <f t="shared" si="187"/>
        <v>10</v>
      </c>
    </row>
    <row r="5343" spans="1:5" x14ac:dyDescent="0.3">
      <c r="A5343" t="s">
        <v>5468</v>
      </c>
      <c r="B5343" t="s">
        <v>127</v>
      </c>
      <c r="C5343">
        <v>264</v>
      </c>
      <c r="D5343">
        <f t="shared" si="186"/>
        <v>2018</v>
      </c>
      <c r="E5343">
        <f t="shared" si="187"/>
        <v>10</v>
      </c>
    </row>
    <row r="5344" spans="1:5" x14ac:dyDescent="0.3">
      <c r="A5344" t="s">
        <v>5469</v>
      </c>
      <c r="B5344" t="s">
        <v>127</v>
      </c>
      <c r="C5344">
        <v>271</v>
      </c>
      <c r="D5344">
        <f t="shared" si="186"/>
        <v>2018</v>
      </c>
      <c r="E5344">
        <f t="shared" si="187"/>
        <v>10</v>
      </c>
    </row>
    <row r="5345" spans="1:5" x14ac:dyDescent="0.3">
      <c r="A5345" t="s">
        <v>5470</v>
      </c>
      <c r="B5345" t="s">
        <v>127</v>
      </c>
      <c r="C5345">
        <v>275</v>
      </c>
      <c r="D5345">
        <f t="shared" si="186"/>
        <v>2018</v>
      </c>
      <c r="E5345">
        <f t="shared" si="187"/>
        <v>10</v>
      </c>
    </row>
    <row r="5346" spans="1:5" x14ac:dyDescent="0.3">
      <c r="A5346" t="s">
        <v>5471</v>
      </c>
      <c r="B5346" t="s">
        <v>127</v>
      </c>
      <c r="C5346">
        <v>279</v>
      </c>
      <c r="D5346">
        <f t="shared" si="186"/>
        <v>2018</v>
      </c>
      <c r="E5346">
        <f t="shared" si="187"/>
        <v>10</v>
      </c>
    </row>
    <row r="5347" spans="1:5" x14ac:dyDescent="0.3">
      <c r="A5347" t="s">
        <v>5472</v>
      </c>
      <c r="B5347" t="s">
        <v>127</v>
      </c>
      <c r="C5347">
        <v>278</v>
      </c>
      <c r="D5347">
        <f t="shared" si="186"/>
        <v>2018</v>
      </c>
      <c r="E5347">
        <f t="shared" si="187"/>
        <v>10</v>
      </c>
    </row>
    <row r="5348" spans="1:5" x14ac:dyDescent="0.3">
      <c r="A5348" t="s">
        <v>5473</v>
      </c>
      <c r="B5348" t="s">
        <v>127</v>
      </c>
      <c r="C5348">
        <v>287</v>
      </c>
      <c r="D5348">
        <f t="shared" si="186"/>
        <v>2018</v>
      </c>
      <c r="E5348">
        <f t="shared" si="187"/>
        <v>10</v>
      </c>
    </row>
    <row r="5349" spans="1:5" x14ac:dyDescent="0.3">
      <c r="A5349" t="s">
        <v>5474</v>
      </c>
      <c r="B5349" t="s">
        <v>127</v>
      </c>
      <c r="C5349">
        <v>302</v>
      </c>
      <c r="D5349">
        <f t="shared" si="186"/>
        <v>2018</v>
      </c>
      <c r="E5349">
        <f t="shared" si="187"/>
        <v>10</v>
      </c>
    </row>
    <row r="5350" spans="1:5" x14ac:dyDescent="0.3">
      <c r="A5350" t="s">
        <v>5475</v>
      </c>
      <c r="B5350" t="s">
        <v>127</v>
      </c>
      <c r="C5350">
        <v>307</v>
      </c>
      <c r="D5350">
        <f t="shared" si="186"/>
        <v>2018</v>
      </c>
      <c r="E5350">
        <f t="shared" si="187"/>
        <v>10</v>
      </c>
    </row>
    <row r="5351" spans="1:5" x14ac:dyDescent="0.3">
      <c r="A5351" t="s">
        <v>5476</v>
      </c>
      <c r="B5351" t="s">
        <v>127</v>
      </c>
      <c r="C5351">
        <v>307</v>
      </c>
      <c r="D5351">
        <f t="shared" si="186"/>
        <v>2018</v>
      </c>
      <c r="E5351">
        <f t="shared" si="187"/>
        <v>10</v>
      </c>
    </row>
    <row r="5352" spans="1:5" x14ac:dyDescent="0.3">
      <c r="A5352" t="s">
        <v>5477</v>
      </c>
      <c r="B5352" t="s">
        <v>127</v>
      </c>
      <c r="C5352">
        <v>306</v>
      </c>
      <c r="D5352">
        <f t="shared" si="186"/>
        <v>2018</v>
      </c>
      <c r="E5352">
        <f t="shared" si="187"/>
        <v>11</v>
      </c>
    </row>
    <row r="5353" spans="1:5" x14ac:dyDescent="0.3">
      <c r="A5353" t="s">
        <v>5478</v>
      </c>
      <c r="B5353" t="s">
        <v>127</v>
      </c>
      <c r="C5353">
        <v>297</v>
      </c>
      <c r="D5353">
        <f t="shared" si="186"/>
        <v>2018</v>
      </c>
      <c r="E5353">
        <f t="shared" si="187"/>
        <v>11</v>
      </c>
    </row>
    <row r="5354" spans="1:5" x14ac:dyDescent="0.3">
      <c r="A5354" t="s">
        <v>5479</v>
      </c>
      <c r="B5354" t="s">
        <v>127</v>
      </c>
      <c r="C5354">
        <v>298</v>
      </c>
      <c r="D5354">
        <f t="shared" si="186"/>
        <v>2018</v>
      </c>
      <c r="E5354">
        <f t="shared" si="187"/>
        <v>11</v>
      </c>
    </row>
    <row r="5355" spans="1:5" x14ac:dyDescent="0.3">
      <c r="A5355" t="s">
        <v>5480</v>
      </c>
      <c r="B5355" t="s">
        <v>127</v>
      </c>
      <c r="C5355">
        <v>296</v>
      </c>
      <c r="D5355">
        <f t="shared" si="186"/>
        <v>2018</v>
      </c>
      <c r="E5355">
        <f t="shared" si="187"/>
        <v>11</v>
      </c>
    </row>
    <row r="5356" spans="1:5" x14ac:dyDescent="0.3">
      <c r="A5356" t="s">
        <v>5481</v>
      </c>
      <c r="B5356" t="s">
        <v>127</v>
      </c>
      <c r="C5356">
        <v>292</v>
      </c>
      <c r="D5356">
        <f t="shared" si="186"/>
        <v>2018</v>
      </c>
      <c r="E5356">
        <f t="shared" si="187"/>
        <v>11</v>
      </c>
    </row>
    <row r="5357" spans="1:5" x14ac:dyDescent="0.3">
      <c r="A5357" t="s">
        <v>5482</v>
      </c>
      <c r="B5357" t="s">
        <v>127</v>
      </c>
      <c r="C5357">
        <v>300</v>
      </c>
      <c r="D5357">
        <f t="shared" si="186"/>
        <v>2018</v>
      </c>
      <c r="E5357">
        <f t="shared" si="187"/>
        <v>11</v>
      </c>
    </row>
    <row r="5358" spans="1:5" x14ac:dyDescent="0.3">
      <c r="A5358" t="s">
        <v>5483</v>
      </c>
      <c r="B5358" t="s">
        <v>127</v>
      </c>
      <c r="C5358">
        <v>308</v>
      </c>
      <c r="D5358">
        <f t="shared" si="186"/>
        <v>2018</v>
      </c>
      <c r="E5358">
        <f t="shared" si="187"/>
        <v>11</v>
      </c>
    </row>
    <row r="5359" spans="1:5" x14ac:dyDescent="0.3">
      <c r="A5359" t="s">
        <v>5484</v>
      </c>
      <c r="B5359" t="s">
        <v>127</v>
      </c>
      <c r="C5359">
        <v>308</v>
      </c>
      <c r="D5359">
        <f t="shared" si="186"/>
        <v>2018</v>
      </c>
      <c r="E5359">
        <f t="shared" si="187"/>
        <v>11</v>
      </c>
    </row>
    <row r="5360" spans="1:5" x14ac:dyDescent="0.3">
      <c r="A5360" t="s">
        <v>5485</v>
      </c>
      <c r="B5360" t="s">
        <v>127</v>
      </c>
      <c r="C5360">
        <v>325</v>
      </c>
      <c r="D5360">
        <f t="shared" si="186"/>
        <v>2018</v>
      </c>
      <c r="E5360">
        <f t="shared" si="187"/>
        <v>11</v>
      </c>
    </row>
    <row r="5361" spans="1:5" x14ac:dyDescent="0.3">
      <c r="A5361" t="s">
        <v>5486</v>
      </c>
      <c r="B5361" t="s">
        <v>127</v>
      </c>
      <c r="C5361">
        <v>329</v>
      </c>
      <c r="D5361">
        <f t="shared" si="186"/>
        <v>2018</v>
      </c>
      <c r="E5361">
        <f t="shared" si="187"/>
        <v>11</v>
      </c>
    </row>
    <row r="5362" spans="1:5" x14ac:dyDescent="0.3">
      <c r="A5362" t="s">
        <v>5487</v>
      </c>
      <c r="B5362" t="s">
        <v>127</v>
      </c>
      <c r="C5362">
        <v>337</v>
      </c>
      <c r="D5362">
        <f t="shared" si="186"/>
        <v>2018</v>
      </c>
      <c r="E5362">
        <f t="shared" si="187"/>
        <v>11</v>
      </c>
    </row>
    <row r="5363" spans="1:5" x14ac:dyDescent="0.3">
      <c r="A5363" t="s">
        <v>5488</v>
      </c>
      <c r="B5363" t="s">
        <v>127</v>
      </c>
      <c r="C5363">
        <v>332</v>
      </c>
      <c r="D5363">
        <f t="shared" si="186"/>
        <v>2018</v>
      </c>
      <c r="E5363">
        <f t="shared" si="187"/>
        <v>11</v>
      </c>
    </row>
    <row r="5364" spans="1:5" x14ac:dyDescent="0.3">
      <c r="A5364" t="s">
        <v>5489</v>
      </c>
      <c r="B5364" t="s">
        <v>127</v>
      </c>
      <c r="C5364">
        <v>339</v>
      </c>
      <c r="D5364">
        <f t="shared" si="186"/>
        <v>2018</v>
      </c>
      <c r="E5364">
        <f t="shared" si="187"/>
        <v>11</v>
      </c>
    </row>
    <row r="5365" spans="1:5" x14ac:dyDescent="0.3">
      <c r="A5365" t="s">
        <v>5490</v>
      </c>
      <c r="B5365" t="s">
        <v>127</v>
      </c>
      <c r="C5365">
        <v>351</v>
      </c>
      <c r="D5365">
        <f t="shared" si="186"/>
        <v>2018</v>
      </c>
      <c r="E5365">
        <f t="shared" si="187"/>
        <v>11</v>
      </c>
    </row>
    <row r="5366" spans="1:5" x14ac:dyDescent="0.3">
      <c r="A5366" t="s">
        <v>5491</v>
      </c>
      <c r="B5366" t="s">
        <v>127</v>
      </c>
      <c r="C5366">
        <v>346</v>
      </c>
      <c r="D5366">
        <f t="shared" si="186"/>
        <v>2018</v>
      </c>
      <c r="E5366">
        <f t="shared" si="187"/>
        <v>11</v>
      </c>
    </row>
    <row r="5367" spans="1:5" x14ac:dyDescent="0.3">
      <c r="A5367" t="s">
        <v>5492</v>
      </c>
      <c r="B5367" t="s">
        <v>127</v>
      </c>
      <c r="C5367">
        <v>346</v>
      </c>
      <c r="D5367">
        <f t="shared" si="186"/>
        <v>2018</v>
      </c>
      <c r="E5367">
        <f t="shared" si="187"/>
        <v>11</v>
      </c>
    </row>
    <row r="5368" spans="1:5" x14ac:dyDescent="0.3">
      <c r="A5368" t="s">
        <v>5493</v>
      </c>
      <c r="B5368" t="s">
        <v>127</v>
      </c>
      <c r="C5368">
        <v>347</v>
      </c>
      <c r="D5368">
        <f t="shared" si="186"/>
        <v>2018</v>
      </c>
      <c r="E5368">
        <f t="shared" si="187"/>
        <v>11</v>
      </c>
    </row>
    <row r="5369" spans="1:5" x14ac:dyDescent="0.3">
      <c r="A5369" t="s">
        <v>5494</v>
      </c>
      <c r="B5369" t="s">
        <v>127</v>
      </c>
      <c r="C5369">
        <v>349</v>
      </c>
      <c r="D5369">
        <f t="shared" si="186"/>
        <v>2018</v>
      </c>
      <c r="E5369">
        <f t="shared" si="187"/>
        <v>11</v>
      </c>
    </row>
    <row r="5370" spans="1:5" x14ac:dyDescent="0.3">
      <c r="A5370" t="s">
        <v>5495</v>
      </c>
      <c r="B5370" t="s">
        <v>127</v>
      </c>
      <c r="C5370">
        <v>354</v>
      </c>
      <c r="D5370">
        <f t="shared" si="186"/>
        <v>2018</v>
      </c>
      <c r="E5370">
        <f t="shared" si="187"/>
        <v>11</v>
      </c>
    </row>
    <row r="5371" spans="1:5" x14ac:dyDescent="0.3">
      <c r="A5371" t="s">
        <v>5496</v>
      </c>
      <c r="B5371" t="s">
        <v>127</v>
      </c>
      <c r="C5371">
        <v>344</v>
      </c>
      <c r="D5371">
        <f t="shared" si="186"/>
        <v>2018</v>
      </c>
      <c r="E5371">
        <f t="shared" si="187"/>
        <v>11</v>
      </c>
    </row>
    <row r="5372" spans="1:5" x14ac:dyDescent="0.3">
      <c r="A5372" t="s">
        <v>5497</v>
      </c>
      <c r="B5372" t="s">
        <v>127</v>
      </c>
      <c r="C5372">
        <v>339</v>
      </c>
      <c r="D5372">
        <f t="shared" si="186"/>
        <v>2018</v>
      </c>
      <c r="E5372">
        <f t="shared" si="187"/>
        <v>11</v>
      </c>
    </row>
    <row r="5373" spans="1:5" x14ac:dyDescent="0.3">
      <c r="A5373" t="s">
        <v>5498</v>
      </c>
      <c r="B5373" t="s">
        <v>127</v>
      </c>
      <c r="C5373">
        <v>347</v>
      </c>
      <c r="D5373">
        <f t="shared" si="186"/>
        <v>2018</v>
      </c>
      <c r="E5373">
        <f t="shared" si="187"/>
        <v>11</v>
      </c>
    </row>
    <row r="5374" spans="1:5" x14ac:dyDescent="0.3">
      <c r="A5374" t="s">
        <v>5499</v>
      </c>
      <c r="B5374" t="s">
        <v>127</v>
      </c>
      <c r="C5374">
        <v>331</v>
      </c>
      <c r="D5374">
        <f t="shared" si="186"/>
        <v>2018</v>
      </c>
      <c r="E5374">
        <f t="shared" si="187"/>
        <v>12</v>
      </c>
    </row>
    <row r="5375" spans="1:5" x14ac:dyDescent="0.3">
      <c r="A5375" t="s">
        <v>5500</v>
      </c>
      <c r="B5375" t="s">
        <v>127</v>
      </c>
      <c r="C5375">
        <v>348</v>
      </c>
      <c r="D5375">
        <f t="shared" si="186"/>
        <v>2018</v>
      </c>
      <c r="E5375">
        <f t="shared" si="187"/>
        <v>12</v>
      </c>
    </row>
    <row r="5376" spans="1:5" x14ac:dyDescent="0.3">
      <c r="A5376" t="s">
        <v>5501</v>
      </c>
      <c r="B5376" t="s">
        <v>127</v>
      </c>
      <c r="C5376">
        <v>348</v>
      </c>
      <c r="D5376">
        <f t="shared" si="186"/>
        <v>2018</v>
      </c>
      <c r="E5376">
        <f t="shared" si="187"/>
        <v>12</v>
      </c>
    </row>
    <row r="5377" spans="1:5" x14ac:dyDescent="0.3">
      <c r="A5377" t="s">
        <v>5502</v>
      </c>
      <c r="B5377" t="s">
        <v>127</v>
      </c>
      <c r="C5377">
        <v>350</v>
      </c>
      <c r="D5377">
        <f t="shared" si="186"/>
        <v>2018</v>
      </c>
      <c r="E5377">
        <f t="shared" si="187"/>
        <v>12</v>
      </c>
    </row>
    <row r="5378" spans="1:5" x14ac:dyDescent="0.3">
      <c r="A5378" t="s">
        <v>5503</v>
      </c>
      <c r="B5378" t="s">
        <v>127</v>
      </c>
      <c r="C5378">
        <v>348</v>
      </c>
      <c r="D5378">
        <f t="shared" si="186"/>
        <v>2018</v>
      </c>
      <c r="E5378">
        <f t="shared" si="187"/>
        <v>12</v>
      </c>
    </row>
    <row r="5379" spans="1:5" x14ac:dyDescent="0.3">
      <c r="A5379" t="s">
        <v>5504</v>
      </c>
      <c r="B5379" t="s">
        <v>127</v>
      </c>
      <c r="C5379">
        <v>348</v>
      </c>
      <c r="D5379">
        <f t="shared" ref="D5379:D5442" si="188">YEAR(A5379)</f>
        <v>2018</v>
      </c>
      <c r="E5379">
        <f t="shared" ref="E5379:E5442" si="189">MONTH(A5379)</f>
        <v>12</v>
      </c>
    </row>
    <row r="5380" spans="1:5" x14ac:dyDescent="0.3">
      <c r="A5380" t="s">
        <v>5505</v>
      </c>
      <c r="B5380" t="s">
        <v>127</v>
      </c>
      <c r="C5380">
        <v>337</v>
      </c>
      <c r="D5380">
        <f t="shared" si="188"/>
        <v>2018</v>
      </c>
      <c r="E5380">
        <f t="shared" si="189"/>
        <v>12</v>
      </c>
    </row>
    <row r="5381" spans="1:5" x14ac:dyDescent="0.3">
      <c r="A5381" t="s">
        <v>5506</v>
      </c>
      <c r="B5381" t="s">
        <v>127</v>
      </c>
      <c r="C5381">
        <v>320</v>
      </c>
      <c r="D5381">
        <f t="shared" si="188"/>
        <v>2018</v>
      </c>
      <c r="E5381">
        <f t="shared" si="189"/>
        <v>12</v>
      </c>
    </row>
    <row r="5382" spans="1:5" x14ac:dyDescent="0.3">
      <c r="A5382" t="s">
        <v>5507</v>
      </c>
      <c r="B5382" t="s">
        <v>127</v>
      </c>
      <c r="C5382">
        <v>319</v>
      </c>
      <c r="D5382">
        <f t="shared" si="188"/>
        <v>2018</v>
      </c>
      <c r="E5382">
        <f t="shared" si="189"/>
        <v>12</v>
      </c>
    </row>
    <row r="5383" spans="1:5" x14ac:dyDescent="0.3">
      <c r="A5383" t="s">
        <v>5508</v>
      </c>
      <c r="B5383" t="s">
        <v>127</v>
      </c>
      <c r="C5383">
        <v>323</v>
      </c>
      <c r="D5383">
        <f t="shared" si="188"/>
        <v>2018</v>
      </c>
      <c r="E5383">
        <f t="shared" si="189"/>
        <v>12</v>
      </c>
    </row>
    <row r="5384" spans="1:5" x14ac:dyDescent="0.3">
      <c r="A5384" t="s">
        <v>5509</v>
      </c>
      <c r="B5384" t="s">
        <v>127</v>
      </c>
      <c r="C5384">
        <v>322</v>
      </c>
      <c r="D5384">
        <f t="shared" si="188"/>
        <v>2018</v>
      </c>
      <c r="E5384">
        <f t="shared" si="189"/>
        <v>12</v>
      </c>
    </row>
    <row r="5385" spans="1:5" x14ac:dyDescent="0.3">
      <c r="A5385" t="s">
        <v>5510</v>
      </c>
      <c r="B5385" t="s">
        <v>127</v>
      </c>
      <c r="C5385">
        <v>327</v>
      </c>
      <c r="D5385">
        <f t="shared" si="188"/>
        <v>2018</v>
      </c>
      <c r="E5385">
        <f t="shared" si="189"/>
        <v>12</v>
      </c>
    </row>
    <row r="5386" spans="1:5" x14ac:dyDescent="0.3">
      <c r="A5386" t="s">
        <v>5511</v>
      </c>
      <c r="B5386" t="s">
        <v>127</v>
      </c>
      <c r="C5386">
        <v>338</v>
      </c>
      <c r="D5386">
        <f t="shared" si="188"/>
        <v>2018</v>
      </c>
      <c r="E5386">
        <f t="shared" si="189"/>
        <v>12</v>
      </c>
    </row>
    <row r="5387" spans="1:5" x14ac:dyDescent="0.3">
      <c r="A5387" t="s">
        <v>5512</v>
      </c>
      <c r="B5387" t="s">
        <v>127</v>
      </c>
      <c r="C5387">
        <v>343</v>
      </c>
      <c r="D5387">
        <f t="shared" si="188"/>
        <v>2018</v>
      </c>
      <c r="E5387">
        <f t="shared" si="189"/>
        <v>12</v>
      </c>
    </row>
    <row r="5388" spans="1:5" x14ac:dyDescent="0.3">
      <c r="A5388" t="s">
        <v>5513</v>
      </c>
      <c r="B5388" t="s">
        <v>127</v>
      </c>
      <c r="C5388">
        <v>349</v>
      </c>
      <c r="D5388">
        <f t="shared" si="188"/>
        <v>2018</v>
      </c>
      <c r="E5388">
        <f t="shared" si="189"/>
        <v>12</v>
      </c>
    </row>
    <row r="5389" spans="1:5" x14ac:dyDescent="0.3">
      <c r="A5389" t="s">
        <v>5514</v>
      </c>
      <c r="B5389" t="s">
        <v>127</v>
      </c>
      <c r="C5389">
        <v>353</v>
      </c>
      <c r="D5389">
        <f t="shared" si="188"/>
        <v>2018</v>
      </c>
      <c r="E5389">
        <f t="shared" si="189"/>
        <v>12</v>
      </c>
    </row>
    <row r="5390" spans="1:5" x14ac:dyDescent="0.3">
      <c r="A5390" t="s">
        <v>5515</v>
      </c>
      <c r="B5390" t="s">
        <v>127</v>
      </c>
      <c r="C5390">
        <v>353</v>
      </c>
      <c r="D5390">
        <f t="shared" si="188"/>
        <v>2018</v>
      </c>
      <c r="E5390">
        <f t="shared" si="189"/>
        <v>12</v>
      </c>
    </row>
    <row r="5391" spans="1:5" x14ac:dyDescent="0.3">
      <c r="A5391" t="s">
        <v>5516</v>
      </c>
      <c r="B5391" t="s">
        <v>127</v>
      </c>
      <c r="C5391">
        <v>349</v>
      </c>
      <c r="D5391">
        <f t="shared" si="188"/>
        <v>2018</v>
      </c>
      <c r="E5391">
        <f t="shared" si="189"/>
        <v>12</v>
      </c>
    </row>
    <row r="5392" spans="1:5" x14ac:dyDescent="0.3">
      <c r="A5392" t="s">
        <v>5517</v>
      </c>
      <c r="B5392" t="s">
        <v>127</v>
      </c>
      <c r="C5392">
        <v>354</v>
      </c>
      <c r="D5392">
        <f t="shared" si="188"/>
        <v>2018</v>
      </c>
      <c r="E5392">
        <f t="shared" si="189"/>
        <v>12</v>
      </c>
    </row>
    <row r="5393" spans="1:5" x14ac:dyDescent="0.3">
      <c r="A5393" t="s">
        <v>5518</v>
      </c>
      <c r="B5393" t="s">
        <v>127</v>
      </c>
      <c r="C5393">
        <v>352</v>
      </c>
      <c r="D5393">
        <f t="shared" si="188"/>
        <v>2018</v>
      </c>
      <c r="E5393">
        <f t="shared" si="189"/>
        <v>12</v>
      </c>
    </row>
    <row r="5394" spans="1:5" x14ac:dyDescent="0.3">
      <c r="A5394" t="s">
        <v>5519</v>
      </c>
      <c r="B5394" t="s">
        <v>127</v>
      </c>
      <c r="C5394">
        <v>357</v>
      </c>
      <c r="D5394">
        <f t="shared" si="188"/>
        <v>2018</v>
      </c>
      <c r="E5394">
        <f t="shared" si="189"/>
        <v>12</v>
      </c>
    </row>
    <row r="5395" spans="1:5" x14ac:dyDescent="0.3">
      <c r="A5395" t="s">
        <v>5520</v>
      </c>
      <c r="B5395" t="s">
        <v>127</v>
      </c>
      <c r="C5395">
        <v>357</v>
      </c>
      <c r="D5395">
        <f t="shared" si="188"/>
        <v>2019</v>
      </c>
      <c r="E5395">
        <f t="shared" si="189"/>
        <v>1</v>
      </c>
    </row>
    <row r="5396" spans="1:5" x14ac:dyDescent="0.3">
      <c r="A5396" t="s">
        <v>5521</v>
      </c>
      <c r="B5396" t="s">
        <v>127</v>
      </c>
      <c r="C5396">
        <v>358</v>
      </c>
      <c r="D5396">
        <f t="shared" si="188"/>
        <v>2019</v>
      </c>
      <c r="E5396">
        <f t="shared" si="189"/>
        <v>1</v>
      </c>
    </row>
    <row r="5397" spans="1:5" x14ac:dyDescent="0.3">
      <c r="A5397" t="s">
        <v>5522</v>
      </c>
      <c r="B5397" t="s">
        <v>127</v>
      </c>
      <c r="C5397">
        <v>362</v>
      </c>
      <c r="D5397">
        <f t="shared" si="188"/>
        <v>2019</v>
      </c>
      <c r="E5397">
        <f t="shared" si="189"/>
        <v>1</v>
      </c>
    </row>
    <row r="5398" spans="1:5" x14ac:dyDescent="0.3">
      <c r="A5398" t="s">
        <v>5523</v>
      </c>
      <c r="B5398" t="s">
        <v>127</v>
      </c>
      <c r="C5398">
        <v>342</v>
      </c>
      <c r="D5398">
        <f t="shared" si="188"/>
        <v>2019</v>
      </c>
      <c r="E5398">
        <f t="shared" si="189"/>
        <v>1</v>
      </c>
    </row>
    <row r="5399" spans="1:5" x14ac:dyDescent="0.3">
      <c r="A5399" t="s">
        <v>5524</v>
      </c>
      <c r="B5399" t="s">
        <v>127</v>
      </c>
      <c r="C5399">
        <v>330</v>
      </c>
      <c r="D5399">
        <f t="shared" si="188"/>
        <v>2019</v>
      </c>
      <c r="E5399">
        <f t="shared" si="189"/>
        <v>1</v>
      </c>
    </row>
    <row r="5400" spans="1:5" x14ac:dyDescent="0.3">
      <c r="A5400" t="s">
        <v>5525</v>
      </c>
      <c r="B5400" t="s">
        <v>127</v>
      </c>
      <c r="C5400">
        <v>328</v>
      </c>
      <c r="D5400">
        <f t="shared" si="188"/>
        <v>2019</v>
      </c>
      <c r="E5400">
        <f t="shared" si="189"/>
        <v>1</v>
      </c>
    </row>
    <row r="5401" spans="1:5" x14ac:dyDescent="0.3">
      <c r="A5401" t="s">
        <v>5526</v>
      </c>
      <c r="B5401" t="s">
        <v>127</v>
      </c>
      <c r="C5401">
        <v>327</v>
      </c>
      <c r="D5401">
        <f t="shared" si="188"/>
        <v>2019</v>
      </c>
      <c r="E5401">
        <f t="shared" si="189"/>
        <v>1</v>
      </c>
    </row>
    <row r="5402" spans="1:5" x14ac:dyDescent="0.3">
      <c r="A5402" t="s">
        <v>5527</v>
      </c>
      <c r="B5402" t="s">
        <v>127</v>
      </c>
      <c r="C5402">
        <v>336</v>
      </c>
      <c r="D5402">
        <f t="shared" si="188"/>
        <v>2019</v>
      </c>
      <c r="E5402">
        <f t="shared" si="189"/>
        <v>1</v>
      </c>
    </row>
    <row r="5403" spans="1:5" x14ac:dyDescent="0.3">
      <c r="A5403" t="s">
        <v>5528</v>
      </c>
      <c r="B5403" t="s">
        <v>127</v>
      </c>
      <c r="C5403">
        <v>340</v>
      </c>
      <c r="D5403">
        <f t="shared" si="188"/>
        <v>2019</v>
      </c>
      <c r="E5403">
        <f t="shared" si="189"/>
        <v>1</v>
      </c>
    </row>
    <row r="5404" spans="1:5" x14ac:dyDescent="0.3">
      <c r="A5404" t="s">
        <v>5529</v>
      </c>
      <c r="B5404" t="s">
        <v>127</v>
      </c>
      <c r="C5404">
        <v>335</v>
      </c>
      <c r="D5404">
        <f t="shared" si="188"/>
        <v>2019</v>
      </c>
      <c r="E5404">
        <f t="shared" si="189"/>
        <v>1</v>
      </c>
    </row>
    <row r="5405" spans="1:5" x14ac:dyDescent="0.3">
      <c r="A5405" t="s">
        <v>5530</v>
      </c>
      <c r="B5405" t="s">
        <v>127</v>
      </c>
      <c r="C5405">
        <v>333</v>
      </c>
      <c r="D5405">
        <f t="shared" si="188"/>
        <v>2019</v>
      </c>
      <c r="E5405">
        <f t="shared" si="189"/>
        <v>1</v>
      </c>
    </row>
    <row r="5406" spans="1:5" x14ac:dyDescent="0.3">
      <c r="A5406" t="s">
        <v>5531</v>
      </c>
      <c r="B5406" t="s">
        <v>127</v>
      </c>
      <c r="C5406">
        <v>331</v>
      </c>
      <c r="D5406">
        <f t="shared" si="188"/>
        <v>2019</v>
      </c>
      <c r="E5406">
        <f t="shared" si="189"/>
        <v>1</v>
      </c>
    </row>
    <row r="5407" spans="1:5" x14ac:dyDescent="0.3">
      <c r="A5407" t="s">
        <v>5532</v>
      </c>
      <c r="B5407" t="s">
        <v>127</v>
      </c>
      <c r="C5407">
        <v>322</v>
      </c>
      <c r="D5407">
        <f t="shared" si="188"/>
        <v>2019</v>
      </c>
      <c r="E5407">
        <f t="shared" si="189"/>
        <v>1</v>
      </c>
    </row>
    <row r="5408" spans="1:5" x14ac:dyDescent="0.3">
      <c r="A5408" t="s">
        <v>5533</v>
      </c>
      <c r="B5408" t="s">
        <v>127</v>
      </c>
      <c r="C5408">
        <v>310</v>
      </c>
      <c r="D5408">
        <f t="shared" si="188"/>
        <v>2019</v>
      </c>
      <c r="E5408">
        <f t="shared" si="189"/>
        <v>1</v>
      </c>
    </row>
    <row r="5409" spans="1:5" x14ac:dyDescent="0.3">
      <c r="A5409" t="s">
        <v>5534</v>
      </c>
      <c r="B5409" t="s">
        <v>127</v>
      </c>
      <c r="C5409">
        <v>310</v>
      </c>
      <c r="D5409">
        <f t="shared" si="188"/>
        <v>2019</v>
      </c>
      <c r="E5409">
        <f t="shared" si="189"/>
        <v>1</v>
      </c>
    </row>
    <row r="5410" spans="1:5" x14ac:dyDescent="0.3">
      <c r="A5410" t="s">
        <v>5535</v>
      </c>
      <c r="B5410" t="s">
        <v>127</v>
      </c>
      <c r="C5410">
        <v>318</v>
      </c>
      <c r="D5410">
        <f t="shared" si="188"/>
        <v>2019</v>
      </c>
      <c r="E5410">
        <f t="shared" si="189"/>
        <v>1</v>
      </c>
    </row>
    <row r="5411" spans="1:5" x14ac:dyDescent="0.3">
      <c r="A5411" t="s">
        <v>5536</v>
      </c>
      <c r="B5411" t="s">
        <v>127</v>
      </c>
      <c r="C5411">
        <v>315</v>
      </c>
      <c r="D5411">
        <f t="shared" si="188"/>
        <v>2019</v>
      </c>
      <c r="E5411">
        <f t="shared" si="189"/>
        <v>1</v>
      </c>
    </row>
    <row r="5412" spans="1:5" x14ac:dyDescent="0.3">
      <c r="A5412" t="s">
        <v>5537</v>
      </c>
      <c r="B5412" t="s">
        <v>127</v>
      </c>
      <c r="C5412">
        <v>315</v>
      </c>
      <c r="D5412">
        <f t="shared" si="188"/>
        <v>2019</v>
      </c>
      <c r="E5412">
        <f t="shared" si="189"/>
        <v>1</v>
      </c>
    </row>
    <row r="5413" spans="1:5" x14ac:dyDescent="0.3">
      <c r="A5413" t="s">
        <v>5538</v>
      </c>
      <c r="B5413" t="s">
        <v>127</v>
      </c>
      <c r="C5413">
        <v>310</v>
      </c>
      <c r="D5413">
        <f t="shared" si="188"/>
        <v>2019</v>
      </c>
      <c r="E5413">
        <f t="shared" si="189"/>
        <v>1</v>
      </c>
    </row>
    <row r="5414" spans="1:5" x14ac:dyDescent="0.3">
      <c r="A5414" t="s">
        <v>5539</v>
      </c>
      <c r="B5414" t="s">
        <v>127</v>
      </c>
      <c r="C5414">
        <v>308</v>
      </c>
      <c r="D5414">
        <f t="shared" si="188"/>
        <v>2019</v>
      </c>
      <c r="E5414">
        <f t="shared" si="189"/>
        <v>1</v>
      </c>
    </row>
    <row r="5415" spans="1:5" x14ac:dyDescent="0.3">
      <c r="A5415" t="s">
        <v>5540</v>
      </c>
      <c r="B5415" t="s">
        <v>127</v>
      </c>
      <c r="C5415">
        <v>319</v>
      </c>
      <c r="D5415">
        <f t="shared" si="188"/>
        <v>2019</v>
      </c>
      <c r="E5415">
        <f t="shared" si="189"/>
        <v>1</v>
      </c>
    </row>
    <row r="5416" spans="1:5" x14ac:dyDescent="0.3">
      <c r="A5416" t="s">
        <v>5541</v>
      </c>
      <c r="B5416" t="s">
        <v>127</v>
      </c>
      <c r="C5416">
        <v>329</v>
      </c>
      <c r="D5416">
        <f t="shared" si="188"/>
        <v>2019</v>
      </c>
      <c r="E5416">
        <f t="shared" si="189"/>
        <v>1</v>
      </c>
    </row>
    <row r="5417" spans="1:5" x14ac:dyDescent="0.3">
      <c r="A5417" t="s">
        <v>5542</v>
      </c>
      <c r="B5417" t="s">
        <v>127</v>
      </c>
      <c r="C5417">
        <v>330</v>
      </c>
      <c r="D5417">
        <f t="shared" si="188"/>
        <v>2019</v>
      </c>
      <c r="E5417">
        <f t="shared" si="189"/>
        <v>1</v>
      </c>
    </row>
    <row r="5418" spans="1:5" x14ac:dyDescent="0.3">
      <c r="A5418" t="s">
        <v>5543</v>
      </c>
      <c r="B5418" t="s">
        <v>127</v>
      </c>
      <c r="C5418">
        <v>319</v>
      </c>
      <c r="D5418">
        <f t="shared" si="188"/>
        <v>2019</v>
      </c>
      <c r="E5418">
        <f t="shared" si="189"/>
        <v>2</v>
      </c>
    </row>
    <row r="5419" spans="1:5" x14ac:dyDescent="0.3">
      <c r="A5419" t="s">
        <v>5544</v>
      </c>
      <c r="B5419" t="s">
        <v>127</v>
      </c>
      <c r="C5419">
        <v>313</v>
      </c>
      <c r="D5419">
        <f t="shared" si="188"/>
        <v>2019</v>
      </c>
      <c r="E5419">
        <f t="shared" si="189"/>
        <v>2</v>
      </c>
    </row>
    <row r="5420" spans="1:5" x14ac:dyDescent="0.3">
      <c r="A5420" t="s">
        <v>5545</v>
      </c>
      <c r="B5420" t="s">
        <v>127</v>
      </c>
      <c r="C5420">
        <v>305</v>
      </c>
      <c r="D5420">
        <f t="shared" si="188"/>
        <v>2019</v>
      </c>
      <c r="E5420">
        <f t="shared" si="189"/>
        <v>2</v>
      </c>
    </row>
    <row r="5421" spans="1:5" x14ac:dyDescent="0.3">
      <c r="A5421" t="s">
        <v>5546</v>
      </c>
      <c r="B5421" t="s">
        <v>127</v>
      </c>
      <c r="C5421">
        <v>308</v>
      </c>
      <c r="D5421">
        <f t="shared" si="188"/>
        <v>2019</v>
      </c>
      <c r="E5421">
        <f t="shared" si="189"/>
        <v>2</v>
      </c>
    </row>
    <row r="5422" spans="1:5" x14ac:dyDescent="0.3">
      <c r="A5422" t="s">
        <v>5547</v>
      </c>
      <c r="B5422" t="s">
        <v>127</v>
      </c>
      <c r="C5422">
        <v>318</v>
      </c>
      <c r="D5422">
        <f t="shared" si="188"/>
        <v>2019</v>
      </c>
      <c r="E5422">
        <f t="shared" si="189"/>
        <v>2</v>
      </c>
    </row>
    <row r="5423" spans="1:5" x14ac:dyDescent="0.3">
      <c r="A5423" t="s">
        <v>5548</v>
      </c>
      <c r="B5423" t="s">
        <v>127</v>
      </c>
      <c r="C5423">
        <v>322</v>
      </c>
      <c r="D5423">
        <f t="shared" si="188"/>
        <v>2019</v>
      </c>
      <c r="E5423">
        <f t="shared" si="189"/>
        <v>2</v>
      </c>
    </row>
    <row r="5424" spans="1:5" x14ac:dyDescent="0.3">
      <c r="A5424" t="s">
        <v>5549</v>
      </c>
      <c r="B5424" t="s">
        <v>127</v>
      </c>
      <c r="C5424">
        <v>322</v>
      </c>
      <c r="D5424">
        <f t="shared" si="188"/>
        <v>2019</v>
      </c>
      <c r="E5424">
        <f t="shared" si="189"/>
        <v>2</v>
      </c>
    </row>
    <row r="5425" spans="1:5" x14ac:dyDescent="0.3">
      <c r="A5425" t="s">
        <v>5550</v>
      </c>
      <c r="B5425" t="s">
        <v>127</v>
      </c>
      <c r="C5425">
        <v>318</v>
      </c>
      <c r="D5425">
        <f t="shared" si="188"/>
        <v>2019</v>
      </c>
      <c r="E5425">
        <f t="shared" si="189"/>
        <v>2</v>
      </c>
    </row>
    <row r="5426" spans="1:5" x14ac:dyDescent="0.3">
      <c r="A5426" t="s">
        <v>5551</v>
      </c>
      <c r="B5426" t="s">
        <v>127</v>
      </c>
      <c r="C5426">
        <v>318</v>
      </c>
      <c r="D5426">
        <f t="shared" si="188"/>
        <v>2019</v>
      </c>
      <c r="E5426">
        <f t="shared" si="189"/>
        <v>2</v>
      </c>
    </row>
    <row r="5427" spans="1:5" x14ac:dyDescent="0.3">
      <c r="A5427" t="s">
        <v>5552</v>
      </c>
      <c r="B5427" t="s">
        <v>127</v>
      </c>
      <c r="C5427">
        <v>317</v>
      </c>
      <c r="D5427">
        <f t="shared" si="188"/>
        <v>2019</v>
      </c>
      <c r="E5427">
        <f t="shared" si="189"/>
        <v>2</v>
      </c>
    </row>
    <row r="5428" spans="1:5" x14ac:dyDescent="0.3">
      <c r="A5428" t="s">
        <v>5553</v>
      </c>
      <c r="B5428" t="s">
        <v>127</v>
      </c>
      <c r="C5428">
        <v>320</v>
      </c>
      <c r="D5428">
        <f t="shared" si="188"/>
        <v>2019</v>
      </c>
      <c r="E5428">
        <f t="shared" si="189"/>
        <v>2</v>
      </c>
    </row>
    <row r="5429" spans="1:5" x14ac:dyDescent="0.3">
      <c r="A5429" t="s">
        <v>5554</v>
      </c>
      <c r="B5429" t="s">
        <v>127</v>
      </c>
      <c r="C5429">
        <v>320</v>
      </c>
      <c r="D5429">
        <f t="shared" si="188"/>
        <v>2019</v>
      </c>
      <c r="E5429">
        <f t="shared" si="189"/>
        <v>2</v>
      </c>
    </row>
    <row r="5430" spans="1:5" x14ac:dyDescent="0.3">
      <c r="A5430" t="s">
        <v>5555</v>
      </c>
      <c r="B5430" t="s">
        <v>127</v>
      </c>
      <c r="C5430">
        <v>323</v>
      </c>
      <c r="D5430">
        <f t="shared" si="188"/>
        <v>2019</v>
      </c>
      <c r="E5430">
        <f t="shared" si="189"/>
        <v>2</v>
      </c>
    </row>
    <row r="5431" spans="1:5" x14ac:dyDescent="0.3">
      <c r="A5431" t="s">
        <v>5556</v>
      </c>
      <c r="B5431" t="s">
        <v>127</v>
      </c>
      <c r="C5431">
        <v>323</v>
      </c>
      <c r="D5431">
        <f t="shared" si="188"/>
        <v>2019</v>
      </c>
      <c r="E5431">
        <f t="shared" si="189"/>
        <v>2</v>
      </c>
    </row>
    <row r="5432" spans="1:5" x14ac:dyDescent="0.3">
      <c r="A5432" t="s">
        <v>5557</v>
      </c>
      <c r="B5432" t="s">
        <v>127</v>
      </c>
      <c r="C5432">
        <v>328</v>
      </c>
      <c r="D5432">
        <f t="shared" si="188"/>
        <v>2019</v>
      </c>
      <c r="E5432">
        <f t="shared" si="189"/>
        <v>2</v>
      </c>
    </row>
    <row r="5433" spans="1:5" x14ac:dyDescent="0.3">
      <c r="A5433" t="s">
        <v>5558</v>
      </c>
      <c r="B5433" t="s">
        <v>127</v>
      </c>
      <c r="C5433">
        <v>325</v>
      </c>
      <c r="D5433">
        <f t="shared" si="188"/>
        <v>2019</v>
      </c>
      <c r="E5433">
        <f t="shared" si="189"/>
        <v>2</v>
      </c>
    </row>
    <row r="5434" spans="1:5" x14ac:dyDescent="0.3">
      <c r="A5434" t="s">
        <v>5559</v>
      </c>
      <c r="B5434" t="s">
        <v>127</v>
      </c>
      <c r="C5434">
        <v>326</v>
      </c>
      <c r="D5434">
        <f t="shared" si="188"/>
        <v>2019</v>
      </c>
      <c r="E5434">
        <f t="shared" si="189"/>
        <v>2</v>
      </c>
    </row>
    <row r="5435" spans="1:5" x14ac:dyDescent="0.3">
      <c r="A5435" t="s">
        <v>5560</v>
      </c>
      <c r="B5435" t="s">
        <v>127</v>
      </c>
      <c r="C5435">
        <v>324</v>
      </c>
      <c r="D5435">
        <f t="shared" si="188"/>
        <v>2019</v>
      </c>
      <c r="E5435">
        <f t="shared" si="189"/>
        <v>2</v>
      </c>
    </row>
    <row r="5436" spans="1:5" x14ac:dyDescent="0.3">
      <c r="A5436" t="s">
        <v>5561</v>
      </c>
      <c r="B5436" t="s">
        <v>127</v>
      </c>
      <c r="C5436">
        <v>318</v>
      </c>
      <c r="D5436">
        <f t="shared" si="188"/>
        <v>2019</v>
      </c>
      <c r="E5436">
        <f t="shared" si="189"/>
        <v>2</v>
      </c>
    </row>
    <row r="5437" spans="1:5" x14ac:dyDescent="0.3">
      <c r="A5437" t="s">
        <v>5562</v>
      </c>
      <c r="B5437" t="s">
        <v>127</v>
      </c>
      <c r="C5437">
        <v>316</v>
      </c>
      <c r="D5437">
        <f t="shared" si="188"/>
        <v>2019</v>
      </c>
      <c r="E5437">
        <f t="shared" si="189"/>
        <v>2</v>
      </c>
    </row>
    <row r="5438" spans="1:5" x14ac:dyDescent="0.3">
      <c r="A5438" t="s">
        <v>5563</v>
      </c>
      <c r="B5438" t="s">
        <v>127</v>
      </c>
      <c r="C5438">
        <v>317</v>
      </c>
      <c r="D5438">
        <f t="shared" si="188"/>
        <v>2019</v>
      </c>
      <c r="E5438">
        <f t="shared" si="189"/>
        <v>3</v>
      </c>
    </row>
    <row r="5439" spans="1:5" x14ac:dyDescent="0.3">
      <c r="A5439" t="s">
        <v>5564</v>
      </c>
      <c r="B5439" t="s">
        <v>127</v>
      </c>
      <c r="C5439">
        <v>321</v>
      </c>
      <c r="D5439">
        <f t="shared" si="188"/>
        <v>2019</v>
      </c>
      <c r="E5439">
        <f t="shared" si="189"/>
        <v>3</v>
      </c>
    </row>
    <row r="5440" spans="1:5" x14ac:dyDescent="0.3">
      <c r="A5440" t="s">
        <v>5565</v>
      </c>
      <c r="B5440" t="s">
        <v>127</v>
      </c>
      <c r="C5440">
        <v>321</v>
      </c>
      <c r="D5440">
        <f t="shared" si="188"/>
        <v>2019</v>
      </c>
      <c r="E5440">
        <f t="shared" si="189"/>
        <v>3</v>
      </c>
    </row>
    <row r="5441" spans="1:5" x14ac:dyDescent="0.3">
      <c r="A5441" t="s">
        <v>5566</v>
      </c>
      <c r="B5441" t="s">
        <v>127</v>
      </c>
      <c r="C5441">
        <v>318</v>
      </c>
      <c r="D5441">
        <f t="shared" si="188"/>
        <v>2019</v>
      </c>
      <c r="E5441">
        <f t="shared" si="189"/>
        <v>3</v>
      </c>
    </row>
    <row r="5442" spans="1:5" x14ac:dyDescent="0.3">
      <c r="A5442" t="s">
        <v>5567</v>
      </c>
      <c r="B5442" t="s">
        <v>127</v>
      </c>
      <c r="C5442">
        <v>324</v>
      </c>
      <c r="D5442">
        <f t="shared" si="188"/>
        <v>2019</v>
      </c>
      <c r="E5442">
        <f t="shared" si="189"/>
        <v>3</v>
      </c>
    </row>
    <row r="5443" spans="1:5" x14ac:dyDescent="0.3">
      <c r="A5443" t="s">
        <v>5568</v>
      </c>
      <c r="B5443" t="s">
        <v>127</v>
      </c>
      <c r="C5443">
        <v>321</v>
      </c>
      <c r="D5443">
        <f t="shared" ref="D5443:D5506" si="190">YEAR(A5443)</f>
        <v>2019</v>
      </c>
      <c r="E5443">
        <f t="shared" ref="E5443:E5506" si="191">MONTH(A5443)</f>
        <v>3</v>
      </c>
    </row>
    <row r="5444" spans="1:5" x14ac:dyDescent="0.3">
      <c r="A5444" t="s">
        <v>5569</v>
      </c>
      <c r="B5444" t="s">
        <v>127</v>
      </c>
      <c r="C5444">
        <v>310</v>
      </c>
      <c r="D5444">
        <f t="shared" si="190"/>
        <v>2019</v>
      </c>
      <c r="E5444">
        <f t="shared" si="191"/>
        <v>3</v>
      </c>
    </row>
    <row r="5445" spans="1:5" x14ac:dyDescent="0.3">
      <c r="A5445" t="s">
        <v>5570</v>
      </c>
      <c r="B5445" t="s">
        <v>127</v>
      </c>
      <c r="C5445">
        <v>310</v>
      </c>
      <c r="D5445">
        <f t="shared" si="190"/>
        <v>2019</v>
      </c>
      <c r="E5445">
        <f t="shared" si="191"/>
        <v>3</v>
      </c>
    </row>
    <row r="5446" spans="1:5" x14ac:dyDescent="0.3">
      <c r="A5446" t="s">
        <v>5571</v>
      </c>
      <c r="B5446" t="s">
        <v>127</v>
      </c>
      <c r="C5446">
        <v>310</v>
      </c>
      <c r="D5446">
        <f t="shared" si="190"/>
        <v>2019</v>
      </c>
      <c r="E5446">
        <f t="shared" si="191"/>
        <v>3</v>
      </c>
    </row>
    <row r="5447" spans="1:5" x14ac:dyDescent="0.3">
      <c r="A5447" t="s">
        <v>5572</v>
      </c>
      <c r="B5447" t="s">
        <v>127</v>
      </c>
      <c r="C5447">
        <v>304</v>
      </c>
      <c r="D5447">
        <f t="shared" si="190"/>
        <v>2019</v>
      </c>
      <c r="E5447">
        <f t="shared" si="191"/>
        <v>3</v>
      </c>
    </row>
    <row r="5448" spans="1:5" x14ac:dyDescent="0.3">
      <c r="A5448" t="s">
        <v>5573</v>
      </c>
      <c r="B5448" t="s">
        <v>127</v>
      </c>
      <c r="C5448">
        <v>306</v>
      </c>
      <c r="D5448">
        <f t="shared" si="190"/>
        <v>2019</v>
      </c>
      <c r="E5448">
        <f t="shared" si="191"/>
        <v>3</v>
      </c>
    </row>
    <row r="5449" spans="1:5" x14ac:dyDescent="0.3">
      <c r="A5449" t="s">
        <v>5574</v>
      </c>
      <c r="B5449" t="s">
        <v>127</v>
      </c>
      <c r="C5449">
        <v>303</v>
      </c>
      <c r="D5449">
        <f t="shared" si="190"/>
        <v>2019</v>
      </c>
      <c r="E5449">
        <f t="shared" si="191"/>
        <v>3</v>
      </c>
    </row>
    <row r="5450" spans="1:5" x14ac:dyDescent="0.3">
      <c r="A5450" t="s">
        <v>5575</v>
      </c>
      <c r="B5450" t="s">
        <v>127</v>
      </c>
      <c r="C5450">
        <v>302</v>
      </c>
      <c r="D5450">
        <f t="shared" si="190"/>
        <v>2019</v>
      </c>
      <c r="E5450">
        <f t="shared" si="191"/>
        <v>3</v>
      </c>
    </row>
    <row r="5451" spans="1:5" x14ac:dyDescent="0.3">
      <c r="A5451" t="s">
        <v>5576</v>
      </c>
      <c r="B5451" t="s">
        <v>127</v>
      </c>
      <c r="C5451">
        <v>308</v>
      </c>
      <c r="D5451">
        <f t="shared" si="190"/>
        <v>2019</v>
      </c>
      <c r="E5451">
        <f t="shared" si="191"/>
        <v>3</v>
      </c>
    </row>
    <row r="5452" spans="1:5" x14ac:dyDescent="0.3">
      <c r="A5452" t="s">
        <v>5577</v>
      </c>
      <c r="B5452" t="s">
        <v>127</v>
      </c>
      <c r="C5452">
        <v>297</v>
      </c>
      <c r="D5452">
        <f t="shared" si="190"/>
        <v>2019</v>
      </c>
      <c r="E5452">
        <f t="shared" si="191"/>
        <v>3</v>
      </c>
    </row>
    <row r="5453" spans="1:5" x14ac:dyDescent="0.3">
      <c r="A5453" t="s">
        <v>5578</v>
      </c>
      <c r="B5453" t="s">
        <v>127</v>
      </c>
      <c r="C5453">
        <v>300</v>
      </c>
      <c r="D5453">
        <f t="shared" si="190"/>
        <v>2019</v>
      </c>
      <c r="E5453">
        <f t="shared" si="191"/>
        <v>3</v>
      </c>
    </row>
    <row r="5454" spans="1:5" x14ac:dyDescent="0.3">
      <c r="A5454" t="s">
        <v>5579</v>
      </c>
      <c r="B5454" t="s">
        <v>127</v>
      </c>
      <c r="C5454">
        <v>304</v>
      </c>
      <c r="D5454">
        <f t="shared" si="190"/>
        <v>2019</v>
      </c>
      <c r="E5454">
        <f t="shared" si="191"/>
        <v>3</v>
      </c>
    </row>
    <row r="5455" spans="1:5" x14ac:dyDescent="0.3">
      <c r="A5455" t="s">
        <v>5580</v>
      </c>
      <c r="B5455" t="s">
        <v>127</v>
      </c>
      <c r="C5455">
        <v>302</v>
      </c>
      <c r="D5455">
        <f t="shared" si="190"/>
        <v>2019</v>
      </c>
      <c r="E5455">
        <f t="shared" si="191"/>
        <v>3</v>
      </c>
    </row>
    <row r="5456" spans="1:5" x14ac:dyDescent="0.3">
      <c r="A5456" t="s">
        <v>5581</v>
      </c>
      <c r="B5456" t="s">
        <v>127</v>
      </c>
      <c r="C5456">
        <v>305</v>
      </c>
      <c r="D5456">
        <f t="shared" si="190"/>
        <v>2019</v>
      </c>
      <c r="E5456">
        <f t="shared" si="191"/>
        <v>3</v>
      </c>
    </row>
    <row r="5457" spans="1:5" x14ac:dyDescent="0.3">
      <c r="A5457" t="s">
        <v>5582</v>
      </c>
      <c r="B5457" t="s">
        <v>127</v>
      </c>
      <c r="C5457">
        <v>308</v>
      </c>
      <c r="D5457">
        <f t="shared" si="190"/>
        <v>2019</v>
      </c>
      <c r="E5457">
        <f t="shared" si="191"/>
        <v>3</v>
      </c>
    </row>
    <row r="5458" spans="1:5" x14ac:dyDescent="0.3">
      <c r="A5458" t="s">
        <v>5583</v>
      </c>
      <c r="B5458" t="s">
        <v>127</v>
      </c>
      <c r="C5458">
        <v>308</v>
      </c>
      <c r="D5458">
        <f t="shared" si="190"/>
        <v>2019</v>
      </c>
      <c r="E5458">
        <f t="shared" si="191"/>
        <v>3</v>
      </c>
    </row>
    <row r="5459" spans="1:5" x14ac:dyDescent="0.3">
      <c r="A5459" t="s">
        <v>5584</v>
      </c>
      <c r="B5459" t="s">
        <v>127</v>
      </c>
      <c r="C5459">
        <v>303</v>
      </c>
      <c r="D5459">
        <f t="shared" si="190"/>
        <v>2019</v>
      </c>
      <c r="E5459">
        <f t="shared" si="191"/>
        <v>4</v>
      </c>
    </row>
    <row r="5460" spans="1:5" x14ac:dyDescent="0.3">
      <c r="A5460" t="s">
        <v>5585</v>
      </c>
      <c r="B5460" t="s">
        <v>127</v>
      </c>
      <c r="C5460">
        <v>308</v>
      </c>
      <c r="D5460">
        <f t="shared" si="190"/>
        <v>2019</v>
      </c>
      <c r="E5460">
        <f t="shared" si="191"/>
        <v>4</v>
      </c>
    </row>
    <row r="5461" spans="1:5" x14ac:dyDescent="0.3">
      <c r="A5461" t="s">
        <v>5586</v>
      </c>
      <c r="B5461" t="s">
        <v>127</v>
      </c>
      <c r="C5461">
        <v>300</v>
      </c>
      <c r="D5461">
        <f t="shared" si="190"/>
        <v>2019</v>
      </c>
      <c r="E5461">
        <f t="shared" si="191"/>
        <v>4</v>
      </c>
    </row>
    <row r="5462" spans="1:5" x14ac:dyDescent="0.3">
      <c r="A5462" t="s">
        <v>5587</v>
      </c>
      <c r="B5462" t="s">
        <v>127</v>
      </c>
      <c r="C5462">
        <v>300</v>
      </c>
      <c r="D5462">
        <f t="shared" si="190"/>
        <v>2019</v>
      </c>
      <c r="E5462">
        <f t="shared" si="191"/>
        <v>4</v>
      </c>
    </row>
    <row r="5463" spans="1:5" x14ac:dyDescent="0.3">
      <c r="A5463" t="s">
        <v>5588</v>
      </c>
      <c r="B5463" t="s">
        <v>127</v>
      </c>
      <c r="C5463">
        <v>299</v>
      </c>
      <c r="D5463">
        <f t="shared" si="190"/>
        <v>2019</v>
      </c>
      <c r="E5463">
        <f t="shared" si="191"/>
        <v>4</v>
      </c>
    </row>
    <row r="5464" spans="1:5" x14ac:dyDescent="0.3">
      <c r="A5464" t="s">
        <v>5589</v>
      </c>
      <c r="B5464" t="s">
        <v>127</v>
      </c>
      <c r="C5464">
        <v>296</v>
      </c>
      <c r="D5464">
        <f t="shared" si="190"/>
        <v>2019</v>
      </c>
      <c r="E5464">
        <f t="shared" si="191"/>
        <v>4</v>
      </c>
    </row>
    <row r="5465" spans="1:5" x14ac:dyDescent="0.3">
      <c r="A5465" t="s">
        <v>5590</v>
      </c>
      <c r="B5465" t="s">
        <v>127</v>
      </c>
      <c r="C5465">
        <v>294</v>
      </c>
      <c r="D5465">
        <f t="shared" si="190"/>
        <v>2019</v>
      </c>
      <c r="E5465">
        <f t="shared" si="191"/>
        <v>4</v>
      </c>
    </row>
    <row r="5466" spans="1:5" x14ac:dyDescent="0.3">
      <c r="A5466" t="s">
        <v>5591</v>
      </c>
      <c r="B5466" t="s">
        <v>127</v>
      </c>
      <c r="C5466">
        <v>296</v>
      </c>
      <c r="D5466">
        <f t="shared" si="190"/>
        <v>2019</v>
      </c>
      <c r="E5466">
        <f t="shared" si="191"/>
        <v>4</v>
      </c>
    </row>
    <row r="5467" spans="1:5" x14ac:dyDescent="0.3">
      <c r="A5467" t="s">
        <v>5592</v>
      </c>
      <c r="B5467" t="s">
        <v>127</v>
      </c>
      <c r="C5467">
        <v>292</v>
      </c>
      <c r="D5467">
        <f t="shared" si="190"/>
        <v>2019</v>
      </c>
      <c r="E5467">
        <f t="shared" si="191"/>
        <v>4</v>
      </c>
    </row>
    <row r="5468" spans="1:5" x14ac:dyDescent="0.3">
      <c r="A5468" t="s">
        <v>5593</v>
      </c>
      <c r="B5468" t="s">
        <v>127</v>
      </c>
      <c r="C5468">
        <v>293</v>
      </c>
      <c r="D5468">
        <f t="shared" si="190"/>
        <v>2019</v>
      </c>
      <c r="E5468">
        <f t="shared" si="191"/>
        <v>4</v>
      </c>
    </row>
    <row r="5469" spans="1:5" x14ac:dyDescent="0.3">
      <c r="A5469" t="s">
        <v>5594</v>
      </c>
      <c r="B5469" t="s">
        <v>127</v>
      </c>
      <c r="C5469">
        <v>298</v>
      </c>
      <c r="D5469">
        <f t="shared" si="190"/>
        <v>2019</v>
      </c>
      <c r="E5469">
        <f t="shared" si="191"/>
        <v>4</v>
      </c>
    </row>
    <row r="5470" spans="1:5" x14ac:dyDescent="0.3">
      <c r="A5470" t="s">
        <v>5595</v>
      </c>
      <c r="B5470" t="s">
        <v>127</v>
      </c>
      <c r="C5470">
        <v>294</v>
      </c>
      <c r="D5470">
        <f t="shared" si="190"/>
        <v>2019</v>
      </c>
      <c r="E5470">
        <f t="shared" si="191"/>
        <v>4</v>
      </c>
    </row>
    <row r="5471" spans="1:5" x14ac:dyDescent="0.3">
      <c r="A5471" t="s">
        <v>5596</v>
      </c>
      <c r="B5471" t="s">
        <v>127</v>
      </c>
      <c r="C5471">
        <v>293</v>
      </c>
      <c r="D5471">
        <f t="shared" si="190"/>
        <v>2019</v>
      </c>
      <c r="E5471">
        <f t="shared" si="191"/>
        <v>4</v>
      </c>
    </row>
    <row r="5472" spans="1:5" x14ac:dyDescent="0.3">
      <c r="A5472" t="s">
        <v>5597</v>
      </c>
      <c r="B5472" t="s">
        <v>127</v>
      </c>
      <c r="C5472">
        <v>294</v>
      </c>
      <c r="D5472">
        <f t="shared" si="190"/>
        <v>2019</v>
      </c>
      <c r="E5472">
        <f t="shared" si="191"/>
        <v>4</v>
      </c>
    </row>
    <row r="5473" spans="1:5" x14ac:dyDescent="0.3">
      <c r="A5473" t="s">
        <v>5598</v>
      </c>
      <c r="B5473" t="s">
        <v>127</v>
      </c>
      <c r="C5473">
        <v>294</v>
      </c>
      <c r="D5473">
        <f t="shared" si="190"/>
        <v>2019</v>
      </c>
      <c r="E5473">
        <f t="shared" si="191"/>
        <v>4</v>
      </c>
    </row>
    <row r="5474" spans="1:5" x14ac:dyDescent="0.3">
      <c r="A5474" t="s">
        <v>5599</v>
      </c>
      <c r="B5474" t="s">
        <v>127</v>
      </c>
      <c r="C5474">
        <v>292</v>
      </c>
      <c r="D5474">
        <f t="shared" si="190"/>
        <v>2019</v>
      </c>
      <c r="E5474">
        <f t="shared" si="191"/>
        <v>4</v>
      </c>
    </row>
    <row r="5475" spans="1:5" x14ac:dyDescent="0.3">
      <c r="A5475" t="s">
        <v>5600</v>
      </c>
      <c r="B5475" t="s">
        <v>127</v>
      </c>
      <c r="C5475">
        <v>291</v>
      </c>
      <c r="D5475">
        <f t="shared" si="190"/>
        <v>2019</v>
      </c>
      <c r="E5475">
        <f t="shared" si="191"/>
        <v>4</v>
      </c>
    </row>
    <row r="5476" spans="1:5" x14ac:dyDescent="0.3">
      <c r="A5476" t="s">
        <v>5601</v>
      </c>
      <c r="B5476" t="s">
        <v>127</v>
      </c>
      <c r="C5476">
        <v>294</v>
      </c>
      <c r="D5476">
        <f t="shared" si="190"/>
        <v>2019</v>
      </c>
      <c r="E5476">
        <f t="shared" si="191"/>
        <v>4</v>
      </c>
    </row>
    <row r="5477" spans="1:5" x14ac:dyDescent="0.3">
      <c r="A5477" t="s">
        <v>5602</v>
      </c>
      <c r="B5477" t="s">
        <v>127</v>
      </c>
      <c r="C5477">
        <v>294</v>
      </c>
      <c r="D5477">
        <f t="shared" si="190"/>
        <v>2019</v>
      </c>
      <c r="E5477">
        <f t="shared" si="191"/>
        <v>4</v>
      </c>
    </row>
    <row r="5478" spans="1:5" x14ac:dyDescent="0.3">
      <c r="A5478" t="s">
        <v>5603</v>
      </c>
      <c r="B5478" t="s">
        <v>127</v>
      </c>
      <c r="C5478">
        <v>290</v>
      </c>
      <c r="D5478">
        <f t="shared" si="190"/>
        <v>2019</v>
      </c>
      <c r="E5478">
        <f t="shared" si="191"/>
        <v>4</v>
      </c>
    </row>
    <row r="5479" spans="1:5" x14ac:dyDescent="0.3">
      <c r="A5479" t="s">
        <v>5604</v>
      </c>
      <c r="B5479" t="s">
        <v>127</v>
      </c>
      <c r="C5479">
        <v>288</v>
      </c>
      <c r="D5479">
        <f t="shared" si="190"/>
        <v>2019</v>
      </c>
      <c r="E5479">
        <f t="shared" si="191"/>
        <v>4</v>
      </c>
    </row>
    <row r="5480" spans="1:5" x14ac:dyDescent="0.3">
      <c r="A5480" t="s">
        <v>5605</v>
      </c>
      <c r="B5480" t="s">
        <v>127</v>
      </c>
      <c r="C5480">
        <v>292</v>
      </c>
      <c r="D5480">
        <f t="shared" si="190"/>
        <v>2019</v>
      </c>
      <c r="E5480">
        <f t="shared" si="191"/>
        <v>4</v>
      </c>
    </row>
    <row r="5481" spans="1:5" x14ac:dyDescent="0.3">
      <c r="A5481" t="s">
        <v>5606</v>
      </c>
      <c r="B5481" t="s">
        <v>127</v>
      </c>
      <c r="C5481">
        <v>295</v>
      </c>
      <c r="D5481">
        <f t="shared" si="190"/>
        <v>2019</v>
      </c>
      <c r="E5481">
        <f t="shared" si="191"/>
        <v>5</v>
      </c>
    </row>
    <row r="5482" spans="1:5" x14ac:dyDescent="0.3">
      <c r="A5482" t="s">
        <v>5607</v>
      </c>
      <c r="B5482" t="s">
        <v>127</v>
      </c>
      <c r="C5482">
        <v>299</v>
      </c>
      <c r="D5482">
        <f t="shared" si="190"/>
        <v>2019</v>
      </c>
      <c r="E5482">
        <f t="shared" si="191"/>
        <v>5</v>
      </c>
    </row>
    <row r="5483" spans="1:5" x14ac:dyDescent="0.3">
      <c r="A5483" t="s">
        <v>5608</v>
      </c>
      <c r="B5483" t="s">
        <v>127</v>
      </c>
      <c r="C5483">
        <v>296</v>
      </c>
      <c r="D5483">
        <f t="shared" si="190"/>
        <v>2019</v>
      </c>
      <c r="E5483">
        <f t="shared" si="191"/>
        <v>5</v>
      </c>
    </row>
    <row r="5484" spans="1:5" x14ac:dyDescent="0.3">
      <c r="A5484" t="s">
        <v>5609</v>
      </c>
      <c r="B5484" t="s">
        <v>127</v>
      </c>
      <c r="C5484">
        <v>298</v>
      </c>
      <c r="D5484">
        <f t="shared" si="190"/>
        <v>2019</v>
      </c>
      <c r="E5484">
        <f t="shared" si="191"/>
        <v>5</v>
      </c>
    </row>
    <row r="5485" spans="1:5" x14ac:dyDescent="0.3">
      <c r="A5485" t="s">
        <v>5610</v>
      </c>
      <c r="B5485" t="s">
        <v>127</v>
      </c>
      <c r="C5485">
        <v>307</v>
      </c>
      <c r="D5485">
        <f t="shared" si="190"/>
        <v>2019</v>
      </c>
      <c r="E5485">
        <f t="shared" si="191"/>
        <v>5</v>
      </c>
    </row>
    <row r="5486" spans="1:5" x14ac:dyDescent="0.3">
      <c r="A5486" t="s">
        <v>5611</v>
      </c>
      <c r="B5486" t="s">
        <v>127</v>
      </c>
      <c r="C5486">
        <v>302</v>
      </c>
      <c r="D5486">
        <f t="shared" si="190"/>
        <v>2019</v>
      </c>
      <c r="E5486">
        <f t="shared" si="191"/>
        <v>5</v>
      </c>
    </row>
    <row r="5487" spans="1:5" x14ac:dyDescent="0.3">
      <c r="A5487" t="s">
        <v>5612</v>
      </c>
      <c r="B5487" t="s">
        <v>127</v>
      </c>
      <c r="C5487">
        <v>307</v>
      </c>
      <c r="D5487">
        <f t="shared" si="190"/>
        <v>2019</v>
      </c>
      <c r="E5487">
        <f t="shared" si="191"/>
        <v>5</v>
      </c>
    </row>
    <row r="5488" spans="1:5" x14ac:dyDescent="0.3">
      <c r="A5488" t="s">
        <v>5613</v>
      </c>
      <c r="B5488" t="s">
        <v>127</v>
      </c>
      <c r="C5488">
        <v>307</v>
      </c>
      <c r="D5488">
        <f t="shared" si="190"/>
        <v>2019</v>
      </c>
      <c r="E5488">
        <f t="shared" si="191"/>
        <v>5</v>
      </c>
    </row>
    <row r="5489" spans="1:5" x14ac:dyDescent="0.3">
      <c r="A5489" t="s">
        <v>5614</v>
      </c>
      <c r="B5489" t="s">
        <v>127</v>
      </c>
      <c r="C5489">
        <v>311</v>
      </c>
      <c r="D5489">
        <f t="shared" si="190"/>
        <v>2019</v>
      </c>
      <c r="E5489">
        <f t="shared" si="191"/>
        <v>5</v>
      </c>
    </row>
    <row r="5490" spans="1:5" x14ac:dyDescent="0.3">
      <c r="A5490" t="s">
        <v>5615</v>
      </c>
      <c r="B5490" t="s">
        <v>127</v>
      </c>
      <c r="C5490">
        <v>307</v>
      </c>
      <c r="D5490">
        <f t="shared" si="190"/>
        <v>2019</v>
      </c>
      <c r="E5490">
        <f t="shared" si="191"/>
        <v>5</v>
      </c>
    </row>
    <row r="5491" spans="1:5" x14ac:dyDescent="0.3">
      <c r="A5491" t="s">
        <v>5616</v>
      </c>
      <c r="B5491" t="s">
        <v>127</v>
      </c>
      <c r="C5491">
        <v>309</v>
      </c>
      <c r="D5491">
        <f t="shared" si="190"/>
        <v>2019</v>
      </c>
      <c r="E5491">
        <f t="shared" si="191"/>
        <v>5</v>
      </c>
    </row>
    <row r="5492" spans="1:5" x14ac:dyDescent="0.3">
      <c r="A5492" t="s">
        <v>5617</v>
      </c>
      <c r="B5492" t="s">
        <v>127</v>
      </c>
      <c r="C5492">
        <v>309</v>
      </c>
      <c r="D5492">
        <f t="shared" si="190"/>
        <v>2019</v>
      </c>
      <c r="E5492">
        <f t="shared" si="191"/>
        <v>5</v>
      </c>
    </row>
    <row r="5493" spans="1:5" x14ac:dyDescent="0.3">
      <c r="A5493" t="s">
        <v>5618</v>
      </c>
      <c r="B5493" t="s">
        <v>127</v>
      </c>
      <c r="C5493">
        <v>313</v>
      </c>
      <c r="D5493">
        <f t="shared" si="190"/>
        <v>2019</v>
      </c>
      <c r="E5493">
        <f t="shared" si="191"/>
        <v>5</v>
      </c>
    </row>
    <row r="5494" spans="1:5" x14ac:dyDescent="0.3">
      <c r="A5494" t="s">
        <v>5619</v>
      </c>
      <c r="B5494" t="s">
        <v>127</v>
      </c>
      <c r="C5494">
        <v>311</v>
      </c>
      <c r="D5494">
        <f t="shared" si="190"/>
        <v>2019</v>
      </c>
      <c r="E5494">
        <f t="shared" si="191"/>
        <v>5</v>
      </c>
    </row>
    <row r="5495" spans="1:5" x14ac:dyDescent="0.3">
      <c r="A5495" t="s">
        <v>5620</v>
      </c>
      <c r="B5495" t="s">
        <v>127</v>
      </c>
      <c r="C5495">
        <v>306</v>
      </c>
      <c r="D5495">
        <f t="shared" si="190"/>
        <v>2019</v>
      </c>
      <c r="E5495">
        <f t="shared" si="191"/>
        <v>5</v>
      </c>
    </row>
    <row r="5496" spans="1:5" x14ac:dyDescent="0.3">
      <c r="A5496" t="s">
        <v>5621</v>
      </c>
      <c r="B5496" t="s">
        <v>127</v>
      </c>
      <c r="C5496">
        <v>308</v>
      </c>
      <c r="D5496">
        <f t="shared" si="190"/>
        <v>2019</v>
      </c>
      <c r="E5496">
        <f t="shared" si="191"/>
        <v>5</v>
      </c>
    </row>
    <row r="5497" spans="1:5" x14ac:dyDescent="0.3">
      <c r="A5497" t="s">
        <v>5622</v>
      </c>
      <c r="B5497" t="s">
        <v>127</v>
      </c>
      <c r="C5497">
        <v>319</v>
      </c>
      <c r="D5497">
        <f t="shared" si="190"/>
        <v>2019</v>
      </c>
      <c r="E5497">
        <f t="shared" si="191"/>
        <v>5</v>
      </c>
    </row>
    <row r="5498" spans="1:5" x14ac:dyDescent="0.3">
      <c r="A5498" t="s">
        <v>5623</v>
      </c>
      <c r="B5498" t="s">
        <v>127</v>
      </c>
      <c r="C5498">
        <v>313</v>
      </c>
      <c r="D5498">
        <f t="shared" si="190"/>
        <v>2019</v>
      </c>
      <c r="E5498">
        <f t="shared" si="191"/>
        <v>5</v>
      </c>
    </row>
    <row r="5499" spans="1:5" x14ac:dyDescent="0.3">
      <c r="A5499" t="s">
        <v>5624</v>
      </c>
      <c r="B5499" t="s">
        <v>127</v>
      </c>
      <c r="C5499">
        <v>313</v>
      </c>
      <c r="D5499">
        <f t="shared" si="190"/>
        <v>2019</v>
      </c>
      <c r="E5499">
        <f t="shared" si="191"/>
        <v>5</v>
      </c>
    </row>
    <row r="5500" spans="1:5" x14ac:dyDescent="0.3">
      <c r="A5500" t="s">
        <v>5625</v>
      </c>
      <c r="B5500" t="s">
        <v>127</v>
      </c>
      <c r="C5500">
        <v>317</v>
      </c>
      <c r="D5500">
        <f t="shared" si="190"/>
        <v>2019</v>
      </c>
      <c r="E5500">
        <f t="shared" si="191"/>
        <v>5</v>
      </c>
    </row>
    <row r="5501" spans="1:5" x14ac:dyDescent="0.3">
      <c r="A5501" t="s">
        <v>5626</v>
      </c>
      <c r="B5501" t="s">
        <v>127</v>
      </c>
      <c r="C5501">
        <v>317</v>
      </c>
      <c r="D5501">
        <f t="shared" si="190"/>
        <v>2019</v>
      </c>
      <c r="E5501">
        <f t="shared" si="191"/>
        <v>5</v>
      </c>
    </row>
    <row r="5502" spans="1:5" x14ac:dyDescent="0.3">
      <c r="A5502" t="s">
        <v>5627</v>
      </c>
      <c r="B5502" t="s">
        <v>127</v>
      </c>
      <c r="C5502">
        <v>320</v>
      </c>
      <c r="D5502">
        <f t="shared" si="190"/>
        <v>2019</v>
      </c>
      <c r="E5502">
        <f t="shared" si="191"/>
        <v>5</v>
      </c>
    </row>
    <row r="5503" spans="1:5" x14ac:dyDescent="0.3">
      <c r="A5503" t="s">
        <v>5628</v>
      </c>
      <c r="B5503" t="s">
        <v>127</v>
      </c>
      <c r="C5503">
        <v>329</v>
      </c>
      <c r="D5503">
        <f t="shared" si="190"/>
        <v>2019</v>
      </c>
      <c r="E5503">
        <f t="shared" si="191"/>
        <v>5</v>
      </c>
    </row>
    <row r="5504" spans="1:5" x14ac:dyDescent="0.3">
      <c r="A5504" t="s">
        <v>5629</v>
      </c>
      <c r="B5504" t="s">
        <v>127</v>
      </c>
      <c r="C5504">
        <v>334</v>
      </c>
      <c r="D5504">
        <f t="shared" si="190"/>
        <v>2019</v>
      </c>
      <c r="E5504">
        <f t="shared" si="191"/>
        <v>6</v>
      </c>
    </row>
    <row r="5505" spans="1:5" x14ac:dyDescent="0.3">
      <c r="A5505" t="s">
        <v>5630</v>
      </c>
      <c r="B5505" t="s">
        <v>127</v>
      </c>
      <c r="C5505">
        <v>322</v>
      </c>
      <c r="D5505">
        <f t="shared" si="190"/>
        <v>2019</v>
      </c>
      <c r="E5505">
        <f t="shared" si="191"/>
        <v>6</v>
      </c>
    </row>
    <row r="5506" spans="1:5" x14ac:dyDescent="0.3">
      <c r="A5506" t="s">
        <v>5631</v>
      </c>
      <c r="B5506" t="s">
        <v>127</v>
      </c>
      <c r="C5506">
        <v>318</v>
      </c>
      <c r="D5506">
        <f t="shared" si="190"/>
        <v>2019</v>
      </c>
      <c r="E5506">
        <f t="shared" si="191"/>
        <v>6</v>
      </c>
    </row>
    <row r="5507" spans="1:5" x14ac:dyDescent="0.3">
      <c r="A5507" t="s">
        <v>5632</v>
      </c>
      <c r="B5507" t="s">
        <v>127</v>
      </c>
      <c r="C5507">
        <v>329</v>
      </c>
      <c r="D5507">
        <f t="shared" ref="D5507:D5570" si="192">YEAR(A5507)</f>
        <v>2019</v>
      </c>
      <c r="E5507">
        <f t="shared" ref="E5507:E5570" si="193">MONTH(A5507)</f>
        <v>6</v>
      </c>
    </row>
    <row r="5508" spans="1:5" x14ac:dyDescent="0.3">
      <c r="A5508" t="s">
        <v>5633</v>
      </c>
      <c r="B5508" t="s">
        <v>127</v>
      </c>
      <c r="C5508">
        <v>341</v>
      </c>
      <c r="D5508">
        <f t="shared" si="192"/>
        <v>2019</v>
      </c>
      <c r="E5508">
        <f t="shared" si="193"/>
        <v>6</v>
      </c>
    </row>
    <row r="5509" spans="1:5" x14ac:dyDescent="0.3">
      <c r="A5509" t="s">
        <v>5634</v>
      </c>
      <c r="B5509" t="s">
        <v>127</v>
      </c>
      <c r="C5509">
        <v>328</v>
      </c>
      <c r="D5509">
        <f t="shared" si="192"/>
        <v>2019</v>
      </c>
      <c r="E5509">
        <f t="shared" si="193"/>
        <v>6</v>
      </c>
    </row>
    <row r="5510" spans="1:5" x14ac:dyDescent="0.3">
      <c r="A5510" t="s">
        <v>5635</v>
      </c>
      <c r="B5510" t="s">
        <v>127</v>
      </c>
      <c r="C5510">
        <v>325</v>
      </c>
      <c r="D5510">
        <f t="shared" si="192"/>
        <v>2019</v>
      </c>
      <c r="E5510">
        <f t="shared" si="193"/>
        <v>6</v>
      </c>
    </row>
    <row r="5511" spans="1:5" x14ac:dyDescent="0.3">
      <c r="A5511" t="s">
        <v>5636</v>
      </c>
      <c r="B5511" t="s">
        <v>127</v>
      </c>
      <c r="C5511">
        <v>329</v>
      </c>
      <c r="D5511">
        <f t="shared" si="192"/>
        <v>2019</v>
      </c>
      <c r="E5511">
        <f t="shared" si="193"/>
        <v>6</v>
      </c>
    </row>
    <row r="5512" spans="1:5" x14ac:dyDescent="0.3">
      <c r="A5512" t="s">
        <v>5637</v>
      </c>
      <c r="B5512" t="s">
        <v>127</v>
      </c>
      <c r="C5512">
        <v>333</v>
      </c>
      <c r="D5512">
        <f t="shared" si="192"/>
        <v>2019</v>
      </c>
      <c r="E5512">
        <f t="shared" si="193"/>
        <v>6</v>
      </c>
    </row>
    <row r="5513" spans="1:5" x14ac:dyDescent="0.3">
      <c r="A5513" t="s">
        <v>5638</v>
      </c>
      <c r="B5513" t="s">
        <v>127</v>
      </c>
      <c r="C5513">
        <v>342</v>
      </c>
      <c r="D5513">
        <f t="shared" si="192"/>
        <v>2019</v>
      </c>
      <c r="E5513">
        <f t="shared" si="193"/>
        <v>6</v>
      </c>
    </row>
    <row r="5514" spans="1:5" x14ac:dyDescent="0.3">
      <c r="A5514" t="s">
        <v>5639</v>
      </c>
      <c r="B5514" t="s">
        <v>127</v>
      </c>
      <c r="C5514">
        <v>344</v>
      </c>
      <c r="D5514">
        <f t="shared" si="192"/>
        <v>2019</v>
      </c>
      <c r="E5514">
        <f t="shared" si="193"/>
        <v>6</v>
      </c>
    </row>
    <row r="5515" spans="1:5" x14ac:dyDescent="0.3">
      <c r="A5515" t="s">
        <v>5640</v>
      </c>
      <c r="B5515" t="s">
        <v>127</v>
      </c>
      <c r="C5515">
        <v>338</v>
      </c>
      <c r="D5515">
        <f t="shared" si="192"/>
        <v>2019</v>
      </c>
      <c r="E5515">
        <f t="shared" si="193"/>
        <v>6</v>
      </c>
    </row>
    <row r="5516" spans="1:5" x14ac:dyDescent="0.3">
      <c r="A5516" t="s">
        <v>5641</v>
      </c>
      <c r="B5516" t="s">
        <v>127</v>
      </c>
      <c r="C5516">
        <v>338</v>
      </c>
      <c r="D5516">
        <f t="shared" si="192"/>
        <v>2019</v>
      </c>
      <c r="E5516">
        <f t="shared" si="193"/>
        <v>6</v>
      </c>
    </row>
    <row r="5517" spans="1:5" x14ac:dyDescent="0.3">
      <c r="A5517" t="s">
        <v>5642</v>
      </c>
      <c r="B5517" t="s">
        <v>127</v>
      </c>
      <c r="C5517">
        <v>328</v>
      </c>
      <c r="D5517">
        <f t="shared" si="192"/>
        <v>2019</v>
      </c>
      <c r="E5517">
        <f t="shared" si="193"/>
        <v>6</v>
      </c>
    </row>
    <row r="5518" spans="1:5" x14ac:dyDescent="0.3">
      <c r="A5518" t="s">
        <v>5643</v>
      </c>
      <c r="B5518" t="s">
        <v>127</v>
      </c>
      <c r="C5518">
        <v>328</v>
      </c>
      <c r="D5518">
        <f t="shared" si="192"/>
        <v>2019</v>
      </c>
      <c r="E5518">
        <f t="shared" si="193"/>
        <v>6</v>
      </c>
    </row>
    <row r="5519" spans="1:5" x14ac:dyDescent="0.3">
      <c r="A5519" t="s">
        <v>5644</v>
      </c>
      <c r="B5519" t="s">
        <v>127</v>
      </c>
      <c r="C5519">
        <v>336</v>
      </c>
      <c r="D5519">
        <f t="shared" si="192"/>
        <v>2019</v>
      </c>
      <c r="E5519">
        <f t="shared" si="193"/>
        <v>6</v>
      </c>
    </row>
    <row r="5520" spans="1:5" x14ac:dyDescent="0.3">
      <c r="A5520" t="s">
        <v>5645</v>
      </c>
      <c r="B5520" t="s">
        <v>127</v>
      </c>
      <c r="C5520">
        <v>340</v>
      </c>
      <c r="D5520">
        <f t="shared" si="192"/>
        <v>2019</v>
      </c>
      <c r="E5520">
        <f t="shared" si="193"/>
        <v>6</v>
      </c>
    </row>
    <row r="5521" spans="1:5" x14ac:dyDescent="0.3">
      <c r="A5521" t="s">
        <v>5646</v>
      </c>
      <c r="B5521" t="s">
        <v>127</v>
      </c>
      <c r="C5521">
        <v>335</v>
      </c>
      <c r="D5521">
        <f t="shared" si="192"/>
        <v>2019</v>
      </c>
      <c r="E5521">
        <f t="shared" si="193"/>
        <v>6</v>
      </c>
    </row>
    <row r="5522" spans="1:5" x14ac:dyDescent="0.3">
      <c r="A5522" t="s">
        <v>5647</v>
      </c>
      <c r="B5522" t="s">
        <v>127</v>
      </c>
      <c r="C5522">
        <v>334</v>
      </c>
      <c r="D5522">
        <f t="shared" si="192"/>
        <v>2019</v>
      </c>
      <c r="E5522">
        <f t="shared" si="193"/>
        <v>6</v>
      </c>
    </row>
    <row r="5523" spans="1:5" x14ac:dyDescent="0.3">
      <c r="A5523" t="s">
        <v>5648</v>
      </c>
      <c r="B5523" t="s">
        <v>127</v>
      </c>
      <c r="C5523">
        <v>329</v>
      </c>
      <c r="D5523">
        <f t="shared" si="192"/>
        <v>2019</v>
      </c>
      <c r="E5523">
        <f t="shared" si="193"/>
        <v>6</v>
      </c>
    </row>
    <row r="5524" spans="1:5" x14ac:dyDescent="0.3">
      <c r="A5524" t="s">
        <v>5649</v>
      </c>
      <c r="B5524" t="s">
        <v>127</v>
      </c>
      <c r="C5524">
        <v>324</v>
      </c>
      <c r="D5524">
        <f t="shared" si="192"/>
        <v>2019</v>
      </c>
      <c r="E5524">
        <f t="shared" si="193"/>
        <v>7</v>
      </c>
    </row>
    <row r="5525" spans="1:5" x14ac:dyDescent="0.3">
      <c r="A5525" t="s">
        <v>5650</v>
      </c>
      <c r="B5525" t="s">
        <v>127</v>
      </c>
      <c r="C5525">
        <v>328</v>
      </c>
      <c r="D5525">
        <f t="shared" si="192"/>
        <v>2019</v>
      </c>
      <c r="E5525">
        <f t="shared" si="193"/>
        <v>7</v>
      </c>
    </row>
    <row r="5526" spans="1:5" x14ac:dyDescent="0.3">
      <c r="A5526" t="s">
        <v>5651</v>
      </c>
      <c r="B5526" t="s">
        <v>127</v>
      </c>
      <c r="C5526">
        <v>327</v>
      </c>
      <c r="D5526">
        <f t="shared" si="192"/>
        <v>2019</v>
      </c>
      <c r="E5526">
        <f t="shared" si="193"/>
        <v>7</v>
      </c>
    </row>
    <row r="5527" spans="1:5" x14ac:dyDescent="0.3">
      <c r="A5527" t="s">
        <v>5652</v>
      </c>
      <c r="B5527" t="s">
        <v>127</v>
      </c>
      <c r="C5527">
        <v>327</v>
      </c>
      <c r="D5527">
        <f t="shared" si="192"/>
        <v>2019</v>
      </c>
      <c r="E5527">
        <f t="shared" si="193"/>
        <v>7</v>
      </c>
    </row>
    <row r="5528" spans="1:5" x14ac:dyDescent="0.3">
      <c r="A5528" t="s">
        <v>5653</v>
      </c>
      <c r="B5528" t="s">
        <v>127</v>
      </c>
      <c r="C5528">
        <v>320</v>
      </c>
      <c r="D5528">
        <f t="shared" si="192"/>
        <v>2019</v>
      </c>
      <c r="E5528">
        <f t="shared" si="193"/>
        <v>7</v>
      </c>
    </row>
    <row r="5529" spans="1:5" x14ac:dyDescent="0.3">
      <c r="A5529" t="s">
        <v>5654</v>
      </c>
      <c r="B5529" t="s">
        <v>127</v>
      </c>
      <c r="C5529">
        <v>320</v>
      </c>
      <c r="D5529">
        <f t="shared" si="192"/>
        <v>2019</v>
      </c>
      <c r="E5529">
        <f t="shared" si="193"/>
        <v>7</v>
      </c>
    </row>
    <row r="5530" spans="1:5" x14ac:dyDescent="0.3">
      <c r="A5530" t="s">
        <v>5655</v>
      </c>
      <c r="B5530" t="s">
        <v>127</v>
      </c>
      <c r="C5530">
        <v>326</v>
      </c>
      <c r="D5530">
        <f t="shared" si="192"/>
        <v>2019</v>
      </c>
      <c r="E5530">
        <f t="shared" si="193"/>
        <v>7</v>
      </c>
    </row>
    <row r="5531" spans="1:5" x14ac:dyDescent="0.3">
      <c r="A5531" t="s">
        <v>5656</v>
      </c>
      <c r="B5531" t="s">
        <v>127</v>
      </c>
      <c r="C5531">
        <v>332</v>
      </c>
      <c r="D5531">
        <f t="shared" si="192"/>
        <v>2019</v>
      </c>
      <c r="E5531">
        <f t="shared" si="193"/>
        <v>7</v>
      </c>
    </row>
    <row r="5532" spans="1:5" x14ac:dyDescent="0.3">
      <c r="A5532" t="s">
        <v>5657</v>
      </c>
      <c r="B5532" t="s">
        <v>127</v>
      </c>
      <c r="C5532">
        <v>328</v>
      </c>
      <c r="D5532">
        <f t="shared" si="192"/>
        <v>2019</v>
      </c>
      <c r="E5532">
        <f t="shared" si="193"/>
        <v>7</v>
      </c>
    </row>
    <row r="5533" spans="1:5" x14ac:dyDescent="0.3">
      <c r="A5533" t="s">
        <v>5658</v>
      </c>
      <c r="B5533" t="s">
        <v>127</v>
      </c>
      <c r="C5533">
        <v>325</v>
      </c>
      <c r="D5533">
        <f t="shared" si="192"/>
        <v>2019</v>
      </c>
      <c r="E5533">
        <f t="shared" si="193"/>
        <v>7</v>
      </c>
    </row>
    <row r="5534" spans="1:5" x14ac:dyDescent="0.3">
      <c r="A5534" t="s">
        <v>5659</v>
      </c>
      <c r="B5534" t="s">
        <v>127</v>
      </c>
      <c r="C5534">
        <v>323</v>
      </c>
      <c r="D5534">
        <f t="shared" si="192"/>
        <v>2019</v>
      </c>
      <c r="E5534">
        <f t="shared" si="193"/>
        <v>7</v>
      </c>
    </row>
    <row r="5535" spans="1:5" x14ac:dyDescent="0.3">
      <c r="A5535" t="s">
        <v>5660</v>
      </c>
      <c r="B5535" t="s">
        <v>127</v>
      </c>
      <c r="C5535">
        <v>325</v>
      </c>
      <c r="D5535">
        <f t="shared" si="192"/>
        <v>2019</v>
      </c>
      <c r="E5535">
        <f t="shared" si="193"/>
        <v>7</v>
      </c>
    </row>
    <row r="5536" spans="1:5" x14ac:dyDescent="0.3">
      <c r="A5536" t="s">
        <v>5661</v>
      </c>
      <c r="B5536" t="s">
        <v>127</v>
      </c>
      <c r="C5536">
        <v>332</v>
      </c>
      <c r="D5536">
        <f t="shared" si="192"/>
        <v>2019</v>
      </c>
      <c r="E5536">
        <f t="shared" si="193"/>
        <v>7</v>
      </c>
    </row>
    <row r="5537" spans="1:5" x14ac:dyDescent="0.3">
      <c r="A5537" t="s">
        <v>5662</v>
      </c>
      <c r="B5537" t="s">
        <v>127</v>
      </c>
      <c r="C5537">
        <v>335</v>
      </c>
      <c r="D5537">
        <f t="shared" si="192"/>
        <v>2019</v>
      </c>
      <c r="E5537">
        <f t="shared" si="193"/>
        <v>7</v>
      </c>
    </row>
    <row r="5538" spans="1:5" x14ac:dyDescent="0.3">
      <c r="A5538" t="s">
        <v>5663</v>
      </c>
      <c r="B5538" t="s">
        <v>127</v>
      </c>
      <c r="C5538">
        <v>334</v>
      </c>
      <c r="D5538">
        <f t="shared" si="192"/>
        <v>2019</v>
      </c>
      <c r="E5538">
        <f t="shared" si="193"/>
        <v>7</v>
      </c>
    </row>
    <row r="5539" spans="1:5" x14ac:dyDescent="0.3">
      <c r="A5539" t="s">
        <v>5664</v>
      </c>
      <c r="B5539" t="s">
        <v>127</v>
      </c>
      <c r="C5539">
        <v>331</v>
      </c>
      <c r="D5539">
        <f t="shared" si="192"/>
        <v>2019</v>
      </c>
      <c r="E5539">
        <f t="shared" si="193"/>
        <v>7</v>
      </c>
    </row>
    <row r="5540" spans="1:5" x14ac:dyDescent="0.3">
      <c r="A5540" t="s">
        <v>5665</v>
      </c>
      <c r="B5540" t="s">
        <v>127</v>
      </c>
      <c r="C5540">
        <v>330</v>
      </c>
      <c r="D5540">
        <f t="shared" si="192"/>
        <v>2019</v>
      </c>
      <c r="E5540">
        <f t="shared" si="193"/>
        <v>7</v>
      </c>
    </row>
    <row r="5541" spans="1:5" x14ac:dyDescent="0.3">
      <c r="A5541" t="s">
        <v>5666</v>
      </c>
      <c r="B5541" t="s">
        <v>127</v>
      </c>
      <c r="C5541">
        <v>329</v>
      </c>
      <c r="D5541">
        <f t="shared" si="192"/>
        <v>2019</v>
      </c>
      <c r="E5541">
        <f t="shared" si="193"/>
        <v>7</v>
      </c>
    </row>
    <row r="5542" spans="1:5" x14ac:dyDescent="0.3">
      <c r="A5542" t="s">
        <v>5667</v>
      </c>
      <c r="B5542" t="s">
        <v>127</v>
      </c>
      <c r="C5542">
        <v>324</v>
      </c>
      <c r="D5542">
        <f t="shared" si="192"/>
        <v>2019</v>
      </c>
      <c r="E5542">
        <f t="shared" si="193"/>
        <v>7</v>
      </c>
    </row>
    <row r="5543" spans="1:5" x14ac:dyDescent="0.3">
      <c r="A5543" t="s">
        <v>5668</v>
      </c>
      <c r="B5543" t="s">
        <v>127</v>
      </c>
      <c r="C5543">
        <v>326</v>
      </c>
      <c r="D5543">
        <f t="shared" si="192"/>
        <v>2019</v>
      </c>
      <c r="E5543">
        <f t="shared" si="193"/>
        <v>7</v>
      </c>
    </row>
    <row r="5544" spans="1:5" x14ac:dyDescent="0.3">
      <c r="A5544" t="s">
        <v>5669</v>
      </c>
      <c r="B5544" t="s">
        <v>127</v>
      </c>
      <c r="C5544">
        <v>323</v>
      </c>
      <c r="D5544">
        <f t="shared" si="192"/>
        <v>2019</v>
      </c>
      <c r="E5544">
        <f t="shared" si="193"/>
        <v>7</v>
      </c>
    </row>
    <row r="5545" spans="1:5" x14ac:dyDescent="0.3">
      <c r="A5545" t="s">
        <v>5670</v>
      </c>
      <c r="B5545" t="s">
        <v>127</v>
      </c>
      <c r="C5545">
        <v>324</v>
      </c>
      <c r="D5545">
        <f t="shared" si="192"/>
        <v>2019</v>
      </c>
      <c r="E5545">
        <f t="shared" si="193"/>
        <v>7</v>
      </c>
    </row>
    <row r="5546" spans="1:5" x14ac:dyDescent="0.3">
      <c r="A5546" t="s">
        <v>5671</v>
      </c>
      <c r="B5546" t="s">
        <v>127</v>
      </c>
      <c r="C5546">
        <v>323</v>
      </c>
      <c r="D5546">
        <f t="shared" si="192"/>
        <v>2019</v>
      </c>
      <c r="E5546">
        <f t="shared" si="193"/>
        <v>7</v>
      </c>
    </row>
    <row r="5547" spans="1:5" x14ac:dyDescent="0.3">
      <c r="A5547" t="s">
        <v>5672</v>
      </c>
      <c r="B5547" t="s">
        <v>127</v>
      </c>
      <c r="C5547">
        <v>334</v>
      </c>
      <c r="D5547">
        <f t="shared" si="192"/>
        <v>2019</v>
      </c>
      <c r="E5547">
        <f t="shared" si="193"/>
        <v>8</v>
      </c>
    </row>
    <row r="5548" spans="1:5" x14ac:dyDescent="0.3">
      <c r="A5548" t="s">
        <v>5673</v>
      </c>
      <c r="B5548" t="s">
        <v>127</v>
      </c>
      <c r="C5548">
        <v>336</v>
      </c>
      <c r="D5548">
        <f t="shared" si="192"/>
        <v>2019</v>
      </c>
      <c r="E5548">
        <f t="shared" si="193"/>
        <v>8</v>
      </c>
    </row>
    <row r="5549" spans="1:5" x14ac:dyDescent="0.3">
      <c r="A5549" t="s">
        <v>5674</v>
      </c>
      <c r="B5549" t="s">
        <v>127</v>
      </c>
      <c r="C5549">
        <v>350</v>
      </c>
      <c r="D5549">
        <f t="shared" si="192"/>
        <v>2019</v>
      </c>
      <c r="E5549">
        <f t="shared" si="193"/>
        <v>8</v>
      </c>
    </row>
    <row r="5550" spans="1:5" x14ac:dyDescent="0.3">
      <c r="A5550" t="s">
        <v>5675</v>
      </c>
      <c r="B5550" t="s">
        <v>127</v>
      </c>
      <c r="C5550">
        <v>348</v>
      </c>
      <c r="D5550">
        <f t="shared" si="192"/>
        <v>2019</v>
      </c>
      <c r="E5550">
        <f t="shared" si="193"/>
        <v>8</v>
      </c>
    </row>
    <row r="5551" spans="1:5" x14ac:dyDescent="0.3">
      <c r="A5551" t="s">
        <v>5676</v>
      </c>
      <c r="B5551" t="s">
        <v>127</v>
      </c>
      <c r="C5551">
        <v>342</v>
      </c>
      <c r="D5551">
        <f t="shared" si="192"/>
        <v>2019</v>
      </c>
      <c r="E5551">
        <f t="shared" si="193"/>
        <v>8</v>
      </c>
    </row>
    <row r="5552" spans="1:5" x14ac:dyDescent="0.3">
      <c r="A5552" t="s">
        <v>5677</v>
      </c>
      <c r="B5552" t="s">
        <v>127</v>
      </c>
      <c r="C5552">
        <v>335</v>
      </c>
      <c r="D5552">
        <f t="shared" si="192"/>
        <v>2019</v>
      </c>
      <c r="E5552">
        <f t="shared" si="193"/>
        <v>8</v>
      </c>
    </row>
    <row r="5553" spans="1:5" x14ac:dyDescent="0.3">
      <c r="A5553" t="s">
        <v>5678</v>
      </c>
      <c r="B5553" t="s">
        <v>127</v>
      </c>
      <c r="C5553">
        <v>331</v>
      </c>
      <c r="D5553">
        <f t="shared" si="192"/>
        <v>2019</v>
      </c>
      <c r="E5553">
        <f t="shared" si="193"/>
        <v>8</v>
      </c>
    </row>
    <row r="5554" spans="1:5" x14ac:dyDescent="0.3">
      <c r="A5554" t="s">
        <v>5679</v>
      </c>
      <c r="B5554" t="s">
        <v>127</v>
      </c>
      <c r="C5554">
        <v>346</v>
      </c>
      <c r="D5554">
        <f t="shared" si="192"/>
        <v>2019</v>
      </c>
      <c r="E5554">
        <f t="shared" si="193"/>
        <v>8</v>
      </c>
    </row>
    <row r="5555" spans="1:5" x14ac:dyDescent="0.3">
      <c r="A5555" t="s">
        <v>5680</v>
      </c>
      <c r="B5555" t="s">
        <v>127</v>
      </c>
      <c r="C5555">
        <v>343</v>
      </c>
      <c r="D5555">
        <f t="shared" si="192"/>
        <v>2019</v>
      </c>
      <c r="E5555">
        <f t="shared" si="193"/>
        <v>8</v>
      </c>
    </row>
    <row r="5556" spans="1:5" x14ac:dyDescent="0.3">
      <c r="A5556" t="s">
        <v>5681</v>
      </c>
      <c r="B5556" t="s">
        <v>127</v>
      </c>
      <c r="C5556">
        <v>352</v>
      </c>
      <c r="D5556">
        <f t="shared" si="192"/>
        <v>2019</v>
      </c>
      <c r="E5556">
        <f t="shared" si="193"/>
        <v>8</v>
      </c>
    </row>
    <row r="5557" spans="1:5" x14ac:dyDescent="0.3">
      <c r="A5557" t="s">
        <v>5682</v>
      </c>
      <c r="B5557" t="s">
        <v>127</v>
      </c>
      <c r="C5557">
        <v>358</v>
      </c>
      <c r="D5557">
        <f t="shared" si="192"/>
        <v>2019</v>
      </c>
      <c r="E5557">
        <f t="shared" si="193"/>
        <v>8</v>
      </c>
    </row>
    <row r="5558" spans="1:5" x14ac:dyDescent="0.3">
      <c r="A5558" t="s">
        <v>5683</v>
      </c>
      <c r="B5558" t="s">
        <v>127</v>
      </c>
      <c r="C5558">
        <v>352</v>
      </c>
      <c r="D5558">
        <f t="shared" si="192"/>
        <v>2019</v>
      </c>
      <c r="E5558">
        <f t="shared" si="193"/>
        <v>8</v>
      </c>
    </row>
    <row r="5559" spans="1:5" x14ac:dyDescent="0.3">
      <c r="A5559" t="s">
        <v>5684</v>
      </c>
      <c r="B5559" t="s">
        <v>127</v>
      </c>
      <c r="C5559">
        <v>350</v>
      </c>
      <c r="D5559">
        <f t="shared" si="192"/>
        <v>2019</v>
      </c>
      <c r="E5559">
        <f t="shared" si="193"/>
        <v>8</v>
      </c>
    </row>
    <row r="5560" spans="1:5" x14ac:dyDescent="0.3">
      <c r="A5560" t="s">
        <v>5685</v>
      </c>
      <c r="B5560" t="s">
        <v>127</v>
      </c>
      <c r="C5560">
        <v>354</v>
      </c>
      <c r="D5560">
        <f t="shared" si="192"/>
        <v>2019</v>
      </c>
      <c r="E5560">
        <f t="shared" si="193"/>
        <v>8</v>
      </c>
    </row>
    <row r="5561" spans="1:5" x14ac:dyDescent="0.3">
      <c r="A5561" t="s">
        <v>5686</v>
      </c>
      <c r="B5561" t="s">
        <v>127</v>
      </c>
      <c r="C5561">
        <v>352</v>
      </c>
      <c r="D5561">
        <f t="shared" si="192"/>
        <v>2019</v>
      </c>
      <c r="E5561">
        <f t="shared" si="193"/>
        <v>8</v>
      </c>
    </row>
    <row r="5562" spans="1:5" x14ac:dyDescent="0.3">
      <c r="A5562" t="s">
        <v>5687</v>
      </c>
      <c r="B5562" t="s">
        <v>127</v>
      </c>
      <c r="C5562">
        <v>349</v>
      </c>
      <c r="D5562">
        <f t="shared" si="192"/>
        <v>2019</v>
      </c>
      <c r="E5562">
        <f t="shared" si="193"/>
        <v>8</v>
      </c>
    </row>
    <row r="5563" spans="1:5" x14ac:dyDescent="0.3">
      <c r="A5563" t="s">
        <v>5688</v>
      </c>
      <c r="B5563" t="s">
        <v>127</v>
      </c>
      <c r="C5563">
        <v>355</v>
      </c>
      <c r="D5563">
        <f t="shared" si="192"/>
        <v>2019</v>
      </c>
      <c r="E5563">
        <f t="shared" si="193"/>
        <v>8</v>
      </c>
    </row>
    <row r="5564" spans="1:5" x14ac:dyDescent="0.3">
      <c r="A5564" t="s">
        <v>5689</v>
      </c>
      <c r="B5564" t="s">
        <v>127</v>
      </c>
      <c r="C5564">
        <v>353</v>
      </c>
      <c r="D5564">
        <f t="shared" si="192"/>
        <v>2019</v>
      </c>
      <c r="E5564">
        <f t="shared" si="193"/>
        <v>8</v>
      </c>
    </row>
    <row r="5565" spans="1:5" x14ac:dyDescent="0.3">
      <c r="A5565" t="s">
        <v>5690</v>
      </c>
      <c r="B5565" t="s">
        <v>127</v>
      </c>
      <c r="C5565">
        <v>357</v>
      </c>
      <c r="D5565">
        <f t="shared" si="192"/>
        <v>2019</v>
      </c>
      <c r="E5565">
        <f t="shared" si="193"/>
        <v>8</v>
      </c>
    </row>
    <row r="5566" spans="1:5" x14ac:dyDescent="0.3">
      <c r="A5566" t="s">
        <v>5691</v>
      </c>
      <c r="B5566" t="s">
        <v>127</v>
      </c>
      <c r="C5566">
        <v>354</v>
      </c>
      <c r="D5566">
        <f t="shared" si="192"/>
        <v>2019</v>
      </c>
      <c r="E5566">
        <f t="shared" si="193"/>
        <v>8</v>
      </c>
    </row>
    <row r="5567" spans="1:5" x14ac:dyDescent="0.3">
      <c r="A5567" t="s">
        <v>5692</v>
      </c>
      <c r="B5567" t="s">
        <v>127</v>
      </c>
      <c r="C5567">
        <v>343</v>
      </c>
      <c r="D5567">
        <f t="shared" si="192"/>
        <v>2019</v>
      </c>
      <c r="E5567">
        <f t="shared" si="193"/>
        <v>8</v>
      </c>
    </row>
    <row r="5568" spans="1:5" x14ac:dyDescent="0.3">
      <c r="A5568" t="s">
        <v>5693</v>
      </c>
      <c r="B5568" t="s">
        <v>127</v>
      </c>
      <c r="C5568">
        <v>334</v>
      </c>
      <c r="D5568">
        <f t="shared" si="192"/>
        <v>2019</v>
      </c>
      <c r="E5568">
        <f t="shared" si="193"/>
        <v>8</v>
      </c>
    </row>
    <row r="5569" spans="1:5" x14ac:dyDescent="0.3">
      <c r="A5569" t="s">
        <v>5694</v>
      </c>
      <c r="B5569" t="s">
        <v>127</v>
      </c>
      <c r="C5569">
        <v>334</v>
      </c>
      <c r="D5569">
        <f t="shared" si="192"/>
        <v>2019</v>
      </c>
      <c r="E5569">
        <f t="shared" si="193"/>
        <v>9</v>
      </c>
    </row>
    <row r="5570" spans="1:5" x14ac:dyDescent="0.3">
      <c r="A5570" t="s">
        <v>5695</v>
      </c>
      <c r="B5570" t="s">
        <v>127</v>
      </c>
      <c r="C5570">
        <v>333</v>
      </c>
      <c r="D5570">
        <f t="shared" si="192"/>
        <v>2019</v>
      </c>
      <c r="E5570">
        <f t="shared" si="193"/>
        <v>9</v>
      </c>
    </row>
    <row r="5571" spans="1:5" x14ac:dyDescent="0.3">
      <c r="A5571" t="s">
        <v>5696</v>
      </c>
      <c r="B5571" t="s">
        <v>127</v>
      </c>
      <c r="C5571">
        <v>331</v>
      </c>
      <c r="D5571">
        <f t="shared" ref="D5571:D5634" si="194">YEAR(A5571)</f>
        <v>2019</v>
      </c>
      <c r="E5571">
        <f t="shared" ref="E5571:E5634" si="195">MONTH(A5571)</f>
        <v>9</v>
      </c>
    </row>
    <row r="5572" spans="1:5" x14ac:dyDescent="0.3">
      <c r="A5572" t="s">
        <v>5697</v>
      </c>
      <c r="B5572" t="s">
        <v>127</v>
      </c>
      <c r="C5572">
        <v>326</v>
      </c>
      <c r="D5572">
        <f t="shared" si="194"/>
        <v>2019</v>
      </c>
      <c r="E5572">
        <f t="shared" si="195"/>
        <v>9</v>
      </c>
    </row>
    <row r="5573" spans="1:5" x14ac:dyDescent="0.3">
      <c r="A5573" t="s">
        <v>5698</v>
      </c>
      <c r="B5573" t="s">
        <v>127</v>
      </c>
      <c r="C5573">
        <v>331</v>
      </c>
      <c r="D5573">
        <f t="shared" si="194"/>
        <v>2019</v>
      </c>
      <c r="E5573">
        <f t="shared" si="195"/>
        <v>9</v>
      </c>
    </row>
    <row r="5574" spans="1:5" x14ac:dyDescent="0.3">
      <c r="A5574" t="s">
        <v>5699</v>
      </c>
      <c r="B5574" t="s">
        <v>127</v>
      </c>
      <c r="C5574">
        <v>327</v>
      </c>
      <c r="D5574">
        <f t="shared" si="194"/>
        <v>2019</v>
      </c>
      <c r="E5574">
        <f t="shared" si="195"/>
        <v>9</v>
      </c>
    </row>
    <row r="5575" spans="1:5" x14ac:dyDescent="0.3">
      <c r="A5575" t="s">
        <v>5700</v>
      </c>
      <c r="B5575" t="s">
        <v>127</v>
      </c>
      <c r="C5575">
        <v>325</v>
      </c>
      <c r="D5575">
        <f t="shared" si="194"/>
        <v>2019</v>
      </c>
      <c r="E5575">
        <f t="shared" si="195"/>
        <v>9</v>
      </c>
    </row>
    <row r="5576" spans="1:5" x14ac:dyDescent="0.3">
      <c r="A5576" t="s">
        <v>5701</v>
      </c>
      <c r="B5576" t="s">
        <v>127</v>
      </c>
      <c r="C5576">
        <v>318</v>
      </c>
      <c r="D5576">
        <f t="shared" si="194"/>
        <v>2019</v>
      </c>
      <c r="E5576">
        <f t="shared" si="195"/>
        <v>9</v>
      </c>
    </row>
    <row r="5577" spans="1:5" x14ac:dyDescent="0.3">
      <c r="A5577" t="s">
        <v>5702</v>
      </c>
      <c r="B5577" t="s">
        <v>127</v>
      </c>
      <c r="C5577">
        <v>312</v>
      </c>
      <c r="D5577">
        <f t="shared" si="194"/>
        <v>2019</v>
      </c>
      <c r="E5577">
        <f t="shared" si="195"/>
        <v>9</v>
      </c>
    </row>
    <row r="5578" spans="1:5" x14ac:dyDescent="0.3">
      <c r="A5578" t="s">
        <v>5703</v>
      </c>
      <c r="B5578" t="s">
        <v>127</v>
      </c>
      <c r="C5578">
        <v>308</v>
      </c>
      <c r="D5578">
        <f t="shared" si="194"/>
        <v>2019</v>
      </c>
      <c r="E5578">
        <f t="shared" si="195"/>
        <v>9</v>
      </c>
    </row>
    <row r="5579" spans="1:5" x14ac:dyDescent="0.3">
      <c r="A5579" t="s">
        <v>5704</v>
      </c>
      <c r="B5579" t="s">
        <v>127</v>
      </c>
      <c r="C5579">
        <v>313</v>
      </c>
      <c r="D5579">
        <f t="shared" si="194"/>
        <v>2019</v>
      </c>
      <c r="E5579">
        <f t="shared" si="195"/>
        <v>9</v>
      </c>
    </row>
    <row r="5580" spans="1:5" x14ac:dyDescent="0.3">
      <c r="A5580" t="s">
        <v>5705</v>
      </c>
      <c r="B5580" t="s">
        <v>127</v>
      </c>
      <c r="C5580">
        <v>317</v>
      </c>
      <c r="D5580">
        <f t="shared" si="194"/>
        <v>2019</v>
      </c>
      <c r="E5580">
        <f t="shared" si="195"/>
        <v>9</v>
      </c>
    </row>
    <row r="5581" spans="1:5" x14ac:dyDescent="0.3">
      <c r="A5581" t="s">
        <v>5706</v>
      </c>
      <c r="B5581" t="s">
        <v>127</v>
      </c>
      <c r="C5581">
        <v>315</v>
      </c>
      <c r="D5581">
        <f t="shared" si="194"/>
        <v>2019</v>
      </c>
      <c r="E5581">
        <f t="shared" si="195"/>
        <v>9</v>
      </c>
    </row>
    <row r="5582" spans="1:5" x14ac:dyDescent="0.3">
      <c r="A5582" t="s">
        <v>5707</v>
      </c>
      <c r="B5582" t="s">
        <v>127</v>
      </c>
      <c r="C5582">
        <v>312</v>
      </c>
      <c r="D5582">
        <f t="shared" si="194"/>
        <v>2019</v>
      </c>
      <c r="E5582">
        <f t="shared" si="195"/>
        <v>9</v>
      </c>
    </row>
    <row r="5583" spans="1:5" x14ac:dyDescent="0.3">
      <c r="A5583" t="s">
        <v>5708</v>
      </c>
      <c r="B5583" t="s">
        <v>127</v>
      </c>
      <c r="C5583">
        <v>309</v>
      </c>
      <c r="D5583">
        <f t="shared" si="194"/>
        <v>2019</v>
      </c>
      <c r="E5583">
        <f t="shared" si="195"/>
        <v>9</v>
      </c>
    </row>
    <row r="5584" spans="1:5" x14ac:dyDescent="0.3">
      <c r="A5584" t="s">
        <v>5709</v>
      </c>
      <c r="B5584" t="s">
        <v>127</v>
      </c>
      <c r="C5584">
        <v>312</v>
      </c>
      <c r="D5584">
        <f t="shared" si="194"/>
        <v>2019</v>
      </c>
      <c r="E5584">
        <f t="shared" si="195"/>
        <v>9</v>
      </c>
    </row>
    <row r="5585" spans="1:5" x14ac:dyDescent="0.3">
      <c r="A5585" t="s">
        <v>5710</v>
      </c>
      <c r="B5585" t="s">
        <v>127</v>
      </c>
      <c r="C5585">
        <v>322</v>
      </c>
      <c r="D5585">
        <f t="shared" si="194"/>
        <v>2019</v>
      </c>
      <c r="E5585">
        <f t="shared" si="195"/>
        <v>9</v>
      </c>
    </row>
    <row r="5586" spans="1:5" x14ac:dyDescent="0.3">
      <c r="A5586" t="s">
        <v>5711</v>
      </c>
      <c r="B5586" t="s">
        <v>127</v>
      </c>
      <c r="C5586">
        <v>320</v>
      </c>
      <c r="D5586">
        <f t="shared" si="194"/>
        <v>2019</v>
      </c>
      <c r="E5586">
        <f t="shared" si="195"/>
        <v>9</v>
      </c>
    </row>
    <row r="5587" spans="1:5" x14ac:dyDescent="0.3">
      <c r="A5587" t="s">
        <v>5712</v>
      </c>
      <c r="B5587" t="s">
        <v>127</v>
      </c>
      <c r="C5587">
        <v>319</v>
      </c>
      <c r="D5587">
        <f t="shared" si="194"/>
        <v>2019</v>
      </c>
      <c r="E5587">
        <f t="shared" si="195"/>
        <v>9</v>
      </c>
    </row>
    <row r="5588" spans="1:5" x14ac:dyDescent="0.3">
      <c r="A5588" t="s">
        <v>5713</v>
      </c>
      <c r="B5588" t="s">
        <v>127</v>
      </c>
      <c r="C5588">
        <v>319</v>
      </c>
      <c r="D5588">
        <f t="shared" si="194"/>
        <v>2019</v>
      </c>
      <c r="E5588">
        <f t="shared" si="195"/>
        <v>9</v>
      </c>
    </row>
    <row r="5589" spans="1:5" x14ac:dyDescent="0.3">
      <c r="A5589" t="s">
        <v>5714</v>
      </c>
      <c r="B5589" t="s">
        <v>127</v>
      </c>
      <c r="C5589">
        <v>317</v>
      </c>
      <c r="D5589">
        <f t="shared" si="194"/>
        <v>2019</v>
      </c>
      <c r="E5589">
        <f t="shared" si="195"/>
        <v>9</v>
      </c>
    </row>
    <row r="5590" spans="1:5" x14ac:dyDescent="0.3">
      <c r="A5590" t="s">
        <v>5715</v>
      </c>
      <c r="B5590" t="s">
        <v>127</v>
      </c>
      <c r="C5590">
        <v>321</v>
      </c>
      <c r="D5590">
        <f t="shared" si="194"/>
        <v>2019</v>
      </c>
      <c r="E5590">
        <f t="shared" si="195"/>
        <v>10</v>
      </c>
    </row>
    <row r="5591" spans="1:5" x14ac:dyDescent="0.3">
      <c r="A5591" t="s">
        <v>5716</v>
      </c>
      <c r="B5591" t="s">
        <v>127</v>
      </c>
      <c r="C5591">
        <v>327</v>
      </c>
      <c r="D5591">
        <f t="shared" si="194"/>
        <v>2019</v>
      </c>
      <c r="E5591">
        <f t="shared" si="195"/>
        <v>10</v>
      </c>
    </row>
    <row r="5592" spans="1:5" x14ac:dyDescent="0.3">
      <c r="A5592" t="s">
        <v>5717</v>
      </c>
      <c r="B5592" t="s">
        <v>127</v>
      </c>
      <c r="C5592">
        <v>329</v>
      </c>
      <c r="D5592">
        <f t="shared" si="194"/>
        <v>2019</v>
      </c>
      <c r="E5592">
        <f t="shared" si="195"/>
        <v>10</v>
      </c>
    </row>
    <row r="5593" spans="1:5" x14ac:dyDescent="0.3">
      <c r="A5593" t="s">
        <v>5718</v>
      </c>
      <c r="B5593" t="s">
        <v>127</v>
      </c>
      <c r="C5593">
        <v>327</v>
      </c>
      <c r="D5593">
        <f t="shared" si="194"/>
        <v>2019</v>
      </c>
      <c r="E5593">
        <f t="shared" si="195"/>
        <v>10</v>
      </c>
    </row>
    <row r="5594" spans="1:5" x14ac:dyDescent="0.3">
      <c r="A5594" t="s">
        <v>5719</v>
      </c>
      <c r="B5594" t="s">
        <v>127</v>
      </c>
      <c r="C5594">
        <v>322</v>
      </c>
      <c r="D5594">
        <f t="shared" si="194"/>
        <v>2019</v>
      </c>
      <c r="E5594">
        <f t="shared" si="195"/>
        <v>10</v>
      </c>
    </row>
    <row r="5595" spans="1:5" x14ac:dyDescent="0.3">
      <c r="A5595" t="s">
        <v>5720</v>
      </c>
      <c r="B5595" t="s">
        <v>127</v>
      </c>
      <c r="C5595">
        <v>326</v>
      </c>
      <c r="D5595">
        <f t="shared" si="194"/>
        <v>2019</v>
      </c>
      <c r="E5595">
        <f t="shared" si="195"/>
        <v>10</v>
      </c>
    </row>
    <row r="5596" spans="1:5" x14ac:dyDescent="0.3">
      <c r="A5596" t="s">
        <v>5721</v>
      </c>
      <c r="B5596" t="s">
        <v>127</v>
      </c>
      <c r="C5596">
        <v>322</v>
      </c>
      <c r="D5596">
        <f t="shared" si="194"/>
        <v>2019</v>
      </c>
      <c r="E5596">
        <f t="shared" si="195"/>
        <v>10</v>
      </c>
    </row>
    <row r="5597" spans="1:5" x14ac:dyDescent="0.3">
      <c r="A5597" t="s">
        <v>5722</v>
      </c>
      <c r="B5597" t="s">
        <v>127</v>
      </c>
      <c r="C5597">
        <v>316</v>
      </c>
      <c r="D5597">
        <f t="shared" si="194"/>
        <v>2019</v>
      </c>
      <c r="E5597">
        <f t="shared" si="195"/>
        <v>10</v>
      </c>
    </row>
    <row r="5598" spans="1:5" x14ac:dyDescent="0.3">
      <c r="A5598" t="s">
        <v>5723</v>
      </c>
      <c r="B5598" t="s">
        <v>127</v>
      </c>
      <c r="C5598">
        <v>309</v>
      </c>
      <c r="D5598">
        <f t="shared" si="194"/>
        <v>2019</v>
      </c>
      <c r="E5598">
        <f t="shared" si="195"/>
        <v>10</v>
      </c>
    </row>
    <row r="5599" spans="1:5" x14ac:dyDescent="0.3">
      <c r="A5599" t="s">
        <v>5724</v>
      </c>
      <c r="B5599" t="s">
        <v>127</v>
      </c>
      <c r="C5599">
        <v>309</v>
      </c>
      <c r="D5599">
        <f t="shared" si="194"/>
        <v>2019</v>
      </c>
      <c r="E5599">
        <f t="shared" si="195"/>
        <v>10</v>
      </c>
    </row>
    <row r="5600" spans="1:5" x14ac:dyDescent="0.3">
      <c r="A5600" t="s">
        <v>5725</v>
      </c>
      <c r="B5600" t="s">
        <v>127</v>
      </c>
      <c r="C5600">
        <v>307</v>
      </c>
      <c r="D5600">
        <f t="shared" si="194"/>
        <v>2019</v>
      </c>
      <c r="E5600">
        <f t="shared" si="195"/>
        <v>10</v>
      </c>
    </row>
    <row r="5601" spans="1:5" x14ac:dyDescent="0.3">
      <c r="A5601" t="s">
        <v>5726</v>
      </c>
      <c r="B5601" t="s">
        <v>127</v>
      </c>
      <c r="C5601">
        <v>307</v>
      </c>
      <c r="D5601">
        <f t="shared" si="194"/>
        <v>2019</v>
      </c>
      <c r="E5601">
        <f t="shared" si="195"/>
        <v>10</v>
      </c>
    </row>
    <row r="5602" spans="1:5" x14ac:dyDescent="0.3">
      <c r="A5602" t="s">
        <v>5727</v>
      </c>
      <c r="B5602" t="s">
        <v>127</v>
      </c>
      <c r="C5602">
        <v>305</v>
      </c>
      <c r="D5602">
        <f t="shared" si="194"/>
        <v>2019</v>
      </c>
      <c r="E5602">
        <f t="shared" si="195"/>
        <v>10</v>
      </c>
    </row>
    <row r="5603" spans="1:5" x14ac:dyDescent="0.3">
      <c r="A5603" t="s">
        <v>5728</v>
      </c>
      <c r="B5603" t="s">
        <v>127</v>
      </c>
      <c r="C5603">
        <v>303</v>
      </c>
      <c r="D5603">
        <f t="shared" si="194"/>
        <v>2019</v>
      </c>
      <c r="E5603">
        <f t="shared" si="195"/>
        <v>10</v>
      </c>
    </row>
    <row r="5604" spans="1:5" x14ac:dyDescent="0.3">
      <c r="A5604" t="s">
        <v>5729</v>
      </c>
      <c r="B5604" t="s">
        <v>127</v>
      </c>
      <c r="C5604">
        <v>297</v>
      </c>
      <c r="D5604">
        <f t="shared" si="194"/>
        <v>2019</v>
      </c>
      <c r="E5604">
        <f t="shared" si="195"/>
        <v>10</v>
      </c>
    </row>
    <row r="5605" spans="1:5" x14ac:dyDescent="0.3">
      <c r="A5605" t="s">
        <v>5730</v>
      </c>
      <c r="B5605" t="s">
        <v>127</v>
      </c>
      <c r="C5605">
        <v>297</v>
      </c>
      <c r="D5605">
        <f t="shared" si="194"/>
        <v>2019</v>
      </c>
      <c r="E5605">
        <f t="shared" si="195"/>
        <v>10</v>
      </c>
    </row>
    <row r="5606" spans="1:5" x14ac:dyDescent="0.3">
      <c r="A5606" t="s">
        <v>5731</v>
      </c>
      <c r="B5606" t="s">
        <v>127</v>
      </c>
      <c r="C5606">
        <v>297</v>
      </c>
      <c r="D5606">
        <f t="shared" si="194"/>
        <v>2019</v>
      </c>
      <c r="E5606">
        <f t="shared" si="195"/>
        <v>10</v>
      </c>
    </row>
    <row r="5607" spans="1:5" x14ac:dyDescent="0.3">
      <c r="A5607" t="s">
        <v>5732</v>
      </c>
      <c r="B5607" t="s">
        <v>127</v>
      </c>
      <c r="C5607">
        <v>297</v>
      </c>
      <c r="D5607">
        <f t="shared" si="194"/>
        <v>2019</v>
      </c>
      <c r="E5607">
        <f t="shared" si="195"/>
        <v>10</v>
      </c>
    </row>
    <row r="5608" spans="1:5" x14ac:dyDescent="0.3">
      <c r="A5608" t="s">
        <v>5733</v>
      </c>
      <c r="B5608" t="s">
        <v>127</v>
      </c>
      <c r="C5608">
        <v>294</v>
      </c>
      <c r="D5608">
        <f t="shared" si="194"/>
        <v>2019</v>
      </c>
      <c r="E5608">
        <f t="shared" si="195"/>
        <v>10</v>
      </c>
    </row>
    <row r="5609" spans="1:5" x14ac:dyDescent="0.3">
      <c r="A5609" t="s">
        <v>5734</v>
      </c>
      <c r="B5609" t="s">
        <v>127</v>
      </c>
      <c r="C5609">
        <v>289</v>
      </c>
      <c r="D5609">
        <f t="shared" si="194"/>
        <v>2019</v>
      </c>
      <c r="E5609">
        <f t="shared" si="195"/>
        <v>10</v>
      </c>
    </row>
    <row r="5610" spans="1:5" x14ac:dyDescent="0.3">
      <c r="A5610" t="s">
        <v>5735</v>
      </c>
      <c r="B5610" t="s">
        <v>127</v>
      </c>
      <c r="C5610">
        <v>287</v>
      </c>
      <c r="D5610">
        <f t="shared" si="194"/>
        <v>2019</v>
      </c>
      <c r="E5610">
        <f t="shared" si="195"/>
        <v>10</v>
      </c>
    </row>
    <row r="5611" spans="1:5" x14ac:dyDescent="0.3">
      <c r="A5611" t="s">
        <v>5736</v>
      </c>
      <c r="B5611" t="s">
        <v>127</v>
      </c>
      <c r="C5611">
        <v>296</v>
      </c>
      <c r="D5611">
        <f t="shared" si="194"/>
        <v>2019</v>
      </c>
      <c r="E5611">
        <f t="shared" si="195"/>
        <v>10</v>
      </c>
    </row>
    <row r="5612" spans="1:5" x14ac:dyDescent="0.3">
      <c r="A5612" t="s">
        <v>5737</v>
      </c>
      <c r="B5612" t="s">
        <v>127</v>
      </c>
      <c r="C5612">
        <v>320</v>
      </c>
      <c r="D5612">
        <f t="shared" si="194"/>
        <v>2019</v>
      </c>
      <c r="E5612">
        <f t="shared" si="195"/>
        <v>10</v>
      </c>
    </row>
    <row r="5613" spans="1:5" x14ac:dyDescent="0.3">
      <c r="A5613" t="s">
        <v>5738</v>
      </c>
      <c r="B5613" t="s">
        <v>127</v>
      </c>
      <c r="C5613">
        <v>315</v>
      </c>
      <c r="D5613">
        <f t="shared" si="194"/>
        <v>2019</v>
      </c>
      <c r="E5613">
        <f t="shared" si="195"/>
        <v>11</v>
      </c>
    </row>
    <row r="5614" spans="1:5" x14ac:dyDescent="0.3">
      <c r="A5614" t="s">
        <v>5739</v>
      </c>
      <c r="B5614" t="s">
        <v>127</v>
      </c>
      <c r="C5614">
        <v>312</v>
      </c>
      <c r="D5614">
        <f t="shared" si="194"/>
        <v>2019</v>
      </c>
      <c r="E5614">
        <f t="shared" si="195"/>
        <v>11</v>
      </c>
    </row>
    <row r="5615" spans="1:5" x14ac:dyDescent="0.3">
      <c r="A5615" t="s">
        <v>5740</v>
      </c>
      <c r="B5615" t="s">
        <v>127</v>
      </c>
      <c r="C5615">
        <v>311</v>
      </c>
      <c r="D5615">
        <f t="shared" si="194"/>
        <v>2019</v>
      </c>
      <c r="E5615">
        <f t="shared" si="195"/>
        <v>11</v>
      </c>
    </row>
    <row r="5616" spans="1:5" x14ac:dyDescent="0.3">
      <c r="A5616" t="s">
        <v>5741</v>
      </c>
      <c r="B5616" t="s">
        <v>127</v>
      </c>
      <c r="C5616">
        <v>314</v>
      </c>
      <c r="D5616">
        <f t="shared" si="194"/>
        <v>2019</v>
      </c>
      <c r="E5616">
        <f t="shared" si="195"/>
        <v>11</v>
      </c>
    </row>
    <row r="5617" spans="1:5" x14ac:dyDescent="0.3">
      <c r="A5617" t="s">
        <v>5742</v>
      </c>
      <c r="B5617" t="s">
        <v>127</v>
      </c>
      <c r="C5617">
        <v>308</v>
      </c>
      <c r="D5617">
        <f t="shared" si="194"/>
        <v>2019</v>
      </c>
      <c r="E5617">
        <f t="shared" si="195"/>
        <v>11</v>
      </c>
    </row>
    <row r="5618" spans="1:5" x14ac:dyDescent="0.3">
      <c r="A5618" t="s">
        <v>5743</v>
      </c>
      <c r="B5618" t="s">
        <v>127</v>
      </c>
      <c r="C5618">
        <v>308</v>
      </c>
      <c r="D5618">
        <f t="shared" si="194"/>
        <v>2019</v>
      </c>
      <c r="E5618">
        <f t="shared" si="195"/>
        <v>11</v>
      </c>
    </row>
    <row r="5619" spans="1:5" x14ac:dyDescent="0.3">
      <c r="A5619" t="s">
        <v>5744</v>
      </c>
      <c r="B5619" t="s">
        <v>127</v>
      </c>
      <c r="C5619">
        <v>308</v>
      </c>
      <c r="D5619">
        <f t="shared" si="194"/>
        <v>2019</v>
      </c>
      <c r="E5619">
        <f t="shared" si="195"/>
        <v>11</v>
      </c>
    </row>
    <row r="5620" spans="1:5" x14ac:dyDescent="0.3">
      <c r="A5620" t="s">
        <v>5745</v>
      </c>
      <c r="B5620" t="s">
        <v>127</v>
      </c>
      <c r="C5620">
        <v>312</v>
      </c>
      <c r="D5620">
        <f t="shared" si="194"/>
        <v>2019</v>
      </c>
      <c r="E5620">
        <f t="shared" si="195"/>
        <v>11</v>
      </c>
    </row>
    <row r="5621" spans="1:5" x14ac:dyDescent="0.3">
      <c r="A5621" t="s">
        <v>5746</v>
      </c>
      <c r="B5621" t="s">
        <v>127</v>
      </c>
      <c r="C5621">
        <v>315</v>
      </c>
      <c r="D5621">
        <f t="shared" si="194"/>
        <v>2019</v>
      </c>
      <c r="E5621">
        <f t="shared" si="195"/>
        <v>11</v>
      </c>
    </row>
    <row r="5622" spans="1:5" x14ac:dyDescent="0.3">
      <c r="A5622" t="s">
        <v>5747</v>
      </c>
      <c r="B5622" t="s">
        <v>127</v>
      </c>
      <c r="C5622">
        <v>317</v>
      </c>
      <c r="D5622">
        <f t="shared" si="194"/>
        <v>2019</v>
      </c>
      <c r="E5622">
        <f t="shared" si="195"/>
        <v>11</v>
      </c>
    </row>
    <row r="5623" spans="1:5" x14ac:dyDescent="0.3">
      <c r="A5623" t="s">
        <v>5748</v>
      </c>
      <c r="B5623" t="s">
        <v>127</v>
      </c>
      <c r="C5623">
        <v>317</v>
      </c>
      <c r="D5623">
        <f t="shared" si="194"/>
        <v>2019</v>
      </c>
      <c r="E5623">
        <f t="shared" si="195"/>
        <v>11</v>
      </c>
    </row>
    <row r="5624" spans="1:5" x14ac:dyDescent="0.3">
      <c r="A5624" t="s">
        <v>5749</v>
      </c>
      <c r="B5624" t="s">
        <v>127</v>
      </c>
      <c r="C5624">
        <v>319</v>
      </c>
      <c r="D5624">
        <f t="shared" si="194"/>
        <v>2019</v>
      </c>
      <c r="E5624">
        <f t="shared" si="195"/>
        <v>11</v>
      </c>
    </row>
    <row r="5625" spans="1:5" x14ac:dyDescent="0.3">
      <c r="A5625" t="s">
        <v>5750</v>
      </c>
      <c r="B5625" t="s">
        <v>127</v>
      </c>
      <c r="C5625">
        <v>327</v>
      </c>
      <c r="D5625">
        <f t="shared" si="194"/>
        <v>2019</v>
      </c>
      <c r="E5625">
        <f t="shared" si="195"/>
        <v>11</v>
      </c>
    </row>
    <row r="5626" spans="1:5" x14ac:dyDescent="0.3">
      <c r="A5626" t="s">
        <v>5751</v>
      </c>
      <c r="B5626" t="s">
        <v>127</v>
      </c>
      <c r="C5626">
        <v>332</v>
      </c>
      <c r="D5626">
        <f t="shared" si="194"/>
        <v>2019</v>
      </c>
      <c r="E5626">
        <f t="shared" si="195"/>
        <v>11</v>
      </c>
    </row>
    <row r="5627" spans="1:5" x14ac:dyDescent="0.3">
      <c r="A5627" t="s">
        <v>5752</v>
      </c>
      <c r="B5627" t="s">
        <v>127</v>
      </c>
      <c r="C5627">
        <v>326</v>
      </c>
      <c r="D5627">
        <f t="shared" si="194"/>
        <v>2019</v>
      </c>
      <c r="E5627">
        <f t="shared" si="195"/>
        <v>11</v>
      </c>
    </row>
    <row r="5628" spans="1:5" x14ac:dyDescent="0.3">
      <c r="A5628" t="s">
        <v>5753</v>
      </c>
      <c r="B5628" t="s">
        <v>127</v>
      </c>
      <c r="C5628">
        <v>321</v>
      </c>
      <c r="D5628">
        <f t="shared" si="194"/>
        <v>2019</v>
      </c>
      <c r="E5628">
        <f t="shared" si="195"/>
        <v>11</v>
      </c>
    </row>
    <row r="5629" spans="1:5" x14ac:dyDescent="0.3">
      <c r="A5629" t="s">
        <v>5754</v>
      </c>
      <c r="B5629" t="s">
        <v>127</v>
      </c>
      <c r="C5629">
        <v>321</v>
      </c>
      <c r="D5629">
        <f t="shared" si="194"/>
        <v>2019</v>
      </c>
      <c r="E5629">
        <f t="shared" si="195"/>
        <v>11</v>
      </c>
    </row>
    <row r="5630" spans="1:5" x14ac:dyDescent="0.3">
      <c r="A5630" t="s">
        <v>5755</v>
      </c>
      <c r="B5630" t="s">
        <v>127</v>
      </c>
      <c r="C5630">
        <v>322</v>
      </c>
      <c r="D5630">
        <f t="shared" si="194"/>
        <v>2019</v>
      </c>
      <c r="E5630">
        <f t="shared" si="195"/>
        <v>11</v>
      </c>
    </row>
    <row r="5631" spans="1:5" x14ac:dyDescent="0.3">
      <c r="A5631" t="s">
        <v>5756</v>
      </c>
      <c r="B5631" t="s">
        <v>127</v>
      </c>
      <c r="C5631">
        <v>321</v>
      </c>
      <c r="D5631">
        <f t="shared" si="194"/>
        <v>2019</v>
      </c>
      <c r="E5631">
        <f t="shared" si="195"/>
        <v>11</v>
      </c>
    </row>
    <row r="5632" spans="1:5" x14ac:dyDescent="0.3">
      <c r="A5632" t="s">
        <v>5757</v>
      </c>
      <c r="B5632" t="s">
        <v>127</v>
      </c>
      <c r="C5632">
        <v>321</v>
      </c>
      <c r="D5632">
        <f t="shared" si="194"/>
        <v>2019</v>
      </c>
      <c r="E5632">
        <f t="shared" si="195"/>
        <v>11</v>
      </c>
    </row>
    <row r="5633" spans="1:5" x14ac:dyDescent="0.3">
      <c r="A5633" t="s">
        <v>5758</v>
      </c>
      <c r="B5633" t="s">
        <v>127</v>
      </c>
      <c r="C5633">
        <v>320</v>
      </c>
      <c r="D5633">
        <f t="shared" si="194"/>
        <v>2019</v>
      </c>
      <c r="E5633">
        <f t="shared" si="195"/>
        <v>11</v>
      </c>
    </row>
    <row r="5634" spans="1:5" x14ac:dyDescent="0.3">
      <c r="A5634" t="s">
        <v>5759</v>
      </c>
      <c r="B5634" t="s">
        <v>127</v>
      </c>
      <c r="C5634">
        <v>321</v>
      </c>
      <c r="D5634">
        <f t="shared" si="194"/>
        <v>2019</v>
      </c>
      <c r="E5634">
        <f t="shared" si="195"/>
        <v>12</v>
      </c>
    </row>
    <row r="5635" spans="1:5" x14ac:dyDescent="0.3">
      <c r="A5635" t="s">
        <v>5760</v>
      </c>
      <c r="B5635" t="s">
        <v>127</v>
      </c>
      <c r="C5635">
        <v>335</v>
      </c>
      <c r="D5635">
        <f t="shared" ref="D5635:D5698" si="196">YEAR(A5635)</f>
        <v>2019</v>
      </c>
      <c r="E5635">
        <f t="shared" ref="E5635:E5698" si="197">MONTH(A5635)</f>
        <v>12</v>
      </c>
    </row>
    <row r="5636" spans="1:5" x14ac:dyDescent="0.3">
      <c r="A5636" t="s">
        <v>5761</v>
      </c>
      <c r="B5636" t="s">
        <v>127</v>
      </c>
      <c r="C5636">
        <v>327</v>
      </c>
      <c r="D5636">
        <f t="shared" si="196"/>
        <v>2019</v>
      </c>
      <c r="E5636">
        <f t="shared" si="197"/>
        <v>12</v>
      </c>
    </row>
    <row r="5637" spans="1:5" x14ac:dyDescent="0.3">
      <c r="A5637" t="s">
        <v>5762</v>
      </c>
      <c r="B5637" t="s">
        <v>127</v>
      </c>
      <c r="C5637">
        <v>321</v>
      </c>
      <c r="D5637">
        <f t="shared" si="196"/>
        <v>2019</v>
      </c>
      <c r="E5637">
        <f t="shared" si="197"/>
        <v>12</v>
      </c>
    </row>
    <row r="5638" spans="1:5" x14ac:dyDescent="0.3">
      <c r="A5638" t="s">
        <v>5763</v>
      </c>
      <c r="B5638" t="s">
        <v>127</v>
      </c>
      <c r="C5638">
        <v>314</v>
      </c>
      <c r="D5638">
        <f t="shared" si="196"/>
        <v>2019</v>
      </c>
      <c r="E5638">
        <f t="shared" si="197"/>
        <v>12</v>
      </c>
    </row>
    <row r="5639" spans="1:5" x14ac:dyDescent="0.3">
      <c r="A5639" t="s">
        <v>5764</v>
      </c>
      <c r="B5639" t="s">
        <v>127</v>
      </c>
      <c r="C5639">
        <v>313</v>
      </c>
      <c r="D5639">
        <f t="shared" si="196"/>
        <v>2019</v>
      </c>
      <c r="E5639">
        <f t="shared" si="197"/>
        <v>12</v>
      </c>
    </row>
    <row r="5640" spans="1:5" x14ac:dyDescent="0.3">
      <c r="A5640" t="s">
        <v>5765</v>
      </c>
      <c r="B5640" t="s">
        <v>127</v>
      </c>
      <c r="C5640">
        <v>311</v>
      </c>
      <c r="D5640">
        <f t="shared" si="196"/>
        <v>2019</v>
      </c>
      <c r="E5640">
        <f t="shared" si="197"/>
        <v>12</v>
      </c>
    </row>
    <row r="5641" spans="1:5" x14ac:dyDescent="0.3">
      <c r="A5641" t="s">
        <v>5766</v>
      </c>
      <c r="B5641" t="s">
        <v>127</v>
      </c>
      <c r="C5641">
        <v>315</v>
      </c>
      <c r="D5641">
        <f t="shared" si="196"/>
        <v>2019</v>
      </c>
      <c r="E5641">
        <f t="shared" si="197"/>
        <v>12</v>
      </c>
    </row>
    <row r="5642" spans="1:5" x14ac:dyDescent="0.3">
      <c r="A5642" t="s">
        <v>5767</v>
      </c>
      <c r="B5642" t="s">
        <v>127</v>
      </c>
      <c r="C5642">
        <v>304</v>
      </c>
      <c r="D5642">
        <f t="shared" si="196"/>
        <v>2019</v>
      </c>
      <c r="E5642">
        <f t="shared" si="197"/>
        <v>12</v>
      </c>
    </row>
    <row r="5643" spans="1:5" x14ac:dyDescent="0.3">
      <c r="A5643" t="s">
        <v>5768</v>
      </c>
      <c r="B5643" t="s">
        <v>127</v>
      </c>
      <c r="C5643">
        <v>307</v>
      </c>
      <c r="D5643">
        <f t="shared" si="196"/>
        <v>2019</v>
      </c>
      <c r="E5643">
        <f t="shared" si="197"/>
        <v>12</v>
      </c>
    </row>
    <row r="5644" spans="1:5" x14ac:dyDescent="0.3">
      <c r="A5644" t="s">
        <v>5769</v>
      </c>
      <c r="B5644" t="s">
        <v>127</v>
      </c>
      <c r="C5644">
        <v>296</v>
      </c>
      <c r="D5644">
        <f t="shared" si="196"/>
        <v>2019</v>
      </c>
      <c r="E5644">
        <f t="shared" si="197"/>
        <v>12</v>
      </c>
    </row>
    <row r="5645" spans="1:5" x14ac:dyDescent="0.3">
      <c r="A5645" t="s">
        <v>5770</v>
      </c>
      <c r="B5645" t="s">
        <v>127</v>
      </c>
      <c r="C5645">
        <v>293</v>
      </c>
      <c r="D5645">
        <f t="shared" si="196"/>
        <v>2019</v>
      </c>
      <c r="E5645">
        <f t="shared" si="197"/>
        <v>12</v>
      </c>
    </row>
    <row r="5646" spans="1:5" x14ac:dyDescent="0.3">
      <c r="A5646" t="s">
        <v>5771</v>
      </c>
      <c r="B5646" t="s">
        <v>127</v>
      </c>
      <c r="C5646">
        <v>289</v>
      </c>
      <c r="D5646">
        <f t="shared" si="196"/>
        <v>2019</v>
      </c>
      <c r="E5646">
        <f t="shared" si="197"/>
        <v>12</v>
      </c>
    </row>
    <row r="5647" spans="1:5" x14ac:dyDescent="0.3">
      <c r="A5647" t="s">
        <v>5772</v>
      </c>
      <c r="B5647" t="s">
        <v>127</v>
      </c>
      <c r="C5647">
        <v>296</v>
      </c>
      <c r="D5647">
        <f t="shared" si="196"/>
        <v>2019</v>
      </c>
      <c r="E5647">
        <f t="shared" si="197"/>
        <v>12</v>
      </c>
    </row>
    <row r="5648" spans="1:5" x14ac:dyDescent="0.3">
      <c r="A5648" t="s">
        <v>5773</v>
      </c>
      <c r="B5648" t="s">
        <v>127</v>
      </c>
      <c r="C5648">
        <v>297</v>
      </c>
      <c r="D5648">
        <f t="shared" si="196"/>
        <v>2019</v>
      </c>
      <c r="E5648">
        <f t="shared" si="197"/>
        <v>12</v>
      </c>
    </row>
    <row r="5649" spans="1:5" x14ac:dyDescent="0.3">
      <c r="A5649" t="s">
        <v>5774</v>
      </c>
      <c r="B5649" t="s">
        <v>127</v>
      </c>
      <c r="C5649">
        <v>294</v>
      </c>
      <c r="D5649">
        <f t="shared" si="196"/>
        <v>2019</v>
      </c>
      <c r="E5649">
        <f t="shared" si="197"/>
        <v>12</v>
      </c>
    </row>
    <row r="5650" spans="1:5" x14ac:dyDescent="0.3">
      <c r="A5650" t="s">
        <v>5775</v>
      </c>
      <c r="B5650" t="s">
        <v>127</v>
      </c>
      <c r="C5650">
        <v>297</v>
      </c>
      <c r="D5650">
        <f t="shared" si="196"/>
        <v>2019</v>
      </c>
      <c r="E5650">
        <f t="shared" si="197"/>
        <v>12</v>
      </c>
    </row>
    <row r="5651" spans="1:5" x14ac:dyDescent="0.3">
      <c r="A5651" t="s">
        <v>5776</v>
      </c>
      <c r="B5651" t="s">
        <v>127</v>
      </c>
      <c r="C5651">
        <v>297</v>
      </c>
      <c r="D5651">
        <f t="shared" si="196"/>
        <v>2019</v>
      </c>
      <c r="E5651">
        <f t="shared" si="197"/>
        <v>12</v>
      </c>
    </row>
    <row r="5652" spans="1:5" x14ac:dyDescent="0.3">
      <c r="A5652" t="s">
        <v>5777</v>
      </c>
      <c r="B5652" t="s">
        <v>127</v>
      </c>
      <c r="C5652">
        <v>297</v>
      </c>
      <c r="D5652">
        <f t="shared" si="196"/>
        <v>2019</v>
      </c>
      <c r="E5652">
        <f t="shared" si="197"/>
        <v>12</v>
      </c>
    </row>
    <row r="5653" spans="1:5" x14ac:dyDescent="0.3">
      <c r="A5653" t="s">
        <v>5778</v>
      </c>
      <c r="B5653" t="s">
        <v>127</v>
      </c>
      <c r="C5653">
        <v>297</v>
      </c>
      <c r="D5653">
        <f t="shared" si="196"/>
        <v>2019</v>
      </c>
      <c r="E5653">
        <f t="shared" si="197"/>
        <v>12</v>
      </c>
    </row>
    <row r="5654" spans="1:5" x14ac:dyDescent="0.3">
      <c r="A5654" t="s">
        <v>5779</v>
      </c>
      <c r="B5654" t="s">
        <v>127</v>
      </c>
      <c r="C5654">
        <v>295</v>
      </c>
      <c r="D5654">
        <f t="shared" si="196"/>
        <v>2019</v>
      </c>
      <c r="E5654">
        <f t="shared" si="197"/>
        <v>12</v>
      </c>
    </row>
    <row r="5655" spans="1:5" x14ac:dyDescent="0.3">
      <c r="A5655" t="s">
        <v>5780</v>
      </c>
      <c r="B5655" t="s">
        <v>127</v>
      </c>
      <c r="C5655">
        <v>292</v>
      </c>
      <c r="D5655">
        <f t="shared" si="196"/>
        <v>2019</v>
      </c>
      <c r="E5655">
        <f t="shared" si="197"/>
        <v>12</v>
      </c>
    </row>
    <row r="5656" spans="1:5" x14ac:dyDescent="0.3">
      <c r="A5656" t="s">
        <v>5781</v>
      </c>
      <c r="B5656" t="s">
        <v>127</v>
      </c>
      <c r="C5656">
        <v>292</v>
      </c>
      <c r="D5656">
        <f t="shared" si="196"/>
        <v>2020</v>
      </c>
      <c r="E5656">
        <f t="shared" si="197"/>
        <v>1</v>
      </c>
    </row>
    <row r="5657" spans="1:5" x14ac:dyDescent="0.3">
      <c r="A5657" t="s">
        <v>5782</v>
      </c>
      <c r="B5657" t="s">
        <v>127</v>
      </c>
      <c r="C5657">
        <v>295</v>
      </c>
      <c r="D5657">
        <f t="shared" si="196"/>
        <v>2020</v>
      </c>
      <c r="E5657">
        <f t="shared" si="197"/>
        <v>1</v>
      </c>
    </row>
    <row r="5658" spans="1:5" x14ac:dyDescent="0.3">
      <c r="A5658" t="s">
        <v>5783</v>
      </c>
      <c r="B5658" t="s">
        <v>127</v>
      </c>
      <c r="C5658">
        <v>300</v>
      </c>
      <c r="D5658">
        <f t="shared" si="196"/>
        <v>2020</v>
      </c>
      <c r="E5658">
        <f t="shared" si="197"/>
        <v>1</v>
      </c>
    </row>
    <row r="5659" spans="1:5" x14ac:dyDescent="0.3">
      <c r="A5659" t="s">
        <v>5784</v>
      </c>
      <c r="B5659" t="s">
        <v>127</v>
      </c>
      <c r="C5659">
        <v>296</v>
      </c>
      <c r="D5659">
        <f t="shared" si="196"/>
        <v>2020</v>
      </c>
      <c r="E5659">
        <f t="shared" si="197"/>
        <v>1</v>
      </c>
    </row>
    <row r="5660" spans="1:5" x14ac:dyDescent="0.3">
      <c r="A5660" t="s">
        <v>5785</v>
      </c>
      <c r="B5660" t="s">
        <v>127</v>
      </c>
      <c r="C5660">
        <v>294</v>
      </c>
      <c r="D5660">
        <f t="shared" si="196"/>
        <v>2020</v>
      </c>
      <c r="E5660">
        <f t="shared" si="197"/>
        <v>1</v>
      </c>
    </row>
    <row r="5661" spans="1:5" x14ac:dyDescent="0.3">
      <c r="A5661" t="s">
        <v>5786</v>
      </c>
      <c r="B5661" t="s">
        <v>127</v>
      </c>
      <c r="C5661">
        <v>290</v>
      </c>
      <c r="D5661">
        <f t="shared" si="196"/>
        <v>2020</v>
      </c>
      <c r="E5661">
        <f t="shared" si="197"/>
        <v>1</v>
      </c>
    </row>
    <row r="5662" spans="1:5" x14ac:dyDescent="0.3">
      <c r="A5662" t="s">
        <v>5787</v>
      </c>
      <c r="B5662" t="s">
        <v>127</v>
      </c>
      <c r="C5662">
        <v>293</v>
      </c>
      <c r="D5662">
        <f t="shared" si="196"/>
        <v>2020</v>
      </c>
      <c r="E5662">
        <f t="shared" si="197"/>
        <v>1</v>
      </c>
    </row>
    <row r="5663" spans="1:5" x14ac:dyDescent="0.3">
      <c r="A5663" t="s">
        <v>5788</v>
      </c>
      <c r="B5663" t="s">
        <v>127</v>
      </c>
      <c r="C5663">
        <v>296</v>
      </c>
      <c r="D5663">
        <f t="shared" si="196"/>
        <v>2020</v>
      </c>
      <c r="E5663">
        <f t="shared" si="197"/>
        <v>1</v>
      </c>
    </row>
    <row r="5664" spans="1:5" x14ac:dyDescent="0.3">
      <c r="A5664" t="s">
        <v>5789</v>
      </c>
      <c r="B5664" t="s">
        <v>127</v>
      </c>
      <c r="C5664">
        <v>294</v>
      </c>
      <c r="D5664">
        <f t="shared" si="196"/>
        <v>2020</v>
      </c>
      <c r="E5664">
        <f t="shared" si="197"/>
        <v>1</v>
      </c>
    </row>
    <row r="5665" spans="1:5" x14ac:dyDescent="0.3">
      <c r="A5665" t="s">
        <v>5790</v>
      </c>
      <c r="B5665" t="s">
        <v>127</v>
      </c>
      <c r="C5665">
        <v>297</v>
      </c>
      <c r="D5665">
        <f t="shared" si="196"/>
        <v>2020</v>
      </c>
      <c r="E5665">
        <f t="shared" si="197"/>
        <v>1</v>
      </c>
    </row>
    <row r="5666" spans="1:5" x14ac:dyDescent="0.3">
      <c r="A5666" t="s">
        <v>5791</v>
      </c>
      <c r="B5666" t="s">
        <v>127</v>
      </c>
      <c r="C5666">
        <v>299</v>
      </c>
      <c r="D5666">
        <f t="shared" si="196"/>
        <v>2020</v>
      </c>
      <c r="E5666">
        <f t="shared" si="197"/>
        <v>1</v>
      </c>
    </row>
    <row r="5667" spans="1:5" x14ac:dyDescent="0.3">
      <c r="A5667" t="s">
        <v>5792</v>
      </c>
      <c r="B5667" t="s">
        <v>127</v>
      </c>
      <c r="C5667">
        <v>293</v>
      </c>
      <c r="D5667">
        <f t="shared" si="196"/>
        <v>2020</v>
      </c>
      <c r="E5667">
        <f t="shared" si="197"/>
        <v>1</v>
      </c>
    </row>
    <row r="5668" spans="1:5" x14ac:dyDescent="0.3">
      <c r="A5668" t="s">
        <v>5793</v>
      </c>
      <c r="B5668" t="s">
        <v>127</v>
      </c>
      <c r="C5668">
        <v>292</v>
      </c>
      <c r="D5668">
        <f t="shared" si="196"/>
        <v>2020</v>
      </c>
      <c r="E5668">
        <f t="shared" si="197"/>
        <v>1</v>
      </c>
    </row>
    <row r="5669" spans="1:5" x14ac:dyDescent="0.3">
      <c r="A5669" t="s">
        <v>5794</v>
      </c>
      <c r="B5669" t="s">
        <v>127</v>
      </c>
      <c r="C5669">
        <v>292</v>
      </c>
      <c r="D5669">
        <f t="shared" si="196"/>
        <v>2020</v>
      </c>
      <c r="E5669">
        <f t="shared" si="197"/>
        <v>1</v>
      </c>
    </row>
    <row r="5670" spans="1:5" x14ac:dyDescent="0.3">
      <c r="A5670" t="s">
        <v>5795</v>
      </c>
      <c r="B5670" t="s">
        <v>127</v>
      </c>
      <c r="C5670">
        <v>295</v>
      </c>
      <c r="D5670">
        <f t="shared" si="196"/>
        <v>2020</v>
      </c>
      <c r="E5670">
        <f t="shared" si="197"/>
        <v>1</v>
      </c>
    </row>
    <row r="5671" spans="1:5" x14ac:dyDescent="0.3">
      <c r="A5671" t="s">
        <v>5796</v>
      </c>
      <c r="B5671" t="s">
        <v>127</v>
      </c>
      <c r="C5671">
        <v>293</v>
      </c>
      <c r="D5671">
        <f t="shared" si="196"/>
        <v>2020</v>
      </c>
      <c r="E5671">
        <f t="shared" si="197"/>
        <v>1</v>
      </c>
    </row>
    <row r="5672" spans="1:5" x14ac:dyDescent="0.3">
      <c r="A5672" t="s">
        <v>5797</v>
      </c>
      <c r="B5672" t="s">
        <v>127</v>
      </c>
      <c r="C5672">
        <v>297</v>
      </c>
      <c r="D5672">
        <f t="shared" si="196"/>
        <v>2020</v>
      </c>
      <c r="E5672">
        <f t="shared" si="197"/>
        <v>1</v>
      </c>
    </row>
    <row r="5673" spans="1:5" x14ac:dyDescent="0.3">
      <c r="A5673" t="s">
        <v>5798</v>
      </c>
      <c r="B5673" t="s">
        <v>127</v>
      </c>
      <c r="C5673">
        <v>301</v>
      </c>
      <c r="D5673">
        <f t="shared" si="196"/>
        <v>2020</v>
      </c>
      <c r="E5673">
        <f t="shared" si="197"/>
        <v>1</v>
      </c>
    </row>
    <row r="5674" spans="1:5" x14ac:dyDescent="0.3">
      <c r="A5674" t="s">
        <v>5799</v>
      </c>
      <c r="B5674" t="s">
        <v>127</v>
      </c>
      <c r="C5674">
        <v>313</v>
      </c>
      <c r="D5674">
        <f t="shared" si="196"/>
        <v>2020</v>
      </c>
      <c r="E5674">
        <f t="shared" si="197"/>
        <v>1</v>
      </c>
    </row>
    <row r="5675" spans="1:5" x14ac:dyDescent="0.3">
      <c r="A5675" t="s">
        <v>5800</v>
      </c>
      <c r="B5675" t="s">
        <v>127</v>
      </c>
      <c r="C5675">
        <v>306</v>
      </c>
      <c r="D5675">
        <f t="shared" si="196"/>
        <v>2020</v>
      </c>
      <c r="E5675">
        <f t="shared" si="197"/>
        <v>1</v>
      </c>
    </row>
    <row r="5676" spans="1:5" x14ac:dyDescent="0.3">
      <c r="A5676" t="s">
        <v>5801</v>
      </c>
      <c r="B5676" t="s">
        <v>127</v>
      </c>
      <c r="C5676">
        <v>305</v>
      </c>
      <c r="D5676">
        <f t="shared" si="196"/>
        <v>2020</v>
      </c>
      <c r="E5676">
        <f t="shared" si="197"/>
        <v>1</v>
      </c>
    </row>
    <row r="5677" spans="1:5" x14ac:dyDescent="0.3">
      <c r="A5677" t="s">
        <v>5802</v>
      </c>
      <c r="B5677" t="s">
        <v>127</v>
      </c>
      <c r="C5677">
        <v>304</v>
      </c>
      <c r="D5677">
        <f t="shared" si="196"/>
        <v>2020</v>
      </c>
      <c r="E5677">
        <f t="shared" si="197"/>
        <v>1</v>
      </c>
    </row>
    <row r="5678" spans="1:5" x14ac:dyDescent="0.3">
      <c r="A5678" t="s">
        <v>5803</v>
      </c>
      <c r="B5678" t="s">
        <v>127</v>
      </c>
      <c r="C5678">
        <v>308</v>
      </c>
      <c r="D5678">
        <f t="shared" si="196"/>
        <v>2020</v>
      </c>
      <c r="E5678">
        <f t="shared" si="197"/>
        <v>1</v>
      </c>
    </row>
    <row r="5679" spans="1:5" x14ac:dyDescent="0.3">
      <c r="A5679" t="s">
        <v>5804</v>
      </c>
      <c r="B5679" t="s">
        <v>127</v>
      </c>
      <c r="C5679">
        <v>309</v>
      </c>
      <c r="D5679">
        <f t="shared" si="196"/>
        <v>2020</v>
      </c>
      <c r="E5679">
        <f t="shared" si="197"/>
        <v>2</v>
      </c>
    </row>
    <row r="5680" spans="1:5" x14ac:dyDescent="0.3">
      <c r="A5680" t="s">
        <v>5805</v>
      </c>
      <c r="B5680" t="s">
        <v>127</v>
      </c>
      <c r="C5680">
        <v>305</v>
      </c>
      <c r="D5680">
        <f t="shared" si="196"/>
        <v>2020</v>
      </c>
      <c r="E5680">
        <f t="shared" si="197"/>
        <v>2</v>
      </c>
    </row>
    <row r="5681" spans="1:5" x14ac:dyDescent="0.3">
      <c r="A5681" t="s">
        <v>5806</v>
      </c>
      <c r="B5681" t="s">
        <v>127</v>
      </c>
      <c r="C5681">
        <v>300</v>
      </c>
      <c r="D5681">
        <f t="shared" si="196"/>
        <v>2020</v>
      </c>
      <c r="E5681">
        <f t="shared" si="197"/>
        <v>2</v>
      </c>
    </row>
    <row r="5682" spans="1:5" x14ac:dyDescent="0.3">
      <c r="A5682" t="s">
        <v>5807</v>
      </c>
      <c r="B5682" t="s">
        <v>127</v>
      </c>
      <c r="C5682">
        <v>298</v>
      </c>
      <c r="D5682">
        <f t="shared" si="196"/>
        <v>2020</v>
      </c>
      <c r="E5682">
        <f t="shared" si="197"/>
        <v>2</v>
      </c>
    </row>
    <row r="5683" spans="1:5" x14ac:dyDescent="0.3">
      <c r="A5683" t="s">
        <v>5808</v>
      </c>
      <c r="B5683" t="s">
        <v>127</v>
      </c>
      <c r="C5683">
        <v>303</v>
      </c>
      <c r="D5683">
        <f t="shared" si="196"/>
        <v>2020</v>
      </c>
      <c r="E5683">
        <f t="shared" si="197"/>
        <v>2</v>
      </c>
    </row>
    <row r="5684" spans="1:5" x14ac:dyDescent="0.3">
      <c r="A5684" t="s">
        <v>5809</v>
      </c>
      <c r="B5684" t="s">
        <v>127</v>
      </c>
      <c r="C5684">
        <v>305</v>
      </c>
      <c r="D5684">
        <f t="shared" si="196"/>
        <v>2020</v>
      </c>
      <c r="E5684">
        <f t="shared" si="197"/>
        <v>2</v>
      </c>
    </row>
    <row r="5685" spans="1:5" x14ac:dyDescent="0.3">
      <c r="A5685" t="s">
        <v>5810</v>
      </c>
      <c r="B5685" t="s">
        <v>127</v>
      </c>
      <c r="C5685">
        <v>299</v>
      </c>
      <c r="D5685">
        <f t="shared" si="196"/>
        <v>2020</v>
      </c>
      <c r="E5685">
        <f t="shared" si="197"/>
        <v>2</v>
      </c>
    </row>
    <row r="5686" spans="1:5" x14ac:dyDescent="0.3">
      <c r="A5686" t="s">
        <v>5811</v>
      </c>
      <c r="B5686" t="s">
        <v>127</v>
      </c>
      <c r="C5686">
        <v>292</v>
      </c>
      <c r="D5686">
        <f t="shared" si="196"/>
        <v>2020</v>
      </c>
      <c r="E5686">
        <f t="shared" si="197"/>
        <v>2</v>
      </c>
    </row>
    <row r="5687" spans="1:5" x14ac:dyDescent="0.3">
      <c r="A5687" t="s">
        <v>5812</v>
      </c>
      <c r="B5687" t="s">
        <v>127</v>
      </c>
      <c r="C5687">
        <v>293</v>
      </c>
      <c r="D5687">
        <f t="shared" si="196"/>
        <v>2020</v>
      </c>
      <c r="E5687">
        <f t="shared" si="197"/>
        <v>2</v>
      </c>
    </row>
    <row r="5688" spans="1:5" x14ac:dyDescent="0.3">
      <c r="A5688" t="s">
        <v>5813</v>
      </c>
      <c r="B5688" t="s">
        <v>127</v>
      </c>
      <c r="C5688">
        <v>293</v>
      </c>
      <c r="D5688">
        <f t="shared" si="196"/>
        <v>2020</v>
      </c>
      <c r="E5688">
        <f t="shared" si="197"/>
        <v>2</v>
      </c>
    </row>
    <row r="5689" spans="1:5" x14ac:dyDescent="0.3">
      <c r="A5689" t="s">
        <v>5814</v>
      </c>
      <c r="B5689" t="s">
        <v>127</v>
      </c>
      <c r="C5689">
        <v>293</v>
      </c>
      <c r="D5689">
        <f t="shared" si="196"/>
        <v>2020</v>
      </c>
      <c r="E5689">
        <f t="shared" si="197"/>
        <v>2</v>
      </c>
    </row>
    <row r="5690" spans="1:5" x14ac:dyDescent="0.3">
      <c r="A5690" t="s">
        <v>5815</v>
      </c>
      <c r="B5690" t="s">
        <v>127</v>
      </c>
      <c r="C5690">
        <v>294</v>
      </c>
      <c r="D5690">
        <f t="shared" si="196"/>
        <v>2020</v>
      </c>
      <c r="E5690">
        <f t="shared" si="197"/>
        <v>2</v>
      </c>
    </row>
    <row r="5691" spans="1:5" x14ac:dyDescent="0.3">
      <c r="A5691" t="s">
        <v>5816</v>
      </c>
      <c r="B5691" t="s">
        <v>127</v>
      </c>
      <c r="C5691">
        <v>290</v>
      </c>
      <c r="D5691">
        <f t="shared" si="196"/>
        <v>2020</v>
      </c>
      <c r="E5691">
        <f t="shared" si="197"/>
        <v>2</v>
      </c>
    </row>
    <row r="5692" spans="1:5" x14ac:dyDescent="0.3">
      <c r="A5692" t="s">
        <v>5817</v>
      </c>
      <c r="B5692" t="s">
        <v>127</v>
      </c>
      <c r="C5692">
        <v>294</v>
      </c>
      <c r="D5692">
        <f t="shared" si="196"/>
        <v>2020</v>
      </c>
      <c r="E5692">
        <f t="shared" si="197"/>
        <v>2</v>
      </c>
    </row>
    <row r="5693" spans="1:5" x14ac:dyDescent="0.3">
      <c r="A5693" t="s">
        <v>5818</v>
      </c>
      <c r="B5693" t="s">
        <v>127</v>
      </c>
      <c r="C5693">
        <v>299</v>
      </c>
      <c r="D5693">
        <f t="shared" si="196"/>
        <v>2020</v>
      </c>
      <c r="E5693">
        <f t="shared" si="197"/>
        <v>2</v>
      </c>
    </row>
    <row r="5694" spans="1:5" x14ac:dyDescent="0.3">
      <c r="A5694" t="s">
        <v>5819</v>
      </c>
      <c r="B5694" t="s">
        <v>127</v>
      </c>
      <c r="C5694">
        <v>312</v>
      </c>
      <c r="D5694">
        <f t="shared" si="196"/>
        <v>2020</v>
      </c>
      <c r="E5694">
        <f t="shared" si="197"/>
        <v>2</v>
      </c>
    </row>
    <row r="5695" spans="1:5" x14ac:dyDescent="0.3">
      <c r="A5695" t="s">
        <v>5820</v>
      </c>
      <c r="B5695" t="s">
        <v>127</v>
      </c>
      <c r="C5695">
        <v>320</v>
      </c>
      <c r="D5695">
        <f t="shared" si="196"/>
        <v>2020</v>
      </c>
      <c r="E5695">
        <f t="shared" si="197"/>
        <v>2</v>
      </c>
    </row>
    <row r="5696" spans="1:5" x14ac:dyDescent="0.3">
      <c r="A5696" t="s">
        <v>5821</v>
      </c>
      <c r="B5696" t="s">
        <v>127</v>
      </c>
      <c r="C5696">
        <v>323</v>
      </c>
      <c r="D5696">
        <f t="shared" si="196"/>
        <v>2020</v>
      </c>
      <c r="E5696">
        <f t="shared" si="197"/>
        <v>2</v>
      </c>
    </row>
    <row r="5697" spans="1:5" x14ac:dyDescent="0.3">
      <c r="A5697" t="s">
        <v>5822</v>
      </c>
      <c r="B5697" t="s">
        <v>127</v>
      </c>
      <c r="C5697">
        <v>334</v>
      </c>
      <c r="D5697">
        <f t="shared" si="196"/>
        <v>2020</v>
      </c>
      <c r="E5697">
        <f t="shared" si="197"/>
        <v>2</v>
      </c>
    </row>
    <row r="5698" spans="1:5" x14ac:dyDescent="0.3">
      <c r="A5698" t="s">
        <v>5823</v>
      </c>
      <c r="B5698" t="s">
        <v>127</v>
      </c>
      <c r="C5698">
        <v>372</v>
      </c>
      <c r="D5698">
        <f t="shared" si="196"/>
        <v>2020</v>
      </c>
      <c r="E5698">
        <f t="shared" si="197"/>
        <v>2</v>
      </c>
    </row>
    <row r="5699" spans="1:5" x14ac:dyDescent="0.3">
      <c r="A5699" t="s">
        <v>5824</v>
      </c>
      <c r="B5699" t="s">
        <v>127</v>
      </c>
      <c r="C5699">
        <v>365</v>
      </c>
      <c r="D5699">
        <f t="shared" ref="D5699:D5762" si="198">YEAR(A5699)</f>
        <v>2020</v>
      </c>
      <c r="E5699">
        <f t="shared" ref="E5699:E5762" si="199">MONTH(A5699)</f>
        <v>3</v>
      </c>
    </row>
    <row r="5700" spans="1:5" x14ac:dyDescent="0.3">
      <c r="A5700" t="s">
        <v>5825</v>
      </c>
      <c r="B5700" t="s">
        <v>127</v>
      </c>
      <c r="C5700">
        <v>362</v>
      </c>
      <c r="D5700">
        <f t="shared" si="198"/>
        <v>2020</v>
      </c>
      <c r="E5700">
        <f t="shared" si="199"/>
        <v>3</v>
      </c>
    </row>
    <row r="5701" spans="1:5" x14ac:dyDescent="0.3">
      <c r="A5701" t="s">
        <v>5826</v>
      </c>
      <c r="B5701" t="s">
        <v>127</v>
      </c>
      <c r="C5701">
        <v>349</v>
      </c>
      <c r="D5701">
        <f t="shared" si="198"/>
        <v>2020</v>
      </c>
      <c r="E5701">
        <f t="shared" si="199"/>
        <v>3</v>
      </c>
    </row>
    <row r="5702" spans="1:5" x14ac:dyDescent="0.3">
      <c r="A5702" t="s">
        <v>5827</v>
      </c>
      <c r="B5702" t="s">
        <v>127</v>
      </c>
      <c r="C5702">
        <v>374</v>
      </c>
      <c r="D5702">
        <f t="shared" si="198"/>
        <v>2020</v>
      </c>
      <c r="E5702">
        <f t="shared" si="199"/>
        <v>3</v>
      </c>
    </row>
    <row r="5703" spans="1:5" x14ac:dyDescent="0.3">
      <c r="A5703" t="s">
        <v>5828</v>
      </c>
      <c r="B5703" t="s">
        <v>127</v>
      </c>
      <c r="C5703">
        <v>404</v>
      </c>
      <c r="D5703">
        <f t="shared" si="198"/>
        <v>2020</v>
      </c>
      <c r="E5703">
        <f t="shared" si="199"/>
        <v>3</v>
      </c>
    </row>
    <row r="5704" spans="1:5" x14ac:dyDescent="0.3">
      <c r="A5704" t="s">
        <v>5829</v>
      </c>
      <c r="B5704" t="s">
        <v>127</v>
      </c>
      <c r="C5704">
        <v>506</v>
      </c>
      <c r="D5704">
        <f t="shared" si="198"/>
        <v>2020</v>
      </c>
      <c r="E5704">
        <f t="shared" si="199"/>
        <v>3</v>
      </c>
    </row>
    <row r="5705" spans="1:5" x14ac:dyDescent="0.3">
      <c r="A5705" t="s">
        <v>5830</v>
      </c>
      <c r="B5705" t="s">
        <v>127</v>
      </c>
      <c r="C5705">
        <v>498</v>
      </c>
      <c r="D5705">
        <f t="shared" si="198"/>
        <v>2020</v>
      </c>
      <c r="E5705">
        <f t="shared" si="199"/>
        <v>3</v>
      </c>
    </row>
    <row r="5706" spans="1:5" x14ac:dyDescent="0.3">
      <c r="A5706" t="s">
        <v>5831</v>
      </c>
      <c r="B5706" t="s">
        <v>127</v>
      </c>
      <c r="C5706">
        <v>518</v>
      </c>
      <c r="D5706">
        <f t="shared" si="198"/>
        <v>2020</v>
      </c>
      <c r="E5706">
        <f t="shared" si="199"/>
        <v>3</v>
      </c>
    </row>
    <row r="5707" spans="1:5" x14ac:dyDescent="0.3">
      <c r="A5707" t="s">
        <v>5832</v>
      </c>
      <c r="B5707" t="s">
        <v>127</v>
      </c>
      <c r="C5707">
        <v>571</v>
      </c>
      <c r="D5707">
        <f t="shared" si="198"/>
        <v>2020</v>
      </c>
      <c r="E5707">
        <f t="shared" si="199"/>
        <v>3</v>
      </c>
    </row>
    <row r="5708" spans="1:5" x14ac:dyDescent="0.3">
      <c r="A5708" t="s">
        <v>5833</v>
      </c>
      <c r="B5708" t="s">
        <v>127</v>
      </c>
      <c r="C5708">
        <v>522</v>
      </c>
      <c r="D5708">
        <f t="shared" si="198"/>
        <v>2020</v>
      </c>
      <c r="E5708">
        <f t="shared" si="199"/>
        <v>3</v>
      </c>
    </row>
    <row r="5709" spans="1:5" x14ac:dyDescent="0.3">
      <c r="A5709" t="s">
        <v>5834</v>
      </c>
      <c r="B5709" t="s">
        <v>127</v>
      </c>
      <c r="C5709">
        <v>604</v>
      </c>
      <c r="D5709">
        <f t="shared" si="198"/>
        <v>2020</v>
      </c>
      <c r="E5709">
        <f t="shared" si="199"/>
        <v>3</v>
      </c>
    </row>
    <row r="5710" spans="1:5" x14ac:dyDescent="0.3">
      <c r="A5710" t="s">
        <v>5835</v>
      </c>
      <c r="B5710" t="s">
        <v>127</v>
      </c>
      <c r="C5710">
        <v>583</v>
      </c>
      <c r="D5710">
        <f t="shared" si="198"/>
        <v>2020</v>
      </c>
      <c r="E5710">
        <f t="shared" si="199"/>
        <v>3</v>
      </c>
    </row>
    <row r="5711" spans="1:5" x14ac:dyDescent="0.3">
      <c r="A5711" t="s">
        <v>5836</v>
      </c>
      <c r="B5711" t="s">
        <v>127</v>
      </c>
      <c r="C5711">
        <v>691</v>
      </c>
      <c r="D5711">
        <f t="shared" si="198"/>
        <v>2020</v>
      </c>
      <c r="E5711">
        <f t="shared" si="199"/>
        <v>3</v>
      </c>
    </row>
    <row r="5712" spans="1:5" x14ac:dyDescent="0.3">
      <c r="A5712" t="s">
        <v>5837</v>
      </c>
      <c r="B5712" t="s">
        <v>127</v>
      </c>
      <c r="C5712">
        <v>718</v>
      </c>
      <c r="D5712">
        <f t="shared" si="198"/>
        <v>2020</v>
      </c>
      <c r="E5712">
        <f t="shared" si="199"/>
        <v>3</v>
      </c>
    </row>
    <row r="5713" spans="1:5" x14ac:dyDescent="0.3">
      <c r="A5713" t="s">
        <v>5838</v>
      </c>
      <c r="B5713" t="s">
        <v>127</v>
      </c>
      <c r="C5713">
        <v>679</v>
      </c>
      <c r="D5713">
        <f t="shared" si="198"/>
        <v>2020</v>
      </c>
      <c r="E5713">
        <f t="shared" si="199"/>
        <v>3</v>
      </c>
    </row>
    <row r="5714" spans="1:5" x14ac:dyDescent="0.3">
      <c r="A5714" t="s">
        <v>5839</v>
      </c>
      <c r="B5714" t="s">
        <v>127</v>
      </c>
      <c r="C5714">
        <v>726</v>
      </c>
      <c r="D5714">
        <f t="shared" si="198"/>
        <v>2020</v>
      </c>
      <c r="E5714">
        <f t="shared" si="199"/>
        <v>3</v>
      </c>
    </row>
    <row r="5715" spans="1:5" x14ac:dyDescent="0.3">
      <c r="A5715" t="s">
        <v>5840</v>
      </c>
      <c r="B5715" t="s">
        <v>127</v>
      </c>
      <c r="C5715">
        <v>682</v>
      </c>
      <c r="D5715">
        <f t="shared" si="198"/>
        <v>2020</v>
      </c>
      <c r="E5715">
        <f t="shared" si="199"/>
        <v>3</v>
      </c>
    </row>
    <row r="5716" spans="1:5" x14ac:dyDescent="0.3">
      <c r="A5716" t="s">
        <v>5841</v>
      </c>
      <c r="B5716" t="s">
        <v>127</v>
      </c>
      <c r="C5716">
        <v>593</v>
      </c>
      <c r="D5716">
        <f t="shared" si="198"/>
        <v>2020</v>
      </c>
      <c r="E5716">
        <f t="shared" si="199"/>
        <v>3</v>
      </c>
    </row>
    <row r="5717" spans="1:5" x14ac:dyDescent="0.3">
      <c r="A5717" t="s">
        <v>5842</v>
      </c>
      <c r="B5717" t="s">
        <v>127</v>
      </c>
      <c r="C5717">
        <v>566</v>
      </c>
      <c r="D5717">
        <f t="shared" si="198"/>
        <v>2020</v>
      </c>
      <c r="E5717">
        <f t="shared" si="199"/>
        <v>3</v>
      </c>
    </row>
    <row r="5718" spans="1:5" x14ac:dyDescent="0.3">
      <c r="A5718" t="s">
        <v>5843</v>
      </c>
      <c r="B5718" t="s">
        <v>127</v>
      </c>
      <c r="C5718">
        <v>638</v>
      </c>
      <c r="D5718">
        <f t="shared" si="198"/>
        <v>2020</v>
      </c>
      <c r="E5718">
        <f t="shared" si="199"/>
        <v>3</v>
      </c>
    </row>
    <row r="5719" spans="1:5" x14ac:dyDescent="0.3">
      <c r="A5719" t="s">
        <v>5844</v>
      </c>
      <c r="B5719" t="s">
        <v>127</v>
      </c>
      <c r="C5719">
        <v>659</v>
      </c>
      <c r="D5719">
        <f t="shared" si="198"/>
        <v>2020</v>
      </c>
      <c r="E5719">
        <f t="shared" si="199"/>
        <v>3</v>
      </c>
    </row>
    <row r="5720" spans="1:5" x14ac:dyDescent="0.3">
      <c r="A5720" t="s">
        <v>5845</v>
      </c>
      <c r="B5720" t="s">
        <v>127</v>
      </c>
      <c r="C5720">
        <v>653</v>
      </c>
      <c r="D5720">
        <f t="shared" si="198"/>
        <v>2020</v>
      </c>
      <c r="E5720">
        <f t="shared" si="199"/>
        <v>3</v>
      </c>
    </row>
    <row r="5721" spans="1:5" x14ac:dyDescent="0.3">
      <c r="A5721" t="s">
        <v>5846</v>
      </c>
      <c r="B5721" t="s">
        <v>127</v>
      </c>
      <c r="C5721">
        <v>702</v>
      </c>
      <c r="D5721">
        <f t="shared" si="198"/>
        <v>2020</v>
      </c>
      <c r="E5721">
        <f t="shared" si="199"/>
        <v>4</v>
      </c>
    </row>
    <row r="5722" spans="1:5" x14ac:dyDescent="0.3">
      <c r="A5722" t="s">
        <v>5847</v>
      </c>
      <c r="B5722" t="s">
        <v>127</v>
      </c>
      <c r="C5722">
        <v>687</v>
      </c>
      <c r="D5722">
        <f t="shared" si="198"/>
        <v>2020</v>
      </c>
      <c r="E5722">
        <f t="shared" si="199"/>
        <v>4</v>
      </c>
    </row>
    <row r="5723" spans="1:5" x14ac:dyDescent="0.3">
      <c r="A5723" t="s">
        <v>5848</v>
      </c>
      <c r="B5723" t="s">
        <v>127</v>
      </c>
      <c r="C5723">
        <v>681</v>
      </c>
      <c r="D5723">
        <f t="shared" si="198"/>
        <v>2020</v>
      </c>
      <c r="E5723">
        <f t="shared" si="199"/>
        <v>4</v>
      </c>
    </row>
    <row r="5724" spans="1:5" x14ac:dyDescent="0.3">
      <c r="A5724" t="s">
        <v>5849</v>
      </c>
      <c r="B5724" t="s">
        <v>127</v>
      </c>
      <c r="C5724">
        <v>698</v>
      </c>
      <c r="D5724">
        <f t="shared" si="198"/>
        <v>2020</v>
      </c>
      <c r="E5724">
        <f t="shared" si="199"/>
        <v>4</v>
      </c>
    </row>
    <row r="5725" spans="1:5" x14ac:dyDescent="0.3">
      <c r="A5725" t="s">
        <v>5850</v>
      </c>
      <c r="B5725" t="s">
        <v>127</v>
      </c>
      <c r="C5725">
        <v>687</v>
      </c>
      <c r="D5725">
        <f t="shared" si="198"/>
        <v>2020</v>
      </c>
      <c r="E5725">
        <f t="shared" si="199"/>
        <v>4</v>
      </c>
    </row>
    <row r="5726" spans="1:5" x14ac:dyDescent="0.3">
      <c r="A5726" t="s">
        <v>5851</v>
      </c>
      <c r="B5726" t="s">
        <v>127</v>
      </c>
      <c r="C5726">
        <v>681</v>
      </c>
      <c r="D5726">
        <f t="shared" si="198"/>
        <v>2020</v>
      </c>
      <c r="E5726">
        <f t="shared" si="199"/>
        <v>4</v>
      </c>
    </row>
    <row r="5727" spans="1:5" x14ac:dyDescent="0.3">
      <c r="A5727" t="s">
        <v>5852</v>
      </c>
      <c r="B5727" t="s">
        <v>127</v>
      </c>
      <c r="C5727">
        <v>619</v>
      </c>
      <c r="D5727">
        <f t="shared" si="198"/>
        <v>2020</v>
      </c>
      <c r="E5727">
        <f t="shared" si="199"/>
        <v>4</v>
      </c>
    </row>
    <row r="5728" spans="1:5" x14ac:dyDescent="0.3">
      <c r="A5728" t="s">
        <v>5853</v>
      </c>
      <c r="B5728" t="s">
        <v>127</v>
      </c>
      <c r="C5728">
        <v>596</v>
      </c>
      <c r="D5728">
        <f t="shared" si="198"/>
        <v>2020</v>
      </c>
      <c r="E5728">
        <f t="shared" si="199"/>
        <v>4</v>
      </c>
    </row>
    <row r="5729" spans="1:5" x14ac:dyDescent="0.3">
      <c r="A5729" t="s">
        <v>5854</v>
      </c>
      <c r="B5729" t="s">
        <v>127</v>
      </c>
      <c r="C5729">
        <v>597</v>
      </c>
      <c r="D5729">
        <f t="shared" si="198"/>
        <v>2020</v>
      </c>
      <c r="E5729">
        <f t="shared" si="199"/>
        <v>4</v>
      </c>
    </row>
    <row r="5730" spans="1:5" x14ac:dyDescent="0.3">
      <c r="A5730" t="s">
        <v>5855</v>
      </c>
      <c r="B5730" t="s">
        <v>127</v>
      </c>
      <c r="C5730">
        <v>648</v>
      </c>
      <c r="D5730">
        <f t="shared" si="198"/>
        <v>2020</v>
      </c>
      <c r="E5730">
        <f t="shared" si="199"/>
        <v>4</v>
      </c>
    </row>
    <row r="5731" spans="1:5" x14ac:dyDescent="0.3">
      <c r="A5731" t="s">
        <v>5856</v>
      </c>
      <c r="B5731" t="s">
        <v>127</v>
      </c>
      <c r="C5731">
        <v>662</v>
      </c>
      <c r="D5731">
        <f t="shared" si="198"/>
        <v>2020</v>
      </c>
      <c r="E5731">
        <f t="shared" si="199"/>
        <v>4</v>
      </c>
    </row>
    <row r="5732" spans="1:5" x14ac:dyDescent="0.3">
      <c r="A5732" t="s">
        <v>5857</v>
      </c>
      <c r="B5732" t="s">
        <v>127</v>
      </c>
      <c r="C5732">
        <v>656</v>
      </c>
      <c r="D5732">
        <f t="shared" si="198"/>
        <v>2020</v>
      </c>
      <c r="E5732">
        <f t="shared" si="199"/>
        <v>4</v>
      </c>
    </row>
    <row r="5733" spans="1:5" x14ac:dyDescent="0.3">
      <c r="A5733" t="s">
        <v>5858</v>
      </c>
      <c r="B5733" t="s">
        <v>127</v>
      </c>
      <c r="C5733">
        <v>679</v>
      </c>
      <c r="D5733">
        <f t="shared" si="198"/>
        <v>2020</v>
      </c>
      <c r="E5733">
        <f t="shared" si="199"/>
        <v>4</v>
      </c>
    </row>
    <row r="5734" spans="1:5" x14ac:dyDescent="0.3">
      <c r="A5734" t="s">
        <v>5859</v>
      </c>
      <c r="B5734" t="s">
        <v>127</v>
      </c>
      <c r="C5734">
        <v>697</v>
      </c>
      <c r="D5734">
        <f t="shared" si="198"/>
        <v>2020</v>
      </c>
      <c r="E5734">
        <f t="shared" si="199"/>
        <v>4</v>
      </c>
    </row>
    <row r="5735" spans="1:5" x14ac:dyDescent="0.3">
      <c r="A5735" t="s">
        <v>5860</v>
      </c>
      <c r="B5735" t="s">
        <v>127</v>
      </c>
      <c r="C5735">
        <v>690</v>
      </c>
      <c r="D5735">
        <f t="shared" si="198"/>
        <v>2020</v>
      </c>
      <c r="E5735">
        <f t="shared" si="199"/>
        <v>4</v>
      </c>
    </row>
    <row r="5736" spans="1:5" x14ac:dyDescent="0.3">
      <c r="A5736" t="s">
        <v>5861</v>
      </c>
      <c r="B5736" t="s">
        <v>127</v>
      </c>
      <c r="C5736">
        <v>705</v>
      </c>
      <c r="D5736">
        <f t="shared" si="198"/>
        <v>2020</v>
      </c>
      <c r="E5736">
        <f t="shared" si="199"/>
        <v>4</v>
      </c>
    </row>
    <row r="5737" spans="1:5" x14ac:dyDescent="0.3">
      <c r="A5737" t="s">
        <v>5862</v>
      </c>
      <c r="B5737" t="s">
        <v>127</v>
      </c>
      <c r="C5737">
        <v>719</v>
      </c>
      <c r="D5737">
        <f t="shared" si="198"/>
        <v>2020</v>
      </c>
      <c r="E5737">
        <f t="shared" si="199"/>
        <v>4</v>
      </c>
    </row>
    <row r="5738" spans="1:5" x14ac:dyDescent="0.3">
      <c r="A5738" t="s">
        <v>5863</v>
      </c>
      <c r="B5738" t="s">
        <v>127</v>
      </c>
      <c r="C5738">
        <v>733</v>
      </c>
      <c r="D5738">
        <f t="shared" si="198"/>
        <v>2020</v>
      </c>
      <c r="E5738">
        <f t="shared" si="199"/>
        <v>4</v>
      </c>
    </row>
    <row r="5739" spans="1:5" x14ac:dyDescent="0.3">
      <c r="A5739" t="s">
        <v>5864</v>
      </c>
      <c r="B5739" t="s">
        <v>127</v>
      </c>
      <c r="C5739">
        <v>724</v>
      </c>
      <c r="D5739">
        <f t="shared" si="198"/>
        <v>2020</v>
      </c>
      <c r="E5739">
        <f t="shared" si="199"/>
        <v>4</v>
      </c>
    </row>
    <row r="5740" spans="1:5" x14ac:dyDescent="0.3">
      <c r="A5740" t="s">
        <v>5865</v>
      </c>
      <c r="B5740" t="s">
        <v>127</v>
      </c>
      <c r="C5740">
        <v>683</v>
      </c>
      <c r="D5740">
        <f t="shared" si="198"/>
        <v>2020</v>
      </c>
      <c r="E5740">
        <f t="shared" si="199"/>
        <v>4</v>
      </c>
    </row>
    <row r="5741" spans="1:5" x14ac:dyDescent="0.3">
      <c r="A5741" t="s">
        <v>5866</v>
      </c>
      <c r="B5741" t="s">
        <v>127</v>
      </c>
      <c r="C5741">
        <v>656</v>
      </c>
      <c r="D5741">
        <f t="shared" si="198"/>
        <v>2020</v>
      </c>
      <c r="E5741">
        <f t="shared" si="199"/>
        <v>4</v>
      </c>
    </row>
    <row r="5742" spans="1:5" x14ac:dyDescent="0.3">
      <c r="A5742" t="s">
        <v>5867</v>
      </c>
      <c r="B5742" t="s">
        <v>127</v>
      </c>
      <c r="C5742">
        <v>656</v>
      </c>
      <c r="D5742">
        <f t="shared" si="198"/>
        <v>2020</v>
      </c>
      <c r="E5742">
        <f t="shared" si="199"/>
        <v>5</v>
      </c>
    </row>
    <row r="5743" spans="1:5" x14ac:dyDescent="0.3">
      <c r="A5743" t="s">
        <v>5868</v>
      </c>
      <c r="B5743" t="s">
        <v>127</v>
      </c>
      <c r="C5743">
        <v>634</v>
      </c>
      <c r="D5743">
        <f t="shared" si="198"/>
        <v>2020</v>
      </c>
      <c r="E5743">
        <f t="shared" si="199"/>
        <v>5</v>
      </c>
    </row>
    <row r="5744" spans="1:5" x14ac:dyDescent="0.3">
      <c r="A5744" t="s">
        <v>5869</v>
      </c>
      <c r="B5744" t="s">
        <v>127</v>
      </c>
      <c r="C5744">
        <v>640</v>
      </c>
      <c r="D5744">
        <f t="shared" si="198"/>
        <v>2020</v>
      </c>
      <c r="E5744">
        <f t="shared" si="199"/>
        <v>5</v>
      </c>
    </row>
    <row r="5745" spans="1:5" x14ac:dyDescent="0.3">
      <c r="A5745" t="s">
        <v>5870</v>
      </c>
      <c r="B5745" t="s">
        <v>127</v>
      </c>
      <c r="C5745">
        <v>629</v>
      </c>
      <c r="D5745">
        <f t="shared" si="198"/>
        <v>2020</v>
      </c>
      <c r="E5745">
        <f t="shared" si="199"/>
        <v>5</v>
      </c>
    </row>
    <row r="5746" spans="1:5" x14ac:dyDescent="0.3">
      <c r="A5746" t="s">
        <v>5871</v>
      </c>
      <c r="B5746" t="s">
        <v>127</v>
      </c>
      <c r="C5746">
        <v>605</v>
      </c>
      <c r="D5746">
        <f t="shared" si="198"/>
        <v>2020</v>
      </c>
      <c r="E5746">
        <f t="shared" si="199"/>
        <v>5</v>
      </c>
    </row>
    <row r="5747" spans="1:5" x14ac:dyDescent="0.3">
      <c r="A5747" t="s">
        <v>5872</v>
      </c>
      <c r="B5747" t="s">
        <v>127</v>
      </c>
      <c r="C5747">
        <v>599</v>
      </c>
      <c r="D5747">
        <f t="shared" si="198"/>
        <v>2020</v>
      </c>
      <c r="E5747">
        <f t="shared" si="199"/>
        <v>5</v>
      </c>
    </row>
    <row r="5748" spans="1:5" x14ac:dyDescent="0.3">
      <c r="A5748" t="s">
        <v>5873</v>
      </c>
      <c r="B5748" t="s">
        <v>127</v>
      </c>
      <c r="C5748">
        <v>600</v>
      </c>
      <c r="D5748">
        <f t="shared" si="198"/>
        <v>2020</v>
      </c>
      <c r="E5748">
        <f t="shared" si="199"/>
        <v>5</v>
      </c>
    </row>
    <row r="5749" spans="1:5" x14ac:dyDescent="0.3">
      <c r="A5749" t="s">
        <v>5874</v>
      </c>
      <c r="B5749" t="s">
        <v>127</v>
      </c>
      <c r="C5749">
        <v>624</v>
      </c>
      <c r="D5749">
        <f t="shared" si="198"/>
        <v>2020</v>
      </c>
      <c r="E5749">
        <f t="shared" si="199"/>
        <v>5</v>
      </c>
    </row>
    <row r="5750" spans="1:5" x14ac:dyDescent="0.3">
      <c r="A5750" t="s">
        <v>5875</v>
      </c>
      <c r="B5750" t="s">
        <v>127</v>
      </c>
      <c r="C5750">
        <v>634</v>
      </c>
      <c r="D5750">
        <f t="shared" si="198"/>
        <v>2020</v>
      </c>
      <c r="E5750">
        <f t="shared" si="199"/>
        <v>5</v>
      </c>
    </row>
    <row r="5751" spans="1:5" x14ac:dyDescent="0.3">
      <c r="A5751" t="s">
        <v>5876</v>
      </c>
      <c r="B5751" t="s">
        <v>127</v>
      </c>
      <c r="C5751">
        <v>618</v>
      </c>
      <c r="D5751">
        <f t="shared" si="198"/>
        <v>2020</v>
      </c>
      <c r="E5751">
        <f t="shared" si="199"/>
        <v>5</v>
      </c>
    </row>
    <row r="5752" spans="1:5" x14ac:dyDescent="0.3">
      <c r="A5752" t="s">
        <v>5877</v>
      </c>
      <c r="B5752" t="s">
        <v>127</v>
      </c>
      <c r="C5752">
        <v>578</v>
      </c>
      <c r="D5752">
        <f t="shared" si="198"/>
        <v>2020</v>
      </c>
      <c r="E5752">
        <f t="shared" si="199"/>
        <v>5</v>
      </c>
    </row>
    <row r="5753" spans="1:5" x14ac:dyDescent="0.3">
      <c r="A5753" t="s">
        <v>5878</v>
      </c>
      <c r="B5753" t="s">
        <v>127</v>
      </c>
      <c r="C5753">
        <v>579</v>
      </c>
      <c r="D5753">
        <f t="shared" si="198"/>
        <v>2020</v>
      </c>
      <c r="E5753">
        <f t="shared" si="199"/>
        <v>5</v>
      </c>
    </row>
    <row r="5754" spans="1:5" x14ac:dyDescent="0.3">
      <c r="A5754" t="s">
        <v>5879</v>
      </c>
      <c r="B5754" t="s">
        <v>127</v>
      </c>
      <c r="C5754">
        <v>558</v>
      </c>
      <c r="D5754">
        <f t="shared" si="198"/>
        <v>2020</v>
      </c>
      <c r="E5754">
        <f t="shared" si="199"/>
        <v>5</v>
      </c>
    </row>
    <row r="5755" spans="1:5" x14ac:dyDescent="0.3">
      <c r="A5755" t="s">
        <v>5880</v>
      </c>
      <c r="B5755" t="s">
        <v>127</v>
      </c>
      <c r="C5755">
        <v>540</v>
      </c>
      <c r="D5755">
        <f t="shared" si="198"/>
        <v>2020</v>
      </c>
      <c r="E5755">
        <f t="shared" si="199"/>
        <v>5</v>
      </c>
    </row>
    <row r="5756" spans="1:5" x14ac:dyDescent="0.3">
      <c r="A5756" t="s">
        <v>5881</v>
      </c>
      <c r="B5756" t="s">
        <v>127</v>
      </c>
      <c r="C5756">
        <v>550</v>
      </c>
      <c r="D5756">
        <f t="shared" si="198"/>
        <v>2020</v>
      </c>
      <c r="E5756">
        <f t="shared" si="199"/>
        <v>5</v>
      </c>
    </row>
    <row r="5757" spans="1:5" x14ac:dyDescent="0.3">
      <c r="A5757" t="s">
        <v>5882</v>
      </c>
      <c r="B5757" t="s">
        <v>127</v>
      </c>
      <c r="C5757">
        <v>550</v>
      </c>
      <c r="D5757">
        <f t="shared" si="198"/>
        <v>2020</v>
      </c>
      <c r="E5757">
        <f t="shared" si="199"/>
        <v>5</v>
      </c>
    </row>
    <row r="5758" spans="1:5" x14ac:dyDescent="0.3">
      <c r="A5758" t="s">
        <v>5883</v>
      </c>
      <c r="B5758" t="s">
        <v>127</v>
      </c>
      <c r="C5758">
        <v>531</v>
      </c>
      <c r="D5758">
        <f t="shared" si="198"/>
        <v>2020</v>
      </c>
      <c r="E5758">
        <f t="shared" si="199"/>
        <v>5</v>
      </c>
    </row>
    <row r="5759" spans="1:5" x14ac:dyDescent="0.3">
      <c r="A5759" t="s">
        <v>5884</v>
      </c>
      <c r="B5759" t="s">
        <v>127</v>
      </c>
      <c r="C5759">
        <v>540</v>
      </c>
      <c r="D5759">
        <f t="shared" si="198"/>
        <v>2020</v>
      </c>
      <c r="E5759">
        <f t="shared" si="199"/>
        <v>5</v>
      </c>
    </row>
    <row r="5760" spans="1:5" x14ac:dyDescent="0.3">
      <c r="A5760" t="s">
        <v>5885</v>
      </c>
      <c r="B5760" t="s">
        <v>127</v>
      </c>
      <c r="C5760">
        <v>536</v>
      </c>
      <c r="D5760">
        <f t="shared" si="198"/>
        <v>2020</v>
      </c>
      <c r="E5760">
        <f t="shared" si="199"/>
        <v>5</v>
      </c>
    </row>
    <row r="5761" spans="1:5" x14ac:dyDescent="0.3">
      <c r="A5761" t="s">
        <v>5886</v>
      </c>
      <c r="B5761" t="s">
        <v>127</v>
      </c>
      <c r="C5761">
        <v>536</v>
      </c>
      <c r="D5761">
        <f t="shared" si="198"/>
        <v>2020</v>
      </c>
      <c r="E5761">
        <f t="shared" si="199"/>
        <v>5</v>
      </c>
    </row>
    <row r="5762" spans="1:5" x14ac:dyDescent="0.3">
      <c r="A5762" t="s">
        <v>5887</v>
      </c>
      <c r="B5762" t="s">
        <v>127</v>
      </c>
      <c r="C5762">
        <v>525</v>
      </c>
      <c r="D5762">
        <f t="shared" si="198"/>
        <v>2020</v>
      </c>
      <c r="E5762">
        <f t="shared" si="199"/>
        <v>6</v>
      </c>
    </row>
    <row r="5763" spans="1:5" x14ac:dyDescent="0.3">
      <c r="A5763" t="s">
        <v>5888</v>
      </c>
      <c r="B5763" t="s">
        <v>127</v>
      </c>
      <c r="C5763">
        <v>516</v>
      </c>
      <c r="D5763">
        <f t="shared" ref="D5763:D5826" si="200">YEAR(A5763)</f>
        <v>2020</v>
      </c>
      <c r="E5763">
        <f t="shared" ref="E5763:E5826" si="201">MONTH(A5763)</f>
        <v>6</v>
      </c>
    </row>
    <row r="5764" spans="1:5" x14ac:dyDescent="0.3">
      <c r="A5764" t="s">
        <v>5889</v>
      </c>
      <c r="B5764" t="s">
        <v>127</v>
      </c>
      <c r="C5764">
        <v>495</v>
      </c>
      <c r="D5764">
        <f t="shared" si="200"/>
        <v>2020</v>
      </c>
      <c r="E5764">
        <f t="shared" si="201"/>
        <v>6</v>
      </c>
    </row>
    <row r="5765" spans="1:5" x14ac:dyDescent="0.3">
      <c r="A5765" t="s">
        <v>5890</v>
      </c>
      <c r="B5765" t="s">
        <v>127</v>
      </c>
      <c r="C5765">
        <v>495</v>
      </c>
      <c r="D5765">
        <f t="shared" si="200"/>
        <v>2020</v>
      </c>
      <c r="E5765">
        <f t="shared" si="201"/>
        <v>6</v>
      </c>
    </row>
    <row r="5766" spans="1:5" x14ac:dyDescent="0.3">
      <c r="A5766" t="s">
        <v>5891</v>
      </c>
      <c r="B5766" t="s">
        <v>127</v>
      </c>
      <c r="C5766">
        <v>474</v>
      </c>
      <c r="D5766">
        <f t="shared" si="200"/>
        <v>2020</v>
      </c>
      <c r="E5766">
        <f t="shared" si="201"/>
        <v>6</v>
      </c>
    </row>
    <row r="5767" spans="1:5" x14ac:dyDescent="0.3">
      <c r="A5767" t="s">
        <v>5892</v>
      </c>
      <c r="B5767" t="s">
        <v>127</v>
      </c>
      <c r="C5767">
        <v>462</v>
      </c>
      <c r="D5767">
        <f t="shared" si="200"/>
        <v>2020</v>
      </c>
      <c r="E5767">
        <f t="shared" si="201"/>
        <v>6</v>
      </c>
    </row>
    <row r="5768" spans="1:5" x14ac:dyDescent="0.3">
      <c r="A5768" t="s">
        <v>5893</v>
      </c>
      <c r="B5768" t="s">
        <v>127</v>
      </c>
      <c r="C5768">
        <v>472</v>
      </c>
      <c r="D5768">
        <f t="shared" si="200"/>
        <v>2020</v>
      </c>
      <c r="E5768">
        <f t="shared" si="201"/>
        <v>6</v>
      </c>
    </row>
    <row r="5769" spans="1:5" x14ac:dyDescent="0.3">
      <c r="A5769" t="s">
        <v>5894</v>
      </c>
      <c r="B5769" t="s">
        <v>127</v>
      </c>
      <c r="C5769">
        <v>487</v>
      </c>
      <c r="D5769">
        <f t="shared" si="200"/>
        <v>2020</v>
      </c>
      <c r="E5769">
        <f t="shared" si="201"/>
        <v>6</v>
      </c>
    </row>
    <row r="5770" spans="1:5" x14ac:dyDescent="0.3">
      <c r="A5770" t="s">
        <v>5895</v>
      </c>
      <c r="B5770" t="s">
        <v>127</v>
      </c>
      <c r="C5770">
        <v>522</v>
      </c>
      <c r="D5770">
        <f t="shared" si="200"/>
        <v>2020</v>
      </c>
      <c r="E5770">
        <f t="shared" si="201"/>
        <v>6</v>
      </c>
    </row>
    <row r="5771" spans="1:5" x14ac:dyDescent="0.3">
      <c r="A5771" t="s">
        <v>5896</v>
      </c>
      <c r="B5771" t="s">
        <v>127</v>
      </c>
      <c r="C5771">
        <v>517</v>
      </c>
      <c r="D5771">
        <f t="shared" si="200"/>
        <v>2020</v>
      </c>
      <c r="E5771">
        <f t="shared" si="201"/>
        <v>6</v>
      </c>
    </row>
    <row r="5772" spans="1:5" x14ac:dyDescent="0.3">
      <c r="A5772" t="s">
        <v>5897</v>
      </c>
      <c r="B5772" t="s">
        <v>127</v>
      </c>
      <c r="C5772">
        <v>522</v>
      </c>
      <c r="D5772">
        <f t="shared" si="200"/>
        <v>2020</v>
      </c>
      <c r="E5772">
        <f t="shared" si="201"/>
        <v>6</v>
      </c>
    </row>
    <row r="5773" spans="1:5" x14ac:dyDescent="0.3">
      <c r="A5773" t="s">
        <v>5898</v>
      </c>
      <c r="B5773" t="s">
        <v>127</v>
      </c>
      <c r="C5773">
        <v>494</v>
      </c>
      <c r="D5773">
        <f t="shared" si="200"/>
        <v>2020</v>
      </c>
      <c r="E5773">
        <f t="shared" si="201"/>
        <v>6</v>
      </c>
    </row>
    <row r="5774" spans="1:5" x14ac:dyDescent="0.3">
      <c r="A5774" t="s">
        <v>5899</v>
      </c>
      <c r="B5774" t="s">
        <v>127</v>
      </c>
      <c r="C5774">
        <v>502</v>
      </c>
      <c r="D5774">
        <f t="shared" si="200"/>
        <v>2020</v>
      </c>
      <c r="E5774">
        <f t="shared" si="201"/>
        <v>6</v>
      </c>
    </row>
    <row r="5775" spans="1:5" x14ac:dyDescent="0.3">
      <c r="A5775" t="s">
        <v>5900</v>
      </c>
      <c r="B5775" t="s">
        <v>127</v>
      </c>
      <c r="C5775">
        <v>508</v>
      </c>
      <c r="D5775">
        <f t="shared" si="200"/>
        <v>2020</v>
      </c>
      <c r="E5775">
        <f t="shared" si="201"/>
        <v>6</v>
      </c>
    </row>
    <row r="5776" spans="1:5" x14ac:dyDescent="0.3">
      <c r="A5776" t="s">
        <v>5901</v>
      </c>
      <c r="B5776" t="s">
        <v>127</v>
      </c>
      <c r="C5776">
        <v>506</v>
      </c>
      <c r="D5776">
        <f t="shared" si="200"/>
        <v>2020</v>
      </c>
      <c r="E5776">
        <f t="shared" si="201"/>
        <v>6</v>
      </c>
    </row>
    <row r="5777" spans="1:5" x14ac:dyDescent="0.3">
      <c r="A5777" t="s">
        <v>5902</v>
      </c>
      <c r="B5777" t="s">
        <v>127</v>
      </c>
      <c r="C5777">
        <v>513</v>
      </c>
      <c r="D5777">
        <f t="shared" si="200"/>
        <v>2020</v>
      </c>
      <c r="E5777">
        <f t="shared" si="201"/>
        <v>6</v>
      </c>
    </row>
    <row r="5778" spans="1:5" x14ac:dyDescent="0.3">
      <c r="A5778" t="s">
        <v>5903</v>
      </c>
      <c r="B5778" t="s">
        <v>127</v>
      </c>
      <c r="C5778">
        <v>510</v>
      </c>
      <c r="D5778">
        <f t="shared" si="200"/>
        <v>2020</v>
      </c>
      <c r="E5778">
        <f t="shared" si="201"/>
        <v>6</v>
      </c>
    </row>
    <row r="5779" spans="1:5" x14ac:dyDescent="0.3">
      <c r="A5779" t="s">
        <v>5904</v>
      </c>
      <c r="B5779" t="s">
        <v>127</v>
      </c>
      <c r="C5779">
        <v>523</v>
      </c>
      <c r="D5779">
        <f t="shared" si="200"/>
        <v>2020</v>
      </c>
      <c r="E5779">
        <f t="shared" si="201"/>
        <v>6</v>
      </c>
    </row>
    <row r="5780" spans="1:5" x14ac:dyDescent="0.3">
      <c r="A5780" t="s">
        <v>5905</v>
      </c>
      <c r="B5780" t="s">
        <v>127</v>
      </c>
      <c r="C5780">
        <v>523</v>
      </c>
      <c r="D5780">
        <f t="shared" si="200"/>
        <v>2020</v>
      </c>
      <c r="E5780">
        <f t="shared" si="201"/>
        <v>6</v>
      </c>
    </row>
    <row r="5781" spans="1:5" x14ac:dyDescent="0.3">
      <c r="A5781" t="s">
        <v>5906</v>
      </c>
      <c r="B5781" t="s">
        <v>127</v>
      </c>
      <c r="C5781">
        <v>531</v>
      </c>
      <c r="D5781">
        <f t="shared" si="200"/>
        <v>2020</v>
      </c>
      <c r="E5781">
        <f t="shared" si="201"/>
        <v>6</v>
      </c>
    </row>
    <row r="5782" spans="1:5" x14ac:dyDescent="0.3">
      <c r="A5782" t="s">
        <v>5907</v>
      </c>
      <c r="B5782" t="s">
        <v>127</v>
      </c>
      <c r="C5782">
        <v>534</v>
      </c>
      <c r="D5782">
        <f t="shared" si="200"/>
        <v>2020</v>
      </c>
      <c r="E5782">
        <f t="shared" si="201"/>
        <v>6</v>
      </c>
    </row>
    <row r="5783" spans="1:5" x14ac:dyDescent="0.3">
      <c r="A5783" t="s">
        <v>5908</v>
      </c>
      <c r="B5783" t="s">
        <v>127</v>
      </c>
      <c r="C5783">
        <v>526</v>
      </c>
      <c r="D5783">
        <f t="shared" si="200"/>
        <v>2020</v>
      </c>
      <c r="E5783">
        <f t="shared" si="201"/>
        <v>6</v>
      </c>
    </row>
    <row r="5784" spans="1:5" x14ac:dyDescent="0.3">
      <c r="A5784" t="s">
        <v>5909</v>
      </c>
      <c r="B5784" t="s">
        <v>127</v>
      </c>
      <c r="C5784">
        <v>520</v>
      </c>
      <c r="D5784">
        <f t="shared" si="200"/>
        <v>2020</v>
      </c>
      <c r="E5784">
        <f t="shared" si="201"/>
        <v>7</v>
      </c>
    </row>
    <row r="5785" spans="1:5" x14ac:dyDescent="0.3">
      <c r="A5785" t="s">
        <v>5910</v>
      </c>
      <c r="B5785" t="s">
        <v>127</v>
      </c>
      <c r="C5785">
        <v>512</v>
      </c>
      <c r="D5785">
        <f t="shared" si="200"/>
        <v>2020</v>
      </c>
      <c r="E5785">
        <f t="shared" si="201"/>
        <v>7</v>
      </c>
    </row>
    <row r="5786" spans="1:5" x14ac:dyDescent="0.3">
      <c r="A5786" t="s">
        <v>5911</v>
      </c>
      <c r="B5786" t="s">
        <v>127</v>
      </c>
      <c r="C5786">
        <v>512</v>
      </c>
      <c r="D5786">
        <f t="shared" si="200"/>
        <v>2020</v>
      </c>
      <c r="E5786">
        <f t="shared" si="201"/>
        <v>7</v>
      </c>
    </row>
    <row r="5787" spans="1:5" x14ac:dyDescent="0.3">
      <c r="A5787" t="s">
        <v>5912</v>
      </c>
      <c r="B5787" t="s">
        <v>127</v>
      </c>
      <c r="C5787">
        <v>500</v>
      </c>
      <c r="D5787">
        <f t="shared" si="200"/>
        <v>2020</v>
      </c>
      <c r="E5787">
        <f t="shared" si="201"/>
        <v>7</v>
      </c>
    </row>
    <row r="5788" spans="1:5" x14ac:dyDescent="0.3">
      <c r="A5788" t="s">
        <v>5913</v>
      </c>
      <c r="B5788" t="s">
        <v>127</v>
      </c>
      <c r="C5788">
        <v>508</v>
      </c>
      <c r="D5788">
        <f t="shared" si="200"/>
        <v>2020</v>
      </c>
      <c r="E5788">
        <f t="shared" si="201"/>
        <v>7</v>
      </c>
    </row>
    <row r="5789" spans="1:5" x14ac:dyDescent="0.3">
      <c r="A5789" t="s">
        <v>5914</v>
      </c>
      <c r="B5789" t="s">
        <v>127</v>
      </c>
      <c r="C5789">
        <v>507</v>
      </c>
      <c r="D5789">
        <f t="shared" si="200"/>
        <v>2020</v>
      </c>
      <c r="E5789">
        <f t="shared" si="201"/>
        <v>7</v>
      </c>
    </row>
    <row r="5790" spans="1:5" x14ac:dyDescent="0.3">
      <c r="A5790" t="s">
        <v>5915</v>
      </c>
      <c r="B5790" t="s">
        <v>127</v>
      </c>
      <c r="C5790">
        <v>522</v>
      </c>
      <c r="D5790">
        <f t="shared" si="200"/>
        <v>2020</v>
      </c>
      <c r="E5790">
        <f t="shared" si="201"/>
        <v>7</v>
      </c>
    </row>
    <row r="5791" spans="1:5" x14ac:dyDescent="0.3">
      <c r="A5791" t="s">
        <v>5916</v>
      </c>
      <c r="B5791" t="s">
        <v>127</v>
      </c>
      <c r="C5791">
        <v>521</v>
      </c>
      <c r="D5791">
        <f t="shared" si="200"/>
        <v>2020</v>
      </c>
      <c r="E5791">
        <f t="shared" si="201"/>
        <v>7</v>
      </c>
    </row>
    <row r="5792" spans="1:5" x14ac:dyDescent="0.3">
      <c r="A5792" t="s">
        <v>5917</v>
      </c>
      <c r="B5792" t="s">
        <v>127</v>
      </c>
      <c r="C5792">
        <v>515</v>
      </c>
      <c r="D5792">
        <f t="shared" si="200"/>
        <v>2020</v>
      </c>
      <c r="E5792">
        <f t="shared" si="201"/>
        <v>7</v>
      </c>
    </row>
    <row r="5793" spans="1:5" x14ac:dyDescent="0.3">
      <c r="A5793" t="s">
        <v>5918</v>
      </c>
      <c r="B5793" t="s">
        <v>127</v>
      </c>
      <c r="C5793">
        <v>527</v>
      </c>
      <c r="D5793">
        <f t="shared" si="200"/>
        <v>2020</v>
      </c>
      <c r="E5793">
        <f t="shared" si="201"/>
        <v>7</v>
      </c>
    </row>
    <row r="5794" spans="1:5" x14ac:dyDescent="0.3">
      <c r="A5794" t="s">
        <v>5919</v>
      </c>
      <c r="B5794" t="s">
        <v>127</v>
      </c>
      <c r="C5794">
        <v>515</v>
      </c>
      <c r="D5794">
        <f t="shared" si="200"/>
        <v>2020</v>
      </c>
      <c r="E5794">
        <f t="shared" si="201"/>
        <v>7</v>
      </c>
    </row>
    <row r="5795" spans="1:5" x14ac:dyDescent="0.3">
      <c r="A5795" t="s">
        <v>5920</v>
      </c>
      <c r="B5795" t="s">
        <v>127</v>
      </c>
      <c r="C5795">
        <v>517</v>
      </c>
      <c r="D5795">
        <f t="shared" si="200"/>
        <v>2020</v>
      </c>
      <c r="E5795">
        <f t="shared" si="201"/>
        <v>7</v>
      </c>
    </row>
    <row r="5796" spans="1:5" x14ac:dyDescent="0.3">
      <c r="A5796" t="s">
        <v>5921</v>
      </c>
      <c r="B5796" t="s">
        <v>127</v>
      </c>
      <c r="C5796">
        <v>509</v>
      </c>
      <c r="D5796">
        <f t="shared" si="200"/>
        <v>2020</v>
      </c>
      <c r="E5796">
        <f t="shared" si="201"/>
        <v>7</v>
      </c>
    </row>
    <row r="5797" spans="1:5" x14ac:dyDescent="0.3">
      <c r="A5797" t="s">
        <v>5922</v>
      </c>
      <c r="B5797" t="s">
        <v>127</v>
      </c>
      <c r="C5797">
        <v>498</v>
      </c>
      <c r="D5797">
        <f t="shared" si="200"/>
        <v>2020</v>
      </c>
      <c r="E5797">
        <f t="shared" si="201"/>
        <v>7</v>
      </c>
    </row>
    <row r="5798" spans="1:5" x14ac:dyDescent="0.3">
      <c r="A5798" t="s">
        <v>5923</v>
      </c>
      <c r="B5798" t="s">
        <v>127</v>
      </c>
      <c r="C5798">
        <v>489</v>
      </c>
      <c r="D5798">
        <f t="shared" si="200"/>
        <v>2020</v>
      </c>
      <c r="E5798">
        <f t="shared" si="201"/>
        <v>7</v>
      </c>
    </row>
    <row r="5799" spans="1:5" x14ac:dyDescent="0.3">
      <c r="A5799" t="s">
        <v>5924</v>
      </c>
      <c r="B5799" t="s">
        <v>127</v>
      </c>
      <c r="C5799">
        <v>485</v>
      </c>
      <c r="D5799">
        <f t="shared" si="200"/>
        <v>2020</v>
      </c>
      <c r="E5799">
        <f t="shared" si="201"/>
        <v>7</v>
      </c>
    </row>
    <row r="5800" spans="1:5" x14ac:dyDescent="0.3">
      <c r="A5800" t="s">
        <v>5925</v>
      </c>
      <c r="B5800" t="s">
        <v>127</v>
      </c>
      <c r="C5800">
        <v>499</v>
      </c>
      <c r="D5800">
        <f t="shared" si="200"/>
        <v>2020</v>
      </c>
      <c r="E5800">
        <f t="shared" si="201"/>
        <v>7</v>
      </c>
    </row>
    <row r="5801" spans="1:5" x14ac:dyDescent="0.3">
      <c r="A5801" t="s">
        <v>5926</v>
      </c>
      <c r="B5801" t="s">
        <v>127</v>
      </c>
      <c r="C5801">
        <v>503</v>
      </c>
      <c r="D5801">
        <f t="shared" si="200"/>
        <v>2020</v>
      </c>
      <c r="E5801">
        <f t="shared" si="201"/>
        <v>7</v>
      </c>
    </row>
    <row r="5802" spans="1:5" x14ac:dyDescent="0.3">
      <c r="A5802" t="s">
        <v>5927</v>
      </c>
      <c r="B5802" t="s">
        <v>127</v>
      </c>
      <c r="C5802">
        <v>500</v>
      </c>
      <c r="D5802">
        <f t="shared" si="200"/>
        <v>2020</v>
      </c>
      <c r="E5802">
        <f t="shared" si="201"/>
        <v>7</v>
      </c>
    </row>
    <row r="5803" spans="1:5" x14ac:dyDescent="0.3">
      <c r="A5803" t="s">
        <v>5928</v>
      </c>
      <c r="B5803" t="s">
        <v>127</v>
      </c>
      <c r="C5803">
        <v>502</v>
      </c>
      <c r="D5803">
        <f t="shared" si="200"/>
        <v>2020</v>
      </c>
      <c r="E5803">
        <f t="shared" si="201"/>
        <v>7</v>
      </c>
    </row>
    <row r="5804" spans="1:5" x14ac:dyDescent="0.3">
      <c r="A5804" t="s">
        <v>5929</v>
      </c>
      <c r="B5804" t="s">
        <v>127</v>
      </c>
      <c r="C5804">
        <v>491</v>
      </c>
      <c r="D5804">
        <f t="shared" si="200"/>
        <v>2020</v>
      </c>
      <c r="E5804">
        <f t="shared" si="201"/>
        <v>7</v>
      </c>
    </row>
    <row r="5805" spans="1:5" x14ac:dyDescent="0.3">
      <c r="A5805" t="s">
        <v>5930</v>
      </c>
      <c r="B5805" t="s">
        <v>127</v>
      </c>
      <c r="C5805">
        <v>497</v>
      </c>
      <c r="D5805">
        <f t="shared" si="200"/>
        <v>2020</v>
      </c>
      <c r="E5805">
        <f t="shared" si="201"/>
        <v>7</v>
      </c>
    </row>
    <row r="5806" spans="1:5" x14ac:dyDescent="0.3">
      <c r="A5806" t="s">
        <v>5931</v>
      </c>
      <c r="B5806" t="s">
        <v>127</v>
      </c>
      <c r="C5806">
        <v>493</v>
      </c>
      <c r="D5806">
        <f t="shared" si="200"/>
        <v>2020</v>
      </c>
      <c r="E5806">
        <f t="shared" si="201"/>
        <v>7</v>
      </c>
    </row>
    <row r="5807" spans="1:5" x14ac:dyDescent="0.3">
      <c r="A5807" t="s">
        <v>5932</v>
      </c>
      <c r="B5807" t="s">
        <v>127</v>
      </c>
      <c r="C5807">
        <v>491</v>
      </c>
      <c r="D5807">
        <f t="shared" si="200"/>
        <v>2020</v>
      </c>
      <c r="E5807">
        <f t="shared" si="201"/>
        <v>8</v>
      </c>
    </row>
    <row r="5808" spans="1:5" x14ac:dyDescent="0.3">
      <c r="A5808" t="s">
        <v>5933</v>
      </c>
      <c r="B5808" t="s">
        <v>127</v>
      </c>
      <c r="C5808">
        <v>495</v>
      </c>
      <c r="D5808">
        <f t="shared" si="200"/>
        <v>2020</v>
      </c>
      <c r="E5808">
        <f t="shared" si="201"/>
        <v>8</v>
      </c>
    </row>
    <row r="5809" spans="1:5" x14ac:dyDescent="0.3">
      <c r="A5809" t="s">
        <v>5934</v>
      </c>
      <c r="B5809" t="s">
        <v>127</v>
      </c>
      <c r="C5809">
        <v>482</v>
      </c>
      <c r="D5809">
        <f t="shared" si="200"/>
        <v>2020</v>
      </c>
      <c r="E5809">
        <f t="shared" si="201"/>
        <v>8</v>
      </c>
    </row>
    <row r="5810" spans="1:5" x14ac:dyDescent="0.3">
      <c r="A5810" t="s">
        <v>5935</v>
      </c>
      <c r="B5810" t="s">
        <v>127</v>
      </c>
      <c r="C5810">
        <v>474</v>
      </c>
      <c r="D5810">
        <f t="shared" si="200"/>
        <v>2020</v>
      </c>
      <c r="E5810">
        <f t="shared" si="201"/>
        <v>8</v>
      </c>
    </row>
    <row r="5811" spans="1:5" x14ac:dyDescent="0.3">
      <c r="A5811" t="s">
        <v>5936</v>
      </c>
      <c r="B5811" t="s">
        <v>127</v>
      </c>
      <c r="C5811">
        <v>472</v>
      </c>
      <c r="D5811">
        <f t="shared" si="200"/>
        <v>2020</v>
      </c>
      <c r="E5811">
        <f t="shared" si="201"/>
        <v>8</v>
      </c>
    </row>
    <row r="5812" spans="1:5" x14ac:dyDescent="0.3">
      <c r="A5812" t="s">
        <v>5937</v>
      </c>
      <c r="B5812" t="s">
        <v>127</v>
      </c>
      <c r="C5812">
        <v>464</v>
      </c>
      <c r="D5812">
        <f t="shared" si="200"/>
        <v>2020</v>
      </c>
      <c r="E5812">
        <f t="shared" si="201"/>
        <v>8</v>
      </c>
    </row>
    <row r="5813" spans="1:5" x14ac:dyDescent="0.3">
      <c r="A5813" t="s">
        <v>5938</v>
      </c>
      <c r="B5813" t="s">
        <v>127</v>
      </c>
      <c r="C5813">
        <v>456</v>
      </c>
      <c r="D5813">
        <f t="shared" si="200"/>
        <v>2020</v>
      </c>
      <c r="E5813">
        <f t="shared" si="201"/>
        <v>8</v>
      </c>
    </row>
    <row r="5814" spans="1:5" x14ac:dyDescent="0.3">
      <c r="A5814" t="s">
        <v>5939</v>
      </c>
      <c r="B5814" t="s">
        <v>127</v>
      </c>
      <c r="C5814">
        <v>456</v>
      </c>
      <c r="D5814">
        <f t="shared" si="200"/>
        <v>2020</v>
      </c>
      <c r="E5814">
        <f t="shared" si="201"/>
        <v>8</v>
      </c>
    </row>
    <row r="5815" spans="1:5" x14ac:dyDescent="0.3">
      <c r="A5815" t="s">
        <v>5940</v>
      </c>
      <c r="B5815" t="s">
        <v>127</v>
      </c>
      <c r="C5815">
        <v>461</v>
      </c>
      <c r="D5815">
        <f t="shared" si="200"/>
        <v>2020</v>
      </c>
      <c r="E5815">
        <f t="shared" si="201"/>
        <v>8</v>
      </c>
    </row>
    <row r="5816" spans="1:5" x14ac:dyDescent="0.3">
      <c r="A5816" t="s">
        <v>5941</v>
      </c>
      <c r="B5816" t="s">
        <v>127</v>
      </c>
      <c r="C5816">
        <v>467</v>
      </c>
      <c r="D5816">
        <f t="shared" si="200"/>
        <v>2020</v>
      </c>
      <c r="E5816">
        <f t="shared" si="201"/>
        <v>8</v>
      </c>
    </row>
    <row r="5817" spans="1:5" x14ac:dyDescent="0.3">
      <c r="A5817" t="s">
        <v>5942</v>
      </c>
      <c r="B5817" t="s">
        <v>127</v>
      </c>
      <c r="C5817">
        <v>467</v>
      </c>
      <c r="D5817">
        <f t="shared" si="200"/>
        <v>2020</v>
      </c>
      <c r="E5817">
        <f t="shared" si="201"/>
        <v>8</v>
      </c>
    </row>
    <row r="5818" spans="1:5" x14ac:dyDescent="0.3">
      <c r="A5818" t="s">
        <v>5943</v>
      </c>
      <c r="B5818" t="s">
        <v>127</v>
      </c>
      <c r="C5818">
        <v>470</v>
      </c>
      <c r="D5818">
        <f t="shared" si="200"/>
        <v>2020</v>
      </c>
      <c r="E5818">
        <f t="shared" si="201"/>
        <v>8</v>
      </c>
    </row>
    <row r="5819" spans="1:5" x14ac:dyDescent="0.3">
      <c r="A5819" t="s">
        <v>5944</v>
      </c>
      <c r="B5819" t="s">
        <v>127</v>
      </c>
      <c r="C5819">
        <v>470</v>
      </c>
      <c r="D5819">
        <f t="shared" si="200"/>
        <v>2020</v>
      </c>
      <c r="E5819">
        <f t="shared" si="201"/>
        <v>8</v>
      </c>
    </row>
    <row r="5820" spans="1:5" x14ac:dyDescent="0.3">
      <c r="A5820" t="s">
        <v>5945</v>
      </c>
      <c r="B5820" t="s">
        <v>127</v>
      </c>
      <c r="C5820">
        <v>472</v>
      </c>
      <c r="D5820">
        <f t="shared" si="200"/>
        <v>2020</v>
      </c>
      <c r="E5820">
        <f t="shared" si="201"/>
        <v>8</v>
      </c>
    </row>
    <row r="5821" spans="1:5" x14ac:dyDescent="0.3">
      <c r="A5821" t="s">
        <v>5946</v>
      </c>
      <c r="B5821" t="s">
        <v>127</v>
      </c>
      <c r="C5821">
        <v>471</v>
      </c>
      <c r="D5821">
        <f t="shared" si="200"/>
        <v>2020</v>
      </c>
      <c r="E5821">
        <f t="shared" si="201"/>
        <v>8</v>
      </c>
    </row>
    <row r="5822" spans="1:5" x14ac:dyDescent="0.3">
      <c r="A5822" t="s">
        <v>5947</v>
      </c>
      <c r="B5822" t="s">
        <v>127</v>
      </c>
      <c r="C5822">
        <v>466</v>
      </c>
      <c r="D5822">
        <f t="shared" si="200"/>
        <v>2020</v>
      </c>
      <c r="E5822">
        <f t="shared" si="201"/>
        <v>8</v>
      </c>
    </row>
    <row r="5823" spans="1:5" x14ac:dyDescent="0.3">
      <c r="A5823" t="s">
        <v>5948</v>
      </c>
      <c r="B5823" t="s">
        <v>127</v>
      </c>
      <c r="C5823">
        <v>471</v>
      </c>
      <c r="D5823">
        <f t="shared" si="200"/>
        <v>2020</v>
      </c>
      <c r="E5823">
        <f t="shared" si="201"/>
        <v>8</v>
      </c>
    </row>
    <row r="5824" spans="1:5" x14ac:dyDescent="0.3">
      <c r="A5824" t="s">
        <v>5949</v>
      </c>
      <c r="B5824" t="s">
        <v>127</v>
      </c>
      <c r="C5824">
        <v>468</v>
      </c>
      <c r="D5824">
        <f t="shared" si="200"/>
        <v>2020</v>
      </c>
      <c r="E5824">
        <f t="shared" si="201"/>
        <v>8</v>
      </c>
    </row>
    <row r="5825" spans="1:5" x14ac:dyDescent="0.3">
      <c r="A5825" t="s">
        <v>5950</v>
      </c>
      <c r="B5825" t="s">
        <v>127</v>
      </c>
      <c r="C5825">
        <v>464</v>
      </c>
      <c r="D5825">
        <f t="shared" si="200"/>
        <v>2020</v>
      </c>
      <c r="E5825">
        <f t="shared" si="201"/>
        <v>8</v>
      </c>
    </row>
    <row r="5826" spans="1:5" x14ac:dyDescent="0.3">
      <c r="A5826" t="s">
        <v>5951</v>
      </c>
      <c r="B5826" t="s">
        <v>127</v>
      </c>
      <c r="C5826">
        <v>459</v>
      </c>
      <c r="D5826">
        <f t="shared" si="200"/>
        <v>2020</v>
      </c>
      <c r="E5826">
        <f t="shared" si="201"/>
        <v>8</v>
      </c>
    </row>
    <row r="5827" spans="1:5" x14ac:dyDescent="0.3">
      <c r="A5827" t="s">
        <v>5952</v>
      </c>
      <c r="B5827" t="s">
        <v>127</v>
      </c>
      <c r="C5827">
        <v>459</v>
      </c>
      <c r="D5827">
        <f t="shared" ref="D5827:D5890" si="202">YEAR(A5827)</f>
        <v>2020</v>
      </c>
      <c r="E5827">
        <f t="shared" ref="E5827:E5890" si="203">MONTH(A5827)</f>
        <v>8</v>
      </c>
    </row>
    <row r="5828" spans="1:5" x14ac:dyDescent="0.3">
      <c r="A5828" t="s">
        <v>5953</v>
      </c>
      <c r="B5828" t="s">
        <v>127</v>
      </c>
      <c r="C5828">
        <v>451</v>
      </c>
      <c r="D5828">
        <f t="shared" si="202"/>
        <v>2020</v>
      </c>
      <c r="E5828">
        <f t="shared" si="203"/>
        <v>9</v>
      </c>
    </row>
    <row r="5829" spans="1:5" x14ac:dyDescent="0.3">
      <c r="A5829" t="s">
        <v>5954</v>
      </c>
      <c r="B5829" t="s">
        <v>127</v>
      </c>
      <c r="C5829">
        <v>447</v>
      </c>
      <c r="D5829">
        <f t="shared" si="202"/>
        <v>2020</v>
      </c>
      <c r="E5829">
        <f t="shared" si="203"/>
        <v>9</v>
      </c>
    </row>
    <row r="5830" spans="1:5" x14ac:dyDescent="0.3">
      <c r="A5830" t="s">
        <v>5955</v>
      </c>
      <c r="B5830" t="s">
        <v>127</v>
      </c>
      <c r="C5830">
        <v>460</v>
      </c>
      <c r="D5830">
        <f t="shared" si="202"/>
        <v>2020</v>
      </c>
      <c r="E5830">
        <f t="shared" si="203"/>
        <v>9</v>
      </c>
    </row>
    <row r="5831" spans="1:5" x14ac:dyDescent="0.3">
      <c r="A5831" t="s">
        <v>5956</v>
      </c>
      <c r="B5831" t="s">
        <v>127</v>
      </c>
      <c r="C5831">
        <v>459</v>
      </c>
      <c r="D5831">
        <f t="shared" si="202"/>
        <v>2020</v>
      </c>
      <c r="E5831">
        <f t="shared" si="203"/>
        <v>9</v>
      </c>
    </row>
    <row r="5832" spans="1:5" x14ac:dyDescent="0.3">
      <c r="A5832" t="s">
        <v>5957</v>
      </c>
      <c r="B5832" t="s">
        <v>127</v>
      </c>
      <c r="C5832">
        <v>459</v>
      </c>
      <c r="D5832">
        <f t="shared" si="202"/>
        <v>2020</v>
      </c>
      <c r="E5832">
        <f t="shared" si="203"/>
        <v>9</v>
      </c>
    </row>
    <row r="5833" spans="1:5" x14ac:dyDescent="0.3">
      <c r="A5833" t="s">
        <v>5958</v>
      </c>
      <c r="B5833" t="s">
        <v>127</v>
      </c>
      <c r="C5833">
        <v>472</v>
      </c>
      <c r="D5833">
        <f t="shared" si="202"/>
        <v>2020</v>
      </c>
      <c r="E5833">
        <f t="shared" si="203"/>
        <v>9</v>
      </c>
    </row>
    <row r="5834" spans="1:5" x14ac:dyDescent="0.3">
      <c r="A5834" t="s">
        <v>5959</v>
      </c>
      <c r="B5834" t="s">
        <v>127</v>
      </c>
      <c r="C5834">
        <v>466</v>
      </c>
      <c r="D5834">
        <f t="shared" si="202"/>
        <v>2020</v>
      </c>
      <c r="E5834">
        <f t="shared" si="203"/>
        <v>9</v>
      </c>
    </row>
    <row r="5835" spans="1:5" x14ac:dyDescent="0.3">
      <c r="A5835" t="s">
        <v>5960</v>
      </c>
      <c r="B5835" t="s">
        <v>127</v>
      </c>
      <c r="C5835">
        <v>465</v>
      </c>
      <c r="D5835">
        <f t="shared" si="202"/>
        <v>2020</v>
      </c>
      <c r="E5835">
        <f t="shared" si="203"/>
        <v>9</v>
      </c>
    </row>
    <row r="5836" spans="1:5" x14ac:dyDescent="0.3">
      <c r="A5836" t="s">
        <v>5961</v>
      </c>
      <c r="B5836" t="s">
        <v>127</v>
      </c>
      <c r="C5836">
        <v>471</v>
      </c>
      <c r="D5836">
        <f t="shared" si="202"/>
        <v>2020</v>
      </c>
      <c r="E5836">
        <f t="shared" si="203"/>
        <v>9</v>
      </c>
    </row>
    <row r="5837" spans="1:5" x14ac:dyDescent="0.3">
      <c r="A5837" t="s">
        <v>5962</v>
      </c>
      <c r="B5837" t="s">
        <v>127</v>
      </c>
      <c r="C5837">
        <v>471</v>
      </c>
      <c r="D5837">
        <f t="shared" si="202"/>
        <v>2020</v>
      </c>
      <c r="E5837">
        <f t="shared" si="203"/>
        <v>9</v>
      </c>
    </row>
    <row r="5838" spans="1:5" x14ac:dyDescent="0.3">
      <c r="A5838" t="s">
        <v>5963</v>
      </c>
      <c r="B5838" t="s">
        <v>127</v>
      </c>
      <c r="C5838">
        <v>465</v>
      </c>
      <c r="D5838">
        <f t="shared" si="202"/>
        <v>2020</v>
      </c>
      <c r="E5838">
        <f t="shared" si="203"/>
        <v>9</v>
      </c>
    </row>
    <row r="5839" spans="1:5" x14ac:dyDescent="0.3">
      <c r="A5839" t="s">
        <v>5964</v>
      </c>
      <c r="B5839" t="s">
        <v>127</v>
      </c>
      <c r="C5839">
        <v>467</v>
      </c>
      <c r="D5839">
        <f t="shared" si="202"/>
        <v>2020</v>
      </c>
      <c r="E5839">
        <f t="shared" si="203"/>
        <v>9</v>
      </c>
    </row>
    <row r="5840" spans="1:5" x14ac:dyDescent="0.3">
      <c r="A5840" t="s">
        <v>5965</v>
      </c>
      <c r="B5840" t="s">
        <v>127</v>
      </c>
      <c r="C5840">
        <v>473</v>
      </c>
      <c r="D5840">
        <f t="shared" si="202"/>
        <v>2020</v>
      </c>
      <c r="E5840">
        <f t="shared" si="203"/>
        <v>9</v>
      </c>
    </row>
    <row r="5841" spans="1:5" x14ac:dyDescent="0.3">
      <c r="A5841" t="s">
        <v>5966</v>
      </c>
      <c r="B5841" t="s">
        <v>127</v>
      </c>
      <c r="C5841">
        <v>477</v>
      </c>
      <c r="D5841">
        <f t="shared" si="202"/>
        <v>2020</v>
      </c>
      <c r="E5841">
        <f t="shared" si="203"/>
        <v>9</v>
      </c>
    </row>
    <row r="5842" spans="1:5" x14ac:dyDescent="0.3">
      <c r="A5842" t="s">
        <v>5967</v>
      </c>
      <c r="B5842" t="s">
        <v>127</v>
      </c>
      <c r="C5842">
        <v>499</v>
      </c>
      <c r="D5842">
        <f t="shared" si="202"/>
        <v>2020</v>
      </c>
      <c r="E5842">
        <f t="shared" si="203"/>
        <v>9</v>
      </c>
    </row>
    <row r="5843" spans="1:5" x14ac:dyDescent="0.3">
      <c r="A5843" t="s">
        <v>5968</v>
      </c>
      <c r="B5843" t="s">
        <v>127</v>
      </c>
      <c r="C5843">
        <v>505</v>
      </c>
      <c r="D5843">
        <f t="shared" si="202"/>
        <v>2020</v>
      </c>
      <c r="E5843">
        <f t="shared" si="203"/>
        <v>9</v>
      </c>
    </row>
    <row r="5844" spans="1:5" x14ac:dyDescent="0.3">
      <c r="A5844" t="s">
        <v>5969</v>
      </c>
      <c r="B5844" t="s">
        <v>127</v>
      </c>
      <c r="C5844">
        <v>523</v>
      </c>
      <c r="D5844">
        <f t="shared" si="202"/>
        <v>2020</v>
      </c>
      <c r="E5844">
        <f t="shared" si="203"/>
        <v>9</v>
      </c>
    </row>
    <row r="5845" spans="1:5" x14ac:dyDescent="0.3">
      <c r="A5845" t="s">
        <v>5970</v>
      </c>
      <c r="B5845" t="s">
        <v>127</v>
      </c>
      <c r="C5845">
        <v>522</v>
      </c>
      <c r="D5845">
        <f t="shared" si="202"/>
        <v>2020</v>
      </c>
      <c r="E5845">
        <f t="shared" si="203"/>
        <v>9</v>
      </c>
    </row>
    <row r="5846" spans="1:5" x14ac:dyDescent="0.3">
      <c r="A5846" t="s">
        <v>5971</v>
      </c>
      <c r="B5846" t="s">
        <v>127</v>
      </c>
      <c r="C5846">
        <v>512</v>
      </c>
      <c r="D5846">
        <f t="shared" si="202"/>
        <v>2020</v>
      </c>
      <c r="E5846">
        <f t="shared" si="203"/>
        <v>9</v>
      </c>
    </row>
    <row r="5847" spans="1:5" x14ac:dyDescent="0.3">
      <c r="A5847" t="s">
        <v>5972</v>
      </c>
      <c r="B5847" t="s">
        <v>127</v>
      </c>
      <c r="C5847">
        <v>504</v>
      </c>
      <c r="D5847">
        <f t="shared" si="202"/>
        <v>2020</v>
      </c>
      <c r="E5847">
        <f t="shared" si="203"/>
        <v>9</v>
      </c>
    </row>
    <row r="5848" spans="1:5" x14ac:dyDescent="0.3">
      <c r="A5848" t="s">
        <v>5973</v>
      </c>
      <c r="B5848" t="s">
        <v>127</v>
      </c>
      <c r="C5848">
        <v>513</v>
      </c>
      <c r="D5848">
        <f t="shared" si="202"/>
        <v>2020</v>
      </c>
      <c r="E5848">
        <f t="shared" si="203"/>
        <v>9</v>
      </c>
    </row>
    <row r="5849" spans="1:5" x14ac:dyDescent="0.3">
      <c r="A5849" t="s">
        <v>5974</v>
      </c>
      <c r="B5849" t="s">
        <v>127</v>
      </c>
      <c r="C5849">
        <v>513</v>
      </c>
      <c r="D5849">
        <f t="shared" si="202"/>
        <v>2020</v>
      </c>
      <c r="E5849">
        <f t="shared" si="203"/>
        <v>9</v>
      </c>
    </row>
    <row r="5850" spans="1:5" x14ac:dyDescent="0.3">
      <c r="A5850" t="s">
        <v>5975</v>
      </c>
      <c r="B5850" t="s">
        <v>127</v>
      </c>
      <c r="C5850">
        <v>504</v>
      </c>
      <c r="D5850">
        <f t="shared" si="202"/>
        <v>2020</v>
      </c>
      <c r="E5850">
        <f t="shared" si="203"/>
        <v>10</v>
      </c>
    </row>
    <row r="5851" spans="1:5" x14ac:dyDescent="0.3">
      <c r="A5851" t="s">
        <v>5976</v>
      </c>
      <c r="B5851" t="s">
        <v>127</v>
      </c>
      <c r="C5851">
        <v>506</v>
      </c>
      <c r="D5851">
        <f t="shared" si="202"/>
        <v>2020</v>
      </c>
      <c r="E5851">
        <f t="shared" si="203"/>
        <v>10</v>
      </c>
    </row>
    <row r="5852" spans="1:5" x14ac:dyDescent="0.3">
      <c r="A5852" t="s">
        <v>5977</v>
      </c>
      <c r="B5852" t="s">
        <v>127</v>
      </c>
      <c r="C5852">
        <v>492</v>
      </c>
      <c r="D5852">
        <f t="shared" si="202"/>
        <v>2020</v>
      </c>
      <c r="E5852">
        <f t="shared" si="203"/>
        <v>10</v>
      </c>
    </row>
    <row r="5853" spans="1:5" x14ac:dyDescent="0.3">
      <c r="A5853" t="s">
        <v>5978</v>
      </c>
      <c r="B5853" t="s">
        <v>127</v>
      </c>
      <c r="C5853">
        <v>487</v>
      </c>
      <c r="D5853">
        <f t="shared" si="202"/>
        <v>2020</v>
      </c>
      <c r="E5853">
        <f t="shared" si="203"/>
        <v>10</v>
      </c>
    </row>
    <row r="5854" spans="1:5" x14ac:dyDescent="0.3">
      <c r="A5854" t="s">
        <v>5979</v>
      </c>
      <c r="B5854" t="s">
        <v>127</v>
      </c>
      <c r="C5854">
        <v>482</v>
      </c>
      <c r="D5854">
        <f t="shared" si="202"/>
        <v>2020</v>
      </c>
      <c r="E5854">
        <f t="shared" si="203"/>
        <v>10</v>
      </c>
    </row>
    <row r="5855" spans="1:5" x14ac:dyDescent="0.3">
      <c r="A5855" t="s">
        <v>5980</v>
      </c>
      <c r="B5855" t="s">
        <v>127</v>
      </c>
      <c r="C5855">
        <v>472</v>
      </c>
      <c r="D5855">
        <f t="shared" si="202"/>
        <v>2020</v>
      </c>
      <c r="E5855">
        <f t="shared" si="203"/>
        <v>10</v>
      </c>
    </row>
    <row r="5856" spans="1:5" x14ac:dyDescent="0.3">
      <c r="A5856" t="s">
        <v>5981</v>
      </c>
      <c r="B5856" t="s">
        <v>127</v>
      </c>
      <c r="C5856">
        <v>468</v>
      </c>
      <c r="D5856">
        <f t="shared" si="202"/>
        <v>2020</v>
      </c>
      <c r="E5856">
        <f t="shared" si="203"/>
        <v>10</v>
      </c>
    </row>
    <row r="5857" spans="1:5" x14ac:dyDescent="0.3">
      <c r="A5857" t="s">
        <v>5982</v>
      </c>
      <c r="B5857" t="s">
        <v>127</v>
      </c>
      <c r="C5857">
        <v>468</v>
      </c>
      <c r="D5857">
        <f t="shared" si="202"/>
        <v>2020</v>
      </c>
      <c r="E5857">
        <f t="shared" si="203"/>
        <v>10</v>
      </c>
    </row>
    <row r="5858" spans="1:5" x14ac:dyDescent="0.3">
      <c r="A5858" t="s">
        <v>5983</v>
      </c>
      <c r="B5858" t="s">
        <v>127</v>
      </c>
      <c r="C5858">
        <v>469</v>
      </c>
      <c r="D5858">
        <f t="shared" si="202"/>
        <v>2020</v>
      </c>
      <c r="E5858">
        <f t="shared" si="203"/>
        <v>10</v>
      </c>
    </row>
    <row r="5859" spans="1:5" x14ac:dyDescent="0.3">
      <c r="A5859" t="s">
        <v>5984</v>
      </c>
      <c r="B5859" t="s">
        <v>127</v>
      </c>
      <c r="C5859">
        <v>473</v>
      </c>
      <c r="D5859">
        <f t="shared" si="202"/>
        <v>2020</v>
      </c>
      <c r="E5859">
        <f t="shared" si="203"/>
        <v>10</v>
      </c>
    </row>
    <row r="5860" spans="1:5" x14ac:dyDescent="0.3">
      <c r="A5860" t="s">
        <v>5985</v>
      </c>
      <c r="B5860" t="s">
        <v>127</v>
      </c>
      <c r="C5860">
        <v>474</v>
      </c>
      <c r="D5860">
        <f t="shared" si="202"/>
        <v>2020</v>
      </c>
      <c r="E5860">
        <f t="shared" si="203"/>
        <v>10</v>
      </c>
    </row>
    <row r="5861" spans="1:5" x14ac:dyDescent="0.3">
      <c r="A5861" t="s">
        <v>5986</v>
      </c>
      <c r="B5861" t="s">
        <v>127</v>
      </c>
      <c r="C5861">
        <v>472</v>
      </c>
      <c r="D5861">
        <f t="shared" si="202"/>
        <v>2020</v>
      </c>
      <c r="E5861">
        <f t="shared" si="203"/>
        <v>10</v>
      </c>
    </row>
    <row r="5862" spans="1:5" x14ac:dyDescent="0.3">
      <c r="A5862" t="s">
        <v>5987</v>
      </c>
      <c r="B5862" t="s">
        <v>127</v>
      </c>
      <c r="C5862">
        <v>476</v>
      </c>
      <c r="D5862">
        <f t="shared" si="202"/>
        <v>2020</v>
      </c>
      <c r="E5862">
        <f t="shared" si="203"/>
        <v>10</v>
      </c>
    </row>
    <row r="5863" spans="1:5" x14ac:dyDescent="0.3">
      <c r="A5863" t="s">
        <v>5988</v>
      </c>
      <c r="B5863" t="s">
        <v>127</v>
      </c>
      <c r="C5863">
        <v>477</v>
      </c>
      <c r="D5863">
        <f t="shared" si="202"/>
        <v>2020</v>
      </c>
      <c r="E5863">
        <f t="shared" si="203"/>
        <v>10</v>
      </c>
    </row>
    <row r="5864" spans="1:5" x14ac:dyDescent="0.3">
      <c r="A5864" t="s">
        <v>5989</v>
      </c>
      <c r="B5864" t="s">
        <v>127</v>
      </c>
      <c r="C5864">
        <v>483</v>
      </c>
      <c r="D5864">
        <f t="shared" si="202"/>
        <v>2020</v>
      </c>
      <c r="E5864">
        <f t="shared" si="203"/>
        <v>10</v>
      </c>
    </row>
    <row r="5865" spans="1:5" x14ac:dyDescent="0.3">
      <c r="A5865" t="s">
        <v>5990</v>
      </c>
      <c r="B5865" t="s">
        <v>127</v>
      </c>
      <c r="C5865">
        <v>475</v>
      </c>
      <c r="D5865">
        <f t="shared" si="202"/>
        <v>2020</v>
      </c>
      <c r="E5865">
        <f t="shared" si="203"/>
        <v>10</v>
      </c>
    </row>
    <row r="5866" spans="1:5" x14ac:dyDescent="0.3">
      <c r="A5866" t="s">
        <v>5991</v>
      </c>
      <c r="B5866" t="s">
        <v>127</v>
      </c>
      <c r="C5866">
        <v>475</v>
      </c>
      <c r="D5866">
        <f t="shared" si="202"/>
        <v>2020</v>
      </c>
      <c r="E5866">
        <f t="shared" si="203"/>
        <v>10</v>
      </c>
    </row>
    <row r="5867" spans="1:5" x14ac:dyDescent="0.3">
      <c r="A5867" t="s">
        <v>5992</v>
      </c>
      <c r="B5867" t="s">
        <v>127</v>
      </c>
      <c r="C5867">
        <v>473</v>
      </c>
      <c r="D5867">
        <f t="shared" si="202"/>
        <v>2020</v>
      </c>
      <c r="E5867">
        <f t="shared" si="203"/>
        <v>10</v>
      </c>
    </row>
    <row r="5868" spans="1:5" x14ac:dyDescent="0.3">
      <c r="A5868" t="s">
        <v>5993</v>
      </c>
      <c r="B5868" t="s">
        <v>127</v>
      </c>
      <c r="C5868">
        <v>467</v>
      </c>
      <c r="D5868">
        <f t="shared" si="202"/>
        <v>2020</v>
      </c>
      <c r="E5868">
        <f t="shared" si="203"/>
        <v>10</v>
      </c>
    </row>
    <row r="5869" spans="1:5" x14ac:dyDescent="0.3">
      <c r="A5869" t="s">
        <v>5994</v>
      </c>
      <c r="B5869" t="s">
        <v>127</v>
      </c>
      <c r="C5869">
        <v>475</v>
      </c>
      <c r="D5869">
        <f t="shared" si="202"/>
        <v>2020</v>
      </c>
      <c r="E5869">
        <f t="shared" si="203"/>
        <v>10</v>
      </c>
    </row>
    <row r="5870" spans="1:5" x14ac:dyDescent="0.3">
      <c r="A5870" t="s">
        <v>5995</v>
      </c>
      <c r="B5870" t="s">
        <v>127</v>
      </c>
      <c r="C5870">
        <v>477</v>
      </c>
      <c r="D5870">
        <f t="shared" si="202"/>
        <v>2020</v>
      </c>
      <c r="E5870">
        <f t="shared" si="203"/>
        <v>10</v>
      </c>
    </row>
    <row r="5871" spans="1:5" x14ac:dyDescent="0.3">
      <c r="A5871" t="s">
        <v>5996</v>
      </c>
      <c r="B5871" t="s">
        <v>127</v>
      </c>
      <c r="C5871">
        <v>477</v>
      </c>
      <c r="D5871">
        <f t="shared" si="202"/>
        <v>2020</v>
      </c>
      <c r="E5871">
        <f t="shared" si="203"/>
        <v>10</v>
      </c>
    </row>
    <row r="5872" spans="1:5" x14ac:dyDescent="0.3">
      <c r="A5872" t="s">
        <v>5997</v>
      </c>
      <c r="B5872" t="s">
        <v>127</v>
      </c>
      <c r="C5872">
        <v>478</v>
      </c>
      <c r="D5872">
        <f t="shared" si="202"/>
        <v>2020</v>
      </c>
      <c r="E5872">
        <f t="shared" si="203"/>
        <v>11</v>
      </c>
    </row>
    <row r="5873" spans="1:5" x14ac:dyDescent="0.3">
      <c r="A5873" t="s">
        <v>5998</v>
      </c>
      <c r="B5873" t="s">
        <v>127</v>
      </c>
      <c r="C5873">
        <v>470</v>
      </c>
      <c r="D5873">
        <f t="shared" si="202"/>
        <v>2020</v>
      </c>
      <c r="E5873">
        <f t="shared" si="203"/>
        <v>11</v>
      </c>
    </row>
    <row r="5874" spans="1:5" x14ac:dyDescent="0.3">
      <c r="A5874" t="s">
        <v>5999</v>
      </c>
      <c r="B5874" t="s">
        <v>127</v>
      </c>
      <c r="C5874">
        <v>458</v>
      </c>
      <c r="D5874">
        <f t="shared" si="202"/>
        <v>2020</v>
      </c>
      <c r="E5874">
        <f t="shared" si="203"/>
        <v>11</v>
      </c>
    </row>
    <row r="5875" spans="1:5" x14ac:dyDescent="0.3">
      <c r="A5875" t="s">
        <v>6000</v>
      </c>
      <c r="B5875" t="s">
        <v>127</v>
      </c>
      <c r="C5875">
        <v>452</v>
      </c>
      <c r="D5875">
        <f t="shared" si="202"/>
        <v>2020</v>
      </c>
      <c r="E5875">
        <f t="shared" si="203"/>
        <v>11</v>
      </c>
    </row>
    <row r="5876" spans="1:5" x14ac:dyDescent="0.3">
      <c r="A5876" t="s">
        <v>6001</v>
      </c>
      <c r="B5876" t="s">
        <v>127</v>
      </c>
      <c r="C5876">
        <v>446</v>
      </c>
      <c r="D5876">
        <f t="shared" si="202"/>
        <v>2020</v>
      </c>
      <c r="E5876">
        <f t="shared" si="203"/>
        <v>11</v>
      </c>
    </row>
    <row r="5877" spans="1:5" x14ac:dyDescent="0.3">
      <c r="A5877" t="s">
        <v>6002</v>
      </c>
      <c r="B5877" t="s">
        <v>127</v>
      </c>
      <c r="C5877">
        <v>417</v>
      </c>
      <c r="D5877">
        <f t="shared" si="202"/>
        <v>2020</v>
      </c>
      <c r="E5877">
        <f t="shared" si="203"/>
        <v>11</v>
      </c>
    </row>
    <row r="5878" spans="1:5" x14ac:dyDescent="0.3">
      <c r="A5878" t="s">
        <v>6003</v>
      </c>
      <c r="B5878" t="s">
        <v>127</v>
      </c>
      <c r="C5878">
        <v>416</v>
      </c>
      <c r="D5878">
        <f t="shared" si="202"/>
        <v>2020</v>
      </c>
      <c r="E5878">
        <f t="shared" si="203"/>
        <v>11</v>
      </c>
    </row>
    <row r="5879" spans="1:5" x14ac:dyDescent="0.3">
      <c r="A5879" t="s">
        <v>6004</v>
      </c>
      <c r="B5879" t="s">
        <v>127</v>
      </c>
      <c r="C5879">
        <v>416</v>
      </c>
      <c r="D5879">
        <f t="shared" si="202"/>
        <v>2020</v>
      </c>
      <c r="E5879">
        <f t="shared" si="203"/>
        <v>11</v>
      </c>
    </row>
    <row r="5880" spans="1:5" x14ac:dyDescent="0.3">
      <c r="A5880" t="s">
        <v>6005</v>
      </c>
      <c r="B5880" t="s">
        <v>127</v>
      </c>
      <c r="C5880">
        <v>424</v>
      </c>
      <c r="D5880">
        <f t="shared" si="202"/>
        <v>2020</v>
      </c>
      <c r="E5880">
        <f t="shared" si="203"/>
        <v>11</v>
      </c>
    </row>
    <row r="5881" spans="1:5" x14ac:dyDescent="0.3">
      <c r="A5881" t="s">
        <v>6006</v>
      </c>
      <c r="B5881" t="s">
        <v>127</v>
      </c>
      <c r="C5881">
        <v>429</v>
      </c>
      <c r="D5881">
        <f t="shared" si="202"/>
        <v>2020</v>
      </c>
      <c r="E5881">
        <f t="shared" si="203"/>
        <v>11</v>
      </c>
    </row>
    <row r="5882" spans="1:5" x14ac:dyDescent="0.3">
      <c r="A5882" t="s">
        <v>6007</v>
      </c>
      <c r="B5882" t="s">
        <v>127</v>
      </c>
      <c r="C5882">
        <v>422</v>
      </c>
      <c r="D5882">
        <f t="shared" si="202"/>
        <v>2020</v>
      </c>
      <c r="E5882">
        <f t="shared" si="203"/>
        <v>11</v>
      </c>
    </row>
    <row r="5883" spans="1:5" x14ac:dyDescent="0.3">
      <c r="A5883" t="s">
        <v>6008</v>
      </c>
      <c r="B5883" t="s">
        <v>127</v>
      </c>
      <c r="C5883">
        <v>432</v>
      </c>
      <c r="D5883">
        <f t="shared" si="202"/>
        <v>2020</v>
      </c>
      <c r="E5883">
        <f t="shared" si="203"/>
        <v>11</v>
      </c>
    </row>
    <row r="5884" spans="1:5" x14ac:dyDescent="0.3">
      <c r="A5884" t="s">
        <v>6009</v>
      </c>
      <c r="B5884" t="s">
        <v>127</v>
      </c>
      <c r="C5884">
        <v>428</v>
      </c>
      <c r="D5884">
        <f t="shared" si="202"/>
        <v>2020</v>
      </c>
      <c r="E5884">
        <f t="shared" si="203"/>
        <v>11</v>
      </c>
    </row>
    <row r="5885" spans="1:5" x14ac:dyDescent="0.3">
      <c r="A5885" t="s">
        <v>6010</v>
      </c>
      <c r="B5885" t="s">
        <v>127</v>
      </c>
      <c r="C5885">
        <v>430</v>
      </c>
      <c r="D5885">
        <f t="shared" si="202"/>
        <v>2020</v>
      </c>
      <c r="E5885">
        <f t="shared" si="203"/>
        <v>11</v>
      </c>
    </row>
    <row r="5886" spans="1:5" x14ac:dyDescent="0.3">
      <c r="A5886" t="s">
        <v>6011</v>
      </c>
      <c r="B5886" t="s">
        <v>127</v>
      </c>
      <c r="C5886">
        <v>429</v>
      </c>
      <c r="D5886">
        <f t="shared" si="202"/>
        <v>2020</v>
      </c>
      <c r="E5886">
        <f t="shared" si="203"/>
        <v>11</v>
      </c>
    </row>
    <row r="5887" spans="1:5" x14ac:dyDescent="0.3">
      <c r="A5887" t="s">
        <v>6012</v>
      </c>
      <c r="B5887" t="s">
        <v>127</v>
      </c>
      <c r="C5887">
        <v>427</v>
      </c>
      <c r="D5887">
        <f t="shared" si="202"/>
        <v>2020</v>
      </c>
      <c r="E5887">
        <f t="shared" si="203"/>
        <v>11</v>
      </c>
    </row>
    <row r="5888" spans="1:5" x14ac:dyDescent="0.3">
      <c r="A5888" t="s">
        <v>6013</v>
      </c>
      <c r="B5888" t="s">
        <v>127</v>
      </c>
      <c r="C5888">
        <v>420</v>
      </c>
      <c r="D5888">
        <f t="shared" si="202"/>
        <v>2020</v>
      </c>
      <c r="E5888">
        <f t="shared" si="203"/>
        <v>11</v>
      </c>
    </row>
    <row r="5889" spans="1:5" x14ac:dyDescent="0.3">
      <c r="A5889" t="s">
        <v>6014</v>
      </c>
      <c r="B5889" t="s">
        <v>127</v>
      </c>
      <c r="C5889">
        <v>420</v>
      </c>
      <c r="D5889">
        <f t="shared" si="202"/>
        <v>2020</v>
      </c>
      <c r="E5889">
        <f t="shared" si="203"/>
        <v>11</v>
      </c>
    </row>
    <row r="5890" spans="1:5" x14ac:dyDescent="0.3">
      <c r="A5890" t="s">
        <v>6015</v>
      </c>
      <c r="B5890" t="s">
        <v>127</v>
      </c>
      <c r="C5890">
        <v>420</v>
      </c>
      <c r="D5890">
        <f t="shared" si="202"/>
        <v>2020</v>
      </c>
      <c r="E5890">
        <f t="shared" si="203"/>
        <v>11</v>
      </c>
    </row>
    <row r="5891" spans="1:5" x14ac:dyDescent="0.3">
      <c r="A5891" t="s">
        <v>6016</v>
      </c>
      <c r="B5891" t="s">
        <v>127</v>
      </c>
      <c r="C5891">
        <v>421</v>
      </c>
      <c r="D5891">
        <f t="shared" ref="D5891:D5954" si="204">YEAR(A5891)</f>
        <v>2020</v>
      </c>
      <c r="E5891">
        <f t="shared" ref="E5891:E5954" si="205">MONTH(A5891)</f>
        <v>11</v>
      </c>
    </row>
    <row r="5892" spans="1:5" x14ac:dyDescent="0.3">
      <c r="A5892" t="s">
        <v>6017</v>
      </c>
      <c r="B5892" t="s">
        <v>127</v>
      </c>
      <c r="C5892">
        <v>426</v>
      </c>
      <c r="D5892">
        <f t="shared" si="204"/>
        <v>2020</v>
      </c>
      <c r="E5892">
        <f t="shared" si="205"/>
        <v>11</v>
      </c>
    </row>
    <row r="5893" spans="1:5" x14ac:dyDescent="0.3">
      <c r="A5893" t="s">
        <v>6018</v>
      </c>
      <c r="B5893" t="s">
        <v>127</v>
      </c>
      <c r="C5893">
        <v>414</v>
      </c>
      <c r="D5893">
        <f t="shared" si="204"/>
        <v>2020</v>
      </c>
      <c r="E5893">
        <f t="shared" si="205"/>
        <v>12</v>
      </c>
    </row>
    <row r="5894" spans="1:5" x14ac:dyDescent="0.3">
      <c r="A5894" t="s">
        <v>6019</v>
      </c>
      <c r="B5894" t="s">
        <v>127</v>
      </c>
      <c r="C5894">
        <v>413</v>
      </c>
      <c r="D5894">
        <f t="shared" si="204"/>
        <v>2020</v>
      </c>
      <c r="E5894">
        <f t="shared" si="205"/>
        <v>12</v>
      </c>
    </row>
    <row r="5895" spans="1:5" x14ac:dyDescent="0.3">
      <c r="A5895" t="s">
        <v>6020</v>
      </c>
      <c r="B5895" t="s">
        <v>127</v>
      </c>
      <c r="C5895">
        <v>408</v>
      </c>
      <c r="D5895">
        <f t="shared" si="204"/>
        <v>2020</v>
      </c>
      <c r="E5895">
        <f t="shared" si="205"/>
        <v>12</v>
      </c>
    </row>
    <row r="5896" spans="1:5" x14ac:dyDescent="0.3">
      <c r="A5896" t="s">
        <v>6021</v>
      </c>
      <c r="B5896" t="s">
        <v>127</v>
      </c>
      <c r="C5896">
        <v>403</v>
      </c>
      <c r="D5896">
        <f t="shared" si="204"/>
        <v>2020</v>
      </c>
      <c r="E5896">
        <f t="shared" si="205"/>
        <v>12</v>
      </c>
    </row>
    <row r="5897" spans="1:5" x14ac:dyDescent="0.3">
      <c r="A5897" t="s">
        <v>6022</v>
      </c>
      <c r="B5897" t="s">
        <v>127</v>
      </c>
      <c r="C5897">
        <v>408</v>
      </c>
      <c r="D5897">
        <f t="shared" si="204"/>
        <v>2020</v>
      </c>
      <c r="E5897">
        <f t="shared" si="205"/>
        <v>12</v>
      </c>
    </row>
    <row r="5898" spans="1:5" x14ac:dyDescent="0.3">
      <c r="A5898" t="s">
        <v>6023</v>
      </c>
      <c r="B5898" t="s">
        <v>127</v>
      </c>
      <c r="C5898">
        <v>412</v>
      </c>
      <c r="D5898">
        <f t="shared" si="204"/>
        <v>2020</v>
      </c>
      <c r="E5898">
        <f t="shared" si="205"/>
        <v>12</v>
      </c>
    </row>
    <row r="5899" spans="1:5" x14ac:dyDescent="0.3">
      <c r="A5899" t="s">
        <v>6024</v>
      </c>
      <c r="B5899" t="s">
        <v>127</v>
      </c>
      <c r="C5899">
        <v>411</v>
      </c>
      <c r="D5899">
        <f t="shared" si="204"/>
        <v>2020</v>
      </c>
      <c r="E5899">
        <f t="shared" si="205"/>
        <v>12</v>
      </c>
    </row>
    <row r="5900" spans="1:5" x14ac:dyDescent="0.3">
      <c r="A5900" t="s">
        <v>6025</v>
      </c>
      <c r="B5900" t="s">
        <v>127</v>
      </c>
      <c r="C5900">
        <v>405</v>
      </c>
      <c r="D5900">
        <f t="shared" si="204"/>
        <v>2020</v>
      </c>
      <c r="E5900">
        <f t="shared" si="205"/>
        <v>12</v>
      </c>
    </row>
    <row r="5901" spans="1:5" x14ac:dyDescent="0.3">
      <c r="A5901" t="s">
        <v>6026</v>
      </c>
      <c r="B5901" t="s">
        <v>127</v>
      </c>
      <c r="C5901">
        <v>400</v>
      </c>
      <c r="D5901">
        <f t="shared" si="204"/>
        <v>2020</v>
      </c>
      <c r="E5901">
        <f t="shared" si="205"/>
        <v>12</v>
      </c>
    </row>
    <row r="5902" spans="1:5" x14ac:dyDescent="0.3">
      <c r="A5902" t="s">
        <v>6027</v>
      </c>
      <c r="B5902" t="s">
        <v>127</v>
      </c>
      <c r="C5902">
        <v>397</v>
      </c>
      <c r="D5902">
        <f t="shared" si="204"/>
        <v>2020</v>
      </c>
      <c r="E5902">
        <f t="shared" si="205"/>
        <v>12</v>
      </c>
    </row>
    <row r="5903" spans="1:5" x14ac:dyDescent="0.3">
      <c r="A5903" t="s">
        <v>6028</v>
      </c>
      <c r="B5903" t="s">
        <v>127</v>
      </c>
      <c r="C5903">
        <v>390</v>
      </c>
      <c r="D5903">
        <f t="shared" si="204"/>
        <v>2020</v>
      </c>
      <c r="E5903">
        <f t="shared" si="205"/>
        <v>12</v>
      </c>
    </row>
    <row r="5904" spans="1:5" x14ac:dyDescent="0.3">
      <c r="A5904" t="s">
        <v>6029</v>
      </c>
      <c r="B5904" t="s">
        <v>127</v>
      </c>
      <c r="C5904">
        <v>386</v>
      </c>
      <c r="D5904">
        <f t="shared" si="204"/>
        <v>2020</v>
      </c>
      <c r="E5904">
        <f t="shared" si="205"/>
        <v>12</v>
      </c>
    </row>
    <row r="5905" spans="1:5" x14ac:dyDescent="0.3">
      <c r="A5905" t="s">
        <v>6030</v>
      </c>
      <c r="B5905" t="s">
        <v>127</v>
      </c>
      <c r="C5905">
        <v>381</v>
      </c>
      <c r="D5905">
        <f t="shared" si="204"/>
        <v>2020</v>
      </c>
      <c r="E5905">
        <f t="shared" si="205"/>
        <v>12</v>
      </c>
    </row>
    <row r="5906" spans="1:5" x14ac:dyDescent="0.3">
      <c r="A5906" t="s">
        <v>6031</v>
      </c>
      <c r="B5906" t="s">
        <v>127</v>
      </c>
      <c r="C5906">
        <v>382</v>
      </c>
      <c r="D5906">
        <f t="shared" si="204"/>
        <v>2020</v>
      </c>
      <c r="E5906">
        <f t="shared" si="205"/>
        <v>12</v>
      </c>
    </row>
    <row r="5907" spans="1:5" x14ac:dyDescent="0.3">
      <c r="A5907" t="s">
        <v>6032</v>
      </c>
      <c r="B5907" t="s">
        <v>127</v>
      </c>
      <c r="C5907">
        <v>389</v>
      </c>
      <c r="D5907">
        <f t="shared" si="204"/>
        <v>2020</v>
      </c>
      <c r="E5907">
        <f t="shared" si="205"/>
        <v>12</v>
      </c>
    </row>
    <row r="5908" spans="1:5" x14ac:dyDescent="0.3">
      <c r="A5908" t="s">
        <v>6033</v>
      </c>
      <c r="B5908" t="s">
        <v>127</v>
      </c>
      <c r="C5908">
        <v>389</v>
      </c>
      <c r="D5908">
        <f t="shared" si="204"/>
        <v>2020</v>
      </c>
      <c r="E5908">
        <f t="shared" si="205"/>
        <v>12</v>
      </c>
    </row>
    <row r="5909" spans="1:5" x14ac:dyDescent="0.3">
      <c r="A5909" t="s">
        <v>6034</v>
      </c>
      <c r="B5909" t="s">
        <v>127</v>
      </c>
      <c r="C5909">
        <v>381</v>
      </c>
      <c r="D5909">
        <f t="shared" si="204"/>
        <v>2020</v>
      </c>
      <c r="E5909">
        <f t="shared" si="205"/>
        <v>12</v>
      </c>
    </row>
    <row r="5910" spans="1:5" x14ac:dyDescent="0.3">
      <c r="A5910" t="s">
        <v>6035</v>
      </c>
      <c r="B5910" t="s">
        <v>127</v>
      </c>
      <c r="C5910">
        <v>381</v>
      </c>
      <c r="D5910">
        <f t="shared" si="204"/>
        <v>2020</v>
      </c>
      <c r="E5910">
        <f t="shared" si="205"/>
        <v>12</v>
      </c>
    </row>
    <row r="5911" spans="1:5" x14ac:dyDescent="0.3">
      <c r="A5911" t="s">
        <v>6036</v>
      </c>
      <c r="B5911" t="s">
        <v>127</v>
      </c>
      <c r="C5911">
        <v>381</v>
      </c>
      <c r="D5911">
        <f t="shared" si="204"/>
        <v>2020</v>
      </c>
      <c r="E5911">
        <f t="shared" si="205"/>
        <v>12</v>
      </c>
    </row>
    <row r="5912" spans="1:5" x14ac:dyDescent="0.3">
      <c r="A5912" t="s">
        <v>6037</v>
      </c>
      <c r="B5912" t="s">
        <v>127</v>
      </c>
      <c r="C5912">
        <v>378</v>
      </c>
      <c r="D5912">
        <f t="shared" si="204"/>
        <v>2020</v>
      </c>
      <c r="E5912">
        <f t="shared" si="205"/>
        <v>12</v>
      </c>
    </row>
    <row r="5913" spans="1:5" x14ac:dyDescent="0.3">
      <c r="A5913" t="s">
        <v>6038</v>
      </c>
      <c r="B5913" t="s">
        <v>127</v>
      </c>
      <c r="C5913">
        <v>375</v>
      </c>
      <c r="D5913">
        <f t="shared" si="204"/>
        <v>2020</v>
      </c>
      <c r="E5913">
        <f t="shared" si="205"/>
        <v>12</v>
      </c>
    </row>
    <row r="5914" spans="1:5" x14ac:dyDescent="0.3">
      <c r="A5914" t="s">
        <v>6039</v>
      </c>
      <c r="B5914" t="s">
        <v>127</v>
      </c>
      <c r="C5914">
        <v>373</v>
      </c>
      <c r="D5914">
        <f t="shared" si="204"/>
        <v>2020</v>
      </c>
      <c r="E5914">
        <f t="shared" si="205"/>
        <v>12</v>
      </c>
    </row>
    <row r="5915" spans="1:5" x14ac:dyDescent="0.3">
      <c r="A5915" t="s">
        <v>6040</v>
      </c>
      <c r="B5915" t="s">
        <v>127</v>
      </c>
      <c r="C5915">
        <v>361</v>
      </c>
      <c r="D5915">
        <f t="shared" si="204"/>
        <v>2020</v>
      </c>
      <c r="E5915">
        <f t="shared" si="205"/>
        <v>12</v>
      </c>
    </row>
    <row r="5916" spans="1:5" x14ac:dyDescent="0.3">
      <c r="A5916" t="s">
        <v>6041</v>
      </c>
      <c r="B5916" t="s">
        <v>127</v>
      </c>
      <c r="C5916">
        <v>361</v>
      </c>
      <c r="D5916">
        <f t="shared" si="204"/>
        <v>2021</v>
      </c>
      <c r="E5916">
        <f t="shared" si="205"/>
        <v>1</v>
      </c>
    </row>
    <row r="5917" spans="1:5" x14ac:dyDescent="0.3">
      <c r="A5917" t="s">
        <v>6042</v>
      </c>
      <c r="B5917" t="s">
        <v>127</v>
      </c>
      <c r="C5917">
        <v>364</v>
      </c>
      <c r="D5917">
        <f t="shared" si="204"/>
        <v>2021</v>
      </c>
      <c r="E5917">
        <f t="shared" si="205"/>
        <v>1</v>
      </c>
    </row>
    <row r="5918" spans="1:5" x14ac:dyDescent="0.3">
      <c r="A5918" t="s">
        <v>6043</v>
      </c>
      <c r="B5918" t="s">
        <v>127</v>
      </c>
      <c r="C5918">
        <v>368</v>
      </c>
      <c r="D5918">
        <f t="shared" si="204"/>
        <v>2021</v>
      </c>
      <c r="E5918">
        <f t="shared" si="205"/>
        <v>1</v>
      </c>
    </row>
    <row r="5919" spans="1:5" x14ac:dyDescent="0.3">
      <c r="A5919" t="s">
        <v>6044</v>
      </c>
      <c r="B5919" t="s">
        <v>127</v>
      </c>
      <c r="C5919">
        <v>365</v>
      </c>
      <c r="D5919">
        <f t="shared" si="204"/>
        <v>2021</v>
      </c>
      <c r="E5919">
        <f t="shared" si="205"/>
        <v>1</v>
      </c>
    </row>
    <row r="5920" spans="1:5" x14ac:dyDescent="0.3">
      <c r="A5920" t="s">
        <v>6045</v>
      </c>
      <c r="B5920" t="s">
        <v>127</v>
      </c>
      <c r="C5920">
        <v>362</v>
      </c>
      <c r="D5920">
        <f t="shared" si="204"/>
        <v>2021</v>
      </c>
      <c r="E5920">
        <f t="shared" si="205"/>
        <v>1</v>
      </c>
    </row>
    <row r="5921" spans="1:5" x14ac:dyDescent="0.3">
      <c r="A5921" t="s">
        <v>6046</v>
      </c>
      <c r="B5921" t="s">
        <v>127</v>
      </c>
      <c r="C5921">
        <v>357</v>
      </c>
      <c r="D5921">
        <f t="shared" si="204"/>
        <v>2021</v>
      </c>
      <c r="E5921">
        <f t="shared" si="205"/>
        <v>1</v>
      </c>
    </row>
    <row r="5922" spans="1:5" x14ac:dyDescent="0.3">
      <c r="A5922" t="s">
        <v>6047</v>
      </c>
      <c r="B5922" t="s">
        <v>127</v>
      </c>
      <c r="C5922">
        <v>365</v>
      </c>
      <c r="D5922">
        <f t="shared" si="204"/>
        <v>2021</v>
      </c>
      <c r="E5922">
        <f t="shared" si="205"/>
        <v>1</v>
      </c>
    </row>
    <row r="5923" spans="1:5" x14ac:dyDescent="0.3">
      <c r="A5923" t="s">
        <v>6048</v>
      </c>
      <c r="B5923" t="s">
        <v>127</v>
      </c>
      <c r="C5923">
        <v>374</v>
      </c>
      <c r="D5923">
        <f t="shared" si="204"/>
        <v>2021</v>
      </c>
      <c r="E5923">
        <f t="shared" si="205"/>
        <v>1</v>
      </c>
    </row>
    <row r="5924" spans="1:5" x14ac:dyDescent="0.3">
      <c r="A5924" t="s">
        <v>6049</v>
      </c>
      <c r="B5924" t="s">
        <v>127</v>
      </c>
      <c r="C5924">
        <v>375</v>
      </c>
      <c r="D5924">
        <f t="shared" si="204"/>
        <v>2021</v>
      </c>
      <c r="E5924">
        <f t="shared" si="205"/>
        <v>1</v>
      </c>
    </row>
    <row r="5925" spans="1:5" x14ac:dyDescent="0.3">
      <c r="A5925" t="s">
        <v>6050</v>
      </c>
      <c r="B5925" t="s">
        <v>127</v>
      </c>
      <c r="C5925">
        <v>372</v>
      </c>
      <c r="D5925">
        <f t="shared" si="204"/>
        <v>2021</v>
      </c>
      <c r="E5925">
        <f t="shared" si="205"/>
        <v>1</v>
      </c>
    </row>
    <row r="5926" spans="1:5" x14ac:dyDescent="0.3">
      <c r="A5926" t="s">
        <v>6051</v>
      </c>
      <c r="B5926" t="s">
        <v>127</v>
      </c>
      <c r="C5926">
        <v>380</v>
      </c>
      <c r="D5926">
        <f t="shared" si="204"/>
        <v>2021</v>
      </c>
      <c r="E5926">
        <f t="shared" si="205"/>
        <v>1</v>
      </c>
    </row>
    <row r="5927" spans="1:5" x14ac:dyDescent="0.3">
      <c r="A5927" t="s">
        <v>6052</v>
      </c>
      <c r="B5927" t="s">
        <v>127</v>
      </c>
      <c r="C5927">
        <v>380</v>
      </c>
      <c r="D5927">
        <f t="shared" si="204"/>
        <v>2021</v>
      </c>
      <c r="E5927">
        <f t="shared" si="205"/>
        <v>1</v>
      </c>
    </row>
    <row r="5928" spans="1:5" x14ac:dyDescent="0.3">
      <c r="A5928" t="s">
        <v>6053</v>
      </c>
      <c r="B5928" t="s">
        <v>127</v>
      </c>
      <c r="C5928">
        <v>380</v>
      </c>
      <c r="D5928">
        <f t="shared" si="204"/>
        <v>2021</v>
      </c>
      <c r="E5928">
        <f t="shared" si="205"/>
        <v>1</v>
      </c>
    </row>
    <row r="5929" spans="1:5" x14ac:dyDescent="0.3">
      <c r="A5929" t="s">
        <v>6054</v>
      </c>
      <c r="B5929" t="s">
        <v>127</v>
      </c>
      <c r="C5929">
        <v>378</v>
      </c>
      <c r="D5929">
        <f t="shared" si="204"/>
        <v>2021</v>
      </c>
      <c r="E5929">
        <f t="shared" si="205"/>
        <v>1</v>
      </c>
    </row>
    <row r="5930" spans="1:5" x14ac:dyDescent="0.3">
      <c r="A5930" t="s">
        <v>6055</v>
      </c>
      <c r="B5930" t="s">
        <v>127</v>
      </c>
      <c r="C5930">
        <v>374</v>
      </c>
      <c r="D5930">
        <f t="shared" si="204"/>
        <v>2021</v>
      </c>
      <c r="E5930">
        <f t="shared" si="205"/>
        <v>1</v>
      </c>
    </row>
    <row r="5931" spans="1:5" x14ac:dyDescent="0.3">
      <c r="A5931" t="s">
        <v>6056</v>
      </c>
      <c r="B5931" t="s">
        <v>127</v>
      </c>
      <c r="C5931">
        <v>376</v>
      </c>
      <c r="D5931">
        <f t="shared" si="204"/>
        <v>2021</v>
      </c>
      <c r="E5931">
        <f t="shared" si="205"/>
        <v>1</v>
      </c>
    </row>
    <row r="5932" spans="1:5" x14ac:dyDescent="0.3">
      <c r="A5932" t="s">
        <v>6057</v>
      </c>
      <c r="B5932" t="s">
        <v>127</v>
      </c>
      <c r="C5932">
        <v>381</v>
      </c>
      <c r="D5932">
        <f t="shared" si="204"/>
        <v>2021</v>
      </c>
      <c r="E5932">
        <f t="shared" si="205"/>
        <v>1</v>
      </c>
    </row>
    <row r="5933" spans="1:5" x14ac:dyDescent="0.3">
      <c r="A5933" t="s">
        <v>6058</v>
      </c>
      <c r="B5933" t="s">
        <v>127</v>
      </c>
      <c r="C5933">
        <v>382</v>
      </c>
      <c r="D5933">
        <f t="shared" si="204"/>
        <v>2021</v>
      </c>
      <c r="E5933">
        <f t="shared" si="205"/>
        <v>1</v>
      </c>
    </row>
    <row r="5934" spans="1:5" x14ac:dyDescent="0.3">
      <c r="A5934" t="s">
        <v>6059</v>
      </c>
      <c r="B5934" t="s">
        <v>127</v>
      </c>
      <c r="C5934">
        <v>389</v>
      </c>
      <c r="D5934">
        <f t="shared" si="204"/>
        <v>2021</v>
      </c>
      <c r="E5934">
        <f t="shared" si="205"/>
        <v>1</v>
      </c>
    </row>
    <row r="5935" spans="1:5" x14ac:dyDescent="0.3">
      <c r="A5935" t="s">
        <v>6060</v>
      </c>
      <c r="B5935" t="s">
        <v>127</v>
      </c>
      <c r="C5935">
        <v>383</v>
      </c>
      <c r="D5935">
        <f t="shared" si="204"/>
        <v>2021</v>
      </c>
      <c r="E5935">
        <f t="shared" si="205"/>
        <v>1</v>
      </c>
    </row>
    <row r="5936" spans="1:5" x14ac:dyDescent="0.3">
      <c r="A5936" t="s">
        <v>6061</v>
      </c>
      <c r="B5936" t="s">
        <v>127</v>
      </c>
      <c r="C5936">
        <v>378</v>
      </c>
      <c r="D5936">
        <f t="shared" si="204"/>
        <v>2021</v>
      </c>
      <c r="E5936">
        <f t="shared" si="205"/>
        <v>1</v>
      </c>
    </row>
    <row r="5937" spans="1:5" x14ac:dyDescent="0.3">
      <c r="A5937" t="s">
        <v>6062</v>
      </c>
      <c r="B5937" t="s">
        <v>127</v>
      </c>
      <c r="C5937">
        <v>378</v>
      </c>
      <c r="D5937">
        <f t="shared" si="204"/>
        <v>2021</v>
      </c>
      <c r="E5937">
        <f t="shared" si="205"/>
        <v>2</v>
      </c>
    </row>
    <row r="5938" spans="1:5" x14ac:dyDescent="0.3">
      <c r="A5938" t="s">
        <v>6063</v>
      </c>
      <c r="B5938" t="s">
        <v>127</v>
      </c>
      <c r="C5938">
        <v>373</v>
      </c>
      <c r="D5938">
        <f t="shared" si="204"/>
        <v>2021</v>
      </c>
      <c r="E5938">
        <f t="shared" si="205"/>
        <v>2</v>
      </c>
    </row>
    <row r="5939" spans="1:5" x14ac:dyDescent="0.3">
      <c r="A5939" t="s">
        <v>6064</v>
      </c>
      <c r="B5939" t="s">
        <v>127</v>
      </c>
      <c r="C5939">
        <v>371</v>
      </c>
      <c r="D5939">
        <f t="shared" si="204"/>
        <v>2021</v>
      </c>
      <c r="E5939">
        <f t="shared" si="205"/>
        <v>2</v>
      </c>
    </row>
    <row r="5940" spans="1:5" x14ac:dyDescent="0.3">
      <c r="A5940" t="s">
        <v>6065</v>
      </c>
      <c r="B5940" t="s">
        <v>127</v>
      </c>
      <c r="C5940">
        <v>362</v>
      </c>
      <c r="D5940">
        <f t="shared" si="204"/>
        <v>2021</v>
      </c>
      <c r="E5940">
        <f t="shared" si="205"/>
        <v>2</v>
      </c>
    </row>
    <row r="5941" spans="1:5" x14ac:dyDescent="0.3">
      <c r="A5941" t="s">
        <v>6066</v>
      </c>
      <c r="B5941" t="s">
        <v>127</v>
      </c>
      <c r="C5941">
        <v>354</v>
      </c>
      <c r="D5941">
        <f t="shared" si="204"/>
        <v>2021</v>
      </c>
      <c r="E5941">
        <f t="shared" si="205"/>
        <v>2</v>
      </c>
    </row>
    <row r="5942" spans="1:5" x14ac:dyDescent="0.3">
      <c r="A5942" t="s">
        <v>6067</v>
      </c>
      <c r="B5942" t="s">
        <v>127</v>
      </c>
      <c r="C5942">
        <v>357</v>
      </c>
      <c r="D5942">
        <f t="shared" si="204"/>
        <v>2021</v>
      </c>
      <c r="E5942">
        <f t="shared" si="205"/>
        <v>2</v>
      </c>
    </row>
    <row r="5943" spans="1:5" x14ac:dyDescent="0.3">
      <c r="A5943" t="s">
        <v>6068</v>
      </c>
      <c r="B5943" t="s">
        <v>127</v>
      </c>
      <c r="C5943">
        <v>356</v>
      </c>
      <c r="D5943">
        <f t="shared" si="204"/>
        <v>2021</v>
      </c>
      <c r="E5943">
        <f t="shared" si="205"/>
        <v>2</v>
      </c>
    </row>
    <row r="5944" spans="1:5" x14ac:dyDescent="0.3">
      <c r="A5944" t="s">
        <v>6069</v>
      </c>
      <c r="B5944" t="s">
        <v>127</v>
      </c>
      <c r="C5944">
        <v>356</v>
      </c>
      <c r="D5944">
        <f t="shared" si="204"/>
        <v>2021</v>
      </c>
      <c r="E5944">
        <f t="shared" si="205"/>
        <v>2</v>
      </c>
    </row>
    <row r="5945" spans="1:5" x14ac:dyDescent="0.3">
      <c r="A5945" t="s">
        <v>6070</v>
      </c>
      <c r="B5945" t="s">
        <v>127</v>
      </c>
      <c r="C5945">
        <v>351</v>
      </c>
      <c r="D5945">
        <f t="shared" si="204"/>
        <v>2021</v>
      </c>
      <c r="E5945">
        <f t="shared" si="205"/>
        <v>2</v>
      </c>
    </row>
    <row r="5946" spans="1:5" x14ac:dyDescent="0.3">
      <c r="A5946" t="s">
        <v>6071</v>
      </c>
      <c r="B5946" t="s">
        <v>127</v>
      </c>
      <c r="C5946">
        <v>347</v>
      </c>
      <c r="D5946">
        <f t="shared" si="204"/>
        <v>2021</v>
      </c>
      <c r="E5946">
        <f t="shared" si="205"/>
        <v>2</v>
      </c>
    </row>
    <row r="5947" spans="1:5" x14ac:dyDescent="0.3">
      <c r="A5947" t="s">
        <v>6072</v>
      </c>
      <c r="B5947" t="s">
        <v>127</v>
      </c>
      <c r="C5947">
        <v>347</v>
      </c>
      <c r="D5947">
        <f t="shared" si="204"/>
        <v>2021</v>
      </c>
      <c r="E5947">
        <f t="shared" si="205"/>
        <v>2</v>
      </c>
    </row>
    <row r="5948" spans="1:5" x14ac:dyDescent="0.3">
      <c r="A5948" t="s">
        <v>6073</v>
      </c>
      <c r="B5948" t="s">
        <v>127</v>
      </c>
      <c r="C5948">
        <v>351</v>
      </c>
      <c r="D5948">
        <f t="shared" si="204"/>
        <v>2021</v>
      </c>
      <c r="E5948">
        <f t="shared" si="205"/>
        <v>2</v>
      </c>
    </row>
    <row r="5949" spans="1:5" x14ac:dyDescent="0.3">
      <c r="A5949" t="s">
        <v>6074</v>
      </c>
      <c r="B5949" t="s">
        <v>127</v>
      </c>
      <c r="C5949">
        <v>350</v>
      </c>
      <c r="D5949">
        <f t="shared" si="204"/>
        <v>2021</v>
      </c>
      <c r="E5949">
        <f t="shared" si="205"/>
        <v>2</v>
      </c>
    </row>
    <row r="5950" spans="1:5" x14ac:dyDescent="0.3">
      <c r="A5950" t="s">
        <v>6075</v>
      </c>
      <c r="B5950" t="s">
        <v>127</v>
      </c>
      <c r="C5950">
        <v>346</v>
      </c>
      <c r="D5950">
        <f t="shared" si="204"/>
        <v>2021</v>
      </c>
      <c r="E5950">
        <f t="shared" si="205"/>
        <v>2</v>
      </c>
    </row>
    <row r="5951" spans="1:5" x14ac:dyDescent="0.3">
      <c r="A5951" t="s">
        <v>6076</v>
      </c>
      <c r="B5951" t="s">
        <v>127</v>
      </c>
      <c r="C5951">
        <v>346</v>
      </c>
      <c r="D5951">
        <f t="shared" si="204"/>
        <v>2021</v>
      </c>
      <c r="E5951">
        <f t="shared" si="205"/>
        <v>2</v>
      </c>
    </row>
    <row r="5952" spans="1:5" x14ac:dyDescent="0.3">
      <c r="A5952" t="s">
        <v>6077</v>
      </c>
      <c r="B5952" t="s">
        <v>127</v>
      </c>
      <c r="C5952">
        <v>353</v>
      </c>
      <c r="D5952">
        <f t="shared" si="204"/>
        <v>2021</v>
      </c>
      <c r="E5952">
        <f t="shared" si="205"/>
        <v>2</v>
      </c>
    </row>
    <row r="5953" spans="1:5" x14ac:dyDescent="0.3">
      <c r="A5953" t="s">
        <v>6078</v>
      </c>
      <c r="B5953" t="s">
        <v>127</v>
      </c>
      <c r="C5953">
        <v>354</v>
      </c>
      <c r="D5953">
        <f t="shared" si="204"/>
        <v>2021</v>
      </c>
      <c r="E5953">
        <f t="shared" si="205"/>
        <v>2</v>
      </c>
    </row>
    <row r="5954" spans="1:5" x14ac:dyDescent="0.3">
      <c r="A5954" t="s">
        <v>6079</v>
      </c>
      <c r="B5954" t="s">
        <v>127</v>
      </c>
      <c r="C5954">
        <v>352</v>
      </c>
      <c r="D5954">
        <f t="shared" si="204"/>
        <v>2021</v>
      </c>
      <c r="E5954">
        <f t="shared" si="205"/>
        <v>2</v>
      </c>
    </row>
    <row r="5955" spans="1:5" x14ac:dyDescent="0.3">
      <c r="A5955" t="s">
        <v>6080</v>
      </c>
      <c r="B5955" t="s">
        <v>127</v>
      </c>
      <c r="C5955">
        <v>360</v>
      </c>
      <c r="D5955">
        <f t="shared" ref="D5955:D6018" si="206">YEAR(A5955)</f>
        <v>2021</v>
      </c>
      <c r="E5955">
        <f t="shared" ref="E5955:E6018" si="207">MONTH(A5955)</f>
        <v>2</v>
      </c>
    </row>
    <row r="5956" spans="1:5" x14ac:dyDescent="0.3">
      <c r="A5956" t="s">
        <v>6081</v>
      </c>
      <c r="B5956" t="s">
        <v>127</v>
      </c>
      <c r="C5956">
        <v>368</v>
      </c>
      <c r="D5956">
        <f t="shared" si="206"/>
        <v>2021</v>
      </c>
      <c r="E5956">
        <f t="shared" si="207"/>
        <v>2</v>
      </c>
    </row>
    <row r="5957" spans="1:5" x14ac:dyDescent="0.3">
      <c r="A5957" t="s">
        <v>6082</v>
      </c>
      <c r="B5957" t="s">
        <v>127</v>
      </c>
      <c r="C5957">
        <v>359</v>
      </c>
      <c r="D5957">
        <f t="shared" si="206"/>
        <v>2021</v>
      </c>
      <c r="E5957">
        <f t="shared" si="207"/>
        <v>3</v>
      </c>
    </row>
    <row r="5958" spans="1:5" x14ac:dyDescent="0.3">
      <c r="A5958" t="s">
        <v>6083</v>
      </c>
      <c r="B5958" t="s">
        <v>127</v>
      </c>
      <c r="C5958">
        <v>355</v>
      </c>
      <c r="D5958">
        <f t="shared" si="206"/>
        <v>2021</v>
      </c>
      <c r="E5958">
        <f t="shared" si="207"/>
        <v>3</v>
      </c>
    </row>
    <row r="5959" spans="1:5" x14ac:dyDescent="0.3">
      <c r="A5959" t="s">
        <v>6084</v>
      </c>
      <c r="B5959" t="s">
        <v>127</v>
      </c>
      <c r="C5959">
        <v>355</v>
      </c>
      <c r="D5959">
        <f t="shared" si="206"/>
        <v>2021</v>
      </c>
      <c r="E5959">
        <f t="shared" si="207"/>
        <v>3</v>
      </c>
    </row>
    <row r="5960" spans="1:5" x14ac:dyDescent="0.3">
      <c r="A5960" t="s">
        <v>6085</v>
      </c>
      <c r="B5960" t="s">
        <v>127</v>
      </c>
      <c r="C5960">
        <v>358</v>
      </c>
      <c r="D5960">
        <f t="shared" si="206"/>
        <v>2021</v>
      </c>
      <c r="E5960">
        <f t="shared" si="207"/>
        <v>3</v>
      </c>
    </row>
    <row r="5961" spans="1:5" x14ac:dyDescent="0.3">
      <c r="A5961" t="s">
        <v>6086</v>
      </c>
      <c r="B5961" t="s">
        <v>127</v>
      </c>
      <c r="C5961">
        <v>371</v>
      </c>
      <c r="D5961">
        <f t="shared" si="206"/>
        <v>2021</v>
      </c>
      <c r="E5961">
        <f t="shared" si="207"/>
        <v>3</v>
      </c>
    </row>
    <row r="5962" spans="1:5" x14ac:dyDescent="0.3">
      <c r="A5962" t="s">
        <v>6087</v>
      </c>
      <c r="B5962" t="s">
        <v>127</v>
      </c>
      <c r="C5962">
        <v>384</v>
      </c>
      <c r="D5962">
        <f t="shared" si="206"/>
        <v>2021</v>
      </c>
      <c r="E5962">
        <f t="shared" si="207"/>
        <v>3</v>
      </c>
    </row>
    <row r="5963" spans="1:5" x14ac:dyDescent="0.3">
      <c r="A5963" t="s">
        <v>6088</v>
      </c>
      <c r="B5963" t="s">
        <v>127</v>
      </c>
      <c r="C5963">
        <v>380</v>
      </c>
      <c r="D5963">
        <f t="shared" si="206"/>
        <v>2021</v>
      </c>
      <c r="E5963">
        <f t="shared" si="207"/>
        <v>3</v>
      </c>
    </row>
    <row r="5964" spans="1:5" x14ac:dyDescent="0.3">
      <c r="A5964" t="s">
        <v>6089</v>
      </c>
      <c r="B5964" t="s">
        <v>127</v>
      </c>
      <c r="C5964">
        <v>367</v>
      </c>
      <c r="D5964">
        <f t="shared" si="206"/>
        <v>2021</v>
      </c>
      <c r="E5964">
        <f t="shared" si="207"/>
        <v>3</v>
      </c>
    </row>
    <row r="5965" spans="1:5" x14ac:dyDescent="0.3">
      <c r="A5965" t="s">
        <v>6090</v>
      </c>
      <c r="B5965" t="s">
        <v>127</v>
      </c>
      <c r="C5965">
        <v>359</v>
      </c>
      <c r="D5965">
        <f t="shared" si="206"/>
        <v>2021</v>
      </c>
      <c r="E5965">
        <f t="shared" si="207"/>
        <v>3</v>
      </c>
    </row>
    <row r="5966" spans="1:5" x14ac:dyDescent="0.3">
      <c r="A5966" t="s">
        <v>6091</v>
      </c>
      <c r="B5966" t="s">
        <v>127</v>
      </c>
      <c r="C5966">
        <v>358</v>
      </c>
      <c r="D5966">
        <f t="shared" si="206"/>
        <v>2021</v>
      </c>
      <c r="E5966">
        <f t="shared" si="207"/>
        <v>3</v>
      </c>
    </row>
    <row r="5967" spans="1:5" x14ac:dyDescent="0.3">
      <c r="A5967" t="s">
        <v>6092</v>
      </c>
      <c r="B5967" t="s">
        <v>127</v>
      </c>
      <c r="C5967">
        <v>361</v>
      </c>
      <c r="D5967">
        <f t="shared" si="206"/>
        <v>2021</v>
      </c>
      <c r="E5967">
        <f t="shared" si="207"/>
        <v>3</v>
      </c>
    </row>
    <row r="5968" spans="1:5" x14ac:dyDescent="0.3">
      <c r="A5968" t="s">
        <v>6093</v>
      </c>
      <c r="B5968" t="s">
        <v>127</v>
      </c>
      <c r="C5968">
        <v>350</v>
      </c>
      <c r="D5968">
        <f t="shared" si="206"/>
        <v>2021</v>
      </c>
      <c r="E5968">
        <f t="shared" si="207"/>
        <v>3</v>
      </c>
    </row>
    <row r="5969" spans="1:5" x14ac:dyDescent="0.3">
      <c r="A5969" t="s">
        <v>6094</v>
      </c>
      <c r="B5969" t="s">
        <v>127</v>
      </c>
      <c r="C5969">
        <v>351</v>
      </c>
      <c r="D5969">
        <f t="shared" si="206"/>
        <v>2021</v>
      </c>
      <c r="E5969">
        <f t="shared" si="207"/>
        <v>3</v>
      </c>
    </row>
    <row r="5970" spans="1:5" x14ac:dyDescent="0.3">
      <c r="A5970" t="s">
        <v>6095</v>
      </c>
      <c r="B5970" t="s">
        <v>127</v>
      </c>
      <c r="C5970">
        <v>346</v>
      </c>
      <c r="D5970">
        <f t="shared" si="206"/>
        <v>2021</v>
      </c>
      <c r="E5970">
        <f t="shared" si="207"/>
        <v>3</v>
      </c>
    </row>
    <row r="5971" spans="1:5" x14ac:dyDescent="0.3">
      <c r="A5971" t="s">
        <v>6096</v>
      </c>
      <c r="B5971" t="s">
        <v>127</v>
      </c>
      <c r="C5971">
        <v>342</v>
      </c>
      <c r="D5971">
        <f t="shared" si="206"/>
        <v>2021</v>
      </c>
      <c r="E5971">
        <f t="shared" si="207"/>
        <v>3</v>
      </c>
    </row>
    <row r="5972" spans="1:5" x14ac:dyDescent="0.3">
      <c r="A5972" t="s">
        <v>6097</v>
      </c>
      <c r="B5972" t="s">
        <v>127</v>
      </c>
      <c r="C5972">
        <v>341</v>
      </c>
      <c r="D5972">
        <f t="shared" si="206"/>
        <v>2021</v>
      </c>
      <c r="E5972">
        <f t="shared" si="207"/>
        <v>3</v>
      </c>
    </row>
    <row r="5973" spans="1:5" x14ac:dyDescent="0.3">
      <c r="A5973" t="s">
        <v>6098</v>
      </c>
      <c r="B5973" t="s">
        <v>127</v>
      </c>
      <c r="C5973">
        <v>344</v>
      </c>
      <c r="D5973">
        <f t="shared" si="206"/>
        <v>2021</v>
      </c>
      <c r="E5973">
        <f t="shared" si="207"/>
        <v>3</v>
      </c>
    </row>
    <row r="5974" spans="1:5" x14ac:dyDescent="0.3">
      <c r="A5974" t="s">
        <v>6099</v>
      </c>
      <c r="B5974" t="s">
        <v>127</v>
      </c>
      <c r="C5974">
        <v>344</v>
      </c>
      <c r="D5974">
        <f t="shared" si="206"/>
        <v>2021</v>
      </c>
      <c r="E5974">
        <f t="shared" si="207"/>
        <v>3</v>
      </c>
    </row>
    <row r="5975" spans="1:5" x14ac:dyDescent="0.3">
      <c r="A5975" t="s">
        <v>6100</v>
      </c>
      <c r="B5975" t="s">
        <v>127</v>
      </c>
      <c r="C5975">
        <v>356</v>
      </c>
      <c r="D5975">
        <f t="shared" si="206"/>
        <v>2021</v>
      </c>
      <c r="E5975">
        <f t="shared" si="207"/>
        <v>3</v>
      </c>
    </row>
    <row r="5976" spans="1:5" x14ac:dyDescent="0.3">
      <c r="A5976" t="s">
        <v>6101</v>
      </c>
      <c r="B5976" t="s">
        <v>127</v>
      </c>
      <c r="C5976">
        <v>353</v>
      </c>
      <c r="D5976">
        <f t="shared" si="206"/>
        <v>2021</v>
      </c>
      <c r="E5976">
        <f t="shared" si="207"/>
        <v>3</v>
      </c>
    </row>
    <row r="5977" spans="1:5" x14ac:dyDescent="0.3">
      <c r="A5977" t="s">
        <v>6102</v>
      </c>
      <c r="B5977" t="s">
        <v>127</v>
      </c>
      <c r="C5977">
        <v>350</v>
      </c>
      <c r="D5977">
        <f t="shared" si="206"/>
        <v>2021</v>
      </c>
      <c r="E5977">
        <f t="shared" si="207"/>
        <v>3</v>
      </c>
    </row>
    <row r="5978" spans="1:5" x14ac:dyDescent="0.3">
      <c r="A5978" t="s">
        <v>6103</v>
      </c>
      <c r="B5978" t="s">
        <v>127</v>
      </c>
      <c r="C5978">
        <v>354</v>
      </c>
      <c r="D5978">
        <f t="shared" si="206"/>
        <v>2021</v>
      </c>
      <c r="E5978">
        <f t="shared" si="207"/>
        <v>3</v>
      </c>
    </row>
    <row r="5979" spans="1:5" x14ac:dyDescent="0.3">
      <c r="A5979" t="s">
        <v>6104</v>
      </c>
      <c r="B5979" t="s">
        <v>127</v>
      </c>
      <c r="C5979">
        <v>351</v>
      </c>
      <c r="D5979">
        <f t="shared" si="206"/>
        <v>2021</v>
      </c>
      <c r="E5979">
        <f t="shared" si="207"/>
        <v>3</v>
      </c>
    </row>
    <row r="5980" spans="1:5" x14ac:dyDescent="0.3">
      <c r="A5980" t="s">
        <v>6105</v>
      </c>
      <c r="B5980" t="s">
        <v>127</v>
      </c>
      <c r="C5980">
        <v>348</v>
      </c>
      <c r="D5980">
        <f t="shared" si="206"/>
        <v>2021</v>
      </c>
      <c r="E5980">
        <f t="shared" si="207"/>
        <v>4</v>
      </c>
    </row>
    <row r="5981" spans="1:5" x14ac:dyDescent="0.3">
      <c r="A5981" t="s">
        <v>6106</v>
      </c>
      <c r="B5981" t="s">
        <v>127</v>
      </c>
      <c r="C5981">
        <v>348</v>
      </c>
      <c r="D5981">
        <f t="shared" si="206"/>
        <v>2021</v>
      </c>
      <c r="E5981">
        <f t="shared" si="207"/>
        <v>4</v>
      </c>
    </row>
    <row r="5982" spans="1:5" x14ac:dyDescent="0.3">
      <c r="A5982" t="s">
        <v>6107</v>
      </c>
      <c r="B5982" t="s">
        <v>127</v>
      </c>
      <c r="C5982">
        <v>342</v>
      </c>
      <c r="D5982">
        <f t="shared" si="206"/>
        <v>2021</v>
      </c>
      <c r="E5982">
        <f t="shared" si="207"/>
        <v>4</v>
      </c>
    </row>
    <row r="5983" spans="1:5" x14ac:dyDescent="0.3">
      <c r="A5983" t="s">
        <v>6108</v>
      </c>
      <c r="B5983" t="s">
        <v>127</v>
      </c>
      <c r="C5983">
        <v>344</v>
      </c>
      <c r="D5983">
        <f t="shared" si="206"/>
        <v>2021</v>
      </c>
      <c r="E5983">
        <f t="shared" si="207"/>
        <v>4</v>
      </c>
    </row>
    <row r="5984" spans="1:5" x14ac:dyDescent="0.3">
      <c r="A5984" t="s">
        <v>6109</v>
      </c>
      <c r="B5984" t="s">
        <v>127</v>
      </c>
      <c r="C5984">
        <v>347</v>
      </c>
      <c r="D5984">
        <f t="shared" si="206"/>
        <v>2021</v>
      </c>
      <c r="E5984">
        <f t="shared" si="207"/>
        <v>4</v>
      </c>
    </row>
    <row r="5985" spans="1:5" x14ac:dyDescent="0.3">
      <c r="A5985" t="s">
        <v>6110</v>
      </c>
      <c r="B5985" t="s">
        <v>127</v>
      </c>
      <c r="C5985">
        <v>349</v>
      </c>
      <c r="D5985">
        <f t="shared" si="206"/>
        <v>2021</v>
      </c>
      <c r="E5985">
        <f t="shared" si="207"/>
        <v>4</v>
      </c>
    </row>
    <row r="5986" spans="1:5" x14ac:dyDescent="0.3">
      <c r="A5986" t="s">
        <v>6111</v>
      </c>
      <c r="B5986" t="s">
        <v>127</v>
      </c>
      <c r="C5986">
        <v>345</v>
      </c>
      <c r="D5986">
        <f t="shared" si="206"/>
        <v>2021</v>
      </c>
      <c r="E5986">
        <f t="shared" si="207"/>
        <v>4</v>
      </c>
    </row>
    <row r="5987" spans="1:5" x14ac:dyDescent="0.3">
      <c r="A5987" t="s">
        <v>6112</v>
      </c>
      <c r="B5987" t="s">
        <v>127</v>
      </c>
      <c r="C5987">
        <v>344</v>
      </c>
      <c r="D5987">
        <f t="shared" si="206"/>
        <v>2021</v>
      </c>
      <c r="E5987">
        <f t="shared" si="207"/>
        <v>4</v>
      </c>
    </row>
    <row r="5988" spans="1:5" x14ac:dyDescent="0.3">
      <c r="A5988" t="s">
        <v>6113</v>
      </c>
      <c r="B5988" t="s">
        <v>127</v>
      </c>
      <c r="C5988">
        <v>347</v>
      </c>
      <c r="D5988">
        <f t="shared" si="206"/>
        <v>2021</v>
      </c>
      <c r="E5988">
        <f t="shared" si="207"/>
        <v>4</v>
      </c>
    </row>
    <row r="5989" spans="1:5" x14ac:dyDescent="0.3">
      <c r="A5989" t="s">
        <v>6114</v>
      </c>
      <c r="B5989" t="s">
        <v>127</v>
      </c>
      <c r="C5989">
        <v>342</v>
      </c>
      <c r="D5989">
        <f t="shared" si="206"/>
        <v>2021</v>
      </c>
      <c r="E5989">
        <f t="shared" si="207"/>
        <v>4</v>
      </c>
    </row>
    <row r="5990" spans="1:5" x14ac:dyDescent="0.3">
      <c r="A5990" t="s">
        <v>6115</v>
      </c>
      <c r="B5990" t="s">
        <v>127</v>
      </c>
      <c r="C5990">
        <v>342</v>
      </c>
      <c r="D5990">
        <f t="shared" si="206"/>
        <v>2021</v>
      </c>
      <c r="E5990">
        <f t="shared" si="207"/>
        <v>4</v>
      </c>
    </row>
    <row r="5991" spans="1:5" x14ac:dyDescent="0.3">
      <c r="A5991" t="s">
        <v>6116</v>
      </c>
      <c r="B5991" t="s">
        <v>127</v>
      </c>
      <c r="C5991">
        <v>339</v>
      </c>
      <c r="D5991">
        <f t="shared" si="206"/>
        <v>2021</v>
      </c>
      <c r="E5991">
        <f t="shared" si="207"/>
        <v>4</v>
      </c>
    </row>
    <row r="5992" spans="1:5" x14ac:dyDescent="0.3">
      <c r="A5992" t="s">
        <v>6117</v>
      </c>
      <c r="B5992" t="s">
        <v>127</v>
      </c>
      <c r="C5992">
        <v>338</v>
      </c>
      <c r="D5992">
        <f t="shared" si="206"/>
        <v>2021</v>
      </c>
      <c r="E5992">
        <f t="shared" si="207"/>
        <v>4</v>
      </c>
    </row>
    <row r="5993" spans="1:5" x14ac:dyDescent="0.3">
      <c r="A5993" t="s">
        <v>6118</v>
      </c>
      <c r="B5993" t="s">
        <v>127</v>
      </c>
      <c r="C5993">
        <v>345</v>
      </c>
      <c r="D5993">
        <f t="shared" si="206"/>
        <v>2021</v>
      </c>
      <c r="E5993">
        <f t="shared" si="207"/>
        <v>4</v>
      </c>
    </row>
    <row r="5994" spans="1:5" x14ac:dyDescent="0.3">
      <c r="A5994" t="s">
        <v>6119</v>
      </c>
      <c r="B5994" t="s">
        <v>127</v>
      </c>
      <c r="C5994">
        <v>345</v>
      </c>
      <c r="D5994">
        <f t="shared" si="206"/>
        <v>2021</v>
      </c>
      <c r="E5994">
        <f t="shared" si="207"/>
        <v>4</v>
      </c>
    </row>
    <row r="5995" spans="1:5" x14ac:dyDescent="0.3">
      <c r="A5995" t="s">
        <v>6120</v>
      </c>
      <c r="B5995" t="s">
        <v>127</v>
      </c>
      <c r="C5995">
        <v>347</v>
      </c>
      <c r="D5995">
        <f t="shared" si="206"/>
        <v>2021</v>
      </c>
      <c r="E5995">
        <f t="shared" si="207"/>
        <v>4</v>
      </c>
    </row>
    <row r="5996" spans="1:5" x14ac:dyDescent="0.3">
      <c r="A5996" t="s">
        <v>6121</v>
      </c>
      <c r="B5996" t="s">
        <v>127</v>
      </c>
      <c r="C5996">
        <v>348</v>
      </c>
      <c r="D5996">
        <f t="shared" si="206"/>
        <v>2021</v>
      </c>
      <c r="E5996">
        <f t="shared" si="207"/>
        <v>4</v>
      </c>
    </row>
    <row r="5997" spans="1:5" x14ac:dyDescent="0.3">
      <c r="A5997" t="s">
        <v>6122</v>
      </c>
      <c r="B5997" t="s">
        <v>127</v>
      </c>
      <c r="C5997">
        <v>351</v>
      </c>
      <c r="D5997">
        <f t="shared" si="206"/>
        <v>2021</v>
      </c>
      <c r="E5997">
        <f t="shared" si="207"/>
        <v>4</v>
      </c>
    </row>
    <row r="5998" spans="1:5" x14ac:dyDescent="0.3">
      <c r="A5998" t="s">
        <v>6123</v>
      </c>
      <c r="B5998" t="s">
        <v>127</v>
      </c>
      <c r="C5998">
        <v>353</v>
      </c>
      <c r="D5998">
        <f t="shared" si="206"/>
        <v>2021</v>
      </c>
      <c r="E5998">
        <f t="shared" si="207"/>
        <v>4</v>
      </c>
    </row>
    <row r="5999" spans="1:5" x14ac:dyDescent="0.3">
      <c r="A5999" t="s">
        <v>6124</v>
      </c>
      <c r="B5999" t="s">
        <v>127</v>
      </c>
      <c r="C5999">
        <v>354</v>
      </c>
      <c r="D5999">
        <f t="shared" si="206"/>
        <v>2021</v>
      </c>
      <c r="E5999">
        <f t="shared" si="207"/>
        <v>4</v>
      </c>
    </row>
    <row r="6000" spans="1:5" x14ac:dyDescent="0.3">
      <c r="A6000" t="s">
        <v>6125</v>
      </c>
      <c r="B6000" t="s">
        <v>127</v>
      </c>
      <c r="C6000">
        <v>349</v>
      </c>
      <c r="D6000">
        <f t="shared" si="206"/>
        <v>2021</v>
      </c>
      <c r="E6000">
        <f t="shared" si="207"/>
        <v>4</v>
      </c>
    </row>
    <row r="6001" spans="1:5" x14ac:dyDescent="0.3">
      <c r="A6001" t="s">
        <v>6126</v>
      </c>
      <c r="B6001" t="s">
        <v>127</v>
      </c>
      <c r="C6001">
        <v>342</v>
      </c>
      <c r="D6001">
        <f t="shared" si="206"/>
        <v>2021</v>
      </c>
      <c r="E6001">
        <f t="shared" si="207"/>
        <v>4</v>
      </c>
    </row>
    <row r="6002" spans="1:5" x14ac:dyDescent="0.3">
      <c r="A6002" t="s">
        <v>6127</v>
      </c>
      <c r="B6002" t="s">
        <v>127</v>
      </c>
      <c r="C6002">
        <v>345</v>
      </c>
      <c r="D6002">
        <f t="shared" si="206"/>
        <v>2021</v>
      </c>
      <c r="E6002">
        <f t="shared" si="207"/>
        <v>5</v>
      </c>
    </row>
    <row r="6003" spans="1:5" x14ac:dyDescent="0.3">
      <c r="A6003" t="s">
        <v>6128</v>
      </c>
      <c r="B6003" t="s">
        <v>127</v>
      </c>
      <c r="C6003">
        <v>346</v>
      </c>
      <c r="D6003">
        <f t="shared" si="206"/>
        <v>2021</v>
      </c>
      <c r="E6003">
        <f t="shared" si="207"/>
        <v>5</v>
      </c>
    </row>
    <row r="6004" spans="1:5" x14ac:dyDescent="0.3">
      <c r="A6004" t="s">
        <v>6129</v>
      </c>
      <c r="B6004" t="s">
        <v>127</v>
      </c>
      <c r="C6004">
        <v>345</v>
      </c>
      <c r="D6004">
        <f t="shared" si="206"/>
        <v>2021</v>
      </c>
      <c r="E6004">
        <f t="shared" si="207"/>
        <v>5</v>
      </c>
    </row>
    <row r="6005" spans="1:5" x14ac:dyDescent="0.3">
      <c r="A6005" t="s">
        <v>6130</v>
      </c>
      <c r="B6005" t="s">
        <v>127</v>
      </c>
      <c r="C6005">
        <v>345</v>
      </c>
      <c r="D6005">
        <f t="shared" si="206"/>
        <v>2021</v>
      </c>
      <c r="E6005">
        <f t="shared" si="207"/>
        <v>5</v>
      </c>
    </row>
    <row r="6006" spans="1:5" x14ac:dyDescent="0.3">
      <c r="A6006" t="s">
        <v>6131</v>
      </c>
      <c r="B6006" t="s">
        <v>127</v>
      </c>
      <c r="C6006">
        <v>337</v>
      </c>
      <c r="D6006">
        <f t="shared" si="206"/>
        <v>2021</v>
      </c>
      <c r="E6006">
        <f t="shared" si="207"/>
        <v>5</v>
      </c>
    </row>
    <row r="6007" spans="1:5" x14ac:dyDescent="0.3">
      <c r="A6007" t="s">
        <v>6132</v>
      </c>
      <c r="B6007" t="s">
        <v>127</v>
      </c>
      <c r="C6007">
        <v>333</v>
      </c>
      <c r="D6007">
        <f t="shared" si="206"/>
        <v>2021</v>
      </c>
      <c r="E6007">
        <f t="shared" si="207"/>
        <v>5</v>
      </c>
    </row>
    <row r="6008" spans="1:5" x14ac:dyDescent="0.3">
      <c r="A6008" t="s">
        <v>6133</v>
      </c>
      <c r="B6008" t="s">
        <v>127</v>
      </c>
      <c r="C6008">
        <v>335</v>
      </c>
      <c r="D6008">
        <f t="shared" si="206"/>
        <v>2021</v>
      </c>
      <c r="E6008">
        <f t="shared" si="207"/>
        <v>5</v>
      </c>
    </row>
    <row r="6009" spans="1:5" x14ac:dyDescent="0.3">
      <c r="A6009" t="s">
        <v>6134</v>
      </c>
      <c r="B6009" t="s">
        <v>127</v>
      </c>
      <c r="C6009">
        <v>337</v>
      </c>
      <c r="D6009">
        <f t="shared" si="206"/>
        <v>2021</v>
      </c>
      <c r="E6009">
        <f t="shared" si="207"/>
        <v>5</v>
      </c>
    </row>
    <row r="6010" spans="1:5" x14ac:dyDescent="0.3">
      <c r="A6010" t="s">
        <v>6135</v>
      </c>
      <c r="B6010" t="s">
        <v>127</v>
      </c>
      <c r="C6010">
        <v>337</v>
      </c>
      <c r="D6010">
        <f t="shared" si="206"/>
        <v>2021</v>
      </c>
      <c r="E6010">
        <f t="shared" si="207"/>
        <v>5</v>
      </c>
    </row>
    <row r="6011" spans="1:5" x14ac:dyDescent="0.3">
      <c r="A6011" t="s">
        <v>6136</v>
      </c>
      <c r="B6011" t="s">
        <v>127</v>
      </c>
      <c r="C6011">
        <v>338</v>
      </c>
      <c r="D6011">
        <f t="shared" si="206"/>
        <v>2021</v>
      </c>
      <c r="E6011">
        <f t="shared" si="207"/>
        <v>5</v>
      </c>
    </row>
    <row r="6012" spans="1:5" x14ac:dyDescent="0.3">
      <c r="A6012" t="s">
        <v>6137</v>
      </c>
      <c r="B6012" t="s">
        <v>127</v>
      </c>
      <c r="C6012">
        <v>338</v>
      </c>
      <c r="D6012">
        <f t="shared" si="206"/>
        <v>2021</v>
      </c>
      <c r="E6012">
        <f t="shared" si="207"/>
        <v>5</v>
      </c>
    </row>
    <row r="6013" spans="1:5" x14ac:dyDescent="0.3">
      <c r="A6013" t="s">
        <v>6138</v>
      </c>
      <c r="B6013" t="s">
        <v>127</v>
      </c>
      <c r="C6013">
        <v>336</v>
      </c>
      <c r="D6013">
        <f t="shared" si="206"/>
        <v>2021</v>
      </c>
      <c r="E6013">
        <f t="shared" si="207"/>
        <v>5</v>
      </c>
    </row>
    <row r="6014" spans="1:5" x14ac:dyDescent="0.3">
      <c r="A6014" t="s">
        <v>6139</v>
      </c>
      <c r="B6014" t="s">
        <v>127</v>
      </c>
      <c r="C6014">
        <v>338</v>
      </c>
      <c r="D6014">
        <f t="shared" si="206"/>
        <v>2021</v>
      </c>
      <c r="E6014">
        <f t="shared" si="207"/>
        <v>5</v>
      </c>
    </row>
    <row r="6015" spans="1:5" x14ac:dyDescent="0.3">
      <c r="A6015" t="s">
        <v>6140</v>
      </c>
      <c r="B6015" t="s">
        <v>127</v>
      </c>
      <c r="C6015">
        <v>340</v>
      </c>
      <c r="D6015">
        <f t="shared" si="206"/>
        <v>2021</v>
      </c>
      <c r="E6015">
        <f t="shared" si="207"/>
        <v>5</v>
      </c>
    </row>
    <row r="6016" spans="1:5" x14ac:dyDescent="0.3">
      <c r="A6016" t="s">
        <v>6141</v>
      </c>
      <c r="B6016" t="s">
        <v>127</v>
      </c>
      <c r="C6016">
        <v>340</v>
      </c>
      <c r="D6016">
        <f t="shared" si="206"/>
        <v>2021</v>
      </c>
      <c r="E6016">
        <f t="shared" si="207"/>
        <v>5</v>
      </c>
    </row>
    <row r="6017" spans="1:5" x14ac:dyDescent="0.3">
      <c r="A6017" t="s">
        <v>6142</v>
      </c>
      <c r="B6017" t="s">
        <v>127</v>
      </c>
      <c r="C6017">
        <v>342</v>
      </c>
      <c r="D6017">
        <f t="shared" si="206"/>
        <v>2021</v>
      </c>
      <c r="E6017">
        <f t="shared" si="207"/>
        <v>5</v>
      </c>
    </row>
    <row r="6018" spans="1:5" x14ac:dyDescent="0.3">
      <c r="A6018" t="s">
        <v>6143</v>
      </c>
      <c r="B6018" t="s">
        <v>127</v>
      </c>
      <c r="C6018">
        <v>343</v>
      </c>
      <c r="D6018">
        <f t="shared" si="206"/>
        <v>2021</v>
      </c>
      <c r="E6018">
        <f t="shared" si="207"/>
        <v>5</v>
      </c>
    </row>
    <row r="6019" spans="1:5" x14ac:dyDescent="0.3">
      <c r="A6019" t="s">
        <v>6144</v>
      </c>
      <c r="B6019" t="s">
        <v>127</v>
      </c>
      <c r="C6019">
        <v>336</v>
      </c>
      <c r="D6019">
        <f t="shared" ref="D6019:D6082" si="208">YEAR(A6019)</f>
        <v>2021</v>
      </c>
      <c r="E6019">
        <f t="shared" ref="E6019:E6082" si="209">MONTH(A6019)</f>
        <v>5</v>
      </c>
    </row>
    <row r="6020" spans="1:5" x14ac:dyDescent="0.3">
      <c r="A6020" t="s">
        <v>6145</v>
      </c>
      <c r="B6020" t="s">
        <v>127</v>
      </c>
      <c r="C6020">
        <v>337</v>
      </c>
      <c r="D6020">
        <f t="shared" si="208"/>
        <v>2021</v>
      </c>
      <c r="E6020">
        <f t="shared" si="209"/>
        <v>5</v>
      </c>
    </row>
    <row r="6021" spans="1:5" x14ac:dyDescent="0.3">
      <c r="A6021" t="s">
        <v>6146</v>
      </c>
      <c r="B6021" t="s">
        <v>127</v>
      </c>
      <c r="C6021">
        <v>335</v>
      </c>
      <c r="D6021">
        <f t="shared" si="208"/>
        <v>2021</v>
      </c>
      <c r="E6021">
        <f t="shared" si="209"/>
        <v>5</v>
      </c>
    </row>
    <row r="6022" spans="1:5" x14ac:dyDescent="0.3">
      <c r="A6022" t="s">
        <v>6147</v>
      </c>
      <c r="B6022" t="s">
        <v>127</v>
      </c>
      <c r="C6022">
        <v>335</v>
      </c>
      <c r="D6022">
        <f t="shared" si="208"/>
        <v>2021</v>
      </c>
      <c r="E6022">
        <f t="shared" si="209"/>
        <v>5</v>
      </c>
    </row>
    <row r="6023" spans="1:5" x14ac:dyDescent="0.3">
      <c r="A6023" t="s">
        <v>6148</v>
      </c>
      <c r="B6023" t="s">
        <v>127</v>
      </c>
      <c r="C6023">
        <v>332</v>
      </c>
      <c r="D6023">
        <f t="shared" si="208"/>
        <v>2021</v>
      </c>
      <c r="E6023">
        <f t="shared" si="209"/>
        <v>6</v>
      </c>
    </row>
    <row r="6024" spans="1:5" x14ac:dyDescent="0.3">
      <c r="A6024" t="s">
        <v>6149</v>
      </c>
      <c r="B6024" t="s">
        <v>127</v>
      </c>
      <c r="C6024">
        <v>330</v>
      </c>
      <c r="D6024">
        <f t="shared" si="208"/>
        <v>2021</v>
      </c>
      <c r="E6024">
        <f t="shared" si="209"/>
        <v>6</v>
      </c>
    </row>
    <row r="6025" spans="1:5" x14ac:dyDescent="0.3">
      <c r="A6025" t="s">
        <v>6150</v>
      </c>
      <c r="B6025" t="s">
        <v>127</v>
      </c>
      <c r="C6025">
        <v>333</v>
      </c>
      <c r="D6025">
        <f t="shared" si="208"/>
        <v>2021</v>
      </c>
      <c r="E6025">
        <f t="shared" si="209"/>
        <v>6</v>
      </c>
    </row>
    <row r="6026" spans="1:5" x14ac:dyDescent="0.3">
      <c r="A6026" t="s">
        <v>6151</v>
      </c>
      <c r="B6026" t="s">
        <v>127</v>
      </c>
      <c r="C6026">
        <v>334</v>
      </c>
      <c r="D6026">
        <f t="shared" si="208"/>
        <v>2021</v>
      </c>
      <c r="E6026">
        <f t="shared" si="209"/>
        <v>6</v>
      </c>
    </row>
    <row r="6027" spans="1:5" x14ac:dyDescent="0.3">
      <c r="A6027" t="s">
        <v>6152</v>
      </c>
      <c r="B6027" t="s">
        <v>127</v>
      </c>
      <c r="C6027">
        <v>333</v>
      </c>
      <c r="D6027">
        <f t="shared" si="208"/>
        <v>2021</v>
      </c>
      <c r="E6027">
        <f t="shared" si="209"/>
        <v>6</v>
      </c>
    </row>
    <row r="6028" spans="1:5" x14ac:dyDescent="0.3">
      <c r="A6028" t="s">
        <v>6153</v>
      </c>
      <c r="B6028" t="s">
        <v>127</v>
      </c>
      <c r="C6028">
        <v>333</v>
      </c>
      <c r="D6028">
        <f t="shared" si="208"/>
        <v>2021</v>
      </c>
      <c r="E6028">
        <f t="shared" si="209"/>
        <v>6</v>
      </c>
    </row>
    <row r="6029" spans="1:5" x14ac:dyDescent="0.3">
      <c r="A6029" t="s">
        <v>6154</v>
      </c>
      <c r="B6029" t="s">
        <v>127</v>
      </c>
      <c r="C6029">
        <v>332</v>
      </c>
      <c r="D6029">
        <f t="shared" si="208"/>
        <v>2021</v>
      </c>
      <c r="E6029">
        <f t="shared" si="209"/>
        <v>6</v>
      </c>
    </row>
    <row r="6030" spans="1:5" x14ac:dyDescent="0.3">
      <c r="A6030" t="s">
        <v>6155</v>
      </c>
      <c r="B6030" t="s">
        <v>127</v>
      </c>
      <c r="C6030">
        <v>335</v>
      </c>
      <c r="D6030">
        <f t="shared" si="208"/>
        <v>2021</v>
      </c>
      <c r="E6030">
        <f t="shared" si="209"/>
        <v>6</v>
      </c>
    </row>
    <row r="6031" spans="1:5" x14ac:dyDescent="0.3">
      <c r="A6031" t="s">
        <v>6156</v>
      </c>
      <c r="B6031" t="s">
        <v>127</v>
      </c>
      <c r="C6031">
        <v>331</v>
      </c>
      <c r="D6031">
        <f t="shared" si="208"/>
        <v>2021</v>
      </c>
      <c r="E6031">
        <f t="shared" si="209"/>
        <v>6</v>
      </c>
    </row>
    <row r="6032" spans="1:5" x14ac:dyDescent="0.3">
      <c r="A6032" t="s">
        <v>6157</v>
      </c>
      <c r="B6032" t="s">
        <v>127</v>
      </c>
      <c r="C6032">
        <v>334</v>
      </c>
      <c r="D6032">
        <f t="shared" si="208"/>
        <v>2021</v>
      </c>
      <c r="E6032">
        <f t="shared" si="209"/>
        <v>6</v>
      </c>
    </row>
    <row r="6033" spans="1:5" x14ac:dyDescent="0.3">
      <c r="A6033" t="s">
        <v>6158</v>
      </c>
      <c r="B6033" t="s">
        <v>127</v>
      </c>
      <c r="C6033">
        <v>339</v>
      </c>
      <c r="D6033">
        <f t="shared" si="208"/>
        <v>2021</v>
      </c>
      <c r="E6033">
        <f t="shared" si="209"/>
        <v>6</v>
      </c>
    </row>
    <row r="6034" spans="1:5" x14ac:dyDescent="0.3">
      <c r="A6034" t="s">
        <v>6159</v>
      </c>
      <c r="B6034" t="s">
        <v>127</v>
      </c>
      <c r="C6034">
        <v>335</v>
      </c>
      <c r="D6034">
        <f t="shared" si="208"/>
        <v>2021</v>
      </c>
      <c r="E6034">
        <f t="shared" si="209"/>
        <v>6</v>
      </c>
    </row>
    <row r="6035" spans="1:5" x14ac:dyDescent="0.3">
      <c r="A6035" t="s">
        <v>6160</v>
      </c>
      <c r="B6035" t="s">
        <v>127</v>
      </c>
      <c r="C6035">
        <v>338</v>
      </c>
      <c r="D6035">
        <f t="shared" si="208"/>
        <v>2021</v>
      </c>
      <c r="E6035">
        <f t="shared" si="209"/>
        <v>6</v>
      </c>
    </row>
    <row r="6036" spans="1:5" x14ac:dyDescent="0.3">
      <c r="A6036" t="s">
        <v>6161</v>
      </c>
      <c r="B6036" t="s">
        <v>127</v>
      </c>
      <c r="C6036">
        <v>340</v>
      </c>
      <c r="D6036">
        <f t="shared" si="208"/>
        <v>2021</v>
      </c>
      <c r="E6036">
        <f t="shared" si="209"/>
        <v>6</v>
      </c>
    </row>
    <row r="6037" spans="1:5" x14ac:dyDescent="0.3">
      <c r="A6037" t="s">
        <v>6162</v>
      </c>
      <c r="B6037" t="s">
        <v>127</v>
      </c>
      <c r="C6037">
        <v>340</v>
      </c>
      <c r="D6037">
        <f t="shared" si="208"/>
        <v>2021</v>
      </c>
      <c r="E6037">
        <f t="shared" si="209"/>
        <v>6</v>
      </c>
    </row>
    <row r="6038" spans="1:5" x14ac:dyDescent="0.3">
      <c r="A6038" t="s">
        <v>6163</v>
      </c>
      <c r="B6038" t="s">
        <v>127</v>
      </c>
      <c r="C6038">
        <v>343</v>
      </c>
      <c r="D6038">
        <f t="shared" si="208"/>
        <v>2021</v>
      </c>
      <c r="E6038">
        <f t="shared" si="209"/>
        <v>6</v>
      </c>
    </row>
    <row r="6039" spans="1:5" x14ac:dyDescent="0.3">
      <c r="A6039" t="s">
        <v>6164</v>
      </c>
      <c r="B6039" t="s">
        <v>127</v>
      </c>
      <c r="C6039">
        <v>343</v>
      </c>
      <c r="D6039">
        <f t="shared" si="208"/>
        <v>2021</v>
      </c>
      <c r="E6039">
        <f t="shared" si="209"/>
        <v>6</v>
      </c>
    </row>
    <row r="6040" spans="1:5" x14ac:dyDescent="0.3">
      <c r="A6040" t="s">
        <v>6165</v>
      </c>
      <c r="B6040" t="s">
        <v>127</v>
      </c>
      <c r="C6040">
        <v>344</v>
      </c>
      <c r="D6040">
        <f t="shared" si="208"/>
        <v>2021</v>
      </c>
      <c r="E6040">
        <f t="shared" si="209"/>
        <v>6</v>
      </c>
    </row>
    <row r="6041" spans="1:5" x14ac:dyDescent="0.3">
      <c r="A6041" t="s">
        <v>6166</v>
      </c>
      <c r="B6041" t="s">
        <v>127</v>
      </c>
      <c r="C6041">
        <v>341</v>
      </c>
      <c r="D6041">
        <f t="shared" si="208"/>
        <v>2021</v>
      </c>
      <c r="E6041">
        <f t="shared" si="209"/>
        <v>6</v>
      </c>
    </row>
    <row r="6042" spans="1:5" x14ac:dyDescent="0.3">
      <c r="A6042" t="s">
        <v>6167</v>
      </c>
      <c r="B6042" t="s">
        <v>127</v>
      </c>
      <c r="C6042">
        <v>344</v>
      </c>
      <c r="D6042">
        <f t="shared" si="208"/>
        <v>2021</v>
      </c>
      <c r="E6042">
        <f t="shared" si="209"/>
        <v>6</v>
      </c>
    </row>
    <row r="6043" spans="1:5" x14ac:dyDescent="0.3">
      <c r="A6043" t="s">
        <v>6168</v>
      </c>
      <c r="B6043" t="s">
        <v>127</v>
      </c>
      <c r="C6043">
        <v>346</v>
      </c>
      <c r="D6043">
        <f t="shared" si="208"/>
        <v>2021</v>
      </c>
      <c r="E6043">
        <f t="shared" si="209"/>
        <v>6</v>
      </c>
    </row>
    <row r="6044" spans="1:5" x14ac:dyDescent="0.3">
      <c r="A6044" t="s">
        <v>6169</v>
      </c>
      <c r="B6044" t="s">
        <v>127</v>
      </c>
      <c r="C6044">
        <v>348</v>
      </c>
      <c r="D6044">
        <f t="shared" si="208"/>
        <v>2021</v>
      </c>
      <c r="E6044">
        <f t="shared" si="209"/>
        <v>6</v>
      </c>
    </row>
    <row r="6045" spans="1:5" x14ac:dyDescent="0.3">
      <c r="A6045" t="s">
        <v>6170</v>
      </c>
      <c r="B6045" t="s">
        <v>127</v>
      </c>
      <c r="C6045">
        <v>344</v>
      </c>
      <c r="D6045">
        <f t="shared" si="208"/>
        <v>2021</v>
      </c>
      <c r="E6045">
        <f t="shared" si="209"/>
        <v>7</v>
      </c>
    </row>
    <row r="6046" spans="1:5" x14ac:dyDescent="0.3">
      <c r="A6046" t="s">
        <v>6171</v>
      </c>
      <c r="B6046" t="s">
        <v>127</v>
      </c>
      <c r="C6046">
        <v>347</v>
      </c>
      <c r="D6046">
        <f t="shared" si="208"/>
        <v>2021</v>
      </c>
      <c r="E6046">
        <f t="shared" si="209"/>
        <v>7</v>
      </c>
    </row>
    <row r="6047" spans="1:5" x14ac:dyDescent="0.3">
      <c r="A6047" t="s">
        <v>6172</v>
      </c>
      <c r="B6047" t="s">
        <v>127</v>
      </c>
      <c r="C6047">
        <v>347</v>
      </c>
      <c r="D6047">
        <f t="shared" si="208"/>
        <v>2021</v>
      </c>
      <c r="E6047">
        <f t="shared" si="209"/>
        <v>7</v>
      </c>
    </row>
    <row r="6048" spans="1:5" x14ac:dyDescent="0.3">
      <c r="A6048" t="s">
        <v>6173</v>
      </c>
      <c r="B6048" t="s">
        <v>127</v>
      </c>
      <c r="C6048">
        <v>349</v>
      </c>
      <c r="D6048">
        <f t="shared" si="208"/>
        <v>2021</v>
      </c>
      <c r="E6048">
        <f t="shared" si="209"/>
        <v>7</v>
      </c>
    </row>
    <row r="6049" spans="1:5" x14ac:dyDescent="0.3">
      <c r="A6049" t="s">
        <v>6174</v>
      </c>
      <c r="B6049" t="s">
        <v>127</v>
      </c>
      <c r="C6049">
        <v>350</v>
      </c>
      <c r="D6049">
        <f t="shared" si="208"/>
        <v>2021</v>
      </c>
      <c r="E6049">
        <f t="shared" si="209"/>
        <v>7</v>
      </c>
    </row>
    <row r="6050" spans="1:5" x14ac:dyDescent="0.3">
      <c r="A6050" t="s">
        <v>6175</v>
      </c>
      <c r="B6050" t="s">
        <v>127</v>
      </c>
      <c r="C6050">
        <v>355</v>
      </c>
      <c r="D6050">
        <f t="shared" si="208"/>
        <v>2021</v>
      </c>
      <c r="E6050">
        <f t="shared" si="209"/>
        <v>7</v>
      </c>
    </row>
    <row r="6051" spans="1:5" x14ac:dyDescent="0.3">
      <c r="A6051" t="s">
        <v>6176</v>
      </c>
      <c r="B6051" t="s">
        <v>127</v>
      </c>
      <c r="C6051">
        <v>351</v>
      </c>
      <c r="D6051">
        <f t="shared" si="208"/>
        <v>2021</v>
      </c>
      <c r="E6051">
        <f t="shared" si="209"/>
        <v>7</v>
      </c>
    </row>
    <row r="6052" spans="1:5" x14ac:dyDescent="0.3">
      <c r="A6052" t="s">
        <v>6177</v>
      </c>
      <c r="B6052" t="s">
        <v>127</v>
      </c>
      <c r="C6052">
        <v>350</v>
      </c>
      <c r="D6052">
        <f t="shared" si="208"/>
        <v>2021</v>
      </c>
      <c r="E6052">
        <f t="shared" si="209"/>
        <v>7</v>
      </c>
    </row>
    <row r="6053" spans="1:5" x14ac:dyDescent="0.3">
      <c r="A6053" t="s">
        <v>6178</v>
      </c>
      <c r="B6053" t="s">
        <v>127</v>
      </c>
      <c r="C6053">
        <v>348</v>
      </c>
      <c r="D6053">
        <f t="shared" si="208"/>
        <v>2021</v>
      </c>
      <c r="E6053">
        <f t="shared" si="209"/>
        <v>7</v>
      </c>
    </row>
    <row r="6054" spans="1:5" x14ac:dyDescent="0.3">
      <c r="A6054" t="s">
        <v>6179</v>
      </c>
      <c r="B6054" t="s">
        <v>127</v>
      </c>
      <c r="C6054">
        <v>352</v>
      </c>
      <c r="D6054">
        <f t="shared" si="208"/>
        <v>2021</v>
      </c>
      <c r="E6054">
        <f t="shared" si="209"/>
        <v>7</v>
      </c>
    </row>
    <row r="6055" spans="1:5" x14ac:dyDescent="0.3">
      <c r="A6055" t="s">
        <v>6180</v>
      </c>
      <c r="B6055" t="s">
        <v>127</v>
      </c>
      <c r="C6055">
        <v>357</v>
      </c>
      <c r="D6055">
        <f t="shared" si="208"/>
        <v>2021</v>
      </c>
      <c r="E6055">
        <f t="shared" si="209"/>
        <v>7</v>
      </c>
    </row>
    <row r="6056" spans="1:5" x14ac:dyDescent="0.3">
      <c r="A6056" t="s">
        <v>6181</v>
      </c>
      <c r="B6056" t="s">
        <v>127</v>
      </c>
      <c r="C6056">
        <v>355</v>
      </c>
      <c r="D6056">
        <f t="shared" si="208"/>
        <v>2021</v>
      </c>
      <c r="E6056">
        <f t="shared" si="209"/>
        <v>7</v>
      </c>
    </row>
    <row r="6057" spans="1:5" x14ac:dyDescent="0.3">
      <c r="A6057" t="s">
        <v>6182</v>
      </c>
      <c r="B6057" t="s">
        <v>127</v>
      </c>
      <c r="C6057">
        <v>366</v>
      </c>
      <c r="D6057">
        <f t="shared" si="208"/>
        <v>2021</v>
      </c>
      <c r="E6057">
        <f t="shared" si="209"/>
        <v>7</v>
      </c>
    </row>
    <row r="6058" spans="1:5" x14ac:dyDescent="0.3">
      <c r="A6058" t="s">
        <v>6183</v>
      </c>
      <c r="B6058" t="s">
        <v>127</v>
      </c>
      <c r="C6058">
        <v>363</v>
      </c>
      <c r="D6058">
        <f t="shared" si="208"/>
        <v>2021</v>
      </c>
      <c r="E6058">
        <f t="shared" si="209"/>
        <v>7</v>
      </c>
    </row>
    <row r="6059" spans="1:5" x14ac:dyDescent="0.3">
      <c r="A6059" t="s">
        <v>6184</v>
      </c>
      <c r="B6059" t="s">
        <v>127</v>
      </c>
      <c r="C6059">
        <v>359</v>
      </c>
      <c r="D6059">
        <f t="shared" si="208"/>
        <v>2021</v>
      </c>
      <c r="E6059">
        <f t="shared" si="209"/>
        <v>7</v>
      </c>
    </row>
    <row r="6060" spans="1:5" x14ac:dyDescent="0.3">
      <c r="A6060" t="s">
        <v>6185</v>
      </c>
      <c r="B6060" t="s">
        <v>127</v>
      </c>
      <c r="C6060">
        <v>361</v>
      </c>
      <c r="D6060">
        <f t="shared" si="208"/>
        <v>2021</v>
      </c>
      <c r="E6060">
        <f t="shared" si="209"/>
        <v>7</v>
      </c>
    </row>
    <row r="6061" spans="1:5" x14ac:dyDescent="0.3">
      <c r="A6061" t="s">
        <v>6186</v>
      </c>
      <c r="B6061" t="s">
        <v>127</v>
      </c>
      <c r="C6061">
        <v>360</v>
      </c>
      <c r="D6061">
        <f t="shared" si="208"/>
        <v>2021</v>
      </c>
      <c r="E6061">
        <f t="shared" si="209"/>
        <v>7</v>
      </c>
    </row>
    <row r="6062" spans="1:5" x14ac:dyDescent="0.3">
      <c r="A6062" t="s">
        <v>6187</v>
      </c>
      <c r="B6062" t="s">
        <v>127</v>
      </c>
      <c r="C6062">
        <v>360</v>
      </c>
      <c r="D6062">
        <f t="shared" si="208"/>
        <v>2021</v>
      </c>
      <c r="E6062">
        <f t="shared" si="209"/>
        <v>7</v>
      </c>
    </row>
    <row r="6063" spans="1:5" x14ac:dyDescent="0.3">
      <c r="A6063" t="s">
        <v>6188</v>
      </c>
      <c r="B6063" t="s">
        <v>127</v>
      </c>
      <c r="C6063">
        <v>368</v>
      </c>
      <c r="D6063">
        <f t="shared" si="208"/>
        <v>2021</v>
      </c>
      <c r="E6063">
        <f t="shared" si="209"/>
        <v>7</v>
      </c>
    </row>
    <row r="6064" spans="1:5" x14ac:dyDescent="0.3">
      <c r="A6064" t="s">
        <v>6189</v>
      </c>
      <c r="B6064" t="s">
        <v>127</v>
      </c>
      <c r="C6064">
        <v>364</v>
      </c>
      <c r="D6064">
        <f t="shared" si="208"/>
        <v>2021</v>
      </c>
      <c r="E6064">
        <f t="shared" si="209"/>
        <v>7</v>
      </c>
    </row>
    <row r="6065" spans="1:5" x14ac:dyDescent="0.3">
      <c r="A6065" t="s">
        <v>6190</v>
      </c>
      <c r="B6065" t="s">
        <v>127</v>
      </c>
      <c r="C6065">
        <v>361</v>
      </c>
      <c r="D6065">
        <f t="shared" si="208"/>
        <v>2021</v>
      </c>
      <c r="E6065">
        <f t="shared" si="209"/>
        <v>7</v>
      </c>
    </row>
    <row r="6066" spans="1:5" x14ac:dyDescent="0.3">
      <c r="A6066" t="s">
        <v>6191</v>
      </c>
      <c r="B6066" t="s">
        <v>127</v>
      </c>
      <c r="C6066">
        <v>362</v>
      </c>
      <c r="D6066">
        <f t="shared" si="208"/>
        <v>2021</v>
      </c>
      <c r="E6066">
        <f t="shared" si="209"/>
        <v>7</v>
      </c>
    </row>
    <row r="6067" spans="1:5" x14ac:dyDescent="0.3">
      <c r="A6067" t="s">
        <v>6192</v>
      </c>
      <c r="B6067" t="s">
        <v>127</v>
      </c>
      <c r="C6067">
        <v>366</v>
      </c>
      <c r="D6067">
        <f t="shared" si="208"/>
        <v>2021</v>
      </c>
      <c r="E6067">
        <f t="shared" si="209"/>
        <v>8</v>
      </c>
    </row>
    <row r="6068" spans="1:5" x14ac:dyDescent="0.3">
      <c r="A6068" t="s">
        <v>6193</v>
      </c>
      <c r="B6068" t="s">
        <v>127</v>
      </c>
      <c r="C6068">
        <v>367</v>
      </c>
      <c r="D6068">
        <f t="shared" si="208"/>
        <v>2021</v>
      </c>
      <c r="E6068">
        <f t="shared" si="209"/>
        <v>8</v>
      </c>
    </row>
    <row r="6069" spans="1:5" x14ac:dyDescent="0.3">
      <c r="A6069" t="s">
        <v>6194</v>
      </c>
      <c r="B6069" t="s">
        <v>127</v>
      </c>
      <c r="C6069">
        <v>367</v>
      </c>
      <c r="D6069">
        <f t="shared" si="208"/>
        <v>2021</v>
      </c>
      <c r="E6069">
        <f t="shared" si="209"/>
        <v>8</v>
      </c>
    </row>
    <row r="6070" spans="1:5" x14ac:dyDescent="0.3">
      <c r="A6070" t="s">
        <v>6195</v>
      </c>
      <c r="B6070" t="s">
        <v>127</v>
      </c>
      <c r="C6070">
        <v>364</v>
      </c>
      <c r="D6070">
        <f t="shared" si="208"/>
        <v>2021</v>
      </c>
      <c r="E6070">
        <f t="shared" si="209"/>
        <v>8</v>
      </c>
    </row>
    <row r="6071" spans="1:5" x14ac:dyDescent="0.3">
      <c r="A6071" t="s">
        <v>6196</v>
      </c>
      <c r="B6071" t="s">
        <v>127</v>
      </c>
      <c r="C6071">
        <v>360</v>
      </c>
      <c r="D6071">
        <f t="shared" si="208"/>
        <v>2021</v>
      </c>
      <c r="E6071">
        <f t="shared" si="209"/>
        <v>8</v>
      </c>
    </row>
    <row r="6072" spans="1:5" x14ac:dyDescent="0.3">
      <c r="A6072" t="s">
        <v>6197</v>
      </c>
      <c r="B6072" t="s">
        <v>127</v>
      </c>
      <c r="C6072">
        <v>363</v>
      </c>
      <c r="D6072">
        <f t="shared" si="208"/>
        <v>2021</v>
      </c>
      <c r="E6072">
        <f t="shared" si="209"/>
        <v>8</v>
      </c>
    </row>
    <row r="6073" spans="1:5" x14ac:dyDescent="0.3">
      <c r="A6073" t="s">
        <v>6198</v>
      </c>
      <c r="B6073" t="s">
        <v>127</v>
      </c>
      <c r="C6073">
        <v>362</v>
      </c>
      <c r="D6073">
        <f t="shared" si="208"/>
        <v>2021</v>
      </c>
      <c r="E6073">
        <f t="shared" si="209"/>
        <v>8</v>
      </c>
    </row>
    <row r="6074" spans="1:5" x14ac:dyDescent="0.3">
      <c r="A6074" t="s">
        <v>6199</v>
      </c>
      <c r="B6074" t="s">
        <v>127</v>
      </c>
      <c r="C6074">
        <v>359</v>
      </c>
      <c r="D6074">
        <f t="shared" si="208"/>
        <v>2021</v>
      </c>
      <c r="E6074">
        <f t="shared" si="209"/>
        <v>8</v>
      </c>
    </row>
    <row r="6075" spans="1:5" x14ac:dyDescent="0.3">
      <c r="A6075" t="s">
        <v>6200</v>
      </c>
      <c r="B6075" t="s">
        <v>127</v>
      </c>
      <c r="C6075">
        <v>355</v>
      </c>
      <c r="D6075">
        <f t="shared" si="208"/>
        <v>2021</v>
      </c>
      <c r="E6075">
        <f t="shared" si="209"/>
        <v>8</v>
      </c>
    </row>
    <row r="6076" spans="1:5" x14ac:dyDescent="0.3">
      <c r="A6076" t="s">
        <v>6201</v>
      </c>
      <c r="B6076" t="s">
        <v>127</v>
      </c>
      <c r="C6076">
        <v>359</v>
      </c>
      <c r="D6076">
        <f t="shared" si="208"/>
        <v>2021</v>
      </c>
      <c r="E6076">
        <f t="shared" si="209"/>
        <v>8</v>
      </c>
    </row>
    <row r="6077" spans="1:5" x14ac:dyDescent="0.3">
      <c r="A6077" t="s">
        <v>6202</v>
      </c>
      <c r="B6077" t="s">
        <v>127</v>
      </c>
      <c r="C6077">
        <v>364</v>
      </c>
      <c r="D6077">
        <f t="shared" si="208"/>
        <v>2021</v>
      </c>
      <c r="E6077">
        <f t="shared" si="209"/>
        <v>8</v>
      </c>
    </row>
    <row r="6078" spans="1:5" x14ac:dyDescent="0.3">
      <c r="A6078" t="s">
        <v>6203</v>
      </c>
      <c r="B6078" t="s">
        <v>127</v>
      </c>
      <c r="C6078">
        <v>364</v>
      </c>
      <c r="D6078">
        <f t="shared" si="208"/>
        <v>2021</v>
      </c>
      <c r="E6078">
        <f t="shared" si="209"/>
        <v>8</v>
      </c>
    </row>
    <row r="6079" spans="1:5" x14ac:dyDescent="0.3">
      <c r="A6079" t="s">
        <v>6204</v>
      </c>
      <c r="B6079" t="s">
        <v>127</v>
      </c>
      <c r="C6079">
        <v>364</v>
      </c>
      <c r="D6079">
        <f t="shared" si="208"/>
        <v>2021</v>
      </c>
      <c r="E6079">
        <f t="shared" si="209"/>
        <v>8</v>
      </c>
    </row>
    <row r="6080" spans="1:5" x14ac:dyDescent="0.3">
      <c r="A6080" t="s">
        <v>6205</v>
      </c>
      <c r="B6080" t="s">
        <v>127</v>
      </c>
      <c r="C6080">
        <v>369</v>
      </c>
      <c r="D6080">
        <f t="shared" si="208"/>
        <v>2021</v>
      </c>
      <c r="E6080">
        <f t="shared" si="209"/>
        <v>8</v>
      </c>
    </row>
    <row r="6081" spans="1:5" x14ac:dyDescent="0.3">
      <c r="A6081" t="s">
        <v>6206</v>
      </c>
      <c r="B6081" t="s">
        <v>127</v>
      </c>
      <c r="C6081">
        <v>369</v>
      </c>
      <c r="D6081">
        <f t="shared" si="208"/>
        <v>2021</v>
      </c>
      <c r="E6081">
        <f t="shared" si="209"/>
        <v>8</v>
      </c>
    </row>
    <row r="6082" spans="1:5" x14ac:dyDescent="0.3">
      <c r="A6082" t="s">
        <v>6207</v>
      </c>
      <c r="B6082" t="s">
        <v>127</v>
      </c>
      <c r="C6082">
        <v>368</v>
      </c>
      <c r="D6082">
        <f t="shared" si="208"/>
        <v>2021</v>
      </c>
      <c r="E6082">
        <f t="shared" si="209"/>
        <v>8</v>
      </c>
    </row>
    <row r="6083" spans="1:5" x14ac:dyDescent="0.3">
      <c r="A6083" t="s">
        <v>6208</v>
      </c>
      <c r="B6083" t="s">
        <v>127</v>
      </c>
      <c r="C6083">
        <v>363</v>
      </c>
      <c r="D6083">
        <f t="shared" ref="D6083:D6146" si="210">YEAR(A6083)</f>
        <v>2021</v>
      </c>
      <c r="E6083">
        <f t="shared" ref="E6083:E6146" si="211">MONTH(A6083)</f>
        <v>8</v>
      </c>
    </row>
    <row r="6084" spans="1:5" x14ac:dyDescent="0.3">
      <c r="A6084" t="s">
        <v>6209</v>
      </c>
      <c r="B6084" t="s">
        <v>127</v>
      </c>
      <c r="C6084">
        <v>358</v>
      </c>
      <c r="D6084">
        <f t="shared" si="210"/>
        <v>2021</v>
      </c>
      <c r="E6084">
        <f t="shared" si="211"/>
        <v>8</v>
      </c>
    </row>
    <row r="6085" spans="1:5" x14ac:dyDescent="0.3">
      <c r="A6085" t="s">
        <v>6210</v>
      </c>
      <c r="B6085" t="s">
        <v>127</v>
      </c>
      <c r="C6085">
        <v>359</v>
      </c>
      <c r="D6085">
        <f t="shared" si="210"/>
        <v>2021</v>
      </c>
      <c r="E6085">
        <f t="shared" si="211"/>
        <v>8</v>
      </c>
    </row>
    <row r="6086" spans="1:5" x14ac:dyDescent="0.3">
      <c r="A6086" t="s">
        <v>6211</v>
      </c>
      <c r="B6086" t="s">
        <v>127</v>
      </c>
      <c r="C6086">
        <v>357</v>
      </c>
      <c r="D6086">
        <f t="shared" si="210"/>
        <v>2021</v>
      </c>
      <c r="E6086">
        <f t="shared" si="211"/>
        <v>8</v>
      </c>
    </row>
    <row r="6087" spans="1:5" x14ac:dyDescent="0.3">
      <c r="A6087" t="s">
        <v>6212</v>
      </c>
      <c r="B6087" t="s">
        <v>127</v>
      </c>
      <c r="C6087">
        <v>352</v>
      </c>
      <c r="D6087">
        <f t="shared" si="210"/>
        <v>2021</v>
      </c>
      <c r="E6087">
        <f t="shared" si="211"/>
        <v>8</v>
      </c>
    </row>
    <row r="6088" spans="1:5" x14ac:dyDescent="0.3">
      <c r="A6088" t="s">
        <v>6213</v>
      </c>
      <c r="B6088" t="s">
        <v>127</v>
      </c>
      <c r="C6088">
        <v>352</v>
      </c>
      <c r="D6088">
        <f t="shared" si="210"/>
        <v>2021</v>
      </c>
      <c r="E6088">
        <f t="shared" si="211"/>
        <v>8</v>
      </c>
    </row>
    <row r="6089" spans="1:5" x14ac:dyDescent="0.3">
      <c r="A6089" t="s">
        <v>6214</v>
      </c>
      <c r="B6089" t="s">
        <v>127</v>
      </c>
      <c r="C6089">
        <v>355</v>
      </c>
      <c r="D6089">
        <f t="shared" si="210"/>
        <v>2021</v>
      </c>
      <c r="E6089">
        <f t="shared" si="211"/>
        <v>9</v>
      </c>
    </row>
    <row r="6090" spans="1:5" x14ac:dyDescent="0.3">
      <c r="A6090" t="s">
        <v>6215</v>
      </c>
      <c r="B6090" t="s">
        <v>127</v>
      </c>
      <c r="C6090">
        <v>354</v>
      </c>
      <c r="D6090">
        <f t="shared" si="210"/>
        <v>2021</v>
      </c>
      <c r="E6090">
        <f t="shared" si="211"/>
        <v>9</v>
      </c>
    </row>
    <row r="6091" spans="1:5" x14ac:dyDescent="0.3">
      <c r="A6091" t="s">
        <v>6216</v>
      </c>
      <c r="B6091" t="s">
        <v>127</v>
      </c>
      <c r="C6091">
        <v>350</v>
      </c>
      <c r="D6091">
        <f t="shared" si="210"/>
        <v>2021</v>
      </c>
      <c r="E6091">
        <f t="shared" si="211"/>
        <v>9</v>
      </c>
    </row>
    <row r="6092" spans="1:5" x14ac:dyDescent="0.3">
      <c r="A6092" t="s">
        <v>6217</v>
      </c>
      <c r="B6092" t="s">
        <v>127</v>
      </c>
      <c r="C6092">
        <v>350</v>
      </c>
      <c r="D6092">
        <f t="shared" si="210"/>
        <v>2021</v>
      </c>
      <c r="E6092">
        <f t="shared" si="211"/>
        <v>9</v>
      </c>
    </row>
    <row r="6093" spans="1:5" x14ac:dyDescent="0.3">
      <c r="A6093" t="s">
        <v>6218</v>
      </c>
      <c r="B6093" t="s">
        <v>127</v>
      </c>
      <c r="C6093">
        <v>341</v>
      </c>
      <c r="D6093">
        <f t="shared" si="210"/>
        <v>2021</v>
      </c>
      <c r="E6093">
        <f t="shared" si="211"/>
        <v>9</v>
      </c>
    </row>
    <row r="6094" spans="1:5" x14ac:dyDescent="0.3">
      <c r="A6094" t="s">
        <v>6219</v>
      </c>
      <c r="B6094" t="s">
        <v>127</v>
      </c>
      <c r="C6094">
        <v>342</v>
      </c>
      <c r="D6094">
        <f t="shared" si="210"/>
        <v>2021</v>
      </c>
      <c r="E6094">
        <f t="shared" si="211"/>
        <v>9</v>
      </c>
    </row>
    <row r="6095" spans="1:5" x14ac:dyDescent="0.3">
      <c r="A6095" t="s">
        <v>6220</v>
      </c>
      <c r="B6095" t="s">
        <v>127</v>
      </c>
      <c r="C6095">
        <v>347</v>
      </c>
      <c r="D6095">
        <f t="shared" si="210"/>
        <v>2021</v>
      </c>
      <c r="E6095">
        <f t="shared" si="211"/>
        <v>9</v>
      </c>
    </row>
    <row r="6096" spans="1:5" x14ac:dyDescent="0.3">
      <c r="A6096" t="s">
        <v>6221</v>
      </c>
      <c r="B6096" t="s">
        <v>127</v>
      </c>
      <c r="C6096">
        <v>345</v>
      </c>
      <c r="D6096">
        <f t="shared" si="210"/>
        <v>2021</v>
      </c>
      <c r="E6096">
        <f t="shared" si="211"/>
        <v>9</v>
      </c>
    </row>
    <row r="6097" spans="1:5" x14ac:dyDescent="0.3">
      <c r="A6097" t="s">
        <v>6222</v>
      </c>
      <c r="B6097" t="s">
        <v>127</v>
      </c>
      <c r="C6097">
        <v>348</v>
      </c>
      <c r="D6097">
        <f t="shared" si="210"/>
        <v>2021</v>
      </c>
      <c r="E6097">
        <f t="shared" si="211"/>
        <v>9</v>
      </c>
    </row>
    <row r="6098" spans="1:5" x14ac:dyDescent="0.3">
      <c r="A6098" t="s">
        <v>6223</v>
      </c>
      <c r="B6098" t="s">
        <v>127</v>
      </c>
      <c r="C6098">
        <v>347</v>
      </c>
      <c r="D6098">
        <f t="shared" si="210"/>
        <v>2021</v>
      </c>
      <c r="E6098">
        <f t="shared" si="211"/>
        <v>9</v>
      </c>
    </row>
    <row r="6099" spans="1:5" x14ac:dyDescent="0.3">
      <c r="A6099" t="s">
        <v>6224</v>
      </c>
      <c r="B6099" t="s">
        <v>127</v>
      </c>
      <c r="C6099">
        <v>341</v>
      </c>
      <c r="D6099">
        <f t="shared" si="210"/>
        <v>2021</v>
      </c>
      <c r="E6099">
        <f t="shared" si="211"/>
        <v>9</v>
      </c>
    </row>
    <row r="6100" spans="1:5" x14ac:dyDescent="0.3">
      <c r="A6100" t="s">
        <v>6225</v>
      </c>
      <c r="B6100" t="s">
        <v>127</v>
      </c>
      <c r="C6100">
        <v>344</v>
      </c>
      <c r="D6100">
        <f t="shared" si="210"/>
        <v>2021</v>
      </c>
      <c r="E6100">
        <f t="shared" si="211"/>
        <v>9</v>
      </c>
    </row>
    <row r="6101" spans="1:5" x14ac:dyDescent="0.3">
      <c r="A6101" t="s">
        <v>6226</v>
      </c>
      <c r="B6101" t="s">
        <v>127</v>
      </c>
      <c r="C6101">
        <v>343</v>
      </c>
      <c r="D6101">
        <f t="shared" si="210"/>
        <v>2021</v>
      </c>
      <c r="E6101">
        <f t="shared" si="211"/>
        <v>9</v>
      </c>
    </row>
    <row r="6102" spans="1:5" x14ac:dyDescent="0.3">
      <c r="A6102" t="s">
        <v>6227</v>
      </c>
      <c r="B6102" t="s">
        <v>127</v>
      </c>
      <c r="C6102">
        <v>357</v>
      </c>
      <c r="D6102">
        <f t="shared" si="210"/>
        <v>2021</v>
      </c>
      <c r="E6102">
        <f t="shared" si="211"/>
        <v>9</v>
      </c>
    </row>
    <row r="6103" spans="1:5" x14ac:dyDescent="0.3">
      <c r="A6103" t="s">
        <v>6228</v>
      </c>
      <c r="B6103" t="s">
        <v>127</v>
      </c>
      <c r="C6103">
        <v>352</v>
      </c>
      <c r="D6103">
        <f t="shared" si="210"/>
        <v>2021</v>
      </c>
      <c r="E6103">
        <f t="shared" si="211"/>
        <v>9</v>
      </c>
    </row>
    <row r="6104" spans="1:5" x14ac:dyDescent="0.3">
      <c r="A6104" t="s">
        <v>6229</v>
      </c>
      <c r="B6104" t="s">
        <v>127</v>
      </c>
      <c r="C6104">
        <v>354</v>
      </c>
      <c r="D6104">
        <f t="shared" si="210"/>
        <v>2021</v>
      </c>
      <c r="E6104">
        <f t="shared" si="211"/>
        <v>9</v>
      </c>
    </row>
    <row r="6105" spans="1:5" x14ac:dyDescent="0.3">
      <c r="A6105" t="s">
        <v>6230</v>
      </c>
      <c r="B6105" t="s">
        <v>127</v>
      </c>
      <c r="C6105">
        <v>351</v>
      </c>
      <c r="D6105">
        <f t="shared" si="210"/>
        <v>2021</v>
      </c>
      <c r="E6105">
        <f t="shared" si="211"/>
        <v>9</v>
      </c>
    </row>
    <row r="6106" spans="1:5" x14ac:dyDescent="0.3">
      <c r="A6106" t="s">
        <v>6231</v>
      </c>
      <c r="B6106" t="s">
        <v>127</v>
      </c>
      <c r="C6106">
        <v>355</v>
      </c>
      <c r="D6106">
        <f t="shared" si="210"/>
        <v>2021</v>
      </c>
      <c r="E6106">
        <f t="shared" si="211"/>
        <v>9</v>
      </c>
    </row>
    <row r="6107" spans="1:5" x14ac:dyDescent="0.3">
      <c r="A6107" t="s">
        <v>6232</v>
      </c>
      <c r="B6107" t="s">
        <v>127</v>
      </c>
      <c r="C6107">
        <v>359</v>
      </c>
      <c r="D6107">
        <f t="shared" si="210"/>
        <v>2021</v>
      </c>
      <c r="E6107">
        <f t="shared" si="211"/>
        <v>9</v>
      </c>
    </row>
    <row r="6108" spans="1:5" x14ac:dyDescent="0.3">
      <c r="A6108" t="s">
        <v>6233</v>
      </c>
      <c r="B6108" t="s">
        <v>127</v>
      </c>
      <c r="C6108">
        <v>361</v>
      </c>
      <c r="D6108">
        <f t="shared" si="210"/>
        <v>2021</v>
      </c>
      <c r="E6108">
        <f t="shared" si="211"/>
        <v>9</v>
      </c>
    </row>
    <row r="6109" spans="1:5" x14ac:dyDescent="0.3">
      <c r="A6109" t="s">
        <v>6234</v>
      </c>
      <c r="B6109" t="s">
        <v>127</v>
      </c>
      <c r="C6109">
        <v>356</v>
      </c>
      <c r="D6109">
        <f t="shared" si="210"/>
        <v>2021</v>
      </c>
      <c r="E6109">
        <f t="shared" si="211"/>
        <v>9</v>
      </c>
    </row>
    <row r="6110" spans="1:5" x14ac:dyDescent="0.3">
      <c r="A6110" t="s">
        <v>6235</v>
      </c>
      <c r="B6110" t="s">
        <v>127</v>
      </c>
      <c r="C6110">
        <v>360</v>
      </c>
      <c r="D6110">
        <f t="shared" si="210"/>
        <v>2021</v>
      </c>
      <c r="E6110">
        <f t="shared" si="211"/>
        <v>9</v>
      </c>
    </row>
    <row r="6111" spans="1:5" x14ac:dyDescent="0.3">
      <c r="A6111" t="s">
        <v>6236</v>
      </c>
      <c r="B6111" t="s">
        <v>127</v>
      </c>
      <c r="C6111">
        <v>363</v>
      </c>
      <c r="D6111">
        <f t="shared" si="210"/>
        <v>2021</v>
      </c>
      <c r="E6111">
        <f t="shared" si="211"/>
        <v>10</v>
      </c>
    </row>
    <row r="6112" spans="1:5" x14ac:dyDescent="0.3">
      <c r="A6112" t="s">
        <v>6237</v>
      </c>
      <c r="B6112" t="s">
        <v>127</v>
      </c>
      <c r="C6112">
        <v>364</v>
      </c>
      <c r="D6112">
        <f t="shared" si="210"/>
        <v>2021</v>
      </c>
      <c r="E6112">
        <f t="shared" si="211"/>
        <v>10</v>
      </c>
    </row>
    <row r="6113" spans="1:5" x14ac:dyDescent="0.3">
      <c r="A6113" t="s">
        <v>6238</v>
      </c>
      <c r="B6113" t="s">
        <v>127</v>
      </c>
      <c r="C6113">
        <v>358</v>
      </c>
      <c r="D6113">
        <f t="shared" si="210"/>
        <v>2021</v>
      </c>
      <c r="E6113">
        <f t="shared" si="211"/>
        <v>10</v>
      </c>
    </row>
    <row r="6114" spans="1:5" x14ac:dyDescent="0.3">
      <c r="A6114" t="s">
        <v>6239</v>
      </c>
      <c r="B6114" t="s">
        <v>127</v>
      </c>
      <c r="C6114">
        <v>363</v>
      </c>
      <c r="D6114">
        <f t="shared" si="210"/>
        <v>2021</v>
      </c>
      <c r="E6114">
        <f t="shared" si="211"/>
        <v>10</v>
      </c>
    </row>
    <row r="6115" spans="1:5" x14ac:dyDescent="0.3">
      <c r="A6115" t="s">
        <v>6240</v>
      </c>
      <c r="B6115" t="s">
        <v>127</v>
      </c>
      <c r="C6115">
        <v>356</v>
      </c>
      <c r="D6115">
        <f t="shared" si="210"/>
        <v>2021</v>
      </c>
      <c r="E6115">
        <f t="shared" si="211"/>
        <v>10</v>
      </c>
    </row>
    <row r="6116" spans="1:5" x14ac:dyDescent="0.3">
      <c r="A6116" t="s">
        <v>6241</v>
      </c>
      <c r="B6116" t="s">
        <v>127</v>
      </c>
      <c r="C6116">
        <v>356</v>
      </c>
      <c r="D6116">
        <f t="shared" si="210"/>
        <v>2021</v>
      </c>
      <c r="E6116">
        <f t="shared" si="211"/>
        <v>10</v>
      </c>
    </row>
    <row r="6117" spans="1:5" x14ac:dyDescent="0.3">
      <c r="A6117" t="s">
        <v>6242</v>
      </c>
      <c r="B6117" t="s">
        <v>127</v>
      </c>
      <c r="C6117">
        <v>356</v>
      </c>
      <c r="D6117">
        <f t="shared" si="210"/>
        <v>2021</v>
      </c>
      <c r="E6117">
        <f t="shared" si="211"/>
        <v>10</v>
      </c>
    </row>
    <row r="6118" spans="1:5" x14ac:dyDescent="0.3">
      <c r="A6118" t="s">
        <v>6243</v>
      </c>
      <c r="B6118" t="s">
        <v>127</v>
      </c>
      <c r="C6118">
        <v>359</v>
      </c>
      <c r="D6118">
        <f t="shared" si="210"/>
        <v>2021</v>
      </c>
      <c r="E6118">
        <f t="shared" si="211"/>
        <v>10</v>
      </c>
    </row>
    <row r="6119" spans="1:5" x14ac:dyDescent="0.3">
      <c r="A6119" t="s">
        <v>6244</v>
      </c>
      <c r="B6119" t="s">
        <v>127</v>
      </c>
      <c r="C6119">
        <v>360</v>
      </c>
      <c r="D6119">
        <f t="shared" si="210"/>
        <v>2021</v>
      </c>
      <c r="E6119">
        <f t="shared" si="211"/>
        <v>10</v>
      </c>
    </row>
    <row r="6120" spans="1:5" x14ac:dyDescent="0.3">
      <c r="A6120" t="s">
        <v>6245</v>
      </c>
      <c r="B6120" t="s">
        <v>127</v>
      </c>
      <c r="C6120">
        <v>357</v>
      </c>
      <c r="D6120">
        <f t="shared" si="210"/>
        <v>2021</v>
      </c>
      <c r="E6120">
        <f t="shared" si="211"/>
        <v>10</v>
      </c>
    </row>
    <row r="6121" spans="1:5" x14ac:dyDescent="0.3">
      <c r="A6121" t="s">
        <v>6246</v>
      </c>
      <c r="B6121" t="s">
        <v>127</v>
      </c>
      <c r="C6121">
        <v>353</v>
      </c>
      <c r="D6121">
        <f t="shared" si="210"/>
        <v>2021</v>
      </c>
      <c r="E6121">
        <f t="shared" si="211"/>
        <v>10</v>
      </c>
    </row>
    <row r="6122" spans="1:5" x14ac:dyDescent="0.3">
      <c r="A6122" t="s">
        <v>6247</v>
      </c>
      <c r="B6122" t="s">
        <v>127</v>
      </c>
      <c r="C6122">
        <v>356</v>
      </c>
      <c r="D6122">
        <f t="shared" si="210"/>
        <v>2021</v>
      </c>
      <c r="E6122">
        <f t="shared" si="211"/>
        <v>10</v>
      </c>
    </row>
    <row r="6123" spans="1:5" x14ac:dyDescent="0.3">
      <c r="A6123" t="s">
        <v>6248</v>
      </c>
      <c r="B6123" t="s">
        <v>127</v>
      </c>
      <c r="C6123">
        <v>352</v>
      </c>
      <c r="D6123">
        <f t="shared" si="210"/>
        <v>2021</v>
      </c>
      <c r="E6123">
        <f t="shared" si="211"/>
        <v>10</v>
      </c>
    </row>
    <row r="6124" spans="1:5" x14ac:dyDescent="0.3">
      <c r="A6124" t="s">
        <v>6249</v>
      </c>
      <c r="B6124" t="s">
        <v>127</v>
      </c>
      <c r="C6124">
        <v>352</v>
      </c>
      <c r="D6124">
        <f t="shared" si="210"/>
        <v>2021</v>
      </c>
      <c r="E6124">
        <f t="shared" si="211"/>
        <v>10</v>
      </c>
    </row>
    <row r="6125" spans="1:5" x14ac:dyDescent="0.3">
      <c r="A6125" t="s">
        <v>6250</v>
      </c>
      <c r="B6125" t="s">
        <v>127</v>
      </c>
      <c r="C6125">
        <v>351</v>
      </c>
      <c r="D6125">
        <f t="shared" si="210"/>
        <v>2021</v>
      </c>
      <c r="E6125">
        <f t="shared" si="211"/>
        <v>10</v>
      </c>
    </row>
    <row r="6126" spans="1:5" x14ac:dyDescent="0.3">
      <c r="A6126" t="s">
        <v>6251</v>
      </c>
      <c r="B6126" t="s">
        <v>127</v>
      </c>
      <c r="C6126">
        <v>353</v>
      </c>
      <c r="D6126">
        <f t="shared" si="210"/>
        <v>2021</v>
      </c>
      <c r="E6126">
        <f t="shared" si="211"/>
        <v>10</v>
      </c>
    </row>
    <row r="6127" spans="1:5" x14ac:dyDescent="0.3">
      <c r="A6127" t="s">
        <v>6252</v>
      </c>
      <c r="B6127" t="s">
        <v>127</v>
      </c>
      <c r="C6127">
        <v>354</v>
      </c>
      <c r="D6127">
        <f t="shared" si="210"/>
        <v>2021</v>
      </c>
      <c r="E6127">
        <f t="shared" si="211"/>
        <v>10</v>
      </c>
    </row>
    <row r="6128" spans="1:5" x14ac:dyDescent="0.3">
      <c r="A6128" t="s">
        <v>6253</v>
      </c>
      <c r="B6128" t="s">
        <v>127</v>
      </c>
      <c r="C6128">
        <v>354</v>
      </c>
      <c r="D6128">
        <f t="shared" si="210"/>
        <v>2021</v>
      </c>
      <c r="E6128">
        <f t="shared" si="211"/>
        <v>10</v>
      </c>
    </row>
    <row r="6129" spans="1:5" x14ac:dyDescent="0.3">
      <c r="A6129" t="s">
        <v>6254</v>
      </c>
      <c r="B6129" t="s">
        <v>127</v>
      </c>
      <c r="C6129">
        <v>354</v>
      </c>
      <c r="D6129">
        <f t="shared" si="210"/>
        <v>2021</v>
      </c>
      <c r="E6129">
        <f t="shared" si="211"/>
        <v>10</v>
      </c>
    </row>
    <row r="6130" spans="1:5" x14ac:dyDescent="0.3">
      <c r="A6130" t="s">
        <v>6255</v>
      </c>
      <c r="B6130" t="s">
        <v>127</v>
      </c>
      <c r="C6130">
        <v>348</v>
      </c>
      <c r="D6130">
        <f t="shared" si="210"/>
        <v>2021</v>
      </c>
      <c r="E6130">
        <f t="shared" si="211"/>
        <v>10</v>
      </c>
    </row>
    <row r="6131" spans="1:5" x14ac:dyDescent="0.3">
      <c r="A6131" t="s">
        <v>6256</v>
      </c>
      <c r="B6131" t="s">
        <v>127</v>
      </c>
      <c r="C6131">
        <v>353</v>
      </c>
      <c r="D6131">
        <f t="shared" si="210"/>
        <v>2021</v>
      </c>
      <c r="E6131">
        <f t="shared" si="211"/>
        <v>10</v>
      </c>
    </row>
    <row r="6132" spans="1:5" x14ac:dyDescent="0.3">
      <c r="A6132" t="s">
        <v>6257</v>
      </c>
      <c r="B6132" t="s">
        <v>127</v>
      </c>
      <c r="C6132">
        <v>357</v>
      </c>
      <c r="D6132">
        <f t="shared" si="210"/>
        <v>2021</v>
      </c>
      <c r="E6132">
        <f t="shared" si="211"/>
        <v>11</v>
      </c>
    </row>
    <row r="6133" spans="1:5" x14ac:dyDescent="0.3">
      <c r="A6133" t="s">
        <v>6258</v>
      </c>
      <c r="B6133" t="s">
        <v>127</v>
      </c>
      <c r="C6133">
        <v>361</v>
      </c>
      <c r="D6133">
        <f t="shared" si="210"/>
        <v>2021</v>
      </c>
      <c r="E6133">
        <f t="shared" si="211"/>
        <v>11</v>
      </c>
    </row>
    <row r="6134" spans="1:5" x14ac:dyDescent="0.3">
      <c r="A6134" t="s">
        <v>6259</v>
      </c>
      <c r="B6134" t="s">
        <v>127</v>
      </c>
      <c r="C6134">
        <v>357</v>
      </c>
      <c r="D6134">
        <f t="shared" si="210"/>
        <v>2021</v>
      </c>
      <c r="E6134">
        <f t="shared" si="211"/>
        <v>11</v>
      </c>
    </row>
    <row r="6135" spans="1:5" x14ac:dyDescent="0.3">
      <c r="A6135" t="s">
        <v>6260</v>
      </c>
      <c r="B6135" t="s">
        <v>127</v>
      </c>
      <c r="C6135">
        <v>358</v>
      </c>
      <c r="D6135">
        <f t="shared" si="210"/>
        <v>2021</v>
      </c>
      <c r="E6135">
        <f t="shared" si="211"/>
        <v>11</v>
      </c>
    </row>
    <row r="6136" spans="1:5" x14ac:dyDescent="0.3">
      <c r="A6136" t="s">
        <v>6261</v>
      </c>
      <c r="B6136" t="s">
        <v>127</v>
      </c>
      <c r="C6136">
        <v>362</v>
      </c>
      <c r="D6136">
        <f t="shared" si="210"/>
        <v>2021</v>
      </c>
      <c r="E6136">
        <f t="shared" si="211"/>
        <v>11</v>
      </c>
    </row>
    <row r="6137" spans="1:5" x14ac:dyDescent="0.3">
      <c r="A6137" t="s">
        <v>6262</v>
      </c>
      <c r="B6137" t="s">
        <v>127</v>
      </c>
      <c r="C6137">
        <v>352</v>
      </c>
      <c r="D6137">
        <f t="shared" si="210"/>
        <v>2021</v>
      </c>
      <c r="E6137">
        <f t="shared" si="211"/>
        <v>11</v>
      </c>
    </row>
    <row r="6138" spans="1:5" x14ac:dyDescent="0.3">
      <c r="A6138" t="s">
        <v>6263</v>
      </c>
      <c r="B6138" t="s">
        <v>127</v>
      </c>
      <c r="C6138">
        <v>355</v>
      </c>
      <c r="D6138">
        <f t="shared" si="210"/>
        <v>2021</v>
      </c>
      <c r="E6138">
        <f t="shared" si="211"/>
        <v>11</v>
      </c>
    </row>
    <row r="6139" spans="1:5" x14ac:dyDescent="0.3">
      <c r="A6139" t="s">
        <v>6264</v>
      </c>
      <c r="B6139" t="s">
        <v>127</v>
      </c>
      <c r="C6139">
        <v>350</v>
      </c>
      <c r="D6139">
        <f t="shared" si="210"/>
        <v>2021</v>
      </c>
      <c r="E6139">
        <f t="shared" si="211"/>
        <v>11</v>
      </c>
    </row>
    <row r="6140" spans="1:5" x14ac:dyDescent="0.3">
      <c r="A6140" t="s">
        <v>6265</v>
      </c>
      <c r="B6140" t="s">
        <v>127</v>
      </c>
      <c r="C6140">
        <v>350</v>
      </c>
      <c r="D6140">
        <f t="shared" si="210"/>
        <v>2021</v>
      </c>
      <c r="E6140">
        <f t="shared" si="211"/>
        <v>11</v>
      </c>
    </row>
    <row r="6141" spans="1:5" x14ac:dyDescent="0.3">
      <c r="A6141" t="s">
        <v>6266</v>
      </c>
      <c r="B6141" t="s">
        <v>127</v>
      </c>
      <c r="C6141">
        <v>350</v>
      </c>
      <c r="D6141">
        <f t="shared" si="210"/>
        <v>2021</v>
      </c>
      <c r="E6141">
        <f t="shared" si="211"/>
        <v>11</v>
      </c>
    </row>
    <row r="6142" spans="1:5" x14ac:dyDescent="0.3">
      <c r="A6142" t="s">
        <v>6267</v>
      </c>
      <c r="B6142" t="s">
        <v>127</v>
      </c>
      <c r="C6142">
        <v>348</v>
      </c>
      <c r="D6142">
        <f t="shared" si="210"/>
        <v>2021</v>
      </c>
      <c r="E6142">
        <f t="shared" si="211"/>
        <v>11</v>
      </c>
    </row>
    <row r="6143" spans="1:5" x14ac:dyDescent="0.3">
      <c r="A6143" t="s">
        <v>6268</v>
      </c>
      <c r="B6143" t="s">
        <v>127</v>
      </c>
      <c r="C6143">
        <v>349</v>
      </c>
      <c r="D6143">
        <f t="shared" si="210"/>
        <v>2021</v>
      </c>
      <c r="E6143">
        <f t="shared" si="211"/>
        <v>11</v>
      </c>
    </row>
    <row r="6144" spans="1:5" x14ac:dyDescent="0.3">
      <c r="A6144" t="s">
        <v>6269</v>
      </c>
      <c r="B6144" t="s">
        <v>127</v>
      </c>
      <c r="C6144">
        <v>351</v>
      </c>
      <c r="D6144">
        <f t="shared" si="210"/>
        <v>2021</v>
      </c>
      <c r="E6144">
        <f t="shared" si="211"/>
        <v>11</v>
      </c>
    </row>
    <row r="6145" spans="1:5" x14ac:dyDescent="0.3">
      <c r="A6145" t="s">
        <v>6270</v>
      </c>
      <c r="B6145" t="s">
        <v>127</v>
      </c>
      <c r="C6145">
        <v>351</v>
      </c>
      <c r="D6145">
        <f t="shared" si="210"/>
        <v>2021</v>
      </c>
      <c r="E6145">
        <f t="shared" si="211"/>
        <v>11</v>
      </c>
    </row>
    <row r="6146" spans="1:5" x14ac:dyDescent="0.3">
      <c r="A6146" t="s">
        <v>6271</v>
      </c>
      <c r="B6146" t="s">
        <v>127</v>
      </c>
      <c r="C6146">
        <v>352</v>
      </c>
      <c r="D6146">
        <f t="shared" si="210"/>
        <v>2021</v>
      </c>
      <c r="E6146">
        <f t="shared" si="211"/>
        <v>11</v>
      </c>
    </row>
    <row r="6147" spans="1:5" x14ac:dyDescent="0.3">
      <c r="A6147" t="s">
        <v>6272</v>
      </c>
      <c r="B6147" t="s">
        <v>127</v>
      </c>
      <c r="C6147">
        <v>351</v>
      </c>
      <c r="D6147">
        <f t="shared" ref="D6147:D6210" si="212">YEAR(A6147)</f>
        <v>2021</v>
      </c>
      <c r="E6147">
        <f t="shared" ref="E6147:E6210" si="213">MONTH(A6147)</f>
        <v>11</v>
      </c>
    </row>
    <row r="6148" spans="1:5" x14ac:dyDescent="0.3">
      <c r="A6148" t="s">
        <v>6273</v>
      </c>
      <c r="B6148" t="s">
        <v>127</v>
      </c>
      <c r="C6148">
        <v>357</v>
      </c>
      <c r="D6148">
        <f t="shared" si="212"/>
        <v>2021</v>
      </c>
      <c r="E6148">
        <f t="shared" si="213"/>
        <v>11</v>
      </c>
    </row>
    <row r="6149" spans="1:5" x14ac:dyDescent="0.3">
      <c r="A6149" t="s">
        <v>6274</v>
      </c>
      <c r="B6149" t="s">
        <v>127</v>
      </c>
      <c r="C6149">
        <v>366</v>
      </c>
      <c r="D6149">
        <f t="shared" si="212"/>
        <v>2021</v>
      </c>
      <c r="E6149">
        <f t="shared" si="213"/>
        <v>11</v>
      </c>
    </row>
    <row r="6150" spans="1:5" x14ac:dyDescent="0.3">
      <c r="A6150" t="s">
        <v>6275</v>
      </c>
      <c r="B6150" t="s">
        <v>127</v>
      </c>
      <c r="C6150">
        <v>366</v>
      </c>
      <c r="D6150">
        <f t="shared" si="212"/>
        <v>2021</v>
      </c>
      <c r="E6150">
        <f t="shared" si="213"/>
        <v>11</v>
      </c>
    </row>
    <row r="6151" spans="1:5" x14ac:dyDescent="0.3">
      <c r="A6151" t="s">
        <v>6276</v>
      </c>
      <c r="B6151" t="s">
        <v>127</v>
      </c>
      <c r="C6151">
        <v>392</v>
      </c>
      <c r="D6151">
        <f t="shared" si="212"/>
        <v>2021</v>
      </c>
      <c r="E6151">
        <f t="shared" si="213"/>
        <v>11</v>
      </c>
    </row>
    <row r="6152" spans="1:5" x14ac:dyDescent="0.3">
      <c r="A6152" t="s">
        <v>6277</v>
      </c>
      <c r="B6152" t="s">
        <v>127</v>
      </c>
      <c r="C6152">
        <v>386</v>
      </c>
      <c r="D6152">
        <f t="shared" si="212"/>
        <v>2021</v>
      </c>
      <c r="E6152">
        <f t="shared" si="213"/>
        <v>11</v>
      </c>
    </row>
    <row r="6153" spans="1:5" x14ac:dyDescent="0.3">
      <c r="A6153" t="s">
        <v>6278</v>
      </c>
      <c r="B6153" t="s">
        <v>127</v>
      </c>
      <c r="C6153">
        <v>389</v>
      </c>
      <c r="D6153">
        <f t="shared" si="212"/>
        <v>2021</v>
      </c>
      <c r="E6153">
        <f t="shared" si="213"/>
        <v>11</v>
      </c>
    </row>
    <row r="6154" spans="1:5" x14ac:dyDescent="0.3">
      <c r="A6154" t="s">
        <v>6279</v>
      </c>
      <c r="B6154" t="s">
        <v>127</v>
      </c>
      <c r="C6154">
        <v>381</v>
      </c>
      <c r="D6154">
        <f t="shared" si="212"/>
        <v>2021</v>
      </c>
      <c r="E6154">
        <f t="shared" si="213"/>
        <v>12</v>
      </c>
    </row>
    <row r="6155" spans="1:5" x14ac:dyDescent="0.3">
      <c r="A6155" t="s">
        <v>6280</v>
      </c>
      <c r="B6155" t="s">
        <v>127</v>
      </c>
      <c r="C6155">
        <v>377</v>
      </c>
      <c r="D6155">
        <f t="shared" si="212"/>
        <v>2021</v>
      </c>
      <c r="E6155">
        <f t="shared" si="213"/>
        <v>12</v>
      </c>
    </row>
    <row r="6156" spans="1:5" x14ac:dyDescent="0.3">
      <c r="A6156" t="s">
        <v>6281</v>
      </c>
      <c r="B6156" t="s">
        <v>127</v>
      </c>
      <c r="C6156">
        <v>381</v>
      </c>
      <c r="D6156">
        <f t="shared" si="212"/>
        <v>2021</v>
      </c>
      <c r="E6156">
        <f t="shared" si="213"/>
        <v>12</v>
      </c>
    </row>
    <row r="6157" spans="1:5" x14ac:dyDescent="0.3">
      <c r="A6157" t="s">
        <v>6282</v>
      </c>
      <c r="B6157" t="s">
        <v>127</v>
      </c>
      <c r="C6157">
        <v>364</v>
      </c>
      <c r="D6157">
        <f t="shared" si="212"/>
        <v>2021</v>
      </c>
      <c r="E6157">
        <f t="shared" si="213"/>
        <v>12</v>
      </c>
    </row>
    <row r="6158" spans="1:5" x14ac:dyDescent="0.3">
      <c r="A6158" t="s">
        <v>6283</v>
      </c>
      <c r="B6158" t="s">
        <v>127</v>
      </c>
      <c r="C6158">
        <v>356</v>
      </c>
      <c r="D6158">
        <f t="shared" si="212"/>
        <v>2021</v>
      </c>
      <c r="E6158">
        <f t="shared" si="213"/>
        <v>12</v>
      </c>
    </row>
    <row r="6159" spans="1:5" x14ac:dyDescent="0.3">
      <c r="A6159" t="s">
        <v>6284</v>
      </c>
      <c r="B6159" t="s">
        <v>127</v>
      </c>
      <c r="C6159">
        <v>352</v>
      </c>
      <c r="D6159">
        <f t="shared" si="212"/>
        <v>2021</v>
      </c>
      <c r="E6159">
        <f t="shared" si="213"/>
        <v>12</v>
      </c>
    </row>
    <row r="6160" spans="1:5" x14ac:dyDescent="0.3">
      <c r="A6160" t="s">
        <v>6285</v>
      </c>
      <c r="B6160" t="s">
        <v>127</v>
      </c>
      <c r="C6160">
        <v>354</v>
      </c>
      <c r="D6160">
        <f t="shared" si="212"/>
        <v>2021</v>
      </c>
      <c r="E6160">
        <f t="shared" si="213"/>
        <v>12</v>
      </c>
    </row>
    <row r="6161" spans="1:5" x14ac:dyDescent="0.3">
      <c r="A6161" t="s">
        <v>6286</v>
      </c>
      <c r="B6161" t="s">
        <v>127</v>
      </c>
      <c r="C6161">
        <v>356</v>
      </c>
      <c r="D6161">
        <f t="shared" si="212"/>
        <v>2021</v>
      </c>
      <c r="E6161">
        <f t="shared" si="213"/>
        <v>12</v>
      </c>
    </row>
    <row r="6162" spans="1:5" x14ac:dyDescent="0.3">
      <c r="A6162" t="s">
        <v>6287</v>
      </c>
      <c r="B6162" t="s">
        <v>127</v>
      </c>
      <c r="C6162">
        <v>362</v>
      </c>
      <c r="D6162">
        <f t="shared" si="212"/>
        <v>2021</v>
      </c>
      <c r="E6162">
        <f t="shared" si="213"/>
        <v>12</v>
      </c>
    </row>
    <row r="6163" spans="1:5" x14ac:dyDescent="0.3">
      <c r="A6163" t="s">
        <v>6288</v>
      </c>
      <c r="B6163" t="s">
        <v>127</v>
      </c>
      <c r="C6163">
        <v>360</v>
      </c>
      <c r="D6163">
        <f t="shared" si="212"/>
        <v>2021</v>
      </c>
      <c r="E6163">
        <f t="shared" si="213"/>
        <v>12</v>
      </c>
    </row>
    <row r="6164" spans="1:5" x14ac:dyDescent="0.3">
      <c r="A6164" t="s">
        <v>6289</v>
      </c>
      <c r="B6164" t="s">
        <v>127</v>
      </c>
      <c r="C6164">
        <v>357</v>
      </c>
      <c r="D6164">
        <f t="shared" si="212"/>
        <v>2021</v>
      </c>
      <c r="E6164">
        <f t="shared" si="213"/>
        <v>12</v>
      </c>
    </row>
    <row r="6165" spans="1:5" x14ac:dyDescent="0.3">
      <c r="A6165" t="s">
        <v>6290</v>
      </c>
      <c r="B6165" t="s">
        <v>127</v>
      </c>
      <c r="C6165">
        <v>358</v>
      </c>
      <c r="D6165">
        <f t="shared" si="212"/>
        <v>2021</v>
      </c>
      <c r="E6165">
        <f t="shared" si="213"/>
        <v>12</v>
      </c>
    </row>
    <row r="6166" spans="1:5" x14ac:dyDescent="0.3">
      <c r="A6166" t="s">
        <v>6291</v>
      </c>
      <c r="B6166" t="s">
        <v>127</v>
      </c>
      <c r="C6166">
        <v>360</v>
      </c>
      <c r="D6166">
        <f t="shared" si="212"/>
        <v>2021</v>
      </c>
      <c r="E6166">
        <f t="shared" si="213"/>
        <v>12</v>
      </c>
    </row>
    <row r="6167" spans="1:5" x14ac:dyDescent="0.3">
      <c r="A6167" t="s">
        <v>6292</v>
      </c>
      <c r="B6167" t="s">
        <v>127</v>
      </c>
      <c r="C6167">
        <v>362</v>
      </c>
      <c r="D6167">
        <f t="shared" si="212"/>
        <v>2021</v>
      </c>
      <c r="E6167">
        <f t="shared" si="213"/>
        <v>12</v>
      </c>
    </row>
    <row r="6168" spans="1:5" x14ac:dyDescent="0.3">
      <c r="A6168" t="s">
        <v>6293</v>
      </c>
      <c r="B6168" t="s">
        <v>127</v>
      </c>
      <c r="C6168">
        <v>354</v>
      </c>
      <c r="D6168">
        <f t="shared" si="212"/>
        <v>2021</v>
      </c>
      <c r="E6168">
        <f t="shared" si="213"/>
        <v>12</v>
      </c>
    </row>
    <row r="6169" spans="1:5" x14ac:dyDescent="0.3">
      <c r="A6169" t="s">
        <v>6294</v>
      </c>
      <c r="B6169" t="s">
        <v>127</v>
      </c>
      <c r="C6169">
        <v>355</v>
      </c>
      <c r="D6169">
        <f t="shared" si="212"/>
        <v>2021</v>
      </c>
      <c r="E6169">
        <f t="shared" si="213"/>
        <v>12</v>
      </c>
    </row>
    <row r="6170" spans="1:5" x14ac:dyDescent="0.3">
      <c r="A6170" t="s">
        <v>6295</v>
      </c>
      <c r="B6170" t="s">
        <v>127</v>
      </c>
      <c r="C6170">
        <v>350</v>
      </c>
      <c r="D6170">
        <f t="shared" si="212"/>
        <v>2021</v>
      </c>
      <c r="E6170">
        <f t="shared" si="213"/>
        <v>12</v>
      </c>
    </row>
    <row r="6171" spans="1:5" x14ac:dyDescent="0.3">
      <c r="A6171" t="s">
        <v>6296</v>
      </c>
      <c r="B6171" t="s">
        <v>127</v>
      </c>
      <c r="C6171">
        <v>350</v>
      </c>
      <c r="D6171">
        <f t="shared" si="212"/>
        <v>2021</v>
      </c>
      <c r="E6171">
        <f t="shared" si="213"/>
        <v>12</v>
      </c>
    </row>
    <row r="6172" spans="1:5" x14ac:dyDescent="0.3">
      <c r="A6172" t="s">
        <v>6297</v>
      </c>
      <c r="B6172" t="s">
        <v>127</v>
      </c>
      <c r="C6172">
        <v>351</v>
      </c>
      <c r="D6172">
        <f t="shared" si="212"/>
        <v>2021</v>
      </c>
      <c r="E6172">
        <f t="shared" si="213"/>
        <v>12</v>
      </c>
    </row>
    <row r="6173" spans="1:5" x14ac:dyDescent="0.3">
      <c r="A6173" t="s">
        <v>6298</v>
      </c>
      <c r="B6173" t="s">
        <v>127</v>
      </c>
      <c r="C6173">
        <v>349</v>
      </c>
      <c r="D6173">
        <f t="shared" si="212"/>
        <v>2021</v>
      </c>
      <c r="E6173">
        <f t="shared" si="213"/>
        <v>12</v>
      </c>
    </row>
    <row r="6174" spans="1:5" x14ac:dyDescent="0.3">
      <c r="A6174" t="s">
        <v>6299</v>
      </c>
      <c r="B6174" t="s">
        <v>127</v>
      </c>
      <c r="C6174">
        <v>344</v>
      </c>
      <c r="D6174">
        <f t="shared" si="212"/>
        <v>2021</v>
      </c>
      <c r="E6174">
        <f t="shared" si="213"/>
        <v>12</v>
      </c>
    </row>
    <row r="6175" spans="1:5" x14ac:dyDescent="0.3">
      <c r="A6175" t="s">
        <v>6300</v>
      </c>
      <c r="B6175" t="s">
        <v>127</v>
      </c>
      <c r="C6175">
        <v>348</v>
      </c>
      <c r="D6175">
        <f t="shared" si="212"/>
        <v>2021</v>
      </c>
      <c r="E6175">
        <f t="shared" si="213"/>
        <v>12</v>
      </c>
    </row>
    <row r="6176" spans="1:5" x14ac:dyDescent="0.3">
      <c r="A6176" t="s">
        <v>6301</v>
      </c>
      <c r="B6176" t="s">
        <v>127</v>
      </c>
      <c r="C6176">
        <v>347</v>
      </c>
      <c r="D6176">
        <f t="shared" si="212"/>
        <v>2021</v>
      </c>
      <c r="E6176">
        <f t="shared" si="213"/>
        <v>12</v>
      </c>
    </row>
    <row r="6177" spans="1:5" x14ac:dyDescent="0.3">
      <c r="A6177" t="s">
        <v>6302</v>
      </c>
      <c r="B6177" t="s">
        <v>127</v>
      </c>
      <c r="C6177">
        <v>341</v>
      </c>
      <c r="D6177">
        <f t="shared" si="212"/>
        <v>2022</v>
      </c>
      <c r="E6177">
        <f t="shared" si="213"/>
        <v>1</v>
      </c>
    </row>
    <row r="6178" spans="1:5" x14ac:dyDescent="0.3">
      <c r="A6178" t="s">
        <v>6303</v>
      </c>
      <c r="B6178" t="s">
        <v>127</v>
      </c>
      <c r="C6178">
        <v>344</v>
      </c>
      <c r="D6178">
        <f t="shared" si="212"/>
        <v>2022</v>
      </c>
      <c r="E6178">
        <f t="shared" si="213"/>
        <v>1</v>
      </c>
    </row>
    <row r="6179" spans="1:5" x14ac:dyDescent="0.3">
      <c r="A6179" t="s">
        <v>6304</v>
      </c>
      <c r="B6179" t="s">
        <v>127</v>
      </c>
      <c r="C6179">
        <v>346</v>
      </c>
      <c r="D6179">
        <f t="shared" si="212"/>
        <v>2022</v>
      </c>
      <c r="E6179">
        <f t="shared" si="213"/>
        <v>1</v>
      </c>
    </row>
    <row r="6180" spans="1:5" x14ac:dyDescent="0.3">
      <c r="A6180" t="s">
        <v>6305</v>
      </c>
      <c r="B6180" t="s">
        <v>127</v>
      </c>
      <c r="C6180">
        <v>348</v>
      </c>
      <c r="D6180">
        <f t="shared" si="212"/>
        <v>2022</v>
      </c>
      <c r="E6180">
        <f t="shared" si="213"/>
        <v>1</v>
      </c>
    </row>
    <row r="6181" spans="1:5" x14ac:dyDescent="0.3">
      <c r="A6181" t="s">
        <v>6306</v>
      </c>
      <c r="B6181" t="s">
        <v>127</v>
      </c>
      <c r="C6181">
        <v>348</v>
      </c>
      <c r="D6181">
        <f t="shared" si="212"/>
        <v>2022</v>
      </c>
      <c r="E6181">
        <f t="shared" si="213"/>
        <v>1</v>
      </c>
    </row>
    <row r="6182" spans="1:5" x14ac:dyDescent="0.3">
      <c r="A6182" t="s">
        <v>6307</v>
      </c>
      <c r="B6182" t="s">
        <v>127</v>
      </c>
      <c r="C6182">
        <v>353</v>
      </c>
      <c r="D6182">
        <f t="shared" si="212"/>
        <v>2022</v>
      </c>
      <c r="E6182">
        <f t="shared" si="213"/>
        <v>1</v>
      </c>
    </row>
    <row r="6183" spans="1:5" x14ac:dyDescent="0.3">
      <c r="A6183" t="s">
        <v>6308</v>
      </c>
      <c r="B6183" t="s">
        <v>127</v>
      </c>
      <c r="C6183">
        <v>353</v>
      </c>
      <c r="D6183">
        <f t="shared" si="212"/>
        <v>2022</v>
      </c>
      <c r="E6183">
        <f t="shared" si="213"/>
        <v>1</v>
      </c>
    </row>
    <row r="6184" spans="1:5" x14ac:dyDescent="0.3">
      <c r="A6184" t="s">
        <v>6309</v>
      </c>
      <c r="B6184" t="s">
        <v>127</v>
      </c>
      <c r="C6184">
        <v>351</v>
      </c>
      <c r="D6184">
        <f t="shared" si="212"/>
        <v>2022</v>
      </c>
      <c r="E6184">
        <f t="shared" si="213"/>
        <v>1</v>
      </c>
    </row>
    <row r="6185" spans="1:5" x14ac:dyDescent="0.3">
      <c r="A6185" t="s">
        <v>6310</v>
      </c>
      <c r="B6185" t="s">
        <v>127</v>
      </c>
      <c r="C6185">
        <v>359</v>
      </c>
      <c r="D6185">
        <f t="shared" si="212"/>
        <v>2022</v>
      </c>
      <c r="E6185">
        <f t="shared" si="213"/>
        <v>1</v>
      </c>
    </row>
    <row r="6186" spans="1:5" x14ac:dyDescent="0.3">
      <c r="A6186" t="s">
        <v>6311</v>
      </c>
      <c r="B6186" t="s">
        <v>127</v>
      </c>
      <c r="C6186">
        <v>358</v>
      </c>
      <c r="D6186">
        <f t="shared" si="212"/>
        <v>2022</v>
      </c>
      <c r="E6186">
        <f t="shared" si="213"/>
        <v>1</v>
      </c>
    </row>
    <row r="6187" spans="1:5" x14ac:dyDescent="0.3">
      <c r="A6187" t="s">
        <v>6312</v>
      </c>
      <c r="B6187" t="s">
        <v>127</v>
      </c>
      <c r="C6187">
        <v>358</v>
      </c>
      <c r="D6187">
        <f t="shared" si="212"/>
        <v>2022</v>
      </c>
      <c r="E6187">
        <f t="shared" si="213"/>
        <v>1</v>
      </c>
    </row>
    <row r="6188" spans="1:5" x14ac:dyDescent="0.3">
      <c r="A6188" t="s">
        <v>6313</v>
      </c>
      <c r="B6188" t="s">
        <v>127</v>
      </c>
      <c r="C6188">
        <v>359</v>
      </c>
      <c r="D6188">
        <f t="shared" si="212"/>
        <v>2022</v>
      </c>
      <c r="E6188">
        <f t="shared" si="213"/>
        <v>1</v>
      </c>
    </row>
    <row r="6189" spans="1:5" x14ac:dyDescent="0.3">
      <c r="A6189" t="s">
        <v>6314</v>
      </c>
      <c r="B6189" t="s">
        <v>127</v>
      </c>
      <c r="C6189">
        <v>357</v>
      </c>
      <c r="D6189">
        <f t="shared" si="212"/>
        <v>2022</v>
      </c>
      <c r="E6189">
        <f t="shared" si="213"/>
        <v>1</v>
      </c>
    </row>
    <row r="6190" spans="1:5" x14ac:dyDescent="0.3">
      <c r="A6190" t="s">
        <v>6315</v>
      </c>
      <c r="B6190" t="s">
        <v>127</v>
      </c>
      <c r="C6190">
        <v>352</v>
      </c>
      <c r="D6190">
        <f t="shared" si="212"/>
        <v>2022</v>
      </c>
      <c r="E6190">
        <f t="shared" si="213"/>
        <v>1</v>
      </c>
    </row>
    <row r="6191" spans="1:5" x14ac:dyDescent="0.3">
      <c r="A6191" t="s">
        <v>6316</v>
      </c>
      <c r="B6191" t="s">
        <v>127</v>
      </c>
      <c r="C6191">
        <v>358</v>
      </c>
      <c r="D6191">
        <f t="shared" si="212"/>
        <v>2022</v>
      </c>
      <c r="E6191">
        <f t="shared" si="213"/>
        <v>1</v>
      </c>
    </row>
    <row r="6192" spans="1:5" x14ac:dyDescent="0.3">
      <c r="A6192" t="s">
        <v>6317</v>
      </c>
      <c r="B6192" t="s">
        <v>127</v>
      </c>
      <c r="C6192">
        <v>363</v>
      </c>
      <c r="D6192">
        <f t="shared" si="212"/>
        <v>2022</v>
      </c>
      <c r="E6192">
        <f t="shared" si="213"/>
        <v>1</v>
      </c>
    </row>
    <row r="6193" spans="1:5" x14ac:dyDescent="0.3">
      <c r="A6193" t="s">
        <v>6318</v>
      </c>
      <c r="B6193" t="s">
        <v>127</v>
      </c>
      <c r="C6193">
        <v>358</v>
      </c>
      <c r="D6193">
        <f t="shared" si="212"/>
        <v>2022</v>
      </c>
      <c r="E6193">
        <f t="shared" si="213"/>
        <v>1</v>
      </c>
    </row>
    <row r="6194" spans="1:5" x14ac:dyDescent="0.3">
      <c r="A6194" t="s">
        <v>6319</v>
      </c>
      <c r="B6194" t="s">
        <v>127</v>
      </c>
      <c r="C6194">
        <v>351</v>
      </c>
      <c r="D6194">
        <f t="shared" si="212"/>
        <v>2022</v>
      </c>
      <c r="E6194">
        <f t="shared" si="213"/>
        <v>1</v>
      </c>
    </row>
    <row r="6195" spans="1:5" x14ac:dyDescent="0.3">
      <c r="A6195" t="s">
        <v>6320</v>
      </c>
      <c r="B6195" t="s">
        <v>127</v>
      </c>
      <c r="C6195">
        <v>356</v>
      </c>
      <c r="D6195">
        <f t="shared" si="212"/>
        <v>2022</v>
      </c>
      <c r="E6195">
        <f t="shared" si="213"/>
        <v>1</v>
      </c>
    </row>
    <row r="6196" spans="1:5" x14ac:dyDescent="0.3">
      <c r="A6196" t="s">
        <v>6321</v>
      </c>
      <c r="B6196" t="s">
        <v>127</v>
      </c>
      <c r="C6196">
        <v>362</v>
      </c>
      <c r="D6196">
        <f t="shared" si="212"/>
        <v>2022</v>
      </c>
      <c r="E6196">
        <f t="shared" si="213"/>
        <v>1</v>
      </c>
    </row>
    <row r="6197" spans="1:5" x14ac:dyDescent="0.3">
      <c r="A6197" t="s">
        <v>6322</v>
      </c>
      <c r="B6197" t="s">
        <v>127</v>
      </c>
      <c r="C6197">
        <v>356</v>
      </c>
      <c r="D6197">
        <f t="shared" si="212"/>
        <v>2022</v>
      </c>
      <c r="E6197">
        <f t="shared" si="213"/>
        <v>1</v>
      </c>
    </row>
    <row r="6198" spans="1:5" x14ac:dyDescent="0.3">
      <c r="A6198" t="s">
        <v>6323</v>
      </c>
      <c r="B6198" t="s">
        <v>127</v>
      </c>
      <c r="C6198">
        <v>354</v>
      </c>
      <c r="D6198">
        <f t="shared" si="212"/>
        <v>2022</v>
      </c>
      <c r="E6198">
        <f t="shared" si="213"/>
        <v>2</v>
      </c>
    </row>
    <row r="6199" spans="1:5" x14ac:dyDescent="0.3">
      <c r="A6199" t="s">
        <v>6324</v>
      </c>
      <c r="B6199" t="s">
        <v>127</v>
      </c>
      <c r="C6199">
        <v>351</v>
      </c>
      <c r="D6199">
        <f t="shared" si="212"/>
        <v>2022</v>
      </c>
      <c r="E6199">
        <f t="shared" si="213"/>
        <v>2</v>
      </c>
    </row>
    <row r="6200" spans="1:5" x14ac:dyDescent="0.3">
      <c r="A6200" t="s">
        <v>6325</v>
      </c>
      <c r="B6200" t="s">
        <v>127</v>
      </c>
      <c r="C6200">
        <v>351</v>
      </c>
      <c r="D6200">
        <f t="shared" si="212"/>
        <v>2022</v>
      </c>
      <c r="E6200">
        <f t="shared" si="213"/>
        <v>2</v>
      </c>
    </row>
    <row r="6201" spans="1:5" x14ac:dyDescent="0.3">
      <c r="A6201" t="s">
        <v>6326</v>
      </c>
      <c r="B6201" t="s">
        <v>127</v>
      </c>
      <c r="C6201">
        <v>351</v>
      </c>
      <c r="D6201">
        <f t="shared" si="212"/>
        <v>2022</v>
      </c>
      <c r="E6201">
        <f t="shared" si="213"/>
        <v>2</v>
      </c>
    </row>
    <row r="6202" spans="1:5" x14ac:dyDescent="0.3">
      <c r="A6202" t="s">
        <v>6327</v>
      </c>
      <c r="B6202" t="s">
        <v>127</v>
      </c>
      <c r="C6202">
        <v>358</v>
      </c>
      <c r="D6202">
        <f t="shared" si="212"/>
        <v>2022</v>
      </c>
      <c r="E6202">
        <f t="shared" si="213"/>
        <v>2</v>
      </c>
    </row>
    <row r="6203" spans="1:5" x14ac:dyDescent="0.3">
      <c r="A6203" t="s">
        <v>6328</v>
      </c>
      <c r="B6203" t="s">
        <v>127</v>
      </c>
      <c r="C6203">
        <v>359</v>
      </c>
      <c r="D6203">
        <f t="shared" si="212"/>
        <v>2022</v>
      </c>
      <c r="E6203">
        <f t="shared" si="213"/>
        <v>2</v>
      </c>
    </row>
    <row r="6204" spans="1:5" x14ac:dyDescent="0.3">
      <c r="A6204" t="s">
        <v>6329</v>
      </c>
      <c r="B6204" t="s">
        <v>127</v>
      </c>
      <c r="C6204">
        <v>357</v>
      </c>
      <c r="D6204">
        <f t="shared" si="212"/>
        <v>2022</v>
      </c>
      <c r="E6204">
        <f t="shared" si="213"/>
        <v>2</v>
      </c>
    </row>
    <row r="6205" spans="1:5" x14ac:dyDescent="0.3">
      <c r="A6205" t="s">
        <v>6330</v>
      </c>
      <c r="B6205" t="s">
        <v>127</v>
      </c>
      <c r="C6205">
        <v>358</v>
      </c>
      <c r="D6205">
        <f t="shared" si="212"/>
        <v>2022</v>
      </c>
      <c r="E6205">
        <f t="shared" si="213"/>
        <v>2</v>
      </c>
    </row>
    <row r="6206" spans="1:5" x14ac:dyDescent="0.3">
      <c r="A6206" t="s">
        <v>6331</v>
      </c>
      <c r="B6206" t="s">
        <v>127</v>
      </c>
      <c r="C6206">
        <v>374</v>
      </c>
      <c r="D6206">
        <f t="shared" si="212"/>
        <v>2022</v>
      </c>
      <c r="E6206">
        <f t="shared" si="213"/>
        <v>2</v>
      </c>
    </row>
    <row r="6207" spans="1:5" x14ac:dyDescent="0.3">
      <c r="A6207" t="s">
        <v>6332</v>
      </c>
      <c r="B6207" t="s">
        <v>127</v>
      </c>
      <c r="C6207">
        <v>374</v>
      </c>
      <c r="D6207">
        <f t="shared" si="212"/>
        <v>2022</v>
      </c>
      <c r="E6207">
        <f t="shared" si="213"/>
        <v>2</v>
      </c>
    </row>
    <row r="6208" spans="1:5" x14ac:dyDescent="0.3">
      <c r="A6208" t="s">
        <v>6333</v>
      </c>
      <c r="B6208" t="s">
        <v>127</v>
      </c>
      <c r="C6208">
        <v>364</v>
      </c>
      <c r="D6208">
        <f t="shared" si="212"/>
        <v>2022</v>
      </c>
      <c r="E6208">
        <f t="shared" si="213"/>
        <v>2</v>
      </c>
    </row>
    <row r="6209" spans="1:5" x14ac:dyDescent="0.3">
      <c r="A6209" t="s">
        <v>6334</v>
      </c>
      <c r="B6209" t="s">
        <v>127</v>
      </c>
      <c r="C6209">
        <v>365</v>
      </c>
      <c r="D6209">
        <f t="shared" si="212"/>
        <v>2022</v>
      </c>
      <c r="E6209">
        <f t="shared" si="213"/>
        <v>2</v>
      </c>
    </row>
    <row r="6210" spans="1:5" x14ac:dyDescent="0.3">
      <c r="A6210" t="s">
        <v>6335</v>
      </c>
      <c r="B6210" t="s">
        <v>127</v>
      </c>
      <c r="C6210">
        <v>372</v>
      </c>
      <c r="D6210">
        <f t="shared" si="212"/>
        <v>2022</v>
      </c>
      <c r="E6210">
        <f t="shared" si="213"/>
        <v>2</v>
      </c>
    </row>
    <row r="6211" spans="1:5" x14ac:dyDescent="0.3">
      <c r="A6211" t="s">
        <v>6336</v>
      </c>
      <c r="B6211" t="s">
        <v>127</v>
      </c>
      <c r="C6211">
        <v>378</v>
      </c>
      <c r="D6211">
        <f t="shared" ref="D6211:D6274" si="214">YEAR(A6211)</f>
        <v>2022</v>
      </c>
      <c r="E6211">
        <f t="shared" ref="E6211:E6274" si="215">MONTH(A6211)</f>
        <v>2</v>
      </c>
    </row>
    <row r="6212" spans="1:5" x14ac:dyDescent="0.3">
      <c r="A6212" t="s">
        <v>6337</v>
      </c>
      <c r="B6212" t="s">
        <v>127</v>
      </c>
      <c r="C6212">
        <v>378</v>
      </c>
      <c r="D6212">
        <f t="shared" si="214"/>
        <v>2022</v>
      </c>
      <c r="E6212">
        <f t="shared" si="215"/>
        <v>2</v>
      </c>
    </row>
    <row r="6213" spans="1:5" x14ac:dyDescent="0.3">
      <c r="A6213" t="s">
        <v>6338</v>
      </c>
      <c r="B6213" t="s">
        <v>127</v>
      </c>
      <c r="C6213">
        <v>382</v>
      </c>
      <c r="D6213">
        <f t="shared" si="214"/>
        <v>2022</v>
      </c>
      <c r="E6213">
        <f t="shared" si="215"/>
        <v>2</v>
      </c>
    </row>
    <row r="6214" spans="1:5" x14ac:dyDescent="0.3">
      <c r="A6214" t="s">
        <v>6339</v>
      </c>
      <c r="B6214" t="s">
        <v>127</v>
      </c>
      <c r="C6214">
        <v>384</v>
      </c>
      <c r="D6214">
        <f t="shared" si="214"/>
        <v>2022</v>
      </c>
      <c r="E6214">
        <f t="shared" si="215"/>
        <v>2</v>
      </c>
    </row>
    <row r="6215" spans="1:5" x14ac:dyDescent="0.3">
      <c r="A6215" t="s">
        <v>6340</v>
      </c>
      <c r="B6215" t="s">
        <v>127</v>
      </c>
      <c r="C6215">
        <v>383</v>
      </c>
      <c r="D6215">
        <f t="shared" si="214"/>
        <v>2022</v>
      </c>
      <c r="E6215">
        <f t="shared" si="215"/>
        <v>2</v>
      </c>
    </row>
    <row r="6216" spans="1:5" x14ac:dyDescent="0.3">
      <c r="A6216" t="s">
        <v>6341</v>
      </c>
      <c r="B6216" t="s">
        <v>127</v>
      </c>
      <c r="C6216">
        <v>372</v>
      </c>
      <c r="D6216">
        <f t="shared" si="214"/>
        <v>2022</v>
      </c>
      <c r="E6216">
        <f t="shared" si="215"/>
        <v>2</v>
      </c>
    </row>
    <row r="6217" spans="1:5" x14ac:dyDescent="0.3">
      <c r="A6217" t="s">
        <v>6342</v>
      </c>
      <c r="B6217" t="s">
        <v>127</v>
      </c>
      <c r="C6217">
        <v>382</v>
      </c>
      <c r="D6217">
        <f t="shared" si="214"/>
        <v>2022</v>
      </c>
      <c r="E6217">
        <f t="shared" si="215"/>
        <v>2</v>
      </c>
    </row>
    <row r="6218" spans="1:5" x14ac:dyDescent="0.3">
      <c r="A6218" t="s">
        <v>6343</v>
      </c>
      <c r="B6218" t="s">
        <v>127</v>
      </c>
      <c r="C6218">
        <v>387</v>
      </c>
      <c r="D6218">
        <f t="shared" si="214"/>
        <v>2022</v>
      </c>
      <c r="E6218">
        <f t="shared" si="215"/>
        <v>3</v>
      </c>
    </row>
    <row r="6219" spans="1:5" x14ac:dyDescent="0.3">
      <c r="A6219" t="s">
        <v>6344</v>
      </c>
      <c r="B6219" t="s">
        <v>127</v>
      </c>
      <c r="C6219">
        <v>379</v>
      </c>
      <c r="D6219">
        <f t="shared" si="214"/>
        <v>2022</v>
      </c>
      <c r="E6219">
        <f t="shared" si="215"/>
        <v>3</v>
      </c>
    </row>
    <row r="6220" spans="1:5" x14ac:dyDescent="0.3">
      <c r="A6220" t="s">
        <v>6345</v>
      </c>
      <c r="B6220" t="s">
        <v>127</v>
      </c>
      <c r="C6220">
        <v>384</v>
      </c>
      <c r="D6220">
        <f t="shared" si="214"/>
        <v>2022</v>
      </c>
      <c r="E6220">
        <f t="shared" si="215"/>
        <v>3</v>
      </c>
    </row>
    <row r="6221" spans="1:5" x14ac:dyDescent="0.3">
      <c r="A6221" t="s">
        <v>6346</v>
      </c>
      <c r="B6221" t="s">
        <v>127</v>
      </c>
      <c r="C6221">
        <v>402</v>
      </c>
      <c r="D6221">
        <f t="shared" si="214"/>
        <v>2022</v>
      </c>
      <c r="E6221">
        <f t="shared" si="215"/>
        <v>3</v>
      </c>
    </row>
    <row r="6222" spans="1:5" x14ac:dyDescent="0.3">
      <c r="A6222" t="s">
        <v>6347</v>
      </c>
      <c r="B6222" t="s">
        <v>127</v>
      </c>
      <c r="C6222">
        <v>408</v>
      </c>
      <c r="D6222">
        <f t="shared" si="214"/>
        <v>2022</v>
      </c>
      <c r="E6222">
        <f t="shared" si="215"/>
        <v>3</v>
      </c>
    </row>
    <row r="6223" spans="1:5" x14ac:dyDescent="0.3">
      <c r="A6223" t="s">
        <v>6348</v>
      </c>
      <c r="B6223" t="s">
        <v>127</v>
      </c>
      <c r="C6223">
        <v>406</v>
      </c>
      <c r="D6223">
        <f t="shared" si="214"/>
        <v>2022</v>
      </c>
      <c r="E6223">
        <f t="shared" si="215"/>
        <v>3</v>
      </c>
    </row>
    <row r="6224" spans="1:5" x14ac:dyDescent="0.3">
      <c r="A6224" t="s">
        <v>6349</v>
      </c>
      <c r="B6224" t="s">
        <v>127</v>
      </c>
      <c r="C6224">
        <v>393</v>
      </c>
      <c r="D6224">
        <f t="shared" si="214"/>
        <v>2022</v>
      </c>
      <c r="E6224">
        <f t="shared" si="215"/>
        <v>3</v>
      </c>
    </row>
    <row r="6225" spans="1:5" x14ac:dyDescent="0.3">
      <c r="A6225" t="s">
        <v>6350</v>
      </c>
      <c r="B6225" t="s">
        <v>127</v>
      </c>
      <c r="C6225">
        <v>388</v>
      </c>
      <c r="D6225">
        <f t="shared" si="214"/>
        <v>2022</v>
      </c>
      <c r="E6225">
        <f t="shared" si="215"/>
        <v>3</v>
      </c>
    </row>
    <row r="6226" spans="1:5" x14ac:dyDescent="0.3">
      <c r="A6226" t="s">
        <v>6351</v>
      </c>
      <c r="B6226" t="s">
        <v>127</v>
      </c>
      <c r="C6226">
        <v>388</v>
      </c>
      <c r="D6226">
        <f t="shared" si="214"/>
        <v>2022</v>
      </c>
      <c r="E6226">
        <f t="shared" si="215"/>
        <v>3</v>
      </c>
    </row>
    <row r="6227" spans="1:5" x14ac:dyDescent="0.3">
      <c r="A6227" t="s">
        <v>6352</v>
      </c>
      <c r="B6227" t="s">
        <v>127</v>
      </c>
      <c r="C6227">
        <v>383</v>
      </c>
      <c r="D6227">
        <f t="shared" si="214"/>
        <v>2022</v>
      </c>
      <c r="E6227">
        <f t="shared" si="215"/>
        <v>3</v>
      </c>
    </row>
    <row r="6228" spans="1:5" x14ac:dyDescent="0.3">
      <c r="A6228" t="s">
        <v>6353</v>
      </c>
      <c r="B6228" t="s">
        <v>127</v>
      </c>
      <c r="C6228">
        <v>386</v>
      </c>
      <c r="D6228">
        <f t="shared" si="214"/>
        <v>2022</v>
      </c>
      <c r="E6228">
        <f t="shared" si="215"/>
        <v>3</v>
      </c>
    </row>
    <row r="6229" spans="1:5" x14ac:dyDescent="0.3">
      <c r="A6229" t="s">
        <v>6354</v>
      </c>
      <c r="B6229" t="s">
        <v>127</v>
      </c>
      <c r="C6229">
        <v>380</v>
      </c>
      <c r="D6229">
        <f t="shared" si="214"/>
        <v>2022</v>
      </c>
      <c r="E6229">
        <f t="shared" si="215"/>
        <v>3</v>
      </c>
    </row>
    <row r="6230" spans="1:5" x14ac:dyDescent="0.3">
      <c r="A6230" t="s">
        <v>6355</v>
      </c>
      <c r="B6230" t="s">
        <v>127</v>
      </c>
      <c r="C6230">
        <v>366</v>
      </c>
      <c r="D6230">
        <f t="shared" si="214"/>
        <v>2022</v>
      </c>
      <c r="E6230">
        <f t="shared" si="215"/>
        <v>3</v>
      </c>
    </row>
    <row r="6231" spans="1:5" x14ac:dyDescent="0.3">
      <c r="A6231" t="s">
        <v>6356</v>
      </c>
      <c r="B6231" t="s">
        <v>127</v>
      </c>
      <c r="C6231">
        <v>364</v>
      </c>
      <c r="D6231">
        <f t="shared" si="214"/>
        <v>2022</v>
      </c>
      <c r="E6231">
        <f t="shared" si="215"/>
        <v>3</v>
      </c>
    </row>
    <row r="6232" spans="1:5" x14ac:dyDescent="0.3">
      <c r="A6232" t="s">
        <v>6357</v>
      </c>
      <c r="B6232" t="s">
        <v>127</v>
      </c>
      <c r="C6232">
        <v>362</v>
      </c>
      <c r="D6232">
        <f t="shared" si="214"/>
        <v>2022</v>
      </c>
      <c r="E6232">
        <f t="shared" si="215"/>
        <v>3</v>
      </c>
    </row>
    <row r="6233" spans="1:5" x14ac:dyDescent="0.3">
      <c r="A6233" t="s">
        <v>6358</v>
      </c>
      <c r="B6233" t="s">
        <v>127</v>
      </c>
      <c r="C6233">
        <v>357</v>
      </c>
      <c r="D6233">
        <f t="shared" si="214"/>
        <v>2022</v>
      </c>
      <c r="E6233">
        <f t="shared" si="215"/>
        <v>3</v>
      </c>
    </row>
    <row r="6234" spans="1:5" x14ac:dyDescent="0.3">
      <c r="A6234" t="s">
        <v>6359</v>
      </c>
      <c r="B6234" t="s">
        <v>127</v>
      </c>
      <c r="C6234">
        <v>368</v>
      </c>
      <c r="D6234">
        <f t="shared" si="214"/>
        <v>2022</v>
      </c>
      <c r="E6234">
        <f t="shared" si="215"/>
        <v>3</v>
      </c>
    </row>
    <row r="6235" spans="1:5" x14ac:dyDescent="0.3">
      <c r="A6235" t="s">
        <v>6360</v>
      </c>
      <c r="B6235" t="s">
        <v>127</v>
      </c>
      <c r="C6235">
        <v>355</v>
      </c>
      <c r="D6235">
        <f t="shared" si="214"/>
        <v>2022</v>
      </c>
      <c r="E6235">
        <f t="shared" si="215"/>
        <v>3</v>
      </c>
    </row>
    <row r="6236" spans="1:5" x14ac:dyDescent="0.3">
      <c r="A6236" t="s">
        <v>6361</v>
      </c>
      <c r="B6236" t="s">
        <v>127</v>
      </c>
      <c r="C6236">
        <v>347</v>
      </c>
      <c r="D6236">
        <f t="shared" si="214"/>
        <v>2022</v>
      </c>
      <c r="E6236">
        <f t="shared" si="215"/>
        <v>3</v>
      </c>
    </row>
    <row r="6237" spans="1:5" x14ac:dyDescent="0.3">
      <c r="A6237" t="s">
        <v>6362</v>
      </c>
      <c r="B6237" t="s">
        <v>127</v>
      </c>
      <c r="C6237">
        <v>344</v>
      </c>
      <c r="D6237">
        <f t="shared" si="214"/>
        <v>2022</v>
      </c>
      <c r="E6237">
        <f t="shared" si="215"/>
        <v>3</v>
      </c>
    </row>
    <row r="6238" spans="1:5" x14ac:dyDescent="0.3">
      <c r="A6238" t="s">
        <v>6363</v>
      </c>
      <c r="B6238" t="s">
        <v>127</v>
      </c>
      <c r="C6238">
        <v>339</v>
      </c>
      <c r="D6238">
        <f t="shared" si="214"/>
        <v>2022</v>
      </c>
      <c r="E6238">
        <f t="shared" si="215"/>
        <v>3</v>
      </c>
    </row>
    <row r="6239" spans="1:5" x14ac:dyDescent="0.3">
      <c r="A6239" t="s">
        <v>6364</v>
      </c>
      <c r="B6239" t="s">
        <v>127</v>
      </c>
      <c r="C6239">
        <v>344</v>
      </c>
      <c r="D6239">
        <f t="shared" si="214"/>
        <v>2022</v>
      </c>
      <c r="E6239">
        <f t="shared" si="215"/>
        <v>3</v>
      </c>
    </row>
    <row r="6240" spans="1:5" x14ac:dyDescent="0.3">
      <c r="A6240" t="s">
        <v>6365</v>
      </c>
      <c r="B6240" t="s">
        <v>127</v>
      </c>
      <c r="C6240">
        <v>349</v>
      </c>
      <c r="D6240">
        <f t="shared" si="214"/>
        <v>2022</v>
      </c>
      <c r="E6240">
        <f t="shared" si="215"/>
        <v>3</v>
      </c>
    </row>
    <row r="6241" spans="1:5" x14ac:dyDescent="0.3">
      <c r="A6241" t="s">
        <v>6366</v>
      </c>
      <c r="B6241" t="s">
        <v>127</v>
      </c>
      <c r="C6241">
        <v>349</v>
      </c>
      <c r="D6241">
        <f t="shared" si="214"/>
        <v>2022</v>
      </c>
      <c r="E6241">
        <f t="shared" si="215"/>
        <v>4</v>
      </c>
    </row>
    <row r="6242" spans="1:5" x14ac:dyDescent="0.3">
      <c r="A6242" t="s">
        <v>6367</v>
      </c>
      <c r="B6242" t="s">
        <v>127</v>
      </c>
      <c r="C6242">
        <v>343</v>
      </c>
      <c r="D6242">
        <f t="shared" si="214"/>
        <v>2022</v>
      </c>
      <c r="E6242">
        <f t="shared" si="215"/>
        <v>4</v>
      </c>
    </row>
    <row r="6243" spans="1:5" x14ac:dyDescent="0.3">
      <c r="A6243" t="s">
        <v>6368</v>
      </c>
      <c r="B6243" t="s">
        <v>127</v>
      </c>
      <c r="C6243">
        <v>342</v>
      </c>
      <c r="D6243">
        <f t="shared" si="214"/>
        <v>2022</v>
      </c>
      <c r="E6243">
        <f t="shared" si="215"/>
        <v>4</v>
      </c>
    </row>
    <row r="6244" spans="1:5" x14ac:dyDescent="0.3">
      <c r="A6244" t="s">
        <v>6369</v>
      </c>
      <c r="B6244" t="s">
        <v>127</v>
      </c>
      <c r="C6244">
        <v>342</v>
      </c>
      <c r="D6244">
        <f t="shared" si="214"/>
        <v>2022</v>
      </c>
      <c r="E6244">
        <f t="shared" si="215"/>
        <v>4</v>
      </c>
    </row>
    <row r="6245" spans="1:5" x14ac:dyDescent="0.3">
      <c r="A6245" t="s">
        <v>6370</v>
      </c>
      <c r="B6245" t="s">
        <v>127</v>
      </c>
      <c r="C6245">
        <v>348</v>
      </c>
      <c r="D6245">
        <f t="shared" si="214"/>
        <v>2022</v>
      </c>
      <c r="E6245">
        <f t="shared" si="215"/>
        <v>4</v>
      </c>
    </row>
    <row r="6246" spans="1:5" x14ac:dyDescent="0.3">
      <c r="A6246" t="s">
        <v>6371</v>
      </c>
      <c r="B6246" t="s">
        <v>127</v>
      </c>
      <c r="C6246">
        <v>350</v>
      </c>
      <c r="D6246">
        <f t="shared" si="214"/>
        <v>2022</v>
      </c>
      <c r="E6246">
        <f t="shared" si="215"/>
        <v>4</v>
      </c>
    </row>
    <row r="6247" spans="1:5" x14ac:dyDescent="0.3">
      <c r="A6247" t="s">
        <v>6372</v>
      </c>
      <c r="B6247" t="s">
        <v>127</v>
      </c>
      <c r="C6247">
        <v>359</v>
      </c>
      <c r="D6247">
        <f t="shared" si="214"/>
        <v>2022</v>
      </c>
      <c r="E6247">
        <f t="shared" si="215"/>
        <v>4</v>
      </c>
    </row>
    <row r="6248" spans="1:5" x14ac:dyDescent="0.3">
      <c r="A6248" t="s">
        <v>6373</v>
      </c>
      <c r="B6248" t="s">
        <v>127</v>
      </c>
      <c r="C6248">
        <v>360</v>
      </c>
      <c r="D6248">
        <f t="shared" si="214"/>
        <v>2022</v>
      </c>
      <c r="E6248">
        <f t="shared" si="215"/>
        <v>4</v>
      </c>
    </row>
    <row r="6249" spans="1:5" x14ac:dyDescent="0.3">
      <c r="A6249" t="s">
        <v>6374</v>
      </c>
      <c r="B6249" t="s">
        <v>127</v>
      </c>
      <c r="C6249">
        <v>359</v>
      </c>
      <c r="D6249">
        <f t="shared" si="214"/>
        <v>2022</v>
      </c>
      <c r="E6249">
        <f t="shared" si="215"/>
        <v>4</v>
      </c>
    </row>
    <row r="6250" spans="1:5" x14ac:dyDescent="0.3">
      <c r="A6250" t="s">
        <v>6375</v>
      </c>
      <c r="B6250" t="s">
        <v>127</v>
      </c>
      <c r="C6250">
        <v>354</v>
      </c>
      <c r="D6250">
        <f t="shared" si="214"/>
        <v>2022</v>
      </c>
      <c r="E6250">
        <f t="shared" si="215"/>
        <v>4</v>
      </c>
    </row>
    <row r="6251" spans="1:5" x14ac:dyDescent="0.3">
      <c r="A6251" t="s">
        <v>6376</v>
      </c>
      <c r="B6251" t="s">
        <v>127</v>
      </c>
      <c r="C6251">
        <v>354</v>
      </c>
      <c r="D6251">
        <f t="shared" si="214"/>
        <v>2022</v>
      </c>
      <c r="E6251">
        <f t="shared" si="215"/>
        <v>4</v>
      </c>
    </row>
    <row r="6252" spans="1:5" x14ac:dyDescent="0.3">
      <c r="A6252" t="s">
        <v>6377</v>
      </c>
      <c r="B6252" t="s">
        <v>127</v>
      </c>
      <c r="C6252">
        <v>361</v>
      </c>
      <c r="D6252">
        <f t="shared" si="214"/>
        <v>2022</v>
      </c>
      <c r="E6252">
        <f t="shared" si="215"/>
        <v>4</v>
      </c>
    </row>
    <row r="6253" spans="1:5" x14ac:dyDescent="0.3">
      <c r="A6253" t="s">
        <v>6378</v>
      </c>
      <c r="B6253" t="s">
        <v>127</v>
      </c>
      <c r="C6253">
        <v>364</v>
      </c>
      <c r="D6253">
        <f t="shared" si="214"/>
        <v>2022</v>
      </c>
      <c r="E6253">
        <f t="shared" si="215"/>
        <v>4</v>
      </c>
    </row>
    <row r="6254" spans="1:5" x14ac:dyDescent="0.3">
      <c r="A6254" t="s">
        <v>6379</v>
      </c>
      <c r="B6254" t="s">
        <v>127</v>
      </c>
      <c r="C6254">
        <v>367</v>
      </c>
      <c r="D6254">
        <f t="shared" si="214"/>
        <v>2022</v>
      </c>
      <c r="E6254">
        <f t="shared" si="215"/>
        <v>4</v>
      </c>
    </row>
    <row r="6255" spans="1:5" x14ac:dyDescent="0.3">
      <c r="A6255" t="s">
        <v>6380</v>
      </c>
      <c r="B6255" t="s">
        <v>127</v>
      </c>
      <c r="C6255">
        <v>378</v>
      </c>
      <c r="D6255">
        <f t="shared" si="214"/>
        <v>2022</v>
      </c>
      <c r="E6255">
        <f t="shared" si="215"/>
        <v>4</v>
      </c>
    </row>
    <row r="6256" spans="1:5" x14ac:dyDescent="0.3">
      <c r="A6256" t="s">
        <v>6381</v>
      </c>
      <c r="B6256" t="s">
        <v>127</v>
      </c>
      <c r="C6256">
        <v>382</v>
      </c>
      <c r="D6256">
        <f t="shared" si="214"/>
        <v>2022</v>
      </c>
      <c r="E6256">
        <f t="shared" si="215"/>
        <v>4</v>
      </c>
    </row>
    <row r="6257" spans="1:5" x14ac:dyDescent="0.3">
      <c r="A6257" t="s">
        <v>6382</v>
      </c>
      <c r="B6257" t="s">
        <v>127</v>
      </c>
      <c r="C6257">
        <v>383</v>
      </c>
      <c r="D6257">
        <f t="shared" si="214"/>
        <v>2022</v>
      </c>
      <c r="E6257">
        <f t="shared" si="215"/>
        <v>4</v>
      </c>
    </row>
    <row r="6258" spans="1:5" x14ac:dyDescent="0.3">
      <c r="A6258" t="s">
        <v>6383</v>
      </c>
      <c r="B6258" t="s">
        <v>127</v>
      </c>
      <c r="C6258">
        <v>385</v>
      </c>
      <c r="D6258">
        <f t="shared" si="214"/>
        <v>2022</v>
      </c>
      <c r="E6258">
        <f t="shared" si="215"/>
        <v>4</v>
      </c>
    </row>
    <row r="6259" spans="1:5" x14ac:dyDescent="0.3">
      <c r="A6259" t="s">
        <v>6384</v>
      </c>
      <c r="B6259" t="s">
        <v>127</v>
      </c>
      <c r="C6259">
        <v>382</v>
      </c>
      <c r="D6259">
        <f t="shared" si="214"/>
        <v>2022</v>
      </c>
      <c r="E6259">
        <f t="shared" si="215"/>
        <v>4</v>
      </c>
    </row>
    <row r="6260" spans="1:5" x14ac:dyDescent="0.3">
      <c r="A6260" t="s">
        <v>6385</v>
      </c>
      <c r="B6260" t="s">
        <v>127</v>
      </c>
      <c r="C6260">
        <v>386</v>
      </c>
      <c r="D6260">
        <f t="shared" si="214"/>
        <v>2022</v>
      </c>
      <c r="E6260">
        <f t="shared" si="215"/>
        <v>4</v>
      </c>
    </row>
    <row r="6261" spans="1:5" x14ac:dyDescent="0.3">
      <c r="A6261" t="s">
        <v>6386</v>
      </c>
      <c r="B6261" t="s">
        <v>127</v>
      </c>
      <c r="C6261">
        <v>391</v>
      </c>
      <c r="D6261">
        <f t="shared" si="214"/>
        <v>2022</v>
      </c>
      <c r="E6261">
        <f t="shared" si="215"/>
        <v>4</v>
      </c>
    </row>
    <row r="6262" spans="1:5" x14ac:dyDescent="0.3">
      <c r="A6262" t="s">
        <v>6387</v>
      </c>
      <c r="B6262" t="s">
        <v>127</v>
      </c>
      <c r="C6262">
        <v>398</v>
      </c>
      <c r="D6262">
        <f t="shared" si="214"/>
        <v>2022</v>
      </c>
      <c r="E6262">
        <f t="shared" si="215"/>
        <v>5</v>
      </c>
    </row>
    <row r="6263" spans="1:5" x14ac:dyDescent="0.3">
      <c r="A6263" t="s">
        <v>6388</v>
      </c>
      <c r="B6263" t="s">
        <v>127</v>
      </c>
      <c r="C6263">
        <v>390</v>
      </c>
      <c r="D6263">
        <f t="shared" si="214"/>
        <v>2022</v>
      </c>
      <c r="E6263">
        <f t="shared" si="215"/>
        <v>5</v>
      </c>
    </row>
    <row r="6264" spans="1:5" x14ac:dyDescent="0.3">
      <c r="A6264" t="s">
        <v>6389</v>
      </c>
      <c r="B6264" t="s">
        <v>127</v>
      </c>
      <c r="C6264">
        <v>383</v>
      </c>
      <c r="D6264">
        <f t="shared" si="214"/>
        <v>2022</v>
      </c>
      <c r="E6264">
        <f t="shared" si="215"/>
        <v>5</v>
      </c>
    </row>
    <row r="6265" spans="1:5" x14ac:dyDescent="0.3">
      <c r="A6265" t="s">
        <v>6390</v>
      </c>
      <c r="B6265" t="s">
        <v>127</v>
      </c>
      <c r="C6265">
        <v>384</v>
      </c>
      <c r="D6265">
        <f t="shared" si="214"/>
        <v>2022</v>
      </c>
      <c r="E6265">
        <f t="shared" si="215"/>
        <v>5</v>
      </c>
    </row>
    <row r="6266" spans="1:5" x14ac:dyDescent="0.3">
      <c r="A6266" t="s">
        <v>6391</v>
      </c>
      <c r="B6266" t="s">
        <v>127</v>
      </c>
      <c r="C6266">
        <v>384</v>
      </c>
      <c r="D6266">
        <f t="shared" si="214"/>
        <v>2022</v>
      </c>
      <c r="E6266">
        <f t="shared" si="215"/>
        <v>5</v>
      </c>
    </row>
    <row r="6267" spans="1:5" x14ac:dyDescent="0.3">
      <c r="A6267" t="s">
        <v>6392</v>
      </c>
      <c r="B6267" t="s">
        <v>127</v>
      </c>
      <c r="C6267">
        <v>403</v>
      </c>
      <c r="D6267">
        <f t="shared" si="214"/>
        <v>2022</v>
      </c>
      <c r="E6267">
        <f t="shared" si="215"/>
        <v>5</v>
      </c>
    </row>
    <row r="6268" spans="1:5" x14ac:dyDescent="0.3">
      <c r="A6268" t="s">
        <v>6393</v>
      </c>
      <c r="B6268" t="s">
        <v>127</v>
      </c>
      <c r="C6268">
        <v>401</v>
      </c>
      <c r="D6268">
        <f t="shared" si="214"/>
        <v>2022</v>
      </c>
      <c r="E6268">
        <f t="shared" si="215"/>
        <v>5</v>
      </c>
    </row>
    <row r="6269" spans="1:5" x14ac:dyDescent="0.3">
      <c r="A6269" t="s">
        <v>6394</v>
      </c>
      <c r="B6269" t="s">
        <v>127</v>
      </c>
      <c r="C6269">
        <v>402</v>
      </c>
      <c r="D6269">
        <f t="shared" si="214"/>
        <v>2022</v>
      </c>
      <c r="E6269">
        <f t="shared" si="215"/>
        <v>5</v>
      </c>
    </row>
    <row r="6270" spans="1:5" x14ac:dyDescent="0.3">
      <c r="A6270" t="s">
        <v>6395</v>
      </c>
      <c r="B6270" t="s">
        <v>127</v>
      </c>
      <c r="C6270">
        <v>406</v>
      </c>
      <c r="D6270">
        <f t="shared" si="214"/>
        <v>2022</v>
      </c>
      <c r="E6270">
        <f t="shared" si="215"/>
        <v>5</v>
      </c>
    </row>
    <row r="6271" spans="1:5" x14ac:dyDescent="0.3">
      <c r="A6271" t="s">
        <v>6396</v>
      </c>
      <c r="B6271" t="s">
        <v>127</v>
      </c>
      <c r="C6271">
        <v>400</v>
      </c>
      <c r="D6271">
        <f t="shared" si="214"/>
        <v>2022</v>
      </c>
      <c r="E6271">
        <f t="shared" si="215"/>
        <v>5</v>
      </c>
    </row>
    <row r="6272" spans="1:5" x14ac:dyDescent="0.3">
      <c r="A6272" t="s">
        <v>6397</v>
      </c>
      <c r="B6272" t="s">
        <v>127</v>
      </c>
      <c r="C6272">
        <v>405</v>
      </c>
      <c r="D6272">
        <f t="shared" si="214"/>
        <v>2022</v>
      </c>
      <c r="E6272">
        <f t="shared" si="215"/>
        <v>5</v>
      </c>
    </row>
    <row r="6273" spans="1:5" x14ac:dyDescent="0.3">
      <c r="A6273" t="s">
        <v>6398</v>
      </c>
      <c r="B6273" t="s">
        <v>127</v>
      </c>
      <c r="C6273">
        <v>402</v>
      </c>
      <c r="D6273">
        <f t="shared" si="214"/>
        <v>2022</v>
      </c>
      <c r="E6273">
        <f t="shared" si="215"/>
        <v>5</v>
      </c>
    </row>
    <row r="6274" spans="1:5" x14ac:dyDescent="0.3">
      <c r="A6274" t="s">
        <v>6399</v>
      </c>
      <c r="B6274" t="s">
        <v>127</v>
      </c>
      <c r="C6274">
        <v>418</v>
      </c>
      <c r="D6274">
        <f t="shared" si="214"/>
        <v>2022</v>
      </c>
      <c r="E6274">
        <f t="shared" si="215"/>
        <v>5</v>
      </c>
    </row>
    <row r="6275" spans="1:5" x14ac:dyDescent="0.3">
      <c r="A6275" t="s">
        <v>6400</v>
      </c>
      <c r="B6275" t="s">
        <v>127</v>
      </c>
      <c r="C6275">
        <v>417</v>
      </c>
      <c r="D6275">
        <f t="shared" ref="D6275:D6338" si="216">YEAR(A6275)</f>
        <v>2022</v>
      </c>
      <c r="E6275">
        <f t="shared" ref="E6275:E6338" si="217">MONTH(A6275)</f>
        <v>5</v>
      </c>
    </row>
    <row r="6276" spans="1:5" x14ac:dyDescent="0.3">
      <c r="A6276" t="s">
        <v>6401</v>
      </c>
      <c r="B6276" t="s">
        <v>127</v>
      </c>
      <c r="C6276">
        <v>420</v>
      </c>
      <c r="D6276">
        <f t="shared" si="216"/>
        <v>2022</v>
      </c>
      <c r="E6276">
        <f t="shared" si="217"/>
        <v>5</v>
      </c>
    </row>
    <row r="6277" spans="1:5" x14ac:dyDescent="0.3">
      <c r="A6277" t="s">
        <v>6402</v>
      </c>
      <c r="B6277" t="s">
        <v>127</v>
      </c>
      <c r="C6277">
        <v>410</v>
      </c>
      <c r="D6277">
        <f t="shared" si="216"/>
        <v>2022</v>
      </c>
      <c r="E6277">
        <f t="shared" si="217"/>
        <v>5</v>
      </c>
    </row>
    <row r="6278" spans="1:5" x14ac:dyDescent="0.3">
      <c r="A6278" t="s">
        <v>6403</v>
      </c>
      <c r="B6278" t="s">
        <v>127</v>
      </c>
      <c r="C6278">
        <v>412</v>
      </c>
      <c r="D6278">
        <f t="shared" si="216"/>
        <v>2022</v>
      </c>
      <c r="E6278">
        <f t="shared" si="217"/>
        <v>5</v>
      </c>
    </row>
    <row r="6279" spans="1:5" x14ac:dyDescent="0.3">
      <c r="A6279" t="s">
        <v>6404</v>
      </c>
      <c r="B6279" t="s">
        <v>127</v>
      </c>
      <c r="C6279">
        <v>398</v>
      </c>
      <c r="D6279">
        <f t="shared" si="216"/>
        <v>2022</v>
      </c>
      <c r="E6279">
        <f t="shared" si="217"/>
        <v>5</v>
      </c>
    </row>
    <row r="6280" spans="1:5" x14ac:dyDescent="0.3">
      <c r="A6280" t="s">
        <v>6405</v>
      </c>
      <c r="B6280" t="s">
        <v>127</v>
      </c>
      <c r="C6280">
        <v>388</v>
      </c>
      <c r="D6280">
        <f t="shared" si="216"/>
        <v>2022</v>
      </c>
      <c r="E6280">
        <f t="shared" si="217"/>
        <v>5</v>
      </c>
    </row>
    <row r="6281" spans="1:5" x14ac:dyDescent="0.3">
      <c r="A6281" t="s">
        <v>6406</v>
      </c>
      <c r="B6281" t="s">
        <v>127</v>
      </c>
      <c r="C6281">
        <v>383</v>
      </c>
      <c r="D6281">
        <f t="shared" si="216"/>
        <v>2022</v>
      </c>
      <c r="E6281">
        <f t="shared" si="217"/>
        <v>5</v>
      </c>
    </row>
    <row r="6282" spans="1:5" x14ac:dyDescent="0.3">
      <c r="A6282" t="s">
        <v>6407</v>
      </c>
      <c r="B6282" t="s">
        <v>127</v>
      </c>
      <c r="C6282">
        <v>383</v>
      </c>
      <c r="D6282">
        <f t="shared" si="216"/>
        <v>2022</v>
      </c>
      <c r="E6282">
        <f t="shared" si="217"/>
        <v>5</v>
      </c>
    </row>
    <row r="6283" spans="1:5" x14ac:dyDescent="0.3">
      <c r="A6283" t="s">
        <v>6408</v>
      </c>
      <c r="B6283" t="s">
        <v>127</v>
      </c>
      <c r="C6283">
        <v>382</v>
      </c>
      <c r="D6283">
        <f t="shared" si="216"/>
        <v>2022</v>
      </c>
      <c r="E6283">
        <f t="shared" si="217"/>
        <v>5</v>
      </c>
    </row>
    <row r="6284" spans="1:5" x14ac:dyDescent="0.3">
      <c r="A6284" t="s">
        <v>6409</v>
      </c>
      <c r="B6284" t="s">
        <v>127</v>
      </c>
      <c r="C6284">
        <v>388</v>
      </c>
      <c r="D6284">
        <f t="shared" si="216"/>
        <v>2022</v>
      </c>
      <c r="E6284">
        <f t="shared" si="217"/>
        <v>6</v>
      </c>
    </row>
    <row r="6285" spans="1:5" x14ac:dyDescent="0.3">
      <c r="A6285" t="s">
        <v>6410</v>
      </c>
      <c r="B6285" t="s">
        <v>127</v>
      </c>
      <c r="C6285">
        <v>390</v>
      </c>
      <c r="D6285">
        <f t="shared" si="216"/>
        <v>2022</v>
      </c>
      <c r="E6285">
        <f t="shared" si="217"/>
        <v>6</v>
      </c>
    </row>
    <row r="6286" spans="1:5" x14ac:dyDescent="0.3">
      <c r="A6286" t="s">
        <v>6411</v>
      </c>
      <c r="B6286" t="s">
        <v>127</v>
      </c>
      <c r="C6286">
        <v>395</v>
      </c>
      <c r="D6286">
        <f t="shared" si="216"/>
        <v>2022</v>
      </c>
      <c r="E6286">
        <f t="shared" si="217"/>
        <v>6</v>
      </c>
    </row>
    <row r="6287" spans="1:5" x14ac:dyDescent="0.3">
      <c r="A6287" t="s">
        <v>6412</v>
      </c>
      <c r="B6287" t="s">
        <v>127</v>
      </c>
      <c r="C6287">
        <v>398</v>
      </c>
      <c r="D6287">
        <f t="shared" si="216"/>
        <v>2022</v>
      </c>
      <c r="E6287">
        <f t="shared" si="217"/>
        <v>6</v>
      </c>
    </row>
    <row r="6288" spans="1:5" x14ac:dyDescent="0.3">
      <c r="A6288" t="s">
        <v>6413</v>
      </c>
      <c r="B6288" t="s">
        <v>127</v>
      </c>
      <c r="C6288">
        <v>398</v>
      </c>
      <c r="D6288">
        <f t="shared" si="216"/>
        <v>2022</v>
      </c>
      <c r="E6288">
        <f t="shared" si="217"/>
        <v>6</v>
      </c>
    </row>
    <row r="6289" spans="1:5" x14ac:dyDescent="0.3">
      <c r="A6289" t="s">
        <v>6414</v>
      </c>
      <c r="B6289" t="s">
        <v>127</v>
      </c>
      <c r="C6289">
        <v>393</v>
      </c>
      <c r="D6289">
        <f t="shared" si="216"/>
        <v>2022</v>
      </c>
      <c r="E6289">
        <f t="shared" si="217"/>
        <v>6</v>
      </c>
    </row>
    <row r="6290" spans="1:5" x14ac:dyDescent="0.3">
      <c r="A6290" t="s">
        <v>6415</v>
      </c>
      <c r="B6290" t="s">
        <v>127</v>
      </c>
      <c r="C6290">
        <v>400</v>
      </c>
      <c r="D6290">
        <f t="shared" si="216"/>
        <v>2022</v>
      </c>
      <c r="E6290">
        <f t="shared" si="217"/>
        <v>6</v>
      </c>
    </row>
    <row r="6291" spans="1:5" x14ac:dyDescent="0.3">
      <c r="A6291" t="s">
        <v>6416</v>
      </c>
      <c r="B6291" t="s">
        <v>127</v>
      </c>
      <c r="C6291">
        <v>405</v>
      </c>
      <c r="D6291">
        <f t="shared" si="216"/>
        <v>2022</v>
      </c>
      <c r="E6291">
        <f t="shared" si="217"/>
        <v>6</v>
      </c>
    </row>
    <row r="6292" spans="1:5" x14ac:dyDescent="0.3">
      <c r="A6292" t="s">
        <v>6417</v>
      </c>
      <c r="B6292" t="s">
        <v>127</v>
      </c>
      <c r="C6292">
        <v>428</v>
      </c>
      <c r="D6292">
        <f t="shared" si="216"/>
        <v>2022</v>
      </c>
      <c r="E6292">
        <f t="shared" si="217"/>
        <v>6</v>
      </c>
    </row>
    <row r="6293" spans="1:5" x14ac:dyDescent="0.3">
      <c r="A6293" t="s">
        <v>6418</v>
      </c>
      <c r="B6293" t="s">
        <v>127</v>
      </c>
      <c r="C6293">
        <v>432</v>
      </c>
      <c r="D6293">
        <f t="shared" si="216"/>
        <v>2022</v>
      </c>
      <c r="E6293">
        <f t="shared" si="217"/>
        <v>6</v>
      </c>
    </row>
    <row r="6294" spans="1:5" x14ac:dyDescent="0.3">
      <c r="A6294" t="s">
        <v>6419</v>
      </c>
      <c r="B6294" t="s">
        <v>127</v>
      </c>
      <c r="C6294">
        <v>432</v>
      </c>
      <c r="D6294">
        <f t="shared" si="216"/>
        <v>2022</v>
      </c>
      <c r="E6294">
        <f t="shared" si="217"/>
        <v>6</v>
      </c>
    </row>
    <row r="6295" spans="1:5" x14ac:dyDescent="0.3">
      <c r="A6295" t="s">
        <v>6420</v>
      </c>
      <c r="B6295" t="s">
        <v>127</v>
      </c>
      <c r="C6295">
        <v>441</v>
      </c>
      <c r="D6295">
        <f t="shared" si="216"/>
        <v>2022</v>
      </c>
      <c r="E6295">
        <f t="shared" si="217"/>
        <v>6</v>
      </c>
    </row>
    <row r="6296" spans="1:5" x14ac:dyDescent="0.3">
      <c r="A6296" t="s">
        <v>6421</v>
      </c>
      <c r="B6296" t="s">
        <v>127</v>
      </c>
      <c r="C6296">
        <v>440</v>
      </c>
      <c r="D6296">
        <f t="shared" si="216"/>
        <v>2022</v>
      </c>
      <c r="E6296">
        <f t="shared" si="217"/>
        <v>6</v>
      </c>
    </row>
    <row r="6297" spans="1:5" x14ac:dyDescent="0.3">
      <c r="A6297" t="s">
        <v>6422</v>
      </c>
      <c r="B6297" t="s">
        <v>127</v>
      </c>
      <c r="C6297">
        <v>440</v>
      </c>
      <c r="D6297">
        <f t="shared" si="216"/>
        <v>2022</v>
      </c>
      <c r="E6297">
        <f t="shared" si="217"/>
        <v>6</v>
      </c>
    </row>
    <row r="6298" spans="1:5" x14ac:dyDescent="0.3">
      <c r="A6298" t="s">
        <v>6423</v>
      </c>
      <c r="B6298" t="s">
        <v>127</v>
      </c>
      <c r="C6298">
        <v>434</v>
      </c>
      <c r="D6298">
        <f t="shared" si="216"/>
        <v>2022</v>
      </c>
      <c r="E6298">
        <f t="shared" si="217"/>
        <v>6</v>
      </c>
    </row>
    <row r="6299" spans="1:5" x14ac:dyDescent="0.3">
      <c r="A6299" t="s">
        <v>6424</v>
      </c>
      <c r="B6299" t="s">
        <v>127</v>
      </c>
      <c r="C6299">
        <v>446</v>
      </c>
      <c r="D6299">
        <f t="shared" si="216"/>
        <v>2022</v>
      </c>
      <c r="E6299">
        <f t="shared" si="217"/>
        <v>6</v>
      </c>
    </row>
    <row r="6300" spans="1:5" x14ac:dyDescent="0.3">
      <c r="A6300" t="s">
        <v>6425</v>
      </c>
      <c r="B6300" t="s">
        <v>127</v>
      </c>
      <c r="C6300">
        <v>448</v>
      </c>
      <c r="D6300">
        <f t="shared" si="216"/>
        <v>2022</v>
      </c>
      <c r="E6300">
        <f t="shared" si="217"/>
        <v>6</v>
      </c>
    </row>
    <row r="6301" spans="1:5" x14ac:dyDescent="0.3">
      <c r="A6301" t="s">
        <v>6426</v>
      </c>
      <c r="B6301" t="s">
        <v>127</v>
      </c>
      <c r="C6301">
        <v>447</v>
      </c>
      <c r="D6301">
        <f t="shared" si="216"/>
        <v>2022</v>
      </c>
      <c r="E6301">
        <f t="shared" si="217"/>
        <v>6</v>
      </c>
    </row>
    <row r="6302" spans="1:5" x14ac:dyDescent="0.3">
      <c r="A6302" t="s">
        <v>6427</v>
      </c>
      <c r="B6302" t="s">
        <v>127</v>
      </c>
      <c r="C6302">
        <v>450</v>
      </c>
      <c r="D6302">
        <f t="shared" si="216"/>
        <v>2022</v>
      </c>
      <c r="E6302">
        <f t="shared" si="217"/>
        <v>6</v>
      </c>
    </row>
    <row r="6303" spans="1:5" x14ac:dyDescent="0.3">
      <c r="A6303" t="s">
        <v>6428</v>
      </c>
      <c r="B6303" t="s">
        <v>127</v>
      </c>
      <c r="C6303">
        <v>471</v>
      </c>
      <c r="D6303">
        <f t="shared" si="216"/>
        <v>2022</v>
      </c>
      <c r="E6303">
        <f t="shared" si="217"/>
        <v>6</v>
      </c>
    </row>
    <row r="6304" spans="1:5" x14ac:dyDescent="0.3">
      <c r="A6304" t="s">
        <v>6429</v>
      </c>
      <c r="B6304" t="s">
        <v>127</v>
      </c>
      <c r="C6304">
        <v>476</v>
      </c>
      <c r="D6304">
        <f t="shared" si="216"/>
        <v>2022</v>
      </c>
      <c r="E6304">
        <f t="shared" si="217"/>
        <v>6</v>
      </c>
    </row>
    <row r="6305" spans="1:5" x14ac:dyDescent="0.3">
      <c r="A6305" t="s">
        <v>6430</v>
      </c>
      <c r="B6305" t="s">
        <v>127</v>
      </c>
      <c r="C6305">
        <v>473</v>
      </c>
      <c r="D6305">
        <f t="shared" si="216"/>
        <v>2022</v>
      </c>
      <c r="E6305">
        <f t="shared" si="217"/>
        <v>6</v>
      </c>
    </row>
    <row r="6306" spans="1:5" x14ac:dyDescent="0.3">
      <c r="A6306" t="s">
        <v>6431</v>
      </c>
      <c r="B6306" t="s">
        <v>127</v>
      </c>
      <c r="C6306">
        <v>463</v>
      </c>
      <c r="D6306">
        <f t="shared" si="216"/>
        <v>2022</v>
      </c>
      <c r="E6306">
        <f t="shared" si="217"/>
        <v>7</v>
      </c>
    </row>
    <row r="6307" spans="1:5" x14ac:dyDescent="0.3">
      <c r="A6307" t="s">
        <v>6432</v>
      </c>
      <c r="B6307" t="s">
        <v>127</v>
      </c>
      <c r="C6307">
        <v>463</v>
      </c>
      <c r="D6307">
        <f t="shared" si="216"/>
        <v>2022</v>
      </c>
      <c r="E6307">
        <f t="shared" si="217"/>
        <v>7</v>
      </c>
    </row>
    <row r="6308" spans="1:5" x14ac:dyDescent="0.3">
      <c r="A6308" t="s">
        <v>6433</v>
      </c>
      <c r="B6308" t="s">
        <v>127</v>
      </c>
      <c r="C6308">
        <v>468</v>
      </c>
      <c r="D6308">
        <f t="shared" si="216"/>
        <v>2022</v>
      </c>
      <c r="E6308">
        <f t="shared" si="217"/>
        <v>7</v>
      </c>
    </row>
    <row r="6309" spans="1:5" x14ac:dyDescent="0.3">
      <c r="A6309" t="s">
        <v>6434</v>
      </c>
      <c r="B6309" t="s">
        <v>127</v>
      </c>
      <c r="C6309">
        <v>464</v>
      </c>
      <c r="D6309">
        <f t="shared" si="216"/>
        <v>2022</v>
      </c>
      <c r="E6309">
        <f t="shared" si="217"/>
        <v>7</v>
      </c>
    </row>
    <row r="6310" spans="1:5" x14ac:dyDescent="0.3">
      <c r="A6310" t="s">
        <v>6435</v>
      </c>
      <c r="B6310" t="s">
        <v>127</v>
      </c>
      <c r="C6310">
        <v>457</v>
      </c>
      <c r="D6310">
        <f t="shared" si="216"/>
        <v>2022</v>
      </c>
      <c r="E6310">
        <f t="shared" si="217"/>
        <v>7</v>
      </c>
    </row>
    <row r="6311" spans="1:5" x14ac:dyDescent="0.3">
      <c r="A6311" t="s">
        <v>6436</v>
      </c>
      <c r="B6311" t="s">
        <v>127</v>
      </c>
      <c r="C6311">
        <v>455</v>
      </c>
      <c r="D6311">
        <f t="shared" si="216"/>
        <v>2022</v>
      </c>
      <c r="E6311">
        <f t="shared" si="217"/>
        <v>7</v>
      </c>
    </row>
    <row r="6312" spans="1:5" x14ac:dyDescent="0.3">
      <c r="A6312" t="s">
        <v>6437</v>
      </c>
      <c r="B6312" t="s">
        <v>127</v>
      </c>
      <c r="C6312">
        <v>468</v>
      </c>
      <c r="D6312">
        <f t="shared" si="216"/>
        <v>2022</v>
      </c>
      <c r="E6312">
        <f t="shared" si="217"/>
        <v>7</v>
      </c>
    </row>
    <row r="6313" spans="1:5" x14ac:dyDescent="0.3">
      <c r="A6313" t="s">
        <v>6438</v>
      </c>
      <c r="B6313" t="s">
        <v>127</v>
      </c>
      <c r="C6313">
        <v>476</v>
      </c>
      <c r="D6313">
        <f t="shared" si="216"/>
        <v>2022</v>
      </c>
      <c r="E6313">
        <f t="shared" si="217"/>
        <v>7</v>
      </c>
    </row>
    <row r="6314" spans="1:5" x14ac:dyDescent="0.3">
      <c r="A6314" t="s">
        <v>6439</v>
      </c>
      <c r="B6314" t="s">
        <v>127</v>
      </c>
      <c r="C6314">
        <v>486</v>
      </c>
      <c r="D6314">
        <f t="shared" si="216"/>
        <v>2022</v>
      </c>
      <c r="E6314">
        <f t="shared" si="217"/>
        <v>7</v>
      </c>
    </row>
    <row r="6315" spans="1:5" x14ac:dyDescent="0.3">
      <c r="A6315" t="s">
        <v>6440</v>
      </c>
      <c r="B6315" t="s">
        <v>127</v>
      </c>
      <c r="C6315">
        <v>494</v>
      </c>
      <c r="D6315">
        <f t="shared" si="216"/>
        <v>2022</v>
      </c>
      <c r="E6315">
        <f t="shared" si="217"/>
        <v>7</v>
      </c>
    </row>
    <row r="6316" spans="1:5" x14ac:dyDescent="0.3">
      <c r="A6316" t="s">
        <v>6441</v>
      </c>
      <c r="B6316" t="s">
        <v>127</v>
      </c>
      <c r="C6316">
        <v>496</v>
      </c>
      <c r="D6316">
        <f t="shared" si="216"/>
        <v>2022</v>
      </c>
      <c r="E6316">
        <f t="shared" si="217"/>
        <v>7</v>
      </c>
    </row>
    <row r="6317" spans="1:5" x14ac:dyDescent="0.3">
      <c r="A6317" t="s">
        <v>6442</v>
      </c>
      <c r="B6317" t="s">
        <v>127</v>
      </c>
      <c r="C6317">
        <v>484</v>
      </c>
      <c r="D6317">
        <f t="shared" si="216"/>
        <v>2022</v>
      </c>
      <c r="E6317">
        <f t="shared" si="217"/>
        <v>7</v>
      </c>
    </row>
    <row r="6318" spans="1:5" x14ac:dyDescent="0.3">
      <c r="A6318" t="s">
        <v>6443</v>
      </c>
      <c r="B6318" t="s">
        <v>127</v>
      </c>
      <c r="C6318">
        <v>466</v>
      </c>
      <c r="D6318">
        <f t="shared" si="216"/>
        <v>2022</v>
      </c>
      <c r="E6318">
        <f t="shared" si="217"/>
        <v>7</v>
      </c>
    </row>
    <row r="6319" spans="1:5" x14ac:dyDescent="0.3">
      <c r="A6319" t="s">
        <v>6444</v>
      </c>
      <c r="B6319" t="s">
        <v>127</v>
      </c>
      <c r="C6319">
        <v>453</v>
      </c>
      <c r="D6319">
        <f t="shared" si="216"/>
        <v>2022</v>
      </c>
      <c r="E6319">
        <f t="shared" si="217"/>
        <v>7</v>
      </c>
    </row>
    <row r="6320" spans="1:5" x14ac:dyDescent="0.3">
      <c r="A6320" t="s">
        <v>6445</v>
      </c>
      <c r="B6320" t="s">
        <v>127</v>
      </c>
      <c r="C6320">
        <v>458</v>
      </c>
      <c r="D6320">
        <f t="shared" si="216"/>
        <v>2022</v>
      </c>
      <c r="E6320">
        <f t="shared" si="217"/>
        <v>7</v>
      </c>
    </row>
    <row r="6321" spans="1:5" x14ac:dyDescent="0.3">
      <c r="A6321" t="s">
        <v>6446</v>
      </c>
      <c r="B6321" t="s">
        <v>127</v>
      </c>
      <c r="C6321">
        <v>456</v>
      </c>
      <c r="D6321">
        <f t="shared" si="216"/>
        <v>2022</v>
      </c>
      <c r="E6321">
        <f t="shared" si="217"/>
        <v>7</v>
      </c>
    </row>
    <row r="6322" spans="1:5" x14ac:dyDescent="0.3">
      <c r="A6322" t="s">
        <v>6447</v>
      </c>
      <c r="B6322" t="s">
        <v>127</v>
      </c>
      <c r="C6322">
        <v>450</v>
      </c>
      <c r="D6322">
        <f t="shared" si="216"/>
        <v>2022</v>
      </c>
      <c r="E6322">
        <f t="shared" si="217"/>
        <v>7</v>
      </c>
    </row>
    <row r="6323" spans="1:5" x14ac:dyDescent="0.3">
      <c r="A6323" t="s">
        <v>6448</v>
      </c>
      <c r="B6323" t="s">
        <v>127</v>
      </c>
      <c r="C6323">
        <v>455</v>
      </c>
      <c r="D6323">
        <f t="shared" si="216"/>
        <v>2022</v>
      </c>
      <c r="E6323">
        <f t="shared" si="217"/>
        <v>7</v>
      </c>
    </row>
    <row r="6324" spans="1:5" x14ac:dyDescent="0.3">
      <c r="A6324" t="s">
        <v>6449</v>
      </c>
      <c r="B6324" t="s">
        <v>127</v>
      </c>
      <c r="C6324">
        <v>453</v>
      </c>
      <c r="D6324">
        <f t="shared" si="216"/>
        <v>2022</v>
      </c>
      <c r="E6324">
        <f t="shared" si="217"/>
        <v>7</v>
      </c>
    </row>
    <row r="6325" spans="1:5" x14ac:dyDescent="0.3">
      <c r="A6325" t="s">
        <v>6450</v>
      </c>
      <c r="B6325" t="s">
        <v>127</v>
      </c>
      <c r="C6325">
        <v>444</v>
      </c>
      <c r="D6325">
        <f t="shared" si="216"/>
        <v>2022</v>
      </c>
      <c r="E6325">
        <f t="shared" si="217"/>
        <v>7</v>
      </c>
    </row>
    <row r="6326" spans="1:5" x14ac:dyDescent="0.3">
      <c r="A6326" t="s">
        <v>6451</v>
      </c>
      <c r="B6326" t="s">
        <v>127</v>
      </c>
      <c r="C6326">
        <v>437</v>
      </c>
      <c r="D6326">
        <f t="shared" si="216"/>
        <v>2022</v>
      </c>
      <c r="E6326">
        <f t="shared" si="217"/>
        <v>7</v>
      </c>
    </row>
    <row r="6327" spans="1:5" x14ac:dyDescent="0.3">
      <c r="A6327" t="s">
        <v>6452</v>
      </c>
      <c r="B6327" t="s">
        <v>127</v>
      </c>
      <c r="C6327">
        <v>443</v>
      </c>
      <c r="D6327">
        <f t="shared" si="216"/>
        <v>2022</v>
      </c>
      <c r="E6327">
        <f t="shared" si="217"/>
        <v>8</v>
      </c>
    </row>
    <row r="6328" spans="1:5" x14ac:dyDescent="0.3">
      <c r="A6328" t="s">
        <v>6453</v>
      </c>
      <c r="B6328" t="s">
        <v>127</v>
      </c>
      <c r="C6328">
        <v>438</v>
      </c>
      <c r="D6328">
        <f t="shared" si="216"/>
        <v>2022</v>
      </c>
      <c r="E6328">
        <f t="shared" si="217"/>
        <v>8</v>
      </c>
    </row>
    <row r="6329" spans="1:5" x14ac:dyDescent="0.3">
      <c r="A6329" t="s">
        <v>6454</v>
      </c>
      <c r="B6329" t="s">
        <v>127</v>
      </c>
      <c r="C6329">
        <v>439</v>
      </c>
      <c r="D6329">
        <f t="shared" si="216"/>
        <v>2022</v>
      </c>
      <c r="E6329">
        <f t="shared" si="217"/>
        <v>8</v>
      </c>
    </row>
    <row r="6330" spans="1:5" x14ac:dyDescent="0.3">
      <c r="A6330" t="s">
        <v>6455</v>
      </c>
      <c r="B6330" t="s">
        <v>127</v>
      </c>
      <c r="C6330">
        <v>426</v>
      </c>
      <c r="D6330">
        <f t="shared" si="216"/>
        <v>2022</v>
      </c>
      <c r="E6330">
        <f t="shared" si="217"/>
        <v>8</v>
      </c>
    </row>
    <row r="6331" spans="1:5" x14ac:dyDescent="0.3">
      <c r="A6331" t="s">
        <v>6456</v>
      </c>
      <c r="B6331" t="s">
        <v>127</v>
      </c>
      <c r="C6331">
        <v>413</v>
      </c>
      <c r="D6331">
        <f t="shared" si="216"/>
        <v>2022</v>
      </c>
      <c r="E6331">
        <f t="shared" si="217"/>
        <v>8</v>
      </c>
    </row>
    <row r="6332" spans="1:5" x14ac:dyDescent="0.3">
      <c r="A6332" t="s">
        <v>6457</v>
      </c>
      <c r="B6332" t="s">
        <v>127</v>
      </c>
      <c r="C6332">
        <v>416</v>
      </c>
      <c r="D6332">
        <f t="shared" si="216"/>
        <v>2022</v>
      </c>
      <c r="E6332">
        <f t="shared" si="217"/>
        <v>8</v>
      </c>
    </row>
    <row r="6333" spans="1:5" x14ac:dyDescent="0.3">
      <c r="A6333" t="s">
        <v>6458</v>
      </c>
      <c r="B6333" t="s">
        <v>127</v>
      </c>
      <c r="C6333">
        <v>428</v>
      </c>
      <c r="D6333">
        <f t="shared" si="216"/>
        <v>2022</v>
      </c>
      <c r="E6333">
        <f t="shared" si="217"/>
        <v>8</v>
      </c>
    </row>
    <row r="6334" spans="1:5" x14ac:dyDescent="0.3">
      <c r="A6334" t="s">
        <v>6459</v>
      </c>
      <c r="B6334" t="s">
        <v>127</v>
      </c>
      <c r="C6334">
        <v>406</v>
      </c>
      <c r="D6334">
        <f t="shared" si="216"/>
        <v>2022</v>
      </c>
      <c r="E6334">
        <f t="shared" si="217"/>
        <v>8</v>
      </c>
    </row>
    <row r="6335" spans="1:5" x14ac:dyDescent="0.3">
      <c r="A6335" t="s">
        <v>6460</v>
      </c>
      <c r="B6335" t="s">
        <v>127</v>
      </c>
      <c r="C6335">
        <v>395</v>
      </c>
      <c r="D6335">
        <f t="shared" si="216"/>
        <v>2022</v>
      </c>
      <c r="E6335">
        <f t="shared" si="217"/>
        <v>8</v>
      </c>
    </row>
    <row r="6336" spans="1:5" x14ac:dyDescent="0.3">
      <c r="A6336" t="s">
        <v>6461</v>
      </c>
      <c r="B6336" t="s">
        <v>127</v>
      </c>
      <c r="C6336">
        <v>404</v>
      </c>
      <c r="D6336">
        <f t="shared" si="216"/>
        <v>2022</v>
      </c>
      <c r="E6336">
        <f t="shared" si="217"/>
        <v>8</v>
      </c>
    </row>
    <row r="6337" spans="1:5" x14ac:dyDescent="0.3">
      <c r="A6337" t="s">
        <v>6462</v>
      </c>
      <c r="B6337" t="s">
        <v>127</v>
      </c>
      <c r="C6337">
        <v>409</v>
      </c>
      <c r="D6337">
        <f t="shared" si="216"/>
        <v>2022</v>
      </c>
      <c r="E6337">
        <f t="shared" si="217"/>
        <v>8</v>
      </c>
    </row>
    <row r="6338" spans="1:5" x14ac:dyDescent="0.3">
      <c r="A6338" t="s">
        <v>6463</v>
      </c>
      <c r="B6338" t="s">
        <v>127</v>
      </c>
      <c r="C6338">
        <v>415</v>
      </c>
      <c r="D6338">
        <f t="shared" si="216"/>
        <v>2022</v>
      </c>
      <c r="E6338">
        <f t="shared" si="217"/>
        <v>8</v>
      </c>
    </row>
    <row r="6339" spans="1:5" x14ac:dyDescent="0.3">
      <c r="A6339" t="s">
        <v>6464</v>
      </c>
      <c r="B6339" t="s">
        <v>127</v>
      </c>
      <c r="C6339">
        <v>424</v>
      </c>
      <c r="D6339">
        <f t="shared" ref="D6339:D6402" si="218">YEAR(A6339)</f>
        <v>2022</v>
      </c>
      <c r="E6339">
        <f t="shared" ref="E6339:E6402" si="219">MONTH(A6339)</f>
        <v>8</v>
      </c>
    </row>
    <row r="6340" spans="1:5" x14ac:dyDescent="0.3">
      <c r="A6340" t="s">
        <v>6465</v>
      </c>
      <c r="B6340" t="s">
        <v>127</v>
      </c>
      <c r="C6340">
        <v>420</v>
      </c>
      <c r="D6340">
        <f t="shared" si="218"/>
        <v>2022</v>
      </c>
      <c r="E6340">
        <f t="shared" si="219"/>
        <v>8</v>
      </c>
    </row>
    <row r="6341" spans="1:5" x14ac:dyDescent="0.3">
      <c r="A6341" t="s">
        <v>6466</v>
      </c>
      <c r="B6341" t="s">
        <v>127</v>
      </c>
      <c r="C6341">
        <v>422</v>
      </c>
      <c r="D6341">
        <f t="shared" si="218"/>
        <v>2022</v>
      </c>
      <c r="E6341">
        <f t="shared" si="219"/>
        <v>8</v>
      </c>
    </row>
    <row r="6342" spans="1:5" x14ac:dyDescent="0.3">
      <c r="A6342" t="s">
        <v>6467</v>
      </c>
      <c r="B6342" t="s">
        <v>127</v>
      </c>
      <c r="C6342">
        <v>430</v>
      </c>
      <c r="D6342">
        <f t="shared" si="218"/>
        <v>2022</v>
      </c>
      <c r="E6342">
        <f t="shared" si="219"/>
        <v>8</v>
      </c>
    </row>
    <row r="6343" spans="1:5" x14ac:dyDescent="0.3">
      <c r="A6343" t="s">
        <v>6468</v>
      </c>
      <c r="B6343" t="s">
        <v>127</v>
      </c>
      <c r="C6343">
        <v>418</v>
      </c>
      <c r="D6343">
        <f t="shared" si="218"/>
        <v>2022</v>
      </c>
      <c r="E6343">
        <f t="shared" si="219"/>
        <v>8</v>
      </c>
    </row>
    <row r="6344" spans="1:5" x14ac:dyDescent="0.3">
      <c r="A6344" t="s">
        <v>6469</v>
      </c>
      <c r="B6344" t="s">
        <v>127</v>
      </c>
      <c r="C6344">
        <v>408</v>
      </c>
      <c r="D6344">
        <f t="shared" si="218"/>
        <v>2022</v>
      </c>
      <c r="E6344">
        <f t="shared" si="219"/>
        <v>8</v>
      </c>
    </row>
    <row r="6345" spans="1:5" x14ac:dyDescent="0.3">
      <c r="A6345" t="s">
        <v>6470</v>
      </c>
      <c r="B6345" t="s">
        <v>127</v>
      </c>
      <c r="C6345">
        <v>410</v>
      </c>
      <c r="D6345">
        <f t="shared" si="218"/>
        <v>2022</v>
      </c>
      <c r="E6345">
        <f t="shared" si="219"/>
        <v>8</v>
      </c>
    </row>
    <row r="6346" spans="1:5" x14ac:dyDescent="0.3">
      <c r="A6346" t="s">
        <v>6471</v>
      </c>
      <c r="B6346" t="s">
        <v>127</v>
      </c>
      <c r="C6346">
        <v>416</v>
      </c>
      <c r="D6346">
        <f t="shared" si="218"/>
        <v>2022</v>
      </c>
      <c r="E6346">
        <f t="shared" si="219"/>
        <v>8</v>
      </c>
    </row>
    <row r="6347" spans="1:5" x14ac:dyDescent="0.3">
      <c r="A6347" t="s">
        <v>6472</v>
      </c>
      <c r="B6347" t="s">
        <v>127</v>
      </c>
      <c r="C6347">
        <v>426</v>
      </c>
      <c r="D6347">
        <f t="shared" si="218"/>
        <v>2022</v>
      </c>
      <c r="E6347">
        <f t="shared" si="219"/>
        <v>8</v>
      </c>
    </row>
    <row r="6348" spans="1:5" x14ac:dyDescent="0.3">
      <c r="A6348" t="s">
        <v>6473</v>
      </c>
      <c r="B6348" t="s">
        <v>127</v>
      </c>
      <c r="C6348">
        <v>432</v>
      </c>
      <c r="D6348">
        <f t="shared" si="218"/>
        <v>2022</v>
      </c>
      <c r="E6348">
        <f t="shared" si="219"/>
        <v>8</v>
      </c>
    </row>
    <row r="6349" spans="1:5" x14ac:dyDescent="0.3">
      <c r="A6349" t="s">
        <v>6474</v>
      </c>
      <c r="B6349" t="s">
        <v>127</v>
      </c>
      <c r="C6349">
        <v>432</v>
      </c>
      <c r="D6349">
        <f t="shared" si="218"/>
        <v>2022</v>
      </c>
      <c r="E6349">
        <f t="shared" si="219"/>
        <v>8</v>
      </c>
    </row>
    <row r="6350" spans="1:5" x14ac:dyDescent="0.3">
      <c r="A6350" t="s">
        <v>6475</v>
      </c>
      <c r="B6350" t="s">
        <v>127</v>
      </c>
      <c r="C6350">
        <v>436</v>
      </c>
      <c r="D6350">
        <f t="shared" si="218"/>
        <v>2022</v>
      </c>
      <c r="E6350">
        <f t="shared" si="219"/>
        <v>9</v>
      </c>
    </row>
    <row r="6351" spans="1:5" x14ac:dyDescent="0.3">
      <c r="A6351" t="s">
        <v>6476</v>
      </c>
      <c r="B6351" t="s">
        <v>127</v>
      </c>
      <c r="C6351">
        <v>436</v>
      </c>
      <c r="D6351">
        <f t="shared" si="218"/>
        <v>2022</v>
      </c>
      <c r="E6351">
        <f t="shared" si="219"/>
        <v>9</v>
      </c>
    </row>
    <row r="6352" spans="1:5" x14ac:dyDescent="0.3">
      <c r="A6352" t="s">
        <v>6477</v>
      </c>
      <c r="B6352" t="s">
        <v>127</v>
      </c>
      <c r="C6352">
        <v>436</v>
      </c>
      <c r="D6352">
        <f t="shared" si="218"/>
        <v>2022</v>
      </c>
      <c r="E6352">
        <f t="shared" si="219"/>
        <v>9</v>
      </c>
    </row>
    <row r="6353" spans="1:5" x14ac:dyDescent="0.3">
      <c r="A6353" t="s">
        <v>6478</v>
      </c>
      <c r="B6353" t="s">
        <v>127</v>
      </c>
      <c r="C6353">
        <v>435</v>
      </c>
      <c r="D6353">
        <f t="shared" si="218"/>
        <v>2022</v>
      </c>
      <c r="E6353">
        <f t="shared" si="219"/>
        <v>9</v>
      </c>
    </row>
    <row r="6354" spans="1:5" x14ac:dyDescent="0.3">
      <c r="A6354" t="s">
        <v>6479</v>
      </c>
      <c r="B6354" t="s">
        <v>127</v>
      </c>
      <c r="C6354">
        <v>433</v>
      </c>
      <c r="D6354">
        <f t="shared" si="218"/>
        <v>2022</v>
      </c>
      <c r="E6354">
        <f t="shared" si="219"/>
        <v>9</v>
      </c>
    </row>
    <row r="6355" spans="1:5" x14ac:dyDescent="0.3">
      <c r="A6355" t="s">
        <v>6480</v>
      </c>
      <c r="B6355" t="s">
        <v>127</v>
      </c>
      <c r="C6355">
        <v>426</v>
      </c>
      <c r="D6355">
        <f t="shared" si="218"/>
        <v>2022</v>
      </c>
      <c r="E6355">
        <f t="shared" si="219"/>
        <v>9</v>
      </c>
    </row>
    <row r="6356" spans="1:5" x14ac:dyDescent="0.3">
      <c r="A6356" t="s">
        <v>6481</v>
      </c>
      <c r="B6356" t="s">
        <v>127</v>
      </c>
      <c r="C6356">
        <v>422</v>
      </c>
      <c r="D6356">
        <f t="shared" si="218"/>
        <v>2022</v>
      </c>
      <c r="E6356">
        <f t="shared" si="219"/>
        <v>9</v>
      </c>
    </row>
    <row r="6357" spans="1:5" x14ac:dyDescent="0.3">
      <c r="A6357" t="s">
        <v>6482</v>
      </c>
      <c r="B6357" t="s">
        <v>127</v>
      </c>
      <c r="C6357">
        <v>416</v>
      </c>
      <c r="D6357">
        <f t="shared" si="218"/>
        <v>2022</v>
      </c>
      <c r="E6357">
        <f t="shared" si="219"/>
        <v>9</v>
      </c>
    </row>
    <row r="6358" spans="1:5" x14ac:dyDescent="0.3">
      <c r="A6358" t="s">
        <v>6483</v>
      </c>
      <c r="B6358" t="s">
        <v>127</v>
      </c>
      <c r="C6358">
        <v>427</v>
      </c>
      <c r="D6358">
        <f t="shared" si="218"/>
        <v>2022</v>
      </c>
      <c r="E6358">
        <f t="shared" si="219"/>
        <v>9</v>
      </c>
    </row>
    <row r="6359" spans="1:5" x14ac:dyDescent="0.3">
      <c r="A6359" t="s">
        <v>6484</v>
      </c>
      <c r="B6359" t="s">
        <v>127</v>
      </c>
      <c r="C6359">
        <v>428</v>
      </c>
      <c r="D6359">
        <f t="shared" si="218"/>
        <v>2022</v>
      </c>
      <c r="E6359">
        <f t="shared" si="219"/>
        <v>9</v>
      </c>
    </row>
    <row r="6360" spans="1:5" x14ac:dyDescent="0.3">
      <c r="A6360" t="s">
        <v>6485</v>
      </c>
      <c r="B6360" t="s">
        <v>127</v>
      </c>
      <c r="C6360">
        <v>425</v>
      </c>
      <c r="D6360">
        <f t="shared" si="218"/>
        <v>2022</v>
      </c>
      <c r="E6360">
        <f t="shared" si="219"/>
        <v>9</v>
      </c>
    </row>
    <row r="6361" spans="1:5" x14ac:dyDescent="0.3">
      <c r="A6361" t="s">
        <v>6486</v>
      </c>
      <c r="B6361" t="s">
        <v>127</v>
      </c>
      <c r="C6361">
        <v>434</v>
      </c>
      <c r="D6361">
        <f t="shared" si="218"/>
        <v>2022</v>
      </c>
      <c r="E6361">
        <f t="shared" si="219"/>
        <v>9</v>
      </c>
    </row>
    <row r="6362" spans="1:5" x14ac:dyDescent="0.3">
      <c r="A6362" t="s">
        <v>6487</v>
      </c>
      <c r="B6362" t="s">
        <v>127</v>
      </c>
      <c r="C6362">
        <v>434</v>
      </c>
      <c r="D6362">
        <f t="shared" si="218"/>
        <v>2022</v>
      </c>
      <c r="E6362">
        <f t="shared" si="219"/>
        <v>9</v>
      </c>
    </row>
    <row r="6363" spans="1:5" x14ac:dyDescent="0.3">
      <c r="A6363" t="s">
        <v>6488</v>
      </c>
      <c r="B6363" t="s">
        <v>127</v>
      </c>
      <c r="C6363">
        <v>440</v>
      </c>
      <c r="D6363">
        <f t="shared" si="218"/>
        <v>2022</v>
      </c>
      <c r="E6363">
        <f t="shared" si="219"/>
        <v>9</v>
      </c>
    </row>
    <row r="6364" spans="1:5" x14ac:dyDescent="0.3">
      <c r="A6364" t="s">
        <v>6489</v>
      </c>
      <c r="B6364" t="s">
        <v>127</v>
      </c>
      <c r="C6364">
        <v>444</v>
      </c>
      <c r="D6364">
        <f t="shared" si="218"/>
        <v>2022</v>
      </c>
      <c r="E6364">
        <f t="shared" si="219"/>
        <v>9</v>
      </c>
    </row>
    <row r="6365" spans="1:5" x14ac:dyDescent="0.3">
      <c r="A6365" t="s">
        <v>6490</v>
      </c>
      <c r="B6365" t="s">
        <v>127</v>
      </c>
      <c r="C6365">
        <v>442</v>
      </c>
      <c r="D6365">
        <f t="shared" si="218"/>
        <v>2022</v>
      </c>
      <c r="E6365">
        <f t="shared" si="219"/>
        <v>9</v>
      </c>
    </row>
    <row r="6366" spans="1:5" x14ac:dyDescent="0.3">
      <c r="A6366" t="s">
        <v>6491</v>
      </c>
      <c r="B6366" t="s">
        <v>127</v>
      </c>
      <c r="C6366">
        <v>456</v>
      </c>
      <c r="D6366">
        <f t="shared" si="218"/>
        <v>2022</v>
      </c>
      <c r="E6366">
        <f t="shared" si="219"/>
        <v>9</v>
      </c>
    </row>
    <row r="6367" spans="1:5" x14ac:dyDescent="0.3">
      <c r="A6367" t="s">
        <v>6492</v>
      </c>
      <c r="B6367" t="s">
        <v>127</v>
      </c>
      <c r="C6367">
        <v>464</v>
      </c>
      <c r="D6367">
        <f t="shared" si="218"/>
        <v>2022</v>
      </c>
      <c r="E6367">
        <f t="shared" si="219"/>
        <v>9</v>
      </c>
    </row>
    <row r="6368" spans="1:5" x14ac:dyDescent="0.3">
      <c r="A6368" t="s">
        <v>6493</v>
      </c>
      <c r="B6368" t="s">
        <v>127</v>
      </c>
      <c r="C6368">
        <v>474</v>
      </c>
      <c r="D6368">
        <f t="shared" si="218"/>
        <v>2022</v>
      </c>
      <c r="E6368">
        <f t="shared" si="219"/>
        <v>9</v>
      </c>
    </row>
    <row r="6369" spans="1:5" x14ac:dyDescent="0.3">
      <c r="A6369" t="s">
        <v>6494</v>
      </c>
      <c r="B6369" t="s">
        <v>127</v>
      </c>
      <c r="C6369">
        <v>484</v>
      </c>
      <c r="D6369">
        <f t="shared" si="218"/>
        <v>2022</v>
      </c>
      <c r="E6369">
        <f t="shared" si="219"/>
        <v>9</v>
      </c>
    </row>
    <row r="6370" spans="1:5" x14ac:dyDescent="0.3">
      <c r="A6370" t="s">
        <v>6495</v>
      </c>
      <c r="B6370" t="s">
        <v>127</v>
      </c>
      <c r="C6370">
        <v>489</v>
      </c>
      <c r="D6370">
        <f t="shared" si="218"/>
        <v>2022</v>
      </c>
      <c r="E6370">
        <f t="shared" si="219"/>
        <v>9</v>
      </c>
    </row>
    <row r="6371" spans="1:5" x14ac:dyDescent="0.3">
      <c r="A6371" t="s">
        <v>6496</v>
      </c>
      <c r="B6371" t="s">
        <v>127</v>
      </c>
      <c r="C6371">
        <v>483</v>
      </c>
      <c r="D6371">
        <f t="shared" si="218"/>
        <v>2022</v>
      </c>
      <c r="E6371">
        <f t="shared" si="219"/>
        <v>9</v>
      </c>
    </row>
    <row r="6372" spans="1:5" x14ac:dyDescent="0.3">
      <c r="A6372" t="s">
        <v>6497</v>
      </c>
      <c r="B6372" t="s">
        <v>127</v>
      </c>
      <c r="C6372">
        <v>476</v>
      </c>
      <c r="D6372">
        <f t="shared" si="218"/>
        <v>2022</v>
      </c>
      <c r="E6372">
        <f t="shared" si="219"/>
        <v>10</v>
      </c>
    </row>
    <row r="6373" spans="1:5" x14ac:dyDescent="0.3">
      <c r="A6373" t="s">
        <v>6498</v>
      </c>
      <c r="B6373" t="s">
        <v>127</v>
      </c>
      <c r="C6373">
        <v>451</v>
      </c>
      <c r="D6373">
        <f t="shared" si="218"/>
        <v>2022</v>
      </c>
      <c r="E6373">
        <f t="shared" si="219"/>
        <v>10</v>
      </c>
    </row>
    <row r="6374" spans="1:5" x14ac:dyDescent="0.3">
      <c r="A6374" t="s">
        <v>6499</v>
      </c>
      <c r="B6374" t="s">
        <v>127</v>
      </c>
      <c r="C6374">
        <v>456</v>
      </c>
      <c r="D6374">
        <f t="shared" si="218"/>
        <v>2022</v>
      </c>
      <c r="E6374">
        <f t="shared" si="219"/>
        <v>10</v>
      </c>
    </row>
    <row r="6375" spans="1:5" x14ac:dyDescent="0.3">
      <c r="A6375" t="s">
        <v>6500</v>
      </c>
      <c r="B6375" t="s">
        <v>127</v>
      </c>
      <c r="C6375">
        <v>453</v>
      </c>
      <c r="D6375">
        <f t="shared" si="218"/>
        <v>2022</v>
      </c>
      <c r="E6375">
        <f t="shared" si="219"/>
        <v>10</v>
      </c>
    </row>
    <row r="6376" spans="1:5" x14ac:dyDescent="0.3">
      <c r="A6376" t="s">
        <v>6501</v>
      </c>
      <c r="B6376" t="s">
        <v>127</v>
      </c>
      <c r="C6376">
        <v>453</v>
      </c>
      <c r="D6376">
        <f t="shared" si="218"/>
        <v>2022</v>
      </c>
      <c r="E6376">
        <f t="shared" si="219"/>
        <v>10</v>
      </c>
    </row>
    <row r="6377" spans="1:5" x14ac:dyDescent="0.3">
      <c r="A6377" t="s">
        <v>6502</v>
      </c>
      <c r="B6377" t="s">
        <v>127</v>
      </c>
      <c r="C6377">
        <v>459</v>
      </c>
      <c r="D6377">
        <f t="shared" si="218"/>
        <v>2022</v>
      </c>
      <c r="E6377">
        <f t="shared" si="219"/>
        <v>10</v>
      </c>
    </row>
    <row r="6378" spans="1:5" x14ac:dyDescent="0.3">
      <c r="A6378" t="s">
        <v>6503</v>
      </c>
      <c r="B6378" t="s">
        <v>127</v>
      </c>
      <c r="C6378">
        <v>462</v>
      </c>
      <c r="D6378">
        <f t="shared" si="218"/>
        <v>2022</v>
      </c>
      <c r="E6378">
        <f t="shared" si="219"/>
        <v>10</v>
      </c>
    </row>
    <row r="6379" spans="1:5" x14ac:dyDescent="0.3">
      <c r="A6379" t="s">
        <v>6504</v>
      </c>
      <c r="B6379" t="s">
        <v>127</v>
      </c>
      <c r="C6379">
        <v>466</v>
      </c>
      <c r="D6379">
        <f t="shared" si="218"/>
        <v>2022</v>
      </c>
      <c r="E6379">
        <f t="shared" si="219"/>
        <v>10</v>
      </c>
    </row>
    <row r="6380" spans="1:5" x14ac:dyDescent="0.3">
      <c r="A6380" t="s">
        <v>6505</v>
      </c>
      <c r="B6380" t="s">
        <v>127</v>
      </c>
      <c r="C6380">
        <v>463</v>
      </c>
      <c r="D6380">
        <f t="shared" si="218"/>
        <v>2022</v>
      </c>
      <c r="E6380">
        <f t="shared" si="219"/>
        <v>10</v>
      </c>
    </row>
    <row r="6381" spans="1:5" x14ac:dyDescent="0.3">
      <c r="A6381" t="s">
        <v>6506</v>
      </c>
      <c r="B6381" t="s">
        <v>127</v>
      </c>
      <c r="C6381">
        <v>454</v>
      </c>
      <c r="D6381">
        <f t="shared" si="218"/>
        <v>2022</v>
      </c>
      <c r="E6381">
        <f t="shared" si="219"/>
        <v>10</v>
      </c>
    </row>
    <row r="6382" spans="1:5" x14ac:dyDescent="0.3">
      <c r="A6382" t="s">
        <v>6507</v>
      </c>
      <c r="B6382" t="s">
        <v>127</v>
      </c>
      <c r="C6382">
        <v>446</v>
      </c>
      <c r="D6382">
        <f t="shared" si="218"/>
        <v>2022</v>
      </c>
      <c r="E6382">
        <f t="shared" si="219"/>
        <v>10</v>
      </c>
    </row>
    <row r="6383" spans="1:5" x14ac:dyDescent="0.3">
      <c r="A6383" t="s">
        <v>6508</v>
      </c>
      <c r="B6383" t="s">
        <v>127</v>
      </c>
      <c r="C6383">
        <v>449</v>
      </c>
      <c r="D6383">
        <f t="shared" si="218"/>
        <v>2022</v>
      </c>
      <c r="E6383">
        <f t="shared" si="219"/>
        <v>10</v>
      </c>
    </row>
    <row r="6384" spans="1:5" x14ac:dyDescent="0.3">
      <c r="A6384" t="s">
        <v>6509</v>
      </c>
      <c r="B6384" t="s">
        <v>127</v>
      </c>
      <c r="C6384">
        <v>449</v>
      </c>
      <c r="D6384">
        <f t="shared" si="218"/>
        <v>2022</v>
      </c>
      <c r="E6384">
        <f t="shared" si="219"/>
        <v>10</v>
      </c>
    </row>
    <row r="6385" spans="1:5" x14ac:dyDescent="0.3">
      <c r="A6385" t="s">
        <v>6510</v>
      </c>
      <c r="B6385" t="s">
        <v>127</v>
      </c>
      <c r="C6385">
        <v>448</v>
      </c>
      <c r="D6385">
        <f t="shared" si="218"/>
        <v>2022</v>
      </c>
      <c r="E6385">
        <f t="shared" si="219"/>
        <v>10</v>
      </c>
    </row>
    <row r="6386" spans="1:5" x14ac:dyDescent="0.3">
      <c r="A6386" t="s">
        <v>6511</v>
      </c>
      <c r="B6386" t="s">
        <v>127</v>
      </c>
      <c r="C6386">
        <v>433</v>
      </c>
      <c r="D6386">
        <f t="shared" si="218"/>
        <v>2022</v>
      </c>
      <c r="E6386">
        <f t="shared" si="219"/>
        <v>10</v>
      </c>
    </row>
    <row r="6387" spans="1:5" x14ac:dyDescent="0.3">
      <c r="A6387" t="s">
        <v>6512</v>
      </c>
      <c r="B6387" t="s">
        <v>127</v>
      </c>
      <c r="C6387">
        <v>426</v>
      </c>
      <c r="D6387">
        <f t="shared" si="218"/>
        <v>2022</v>
      </c>
      <c r="E6387">
        <f t="shared" si="219"/>
        <v>10</v>
      </c>
    </row>
    <row r="6388" spans="1:5" x14ac:dyDescent="0.3">
      <c r="A6388" t="s">
        <v>6513</v>
      </c>
      <c r="B6388" t="s">
        <v>127</v>
      </c>
      <c r="C6388">
        <v>433</v>
      </c>
      <c r="D6388">
        <f t="shared" si="218"/>
        <v>2022</v>
      </c>
      <c r="E6388">
        <f t="shared" si="219"/>
        <v>10</v>
      </c>
    </row>
    <row r="6389" spans="1:5" x14ac:dyDescent="0.3">
      <c r="A6389" t="s">
        <v>6514</v>
      </c>
      <c r="B6389" t="s">
        <v>127</v>
      </c>
      <c r="C6389">
        <v>421</v>
      </c>
      <c r="D6389">
        <f t="shared" si="218"/>
        <v>2022</v>
      </c>
      <c r="E6389">
        <f t="shared" si="219"/>
        <v>10</v>
      </c>
    </row>
    <row r="6390" spans="1:5" x14ac:dyDescent="0.3">
      <c r="A6390" t="s">
        <v>6515</v>
      </c>
      <c r="B6390" t="s">
        <v>127</v>
      </c>
      <c r="C6390">
        <v>428</v>
      </c>
      <c r="D6390">
        <f t="shared" si="218"/>
        <v>2022</v>
      </c>
      <c r="E6390">
        <f t="shared" si="219"/>
        <v>10</v>
      </c>
    </row>
    <row r="6391" spans="1:5" x14ac:dyDescent="0.3">
      <c r="A6391" t="s">
        <v>6516</v>
      </c>
      <c r="B6391" t="s">
        <v>127</v>
      </c>
      <c r="C6391">
        <v>420</v>
      </c>
      <c r="D6391">
        <f t="shared" si="218"/>
        <v>2022</v>
      </c>
      <c r="E6391">
        <f t="shared" si="219"/>
        <v>11</v>
      </c>
    </row>
    <row r="6392" spans="1:5" x14ac:dyDescent="0.3">
      <c r="A6392" t="s">
        <v>6517</v>
      </c>
      <c r="B6392" t="s">
        <v>127</v>
      </c>
      <c r="C6392">
        <v>419</v>
      </c>
      <c r="D6392">
        <f t="shared" si="218"/>
        <v>2022</v>
      </c>
      <c r="E6392">
        <f t="shared" si="219"/>
        <v>11</v>
      </c>
    </row>
    <row r="6393" spans="1:5" x14ac:dyDescent="0.3">
      <c r="A6393" t="s">
        <v>6518</v>
      </c>
      <c r="B6393" t="s">
        <v>127</v>
      </c>
      <c r="C6393">
        <v>420</v>
      </c>
      <c r="D6393">
        <f t="shared" si="218"/>
        <v>2022</v>
      </c>
      <c r="E6393">
        <f t="shared" si="219"/>
        <v>11</v>
      </c>
    </row>
    <row r="6394" spans="1:5" x14ac:dyDescent="0.3">
      <c r="A6394" t="s">
        <v>6519</v>
      </c>
      <c r="B6394" t="s">
        <v>127</v>
      </c>
      <c r="C6394">
        <v>411</v>
      </c>
      <c r="D6394">
        <f t="shared" si="218"/>
        <v>2022</v>
      </c>
      <c r="E6394">
        <f t="shared" si="219"/>
        <v>11</v>
      </c>
    </row>
    <row r="6395" spans="1:5" x14ac:dyDescent="0.3">
      <c r="A6395" t="s">
        <v>6520</v>
      </c>
      <c r="B6395" t="s">
        <v>127</v>
      </c>
      <c r="C6395">
        <v>392</v>
      </c>
      <c r="D6395">
        <f t="shared" si="218"/>
        <v>2022</v>
      </c>
      <c r="E6395">
        <f t="shared" si="219"/>
        <v>11</v>
      </c>
    </row>
    <row r="6396" spans="1:5" x14ac:dyDescent="0.3">
      <c r="A6396" t="s">
        <v>6521</v>
      </c>
      <c r="B6396" t="s">
        <v>127</v>
      </c>
      <c r="C6396">
        <v>399</v>
      </c>
      <c r="D6396">
        <f t="shared" si="218"/>
        <v>2022</v>
      </c>
      <c r="E6396">
        <f t="shared" si="219"/>
        <v>11</v>
      </c>
    </row>
    <row r="6397" spans="1:5" x14ac:dyDescent="0.3">
      <c r="A6397" t="s">
        <v>6522</v>
      </c>
      <c r="B6397" t="s">
        <v>127</v>
      </c>
      <c r="C6397">
        <v>413</v>
      </c>
      <c r="D6397">
        <f t="shared" si="218"/>
        <v>2022</v>
      </c>
      <c r="E6397">
        <f t="shared" si="219"/>
        <v>11</v>
      </c>
    </row>
    <row r="6398" spans="1:5" x14ac:dyDescent="0.3">
      <c r="A6398" t="s">
        <v>6523</v>
      </c>
      <c r="B6398" t="s">
        <v>127</v>
      </c>
      <c r="C6398">
        <v>398</v>
      </c>
      <c r="D6398">
        <f t="shared" si="218"/>
        <v>2022</v>
      </c>
      <c r="E6398">
        <f t="shared" si="219"/>
        <v>11</v>
      </c>
    </row>
    <row r="6399" spans="1:5" x14ac:dyDescent="0.3">
      <c r="A6399" t="s">
        <v>6524</v>
      </c>
      <c r="B6399" t="s">
        <v>127</v>
      </c>
      <c r="C6399">
        <v>398</v>
      </c>
      <c r="D6399">
        <f t="shared" si="218"/>
        <v>2022</v>
      </c>
      <c r="E6399">
        <f t="shared" si="219"/>
        <v>11</v>
      </c>
    </row>
    <row r="6400" spans="1:5" x14ac:dyDescent="0.3">
      <c r="A6400" t="s">
        <v>6525</v>
      </c>
      <c r="B6400" t="s">
        <v>127</v>
      </c>
      <c r="C6400">
        <v>389</v>
      </c>
      <c r="D6400">
        <f t="shared" si="218"/>
        <v>2022</v>
      </c>
      <c r="E6400">
        <f t="shared" si="219"/>
        <v>11</v>
      </c>
    </row>
    <row r="6401" spans="1:5" x14ac:dyDescent="0.3">
      <c r="A6401" t="s">
        <v>6526</v>
      </c>
      <c r="B6401" t="s">
        <v>127</v>
      </c>
      <c r="C6401">
        <v>386</v>
      </c>
      <c r="D6401">
        <f t="shared" si="218"/>
        <v>2022</v>
      </c>
      <c r="E6401">
        <f t="shared" si="219"/>
        <v>11</v>
      </c>
    </row>
    <row r="6402" spans="1:5" x14ac:dyDescent="0.3">
      <c r="A6402" t="s">
        <v>6527</v>
      </c>
      <c r="B6402" t="s">
        <v>127</v>
      </c>
      <c r="C6402">
        <v>391</v>
      </c>
      <c r="D6402">
        <f t="shared" si="218"/>
        <v>2022</v>
      </c>
      <c r="E6402">
        <f t="shared" si="219"/>
        <v>11</v>
      </c>
    </row>
    <row r="6403" spans="1:5" x14ac:dyDescent="0.3">
      <c r="A6403" t="s">
        <v>6528</v>
      </c>
      <c r="B6403" t="s">
        <v>127</v>
      </c>
      <c r="C6403">
        <v>393</v>
      </c>
      <c r="D6403">
        <f t="shared" ref="D6403:D6466" si="220">YEAR(A6403)</f>
        <v>2022</v>
      </c>
      <c r="E6403">
        <f t="shared" ref="E6403:E6466" si="221">MONTH(A6403)</f>
        <v>11</v>
      </c>
    </row>
    <row r="6404" spans="1:5" x14ac:dyDescent="0.3">
      <c r="A6404" t="s">
        <v>6529</v>
      </c>
      <c r="B6404" t="s">
        <v>127</v>
      </c>
      <c r="C6404">
        <v>389</v>
      </c>
      <c r="D6404">
        <f t="shared" si="220"/>
        <v>2022</v>
      </c>
      <c r="E6404">
        <f t="shared" si="221"/>
        <v>11</v>
      </c>
    </row>
    <row r="6405" spans="1:5" x14ac:dyDescent="0.3">
      <c r="A6405" t="s">
        <v>6530</v>
      </c>
      <c r="B6405" t="s">
        <v>127</v>
      </c>
      <c r="C6405">
        <v>389</v>
      </c>
      <c r="D6405">
        <f t="shared" si="220"/>
        <v>2022</v>
      </c>
      <c r="E6405">
        <f t="shared" si="221"/>
        <v>11</v>
      </c>
    </row>
    <row r="6406" spans="1:5" x14ac:dyDescent="0.3">
      <c r="A6406" t="s">
        <v>6531</v>
      </c>
      <c r="B6406" t="s">
        <v>127</v>
      </c>
      <c r="C6406">
        <v>394</v>
      </c>
      <c r="D6406">
        <f t="shared" si="220"/>
        <v>2022</v>
      </c>
      <c r="E6406">
        <f t="shared" si="221"/>
        <v>11</v>
      </c>
    </row>
    <row r="6407" spans="1:5" x14ac:dyDescent="0.3">
      <c r="A6407" t="s">
        <v>6532</v>
      </c>
      <c r="B6407" t="s">
        <v>127</v>
      </c>
      <c r="C6407">
        <v>400</v>
      </c>
      <c r="D6407">
        <f t="shared" si="220"/>
        <v>2022</v>
      </c>
      <c r="E6407">
        <f t="shared" si="221"/>
        <v>11</v>
      </c>
    </row>
    <row r="6408" spans="1:5" x14ac:dyDescent="0.3">
      <c r="A6408" t="s">
        <v>6533</v>
      </c>
      <c r="B6408" t="s">
        <v>127</v>
      </c>
      <c r="C6408">
        <v>400</v>
      </c>
      <c r="D6408">
        <f t="shared" si="220"/>
        <v>2022</v>
      </c>
      <c r="E6408">
        <f t="shared" si="221"/>
        <v>11</v>
      </c>
    </row>
    <row r="6409" spans="1:5" x14ac:dyDescent="0.3">
      <c r="A6409" t="s">
        <v>6534</v>
      </c>
      <c r="B6409" t="s">
        <v>127</v>
      </c>
      <c r="C6409">
        <v>401</v>
      </c>
      <c r="D6409">
        <f t="shared" si="220"/>
        <v>2022</v>
      </c>
      <c r="E6409">
        <f t="shared" si="221"/>
        <v>11</v>
      </c>
    </row>
    <row r="6410" spans="1:5" x14ac:dyDescent="0.3">
      <c r="A6410" t="s">
        <v>6535</v>
      </c>
      <c r="B6410" t="s">
        <v>127</v>
      </c>
      <c r="C6410">
        <v>402</v>
      </c>
      <c r="D6410">
        <f t="shared" si="220"/>
        <v>2022</v>
      </c>
      <c r="E6410">
        <f t="shared" si="221"/>
        <v>11</v>
      </c>
    </row>
    <row r="6411" spans="1:5" x14ac:dyDescent="0.3">
      <c r="A6411" t="s">
        <v>6536</v>
      </c>
      <c r="B6411" t="s">
        <v>127</v>
      </c>
      <c r="C6411">
        <v>392</v>
      </c>
      <c r="D6411">
        <f t="shared" si="220"/>
        <v>2022</v>
      </c>
      <c r="E6411">
        <f t="shared" si="221"/>
        <v>11</v>
      </c>
    </row>
    <row r="6412" spans="1:5" x14ac:dyDescent="0.3">
      <c r="A6412" t="s">
        <v>6537</v>
      </c>
      <c r="B6412" t="s">
        <v>127</v>
      </c>
      <c r="C6412">
        <v>392</v>
      </c>
      <c r="D6412">
        <f t="shared" si="220"/>
        <v>2022</v>
      </c>
      <c r="E6412">
        <f t="shared" si="221"/>
        <v>11</v>
      </c>
    </row>
    <row r="6413" spans="1:5" x14ac:dyDescent="0.3">
      <c r="A6413" t="s">
        <v>6538</v>
      </c>
      <c r="B6413" t="s">
        <v>127</v>
      </c>
      <c r="C6413">
        <v>381</v>
      </c>
      <c r="D6413">
        <f t="shared" si="220"/>
        <v>2022</v>
      </c>
      <c r="E6413">
        <f t="shared" si="221"/>
        <v>12</v>
      </c>
    </row>
    <row r="6414" spans="1:5" x14ac:dyDescent="0.3">
      <c r="A6414" t="s">
        <v>6539</v>
      </c>
      <c r="B6414" t="s">
        <v>127</v>
      </c>
      <c r="C6414">
        <v>384</v>
      </c>
      <c r="D6414">
        <f t="shared" si="220"/>
        <v>2022</v>
      </c>
      <c r="E6414">
        <f t="shared" si="221"/>
        <v>12</v>
      </c>
    </row>
    <row r="6415" spans="1:5" x14ac:dyDescent="0.3">
      <c r="A6415" t="s">
        <v>6540</v>
      </c>
      <c r="B6415" t="s">
        <v>127</v>
      </c>
      <c r="C6415">
        <v>388</v>
      </c>
      <c r="D6415">
        <f t="shared" si="220"/>
        <v>2022</v>
      </c>
      <c r="E6415">
        <f t="shared" si="221"/>
        <v>12</v>
      </c>
    </row>
    <row r="6416" spans="1:5" x14ac:dyDescent="0.3">
      <c r="A6416" t="s">
        <v>6541</v>
      </c>
      <c r="B6416" t="s">
        <v>127</v>
      </c>
      <c r="C6416">
        <v>404</v>
      </c>
      <c r="D6416">
        <f t="shared" si="220"/>
        <v>2022</v>
      </c>
      <c r="E6416">
        <f t="shared" si="221"/>
        <v>12</v>
      </c>
    </row>
    <row r="6417" spans="1:5" x14ac:dyDescent="0.3">
      <c r="A6417" t="s">
        <v>6542</v>
      </c>
      <c r="B6417" t="s">
        <v>127</v>
      </c>
      <c r="C6417">
        <v>403</v>
      </c>
      <c r="D6417">
        <f t="shared" si="220"/>
        <v>2022</v>
      </c>
      <c r="E6417">
        <f t="shared" si="221"/>
        <v>12</v>
      </c>
    </row>
    <row r="6418" spans="1:5" x14ac:dyDescent="0.3">
      <c r="A6418" t="s">
        <v>6543</v>
      </c>
      <c r="B6418" t="s">
        <v>127</v>
      </c>
      <c r="C6418">
        <v>392</v>
      </c>
      <c r="D6418">
        <f t="shared" si="220"/>
        <v>2022</v>
      </c>
      <c r="E6418">
        <f t="shared" si="221"/>
        <v>12</v>
      </c>
    </row>
    <row r="6419" spans="1:5" x14ac:dyDescent="0.3">
      <c r="A6419" t="s">
        <v>6544</v>
      </c>
      <c r="B6419" t="s">
        <v>127</v>
      </c>
      <c r="C6419">
        <v>382</v>
      </c>
      <c r="D6419">
        <f t="shared" si="220"/>
        <v>2022</v>
      </c>
      <c r="E6419">
        <f t="shared" si="221"/>
        <v>12</v>
      </c>
    </row>
    <row r="6420" spans="1:5" x14ac:dyDescent="0.3">
      <c r="A6420" t="s">
        <v>6545</v>
      </c>
      <c r="B6420" t="s">
        <v>127</v>
      </c>
      <c r="C6420">
        <v>386</v>
      </c>
      <c r="D6420">
        <f t="shared" si="220"/>
        <v>2022</v>
      </c>
      <c r="E6420">
        <f t="shared" si="221"/>
        <v>12</v>
      </c>
    </row>
    <row r="6421" spans="1:5" x14ac:dyDescent="0.3">
      <c r="A6421" t="s">
        <v>6546</v>
      </c>
      <c r="B6421" t="s">
        <v>127</v>
      </c>
      <c r="C6421">
        <v>381</v>
      </c>
      <c r="D6421">
        <f t="shared" si="220"/>
        <v>2022</v>
      </c>
      <c r="E6421">
        <f t="shared" si="221"/>
        <v>12</v>
      </c>
    </row>
    <row r="6422" spans="1:5" x14ac:dyDescent="0.3">
      <c r="A6422" t="s">
        <v>6547</v>
      </c>
      <c r="B6422" t="s">
        <v>127</v>
      </c>
      <c r="C6422">
        <v>384</v>
      </c>
      <c r="D6422">
        <f t="shared" si="220"/>
        <v>2022</v>
      </c>
      <c r="E6422">
        <f t="shared" si="221"/>
        <v>12</v>
      </c>
    </row>
    <row r="6423" spans="1:5" x14ac:dyDescent="0.3">
      <c r="A6423" t="s">
        <v>6548</v>
      </c>
      <c r="B6423" t="s">
        <v>127</v>
      </c>
      <c r="C6423">
        <v>389</v>
      </c>
      <c r="D6423">
        <f t="shared" si="220"/>
        <v>2022</v>
      </c>
      <c r="E6423">
        <f t="shared" si="221"/>
        <v>12</v>
      </c>
    </row>
    <row r="6424" spans="1:5" x14ac:dyDescent="0.3">
      <c r="A6424" t="s">
        <v>6549</v>
      </c>
      <c r="B6424" t="s">
        <v>127</v>
      </c>
      <c r="C6424">
        <v>396</v>
      </c>
      <c r="D6424">
        <f t="shared" si="220"/>
        <v>2022</v>
      </c>
      <c r="E6424">
        <f t="shared" si="221"/>
        <v>12</v>
      </c>
    </row>
    <row r="6425" spans="1:5" x14ac:dyDescent="0.3">
      <c r="A6425" t="s">
        <v>6550</v>
      </c>
      <c r="B6425" t="s">
        <v>127</v>
      </c>
      <c r="C6425">
        <v>398</v>
      </c>
      <c r="D6425">
        <f t="shared" si="220"/>
        <v>2022</v>
      </c>
      <c r="E6425">
        <f t="shared" si="221"/>
        <v>12</v>
      </c>
    </row>
    <row r="6426" spans="1:5" x14ac:dyDescent="0.3">
      <c r="A6426" t="s">
        <v>6551</v>
      </c>
      <c r="B6426" t="s">
        <v>127</v>
      </c>
      <c r="C6426">
        <v>398</v>
      </c>
      <c r="D6426">
        <f t="shared" si="220"/>
        <v>2022</v>
      </c>
      <c r="E6426">
        <f t="shared" si="221"/>
        <v>12</v>
      </c>
    </row>
    <row r="6427" spans="1:5" x14ac:dyDescent="0.3">
      <c r="A6427" t="s">
        <v>6552</v>
      </c>
      <c r="B6427" t="s">
        <v>127</v>
      </c>
      <c r="C6427">
        <v>389</v>
      </c>
      <c r="D6427">
        <f t="shared" si="220"/>
        <v>2022</v>
      </c>
      <c r="E6427">
        <f t="shared" si="221"/>
        <v>12</v>
      </c>
    </row>
    <row r="6428" spans="1:5" x14ac:dyDescent="0.3">
      <c r="A6428" t="s">
        <v>6553</v>
      </c>
      <c r="B6428" t="s">
        <v>127</v>
      </c>
      <c r="C6428">
        <v>388</v>
      </c>
      <c r="D6428">
        <f t="shared" si="220"/>
        <v>2022</v>
      </c>
      <c r="E6428">
        <f t="shared" si="221"/>
        <v>12</v>
      </c>
    </row>
    <row r="6429" spans="1:5" x14ac:dyDescent="0.3">
      <c r="A6429" t="s">
        <v>6554</v>
      </c>
      <c r="B6429" t="s">
        <v>127</v>
      </c>
      <c r="C6429">
        <v>386</v>
      </c>
      <c r="D6429">
        <f t="shared" si="220"/>
        <v>2022</v>
      </c>
      <c r="E6429">
        <f t="shared" si="221"/>
        <v>12</v>
      </c>
    </row>
    <row r="6430" spans="1:5" x14ac:dyDescent="0.3">
      <c r="A6430" t="s">
        <v>6555</v>
      </c>
      <c r="B6430" t="s">
        <v>127</v>
      </c>
      <c r="C6430">
        <v>386</v>
      </c>
      <c r="D6430">
        <f t="shared" si="220"/>
        <v>2022</v>
      </c>
      <c r="E6430">
        <f t="shared" si="221"/>
        <v>12</v>
      </c>
    </row>
    <row r="6431" spans="1:5" x14ac:dyDescent="0.3">
      <c r="A6431" t="s">
        <v>6556</v>
      </c>
      <c r="B6431" t="s">
        <v>127</v>
      </c>
      <c r="C6431">
        <v>383</v>
      </c>
      <c r="D6431">
        <f t="shared" si="220"/>
        <v>2022</v>
      </c>
      <c r="E6431">
        <f t="shared" si="221"/>
        <v>12</v>
      </c>
    </row>
    <row r="6432" spans="1:5" x14ac:dyDescent="0.3">
      <c r="A6432" t="s">
        <v>6557</v>
      </c>
      <c r="B6432" t="s">
        <v>127</v>
      </c>
      <c r="C6432">
        <v>385</v>
      </c>
      <c r="D6432">
        <f t="shared" si="220"/>
        <v>2022</v>
      </c>
      <c r="E6432">
        <f t="shared" si="221"/>
        <v>12</v>
      </c>
    </row>
    <row r="6433" spans="1:5" x14ac:dyDescent="0.3">
      <c r="A6433" t="s">
        <v>6558</v>
      </c>
      <c r="B6433" t="s">
        <v>127</v>
      </c>
      <c r="C6433">
        <v>389</v>
      </c>
      <c r="D6433">
        <f t="shared" si="220"/>
        <v>2022</v>
      </c>
      <c r="E6433">
        <f t="shared" si="221"/>
        <v>12</v>
      </c>
    </row>
    <row r="6434" spans="1:5" x14ac:dyDescent="0.3">
      <c r="A6434" t="s">
        <v>6559</v>
      </c>
      <c r="B6434" t="s">
        <v>127</v>
      </c>
      <c r="C6434">
        <v>386</v>
      </c>
      <c r="D6434">
        <f t="shared" si="220"/>
        <v>2022</v>
      </c>
      <c r="E6434">
        <f t="shared" si="221"/>
        <v>12</v>
      </c>
    </row>
    <row r="6435" spans="1:5" x14ac:dyDescent="0.3">
      <c r="A6435" t="s">
        <v>6560</v>
      </c>
      <c r="B6435" t="s">
        <v>127</v>
      </c>
      <c r="C6435">
        <v>386</v>
      </c>
      <c r="D6435">
        <f t="shared" si="220"/>
        <v>2023</v>
      </c>
      <c r="E6435">
        <f t="shared" si="221"/>
        <v>1</v>
      </c>
    </row>
    <row r="6436" spans="1:5" x14ac:dyDescent="0.3">
      <c r="A6436" t="s">
        <v>6561</v>
      </c>
      <c r="B6436" t="s">
        <v>127</v>
      </c>
      <c r="C6436">
        <v>390</v>
      </c>
      <c r="D6436">
        <f t="shared" si="220"/>
        <v>2023</v>
      </c>
      <c r="E6436">
        <f t="shared" si="221"/>
        <v>1</v>
      </c>
    </row>
    <row r="6437" spans="1:5" x14ac:dyDescent="0.3">
      <c r="A6437" t="s">
        <v>6562</v>
      </c>
      <c r="B6437" t="s">
        <v>127</v>
      </c>
      <c r="C6437">
        <v>391</v>
      </c>
      <c r="D6437">
        <f t="shared" si="220"/>
        <v>2023</v>
      </c>
      <c r="E6437">
        <f t="shared" si="221"/>
        <v>1</v>
      </c>
    </row>
    <row r="6438" spans="1:5" x14ac:dyDescent="0.3">
      <c r="A6438" t="s">
        <v>6563</v>
      </c>
      <c r="B6438" t="s">
        <v>127</v>
      </c>
      <c r="C6438">
        <v>398</v>
      </c>
      <c r="D6438">
        <f t="shared" si="220"/>
        <v>2023</v>
      </c>
      <c r="E6438">
        <f t="shared" si="221"/>
        <v>1</v>
      </c>
    </row>
    <row r="6439" spans="1:5" x14ac:dyDescent="0.3">
      <c r="A6439" t="s">
        <v>6564</v>
      </c>
      <c r="B6439" t="s">
        <v>127</v>
      </c>
      <c r="C6439">
        <v>392</v>
      </c>
      <c r="D6439">
        <f t="shared" si="220"/>
        <v>2023</v>
      </c>
      <c r="E6439">
        <f t="shared" si="221"/>
        <v>1</v>
      </c>
    </row>
    <row r="6440" spans="1:5" x14ac:dyDescent="0.3">
      <c r="A6440" t="s">
        <v>6565</v>
      </c>
      <c r="B6440" t="s">
        <v>127</v>
      </c>
      <c r="C6440">
        <v>388</v>
      </c>
      <c r="D6440">
        <f t="shared" si="220"/>
        <v>2023</v>
      </c>
      <c r="E6440">
        <f t="shared" si="221"/>
        <v>1</v>
      </c>
    </row>
    <row r="6441" spans="1:5" x14ac:dyDescent="0.3">
      <c r="A6441" t="s">
        <v>6566</v>
      </c>
      <c r="B6441" t="s">
        <v>127</v>
      </c>
      <c r="C6441">
        <v>387</v>
      </c>
      <c r="D6441">
        <f t="shared" si="220"/>
        <v>2023</v>
      </c>
      <c r="E6441">
        <f t="shared" si="221"/>
        <v>1</v>
      </c>
    </row>
    <row r="6442" spans="1:5" x14ac:dyDescent="0.3">
      <c r="A6442" t="s">
        <v>6567</v>
      </c>
      <c r="B6442" t="s">
        <v>127</v>
      </c>
      <c r="C6442">
        <v>383</v>
      </c>
      <c r="D6442">
        <f t="shared" si="220"/>
        <v>2023</v>
      </c>
      <c r="E6442">
        <f t="shared" si="221"/>
        <v>1</v>
      </c>
    </row>
    <row r="6443" spans="1:5" x14ac:dyDescent="0.3">
      <c r="A6443" t="s">
        <v>6568</v>
      </c>
      <c r="B6443" t="s">
        <v>127</v>
      </c>
      <c r="C6443">
        <v>373</v>
      </c>
      <c r="D6443">
        <f t="shared" si="220"/>
        <v>2023</v>
      </c>
      <c r="E6443">
        <f t="shared" si="221"/>
        <v>1</v>
      </c>
    </row>
    <row r="6444" spans="1:5" x14ac:dyDescent="0.3">
      <c r="A6444" t="s">
        <v>6569</v>
      </c>
      <c r="B6444" t="s">
        <v>127</v>
      </c>
      <c r="C6444">
        <v>368</v>
      </c>
      <c r="D6444">
        <f t="shared" si="220"/>
        <v>2023</v>
      </c>
      <c r="E6444">
        <f t="shared" si="221"/>
        <v>1</v>
      </c>
    </row>
    <row r="6445" spans="1:5" x14ac:dyDescent="0.3">
      <c r="A6445" t="s">
        <v>6570</v>
      </c>
      <c r="B6445" t="s">
        <v>127</v>
      </c>
      <c r="C6445">
        <v>368</v>
      </c>
      <c r="D6445">
        <f t="shared" si="220"/>
        <v>2023</v>
      </c>
      <c r="E6445">
        <f t="shared" si="221"/>
        <v>1</v>
      </c>
    </row>
    <row r="6446" spans="1:5" x14ac:dyDescent="0.3">
      <c r="A6446" t="s">
        <v>6571</v>
      </c>
      <c r="B6446" t="s">
        <v>127</v>
      </c>
      <c r="C6446">
        <v>366</v>
      </c>
      <c r="D6446">
        <f t="shared" si="220"/>
        <v>2023</v>
      </c>
      <c r="E6446">
        <f t="shared" si="221"/>
        <v>1</v>
      </c>
    </row>
    <row r="6447" spans="1:5" x14ac:dyDescent="0.3">
      <c r="A6447" t="s">
        <v>6572</v>
      </c>
      <c r="B6447" t="s">
        <v>127</v>
      </c>
      <c r="C6447">
        <v>363</v>
      </c>
      <c r="D6447">
        <f t="shared" si="220"/>
        <v>2023</v>
      </c>
      <c r="E6447">
        <f t="shared" si="221"/>
        <v>1</v>
      </c>
    </row>
    <row r="6448" spans="1:5" x14ac:dyDescent="0.3">
      <c r="A6448" t="s">
        <v>6573</v>
      </c>
      <c r="B6448" t="s">
        <v>127</v>
      </c>
      <c r="C6448">
        <v>363</v>
      </c>
      <c r="D6448">
        <f t="shared" si="220"/>
        <v>2023</v>
      </c>
      <c r="E6448">
        <f t="shared" si="221"/>
        <v>1</v>
      </c>
    </row>
    <row r="6449" spans="1:5" x14ac:dyDescent="0.3">
      <c r="A6449" t="s">
        <v>6574</v>
      </c>
      <c r="B6449" t="s">
        <v>127</v>
      </c>
      <c r="C6449">
        <v>358</v>
      </c>
      <c r="D6449">
        <f t="shared" si="220"/>
        <v>2023</v>
      </c>
      <c r="E6449">
        <f t="shared" si="221"/>
        <v>1</v>
      </c>
    </row>
    <row r="6450" spans="1:5" x14ac:dyDescent="0.3">
      <c r="A6450" t="s">
        <v>6575</v>
      </c>
      <c r="B6450" t="s">
        <v>127</v>
      </c>
      <c r="C6450">
        <v>354</v>
      </c>
      <c r="D6450">
        <f t="shared" si="220"/>
        <v>2023</v>
      </c>
      <c r="E6450">
        <f t="shared" si="221"/>
        <v>1</v>
      </c>
    </row>
    <row r="6451" spans="1:5" x14ac:dyDescent="0.3">
      <c r="A6451" t="s">
        <v>6576</v>
      </c>
      <c r="B6451" t="s">
        <v>127</v>
      </c>
      <c r="C6451">
        <v>361</v>
      </c>
      <c r="D6451">
        <f t="shared" si="220"/>
        <v>2023</v>
      </c>
      <c r="E6451">
        <f t="shared" si="221"/>
        <v>1</v>
      </c>
    </row>
    <row r="6452" spans="1:5" x14ac:dyDescent="0.3">
      <c r="A6452" t="s">
        <v>6577</v>
      </c>
      <c r="B6452" t="s">
        <v>127</v>
      </c>
      <c r="C6452">
        <v>366</v>
      </c>
      <c r="D6452">
        <f t="shared" si="220"/>
        <v>2023</v>
      </c>
      <c r="E6452">
        <f t="shared" si="221"/>
        <v>1</v>
      </c>
    </row>
    <row r="6453" spans="1:5" x14ac:dyDescent="0.3">
      <c r="A6453" t="s">
        <v>6578</v>
      </c>
      <c r="B6453" t="s">
        <v>127</v>
      </c>
      <c r="C6453">
        <v>361</v>
      </c>
      <c r="D6453">
        <f t="shared" si="220"/>
        <v>2023</v>
      </c>
      <c r="E6453">
        <f t="shared" si="221"/>
        <v>1</v>
      </c>
    </row>
    <row r="6454" spans="1:5" x14ac:dyDescent="0.3">
      <c r="A6454" t="s">
        <v>6579</v>
      </c>
      <c r="B6454" t="s">
        <v>127</v>
      </c>
      <c r="C6454">
        <v>354</v>
      </c>
      <c r="D6454">
        <f t="shared" si="220"/>
        <v>2023</v>
      </c>
      <c r="E6454">
        <f t="shared" si="221"/>
        <v>1</v>
      </c>
    </row>
    <row r="6455" spans="1:5" x14ac:dyDescent="0.3">
      <c r="A6455" t="s">
        <v>6580</v>
      </c>
      <c r="B6455" t="s">
        <v>127</v>
      </c>
      <c r="C6455">
        <v>364</v>
      </c>
      <c r="D6455">
        <f t="shared" si="220"/>
        <v>2023</v>
      </c>
      <c r="E6455">
        <f t="shared" si="221"/>
        <v>1</v>
      </c>
    </row>
    <row r="6456" spans="1:5" x14ac:dyDescent="0.3">
      <c r="A6456" t="s">
        <v>6581</v>
      </c>
      <c r="B6456" t="s">
        <v>127</v>
      </c>
      <c r="C6456">
        <v>357</v>
      </c>
      <c r="D6456">
        <f t="shared" si="220"/>
        <v>2023</v>
      </c>
      <c r="E6456">
        <f t="shared" si="221"/>
        <v>1</v>
      </c>
    </row>
    <row r="6457" spans="1:5" x14ac:dyDescent="0.3">
      <c r="A6457" t="s">
        <v>6582</v>
      </c>
      <c r="B6457" t="s">
        <v>127</v>
      </c>
      <c r="C6457">
        <v>358</v>
      </c>
      <c r="D6457">
        <f t="shared" si="220"/>
        <v>2023</v>
      </c>
      <c r="E6457">
        <f t="shared" si="221"/>
        <v>2</v>
      </c>
    </row>
    <row r="6458" spans="1:5" x14ac:dyDescent="0.3">
      <c r="A6458" t="s">
        <v>6583</v>
      </c>
      <c r="B6458" t="s">
        <v>127</v>
      </c>
      <c r="C6458">
        <v>343</v>
      </c>
      <c r="D6458">
        <f t="shared" si="220"/>
        <v>2023</v>
      </c>
      <c r="E6458">
        <f t="shared" si="221"/>
        <v>2</v>
      </c>
    </row>
    <row r="6459" spans="1:5" x14ac:dyDescent="0.3">
      <c r="A6459" t="s">
        <v>6584</v>
      </c>
      <c r="B6459" t="s">
        <v>127</v>
      </c>
      <c r="C6459">
        <v>342</v>
      </c>
      <c r="D6459">
        <f t="shared" si="220"/>
        <v>2023</v>
      </c>
      <c r="E6459">
        <f t="shared" si="221"/>
        <v>2</v>
      </c>
    </row>
    <row r="6460" spans="1:5" x14ac:dyDescent="0.3">
      <c r="A6460" t="s">
        <v>6585</v>
      </c>
      <c r="B6460" t="s">
        <v>127</v>
      </c>
      <c r="C6460">
        <v>348</v>
      </c>
      <c r="D6460">
        <f t="shared" si="220"/>
        <v>2023</v>
      </c>
      <c r="E6460">
        <f t="shared" si="221"/>
        <v>2</v>
      </c>
    </row>
    <row r="6461" spans="1:5" x14ac:dyDescent="0.3">
      <c r="A6461" t="s">
        <v>6586</v>
      </c>
      <c r="B6461" t="s">
        <v>127</v>
      </c>
      <c r="C6461">
        <v>352</v>
      </c>
      <c r="D6461">
        <f t="shared" si="220"/>
        <v>2023</v>
      </c>
      <c r="E6461">
        <f t="shared" si="221"/>
        <v>2</v>
      </c>
    </row>
    <row r="6462" spans="1:5" x14ac:dyDescent="0.3">
      <c r="A6462" t="s">
        <v>6587</v>
      </c>
      <c r="B6462" t="s">
        <v>127</v>
      </c>
      <c r="C6462">
        <v>360</v>
      </c>
      <c r="D6462">
        <f t="shared" si="220"/>
        <v>2023</v>
      </c>
      <c r="E6462">
        <f t="shared" si="221"/>
        <v>2</v>
      </c>
    </row>
    <row r="6463" spans="1:5" x14ac:dyDescent="0.3">
      <c r="A6463" t="s">
        <v>6588</v>
      </c>
      <c r="B6463" t="s">
        <v>127</v>
      </c>
      <c r="C6463">
        <v>359</v>
      </c>
      <c r="D6463">
        <f t="shared" si="220"/>
        <v>2023</v>
      </c>
      <c r="E6463">
        <f t="shared" si="221"/>
        <v>2</v>
      </c>
    </row>
    <row r="6464" spans="1:5" x14ac:dyDescent="0.3">
      <c r="A6464" t="s">
        <v>6589</v>
      </c>
      <c r="B6464" t="s">
        <v>127</v>
      </c>
      <c r="C6464">
        <v>364</v>
      </c>
      <c r="D6464">
        <f t="shared" si="220"/>
        <v>2023</v>
      </c>
      <c r="E6464">
        <f t="shared" si="221"/>
        <v>2</v>
      </c>
    </row>
    <row r="6465" spans="1:5" x14ac:dyDescent="0.3">
      <c r="A6465" t="s">
        <v>6590</v>
      </c>
      <c r="B6465" t="s">
        <v>127</v>
      </c>
      <c r="C6465">
        <v>363</v>
      </c>
      <c r="D6465">
        <f t="shared" si="220"/>
        <v>2023</v>
      </c>
      <c r="E6465">
        <f t="shared" si="221"/>
        <v>2</v>
      </c>
    </row>
    <row r="6466" spans="1:5" x14ac:dyDescent="0.3">
      <c r="A6466" t="s">
        <v>6591</v>
      </c>
      <c r="B6466" t="s">
        <v>127</v>
      </c>
      <c r="C6466">
        <v>363</v>
      </c>
      <c r="D6466">
        <f t="shared" si="220"/>
        <v>2023</v>
      </c>
      <c r="E6466">
        <f t="shared" si="221"/>
        <v>2</v>
      </c>
    </row>
    <row r="6467" spans="1:5" x14ac:dyDescent="0.3">
      <c r="A6467" t="s">
        <v>6592</v>
      </c>
      <c r="B6467" t="s">
        <v>127</v>
      </c>
      <c r="C6467">
        <v>365</v>
      </c>
      <c r="D6467">
        <f t="shared" ref="D6467:D6530" si="222">YEAR(A6467)</f>
        <v>2023</v>
      </c>
      <c r="E6467">
        <f t="shared" ref="E6467:E6530" si="223">MONTH(A6467)</f>
        <v>2</v>
      </c>
    </row>
    <row r="6468" spans="1:5" x14ac:dyDescent="0.3">
      <c r="A6468" t="s">
        <v>6593</v>
      </c>
      <c r="B6468" t="s">
        <v>127</v>
      </c>
      <c r="C6468">
        <v>359</v>
      </c>
      <c r="D6468">
        <f t="shared" si="222"/>
        <v>2023</v>
      </c>
      <c r="E6468">
        <f t="shared" si="223"/>
        <v>2</v>
      </c>
    </row>
    <row r="6469" spans="1:5" x14ac:dyDescent="0.3">
      <c r="A6469" t="s">
        <v>6594</v>
      </c>
      <c r="B6469" t="s">
        <v>127</v>
      </c>
      <c r="C6469">
        <v>364</v>
      </c>
      <c r="D6469">
        <f t="shared" si="222"/>
        <v>2023</v>
      </c>
      <c r="E6469">
        <f t="shared" si="223"/>
        <v>2</v>
      </c>
    </row>
    <row r="6470" spans="1:5" x14ac:dyDescent="0.3">
      <c r="A6470" t="s">
        <v>6595</v>
      </c>
      <c r="B6470" t="s">
        <v>127</v>
      </c>
      <c r="C6470">
        <v>364</v>
      </c>
      <c r="D6470">
        <f t="shared" si="222"/>
        <v>2023</v>
      </c>
      <c r="E6470">
        <f t="shared" si="223"/>
        <v>2</v>
      </c>
    </row>
    <row r="6471" spans="1:5" x14ac:dyDescent="0.3">
      <c r="A6471" t="s">
        <v>6596</v>
      </c>
      <c r="B6471" t="s">
        <v>127</v>
      </c>
      <c r="C6471">
        <v>364</v>
      </c>
      <c r="D6471">
        <f t="shared" si="222"/>
        <v>2023</v>
      </c>
      <c r="E6471">
        <f t="shared" si="223"/>
        <v>2</v>
      </c>
    </row>
    <row r="6472" spans="1:5" x14ac:dyDescent="0.3">
      <c r="A6472" t="s">
        <v>6597</v>
      </c>
      <c r="B6472" t="s">
        <v>127</v>
      </c>
      <c r="C6472">
        <v>366</v>
      </c>
      <c r="D6472">
        <f t="shared" si="222"/>
        <v>2023</v>
      </c>
      <c r="E6472">
        <f t="shared" si="223"/>
        <v>2</v>
      </c>
    </row>
    <row r="6473" spans="1:5" x14ac:dyDescent="0.3">
      <c r="A6473" t="s">
        <v>6598</v>
      </c>
      <c r="B6473" t="s">
        <v>127</v>
      </c>
      <c r="C6473">
        <v>357</v>
      </c>
      <c r="D6473">
        <f t="shared" si="222"/>
        <v>2023</v>
      </c>
      <c r="E6473">
        <f t="shared" si="223"/>
        <v>2</v>
      </c>
    </row>
    <row r="6474" spans="1:5" x14ac:dyDescent="0.3">
      <c r="A6474" t="s">
        <v>6599</v>
      </c>
      <c r="B6474" t="s">
        <v>127</v>
      </c>
      <c r="C6474">
        <v>355</v>
      </c>
      <c r="D6474">
        <f t="shared" si="222"/>
        <v>2023</v>
      </c>
      <c r="E6474">
        <f t="shared" si="223"/>
        <v>2</v>
      </c>
    </row>
    <row r="6475" spans="1:5" x14ac:dyDescent="0.3">
      <c r="A6475" t="s">
        <v>6600</v>
      </c>
      <c r="B6475" t="s">
        <v>127</v>
      </c>
      <c r="C6475">
        <v>357</v>
      </c>
      <c r="D6475">
        <f t="shared" si="222"/>
        <v>2023</v>
      </c>
      <c r="E6475">
        <f t="shared" si="223"/>
        <v>2</v>
      </c>
    </row>
    <row r="6476" spans="1:5" x14ac:dyDescent="0.3">
      <c r="A6476" t="s">
        <v>6601</v>
      </c>
      <c r="B6476" t="s">
        <v>127</v>
      </c>
      <c r="C6476">
        <v>368</v>
      </c>
      <c r="D6476">
        <f t="shared" si="222"/>
        <v>2023</v>
      </c>
      <c r="E6476">
        <f t="shared" si="223"/>
        <v>2</v>
      </c>
    </row>
    <row r="6477" spans="1:5" x14ac:dyDescent="0.3">
      <c r="A6477" t="s">
        <v>6602</v>
      </c>
      <c r="B6477" t="s">
        <v>127</v>
      </c>
      <c r="C6477">
        <v>370</v>
      </c>
      <c r="D6477">
        <f t="shared" si="222"/>
        <v>2023</v>
      </c>
      <c r="E6477">
        <f t="shared" si="223"/>
        <v>3</v>
      </c>
    </row>
    <row r="6478" spans="1:5" x14ac:dyDescent="0.3">
      <c r="A6478" t="s">
        <v>6603</v>
      </c>
      <c r="B6478" t="s">
        <v>127</v>
      </c>
      <c r="C6478">
        <v>373</v>
      </c>
      <c r="D6478">
        <f t="shared" si="222"/>
        <v>2023</v>
      </c>
      <c r="E6478">
        <f t="shared" si="223"/>
        <v>3</v>
      </c>
    </row>
    <row r="6479" spans="1:5" x14ac:dyDescent="0.3">
      <c r="A6479" t="s">
        <v>6604</v>
      </c>
      <c r="B6479" t="s">
        <v>127</v>
      </c>
      <c r="C6479">
        <v>371</v>
      </c>
      <c r="D6479">
        <f t="shared" si="222"/>
        <v>2023</v>
      </c>
      <c r="E6479">
        <f t="shared" si="223"/>
        <v>3</v>
      </c>
    </row>
    <row r="6480" spans="1:5" x14ac:dyDescent="0.3">
      <c r="A6480" t="s">
        <v>6605</v>
      </c>
      <c r="B6480" t="s">
        <v>127</v>
      </c>
      <c r="C6480">
        <v>365</v>
      </c>
      <c r="D6480">
        <f t="shared" si="222"/>
        <v>2023</v>
      </c>
      <c r="E6480">
        <f t="shared" si="223"/>
        <v>3</v>
      </c>
    </row>
    <row r="6481" spans="1:5" x14ac:dyDescent="0.3">
      <c r="A6481" t="s">
        <v>6606</v>
      </c>
      <c r="B6481" t="s">
        <v>127</v>
      </c>
      <c r="C6481">
        <v>371</v>
      </c>
      <c r="D6481">
        <f t="shared" si="222"/>
        <v>2023</v>
      </c>
      <c r="E6481">
        <f t="shared" si="223"/>
        <v>3</v>
      </c>
    </row>
    <row r="6482" spans="1:5" x14ac:dyDescent="0.3">
      <c r="A6482" t="s">
        <v>6607</v>
      </c>
      <c r="B6482" t="s">
        <v>127</v>
      </c>
      <c r="C6482">
        <v>377</v>
      </c>
      <c r="D6482">
        <f t="shared" si="222"/>
        <v>2023</v>
      </c>
      <c r="E6482">
        <f t="shared" si="223"/>
        <v>3</v>
      </c>
    </row>
    <row r="6483" spans="1:5" x14ac:dyDescent="0.3">
      <c r="A6483" t="s">
        <v>6608</v>
      </c>
      <c r="B6483" t="s">
        <v>127</v>
      </c>
      <c r="C6483">
        <v>386</v>
      </c>
      <c r="D6483">
        <f t="shared" si="222"/>
        <v>2023</v>
      </c>
      <c r="E6483">
        <f t="shared" si="223"/>
        <v>3</v>
      </c>
    </row>
    <row r="6484" spans="1:5" x14ac:dyDescent="0.3">
      <c r="A6484" t="s">
        <v>6609</v>
      </c>
      <c r="B6484" t="s">
        <v>127</v>
      </c>
      <c r="C6484">
        <v>396</v>
      </c>
      <c r="D6484">
        <f t="shared" si="222"/>
        <v>2023</v>
      </c>
      <c r="E6484">
        <f t="shared" si="223"/>
        <v>3</v>
      </c>
    </row>
    <row r="6485" spans="1:5" x14ac:dyDescent="0.3">
      <c r="A6485" t="s">
        <v>6610</v>
      </c>
      <c r="B6485" t="s">
        <v>127</v>
      </c>
      <c r="C6485">
        <v>408</v>
      </c>
      <c r="D6485">
        <f t="shared" si="222"/>
        <v>2023</v>
      </c>
      <c r="E6485">
        <f t="shared" si="223"/>
        <v>3</v>
      </c>
    </row>
    <row r="6486" spans="1:5" x14ac:dyDescent="0.3">
      <c r="A6486" t="s">
        <v>6611</v>
      </c>
      <c r="B6486" t="s">
        <v>127</v>
      </c>
      <c r="C6486">
        <v>399</v>
      </c>
      <c r="D6486">
        <f t="shared" si="222"/>
        <v>2023</v>
      </c>
      <c r="E6486">
        <f t="shared" si="223"/>
        <v>3</v>
      </c>
    </row>
    <row r="6487" spans="1:5" x14ac:dyDescent="0.3">
      <c r="A6487" t="s">
        <v>6612</v>
      </c>
      <c r="B6487" t="s">
        <v>127</v>
      </c>
      <c r="C6487">
        <v>424</v>
      </c>
      <c r="D6487">
        <f t="shared" si="222"/>
        <v>2023</v>
      </c>
      <c r="E6487">
        <f t="shared" si="223"/>
        <v>3</v>
      </c>
    </row>
    <row r="6488" spans="1:5" x14ac:dyDescent="0.3">
      <c r="A6488" t="s">
        <v>6613</v>
      </c>
      <c r="B6488" t="s">
        <v>127</v>
      </c>
      <c r="C6488">
        <v>416</v>
      </c>
      <c r="D6488">
        <f t="shared" si="222"/>
        <v>2023</v>
      </c>
      <c r="E6488">
        <f t="shared" si="223"/>
        <v>3</v>
      </c>
    </row>
    <row r="6489" spans="1:5" x14ac:dyDescent="0.3">
      <c r="A6489" t="s">
        <v>6614</v>
      </c>
      <c r="B6489" t="s">
        <v>127</v>
      </c>
      <c r="C6489">
        <v>430</v>
      </c>
      <c r="D6489">
        <f t="shared" si="222"/>
        <v>2023</v>
      </c>
      <c r="E6489">
        <f t="shared" si="223"/>
        <v>3</v>
      </c>
    </row>
    <row r="6490" spans="1:5" x14ac:dyDescent="0.3">
      <c r="A6490" t="s">
        <v>6615</v>
      </c>
      <c r="B6490" t="s">
        <v>127</v>
      </c>
      <c r="C6490">
        <v>430</v>
      </c>
      <c r="D6490">
        <f t="shared" si="222"/>
        <v>2023</v>
      </c>
      <c r="E6490">
        <f t="shared" si="223"/>
        <v>3</v>
      </c>
    </row>
    <row r="6491" spans="1:5" x14ac:dyDescent="0.3">
      <c r="A6491" t="s">
        <v>6616</v>
      </c>
      <c r="B6491" t="s">
        <v>127</v>
      </c>
      <c r="C6491">
        <v>416</v>
      </c>
      <c r="D6491">
        <f t="shared" si="222"/>
        <v>2023</v>
      </c>
      <c r="E6491">
        <f t="shared" si="223"/>
        <v>3</v>
      </c>
    </row>
    <row r="6492" spans="1:5" x14ac:dyDescent="0.3">
      <c r="A6492" t="s">
        <v>6617</v>
      </c>
      <c r="B6492" t="s">
        <v>127</v>
      </c>
      <c r="C6492">
        <v>417</v>
      </c>
      <c r="D6492">
        <f t="shared" si="222"/>
        <v>2023</v>
      </c>
      <c r="E6492">
        <f t="shared" si="223"/>
        <v>3</v>
      </c>
    </row>
    <row r="6493" spans="1:5" x14ac:dyDescent="0.3">
      <c r="A6493" t="s">
        <v>6618</v>
      </c>
      <c r="B6493" t="s">
        <v>127</v>
      </c>
      <c r="C6493">
        <v>417</v>
      </c>
      <c r="D6493">
        <f t="shared" si="222"/>
        <v>2023</v>
      </c>
      <c r="E6493">
        <f t="shared" si="223"/>
        <v>3</v>
      </c>
    </row>
    <row r="6494" spans="1:5" x14ac:dyDescent="0.3">
      <c r="A6494" t="s">
        <v>6619</v>
      </c>
      <c r="B6494" t="s">
        <v>127</v>
      </c>
      <c r="C6494">
        <v>422</v>
      </c>
      <c r="D6494">
        <f t="shared" si="222"/>
        <v>2023</v>
      </c>
      <c r="E6494">
        <f t="shared" si="223"/>
        <v>3</v>
      </c>
    </row>
    <row r="6495" spans="1:5" x14ac:dyDescent="0.3">
      <c r="A6495" t="s">
        <v>6620</v>
      </c>
      <c r="B6495" t="s">
        <v>127</v>
      </c>
      <c r="C6495">
        <v>413</v>
      </c>
      <c r="D6495">
        <f t="shared" si="222"/>
        <v>2023</v>
      </c>
      <c r="E6495">
        <f t="shared" si="223"/>
        <v>3</v>
      </c>
    </row>
    <row r="6496" spans="1:5" x14ac:dyDescent="0.3">
      <c r="A6496" t="s">
        <v>6621</v>
      </c>
      <c r="B6496" t="s">
        <v>127</v>
      </c>
      <c r="C6496">
        <v>415</v>
      </c>
      <c r="D6496">
        <f t="shared" si="222"/>
        <v>2023</v>
      </c>
      <c r="E6496">
        <f t="shared" si="223"/>
        <v>3</v>
      </c>
    </row>
    <row r="6497" spans="1:5" x14ac:dyDescent="0.3">
      <c r="A6497" t="s">
        <v>6622</v>
      </c>
      <c r="B6497" t="s">
        <v>127</v>
      </c>
      <c r="C6497">
        <v>408</v>
      </c>
      <c r="D6497">
        <f t="shared" si="222"/>
        <v>2023</v>
      </c>
      <c r="E6497">
        <f t="shared" si="223"/>
        <v>3</v>
      </c>
    </row>
    <row r="6498" spans="1:5" x14ac:dyDescent="0.3">
      <c r="A6498" t="s">
        <v>6623</v>
      </c>
      <c r="B6498" t="s">
        <v>127</v>
      </c>
      <c r="C6498">
        <v>399</v>
      </c>
      <c r="D6498">
        <f t="shared" si="222"/>
        <v>2023</v>
      </c>
      <c r="E6498">
        <f t="shared" si="223"/>
        <v>3</v>
      </c>
    </row>
    <row r="6499" spans="1:5" x14ac:dyDescent="0.3">
      <c r="A6499" t="s">
        <v>6624</v>
      </c>
      <c r="B6499" t="s">
        <v>127</v>
      </c>
      <c r="C6499">
        <v>393</v>
      </c>
      <c r="D6499">
        <f t="shared" si="222"/>
        <v>2023</v>
      </c>
      <c r="E6499">
        <f t="shared" si="223"/>
        <v>3</v>
      </c>
    </row>
    <row r="6500" spans="1:5" x14ac:dyDescent="0.3">
      <c r="A6500" t="s">
        <v>6625</v>
      </c>
      <c r="B6500" t="s">
        <v>127</v>
      </c>
      <c r="C6500">
        <v>389</v>
      </c>
      <c r="D6500">
        <f t="shared" si="222"/>
        <v>2023</v>
      </c>
      <c r="E6500">
        <f t="shared" si="223"/>
        <v>4</v>
      </c>
    </row>
    <row r="6501" spans="1:5" x14ac:dyDescent="0.3">
      <c r="A6501" t="s">
        <v>6626</v>
      </c>
      <c r="B6501" t="s">
        <v>127</v>
      </c>
      <c r="C6501">
        <v>402</v>
      </c>
      <c r="D6501">
        <f t="shared" si="222"/>
        <v>2023</v>
      </c>
      <c r="E6501">
        <f t="shared" si="223"/>
        <v>4</v>
      </c>
    </row>
    <row r="6502" spans="1:5" x14ac:dyDescent="0.3">
      <c r="A6502" t="s">
        <v>6627</v>
      </c>
      <c r="B6502" t="s">
        <v>127</v>
      </c>
      <c r="C6502">
        <v>408</v>
      </c>
      <c r="D6502">
        <f t="shared" si="222"/>
        <v>2023</v>
      </c>
      <c r="E6502">
        <f t="shared" si="223"/>
        <v>4</v>
      </c>
    </row>
    <row r="6503" spans="1:5" x14ac:dyDescent="0.3">
      <c r="A6503" t="s">
        <v>6628</v>
      </c>
      <c r="B6503" t="s">
        <v>127</v>
      </c>
      <c r="C6503">
        <v>409</v>
      </c>
      <c r="D6503">
        <f t="shared" si="222"/>
        <v>2023</v>
      </c>
      <c r="E6503">
        <f t="shared" si="223"/>
        <v>4</v>
      </c>
    </row>
    <row r="6504" spans="1:5" x14ac:dyDescent="0.3">
      <c r="A6504" t="s">
        <v>6629</v>
      </c>
      <c r="B6504" t="s">
        <v>127</v>
      </c>
      <c r="C6504">
        <v>400</v>
      </c>
      <c r="D6504">
        <f t="shared" si="222"/>
        <v>2023</v>
      </c>
      <c r="E6504">
        <f t="shared" si="223"/>
        <v>4</v>
      </c>
    </row>
    <row r="6505" spans="1:5" x14ac:dyDescent="0.3">
      <c r="A6505" t="s">
        <v>6630</v>
      </c>
      <c r="B6505" t="s">
        <v>127</v>
      </c>
      <c r="C6505">
        <v>401</v>
      </c>
      <c r="D6505">
        <f t="shared" si="222"/>
        <v>2023</v>
      </c>
      <c r="E6505">
        <f t="shared" si="223"/>
        <v>4</v>
      </c>
    </row>
    <row r="6506" spans="1:5" x14ac:dyDescent="0.3">
      <c r="A6506" t="s">
        <v>6631</v>
      </c>
      <c r="B6506" t="s">
        <v>127</v>
      </c>
      <c r="C6506">
        <v>400</v>
      </c>
      <c r="D6506">
        <f t="shared" si="222"/>
        <v>2023</v>
      </c>
      <c r="E6506">
        <f t="shared" si="223"/>
        <v>4</v>
      </c>
    </row>
    <row r="6507" spans="1:5" x14ac:dyDescent="0.3">
      <c r="A6507" t="s">
        <v>6632</v>
      </c>
      <c r="B6507" t="s">
        <v>127</v>
      </c>
      <c r="C6507">
        <v>399</v>
      </c>
      <c r="D6507">
        <f t="shared" si="222"/>
        <v>2023</v>
      </c>
      <c r="E6507">
        <f t="shared" si="223"/>
        <v>4</v>
      </c>
    </row>
    <row r="6508" spans="1:5" x14ac:dyDescent="0.3">
      <c r="A6508" t="s">
        <v>6633</v>
      </c>
      <c r="B6508" t="s">
        <v>127</v>
      </c>
      <c r="C6508">
        <v>397</v>
      </c>
      <c r="D6508">
        <f t="shared" si="222"/>
        <v>2023</v>
      </c>
      <c r="E6508">
        <f t="shared" si="223"/>
        <v>4</v>
      </c>
    </row>
    <row r="6509" spans="1:5" x14ac:dyDescent="0.3">
      <c r="A6509" t="s">
        <v>6634</v>
      </c>
      <c r="B6509" t="s">
        <v>127</v>
      </c>
      <c r="C6509">
        <v>390</v>
      </c>
      <c r="D6509">
        <f t="shared" si="222"/>
        <v>2023</v>
      </c>
      <c r="E6509">
        <f t="shared" si="223"/>
        <v>4</v>
      </c>
    </row>
    <row r="6510" spans="1:5" x14ac:dyDescent="0.3">
      <c r="A6510" t="s">
        <v>6635</v>
      </c>
      <c r="B6510" t="s">
        <v>127</v>
      </c>
      <c r="C6510">
        <v>391</v>
      </c>
      <c r="D6510">
        <f t="shared" si="222"/>
        <v>2023</v>
      </c>
      <c r="E6510">
        <f t="shared" si="223"/>
        <v>4</v>
      </c>
    </row>
    <row r="6511" spans="1:5" x14ac:dyDescent="0.3">
      <c r="A6511" t="s">
        <v>6636</v>
      </c>
      <c r="B6511" t="s">
        <v>127</v>
      </c>
      <c r="C6511">
        <v>390</v>
      </c>
      <c r="D6511">
        <f t="shared" si="222"/>
        <v>2023</v>
      </c>
      <c r="E6511">
        <f t="shared" si="223"/>
        <v>4</v>
      </c>
    </row>
    <row r="6512" spans="1:5" x14ac:dyDescent="0.3">
      <c r="A6512" t="s">
        <v>6637</v>
      </c>
      <c r="B6512" t="s">
        <v>127</v>
      </c>
      <c r="C6512">
        <v>394</v>
      </c>
      <c r="D6512">
        <f t="shared" si="222"/>
        <v>2023</v>
      </c>
      <c r="E6512">
        <f t="shared" si="223"/>
        <v>4</v>
      </c>
    </row>
    <row r="6513" spans="1:5" x14ac:dyDescent="0.3">
      <c r="A6513" t="s">
        <v>6638</v>
      </c>
      <c r="B6513" t="s">
        <v>127</v>
      </c>
      <c r="C6513">
        <v>398</v>
      </c>
      <c r="D6513">
        <f t="shared" si="222"/>
        <v>2023</v>
      </c>
      <c r="E6513">
        <f t="shared" si="223"/>
        <v>4</v>
      </c>
    </row>
    <row r="6514" spans="1:5" x14ac:dyDescent="0.3">
      <c r="A6514" t="s">
        <v>6639</v>
      </c>
      <c r="B6514" t="s">
        <v>127</v>
      </c>
      <c r="C6514">
        <v>393</v>
      </c>
      <c r="D6514">
        <f t="shared" si="222"/>
        <v>2023</v>
      </c>
      <c r="E6514">
        <f t="shared" si="223"/>
        <v>4</v>
      </c>
    </row>
    <row r="6515" spans="1:5" x14ac:dyDescent="0.3">
      <c r="A6515" t="s">
        <v>6640</v>
      </c>
      <c r="B6515" t="s">
        <v>127</v>
      </c>
      <c r="C6515">
        <v>394</v>
      </c>
      <c r="D6515">
        <f t="shared" si="222"/>
        <v>2023</v>
      </c>
      <c r="E6515">
        <f t="shared" si="223"/>
        <v>4</v>
      </c>
    </row>
    <row r="6516" spans="1:5" x14ac:dyDescent="0.3">
      <c r="A6516" t="s">
        <v>6641</v>
      </c>
      <c r="B6516" t="s">
        <v>127</v>
      </c>
      <c r="C6516">
        <v>399</v>
      </c>
      <c r="D6516">
        <f t="shared" si="222"/>
        <v>2023</v>
      </c>
      <c r="E6516">
        <f t="shared" si="223"/>
        <v>4</v>
      </c>
    </row>
    <row r="6517" spans="1:5" x14ac:dyDescent="0.3">
      <c r="A6517" t="s">
        <v>6642</v>
      </c>
      <c r="B6517" t="s">
        <v>127</v>
      </c>
      <c r="C6517">
        <v>401</v>
      </c>
      <c r="D6517">
        <f t="shared" si="222"/>
        <v>2023</v>
      </c>
      <c r="E6517">
        <f t="shared" si="223"/>
        <v>4</v>
      </c>
    </row>
    <row r="6518" spans="1:5" x14ac:dyDescent="0.3">
      <c r="A6518" t="s">
        <v>6643</v>
      </c>
      <c r="B6518" t="s">
        <v>127</v>
      </c>
      <c r="C6518">
        <v>401</v>
      </c>
      <c r="D6518">
        <f t="shared" si="222"/>
        <v>2023</v>
      </c>
      <c r="E6518">
        <f t="shared" si="223"/>
        <v>4</v>
      </c>
    </row>
    <row r="6519" spans="1:5" x14ac:dyDescent="0.3">
      <c r="A6519" t="s">
        <v>6644</v>
      </c>
      <c r="B6519" t="s">
        <v>127</v>
      </c>
      <c r="C6519">
        <v>396</v>
      </c>
      <c r="D6519">
        <f t="shared" si="222"/>
        <v>2023</v>
      </c>
      <c r="E6519">
        <f t="shared" si="223"/>
        <v>4</v>
      </c>
    </row>
    <row r="6520" spans="1:5" x14ac:dyDescent="0.3">
      <c r="A6520" t="s">
        <v>6645</v>
      </c>
      <c r="B6520" t="s">
        <v>127</v>
      </c>
      <c r="C6520">
        <v>392</v>
      </c>
      <c r="D6520">
        <f t="shared" si="222"/>
        <v>2023</v>
      </c>
      <c r="E6520">
        <f t="shared" si="223"/>
        <v>4</v>
      </c>
    </row>
    <row r="6521" spans="1:5" x14ac:dyDescent="0.3">
      <c r="A6521" t="s">
        <v>6646</v>
      </c>
      <c r="B6521" t="s">
        <v>127</v>
      </c>
      <c r="C6521">
        <v>392</v>
      </c>
      <c r="D6521">
        <f t="shared" si="222"/>
        <v>2023</v>
      </c>
      <c r="E6521">
        <f t="shared" si="223"/>
        <v>5</v>
      </c>
    </row>
    <row r="6522" spans="1:5" x14ac:dyDescent="0.3">
      <c r="A6522" t="s">
        <v>6647</v>
      </c>
      <c r="B6522" t="s">
        <v>127</v>
      </c>
      <c r="C6522">
        <v>401</v>
      </c>
      <c r="D6522">
        <f t="shared" si="222"/>
        <v>2023</v>
      </c>
      <c r="E6522">
        <f t="shared" si="223"/>
        <v>5</v>
      </c>
    </row>
    <row r="6523" spans="1:5" x14ac:dyDescent="0.3">
      <c r="A6523" t="s">
        <v>6648</v>
      </c>
      <c r="B6523" t="s">
        <v>127</v>
      </c>
      <c r="C6523">
        <v>407</v>
      </c>
      <c r="D6523">
        <f t="shared" si="222"/>
        <v>2023</v>
      </c>
      <c r="E6523">
        <f t="shared" si="223"/>
        <v>5</v>
      </c>
    </row>
    <row r="6524" spans="1:5" x14ac:dyDescent="0.3">
      <c r="A6524" t="s">
        <v>6649</v>
      </c>
      <c r="B6524" t="s">
        <v>127</v>
      </c>
      <c r="C6524">
        <v>411</v>
      </c>
      <c r="D6524">
        <f t="shared" si="222"/>
        <v>2023</v>
      </c>
      <c r="E6524">
        <f t="shared" si="223"/>
        <v>5</v>
      </c>
    </row>
    <row r="6525" spans="1:5" x14ac:dyDescent="0.3">
      <c r="A6525" t="s">
        <v>6650</v>
      </c>
      <c r="B6525" t="s">
        <v>127</v>
      </c>
      <c r="C6525">
        <v>411</v>
      </c>
      <c r="D6525">
        <f t="shared" si="222"/>
        <v>2023</v>
      </c>
      <c r="E6525">
        <f t="shared" si="223"/>
        <v>5</v>
      </c>
    </row>
    <row r="6526" spans="1:5" x14ac:dyDescent="0.3">
      <c r="A6526" t="s">
        <v>6651</v>
      </c>
      <c r="B6526" t="s">
        <v>127</v>
      </c>
      <c r="C6526">
        <v>409</v>
      </c>
      <c r="D6526">
        <f t="shared" si="222"/>
        <v>2023</v>
      </c>
      <c r="E6526">
        <f t="shared" si="223"/>
        <v>5</v>
      </c>
    </row>
    <row r="6527" spans="1:5" x14ac:dyDescent="0.3">
      <c r="A6527" t="s">
        <v>6652</v>
      </c>
      <c r="B6527" t="s">
        <v>127</v>
      </c>
      <c r="C6527">
        <v>410</v>
      </c>
      <c r="D6527">
        <f t="shared" si="222"/>
        <v>2023</v>
      </c>
      <c r="E6527">
        <f t="shared" si="223"/>
        <v>5</v>
      </c>
    </row>
    <row r="6528" spans="1:5" x14ac:dyDescent="0.3">
      <c r="A6528" t="s">
        <v>6653</v>
      </c>
      <c r="B6528" t="s">
        <v>127</v>
      </c>
      <c r="C6528">
        <v>414</v>
      </c>
      <c r="D6528">
        <f t="shared" si="222"/>
        <v>2023</v>
      </c>
      <c r="E6528">
        <f t="shared" si="223"/>
        <v>5</v>
      </c>
    </row>
    <row r="6529" spans="1:5" x14ac:dyDescent="0.3">
      <c r="A6529" t="s">
        <v>6654</v>
      </c>
      <c r="B6529" t="s">
        <v>127</v>
      </c>
      <c r="C6529">
        <v>415</v>
      </c>
      <c r="D6529">
        <f t="shared" si="222"/>
        <v>2023</v>
      </c>
      <c r="E6529">
        <f t="shared" si="223"/>
        <v>5</v>
      </c>
    </row>
    <row r="6530" spans="1:5" x14ac:dyDescent="0.3">
      <c r="A6530" t="s">
        <v>6655</v>
      </c>
      <c r="B6530" t="s">
        <v>127</v>
      </c>
      <c r="C6530">
        <v>414</v>
      </c>
      <c r="D6530">
        <f t="shared" si="222"/>
        <v>2023</v>
      </c>
      <c r="E6530">
        <f t="shared" si="223"/>
        <v>5</v>
      </c>
    </row>
    <row r="6531" spans="1:5" x14ac:dyDescent="0.3">
      <c r="A6531" t="s">
        <v>6656</v>
      </c>
      <c r="B6531" t="s">
        <v>127</v>
      </c>
      <c r="C6531">
        <v>418</v>
      </c>
      <c r="D6531">
        <f t="shared" ref="D6531:D6594" si="224">YEAR(A6531)</f>
        <v>2023</v>
      </c>
      <c r="E6531">
        <f t="shared" ref="E6531:E6594" si="225">MONTH(A6531)</f>
        <v>5</v>
      </c>
    </row>
    <row r="6532" spans="1:5" x14ac:dyDescent="0.3">
      <c r="A6532" t="s">
        <v>6657</v>
      </c>
      <c r="B6532" t="s">
        <v>127</v>
      </c>
      <c r="C6532">
        <v>416</v>
      </c>
      <c r="D6532">
        <f t="shared" si="224"/>
        <v>2023</v>
      </c>
      <c r="E6532">
        <f t="shared" si="225"/>
        <v>5</v>
      </c>
    </row>
    <row r="6533" spans="1:5" x14ac:dyDescent="0.3">
      <c r="A6533" t="s">
        <v>6658</v>
      </c>
      <c r="B6533" t="s">
        <v>127</v>
      </c>
      <c r="C6533">
        <v>411</v>
      </c>
      <c r="D6533">
        <f t="shared" si="224"/>
        <v>2023</v>
      </c>
      <c r="E6533">
        <f t="shared" si="225"/>
        <v>5</v>
      </c>
    </row>
    <row r="6534" spans="1:5" x14ac:dyDescent="0.3">
      <c r="A6534" t="s">
        <v>6659</v>
      </c>
      <c r="B6534" t="s">
        <v>127</v>
      </c>
      <c r="C6534">
        <v>406</v>
      </c>
      <c r="D6534">
        <f t="shared" si="224"/>
        <v>2023</v>
      </c>
      <c r="E6534">
        <f t="shared" si="225"/>
        <v>5</v>
      </c>
    </row>
    <row r="6535" spans="1:5" x14ac:dyDescent="0.3">
      <c r="A6535" t="s">
        <v>6660</v>
      </c>
      <c r="B6535" t="s">
        <v>127</v>
      </c>
      <c r="C6535">
        <v>402</v>
      </c>
      <c r="D6535">
        <f t="shared" si="224"/>
        <v>2023</v>
      </c>
      <c r="E6535">
        <f t="shared" si="225"/>
        <v>5</v>
      </c>
    </row>
    <row r="6536" spans="1:5" x14ac:dyDescent="0.3">
      <c r="A6536" t="s">
        <v>6661</v>
      </c>
      <c r="B6536" t="s">
        <v>127</v>
      </c>
      <c r="C6536">
        <v>400</v>
      </c>
      <c r="D6536">
        <f t="shared" si="224"/>
        <v>2023</v>
      </c>
      <c r="E6536">
        <f t="shared" si="225"/>
        <v>5</v>
      </c>
    </row>
    <row r="6537" spans="1:5" x14ac:dyDescent="0.3">
      <c r="A6537" t="s">
        <v>6662</v>
      </c>
      <c r="B6537" t="s">
        <v>127</v>
      </c>
      <c r="C6537">
        <v>404</v>
      </c>
      <c r="D6537">
        <f t="shared" si="224"/>
        <v>2023</v>
      </c>
      <c r="E6537">
        <f t="shared" si="225"/>
        <v>5</v>
      </c>
    </row>
    <row r="6538" spans="1:5" x14ac:dyDescent="0.3">
      <c r="A6538" t="s">
        <v>6663</v>
      </c>
      <c r="B6538" t="s">
        <v>127</v>
      </c>
      <c r="C6538">
        <v>403</v>
      </c>
      <c r="D6538">
        <f t="shared" si="224"/>
        <v>2023</v>
      </c>
      <c r="E6538">
        <f t="shared" si="225"/>
        <v>5</v>
      </c>
    </row>
    <row r="6539" spans="1:5" x14ac:dyDescent="0.3">
      <c r="A6539" t="s">
        <v>6664</v>
      </c>
      <c r="B6539" t="s">
        <v>127</v>
      </c>
      <c r="C6539">
        <v>400</v>
      </c>
      <c r="D6539">
        <f t="shared" si="224"/>
        <v>2023</v>
      </c>
      <c r="E6539">
        <f t="shared" si="225"/>
        <v>5</v>
      </c>
    </row>
    <row r="6540" spans="1:5" x14ac:dyDescent="0.3">
      <c r="A6540" t="s">
        <v>6665</v>
      </c>
      <c r="B6540" t="s">
        <v>127</v>
      </c>
      <c r="C6540">
        <v>401</v>
      </c>
      <c r="D6540">
        <f t="shared" si="224"/>
        <v>2023</v>
      </c>
      <c r="E6540">
        <f t="shared" si="225"/>
        <v>5</v>
      </c>
    </row>
    <row r="6541" spans="1:5" x14ac:dyDescent="0.3">
      <c r="A6541" t="s">
        <v>6666</v>
      </c>
      <c r="B6541" t="s">
        <v>127</v>
      </c>
      <c r="C6541">
        <v>401</v>
      </c>
      <c r="D6541">
        <f t="shared" si="224"/>
        <v>2023</v>
      </c>
      <c r="E6541">
        <f t="shared" si="225"/>
        <v>5</v>
      </c>
    </row>
    <row r="6542" spans="1:5" x14ac:dyDescent="0.3">
      <c r="A6542" t="s">
        <v>6667</v>
      </c>
      <c r="B6542" t="s">
        <v>127</v>
      </c>
      <c r="C6542">
        <v>401</v>
      </c>
      <c r="D6542">
        <f t="shared" si="224"/>
        <v>2023</v>
      </c>
      <c r="E6542">
        <f t="shared" si="225"/>
        <v>5</v>
      </c>
    </row>
    <row r="6543" spans="1:5" x14ac:dyDescent="0.3">
      <c r="A6543" t="s">
        <v>6668</v>
      </c>
      <c r="B6543" t="s">
        <v>127</v>
      </c>
      <c r="C6543">
        <v>406</v>
      </c>
      <c r="D6543">
        <f t="shared" si="224"/>
        <v>2023</v>
      </c>
      <c r="E6543">
        <f t="shared" si="225"/>
        <v>6</v>
      </c>
    </row>
    <row r="6544" spans="1:5" x14ac:dyDescent="0.3">
      <c r="A6544" t="s">
        <v>6669</v>
      </c>
      <c r="B6544" t="s">
        <v>127</v>
      </c>
      <c r="C6544">
        <v>408</v>
      </c>
      <c r="D6544">
        <f t="shared" si="224"/>
        <v>2023</v>
      </c>
      <c r="E6544">
        <f t="shared" si="225"/>
        <v>6</v>
      </c>
    </row>
    <row r="6545" spans="1:5" x14ac:dyDescent="0.3">
      <c r="A6545" t="s">
        <v>6670</v>
      </c>
      <c r="B6545" t="s">
        <v>127</v>
      </c>
      <c r="C6545">
        <v>398</v>
      </c>
      <c r="D6545">
        <f t="shared" si="224"/>
        <v>2023</v>
      </c>
      <c r="E6545">
        <f t="shared" si="225"/>
        <v>6</v>
      </c>
    </row>
    <row r="6546" spans="1:5" x14ac:dyDescent="0.3">
      <c r="A6546" t="s">
        <v>6671</v>
      </c>
      <c r="B6546" t="s">
        <v>127</v>
      </c>
      <c r="C6546">
        <v>402</v>
      </c>
      <c r="D6546">
        <f t="shared" si="224"/>
        <v>2023</v>
      </c>
      <c r="E6546">
        <f t="shared" si="225"/>
        <v>6</v>
      </c>
    </row>
    <row r="6547" spans="1:5" x14ac:dyDescent="0.3">
      <c r="A6547" t="s">
        <v>6672</v>
      </c>
      <c r="B6547" t="s">
        <v>127</v>
      </c>
      <c r="C6547">
        <v>402</v>
      </c>
      <c r="D6547">
        <f t="shared" si="224"/>
        <v>2023</v>
      </c>
      <c r="E6547">
        <f t="shared" si="225"/>
        <v>6</v>
      </c>
    </row>
    <row r="6548" spans="1:5" x14ac:dyDescent="0.3">
      <c r="A6548" t="s">
        <v>6673</v>
      </c>
      <c r="B6548" t="s">
        <v>127</v>
      </c>
      <c r="C6548">
        <v>396</v>
      </c>
      <c r="D6548">
        <f t="shared" si="224"/>
        <v>2023</v>
      </c>
      <c r="E6548">
        <f t="shared" si="225"/>
        <v>6</v>
      </c>
    </row>
    <row r="6549" spans="1:5" x14ac:dyDescent="0.3">
      <c r="A6549" t="s">
        <v>6674</v>
      </c>
      <c r="B6549" t="s">
        <v>127</v>
      </c>
      <c r="C6549">
        <v>401</v>
      </c>
      <c r="D6549">
        <f t="shared" si="224"/>
        <v>2023</v>
      </c>
      <c r="E6549">
        <f t="shared" si="225"/>
        <v>6</v>
      </c>
    </row>
    <row r="6550" spans="1:5" x14ac:dyDescent="0.3">
      <c r="A6550" t="s">
        <v>6675</v>
      </c>
      <c r="B6550" t="s">
        <v>127</v>
      </c>
      <c r="C6550">
        <v>398</v>
      </c>
      <c r="D6550">
        <f t="shared" si="224"/>
        <v>2023</v>
      </c>
      <c r="E6550">
        <f t="shared" si="225"/>
        <v>6</v>
      </c>
    </row>
    <row r="6551" spans="1:5" x14ac:dyDescent="0.3">
      <c r="A6551" t="s">
        <v>6676</v>
      </c>
      <c r="B6551" t="s">
        <v>127</v>
      </c>
      <c r="C6551">
        <v>397</v>
      </c>
      <c r="D6551">
        <f t="shared" si="224"/>
        <v>2023</v>
      </c>
      <c r="E6551">
        <f t="shared" si="225"/>
        <v>6</v>
      </c>
    </row>
    <row r="6552" spans="1:5" x14ac:dyDescent="0.3">
      <c r="A6552" t="s">
        <v>6677</v>
      </c>
      <c r="B6552" t="s">
        <v>127</v>
      </c>
      <c r="C6552">
        <v>389</v>
      </c>
      <c r="D6552">
        <f t="shared" si="224"/>
        <v>2023</v>
      </c>
      <c r="E6552">
        <f t="shared" si="225"/>
        <v>6</v>
      </c>
    </row>
    <row r="6553" spans="1:5" x14ac:dyDescent="0.3">
      <c r="A6553" t="s">
        <v>6678</v>
      </c>
      <c r="B6553" t="s">
        <v>127</v>
      </c>
      <c r="C6553">
        <v>389</v>
      </c>
      <c r="D6553">
        <f t="shared" si="224"/>
        <v>2023</v>
      </c>
      <c r="E6553">
        <f t="shared" si="225"/>
        <v>6</v>
      </c>
    </row>
    <row r="6554" spans="1:5" x14ac:dyDescent="0.3">
      <c r="A6554" t="s">
        <v>6679</v>
      </c>
      <c r="B6554" t="s">
        <v>127</v>
      </c>
      <c r="C6554">
        <v>388</v>
      </c>
      <c r="D6554">
        <f t="shared" si="224"/>
        <v>2023</v>
      </c>
      <c r="E6554">
        <f t="shared" si="225"/>
        <v>6</v>
      </c>
    </row>
    <row r="6555" spans="1:5" x14ac:dyDescent="0.3">
      <c r="A6555" t="s">
        <v>6680</v>
      </c>
      <c r="B6555" t="s">
        <v>127</v>
      </c>
      <c r="C6555">
        <v>379</v>
      </c>
      <c r="D6555">
        <f t="shared" si="224"/>
        <v>2023</v>
      </c>
      <c r="E6555">
        <f t="shared" si="225"/>
        <v>6</v>
      </c>
    </row>
    <row r="6556" spans="1:5" x14ac:dyDescent="0.3">
      <c r="A6556" t="s">
        <v>6681</v>
      </c>
      <c r="B6556" t="s">
        <v>127</v>
      </c>
      <c r="C6556">
        <v>381</v>
      </c>
      <c r="D6556">
        <f t="shared" si="224"/>
        <v>2023</v>
      </c>
      <c r="E6556">
        <f t="shared" si="225"/>
        <v>6</v>
      </c>
    </row>
    <row r="6557" spans="1:5" x14ac:dyDescent="0.3">
      <c r="A6557" t="s">
        <v>6682</v>
      </c>
      <c r="B6557" t="s">
        <v>127</v>
      </c>
      <c r="C6557">
        <v>379</v>
      </c>
      <c r="D6557">
        <f t="shared" si="224"/>
        <v>2023</v>
      </c>
      <c r="E6557">
        <f t="shared" si="225"/>
        <v>6</v>
      </c>
    </row>
    <row r="6558" spans="1:5" x14ac:dyDescent="0.3">
      <c r="A6558" t="s">
        <v>6683</v>
      </c>
      <c r="B6558" t="s">
        <v>127</v>
      </c>
      <c r="C6558">
        <v>373</v>
      </c>
      <c r="D6558">
        <f t="shared" si="224"/>
        <v>2023</v>
      </c>
      <c r="E6558">
        <f t="shared" si="225"/>
        <v>6</v>
      </c>
    </row>
    <row r="6559" spans="1:5" x14ac:dyDescent="0.3">
      <c r="A6559" t="s">
        <v>6684</v>
      </c>
      <c r="B6559" t="s">
        <v>127</v>
      </c>
      <c r="C6559">
        <v>377</v>
      </c>
      <c r="D6559">
        <f t="shared" si="224"/>
        <v>2023</v>
      </c>
      <c r="E6559">
        <f t="shared" si="225"/>
        <v>6</v>
      </c>
    </row>
    <row r="6560" spans="1:5" x14ac:dyDescent="0.3">
      <c r="A6560" t="s">
        <v>6685</v>
      </c>
      <c r="B6560" t="s">
        <v>127</v>
      </c>
      <c r="C6560">
        <v>377</v>
      </c>
      <c r="D6560">
        <f t="shared" si="224"/>
        <v>2023</v>
      </c>
      <c r="E6560">
        <f t="shared" si="225"/>
        <v>6</v>
      </c>
    </row>
    <row r="6561" spans="1:5" x14ac:dyDescent="0.3">
      <c r="A6561" t="s">
        <v>6686</v>
      </c>
      <c r="B6561" t="s">
        <v>127</v>
      </c>
      <c r="C6561">
        <v>372</v>
      </c>
      <c r="D6561">
        <f t="shared" si="224"/>
        <v>2023</v>
      </c>
      <c r="E6561">
        <f t="shared" si="225"/>
        <v>6</v>
      </c>
    </row>
    <row r="6562" spans="1:5" x14ac:dyDescent="0.3">
      <c r="A6562" t="s">
        <v>6687</v>
      </c>
      <c r="B6562" t="s">
        <v>127</v>
      </c>
      <c r="C6562">
        <v>377</v>
      </c>
      <c r="D6562">
        <f t="shared" si="224"/>
        <v>2023</v>
      </c>
      <c r="E6562">
        <f t="shared" si="225"/>
        <v>6</v>
      </c>
    </row>
    <row r="6563" spans="1:5" x14ac:dyDescent="0.3">
      <c r="A6563" t="s">
        <v>6688</v>
      </c>
      <c r="B6563" t="s">
        <v>127</v>
      </c>
      <c r="C6563">
        <v>376</v>
      </c>
      <c r="D6563">
        <f t="shared" si="224"/>
        <v>2023</v>
      </c>
      <c r="E6563">
        <f t="shared" si="225"/>
        <v>6</v>
      </c>
    </row>
    <row r="6564" spans="1:5" x14ac:dyDescent="0.3">
      <c r="A6564" t="s">
        <v>6689</v>
      </c>
      <c r="B6564" t="s">
        <v>127</v>
      </c>
      <c r="C6564">
        <v>373</v>
      </c>
      <c r="D6564">
        <f t="shared" si="224"/>
        <v>2023</v>
      </c>
      <c r="E6564">
        <f t="shared" si="225"/>
        <v>6</v>
      </c>
    </row>
    <row r="6565" spans="1:5" x14ac:dyDescent="0.3">
      <c r="A6565" t="s">
        <v>6690</v>
      </c>
      <c r="B6565" t="s">
        <v>127</v>
      </c>
      <c r="C6565">
        <v>368</v>
      </c>
      <c r="D6565">
        <f t="shared" si="224"/>
        <v>2023</v>
      </c>
      <c r="E6565">
        <f t="shared" si="225"/>
        <v>7</v>
      </c>
    </row>
    <row r="6566" spans="1:5" x14ac:dyDescent="0.3">
      <c r="A6566" t="s">
        <v>6691</v>
      </c>
      <c r="B6566" t="s">
        <v>127</v>
      </c>
      <c r="C6566">
        <v>368</v>
      </c>
      <c r="D6566">
        <f t="shared" si="224"/>
        <v>2023</v>
      </c>
      <c r="E6566">
        <f t="shared" si="225"/>
        <v>7</v>
      </c>
    </row>
    <row r="6567" spans="1:5" x14ac:dyDescent="0.3">
      <c r="A6567" t="s">
        <v>6692</v>
      </c>
      <c r="B6567" t="s">
        <v>127</v>
      </c>
      <c r="C6567">
        <v>363</v>
      </c>
      <c r="D6567">
        <f t="shared" si="224"/>
        <v>2023</v>
      </c>
      <c r="E6567">
        <f t="shared" si="225"/>
        <v>7</v>
      </c>
    </row>
    <row r="6568" spans="1:5" x14ac:dyDescent="0.3">
      <c r="A6568" t="s">
        <v>6693</v>
      </c>
      <c r="B6568" t="s">
        <v>127</v>
      </c>
      <c r="C6568">
        <v>367</v>
      </c>
      <c r="D6568">
        <f t="shared" si="224"/>
        <v>2023</v>
      </c>
      <c r="E6568">
        <f t="shared" si="225"/>
        <v>7</v>
      </c>
    </row>
    <row r="6569" spans="1:5" x14ac:dyDescent="0.3">
      <c r="A6569" t="s">
        <v>6694</v>
      </c>
      <c r="B6569" t="s">
        <v>127</v>
      </c>
      <c r="C6569">
        <v>367</v>
      </c>
      <c r="D6569">
        <f t="shared" si="224"/>
        <v>2023</v>
      </c>
      <c r="E6569">
        <f t="shared" si="225"/>
        <v>7</v>
      </c>
    </row>
    <row r="6570" spans="1:5" x14ac:dyDescent="0.3">
      <c r="A6570" t="s">
        <v>6695</v>
      </c>
      <c r="B6570" t="s">
        <v>127</v>
      </c>
      <c r="C6570">
        <v>369</v>
      </c>
      <c r="D6570">
        <f t="shared" si="224"/>
        <v>2023</v>
      </c>
      <c r="E6570">
        <f t="shared" si="225"/>
        <v>7</v>
      </c>
    </row>
    <row r="6571" spans="1:5" x14ac:dyDescent="0.3">
      <c r="A6571" t="s">
        <v>6696</v>
      </c>
      <c r="B6571" t="s">
        <v>127</v>
      </c>
      <c r="C6571">
        <v>367</v>
      </c>
      <c r="D6571">
        <f t="shared" si="224"/>
        <v>2023</v>
      </c>
      <c r="E6571">
        <f t="shared" si="225"/>
        <v>7</v>
      </c>
    </row>
    <row r="6572" spans="1:5" x14ac:dyDescent="0.3">
      <c r="A6572" t="s">
        <v>6697</v>
      </c>
      <c r="B6572" t="s">
        <v>127</v>
      </c>
      <c r="C6572">
        <v>369</v>
      </c>
      <c r="D6572">
        <f t="shared" si="224"/>
        <v>2023</v>
      </c>
      <c r="E6572">
        <f t="shared" si="225"/>
        <v>7</v>
      </c>
    </row>
    <row r="6573" spans="1:5" x14ac:dyDescent="0.3">
      <c r="A6573" t="s">
        <v>6698</v>
      </c>
      <c r="B6573" t="s">
        <v>127</v>
      </c>
      <c r="C6573">
        <v>363</v>
      </c>
      <c r="D6573">
        <f t="shared" si="224"/>
        <v>2023</v>
      </c>
      <c r="E6573">
        <f t="shared" si="225"/>
        <v>7</v>
      </c>
    </row>
    <row r="6574" spans="1:5" x14ac:dyDescent="0.3">
      <c r="A6574" t="s">
        <v>6699</v>
      </c>
      <c r="B6574" t="s">
        <v>127</v>
      </c>
      <c r="C6574">
        <v>356</v>
      </c>
      <c r="D6574">
        <f t="shared" si="224"/>
        <v>2023</v>
      </c>
      <c r="E6574">
        <f t="shared" si="225"/>
        <v>7</v>
      </c>
    </row>
    <row r="6575" spans="1:5" x14ac:dyDescent="0.3">
      <c r="A6575" t="s">
        <v>6700</v>
      </c>
      <c r="B6575" t="s">
        <v>127</v>
      </c>
      <c r="C6575">
        <v>363</v>
      </c>
      <c r="D6575">
        <f t="shared" si="224"/>
        <v>2023</v>
      </c>
      <c r="E6575">
        <f t="shared" si="225"/>
        <v>7</v>
      </c>
    </row>
    <row r="6576" spans="1:5" x14ac:dyDescent="0.3">
      <c r="A6576" t="s">
        <v>6701</v>
      </c>
      <c r="B6576" t="s">
        <v>127</v>
      </c>
      <c r="C6576">
        <v>363</v>
      </c>
      <c r="D6576">
        <f t="shared" si="224"/>
        <v>2023</v>
      </c>
      <c r="E6576">
        <f t="shared" si="225"/>
        <v>7</v>
      </c>
    </row>
    <row r="6577" spans="1:5" x14ac:dyDescent="0.3">
      <c r="A6577" t="s">
        <v>6702</v>
      </c>
      <c r="B6577" t="s">
        <v>127</v>
      </c>
      <c r="C6577">
        <v>376</v>
      </c>
      <c r="D6577">
        <f t="shared" si="224"/>
        <v>2023</v>
      </c>
      <c r="E6577">
        <f t="shared" si="225"/>
        <v>7</v>
      </c>
    </row>
    <row r="6578" spans="1:5" x14ac:dyDescent="0.3">
      <c r="A6578" t="s">
        <v>6703</v>
      </c>
      <c r="B6578" t="s">
        <v>127</v>
      </c>
      <c r="C6578">
        <v>379</v>
      </c>
      <c r="D6578">
        <f t="shared" si="224"/>
        <v>2023</v>
      </c>
      <c r="E6578">
        <f t="shared" si="225"/>
        <v>7</v>
      </c>
    </row>
    <row r="6579" spans="1:5" x14ac:dyDescent="0.3">
      <c r="A6579" t="s">
        <v>6704</v>
      </c>
      <c r="B6579" t="s">
        <v>127</v>
      </c>
      <c r="C6579">
        <v>375</v>
      </c>
      <c r="D6579">
        <f t="shared" si="224"/>
        <v>2023</v>
      </c>
      <c r="E6579">
        <f t="shared" si="225"/>
        <v>7</v>
      </c>
    </row>
    <row r="6580" spans="1:5" x14ac:dyDescent="0.3">
      <c r="A6580" t="s">
        <v>6705</v>
      </c>
      <c r="B6580" t="s">
        <v>127</v>
      </c>
      <c r="C6580">
        <v>373</v>
      </c>
      <c r="D6580">
        <f t="shared" si="224"/>
        <v>2023</v>
      </c>
      <c r="E6580">
        <f t="shared" si="225"/>
        <v>7</v>
      </c>
    </row>
    <row r="6581" spans="1:5" x14ac:dyDescent="0.3">
      <c r="A6581" t="s">
        <v>6706</v>
      </c>
      <c r="B6581" t="s">
        <v>127</v>
      </c>
      <c r="C6581">
        <v>381</v>
      </c>
      <c r="D6581">
        <f t="shared" si="224"/>
        <v>2023</v>
      </c>
      <c r="E6581">
        <f t="shared" si="225"/>
        <v>7</v>
      </c>
    </row>
    <row r="6582" spans="1:5" x14ac:dyDescent="0.3">
      <c r="A6582" t="s">
        <v>6707</v>
      </c>
      <c r="B6582" t="s">
        <v>127</v>
      </c>
      <c r="C6582">
        <v>378</v>
      </c>
      <c r="D6582">
        <f t="shared" si="224"/>
        <v>2023</v>
      </c>
      <c r="E6582">
        <f t="shared" si="225"/>
        <v>7</v>
      </c>
    </row>
    <row r="6583" spans="1:5" x14ac:dyDescent="0.3">
      <c r="A6583" t="s">
        <v>6708</v>
      </c>
      <c r="B6583" t="s">
        <v>127</v>
      </c>
      <c r="C6583">
        <v>360</v>
      </c>
      <c r="D6583">
        <f t="shared" si="224"/>
        <v>2023</v>
      </c>
      <c r="E6583">
        <f t="shared" si="225"/>
        <v>7</v>
      </c>
    </row>
    <row r="6584" spans="1:5" x14ac:dyDescent="0.3">
      <c r="A6584" t="s">
        <v>6709</v>
      </c>
      <c r="B6584" t="s">
        <v>127</v>
      </c>
      <c r="C6584">
        <v>355</v>
      </c>
      <c r="D6584">
        <f t="shared" si="224"/>
        <v>2023</v>
      </c>
      <c r="E6584">
        <f t="shared" si="225"/>
        <v>7</v>
      </c>
    </row>
    <row r="6585" spans="1:5" x14ac:dyDescent="0.3">
      <c r="A6585" t="s">
        <v>6710</v>
      </c>
      <c r="B6585" t="s">
        <v>127</v>
      </c>
      <c r="C6585">
        <v>354</v>
      </c>
      <c r="D6585">
        <f t="shared" si="224"/>
        <v>2023</v>
      </c>
      <c r="E6585">
        <f t="shared" si="225"/>
        <v>7</v>
      </c>
    </row>
    <row r="6586" spans="1:5" x14ac:dyDescent="0.3">
      <c r="A6586" t="s">
        <v>6711</v>
      </c>
      <c r="B6586" t="s">
        <v>127</v>
      </c>
      <c r="C6586">
        <v>363</v>
      </c>
      <c r="D6586">
        <f t="shared" si="224"/>
        <v>2023</v>
      </c>
      <c r="E6586">
        <f t="shared" si="225"/>
        <v>8</v>
      </c>
    </row>
    <row r="6587" spans="1:5" x14ac:dyDescent="0.3">
      <c r="A6587" t="s">
        <v>6712</v>
      </c>
      <c r="B6587" t="s">
        <v>127</v>
      </c>
      <c r="C6587">
        <v>367</v>
      </c>
      <c r="D6587">
        <f t="shared" si="224"/>
        <v>2023</v>
      </c>
      <c r="E6587">
        <f t="shared" si="225"/>
        <v>8</v>
      </c>
    </row>
    <row r="6588" spans="1:5" x14ac:dyDescent="0.3">
      <c r="A6588" t="s">
        <v>6713</v>
      </c>
      <c r="B6588" t="s">
        <v>127</v>
      </c>
      <c r="C6588">
        <v>364</v>
      </c>
      <c r="D6588">
        <f t="shared" si="224"/>
        <v>2023</v>
      </c>
      <c r="E6588">
        <f t="shared" si="225"/>
        <v>8</v>
      </c>
    </row>
    <row r="6589" spans="1:5" x14ac:dyDescent="0.3">
      <c r="A6589" t="s">
        <v>6714</v>
      </c>
      <c r="B6589" t="s">
        <v>127</v>
      </c>
      <c r="C6589">
        <v>367</v>
      </c>
      <c r="D6589">
        <f t="shared" si="224"/>
        <v>2023</v>
      </c>
      <c r="E6589">
        <f t="shared" si="225"/>
        <v>8</v>
      </c>
    </row>
    <row r="6590" spans="1:5" x14ac:dyDescent="0.3">
      <c r="A6590" t="s">
        <v>6715</v>
      </c>
      <c r="B6590" t="s">
        <v>127</v>
      </c>
      <c r="C6590">
        <v>367</v>
      </c>
      <c r="D6590">
        <f t="shared" si="224"/>
        <v>2023</v>
      </c>
      <c r="E6590">
        <f t="shared" si="225"/>
        <v>8</v>
      </c>
    </row>
    <row r="6591" spans="1:5" x14ac:dyDescent="0.3">
      <c r="A6591" t="s">
        <v>6716</v>
      </c>
      <c r="B6591" t="s">
        <v>127</v>
      </c>
      <c r="C6591">
        <v>369</v>
      </c>
      <c r="D6591">
        <f t="shared" si="224"/>
        <v>2023</v>
      </c>
      <c r="E6591">
        <f t="shared" si="225"/>
        <v>8</v>
      </c>
    </row>
    <row r="6592" spans="1:5" x14ac:dyDescent="0.3">
      <c r="A6592" t="s">
        <v>6717</v>
      </c>
      <c r="B6592" t="s">
        <v>127</v>
      </c>
      <c r="C6592">
        <v>370</v>
      </c>
      <c r="D6592">
        <f t="shared" si="224"/>
        <v>2023</v>
      </c>
      <c r="E6592">
        <f t="shared" si="225"/>
        <v>8</v>
      </c>
    </row>
    <row r="6593" spans="1:5" x14ac:dyDescent="0.3">
      <c r="A6593" t="s">
        <v>6718</v>
      </c>
      <c r="B6593" t="s">
        <v>127</v>
      </c>
      <c r="C6593">
        <v>364</v>
      </c>
      <c r="D6593">
        <f t="shared" si="224"/>
        <v>2023</v>
      </c>
      <c r="E6593">
        <f t="shared" si="225"/>
        <v>8</v>
      </c>
    </row>
    <row r="6594" spans="1:5" x14ac:dyDescent="0.3">
      <c r="A6594" t="s">
        <v>6719</v>
      </c>
      <c r="B6594" t="s">
        <v>127</v>
      </c>
      <c r="C6594">
        <v>365</v>
      </c>
      <c r="D6594">
        <f t="shared" si="224"/>
        <v>2023</v>
      </c>
      <c r="E6594">
        <f t="shared" si="225"/>
        <v>8</v>
      </c>
    </row>
    <row r="6595" spans="1:5" x14ac:dyDescent="0.3">
      <c r="A6595" t="s">
        <v>6720</v>
      </c>
      <c r="B6595" t="s">
        <v>127</v>
      </c>
      <c r="C6595">
        <v>367</v>
      </c>
      <c r="D6595">
        <f t="shared" ref="D6595:D6658" si="226">YEAR(A6595)</f>
        <v>2023</v>
      </c>
      <c r="E6595">
        <f t="shared" ref="E6595:E6658" si="227">MONTH(A6595)</f>
        <v>8</v>
      </c>
    </row>
    <row r="6596" spans="1:5" x14ac:dyDescent="0.3">
      <c r="A6596" t="s">
        <v>6721</v>
      </c>
      <c r="B6596" t="s">
        <v>127</v>
      </c>
      <c r="C6596">
        <v>369</v>
      </c>
      <c r="D6596">
        <f t="shared" si="226"/>
        <v>2023</v>
      </c>
      <c r="E6596">
        <f t="shared" si="227"/>
        <v>8</v>
      </c>
    </row>
    <row r="6597" spans="1:5" x14ac:dyDescent="0.3">
      <c r="A6597" t="s">
        <v>6722</v>
      </c>
      <c r="B6597" t="s">
        <v>127</v>
      </c>
      <c r="C6597">
        <v>373</v>
      </c>
      <c r="D6597">
        <f t="shared" si="226"/>
        <v>2023</v>
      </c>
      <c r="E6597">
        <f t="shared" si="227"/>
        <v>8</v>
      </c>
    </row>
    <row r="6598" spans="1:5" x14ac:dyDescent="0.3">
      <c r="A6598" t="s">
        <v>6723</v>
      </c>
      <c r="B6598" t="s">
        <v>127</v>
      </c>
      <c r="C6598">
        <v>381</v>
      </c>
      <c r="D6598">
        <f t="shared" si="226"/>
        <v>2023</v>
      </c>
      <c r="E6598">
        <f t="shared" si="227"/>
        <v>8</v>
      </c>
    </row>
    <row r="6599" spans="1:5" x14ac:dyDescent="0.3">
      <c r="A6599" t="s">
        <v>6724</v>
      </c>
      <c r="B6599" t="s">
        <v>127</v>
      </c>
      <c r="C6599">
        <v>383</v>
      </c>
      <c r="D6599">
        <f t="shared" si="226"/>
        <v>2023</v>
      </c>
      <c r="E6599">
        <f t="shared" si="227"/>
        <v>8</v>
      </c>
    </row>
    <row r="6600" spans="1:5" x14ac:dyDescent="0.3">
      <c r="A6600" t="s">
        <v>6725</v>
      </c>
      <c r="B6600" t="s">
        <v>127</v>
      </c>
      <c r="C6600">
        <v>382</v>
      </c>
      <c r="D6600">
        <f t="shared" si="226"/>
        <v>2023</v>
      </c>
      <c r="E6600">
        <f t="shared" si="227"/>
        <v>8</v>
      </c>
    </row>
    <row r="6601" spans="1:5" x14ac:dyDescent="0.3">
      <c r="A6601" t="s">
        <v>6726</v>
      </c>
      <c r="B6601" t="s">
        <v>127</v>
      </c>
      <c r="C6601">
        <v>377</v>
      </c>
      <c r="D6601">
        <f t="shared" si="226"/>
        <v>2023</v>
      </c>
      <c r="E6601">
        <f t="shared" si="227"/>
        <v>8</v>
      </c>
    </row>
    <row r="6602" spans="1:5" x14ac:dyDescent="0.3">
      <c r="A6602" t="s">
        <v>6727</v>
      </c>
      <c r="B6602" t="s">
        <v>127</v>
      </c>
      <c r="C6602">
        <v>176</v>
      </c>
      <c r="D6602">
        <f t="shared" si="226"/>
        <v>2023</v>
      </c>
      <c r="E6602">
        <f t="shared" si="227"/>
        <v>8</v>
      </c>
    </row>
    <row r="6603" spans="1:5" x14ac:dyDescent="0.3">
      <c r="A6603" t="s">
        <v>6728</v>
      </c>
      <c r="B6603" t="s">
        <v>127</v>
      </c>
      <c r="C6603">
        <v>175</v>
      </c>
      <c r="D6603">
        <f t="shared" si="226"/>
        <v>2023</v>
      </c>
      <c r="E6603">
        <f t="shared" si="227"/>
        <v>8</v>
      </c>
    </row>
    <row r="6604" spans="1:5" x14ac:dyDescent="0.3">
      <c r="A6604" t="s">
        <v>6729</v>
      </c>
      <c r="B6604" t="s">
        <v>127</v>
      </c>
      <c r="C6604">
        <v>173</v>
      </c>
      <c r="D6604">
        <f t="shared" si="226"/>
        <v>2023</v>
      </c>
      <c r="E6604">
        <f t="shared" si="227"/>
        <v>8</v>
      </c>
    </row>
    <row r="6605" spans="1:5" x14ac:dyDescent="0.3">
      <c r="A6605" t="s">
        <v>6730</v>
      </c>
      <c r="B6605" t="s">
        <v>127</v>
      </c>
      <c r="C6605">
        <v>172</v>
      </c>
      <c r="D6605">
        <f t="shared" si="226"/>
        <v>2023</v>
      </c>
      <c r="E6605">
        <f t="shared" si="227"/>
        <v>8</v>
      </c>
    </row>
    <row r="6606" spans="1:5" x14ac:dyDescent="0.3">
      <c r="A6606" t="s">
        <v>6731</v>
      </c>
      <c r="B6606" t="s">
        <v>127</v>
      </c>
      <c r="C6606">
        <v>169</v>
      </c>
      <c r="D6606">
        <f t="shared" si="226"/>
        <v>2023</v>
      </c>
      <c r="E6606">
        <f t="shared" si="227"/>
        <v>8</v>
      </c>
    </row>
    <row r="6607" spans="1:5" x14ac:dyDescent="0.3">
      <c r="A6607" t="s">
        <v>6732</v>
      </c>
      <c r="B6607" t="s">
        <v>127</v>
      </c>
      <c r="C6607">
        <v>362</v>
      </c>
      <c r="D6607">
        <f t="shared" si="226"/>
        <v>2023</v>
      </c>
      <c r="E6607">
        <f t="shared" si="227"/>
        <v>8</v>
      </c>
    </row>
    <row r="6608" spans="1:5" x14ac:dyDescent="0.3">
      <c r="A6608" t="s">
        <v>6733</v>
      </c>
      <c r="B6608" t="s">
        <v>127</v>
      </c>
      <c r="C6608">
        <v>365</v>
      </c>
      <c r="D6608">
        <f t="shared" si="226"/>
        <v>2023</v>
      </c>
      <c r="E6608">
        <f t="shared" si="227"/>
        <v>8</v>
      </c>
    </row>
    <row r="6609" spans="1:5" x14ac:dyDescent="0.3">
      <c r="A6609" t="s">
        <v>6734</v>
      </c>
      <c r="B6609" t="s">
        <v>127</v>
      </c>
      <c r="C6609">
        <v>363</v>
      </c>
      <c r="D6609">
        <f t="shared" si="226"/>
        <v>2023</v>
      </c>
      <c r="E6609">
        <f t="shared" si="227"/>
        <v>9</v>
      </c>
    </row>
    <row r="6610" spans="1:5" x14ac:dyDescent="0.3">
      <c r="A6610" t="s">
        <v>6735</v>
      </c>
      <c r="B6610" t="s">
        <v>127</v>
      </c>
      <c r="C6610">
        <v>363</v>
      </c>
      <c r="D6610">
        <f t="shared" si="226"/>
        <v>2023</v>
      </c>
      <c r="E6610">
        <f t="shared" si="227"/>
        <v>9</v>
      </c>
    </row>
    <row r="6611" spans="1:5" x14ac:dyDescent="0.3">
      <c r="A6611" t="s">
        <v>6736</v>
      </c>
      <c r="B6611" t="s">
        <v>127</v>
      </c>
      <c r="C6611">
        <v>361</v>
      </c>
      <c r="D6611">
        <f t="shared" si="226"/>
        <v>2023</v>
      </c>
      <c r="E6611">
        <f t="shared" si="227"/>
        <v>9</v>
      </c>
    </row>
    <row r="6612" spans="1:5" x14ac:dyDescent="0.3">
      <c r="A6612" t="s">
        <v>6737</v>
      </c>
      <c r="B6612" t="s">
        <v>127</v>
      </c>
      <c r="C6612">
        <v>367</v>
      </c>
      <c r="D6612">
        <f t="shared" si="226"/>
        <v>2023</v>
      </c>
      <c r="E6612">
        <f t="shared" si="227"/>
        <v>9</v>
      </c>
    </row>
    <row r="6613" spans="1:5" x14ac:dyDescent="0.3">
      <c r="A6613" t="s">
        <v>6738</v>
      </c>
      <c r="B6613" t="s">
        <v>127</v>
      </c>
      <c r="C6613">
        <v>364</v>
      </c>
      <c r="D6613">
        <f t="shared" si="226"/>
        <v>2023</v>
      </c>
      <c r="E6613">
        <f t="shared" si="227"/>
        <v>9</v>
      </c>
    </row>
    <row r="6614" spans="1:5" x14ac:dyDescent="0.3">
      <c r="A6614" t="s">
        <v>6739</v>
      </c>
      <c r="B6614" t="s">
        <v>127</v>
      </c>
      <c r="C6614">
        <v>359</v>
      </c>
      <c r="D6614">
        <f t="shared" si="226"/>
        <v>2023</v>
      </c>
      <c r="E6614">
        <f t="shared" si="227"/>
        <v>9</v>
      </c>
    </row>
    <row r="6615" spans="1:5" x14ac:dyDescent="0.3">
      <c r="A6615" t="s">
        <v>6740</v>
      </c>
      <c r="B6615" t="s">
        <v>127</v>
      </c>
      <c r="C6615">
        <v>361</v>
      </c>
      <c r="D6615">
        <f t="shared" si="226"/>
        <v>2023</v>
      </c>
      <c r="E6615">
        <f t="shared" si="227"/>
        <v>9</v>
      </c>
    </row>
    <row r="6616" spans="1:5" x14ac:dyDescent="0.3">
      <c r="A6616" t="s">
        <v>6741</v>
      </c>
      <c r="B6616" t="s">
        <v>127</v>
      </c>
      <c r="C6616">
        <v>366</v>
      </c>
      <c r="D6616">
        <f t="shared" si="226"/>
        <v>2023</v>
      </c>
      <c r="E6616">
        <f t="shared" si="227"/>
        <v>9</v>
      </c>
    </row>
    <row r="6617" spans="1:5" x14ac:dyDescent="0.3">
      <c r="A6617" t="s">
        <v>6742</v>
      </c>
      <c r="B6617" t="s">
        <v>127</v>
      </c>
      <c r="C6617">
        <v>363</v>
      </c>
      <c r="D6617">
        <f t="shared" si="226"/>
        <v>2023</v>
      </c>
      <c r="E6617">
        <f t="shared" si="227"/>
        <v>9</v>
      </c>
    </row>
    <row r="6618" spans="1:5" x14ac:dyDescent="0.3">
      <c r="A6618" t="s">
        <v>6743</v>
      </c>
      <c r="B6618" t="s">
        <v>127</v>
      </c>
      <c r="C6618">
        <v>360</v>
      </c>
      <c r="D6618">
        <f t="shared" si="226"/>
        <v>2023</v>
      </c>
      <c r="E6618">
        <f t="shared" si="227"/>
        <v>9</v>
      </c>
    </row>
    <row r="6619" spans="1:5" x14ac:dyDescent="0.3">
      <c r="A6619" t="s">
        <v>6744</v>
      </c>
      <c r="B6619" t="s">
        <v>127</v>
      </c>
      <c r="C6619">
        <v>361</v>
      </c>
      <c r="D6619">
        <f t="shared" si="226"/>
        <v>2023</v>
      </c>
      <c r="E6619">
        <f t="shared" si="227"/>
        <v>9</v>
      </c>
    </row>
    <row r="6620" spans="1:5" x14ac:dyDescent="0.3">
      <c r="A6620" t="s">
        <v>6745</v>
      </c>
      <c r="B6620" t="s">
        <v>127</v>
      </c>
      <c r="C6620">
        <v>369</v>
      </c>
      <c r="D6620">
        <f t="shared" si="226"/>
        <v>2023</v>
      </c>
      <c r="E6620">
        <f t="shared" si="227"/>
        <v>9</v>
      </c>
    </row>
    <row r="6621" spans="1:5" x14ac:dyDescent="0.3">
      <c r="A6621" t="s">
        <v>6746</v>
      </c>
      <c r="B6621" t="s">
        <v>127</v>
      </c>
      <c r="C6621">
        <v>367</v>
      </c>
      <c r="D6621">
        <f t="shared" si="226"/>
        <v>2023</v>
      </c>
      <c r="E6621">
        <f t="shared" si="227"/>
        <v>9</v>
      </c>
    </row>
    <row r="6622" spans="1:5" x14ac:dyDescent="0.3">
      <c r="A6622" t="s">
        <v>6747</v>
      </c>
      <c r="B6622" t="s">
        <v>127</v>
      </c>
      <c r="C6622">
        <v>363</v>
      </c>
      <c r="D6622">
        <f t="shared" si="226"/>
        <v>2023</v>
      </c>
      <c r="E6622">
        <f t="shared" si="227"/>
        <v>9</v>
      </c>
    </row>
    <row r="6623" spans="1:5" x14ac:dyDescent="0.3">
      <c r="A6623" t="s">
        <v>6748</v>
      </c>
      <c r="B6623" t="s">
        <v>127</v>
      </c>
      <c r="C6623">
        <v>369</v>
      </c>
      <c r="D6623">
        <f t="shared" si="226"/>
        <v>2023</v>
      </c>
      <c r="E6623">
        <f t="shared" si="227"/>
        <v>9</v>
      </c>
    </row>
    <row r="6624" spans="1:5" x14ac:dyDescent="0.3">
      <c r="A6624" t="s">
        <v>6749</v>
      </c>
      <c r="B6624" t="s">
        <v>127</v>
      </c>
      <c r="C6624">
        <v>370</v>
      </c>
      <c r="D6624">
        <f t="shared" si="226"/>
        <v>2023</v>
      </c>
      <c r="E6624">
        <f t="shared" si="227"/>
        <v>9</v>
      </c>
    </row>
    <row r="6625" spans="1:5" x14ac:dyDescent="0.3">
      <c r="A6625" t="s">
        <v>6750</v>
      </c>
      <c r="B6625" t="s">
        <v>127</v>
      </c>
      <c r="C6625">
        <v>370</v>
      </c>
      <c r="D6625">
        <f t="shared" si="226"/>
        <v>2023</v>
      </c>
      <c r="E6625">
        <f t="shared" si="227"/>
        <v>9</v>
      </c>
    </row>
    <row r="6626" spans="1:5" x14ac:dyDescent="0.3">
      <c r="A6626" t="s">
        <v>6751</v>
      </c>
      <c r="B6626" t="s">
        <v>127</v>
      </c>
      <c r="C6626">
        <v>376</v>
      </c>
      <c r="D6626">
        <f t="shared" si="226"/>
        <v>2023</v>
      </c>
      <c r="E6626">
        <f t="shared" si="227"/>
        <v>9</v>
      </c>
    </row>
    <row r="6627" spans="1:5" x14ac:dyDescent="0.3">
      <c r="A6627" t="s">
        <v>6752</v>
      </c>
      <c r="B6627" t="s">
        <v>127</v>
      </c>
      <c r="C6627">
        <v>395</v>
      </c>
      <c r="D6627">
        <f t="shared" si="226"/>
        <v>2023</v>
      </c>
      <c r="E6627">
        <f t="shared" si="227"/>
        <v>9</v>
      </c>
    </row>
    <row r="6628" spans="1:5" x14ac:dyDescent="0.3">
      <c r="A6628" t="s">
        <v>6753</v>
      </c>
      <c r="B6628" t="s">
        <v>127</v>
      </c>
      <c r="C6628">
        <v>381</v>
      </c>
      <c r="D6628">
        <f t="shared" si="226"/>
        <v>2023</v>
      </c>
      <c r="E6628">
        <f t="shared" si="227"/>
        <v>9</v>
      </c>
    </row>
    <row r="6629" spans="1:5" x14ac:dyDescent="0.3">
      <c r="A6629" t="s">
        <v>6754</v>
      </c>
      <c r="B6629" t="s">
        <v>127</v>
      </c>
      <c r="C6629">
        <v>378</v>
      </c>
      <c r="D6629">
        <f t="shared" si="226"/>
        <v>2023</v>
      </c>
      <c r="E6629">
        <f t="shared" si="227"/>
        <v>9</v>
      </c>
    </row>
    <row r="6630" spans="1:5" x14ac:dyDescent="0.3">
      <c r="A6630" t="s">
        <v>6755</v>
      </c>
      <c r="B6630" t="s">
        <v>127</v>
      </c>
      <c r="C6630">
        <v>379</v>
      </c>
      <c r="D6630">
        <f t="shared" si="226"/>
        <v>2023</v>
      </c>
      <c r="E6630">
        <f t="shared" si="227"/>
        <v>10</v>
      </c>
    </row>
    <row r="6631" spans="1:5" x14ac:dyDescent="0.3">
      <c r="A6631" t="s">
        <v>6756</v>
      </c>
      <c r="B6631" t="s">
        <v>127</v>
      </c>
      <c r="C6631">
        <v>385</v>
      </c>
      <c r="D6631">
        <f t="shared" si="226"/>
        <v>2023</v>
      </c>
      <c r="E6631">
        <f t="shared" si="227"/>
        <v>10</v>
      </c>
    </row>
    <row r="6632" spans="1:5" x14ac:dyDescent="0.3">
      <c r="A6632" t="s">
        <v>6757</v>
      </c>
      <c r="B6632" t="s">
        <v>127</v>
      </c>
      <c r="C6632">
        <v>388</v>
      </c>
      <c r="D6632">
        <f t="shared" si="226"/>
        <v>2023</v>
      </c>
      <c r="E6632">
        <f t="shared" si="227"/>
        <v>10</v>
      </c>
    </row>
    <row r="6633" spans="1:5" x14ac:dyDescent="0.3">
      <c r="A6633" t="s">
        <v>6758</v>
      </c>
      <c r="B6633" t="s">
        <v>127</v>
      </c>
      <c r="C6633">
        <v>389</v>
      </c>
      <c r="D6633">
        <f t="shared" si="226"/>
        <v>2023</v>
      </c>
      <c r="E6633">
        <f t="shared" si="227"/>
        <v>10</v>
      </c>
    </row>
    <row r="6634" spans="1:5" x14ac:dyDescent="0.3">
      <c r="A6634" t="s">
        <v>6759</v>
      </c>
      <c r="B6634" t="s">
        <v>127</v>
      </c>
      <c r="C6634">
        <v>385</v>
      </c>
      <c r="D6634">
        <f t="shared" si="226"/>
        <v>2023</v>
      </c>
      <c r="E6634">
        <f t="shared" si="227"/>
        <v>10</v>
      </c>
    </row>
    <row r="6635" spans="1:5" x14ac:dyDescent="0.3">
      <c r="A6635" t="s">
        <v>6760</v>
      </c>
      <c r="B6635" t="s">
        <v>127</v>
      </c>
      <c r="C6635">
        <v>385</v>
      </c>
      <c r="D6635">
        <f t="shared" si="226"/>
        <v>2023</v>
      </c>
      <c r="E6635">
        <f t="shared" si="227"/>
        <v>10</v>
      </c>
    </row>
    <row r="6636" spans="1:5" x14ac:dyDescent="0.3">
      <c r="A6636" t="s">
        <v>6761</v>
      </c>
      <c r="B6636" t="s">
        <v>127</v>
      </c>
      <c r="C6636">
        <v>381</v>
      </c>
      <c r="D6636">
        <f t="shared" si="226"/>
        <v>2023</v>
      </c>
      <c r="E6636">
        <f t="shared" si="227"/>
        <v>10</v>
      </c>
    </row>
    <row r="6637" spans="1:5" x14ac:dyDescent="0.3">
      <c r="A6637" t="s">
        <v>6762</v>
      </c>
      <c r="B6637" t="s">
        <v>127</v>
      </c>
      <c r="C6637">
        <v>379</v>
      </c>
      <c r="D6637">
        <f t="shared" si="226"/>
        <v>2023</v>
      </c>
      <c r="E6637">
        <f t="shared" si="227"/>
        <v>10</v>
      </c>
    </row>
    <row r="6638" spans="1:5" x14ac:dyDescent="0.3">
      <c r="A6638" t="s">
        <v>6763</v>
      </c>
      <c r="B6638" t="s">
        <v>127</v>
      </c>
      <c r="C6638">
        <v>377</v>
      </c>
      <c r="D6638">
        <f t="shared" si="226"/>
        <v>2023</v>
      </c>
      <c r="E6638">
        <f t="shared" si="227"/>
        <v>10</v>
      </c>
    </row>
    <row r="6639" spans="1:5" x14ac:dyDescent="0.3">
      <c r="A6639" t="s">
        <v>6764</v>
      </c>
      <c r="B6639" t="s">
        <v>127</v>
      </c>
      <c r="C6639">
        <v>380</v>
      </c>
      <c r="D6639">
        <f t="shared" si="226"/>
        <v>2023</v>
      </c>
      <c r="E6639">
        <f t="shared" si="227"/>
        <v>10</v>
      </c>
    </row>
    <row r="6640" spans="1:5" x14ac:dyDescent="0.3">
      <c r="A6640" t="s">
        <v>6765</v>
      </c>
      <c r="B6640" t="s">
        <v>127</v>
      </c>
      <c r="C6640">
        <v>377</v>
      </c>
      <c r="D6640">
        <f t="shared" si="226"/>
        <v>2023</v>
      </c>
      <c r="E6640">
        <f t="shared" si="227"/>
        <v>10</v>
      </c>
    </row>
    <row r="6641" spans="1:5" x14ac:dyDescent="0.3">
      <c r="A6641" t="s">
        <v>6766</v>
      </c>
      <c r="B6641" t="s">
        <v>127</v>
      </c>
      <c r="C6641">
        <v>372</v>
      </c>
      <c r="D6641">
        <f t="shared" si="226"/>
        <v>2023</v>
      </c>
      <c r="E6641">
        <f t="shared" si="227"/>
        <v>10</v>
      </c>
    </row>
    <row r="6642" spans="1:5" x14ac:dyDescent="0.3">
      <c r="A6642" t="s">
        <v>6767</v>
      </c>
      <c r="B6642" t="s">
        <v>127</v>
      </c>
      <c r="C6642">
        <v>371</v>
      </c>
      <c r="D6642">
        <f t="shared" si="226"/>
        <v>2023</v>
      </c>
      <c r="E6642">
        <f t="shared" si="227"/>
        <v>10</v>
      </c>
    </row>
    <row r="6643" spans="1:5" x14ac:dyDescent="0.3">
      <c r="A6643" t="s">
        <v>6768</v>
      </c>
      <c r="B6643" t="s">
        <v>127</v>
      </c>
      <c r="C6643">
        <v>369</v>
      </c>
      <c r="D6643">
        <f t="shared" si="226"/>
        <v>2023</v>
      </c>
      <c r="E6643">
        <f t="shared" si="227"/>
        <v>10</v>
      </c>
    </row>
    <row r="6644" spans="1:5" x14ac:dyDescent="0.3">
      <c r="A6644" t="s">
        <v>6769</v>
      </c>
      <c r="B6644" t="s">
        <v>127</v>
      </c>
      <c r="C6644">
        <v>375</v>
      </c>
      <c r="D6644">
        <f t="shared" si="226"/>
        <v>2023</v>
      </c>
      <c r="E6644">
        <f t="shared" si="227"/>
        <v>10</v>
      </c>
    </row>
    <row r="6645" spans="1:5" x14ac:dyDescent="0.3">
      <c r="A6645" t="s">
        <v>6770</v>
      </c>
      <c r="B6645" t="s">
        <v>127</v>
      </c>
      <c r="C6645">
        <v>378</v>
      </c>
      <c r="D6645">
        <f t="shared" si="226"/>
        <v>2023</v>
      </c>
      <c r="E6645">
        <f t="shared" si="227"/>
        <v>10</v>
      </c>
    </row>
    <row r="6646" spans="1:5" x14ac:dyDescent="0.3">
      <c r="A6646" t="s">
        <v>6771</v>
      </c>
      <c r="B6646" t="s">
        <v>127</v>
      </c>
      <c r="C6646">
        <v>376</v>
      </c>
      <c r="D6646">
        <f t="shared" si="226"/>
        <v>2023</v>
      </c>
      <c r="E6646">
        <f t="shared" si="227"/>
        <v>10</v>
      </c>
    </row>
    <row r="6647" spans="1:5" x14ac:dyDescent="0.3">
      <c r="A6647" t="s">
        <v>6772</v>
      </c>
      <c r="B6647" t="s">
        <v>127</v>
      </c>
      <c r="C6647">
        <v>371</v>
      </c>
      <c r="D6647">
        <f t="shared" si="226"/>
        <v>2023</v>
      </c>
      <c r="E6647">
        <f t="shared" si="227"/>
        <v>10</v>
      </c>
    </row>
    <row r="6648" spans="1:5" x14ac:dyDescent="0.3">
      <c r="A6648" t="s">
        <v>6773</v>
      </c>
      <c r="B6648" t="s">
        <v>127</v>
      </c>
      <c r="C6648">
        <v>381</v>
      </c>
      <c r="D6648">
        <f t="shared" si="226"/>
        <v>2023</v>
      </c>
      <c r="E6648">
        <f t="shared" si="227"/>
        <v>10</v>
      </c>
    </row>
    <row r="6649" spans="1:5" x14ac:dyDescent="0.3">
      <c r="A6649" t="s">
        <v>6774</v>
      </c>
      <c r="B6649" t="s">
        <v>127</v>
      </c>
      <c r="C6649">
        <v>382</v>
      </c>
      <c r="D6649">
        <f t="shared" si="226"/>
        <v>2023</v>
      </c>
      <c r="E6649">
        <f t="shared" si="227"/>
        <v>10</v>
      </c>
    </row>
    <row r="6650" spans="1:5" x14ac:dyDescent="0.3">
      <c r="A6650" t="s">
        <v>6775</v>
      </c>
      <c r="B6650" t="s">
        <v>127</v>
      </c>
      <c r="C6650">
        <v>381</v>
      </c>
      <c r="D6650">
        <f t="shared" si="226"/>
        <v>2023</v>
      </c>
      <c r="E6650">
        <f t="shared" si="227"/>
        <v>10</v>
      </c>
    </row>
    <row r="6651" spans="1:5" x14ac:dyDescent="0.3">
      <c r="A6651" t="s">
        <v>6776</v>
      </c>
      <c r="B6651" t="s">
        <v>127</v>
      </c>
      <c r="C6651">
        <v>379</v>
      </c>
      <c r="D6651">
        <f t="shared" si="226"/>
        <v>2023</v>
      </c>
      <c r="E6651">
        <f t="shared" si="227"/>
        <v>10</v>
      </c>
    </row>
    <row r="6652" spans="1:5" x14ac:dyDescent="0.3">
      <c r="A6652" t="s">
        <v>6777</v>
      </c>
      <c r="B6652" t="s">
        <v>127</v>
      </c>
      <c r="C6652">
        <v>385</v>
      </c>
      <c r="D6652">
        <f t="shared" si="226"/>
        <v>2023</v>
      </c>
      <c r="E6652">
        <f t="shared" si="227"/>
        <v>11</v>
      </c>
    </row>
    <row r="6653" spans="1:5" x14ac:dyDescent="0.3">
      <c r="A6653" t="s">
        <v>6778</v>
      </c>
      <c r="B6653" t="s">
        <v>127</v>
      </c>
      <c r="C6653">
        <v>367</v>
      </c>
      <c r="D6653">
        <f t="shared" si="226"/>
        <v>2023</v>
      </c>
      <c r="E6653">
        <f t="shared" si="227"/>
        <v>11</v>
      </c>
    </row>
    <row r="6654" spans="1:5" x14ac:dyDescent="0.3">
      <c r="A6654" t="s">
        <v>6779</v>
      </c>
      <c r="B6654" t="s">
        <v>127</v>
      </c>
      <c r="C6654">
        <v>361</v>
      </c>
      <c r="D6654">
        <f t="shared" si="226"/>
        <v>2023</v>
      </c>
      <c r="E6654">
        <f t="shared" si="227"/>
        <v>11</v>
      </c>
    </row>
    <row r="6655" spans="1:5" x14ac:dyDescent="0.3">
      <c r="A6655" t="s">
        <v>6780</v>
      </c>
      <c r="B6655" t="s">
        <v>127</v>
      </c>
      <c r="C6655">
        <v>366</v>
      </c>
      <c r="D6655">
        <f t="shared" si="226"/>
        <v>2023</v>
      </c>
      <c r="E6655">
        <f t="shared" si="227"/>
        <v>11</v>
      </c>
    </row>
    <row r="6656" spans="1:5" x14ac:dyDescent="0.3">
      <c r="A6656" t="s">
        <v>6781</v>
      </c>
      <c r="B6656" t="s">
        <v>127</v>
      </c>
      <c r="C6656">
        <v>372</v>
      </c>
      <c r="D6656">
        <f t="shared" si="226"/>
        <v>2023</v>
      </c>
      <c r="E6656">
        <f t="shared" si="227"/>
        <v>11</v>
      </c>
    </row>
    <row r="6657" spans="1:5" x14ac:dyDescent="0.3">
      <c r="A6657" t="s">
        <v>6782</v>
      </c>
      <c r="B6657" t="s">
        <v>127</v>
      </c>
      <c r="C6657">
        <v>373</v>
      </c>
      <c r="D6657">
        <f t="shared" si="226"/>
        <v>2023</v>
      </c>
      <c r="E6657">
        <f t="shared" si="227"/>
        <v>11</v>
      </c>
    </row>
    <row r="6658" spans="1:5" x14ac:dyDescent="0.3">
      <c r="A6658" t="s">
        <v>6783</v>
      </c>
      <c r="B6658" t="s">
        <v>127</v>
      </c>
      <c r="C6658">
        <v>371</v>
      </c>
      <c r="D6658">
        <f t="shared" si="226"/>
        <v>2023</v>
      </c>
      <c r="E6658">
        <f t="shared" si="227"/>
        <v>11</v>
      </c>
    </row>
    <row r="6659" spans="1:5" x14ac:dyDescent="0.3">
      <c r="A6659" t="s">
        <v>6784</v>
      </c>
      <c r="B6659" t="s">
        <v>127</v>
      </c>
      <c r="C6659">
        <v>373</v>
      </c>
      <c r="D6659">
        <f t="shared" ref="D6659:D6722" si="228">YEAR(A6659)</f>
        <v>2023</v>
      </c>
      <c r="E6659">
        <f t="shared" ref="E6659:E6722" si="229">MONTH(A6659)</f>
        <v>11</v>
      </c>
    </row>
    <row r="6660" spans="1:5" x14ac:dyDescent="0.3">
      <c r="A6660" t="s">
        <v>6785</v>
      </c>
      <c r="B6660" t="s">
        <v>127</v>
      </c>
      <c r="C6660">
        <v>378</v>
      </c>
      <c r="D6660">
        <f t="shared" si="228"/>
        <v>2023</v>
      </c>
      <c r="E6660">
        <f t="shared" si="229"/>
        <v>11</v>
      </c>
    </row>
    <row r="6661" spans="1:5" x14ac:dyDescent="0.3">
      <c r="A6661" t="s">
        <v>6786</v>
      </c>
      <c r="B6661" t="s">
        <v>127</v>
      </c>
      <c r="C6661">
        <v>376</v>
      </c>
      <c r="D6661">
        <f t="shared" si="228"/>
        <v>2023</v>
      </c>
      <c r="E6661">
        <f t="shared" si="229"/>
        <v>11</v>
      </c>
    </row>
    <row r="6662" spans="1:5" x14ac:dyDescent="0.3">
      <c r="A6662" t="s">
        <v>6787</v>
      </c>
      <c r="B6662" t="s">
        <v>127</v>
      </c>
      <c r="C6662">
        <v>374</v>
      </c>
      <c r="D6662">
        <f t="shared" si="228"/>
        <v>2023</v>
      </c>
      <c r="E6662">
        <f t="shared" si="229"/>
        <v>11</v>
      </c>
    </row>
    <row r="6663" spans="1:5" x14ac:dyDescent="0.3">
      <c r="A6663" t="s">
        <v>6788</v>
      </c>
      <c r="B6663" t="s">
        <v>127</v>
      </c>
      <c r="C6663">
        <v>377</v>
      </c>
      <c r="D6663">
        <f t="shared" si="228"/>
        <v>2023</v>
      </c>
      <c r="E6663">
        <f t="shared" si="229"/>
        <v>11</v>
      </c>
    </row>
    <row r="6664" spans="1:5" x14ac:dyDescent="0.3">
      <c r="A6664" t="s">
        <v>6789</v>
      </c>
      <c r="B6664" t="s">
        <v>127</v>
      </c>
      <c r="C6664">
        <v>374</v>
      </c>
      <c r="D6664">
        <f t="shared" si="228"/>
        <v>2023</v>
      </c>
      <c r="E6664">
        <f t="shared" si="229"/>
        <v>11</v>
      </c>
    </row>
    <row r="6665" spans="1:5" x14ac:dyDescent="0.3">
      <c r="A6665" t="s">
        <v>6790</v>
      </c>
      <c r="B6665" t="s">
        <v>127</v>
      </c>
      <c r="C6665">
        <v>369</v>
      </c>
      <c r="D6665">
        <f t="shared" si="228"/>
        <v>2023</v>
      </c>
      <c r="E6665">
        <f t="shared" si="229"/>
        <v>11</v>
      </c>
    </row>
    <row r="6666" spans="1:5" x14ac:dyDescent="0.3">
      <c r="A6666" t="s">
        <v>6791</v>
      </c>
      <c r="B6666" t="s">
        <v>127</v>
      </c>
      <c r="C6666">
        <v>364</v>
      </c>
      <c r="D6666">
        <f t="shared" si="228"/>
        <v>2023</v>
      </c>
      <c r="E6666">
        <f t="shared" si="229"/>
        <v>11</v>
      </c>
    </row>
    <row r="6667" spans="1:5" x14ac:dyDescent="0.3">
      <c r="A6667" t="s">
        <v>6792</v>
      </c>
      <c r="B6667" t="s">
        <v>127</v>
      </c>
      <c r="C6667">
        <v>362</v>
      </c>
      <c r="D6667">
        <f t="shared" si="228"/>
        <v>2023</v>
      </c>
      <c r="E6667">
        <f t="shared" si="229"/>
        <v>11</v>
      </c>
    </row>
    <row r="6668" spans="1:5" x14ac:dyDescent="0.3">
      <c r="A6668" t="s">
        <v>6793</v>
      </c>
      <c r="B6668" t="s">
        <v>127</v>
      </c>
      <c r="C6668">
        <v>362</v>
      </c>
      <c r="D6668">
        <f t="shared" si="228"/>
        <v>2023</v>
      </c>
      <c r="E6668">
        <f t="shared" si="229"/>
        <v>11</v>
      </c>
    </row>
    <row r="6669" spans="1:5" x14ac:dyDescent="0.3">
      <c r="A6669" t="s">
        <v>6794</v>
      </c>
      <c r="B6669" t="s">
        <v>127</v>
      </c>
      <c r="C6669">
        <v>360</v>
      </c>
      <c r="D6669">
        <f t="shared" si="228"/>
        <v>2023</v>
      </c>
      <c r="E6669">
        <f t="shared" si="229"/>
        <v>11</v>
      </c>
    </row>
    <row r="6670" spans="1:5" x14ac:dyDescent="0.3">
      <c r="A6670" t="s">
        <v>6795</v>
      </c>
      <c r="B6670" t="s">
        <v>127</v>
      </c>
      <c r="C6670">
        <v>367</v>
      </c>
      <c r="D6670">
        <f t="shared" si="228"/>
        <v>2023</v>
      </c>
      <c r="E6670">
        <f t="shared" si="229"/>
        <v>11</v>
      </c>
    </row>
    <row r="6671" spans="1:5" x14ac:dyDescent="0.3">
      <c r="A6671" t="s">
        <v>6796</v>
      </c>
      <c r="B6671" t="s">
        <v>127</v>
      </c>
      <c r="C6671">
        <v>367</v>
      </c>
      <c r="D6671">
        <f t="shared" si="228"/>
        <v>2023</v>
      </c>
      <c r="E6671">
        <f t="shared" si="229"/>
        <v>11</v>
      </c>
    </row>
    <row r="6672" spans="1:5" x14ac:dyDescent="0.3">
      <c r="A6672" t="s">
        <v>6797</v>
      </c>
      <c r="B6672" t="s">
        <v>127</v>
      </c>
      <c r="C6672">
        <v>358</v>
      </c>
      <c r="D6672">
        <f t="shared" si="228"/>
        <v>2023</v>
      </c>
      <c r="E6672">
        <f t="shared" si="229"/>
        <v>11</v>
      </c>
    </row>
    <row r="6673" spans="1:5" x14ac:dyDescent="0.3">
      <c r="A6673" t="s">
        <v>6798</v>
      </c>
      <c r="B6673" t="s">
        <v>127</v>
      </c>
      <c r="C6673">
        <v>358</v>
      </c>
      <c r="D6673">
        <f t="shared" si="228"/>
        <v>2023</v>
      </c>
      <c r="E6673">
        <f t="shared" si="229"/>
        <v>11</v>
      </c>
    </row>
    <row r="6674" spans="1:5" x14ac:dyDescent="0.3">
      <c r="A6674" t="s">
        <v>6799</v>
      </c>
      <c r="B6674" t="s">
        <v>127</v>
      </c>
      <c r="C6674">
        <v>358</v>
      </c>
      <c r="D6674">
        <f t="shared" si="228"/>
        <v>2023</v>
      </c>
      <c r="E6674">
        <f t="shared" si="229"/>
        <v>12</v>
      </c>
    </row>
    <row r="6675" spans="1:5" x14ac:dyDescent="0.3">
      <c r="A6675" t="s">
        <v>6800</v>
      </c>
      <c r="B6675" t="s">
        <v>127</v>
      </c>
      <c r="C6675">
        <v>355</v>
      </c>
      <c r="D6675">
        <f t="shared" si="228"/>
        <v>2023</v>
      </c>
      <c r="E6675">
        <f t="shared" si="229"/>
        <v>12</v>
      </c>
    </row>
    <row r="6676" spans="1:5" x14ac:dyDescent="0.3">
      <c r="A6676" t="s">
        <v>6801</v>
      </c>
      <c r="B6676" t="s">
        <v>127</v>
      </c>
      <c r="C6676">
        <v>357</v>
      </c>
      <c r="D6676">
        <f t="shared" si="228"/>
        <v>2023</v>
      </c>
      <c r="E6676">
        <f t="shared" si="229"/>
        <v>12</v>
      </c>
    </row>
    <row r="6677" spans="1:5" x14ac:dyDescent="0.3">
      <c r="A6677" t="s">
        <v>6802</v>
      </c>
      <c r="B6677" t="s">
        <v>127</v>
      </c>
      <c r="C6677">
        <v>359</v>
      </c>
      <c r="D6677">
        <f t="shared" si="228"/>
        <v>2023</v>
      </c>
      <c r="E6677">
        <f t="shared" si="229"/>
        <v>12</v>
      </c>
    </row>
    <row r="6678" spans="1:5" x14ac:dyDescent="0.3">
      <c r="A6678" t="s">
        <v>6803</v>
      </c>
      <c r="B6678" t="s">
        <v>127</v>
      </c>
      <c r="C6678">
        <v>361</v>
      </c>
      <c r="D6678">
        <f t="shared" si="228"/>
        <v>2023</v>
      </c>
      <c r="E6678">
        <f t="shared" si="229"/>
        <v>12</v>
      </c>
    </row>
    <row r="6679" spans="1:5" x14ac:dyDescent="0.3">
      <c r="A6679" t="s">
        <v>6804</v>
      </c>
      <c r="B6679" t="s">
        <v>127</v>
      </c>
      <c r="C6679">
        <v>363</v>
      </c>
      <c r="D6679">
        <f t="shared" si="228"/>
        <v>2023</v>
      </c>
      <c r="E6679">
        <f t="shared" si="229"/>
        <v>12</v>
      </c>
    </row>
    <row r="6680" spans="1:5" x14ac:dyDescent="0.3">
      <c r="A6680" t="s">
        <v>6805</v>
      </c>
      <c r="B6680" t="s">
        <v>127</v>
      </c>
      <c r="C6680">
        <v>366</v>
      </c>
      <c r="D6680">
        <f t="shared" si="228"/>
        <v>2023</v>
      </c>
      <c r="E6680">
        <f t="shared" si="229"/>
        <v>12</v>
      </c>
    </row>
    <row r="6681" spans="1:5" x14ac:dyDescent="0.3">
      <c r="A6681" t="s">
        <v>6806</v>
      </c>
      <c r="B6681" t="s">
        <v>127</v>
      </c>
      <c r="C6681">
        <v>368</v>
      </c>
      <c r="D6681">
        <f t="shared" si="228"/>
        <v>2023</v>
      </c>
      <c r="E6681">
        <f t="shared" si="229"/>
        <v>12</v>
      </c>
    </row>
    <row r="6682" spans="1:5" x14ac:dyDescent="0.3">
      <c r="A6682" t="s">
        <v>6807</v>
      </c>
      <c r="B6682" t="s">
        <v>127</v>
      </c>
      <c r="C6682">
        <v>365</v>
      </c>
      <c r="D6682">
        <f t="shared" si="228"/>
        <v>2023</v>
      </c>
      <c r="E6682">
        <f t="shared" si="229"/>
        <v>12</v>
      </c>
    </row>
    <row r="6683" spans="1:5" x14ac:dyDescent="0.3">
      <c r="A6683" t="s">
        <v>6808</v>
      </c>
      <c r="B6683" t="s">
        <v>127</v>
      </c>
      <c r="C6683">
        <v>348</v>
      </c>
      <c r="D6683">
        <f t="shared" si="228"/>
        <v>2023</v>
      </c>
      <c r="E6683">
        <f t="shared" si="229"/>
        <v>12</v>
      </c>
    </row>
    <row r="6684" spans="1:5" x14ac:dyDescent="0.3">
      <c r="A6684" t="s">
        <v>6809</v>
      </c>
      <c r="B6684" t="s">
        <v>127</v>
      </c>
      <c r="C6684">
        <v>348</v>
      </c>
      <c r="D6684">
        <f t="shared" si="228"/>
        <v>2023</v>
      </c>
      <c r="E6684">
        <f t="shared" si="229"/>
        <v>12</v>
      </c>
    </row>
    <row r="6685" spans="1:5" x14ac:dyDescent="0.3">
      <c r="A6685" t="s">
        <v>6810</v>
      </c>
      <c r="B6685" t="s">
        <v>127</v>
      </c>
      <c r="C6685">
        <v>348</v>
      </c>
      <c r="D6685">
        <f t="shared" si="228"/>
        <v>2023</v>
      </c>
      <c r="E6685">
        <f t="shared" si="229"/>
        <v>12</v>
      </c>
    </row>
    <row r="6686" spans="1:5" x14ac:dyDescent="0.3">
      <c r="A6686" t="s">
        <v>6811</v>
      </c>
      <c r="B6686" t="s">
        <v>127</v>
      </c>
      <c r="C6686">
        <v>346</v>
      </c>
      <c r="D6686">
        <f t="shared" si="228"/>
        <v>2023</v>
      </c>
      <c r="E6686">
        <f t="shared" si="229"/>
        <v>12</v>
      </c>
    </row>
    <row r="6687" spans="1:5" x14ac:dyDescent="0.3">
      <c r="A6687" t="s">
        <v>6812</v>
      </c>
      <c r="B6687" t="s">
        <v>127</v>
      </c>
      <c r="C6687">
        <v>348</v>
      </c>
      <c r="D6687">
        <f t="shared" si="228"/>
        <v>2023</v>
      </c>
      <c r="E6687">
        <f t="shared" si="229"/>
        <v>12</v>
      </c>
    </row>
    <row r="6688" spans="1:5" x14ac:dyDescent="0.3">
      <c r="A6688" t="s">
        <v>6813</v>
      </c>
      <c r="B6688" t="s">
        <v>127</v>
      </c>
      <c r="C6688">
        <v>342</v>
      </c>
      <c r="D6688">
        <f t="shared" si="228"/>
        <v>2023</v>
      </c>
      <c r="E6688">
        <f t="shared" si="229"/>
        <v>12</v>
      </c>
    </row>
    <row r="6689" spans="1:5" x14ac:dyDescent="0.3">
      <c r="A6689" t="s">
        <v>6814</v>
      </c>
      <c r="B6689" t="s">
        <v>127</v>
      </c>
      <c r="C6689">
        <v>341</v>
      </c>
      <c r="D6689">
        <f t="shared" si="228"/>
        <v>2023</v>
      </c>
      <c r="E6689">
        <f t="shared" si="229"/>
        <v>12</v>
      </c>
    </row>
    <row r="6690" spans="1:5" x14ac:dyDescent="0.3">
      <c r="A6690" t="s">
        <v>6815</v>
      </c>
      <c r="B6690" t="s">
        <v>127</v>
      </c>
      <c r="C6690">
        <v>341</v>
      </c>
      <c r="D6690">
        <f t="shared" si="228"/>
        <v>2023</v>
      </c>
      <c r="E6690">
        <f t="shared" si="229"/>
        <v>12</v>
      </c>
    </row>
    <row r="6691" spans="1:5" x14ac:dyDescent="0.3">
      <c r="A6691" t="s">
        <v>6816</v>
      </c>
      <c r="B6691" t="s">
        <v>127</v>
      </c>
      <c r="C6691">
        <v>342</v>
      </c>
      <c r="D6691">
        <f t="shared" si="228"/>
        <v>2023</v>
      </c>
      <c r="E6691">
        <f t="shared" si="229"/>
        <v>12</v>
      </c>
    </row>
    <row r="6692" spans="1:5" x14ac:dyDescent="0.3">
      <c r="A6692" t="s">
        <v>6817</v>
      </c>
      <c r="B6692" t="s">
        <v>127</v>
      </c>
      <c r="C6692">
        <v>345</v>
      </c>
      <c r="D6692">
        <f t="shared" si="228"/>
        <v>2023</v>
      </c>
      <c r="E6692">
        <f t="shared" si="229"/>
        <v>12</v>
      </c>
    </row>
    <row r="6693" spans="1:5" x14ac:dyDescent="0.3">
      <c r="A6693" t="s">
        <v>6818</v>
      </c>
      <c r="B6693" t="s">
        <v>127</v>
      </c>
      <c r="C6693">
        <v>341</v>
      </c>
      <c r="D6693">
        <f t="shared" si="228"/>
        <v>2023</v>
      </c>
      <c r="E6693">
        <f t="shared" si="229"/>
        <v>12</v>
      </c>
    </row>
    <row r="6694" spans="1:5" x14ac:dyDescent="0.3">
      <c r="A6694" t="s">
        <v>6819</v>
      </c>
      <c r="B6694" t="s">
        <v>127</v>
      </c>
      <c r="C6694">
        <v>340</v>
      </c>
      <c r="D6694">
        <f t="shared" si="228"/>
        <v>2023</v>
      </c>
      <c r="E6694">
        <f t="shared" si="229"/>
        <v>12</v>
      </c>
    </row>
    <row r="6695" spans="1:5" x14ac:dyDescent="0.3">
      <c r="A6695" t="s">
        <v>6820</v>
      </c>
      <c r="B6695" t="s">
        <v>127</v>
      </c>
      <c r="C6695">
        <v>340</v>
      </c>
      <c r="D6695">
        <f t="shared" si="228"/>
        <v>2024</v>
      </c>
      <c r="E6695">
        <f t="shared" si="229"/>
        <v>1</v>
      </c>
    </row>
    <row r="6696" spans="1:5" x14ac:dyDescent="0.3">
      <c r="A6696" t="s">
        <v>6821</v>
      </c>
      <c r="B6696" t="s">
        <v>127</v>
      </c>
      <c r="C6696">
        <v>351</v>
      </c>
      <c r="D6696">
        <f t="shared" si="228"/>
        <v>2024</v>
      </c>
      <c r="E6696">
        <f t="shared" si="229"/>
        <v>1</v>
      </c>
    </row>
    <row r="6697" spans="1:5" x14ac:dyDescent="0.3">
      <c r="A6697" t="s">
        <v>6822</v>
      </c>
      <c r="B6697" t="s">
        <v>127</v>
      </c>
      <c r="C6697">
        <v>361</v>
      </c>
      <c r="D6697">
        <f t="shared" si="228"/>
        <v>2024</v>
      </c>
      <c r="E6697">
        <f t="shared" si="229"/>
        <v>1</v>
      </c>
    </row>
    <row r="6698" spans="1:5" x14ac:dyDescent="0.3">
      <c r="A6698" t="s">
        <v>6823</v>
      </c>
      <c r="B6698" t="s">
        <v>127</v>
      </c>
      <c r="C6698">
        <v>357</v>
      </c>
      <c r="D6698">
        <f t="shared" si="228"/>
        <v>2024</v>
      </c>
      <c r="E6698">
        <f t="shared" si="229"/>
        <v>1</v>
      </c>
    </row>
    <row r="6699" spans="1:5" x14ac:dyDescent="0.3">
      <c r="A6699" t="s">
        <v>6824</v>
      </c>
      <c r="B6699" t="s">
        <v>127</v>
      </c>
      <c r="C6699">
        <v>350</v>
      </c>
      <c r="D6699">
        <f t="shared" si="228"/>
        <v>2024</v>
      </c>
      <c r="E6699">
        <f t="shared" si="229"/>
        <v>1</v>
      </c>
    </row>
    <row r="6700" spans="1:5" x14ac:dyDescent="0.3">
      <c r="A6700" t="s">
        <v>6825</v>
      </c>
      <c r="B6700" t="s">
        <v>127</v>
      </c>
      <c r="C6700">
        <v>355</v>
      </c>
      <c r="D6700">
        <f t="shared" si="228"/>
        <v>2024</v>
      </c>
      <c r="E6700">
        <f t="shared" si="229"/>
        <v>1</v>
      </c>
    </row>
    <row r="6701" spans="1:5" x14ac:dyDescent="0.3">
      <c r="A6701" t="s">
        <v>6826</v>
      </c>
      <c r="B6701" t="s">
        <v>127</v>
      </c>
      <c r="C6701">
        <v>352</v>
      </c>
      <c r="D6701">
        <f t="shared" si="228"/>
        <v>2024</v>
      </c>
      <c r="E6701">
        <f t="shared" si="229"/>
        <v>1</v>
      </c>
    </row>
    <row r="6702" spans="1:5" x14ac:dyDescent="0.3">
      <c r="A6702" t="s">
        <v>6827</v>
      </c>
      <c r="B6702" t="s">
        <v>127</v>
      </c>
      <c r="C6702">
        <v>342</v>
      </c>
      <c r="D6702">
        <f t="shared" si="228"/>
        <v>2024</v>
      </c>
      <c r="E6702">
        <f t="shared" si="229"/>
        <v>1</v>
      </c>
    </row>
    <row r="6703" spans="1:5" x14ac:dyDescent="0.3">
      <c r="A6703" t="s">
        <v>6828</v>
      </c>
      <c r="B6703" t="s">
        <v>127</v>
      </c>
      <c r="C6703">
        <v>341</v>
      </c>
      <c r="D6703">
        <f t="shared" si="228"/>
        <v>2024</v>
      </c>
      <c r="E6703">
        <f t="shared" si="229"/>
        <v>1</v>
      </c>
    </row>
    <row r="6704" spans="1:5" x14ac:dyDescent="0.3">
      <c r="A6704" t="s">
        <v>6829</v>
      </c>
      <c r="B6704" t="s">
        <v>127</v>
      </c>
      <c r="C6704">
        <v>343</v>
      </c>
      <c r="D6704">
        <f t="shared" si="228"/>
        <v>2024</v>
      </c>
      <c r="E6704">
        <f t="shared" si="229"/>
        <v>1</v>
      </c>
    </row>
    <row r="6705" spans="1:5" x14ac:dyDescent="0.3">
      <c r="A6705" t="s">
        <v>6830</v>
      </c>
      <c r="B6705" t="s">
        <v>127</v>
      </c>
      <c r="C6705">
        <v>343</v>
      </c>
      <c r="D6705">
        <f t="shared" si="228"/>
        <v>2024</v>
      </c>
      <c r="E6705">
        <f t="shared" si="229"/>
        <v>1</v>
      </c>
    </row>
    <row r="6706" spans="1:5" x14ac:dyDescent="0.3">
      <c r="A6706" t="s">
        <v>6831</v>
      </c>
      <c r="B6706" t="s">
        <v>127</v>
      </c>
      <c r="C6706">
        <v>342</v>
      </c>
      <c r="D6706">
        <f t="shared" si="228"/>
        <v>2024</v>
      </c>
      <c r="E6706">
        <f t="shared" si="229"/>
        <v>1</v>
      </c>
    </row>
    <row r="6707" spans="1:5" x14ac:dyDescent="0.3">
      <c r="A6707" t="s">
        <v>6832</v>
      </c>
      <c r="B6707" t="s">
        <v>127</v>
      </c>
      <c r="C6707">
        <v>345</v>
      </c>
      <c r="D6707">
        <f t="shared" si="228"/>
        <v>2024</v>
      </c>
      <c r="E6707">
        <f t="shared" si="229"/>
        <v>1</v>
      </c>
    </row>
    <row r="6708" spans="1:5" x14ac:dyDescent="0.3">
      <c r="A6708" t="s">
        <v>6833</v>
      </c>
      <c r="B6708" t="s">
        <v>127</v>
      </c>
      <c r="C6708">
        <v>342</v>
      </c>
      <c r="D6708">
        <f t="shared" si="228"/>
        <v>2024</v>
      </c>
      <c r="E6708">
        <f t="shared" si="229"/>
        <v>1</v>
      </c>
    </row>
    <row r="6709" spans="1:5" x14ac:dyDescent="0.3">
      <c r="A6709" t="s">
        <v>6834</v>
      </c>
      <c r="B6709" t="s">
        <v>127</v>
      </c>
      <c r="C6709">
        <v>341</v>
      </c>
      <c r="D6709">
        <f t="shared" si="228"/>
        <v>2024</v>
      </c>
      <c r="E6709">
        <f t="shared" si="229"/>
        <v>1</v>
      </c>
    </row>
    <row r="6710" spans="1:5" x14ac:dyDescent="0.3">
      <c r="A6710" t="s">
        <v>6835</v>
      </c>
      <c r="B6710" t="s">
        <v>127</v>
      </c>
      <c r="C6710">
        <v>341</v>
      </c>
      <c r="D6710">
        <f t="shared" si="228"/>
        <v>2024</v>
      </c>
      <c r="E6710">
        <f t="shared" si="229"/>
        <v>1</v>
      </c>
    </row>
    <row r="6711" spans="1:5" x14ac:dyDescent="0.3">
      <c r="A6711" t="s">
        <v>6836</v>
      </c>
      <c r="B6711" t="s">
        <v>127</v>
      </c>
      <c r="C6711">
        <v>346</v>
      </c>
      <c r="D6711">
        <f t="shared" si="228"/>
        <v>2024</v>
      </c>
      <c r="E6711">
        <f t="shared" si="229"/>
        <v>1</v>
      </c>
    </row>
    <row r="6712" spans="1:5" x14ac:dyDescent="0.3">
      <c r="A6712" t="s">
        <v>6837</v>
      </c>
      <c r="B6712" t="s">
        <v>127</v>
      </c>
      <c r="C6712">
        <v>343</v>
      </c>
      <c r="D6712">
        <f t="shared" si="228"/>
        <v>2024</v>
      </c>
      <c r="E6712">
        <f t="shared" si="229"/>
        <v>1</v>
      </c>
    </row>
    <row r="6713" spans="1:5" x14ac:dyDescent="0.3">
      <c r="A6713" t="s">
        <v>6838</v>
      </c>
      <c r="B6713" t="s">
        <v>127</v>
      </c>
      <c r="C6713">
        <v>344</v>
      </c>
      <c r="D6713">
        <f t="shared" si="228"/>
        <v>2024</v>
      </c>
      <c r="E6713">
        <f t="shared" si="229"/>
        <v>1</v>
      </c>
    </row>
    <row r="6714" spans="1:5" x14ac:dyDescent="0.3">
      <c r="A6714" t="s">
        <v>6839</v>
      </c>
      <c r="B6714" t="s">
        <v>127</v>
      </c>
      <c r="C6714">
        <v>344</v>
      </c>
      <c r="D6714">
        <f t="shared" si="228"/>
        <v>2024</v>
      </c>
      <c r="E6714">
        <f t="shared" si="229"/>
        <v>1</v>
      </c>
    </row>
    <row r="6715" spans="1:5" x14ac:dyDescent="0.3">
      <c r="A6715" t="s">
        <v>6840</v>
      </c>
      <c r="B6715" t="s">
        <v>127</v>
      </c>
      <c r="C6715">
        <v>342</v>
      </c>
      <c r="D6715">
        <f t="shared" si="228"/>
        <v>2024</v>
      </c>
      <c r="E6715">
        <f t="shared" si="229"/>
        <v>1</v>
      </c>
    </row>
    <row r="6716" spans="1:5" x14ac:dyDescent="0.3">
      <c r="A6716" t="s">
        <v>6841</v>
      </c>
      <c r="B6716" t="s">
        <v>127</v>
      </c>
      <c r="C6716">
        <v>342</v>
      </c>
      <c r="D6716">
        <f t="shared" si="228"/>
        <v>2024</v>
      </c>
      <c r="E6716">
        <f t="shared" si="229"/>
        <v>1</v>
      </c>
    </row>
    <row r="6717" spans="1:5" x14ac:dyDescent="0.3">
      <c r="A6717" t="s">
        <v>6842</v>
      </c>
      <c r="B6717" t="s">
        <v>127</v>
      </c>
      <c r="C6717">
        <v>342</v>
      </c>
      <c r="D6717">
        <f t="shared" si="228"/>
        <v>2024</v>
      </c>
      <c r="E6717">
        <f t="shared" si="229"/>
        <v>1</v>
      </c>
    </row>
    <row r="6718" spans="1:5" x14ac:dyDescent="0.3">
      <c r="A6718" t="s">
        <v>6843</v>
      </c>
      <c r="B6718" t="s">
        <v>127</v>
      </c>
      <c r="C6718">
        <v>341</v>
      </c>
      <c r="D6718">
        <f t="shared" si="228"/>
        <v>2024</v>
      </c>
      <c r="E6718">
        <f t="shared" si="229"/>
        <v>2</v>
      </c>
    </row>
    <row r="6719" spans="1:5" x14ac:dyDescent="0.3">
      <c r="A6719" t="s">
        <v>6844</v>
      </c>
      <c r="B6719" t="s">
        <v>127</v>
      </c>
      <c r="C6719">
        <v>341</v>
      </c>
      <c r="D6719">
        <f t="shared" si="228"/>
        <v>2024</v>
      </c>
      <c r="E6719">
        <f t="shared" si="229"/>
        <v>2</v>
      </c>
    </row>
    <row r="6720" spans="1:5" x14ac:dyDescent="0.3">
      <c r="A6720" t="s">
        <v>6845</v>
      </c>
      <c r="B6720" t="s">
        <v>127</v>
      </c>
      <c r="C6720">
        <v>337</v>
      </c>
      <c r="D6720">
        <f t="shared" si="228"/>
        <v>2024</v>
      </c>
      <c r="E6720">
        <f t="shared" si="229"/>
        <v>2</v>
      </c>
    </row>
    <row r="6721" spans="1:5" x14ac:dyDescent="0.3">
      <c r="A6721" t="s">
        <v>6846</v>
      </c>
      <c r="B6721" t="s">
        <v>127</v>
      </c>
      <c r="C6721">
        <v>338</v>
      </c>
      <c r="D6721">
        <f t="shared" si="228"/>
        <v>2024</v>
      </c>
      <c r="E6721">
        <f t="shared" si="229"/>
        <v>2</v>
      </c>
    </row>
    <row r="6722" spans="1:5" x14ac:dyDescent="0.3">
      <c r="A6722" t="s">
        <v>6847</v>
      </c>
      <c r="B6722" t="s">
        <v>127</v>
      </c>
      <c r="C6722">
        <v>339</v>
      </c>
      <c r="D6722">
        <f t="shared" si="228"/>
        <v>2024</v>
      </c>
      <c r="E6722">
        <f t="shared" si="229"/>
        <v>2</v>
      </c>
    </row>
    <row r="6723" spans="1:5" x14ac:dyDescent="0.3">
      <c r="A6723" t="s">
        <v>6848</v>
      </c>
      <c r="B6723" t="s">
        <v>127</v>
      </c>
      <c r="C6723">
        <v>338</v>
      </c>
      <c r="D6723">
        <f t="shared" ref="D6723:D6786" si="230">YEAR(A6723)</f>
        <v>2024</v>
      </c>
      <c r="E6723">
        <f t="shared" ref="E6723:E6786" si="231">MONTH(A6723)</f>
        <v>2</v>
      </c>
    </row>
    <row r="6724" spans="1:5" x14ac:dyDescent="0.3">
      <c r="A6724" t="s">
        <v>6849</v>
      </c>
      <c r="B6724" t="s">
        <v>127</v>
      </c>
      <c r="C6724">
        <v>338</v>
      </c>
      <c r="D6724">
        <f t="shared" si="230"/>
        <v>2024</v>
      </c>
      <c r="E6724">
        <f t="shared" si="231"/>
        <v>2</v>
      </c>
    </row>
    <row r="6725" spans="1:5" x14ac:dyDescent="0.3">
      <c r="A6725" t="s">
        <v>6850</v>
      </c>
      <c r="B6725" t="s">
        <v>127</v>
      </c>
      <c r="C6725">
        <v>337</v>
      </c>
      <c r="D6725">
        <f t="shared" si="230"/>
        <v>2024</v>
      </c>
      <c r="E6725">
        <f t="shared" si="231"/>
        <v>2</v>
      </c>
    </row>
    <row r="6726" spans="1:5" x14ac:dyDescent="0.3">
      <c r="A6726" t="s">
        <v>6851</v>
      </c>
      <c r="B6726" t="s">
        <v>127</v>
      </c>
      <c r="C6726">
        <v>342</v>
      </c>
      <c r="D6726">
        <f t="shared" si="230"/>
        <v>2024</v>
      </c>
      <c r="E6726">
        <f t="shared" si="231"/>
        <v>2</v>
      </c>
    </row>
    <row r="6727" spans="1:5" x14ac:dyDescent="0.3">
      <c r="A6727" t="s">
        <v>6852</v>
      </c>
      <c r="B6727" t="s">
        <v>127</v>
      </c>
      <c r="C6727">
        <v>338</v>
      </c>
      <c r="D6727">
        <f t="shared" si="230"/>
        <v>2024</v>
      </c>
      <c r="E6727">
        <f t="shared" si="231"/>
        <v>2</v>
      </c>
    </row>
    <row r="6728" spans="1:5" x14ac:dyDescent="0.3">
      <c r="A6728" t="s">
        <v>6853</v>
      </c>
      <c r="B6728" t="s">
        <v>127</v>
      </c>
      <c r="C6728">
        <v>339</v>
      </c>
      <c r="D6728">
        <f t="shared" si="230"/>
        <v>2024</v>
      </c>
      <c r="E6728">
        <f t="shared" si="231"/>
        <v>2</v>
      </c>
    </row>
    <row r="6729" spans="1:5" x14ac:dyDescent="0.3">
      <c r="A6729" t="s">
        <v>6854</v>
      </c>
      <c r="B6729" t="s">
        <v>127</v>
      </c>
      <c r="C6729">
        <v>334</v>
      </c>
      <c r="D6729">
        <f t="shared" si="230"/>
        <v>2024</v>
      </c>
      <c r="E6729">
        <f t="shared" si="231"/>
        <v>2</v>
      </c>
    </row>
    <row r="6730" spans="1:5" x14ac:dyDescent="0.3">
      <c r="A6730" t="s">
        <v>6855</v>
      </c>
      <c r="B6730" t="s">
        <v>127</v>
      </c>
      <c r="C6730">
        <v>332</v>
      </c>
      <c r="D6730">
        <f t="shared" si="230"/>
        <v>2024</v>
      </c>
      <c r="E6730">
        <f t="shared" si="231"/>
        <v>2</v>
      </c>
    </row>
    <row r="6731" spans="1:5" x14ac:dyDescent="0.3">
      <c r="A6731" t="s">
        <v>6856</v>
      </c>
      <c r="B6731" t="s">
        <v>127</v>
      </c>
      <c r="C6731">
        <v>332</v>
      </c>
      <c r="D6731">
        <f t="shared" si="230"/>
        <v>2024</v>
      </c>
      <c r="E6731">
        <f t="shared" si="231"/>
        <v>2</v>
      </c>
    </row>
    <row r="6732" spans="1:5" x14ac:dyDescent="0.3">
      <c r="A6732" t="s">
        <v>6857</v>
      </c>
      <c r="B6732" t="s">
        <v>127</v>
      </c>
      <c r="C6732">
        <v>334</v>
      </c>
      <c r="D6732">
        <f t="shared" si="230"/>
        <v>2024</v>
      </c>
      <c r="E6732">
        <f t="shared" si="231"/>
        <v>2</v>
      </c>
    </row>
    <row r="6733" spans="1:5" x14ac:dyDescent="0.3">
      <c r="A6733" t="s">
        <v>6858</v>
      </c>
      <c r="B6733" t="s">
        <v>127</v>
      </c>
      <c r="C6733">
        <v>332</v>
      </c>
      <c r="D6733">
        <f t="shared" si="230"/>
        <v>2024</v>
      </c>
      <c r="E6733">
        <f t="shared" si="231"/>
        <v>2</v>
      </c>
    </row>
    <row r="6734" spans="1:5" x14ac:dyDescent="0.3">
      <c r="A6734" t="s">
        <v>6859</v>
      </c>
      <c r="B6734" t="s">
        <v>127</v>
      </c>
      <c r="C6734">
        <v>326</v>
      </c>
      <c r="D6734">
        <f t="shared" si="230"/>
        <v>2024</v>
      </c>
      <c r="E6734">
        <f t="shared" si="231"/>
        <v>2</v>
      </c>
    </row>
    <row r="6735" spans="1:5" x14ac:dyDescent="0.3">
      <c r="A6735" t="s">
        <v>6860</v>
      </c>
      <c r="B6735" t="s">
        <v>127</v>
      </c>
      <c r="C6735">
        <v>325</v>
      </c>
      <c r="D6735">
        <f t="shared" si="230"/>
        <v>2024</v>
      </c>
      <c r="E6735">
        <f t="shared" si="231"/>
        <v>2</v>
      </c>
    </row>
    <row r="6736" spans="1:5" x14ac:dyDescent="0.3">
      <c r="A6736" t="s">
        <v>6861</v>
      </c>
      <c r="B6736" t="s">
        <v>127</v>
      </c>
      <c r="C6736">
        <v>325</v>
      </c>
      <c r="D6736">
        <f t="shared" si="230"/>
        <v>2024</v>
      </c>
      <c r="E6736">
        <f t="shared" si="231"/>
        <v>2</v>
      </c>
    </row>
    <row r="6737" spans="1:5" x14ac:dyDescent="0.3">
      <c r="A6737" t="s">
        <v>6862</v>
      </c>
      <c r="B6737" t="s">
        <v>127</v>
      </c>
      <c r="C6737">
        <v>327</v>
      </c>
      <c r="D6737">
        <f t="shared" si="230"/>
        <v>2024</v>
      </c>
      <c r="E6737">
        <f t="shared" si="231"/>
        <v>2</v>
      </c>
    </row>
    <row r="6738" spans="1:5" x14ac:dyDescent="0.3">
      <c r="A6738" t="s">
        <v>6863</v>
      </c>
      <c r="B6738" t="s">
        <v>127</v>
      </c>
      <c r="C6738">
        <v>329</v>
      </c>
      <c r="D6738">
        <f t="shared" si="230"/>
        <v>2024</v>
      </c>
      <c r="E6738">
        <f t="shared" si="231"/>
        <v>2</v>
      </c>
    </row>
    <row r="6739" spans="1:5" x14ac:dyDescent="0.3">
      <c r="A6739" t="s">
        <v>6864</v>
      </c>
      <c r="B6739" t="s">
        <v>127</v>
      </c>
      <c r="C6739">
        <v>328</v>
      </c>
      <c r="D6739">
        <f t="shared" si="230"/>
        <v>2024</v>
      </c>
      <c r="E6739">
        <f t="shared" si="231"/>
        <v>3</v>
      </c>
    </row>
    <row r="6740" spans="1:5" x14ac:dyDescent="0.3">
      <c r="A6740" t="s">
        <v>6865</v>
      </c>
      <c r="B6740" t="s">
        <v>127</v>
      </c>
      <c r="C6740">
        <v>328</v>
      </c>
      <c r="D6740">
        <f t="shared" si="230"/>
        <v>2024</v>
      </c>
      <c r="E6740">
        <f t="shared" si="231"/>
        <v>3</v>
      </c>
    </row>
    <row r="6741" spans="1:5" x14ac:dyDescent="0.3">
      <c r="A6741" t="s">
        <v>6866</v>
      </c>
      <c r="B6741" t="s">
        <v>127</v>
      </c>
      <c r="C6741">
        <v>329</v>
      </c>
      <c r="D6741">
        <f t="shared" si="230"/>
        <v>2024</v>
      </c>
      <c r="E6741">
        <f t="shared" si="231"/>
        <v>3</v>
      </c>
    </row>
    <row r="6742" spans="1:5" x14ac:dyDescent="0.3">
      <c r="A6742" t="s">
        <v>6867</v>
      </c>
      <c r="B6742" t="s">
        <v>127</v>
      </c>
      <c r="C6742">
        <v>331</v>
      </c>
      <c r="D6742">
        <f t="shared" si="230"/>
        <v>2024</v>
      </c>
      <c r="E6742">
        <f t="shared" si="231"/>
        <v>3</v>
      </c>
    </row>
    <row r="6743" spans="1:5" x14ac:dyDescent="0.3">
      <c r="A6743" t="s">
        <v>6868</v>
      </c>
      <c r="B6743" t="s">
        <v>127</v>
      </c>
      <c r="C6743">
        <v>329</v>
      </c>
      <c r="D6743">
        <f t="shared" si="230"/>
        <v>2024</v>
      </c>
      <c r="E6743">
        <f t="shared" si="231"/>
        <v>3</v>
      </c>
    </row>
    <row r="6744" spans="1:5" x14ac:dyDescent="0.3">
      <c r="A6744" t="s">
        <v>6869</v>
      </c>
      <c r="B6744" t="s">
        <v>127</v>
      </c>
      <c r="C6744">
        <v>331</v>
      </c>
      <c r="D6744">
        <f t="shared" si="230"/>
        <v>2024</v>
      </c>
      <c r="E6744">
        <f t="shared" si="231"/>
        <v>3</v>
      </c>
    </row>
    <row r="6745" spans="1:5" x14ac:dyDescent="0.3">
      <c r="A6745" t="s">
        <v>6870</v>
      </c>
      <c r="B6745" t="s">
        <v>127</v>
      </c>
      <c r="C6745">
        <v>332</v>
      </c>
      <c r="D6745">
        <f t="shared" si="230"/>
        <v>2024</v>
      </c>
      <c r="E6745">
        <f t="shared" si="231"/>
        <v>3</v>
      </c>
    </row>
    <row r="6746" spans="1:5" x14ac:dyDescent="0.3">
      <c r="A6746" t="s">
        <v>6871</v>
      </c>
      <c r="B6746" t="s">
        <v>127</v>
      </c>
      <c r="C6746">
        <v>333</v>
      </c>
      <c r="D6746">
        <f t="shared" si="230"/>
        <v>2024</v>
      </c>
      <c r="E6746">
        <f t="shared" si="231"/>
        <v>3</v>
      </c>
    </row>
    <row r="6747" spans="1:5" x14ac:dyDescent="0.3">
      <c r="A6747" t="s">
        <v>6872</v>
      </c>
      <c r="B6747" t="s">
        <v>127</v>
      </c>
      <c r="C6747">
        <v>332</v>
      </c>
      <c r="D6747">
        <f t="shared" si="230"/>
        <v>2024</v>
      </c>
      <c r="E6747">
        <f t="shared" si="231"/>
        <v>3</v>
      </c>
    </row>
    <row r="6748" spans="1:5" x14ac:dyDescent="0.3">
      <c r="A6748" t="s">
        <v>6873</v>
      </c>
      <c r="B6748" t="s">
        <v>127</v>
      </c>
      <c r="C6748">
        <v>328</v>
      </c>
      <c r="D6748">
        <f t="shared" si="230"/>
        <v>2024</v>
      </c>
      <c r="E6748">
        <f t="shared" si="231"/>
        <v>3</v>
      </c>
    </row>
    <row r="6749" spans="1:5" x14ac:dyDescent="0.3">
      <c r="A6749" t="s">
        <v>6874</v>
      </c>
      <c r="B6749" t="s">
        <v>127</v>
      </c>
      <c r="C6749">
        <v>324</v>
      </c>
      <c r="D6749">
        <f t="shared" si="230"/>
        <v>2024</v>
      </c>
      <c r="E6749">
        <f t="shared" si="231"/>
        <v>3</v>
      </c>
    </row>
    <row r="6750" spans="1:5" x14ac:dyDescent="0.3">
      <c r="A6750" t="s">
        <v>6875</v>
      </c>
      <c r="B6750" t="s">
        <v>127</v>
      </c>
      <c r="C6750">
        <v>324</v>
      </c>
      <c r="D6750">
        <f t="shared" si="230"/>
        <v>2024</v>
      </c>
      <c r="E6750">
        <f t="shared" si="231"/>
        <v>3</v>
      </c>
    </row>
    <row r="6751" spans="1:5" x14ac:dyDescent="0.3">
      <c r="A6751" t="s">
        <v>6876</v>
      </c>
      <c r="B6751" t="s">
        <v>127</v>
      </c>
      <c r="C6751">
        <v>323</v>
      </c>
      <c r="D6751">
        <f t="shared" si="230"/>
        <v>2024</v>
      </c>
      <c r="E6751">
        <f t="shared" si="231"/>
        <v>3</v>
      </c>
    </row>
    <row r="6752" spans="1:5" x14ac:dyDescent="0.3">
      <c r="A6752" t="s">
        <v>6877</v>
      </c>
      <c r="B6752" t="s">
        <v>127</v>
      </c>
      <c r="C6752">
        <v>327</v>
      </c>
      <c r="D6752">
        <f t="shared" si="230"/>
        <v>2024</v>
      </c>
      <c r="E6752">
        <f t="shared" si="231"/>
        <v>3</v>
      </c>
    </row>
    <row r="6753" spans="1:5" x14ac:dyDescent="0.3">
      <c r="A6753" t="s">
        <v>6878</v>
      </c>
      <c r="B6753" t="s">
        <v>127</v>
      </c>
      <c r="C6753">
        <v>325</v>
      </c>
      <c r="D6753">
        <f t="shared" si="230"/>
        <v>2024</v>
      </c>
      <c r="E6753">
        <f t="shared" si="231"/>
        <v>3</v>
      </c>
    </row>
    <row r="6754" spans="1:5" x14ac:dyDescent="0.3">
      <c r="A6754" t="s">
        <v>6879</v>
      </c>
      <c r="B6754" t="s">
        <v>127</v>
      </c>
      <c r="C6754">
        <v>317</v>
      </c>
      <c r="D6754">
        <f t="shared" si="230"/>
        <v>2024</v>
      </c>
      <c r="E6754">
        <f t="shared" si="231"/>
        <v>3</v>
      </c>
    </row>
    <row r="6755" spans="1:5" x14ac:dyDescent="0.3">
      <c r="A6755" t="s">
        <v>6880</v>
      </c>
      <c r="B6755" t="s">
        <v>127</v>
      </c>
      <c r="C6755">
        <v>317</v>
      </c>
      <c r="D6755">
        <f t="shared" si="230"/>
        <v>2024</v>
      </c>
      <c r="E6755">
        <f t="shared" si="231"/>
        <v>3</v>
      </c>
    </row>
    <row r="6756" spans="1:5" x14ac:dyDescent="0.3">
      <c r="A6756" t="s">
        <v>6881</v>
      </c>
      <c r="B6756" t="s">
        <v>127</v>
      </c>
      <c r="C6756">
        <v>316</v>
      </c>
      <c r="D6756">
        <f t="shared" si="230"/>
        <v>2024</v>
      </c>
      <c r="E6756">
        <f t="shared" si="231"/>
        <v>3</v>
      </c>
    </row>
    <row r="6757" spans="1:5" x14ac:dyDescent="0.3">
      <c r="A6757" t="s">
        <v>6882</v>
      </c>
      <c r="B6757" t="s">
        <v>127</v>
      </c>
      <c r="C6757">
        <v>314</v>
      </c>
      <c r="D6757">
        <f t="shared" si="230"/>
        <v>2024</v>
      </c>
      <c r="E6757">
        <f t="shared" si="231"/>
        <v>3</v>
      </c>
    </row>
    <row r="6758" spans="1:5" x14ac:dyDescent="0.3">
      <c r="A6758" t="s">
        <v>6883</v>
      </c>
      <c r="B6758" t="s">
        <v>127</v>
      </c>
      <c r="C6758">
        <v>314</v>
      </c>
      <c r="D6758">
        <f t="shared" si="230"/>
        <v>2024</v>
      </c>
      <c r="E6758">
        <f t="shared" si="231"/>
        <v>3</v>
      </c>
    </row>
    <row r="6759" spans="1:5" x14ac:dyDescent="0.3">
      <c r="A6759" t="s">
        <v>6884</v>
      </c>
      <c r="B6759" t="s">
        <v>127</v>
      </c>
      <c r="C6759">
        <v>311</v>
      </c>
      <c r="D6759">
        <f t="shared" si="230"/>
        <v>2024</v>
      </c>
      <c r="E6759">
        <f t="shared" si="231"/>
        <v>3</v>
      </c>
    </row>
    <row r="6760" spans="1:5" x14ac:dyDescent="0.3">
      <c r="A6760" t="s">
        <v>6885</v>
      </c>
      <c r="B6760" t="s">
        <v>127</v>
      </c>
      <c r="C6760">
        <v>313</v>
      </c>
      <c r="D6760">
        <f t="shared" si="230"/>
        <v>2024</v>
      </c>
      <c r="E6760">
        <f t="shared" si="231"/>
        <v>4</v>
      </c>
    </row>
    <row r="6761" spans="1:5" x14ac:dyDescent="0.3">
      <c r="A6761" t="s">
        <v>6886</v>
      </c>
      <c r="B6761" t="s">
        <v>127</v>
      </c>
      <c r="C6761">
        <v>310</v>
      </c>
      <c r="D6761">
        <f t="shared" si="230"/>
        <v>2024</v>
      </c>
      <c r="E6761">
        <f t="shared" si="231"/>
        <v>4</v>
      </c>
    </row>
    <row r="6762" spans="1:5" x14ac:dyDescent="0.3">
      <c r="A6762" t="s">
        <v>6887</v>
      </c>
      <c r="B6762" t="s">
        <v>127</v>
      </c>
      <c r="C6762">
        <v>309</v>
      </c>
      <c r="D6762">
        <f t="shared" si="230"/>
        <v>2024</v>
      </c>
      <c r="E6762">
        <f t="shared" si="231"/>
        <v>4</v>
      </c>
    </row>
    <row r="6763" spans="1:5" x14ac:dyDescent="0.3">
      <c r="A6763" t="s">
        <v>6888</v>
      </c>
      <c r="B6763" t="s">
        <v>127</v>
      </c>
      <c r="C6763">
        <v>305</v>
      </c>
      <c r="D6763">
        <f t="shared" si="230"/>
        <v>2024</v>
      </c>
      <c r="E6763">
        <f t="shared" si="231"/>
        <v>4</v>
      </c>
    </row>
    <row r="6764" spans="1:5" x14ac:dyDescent="0.3">
      <c r="A6764" t="s">
        <v>6889</v>
      </c>
      <c r="B6764" t="s">
        <v>127</v>
      </c>
      <c r="C6764">
        <v>306</v>
      </c>
      <c r="D6764">
        <f t="shared" si="230"/>
        <v>2024</v>
      </c>
      <c r="E6764">
        <f t="shared" si="231"/>
        <v>4</v>
      </c>
    </row>
    <row r="6765" spans="1:5" x14ac:dyDescent="0.3">
      <c r="A6765" t="s">
        <v>6890</v>
      </c>
      <c r="B6765" t="s">
        <v>127</v>
      </c>
      <c r="C6765">
        <v>305</v>
      </c>
      <c r="D6765">
        <f t="shared" si="230"/>
        <v>2024</v>
      </c>
      <c r="E6765">
        <f t="shared" si="231"/>
        <v>4</v>
      </c>
    </row>
    <row r="6766" spans="1:5" x14ac:dyDescent="0.3">
      <c r="A6766" t="s">
        <v>6891</v>
      </c>
      <c r="B6766" t="s">
        <v>127</v>
      </c>
      <c r="C6766">
        <v>306</v>
      </c>
      <c r="D6766">
        <f t="shared" si="230"/>
        <v>2024</v>
      </c>
      <c r="E6766">
        <f t="shared" si="231"/>
        <v>4</v>
      </c>
    </row>
    <row r="6767" spans="1:5" x14ac:dyDescent="0.3">
      <c r="A6767" t="s">
        <v>6892</v>
      </c>
      <c r="B6767" t="s">
        <v>127</v>
      </c>
      <c r="C6767">
        <v>309</v>
      </c>
      <c r="D6767">
        <f t="shared" si="230"/>
        <v>2024</v>
      </c>
      <c r="E6767">
        <f t="shared" si="231"/>
        <v>4</v>
      </c>
    </row>
    <row r="6768" spans="1:5" x14ac:dyDescent="0.3">
      <c r="A6768" t="s">
        <v>6893</v>
      </c>
      <c r="B6768" t="s">
        <v>127</v>
      </c>
      <c r="C6768">
        <v>319</v>
      </c>
      <c r="D6768">
        <f t="shared" si="230"/>
        <v>2024</v>
      </c>
      <c r="E6768">
        <f t="shared" si="231"/>
        <v>4</v>
      </c>
    </row>
    <row r="6769" spans="1:5" x14ac:dyDescent="0.3">
      <c r="A6769" t="s">
        <v>6894</v>
      </c>
      <c r="B6769" t="s">
        <v>127</v>
      </c>
      <c r="C6769">
        <v>326</v>
      </c>
      <c r="D6769">
        <f t="shared" si="230"/>
        <v>2024</v>
      </c>
      <c r="E6769">
        <f t="shared" si="231"/>
        <v>4</v>
      </c>
    </row>
    <row r="6770" spans="1:5" x14ac:dyDescent="0.3">
      <c r="A6770" t="s">
        <v>6895</v>
      </c>
      <c r="B6770" t="s">
        <v>127</v>
      </c>
      <c r="C6770">
        <v>328</v>
      </c>
      <c r="D6770">
        <f t="shared" si="230"/>
        <v>2024</v>
      </c>
      <c r="E6770">
        <f t="shared" si="231"/>
        <v>4</v>
      </c>
    </row>
    <row r="6771" spans="1:5" x14ac:dyDescent="0.3">
      <c r="A6771" t="s">
        <v>6896</v>
      </c>
      <c r="B6771" t="s">
        <v>127</v>
      </c>
      <c r="C6771">
        <v>327</v>
      </c>
      <c r="D6771">
        <f t="shared" si="230"/>
        <v>2024</v>
      </c>
      <c r="E6771">
        <f t="shared" si="231"/>
        <v>4</v>
      </c>
    </row>
    <row r="6772" spans="1:5" x14ac:dyDescent="0.3">
      <c r="A6772" t="s">
        <v>6897</v>
      </c>
      <c r="B6772" t="s">
        <v>127</v>
      </c>
      <c r="C6772">
        <v>325</v>
      </c>
      <c r="D6772">
        <f t="shared" si="230"/>
        <v>2024</v>
      </c>
      <c r="E6772">
        <f t="shared" si="231"/>
        <v>4</v>
      </c>
    </row>
    <row r="6773" spans="1:5" x14ac:dyDescent="0.3">
      <c r="A6773" t="s">
        <v>6898</v>
      </c>
      <c r="B6773" t="s">
        <v>127</v>
      </c>
      <c r="C6773">
        <v>322</v>
      </c>
      <c r="D6773">
        <f t="shared" si="230"/>
        <v>2024</v>
      </c>
      <c r="E6773">
        <f t="shared" si="231"/>
        <v>4</v>
      </c>
    </row>
    <row r="6774" spans="1:5" x14ac:dyDescent="0.3">
      <c r="A6774" t="s">
        <v>6899</v>
      </c>
      <c r="B6774" t="s">
        <v>127</v>
      </c>
      <c r="C6774">
        <v>316</v>
      </c>
      <c r="D6774">
        <f t="shared" si="230"/>
        <v>2024</v>
      </c>
      <c r="E6774">
        <f t="shared" si="231"/>
        <v>4</v>
      </c>
    </row>
    <row r="6775" spans="1:5" x14ac:dyDescent="0.3">
      <c r="A6775" t="s">
        <v>6900</v>
      </c>
      <c r="B6775" t="s">
        <v>127</v>
      </c>
      <c r="C6775">
        <v>309</v>
      </c>
      <c r="D6775">
        <f t="shared" si="230"/>
        <v>2024</v>
      </c>
      <c r="E6775">
        <f t="shared" si="231"/>
        <v>4</v>
      </c>
    </row>
    <row r="6776" spans="1:5" x14ac:dyDescent="0.3">
      <c r="A6776" t="s">
        <v>6901</v>
      </c>
      <c r="B6776" t="s">
        <v>127</v>
      </c>
      <c r="C6776">
        <v>311</v>
      </c>
      <c r="D6776">
        <f t="shared" si="230"/>
        <v>2024</v>
      </c>
      <c r="E6776">
        <f t="shared" si="231"/>
        <v>4</v>
      </c>
    </row>
    <row r="6777" spans="1:5" x14ac:dyDescent="0.3">
      <c r="A6777" t="s">
        <v>6902</v>
      </c>
      <c r="B6777" t="s">
        <v>127</v>
      </c>
      <c r="C6777">
        <v>312</v>
      </c>
      <c r="D6777">
        <f t="shared" si="230"/>
        <v>2024</v>
      </c>
      <c r="E6777">
        <f t="shared" si="231"/>
        <v>4</v>
      </c>
    </row>
    <row r="6778" spans="1:5" x14ac:dyDescent="0.3">
      <c r="A6778" t="s">
        <v>6903</v>
      </c>
      <c r="B6778" t="s">
        <v>127</v>
      </c>
      <c r="C6778">
        <v>307</v>
      </c>
      <c r="D6778">
        <f t="shared" si="230"/>
        <v>2024</v>
      </c>
      <c r="E6778">
        <f t="shared" si="231"/>
        <v>4</v>
      </c>
    </row>
    <row r="6779" spans="1:5" x14ac:dyDescent="0.3">
      <c r="A6779" t="s">
        <v>6904</v>
      </c>
      <c r="B6779" t="s">
        <v>127</v>
      </c>
      <c r="C6779">
        <v>306</v>
      </c>
      <c r="D6779">
        <f t="shared" si="230"/>
        <v>2024</v>
      </c>
      <c r="E6779">
        <f t="shared" si="231"/>
        <v>4</v>
      </c>
    </row>
    <row r="6780" spans="1:5" x14ac:dyDescent="0.3">
      <c r="A6780" t="s">
        <v>6905</v>
      </c>
      <c r="B6780" t="s">
        <v>127</v>
      </c>
      <c r="C6780">
        <v>309</v>
      </c>
      <c r="D6780">
        <f t="shared" si="230"/>
        <v>2024</v>
      </c>
      <c r="E6780">
        <f t="shared" si="231"/>
        <v>4</v>
      </c>
    </row>
    <row r="6781" spans="1:5" x14ac:dyDescent="0.3">
      <c r="A6781" t="s">
        <v>6906</v>
      </c>
      <c r="B6781" t="s">
        <v>127</v>
      </c>
      <c r="C6781">
        <v>312</v>
      </c>
      <c r="D6781">
        <f t="shared" si="230"/>
        <v>2024</v>
      </c>
      <c r="E6781">
        <f t="shared" si="231"/>
        <v>5</v>
      </c>
    </row>
    <row r="6782" spans="1:5" x14ac:dyDescent="0.3">
      <c r="A6782" t="s">
        <v>6907</v>
      </c>
      <c r="B6782" t="s">
        <v>127</v>
      </c>
      <c r="C6782">
        <v>312</v>
      </c>
      <c r="D6782">
        <f t="shared" si="230"/>
        <v>2024</v>
      </c>
      <c r="E6782">
        <f t="shared" si="231"/>
        <v>5</v>
      </c>
    </row>
    <row r="6783" spans="1:5" x14ac:dyDescent="0.3">
      <c r="A6783" t="s">
        <v>6908</v>
      </c>
      <c r="B6783" t="s">
        <v>127</v>
      </c>
      <c r="C6783">
        <v>308</v>
      </c>
      <c r="D6783">
        <f t="shared" si="230"/>
        <v>2024</v>
      </c>
      <c r="E6783">
        <f t="shared" si="231"/>
        <v>5</v>
      </c>
    </row>
    <row r="6784" spans="1:5" x14ac:dyDescent="0.3">
      <c r="A6784" t="s">
        <v>6909</v>
      </c>
      <c r="B6784" t="s">
        <v>127</v>
      </c>
      <c r="C6784">
        <v>307</v>
      </c>
      <c r="D6784">
        <f t="shared" si="230"/>
        <v>2024</v>
      </c>
      <c r="E6784">
        <f t="shared" si="231"/>
        <v>5</v>
      </c>
    </row>
    <row r="6785" spans="1:5" x14ac:dyDescent="0.3">
      <c r="A6785" t="s">
        <v>6910</v>
      </c>
      <c r="B6785" t="s">
        <v>127</v>
      </c>
      <c r="C6785">
        <v>308</v>
      </c>
      <c r="D6785">
        <f t="shared" si="230"/>
        <v>2024</v>
      </c>
      <c r="E6785">
        <f t="shared" si="231"/>
        <v>5</v>
      </c>
    </row>
    <row r="6786" spans="1:5" x14ac:dyDescent="0.3">
      <c r="A6786" t="s">
        <v>6911</v>
      </c>
      <c r="B6786" t="s">
        <v>127</v>
      </c>
      <c r="C6786">
        <v>308</v>
      </c>
      <c r="D6786">
        <f t="shared" si="230"/>
        <v>2024</v>
      </c>
      <c r="E6786">
        <f t="shared" si="231"/>
        <v>5</v>
      </c>
    </row>
    <row r="6787" spans="1:5" x14ac:dyDescent="0.3">
      <c r="A6787" t="s">
        <v>6912</v>
      </c>
      <c r="B6787" t="s">
        <v>127</v>
      </c>
      <c r="C6787">
        <v>297</v>
      </c>
      <c r="D6787">
        <f t="shared" ref="D6787:D6850" si="232">YEAR(A6787)</f>
        <v>2024</v>
      </c>
      <c r="E6787">
        <f t="shared" ref="E6787:E6850" si="233">MONTH(A6787)</f>
        <v>5</v>
      </c>
    </row>
    <row r="6788" spans="1:5" x14ac:dyDescent="0.3">
      <c r="A6788" t="s">
        <v>6913</v>
      </c>
      <c r="B6788" t="s">
        <v>127</v>
      </c>
      <c r="C6788">
        <v>298</v>
      </c>
      <c r="D6788">
        <f t="shared" si="232"/>
        <v>2024</v>
      </c>
      <c r="E6788">
        <f t="shared" si="233"/>
        <v>5</v>
      </c>
    </row>
    <row r="6789" spans="1:5" x14ac:dyDescent="0.3">
      <c r="A6789" t="s">
        <v>6914</v>
      </c>
      <c r="B6789" t="s">
        <v>127</v>
      </c>
      <c r="C6789">
        <v>299</v>
      </c>
      <c r="D6789">
        <f t="shared" si="232"/>
        <v>2024</v>
      </c>
      <c r="E6789">
        <f t="shared" si="233"/>
        <v>5</v>
      </c>
    </row>
    <row r="6790" spans="1:5" x14ac:dyDescent="0.3">
      <c r="A6790" t="s">
        <v>6915</v>
      </c>
      <c r="B6790" t="s">
        <v>127</v>
      </c>
      <c r="C6790">
        <v>299</v>
      </c>
      <c r="D6790">
        <f t="shared" si="232"/>
        <v>2024</v>
      </c>
      <c r="E6790">
        <f t="shared" si="233"/>
        <v>5</v>
      </c>
    </row>
    <row r="6791" spans="1:5" x14ac:dyDescent="0.3">
      <c r="A6791" t="s">
        <v>6916</v>
      </c>
      <c r="B6791" t="s">
        <v>127</v>
      </c>
      <c r="C6791">
        <v>292</v>
      </c>
      <c r="D6791">
        <f t="shared" si="232"/>
        <v>2024</v>
      </c>
      <c r="E6791">
        <f t="shared" si="233"/>
        <v>5</v>
      </c>
    </row>
    <row r="6792" spans="1:5" x14ac:dyDescent="0.3">
      <c r="A6792" t="s">
        <v>6917</v>
      </c>
      <c r="B6792" t="s">
        <v>127</v>
      </c>
      <c r="C6792">
        <v>293</v>
      </c>
      <c r="D6792">
        <f t="shared" si="232"/>
        <v>2024</v>
      </c>
      <c r="E6792">
        <f t="shared" si="233"/>
        <v>5</v>
      </c>
    </row>
    <row r="6793" spans="1:5" x14ac:dyDescent="0.3">
      <c r="A6793" t="s">
        <v>6918</v>
      </c>
      <c r="B6793" t="s">
        <v>127</v>
      </c>
      <c r="C6793">
        <v>296</v>
      </c>
      <c r="D6793">
        <f t="shared" si="232"/>
        <v>2024</v>
      </c>
      <c r="E6793">
        <f t="shared" si="233"/>
        <v>5</v>
      </c>
    </row>
    <row r="6794" spans="1:5" x14ac:dyDescent="0.3">
      <c r="A6794" t="s">
        <v>6919</v>
      </c>
      <c r="B6794" t="s">
        <v>127</v>
      </c>
      <c r="C6794">
        <v>290</v>
      </c>
      <c r="D6794">
        <f t="shared" si="232"/>
        <v>2024</v>
      </c>
      <c r="E6794">
        <f t="shared" si="233"/>
        <v>5</v>
      </c>
    </row>
    <row r="6795" spans="1:5" x14ac:dyDescent="0.3">
      <c r="A6795" t="s">
        <v>6920</v>
      </c>
      <c r="B6795" t="s">
        <v>127</v>
      </c>
      <c r="C6795">
        <v>289</v>
      </c>
      <c r="D6795">
        <f t="shared" si="232"/>
        <v>2024</v>
      </c>
      <c r="E6795">
        <f t="shared" si="233"/>
        <v>5</v>
      </c>
    </row>
    <row r="6796" spans="1:5" x14ac:dyDescent="0.3">
      <c r="A6796" t="s">
        <v>6921</v>
      </c>
      <c r="B6796" t="s">
        <v>127</v>
      </c>
      <c r="C6796">
        <v>294</v>
      </c>
      <c r="D6796">
        <f t="shared" si="232"/>
        <v>2024</v>
      </c>
      <c r="E6796">
        <f t="shared" si="233"/>
        <v>5</v>
      </c>
    </row>
    <row r="6797" spans="1:5" x14ac:dyDescent="0.3">
      <c r="A6797" t="s">
        <v>6922</v>
      </c>
      <c r="B6797" t="s">
        <v>127</v>
      </c>
      <c r="C6797">
        <v>296</v>
      </c>
      <c r="D6797">
        <f t="shared" si="232"/>
        <v>2024</v>
      </c>
      <c r="E6797">
        <f t="shared" si="233"/>
        <v>5</v>
      </c>
    </row>
    <row r="6798" spans="1:5" x14ac:dyDescent="0.3">
      <c r="A6798" t="s">
        <v>6923</v>
      </c>
      <c r="B6798" t="s">
        <v>127</v>
      </c>
      <c r="C6798">
        <v>299</v>
      </c>
      <c r="D6798">
        <f t="shared" si="232"/>
        <v>2024</v>
      </c>
      <c r="E6798">
        <f t="shared" si="233"/>
        <v>5</v>
      </c>
    </row>
    <row r="6799" spans="1:5" x14ac:dyDescent="0.3">
      <c r="A6799" t="s">
        <v>6924</v>
      </c>
      <c r="B6799" t="s">
        <v>127</v>
      </c>
      <c r="C6799">
        <v>299</v>
      </c>
      <c r="D6799">
        <f t="shared" si="232"/>
        <v>2024</v>
      </c>
      <c r="E6799">
        <f t="shared" si="233"/>
        <v>5</v>
      </c>
    </row>
    <row r="6800" spans="1:5" x14ac:dyDescent="0.3">
      <c r="A6800" t="s">
        <v>6925</v>
      </c>
      <c r="B6800" t="s">
        <v>127</v>
      </c>
      <c r="C6800">
        <v>308</v>
      </c>
      <c r="D6800">
        <f t="shared" si="232"/>
        <v>2024</v>
      </c>
      <c r="E6800">
        <f t="shared" si="233"/>
        <v>5</v>
      </c>
    </row>
    <row r="6801" spans="1:5" x14ac:dyDescent="0.3">
      <c r="A6801" t="s">
        <v>6926</v>
      </c>
      <c r="B6801" t="s">
        <v>127</v>
      </c>
      <c r="C6801">
        <v>299</v>
      </c>
      <c r="D6801">
        <f t="shared" si="232"/>
        <v>2024</v>
      </c>
      <c r="E6801">
        <f t="shared" si="233"/>
        <v>5</v>
      </c>
    </row>
    <row r="6802" spans="1:5" x14ac:dyDescent="0.3">
      <c r="A6802" t="s">
        <v>6927</v>
      </c>
      <c r="B6802" t="s">
        <v>127</v>
      </c>
      <c r="C6802">
        <v>296</v>
      </c>
      <c r="D6802">
        <f t="shared" si="232"/>
        <v>2024</v>
      </c>
      <c r="E6802">
        <f t="shared" si="233"/>
        <v>5</v>
      </c>
    </row>
    <row r="6803" spans="1:5" x14ac:dyDescent="0.3">
      <c r="A6803" t="s">
        <v>6928</v>
      </c>
      <c r="B6803" t="s">
        <v>127</v>
      </c>
      <c r="C6803">
        <v>299</v>
      </c>
      <c r="D6803">
        <f t="shared" si="232"/>
        <v>2024</v>
      </c>
      <c r="E6803">
        <f t="shared" si="233"/>
        <v>5</v>
      </c>
    </row>
    <row r="6804" spans="1:5" x14ac:dyDescent="0.3">
      <c r="A6804" t="s">
        <v>6929</v>
      </c>
      <c r="B6804" t="s">
        <v>127</v>
      </c>
      <c r="C6804">
        <v>305</v>
      </c>
      <c r="D6804">
        <f t="shared" si="232"/>
        <v>2024</v>
      </c>
      <c r="E6804">
        <f t="shared" si="233"/>
        <v>6</v>
      </c>
    </row>
    <row r="6805" spans="1:5" x14ac:dyDescent="0.3">
      <c r="A6805" t="s">
        <v>6930</v>
      </c>
      <c r="B6805" t="s">
        <v>127</v>
      </c>
      <c r="C6805">
        <v>309</v>
      </c>
      <c r="D6805">
        <f t="shared" si="232"/>
        <v>2024</v>
      </c>
      <c r="E6805">
        <f t="shared" si="233"/>
        <v>6</v>
      </c>
    </row>
    <row r="6806" spans="1:5" x14ac:dyDescent="0.3">
      <c r="A6806" t="s">
        <v>6931</v>
      </c>
      <c r="B6806" t="s">
        <v>127</v>
      </c>
      <c r="C6806">
        <v>308</v>
      </c>
      <c r="D6806">
        <f t="shared" si="232"/>
        <v>2024</v>
      </c>
      <c r="E6806">
        <f t="shared" si="233"/>
        <v>6</v>
      </c>
    </row>
    <row r="6807" spans="1:5" x14ac:dyDescent="0.3">
      <c r="A6807" t="s">
        <v>6932</v>
      </c>
      <c r="B6807" t="s">
        <v>127</v>
      </c>
      <c r="C6807">
        <v>312</v>
      </c>
      <c r="D6807">
        <f t="shared" si="232"/>
        <v>2024</v>
      </c>
      <c r="E6807">
        <f t="shared" si="233"/>
        <v>6</v>
      </c>
    </row>
    <row r="6808" spans="1:5" x14ac:dyDescent="0.3">
      <c r="A6808" t="s">
        <v>6933</v>
      </c>
      <c r="B6808" t="s">
        <v>127</v>
      </c>
      <c r="C6808">
        <v>309</v>
      </c>
      <c r="D6808">
        <f t="shared" si="232"/>
        <v>2024</v>
      </c>
      <c r="E6808">
        <f t="shared" si="233"/>
        <v>6</v>
      </c>
    </row>
    <row r="6809" spans="1:5" x14ac:dyDescent="0.3">
      <c r="A6809" t="s">
        <v>6934</v>
      </c>
      <c r="B6809" t="s">
        <v>127</v>
      </c>
      <c r="C6809">
        <v>310</v>
      </c>
      <c r="D6809">
        <f t="shared" si="232"/>
        <v>2024</v>
      </c>
      <c r="E6809">
        <f t="shared" si="233"/>
        <v>6</v>
      </c>
    </row>
    <row r="6810" spans="1:5" x14ac:dyDescent="0.3">
      <c r="A6810" t="s">
        <v>6935</v>
      </c>
      <c r="B6810" t="s">
        <v>127</v>
      </c>
      <c r="C6810">
        <v>316</v>
      </c>
      <c r="D6810">
        <f t="shared" si="232"/>
        <v>2024</v>
      </c>
      <c r="E6810">
        <f t="shared" si="233"/>
        <v>6</v>
      </c>
    </row>
    <row r="6811" spans="1:5" x14ac:dyDescent="0.3">
      <c r="A6811" t="s">
        <v>6936</v>
      </c>
      <c r="B6811" t="s">
        <v>127</v>
      </c>
      <c r="C6811">
        <v>317</v>
      </c>
      <c r="D6811">
        <f t="shared" si="232"/>
        <v>2024</v>
      </c>
      <c r="E6811">
        <f t="shared" si="233"/>
        <v>6</v>
      </c>
    </row>
    <row r="6812" spans="1:5" x14ac:dyDescent="0.3">
      <c r="A6812" t="s">
        <v>6937</v>
      </c>
      <c r="B6812" t="s">
        <v>127</v>
      </c>
      <c r="C6812">
        <v>320</v>
      </c>
      <c r="D6812">
        <f t="shared" si="232"/>
        <v>2024</v>
      </c>
      <c r="E6812">
        <f t="shared" si="233"/>
        <v>6</v>
      </c>
    </row>
    <row r="6813" spans="1:5" x14ac:dyDescent="0.3">
      <c r="A6813" t="s">
        <v>6938</v>
      </c>
      <c r="B6813" t="s">
        <v>127</v>
      </c>
      <c r="C6813">
        <v>325</v>
      </c>
      <c r="D6813">
        <f t="shared" si="232"/>
        <v>2024</v>
      </c>
      <c r="E6813">
        <f t="shared" si="233"/>
        <v>6</v>
      </c>
    </row>
    <row r="6814" spans="1:5" x14ac:dyDescent="0.3">
      <c r="A6814" t="s">
        <v>6939</v>
      </c>
      <c r="B6814" t="s">
        <v>127</v>
      </c>
      <c r="C6814">
        <v>325</v>
      </c>
      <c r="D6814">
        <f t="shared" si="232"/>
        <v>2024</v>
      </c>
      <c r="E6814">
        <f t="shared" si="233"/>
        <v>6</v>
      </c>
    </row>
    <row r="6815" spans="1:5" x14ac:dyDescent="0.3">
      <c r="A6815" t="s">
        <v>6940</v>
      </c>
      <c r="B6815" t="s">
        <v>127</v>
      </c>
      <c r="C6815">
        <v>318</v>
      </c>
      <c r="D6815">
        <f t="shared" si="232"/>
        <v>2024</v>
      </c>
      <c r="E6815">
        <f t="shared" si="233"/>
        <v>6</v>
      </c>
    </row>
    <row r="6816" spans="1:5" x14ac:dyDescent="0.3">
      <c r="A6816" t="s">
        <v>6941</v>
      </c>
      <c r="B6816" t="s">
        <v>127</v>
      </c>
      <c r="C6816">
        <v>318</v>
      </c>
      <c r="D6816">
        <f t="shared" si="232"/>
        <v>2024</v>
      </c>
      <c r="E6816">
        <f t="shared" si="233"/>
        <v>6</v>
      </c>
    </row>
    <row r="6817" spans="1:5" x14ac:dyDescent="0.3">
      <c r="A6817" t="s">
        <v>6942</v>
      </c>
      <c r="B6817" t="s">
        <v>127</v>
      </c>
      <c r="C6817">
        <v>316</v>
      </c>
      <c r="D6817">
        <f t="shared" si="232"/>
        <v>2024</v>
      </c>
      <c r="E6817">
        <f t="shared" si="233"/>
        <v>6</v>
      </c>
    </row>
    <row r="6818" spans="1:5" x14ac:dyDescent="0.3">
      <c r="A6818" t="s">
        <v>6943</v>
      </c>
      <c r="B6818" t="s">
        <v>127</v>
      </c>
      <c r="C6818">
        <v>315</v>
      </c>
      <c r="D6818">
        <f t="shared" si="232"/>
        <v>2024</v>
      </c>
      <c r="E6818">
        <f t="shared" si="233"/>
        <v>6</v>
      </c>
    </row>
    <row r="6819" spans="1:5" x14ac:dyDescent="0.3">
      <c r="A6819" t="s">
        <v>6944</v>
      </c>
      <c r="B6819" t="s">
        <v>127</v>
      </c>
      <c r="C6819">
        <v>317</v>
      </c>
      <c r="D6819">
        <f t="shared" si="232"/>
        <v>2024</v>
      </c>
      <c r="E6819">
        <f t="shared" si="233"/>
        <v>6</v>
      </c>
    </row>
    <row r="6820" spans="1:5" x14ac:dyDescent="0.3">
      <c r="A6820" t="s">
        <v>6945</v>
      </c>
      <c r="B6820" t="s">
        <v>127</v>
      </c>
      <c r="C6820">
        <v>317</v>
      </c>
      <c r="D6820">
        <f t="shared" si="232"/>
        <v>2024</v>
      </c>
      <c r="E6820">
        <f t="shared" si="233"/>
        <v>6</v>
      </c>
    </row>
    <row r="6821" spans="1:5" x14ac:dyDescent="0.3">
      <c r="A6821" t="s">
        <v>6946</v>
      </c>
      <c r="B6821" t="s">
        <v>127</v>
      </c>
      <c r="C6821">
        <v>318</v>
      </c>
      <c r="D6821">
        <f t="shared" si="232"/>
        <v>2024</v>
      </c>
      <c r="E6821">
        <f t="shared" si="233"/>
        <v>6</v>
      </c>
    </row>
    <row r="6822" spans="1:5" x14ac:dyDescent="0.3">
      <c r="A6822" t="s">
        <v>6947</v>
      </c>
      <c r="B6822" t="s">
        <v>127</v>
      </c>
      <c r="C6822">
        <v>321</v>
      </c>
      <c r="D6822">
        <f t="shared" si="232"/>
        <v>2024</v>
      </c>
      <c r="E6822">
        <f t="shared" si="233"/>
        <v>6</v>
      </c>
    </row>
    <row r="6823" spans="1:5" x14ac:dyDescent="0.3">
      <c r="A6823" t="s">
        <v>6948</v>
      </c>
      <c r="B6823" t="s">
        <v>127</v>
      </c>
      <c r="C6823">
        <v>319</v>
      </c>
      <c r="D6823">
        <f t="shared" si="232"/>
        <v>2024</v>
      </c>
      <c r="E6823">
        <f t="shared" si="233"/>
        <v>6</v>
      </c>
    </row>
    <row r="6824" spans="1:5" x14ac:dyDescent="0.3">
      <c r="A6824" t="s">
        <v>6949</v>
      </c>
      <c r="B6824" t="s">
        <v>127</v>
      </c>
      <c r="C6824">
        <v>326</v>
      </c>
      <c r="D6824">
        <f t="shared" si="232"/>
        <v>2024</v>
      </c>
      <c r="E6824">
        <f t="shared" si="233"/>
        <v>7</v>
      </c>
    </row>
    <row r="6825" spans="1:5" x14ac:dyDescent="0.3">
      <c r="A6825" t="s">
        <v>6950</v>
      </c>
      <c r="B6825" t="s">
        <v>127</v>
      </c>
      <c r="C6825">
        <v>322</v>
      </c>
      <c r="D6825">
        <f t="shared" si="232"/>
        <v>2024</v>
      </c>
      <c r="E6825">
        <f t="shared" si="233"/>
        <v>7</v>
      </c>
    </row>
    <row r="6826" spans="1:5" x14ac:dyDescent="0.3">
      <c r="A6826" t="s">
        <v>6951</v>
      </c>
      <c r="B6826" t="s">
        <v>127</v>
      </c>
      <c r="C6826">
        <v>318</v>
      </c>
      <c r="D6826">
        <f t="shared" si="232"/>
        <v>2024</v>
      </c>
      <c r="E6826">
        <f t="shared" si="233"/>
        <v>7</v>
      </c>
    </row>
    <row r="6827" spans="1:5" x14ac:dyDescent="0.3">
      <c r="A6827" t="s">
        <v>6952</v>
      </c>
      <c r="B6827" t="s">
        <v>127</v>
      </c>
      <c r="C6827">
        <v>318</v>
      </c>
      <c r="D6827">
        <f t="shared" si="232"/>
        <v>2024</v>
      </c>
      <c r="E6827">
        <f t="shared" si="233"/>
        <v>7</v>
      </c>
    </row>
    <row r="6828" spans="1:5" x14ac:dyDescent="0.3">
      <c r="A6828" t="s">
        <v>6953</v>
      </c>
      <c r="B6828" t="s">
        <v>127</v>
      </c>
      <c r="C6828">
        <v>313</v>
      </c>
      <c r="D6828">
        <f t="shared" si="232"/>
        <v>2024</v>
      </c>
      <c r="E6828">
        <f t="shared" si="233"/>
        <v>7</v>
      </c>
    </row>
    <row r="6829" spans="1:5" x14ac:dyDescent="0.3">
      <c r="A6829" t="s">
        <v>6954</v>
      </c>
      <c r="B6829" t="s">
        <v>127</v>
      </c>
      <c r="C6829">
        <v>313</v>
      </c>
      <c r="D6829">
        <f t="shared" si="232"/>
        <v>2024</v>
      </c>
      <c r="E6829">
        <f t="shared" si="233"/>
        <v>7</v>
      </c>
    </row>
    <row r="6830" spans="1:5" x14ac:dyDescent="0.3">
      <c r="A6830" t="s">
        <v>6955</v>
      </c>
      <c r="B6830" t="s">
        <v>127</v>
      </c>
      <c r="C6830">
        <v>316</v>
      </c>
      <c r="D6830">
        <f t="shared" si="232"/>
        <v>2024</v>
      </c>
      <c r="E6830">
        <f t="shared" si="233"/>
        <v>7</v>
      </c>
    </row>
    <row r="6831" spans="1:5" x14ac:dyDescent="0.3">
      <c r="A6831" t="s">
        <v>6956</v>
      </c>
      <c r="B6831" t="s">
        <v>127</v>
      </c>
      <c r="C6831">
        <v>318</v>
      </c>
      <c r="D6831">
        <f t="shared" si="232"/>
        <v>2024</v>
      </c>
      <c r="E6831">
        <f t="shared" si="233"/>
        <v>7</v>
      </c>
    </row>
    <row r="6832" spans="1:5" x14ac:dyDescent="0.3">
      <c r="A6832" t="s">
        <v>6957</v>
      </c>
      <c r="B6832" t="s">
        <v>127</v>
      </c>
      <c r="C6832">
        <v>311</v>
      </c>
      <c r="D6832">
        <f t="shared" si="232"/>
        <v>2024</v>
      </c>
      <c r="E6832">
        <f t="shared" si="233"/>
        <v>7</v>
      </c>
    </row>
    <row r="6833" spans="1:5" x14ac:dyDescent="0.3">
      <c r="A6833" t="s">
        <v>6958</v>
      </c>
      <c r="B6833" t="s">
        <v>127</v>
      </c>
      <c r="C6833">
        <v>308</v>
      </c>
      <c r="D6833">
        <f t="shared" si="232"/>
        <v>2024</v>
      </c>
      <c r="E6833">
        <f t="shared" si="233"/>
        <v>7</v>
      </c>
    </row>
    <row r="6834" spans="1:5" x14ac:dyDescent="0.3">
      <c r="A6834" t="s">
        <v>6959</v>
      </c>
      <c r="B6834" t="s">
        <v>127</v>
      </c>
      <c r="C6834">
        <v>309</v>
      </c>
      <c r="D6834">
        <f t="shared" si="232"/>
        <v>2024</v>
      </c>
      <c r="E6834">
        <f t="shared" si="233"/>
        <v>7</v>
      </c>
    </row>
    <row r="6835" spans="1:5" x14ac:dyDescent="0.3">
      <c r="A6835" t="s">
        <v>6960</v>
      </c>
      <c r="B6835" t="s">
        <v>127</v>
      </c>
      <c r="C6835">
        <v>312</v>
      </c>
      <c r="D6835">
        <f t="shared" si="232"/>
        <v>2024</v>
      </c>
      <c r="E6835">
        <f t="shared" si="233"/>
        <v>7</v>
      </c>
    </row>
    <row r="6836" spans="1:5" x14ac:dyDescent="0.3">
      <c r="A6836" t="s">
        <v>6961</v>
      </c>
      <c r="B6836" t="s">
        <v>127</v>
      </c>
      <c r="C6836">
        <v>318</v>
      </c>
      <c r="D6836">
        <f t="shared" si="232"/>
        <v>2024</v>
      </c>
      <c r="E6836">
        <f t="shared" si="233"/>
        <v>7</v>
      </c>
    </row>
    <row r="6837" spans="1:5" x14ac:dyDescent="0.3">
      <c r="A6837" t="s">
        <v>6962</v>
      </c>
      <c r="B6837" t="s">
        <v>127</v>
      </c>
      <c r="C6837">
        <v>319</v>
      </c>
      <c r="D6837">
        <f t="shared" si="232"/>
        <v>2024</v>
      </c>
      <c r="E6837">
        <f t="shared" si="233"/>
        <v>7</v>
      </c>
    </row>
    <row r="6838" spans="1:5" x14ac:dyDescent="0.3">
      <c r="A6838" t="s">
        <v>6963</v>
      </c>
      <c r="B6838" t="s">
        <v>127</v>
      </c>
      <c r="C6838">
        <v>315</v>
      </c>
      <c r="D6838">
        <f t="shared" si="232"/>
        <v>2024</v>
      </c>
      <c r="E6838">
        <f t="shared" si="233"/>
        <v>7</v>
      </c>
    </row>
    <row r="6839" spans="1:5" x14ac:dyDescent="0.3">
      <c r="A6839" t="s">
        <v>6964</v>
      </c>
      <c r="B6839" t="s">
        <v>127</v>
      </c>
      <c r="C6839">
        <v>321</v>
      </c>
      <c r="D6839">
        <f t="shared" si="232"/>
        <v>2024</v>
      </c>
      <c r="E6839">
        <f t="shared" si="233"/>
        <v>7</v>
      </c>
    </row>
    <row r="6840" spans="1:5" x14ac:dyDescent="0.3">
      <c r="A6840" t="s">
        <v>6965</v>
      </c>
      <c r="B6840" t="s">
        <v>127</v>
      </c>
      <c r="C6840">
        <v>317</v>
      </c>
      <c r="D6840">
        <f t="shared" si="232"/>
        <v>2024</v>
      </c>
      <c r="E6840">
        <f t="shared" si="233"/>
        <v>7</v>
      </c>
    </row>
    <row r="6841" spans="1:5" x14ac:dyDescent="0.3">
      <c r="A6841" t="s">
        <v>6966</v>
      </c>
      <c r="B6841" t="s">
        <v>127</v>
      </c>
      <c r="C6841">
        <v>319</v>
      </c>
      <c r="D6841">
        <f t="shared" si="232"/>
        <v>2024</v>
      </c>
      <c r="E6841">
        <f t="shared" si="233"/>
        <v>7</v>
      </c>
    </row>
    <row r="6842" spans="1:5" x14ac:dyDescent="0.3">
      <c r="A6842" t="s">
        <v>6967</v>
      </c>
      <c r="B6842" t="s">
        <v>127</v>
      </c>
      <c r="C6842">
        <v>319</v>
      </c>
      <c r="D6842">
        <f t="shared" si="232"/>
        <v>2024</v>
      </c>
      <c r="E6842">
        <f t="shared" si="233"/>
        <v>7</v>
      </c>
    </row>
    <row r="6843" spans="1:5" x14ac:dyDescent="0.3">
      <c r="A6843" t="s">
        <v>6968</v>
      </c>
      <c r="B6843" t="s">
        <v>127</v>
      </c>
      <c r="C6843">
        <v>321</v>
      </c>
      <c r="D6843">
        <f t="shared" si="232"/>
        <v>2024</v>
      </c>
      <c r="E6843">
        <f t="shared" si="233"/>
        <v>7</v>
      </c>
    </row>
    <row r="6844" spans="1:5" x14ac:dyDescent="0.3">
      <c r="A6844" t="s">
        <v>6969</v>
      </c>
      <c r="B6844" t="s">
        <v>127</v>
      </c>
      <c r="C6844">
        <v>318</v>
      </c>
      <c r="D6844">
        <f t="shared" si="232"/>
        <v>2024</v>
      </c>
      <c r="E6844">
        <f t="shared" si="233"/>
        <v>7</v>
      </c>
    </row>
    <row r="6845" spans="1:5" x14ac:dyDescent="0.3">
      <c r="A6845" t="s">
        <v>6970</v>
      </c>
      <c r="B6845" t="s">
        <v>127</v>
      </c>
      <c r="C6845">
        <v>323</v>
      </c>
      <c r="D6845">
        <f t="shared" si="232"/>
        <v>2024</v>
      </c>
      <c r="E6845">
        <f t="shared" si="233"/>
        <v>7</v>
      </c>
    </row>
    <row r="6846" spans="1:5" x14ac:dyDescent="0.3">
      <c r="A6846" t="s">
        <v>6971</v>
      </c>
      <c r="B6846" t="s">
        <v>127</v>
      </c>
      <c r="C6846">
        <v>324</v>
      </c>
      <c r="D6846">
        <f t="shared" si="232"/>
        <v>2024</v>
      </c>
      <c r="E6846">
        <f t="shared" si="233"/>
        <v>7</v>
      </c>
    </row>
    <row r="6847" spans="1:5" x14ac:dyDescent="0.3">
      <c r="A6847" t="s">
        <v>6972</v>
      </c>
      <c r="B6847" t="s">
        <v>127</v>
      </c>
      <c r="C6847">
        <v>328</v>
      </c>
      <c r="D6847">
        <f t="shared" si="232"/>
        <v>2024</v>
      </c>
      <c r="E6847">
        <f t="shared" si="233"/>
        <v>8</v>
      </c>
    </row>
    <row r="6848" spans="1:5" x14ac:dyDescent="0.3">
      <c r="A6848" t="s">
        <v>6973</v>
      </c>
      <c r="B6848" t="s">
        <v>127</v>
      </c>
      <c r="C6848">
        <v>345</v>
      </c>
      <c r="D6848">
        <f t="shared" si="232"/>
        <v>2024</v>
      </c>
      <c r="E6848">
        <f t="shared" si="233"/>
        <v>8</v>
      </c>
    </row>
    <row r="6849" spans="1:5" x14ac:dyDescent="0.3">
      <c r="A6849" t="s">
        <v>6974</v>
      </c>
      <c r="B6849" t="s">
        <v>127</v>
      </c>
      <c r="C6849">
        <v>353</v>
      </c>
      <c r="D6849">
        <f t="shared" si="232"/>
        <v>2024</v>
      </c>
      <c r="E6849">
        <f t="shared" si="233"/>
        <v>8</v>
      </c>
    </row>
    <row r="6850" spans="1:5" x14ac:dyDescent="0.3">
      <c r="A6850" t="s">
        <v>6975</v>
      </c>
      <c r="B6850" t="s">
        <v>127</v>
      </c>
      <c r="C6850">
        <v>349</v>
      </c>
      <c r="D6850">
        <f t="shared" si="232"/>
        <v>2024</v>
      </c>
      <c r="E6850">
        <f t="shared" si="233"/>
        <v>8</v>
      </c>
    </row>
    <row r="6851" spans="1:5" x14ac:dyDescent="0.3">
      <c r="A6851" t="s">
        <v>6976</v>
      </c>
      <c r="B6851" t="s">
        <v>127</v>
      </c>
      <c r="C6851">
        <v>339</v>
      </c>
      <c r="D6851">
        <f t="shared" ref="D6851:D6914" si="234">YEAR(A6851)</f>
        <v>2024</v>
      </c>
      <c r="E6851">
        <f t="shared" ref="E6851:E6914" si="235">MONTH(A6851)</f>
        <v>8</v>
      </c>
    </row>
    <row r="6852" spans="1:5" x14ac:dyDescent="0.3">
      <c r="A6852" t="s">
        <v>6977</v>
      </c>
      <c r="B6852" t="s">
        <v>127</v>
      </c>
      <c r="C6852">
        <v>333</v>
      </c>
      <c r="D6852">
        <f t="shared" si="234"/>
        <v>2024</v>
      </c>
      <c r="E6852">
        <f t="shared" si="235"/>
        <v>8</v>
      </c>
    </row>
    <row r="6853" spans="1:5" x14ac:dyDescent="0.3">
      <c r="A6853" t="s">
        <v>6978</v>
      </c>
      <c r="B6853" t="s">
        <v>127</v>
      </c>
      <c r="C6853">
        <v>330</v>
      </c>
      <c r="D6853">
        <f t="shared" si="234"/>
        <v>2024</v>
      </c>
      <c r="E6853">
        <f t="shared" si="235"/>
        <v>8</v>
      </c>
    </row>
    <row r="6854" spans="1:5" x14ac:dyDescent="0.3">
      <c r="A6854" t="s">
        <v>6979</v>
      </c>
      <c r="B6854" t="s">
        <v>127</v>
      </c>
      <c r="C6854">
        <v>329</v>
      </c>
      <c r="D6854">
        <f t="shared" si="234"/>
        <v>2024</v>
      </c>
      <c r="E6854">
        <f t="shared" si="235"/>
        <v>8</v>
      </c>
    </row>
    <row r="6855" spans="1:5" x14ac:dyDescent="0.3">
      <c r="A6855" t="s">
        <v>6980</v>
      </c>
      <c r="B6855" t="s">
        <v>127</v>
      </c>
      <c r="C6855">
        <v>329</v>
      </c>
      <c r="D6855">
        <f t="shared" si="234"/>
        <v>2024</v>
      </c>
      <c r="E6855">
        <f t="shared" si="235"/>
        <v>8</v>
      </c>
    </row>
    <row r="6856" spans="1:5" x14ac:dyDescent="0.3">
      <c r="A6856" t="s">
        <v>6981</v>
      </c>
      <c r="B6856" t="s">
        <v>127</v>
      </c>
      <c r="C6856">
        <v>324</v>
      </c>
      <c r="D6856">
        <f t="shared" si="234"/>
        <v>2024</v>
      </c>
      <c r="E6856">
        <f t="shared" si="235"/>
        <v>8</v>
      </c>
    </row>
    <row r="6857" spans="1:5" x14ac:dyDescent="0.3">
      <c r="A6857" t="s">
        <v>6982</v>
      </c>
      <c r="B6857" t="s">
        <v>127</v>
      </c>
      <c r="C6857">
        <v>322</v>
      </c>
      <c r="D6857">
        <f t="shared" si="234"/>
        <v>2024</v>
      </c>
      <c r="E6857">
        <f t="shared" si="235"/>
        <v>8</v>
      </c>
    </row>
    <row r="6858" spans="1:5" x14ac:dyDescent="0.3">
      <c r="A6858" t="s">
        <v>6983</v>
      </c>
      <c r="B6858" t="s">
        <v>127</v>
      </c>
      <c r="C6858">
        <v>321</v>
      </c>
      <c r="D6858">
        <f t="shared" si="234"/>
        <v>2024</v>
      </c>
      <c r="E6858">
        <f t="shared" si="235"/>
        <v>8</v>
      </c>
    </row>
    <row r="6859" spans="1:5" x14ac:dyDescent="0.3">
      <c r="A6859" t="s">
        <v>6984</v>
      </c>
      <c r="B6859" t="s">
        <v>127</v>
      </c>
      <c r="C6859">
        <v>319</v>
      </c>
      <c r="D6859">
        <f t="shared" si="234"/>
        <v>2024</v>
      </c>
      <c r="E6859">
        <f t="shared" si="235"/>
        <v>8</v>
      </c>
    </row>
    <row r="6860" spans="1:5" x14ac:dyDescent="0.3">
      <c r="A6860" t="s">
        <v>6985</v>
      </c>
      <c r="B6860" t="s">
        <v>127</v>
      </c>
      <c r="C6860">
        <v>322</v>
      </c>
      <c r="D6860">
        <f t="shared" si="234"/>
        <v>2024</v>
      </c>
      <c r="E6860">
        <f t="shared" si="235"/>
        <v>8</v>
      </c>
    </row>
    <row r="6861" spans="1:5" x14ac:dyDescent="0.3">
      <c r="A6861" t="s">
        <v>6986</v>
      </c>
      <c r="B6861" t="s">
        <v>127</v>
      </c>
      <c r="C6861">
        <v>324</v>
      </c>
      <c r="D6861">
        <f t="shared" si="234"/>
        <v>2024</v>
      </c>
      <c r="E6861">
        <f t="shared" si="235"/>
        <v>8</v>
      </c>
    </row>
    <row r="6862" spans="1:5" x14ac:dyDescent="0.3">
      <c r="A6862" t="s">
        <v>6987</v>
      </c>
      <c r="B6862" t="s">
        <v>127</v>
      </c>
      <c r="C6862">
        <v>326</v>
      </c>
      <c r="D6862">
        <f t="shared" si="234"/>
        <v>2024</v>
      </c>
      <c r="E6862">
        <f t="shared" si="235"/>
        <v>8</v>
      </c>
    </row>
    <row r="6863" spans="1:5" x14ac:dyDescent="0.3">
      <c r="A6863" t="s">
        <v>6988</v>
      </c>
      <c r="B6863" t="s">
        <v>127</v>
      </c>
      <c r="C6863">
        <v>325</v>
      </c>
      <c r="D6863">
        <f t="shared" si="234"/>
        <v>2024</v>
      </c>
      <c r="E6863">
        <f t="shared" si="235"/>
        <v>8</v>
      </c>
    </row>
    <row r="6864" spans="1:5" x14ac:dyDescent="0.3">
      <c r="A6864" t="s">
        <v>6989</v>
      </c>
      <c r="B6864" t="s">
        <v>127</v>
      </c>
      <c r="C6864">
        <v>321</v>
      </c>
      <c r="D6864">
        <f t="shared" si="234"/>
        <v>2024</v>
      </c>
      <c r="E6864">
        <f t="shared" si="235"/>
        <v>8</v>
      </c>
    </row>
    <row r="6865" spans="1:5" x14ac:dyDescent="0.3">
      <c r="A6865" t="s">
        <v>6990</v>
      </c>
      <c r="B6865" t="s">
        <v>127</v>
      </c>
      <c r="C6865">
        <v>325</v>
      </c>
      <c r="D6865">
        <f t="shared" si="234"/>
        <v>2024</v>
      </c>
      <c r="E6865">
        <f t="shared" si="235"/>
        <v>8</v>
      </c>
    </row>
    <row r="6866" spans="1:5" x14ac:dyDescent="0.3">
      <c r="A6866" t="s">
        <v>6991</v>
      </c>
      <c r="B6866" t="s">
        <v>127</v>
      </c>
      <c r="C6866">
        <v>330</v>
      </c>
      <c r="D6866">
        <f t="shared" si="234"/>
        <v>2024</v>
      </c>
      <c r="E6866">
        <f t="shared" si="235"/>
        <v>8</v>
      </c>
    </row>
    <row r="6867" spans="1:5" x14ac:dyDescent="0.3">
      <c r="A6867" t="s">
        <v>6992</v>
      </c>
      <c r="B6867" t="s">
        <v>127</v>
      </c>
      <c r="C6867">
        <v>331</v>
      </c>
      <c r="D6867">
        <f t="shared" si="234"/>
        <v>2024</v>
      </c>
      <c r="E6867">
        <f t="shared" si="235"/>
        <v>8</v>
      </c>
    </row>
    <row r="6868" spans="1:5" x14ac:dyDescent="0.3">
      <c r="A6868" t="s">
        <v>6993</v>
      </c>
      <c r="B6868" t="s">
        <v>127</v>
      </c>
      <c r="C6868">
        <v>327</v>
      </c>
      <c r="D6868">
        <f t="shared" si="234"/>
        <v>2024</v>
      </c>
      <c r="E6868">
        <f t="shared" si="235"/>
        <v>8</v>
      </c>
    </row>
    <row r="6869" spans="1:5" x14ac:dyDescent="0.3">
      <c r="A6869" t="s">
        <v>6994</v>
      </c>
      <c r="B6869" t="s">
        <v>127</v>
      </c>
      <c r="C6869">
        <v>327</v>
      </c>
      <c r="D6869">
        <f t="shared" si="234"/>
        <v>2024</v>
      </c>
      <c r="E6869">
        <f t="shared" si="235"/>
        <v>9</v>
      </c>
    </row>
    <row r="6870" spans="1:5" x14ac:dyDescent="0.3">
      <c r="A6870" t="s">
        <v>6995</v>
      </c>
      <c r="B6870" t="s">
        <v>127</v>
      </c>
      <c r="C6870">
        <v>336</v>
      </c>
      <c r="D6870">
        <f t="shared" si="234"/>
        <v>2024</v>
      </c>
      <c r="E6870">
        <f t="shared" si="235"/>
        <v>9</v>
      </c>
    </row>
    <row r="6871" spans="1:5" x14ac:dyDescent="0.3">
      <c r="A6871" t="s">
        <v>6996</v>
      </c>
      <c r="B6871" t="s">
        <v>127</v>
      </c>
      <c r="C6871">
        <v>336</v>
      </c>
      <c r="D6871">
        <f t="shared" si="234"/>
        <v>2024</v>
      </c>
      <c r="E6871">
        <f t="shared" si="235"/>
        <v>9</v>
      </c>
    </row>
    <row r="6872" spans="1:5" x14ac:dyDescent="0.3">
      <c r="A6872" t="s">
        <v>6997</v>
      </c>
      <c r="B6872" t="s">
        <v>127</v>
      </c>
      <c r="C6872">
        <v>339</v>
      </c>
      <c r="D6872">
        <f t="shared" si="234"/>
        <v>2024</v>
      </c>
      <c r="E6872">
        <f t="shared" si="235"/>
        <v>9</v>
      </c>
    </row>
    <row r="6873" spans="1:5" x14ac:dyDescent="0.3">
      <c r="A6873" t="s">
        <v>6998</v>
      </c>
      <c r="B6873" t="s">
        <v>127</v>
      </c>
      <c r="C6873">
        <v>343</v>
      </c>
      <c r="D6873">
        <f t="shared" si="234"/>
        <v>2024</v>
      </c>
      <c r="E6873">
        <f t="shared" si="235"/>
        <v>9</v>
      </c>
    </row>
    <row r="6874" spans="1:5" x14ac:dyDescent="0.3">
      <c r="A6874" t="s">
        <v>6999</v>
      </c>
      <c r="B6874" t="s">
        <v>127</v>
      </c>
      <c r="C6874">
        <v>344</v>
      </c>
      <c r="D6874">
        <f t="shared" si="234"/>
        <v>2024</v>
      </c>
      <c r="E6874">
        <f t="shared" si="235"/>
        <v>9</v>
      </c>
    </row>
    <row r="6875" spans="1:5" x14ac:dyDescent="0.3">
      <c r="A6875" t="s">
        <v>7000</v>
      </c>
      <c r="B6875" t="s">
        <v>127</v>
      </c>
      <c r="C6875">
        <v>344</v>
      </c>
      <c r="D6875">
        <f t="shared" si="234"/>
        <v>2024</v>
      </c>
      <c r="E6875">
        <f t="shared" si="235"/>
        <v>9</v>
      </c>
    </row>
    <row r="6876" spans="1:5" x14ac:dyDescent="0.3">
      <c r="A6876" t="s">
        <v>7001</v>
      </c>
      <c r="B6876" t="s">
        <v>127</v>
      </c>
      <c r="C6876">
        <v>344</v>
      </c>
      <c r="D6876">
        <f t="shared" si="234"/>
        <v>2024</v>
      </c>
      <c r="E6876">
        <f t="shared" si="235"/>
        <v>9</v>
      </c>
    </row>
    <row r="6877" spans="1:5" x14ac:dyDescent="0.3">
      <c r="A6877" t="s">
        <v>7002</v>
      </c>
      <c r="B6877" t="s">
        <v>127</v>
      </c>
      <c r="C6877">
        <v>339</v>
      </c>
      <c r="D6877">
        <f t="shared" si="234"/>
        <v>2024</v>
      </c>
      <c r="E6877">
        <f t="shared" si="235"/>
        <v>9</v>
      </c>
    </row>
    <row r="6878" spans="1:5" x14ac:dyDescent="0.3">
      <c r="A6878" t="s">
        <v>7003</v>
      </c>
      <c r="B6878" t="s">
        <v>127</v>
      </c>
      <c r="C6878">
        <v>335</v>
      </c>
      <c r="D6878">
        <f t="shared" si="234"/>
        <v>2024</v>
      </c>
      <c r="E6878">
        <f t="shared" si="235"/>
        <v>9</v>
      </c>
    </row>
    <row r="6879" spans="1:5" x14ac:dyDescent="0.3">
      <c r="A6879" t="s">
        <v>7004</v>
      </c>
      <c r="B6879" t="s">
        <v>127</v>
      </c>
      <c r="C6879">
        <v>337</v>
      </c>
      <c r="D6879">
        <f t="shared" si="234"/>
        <v>2024</v>
      </c>
      <c r="E6879">
        <f t="shared" si="235"/>
        <v>9</v>
      </c>
    </row>
    <row r="6880" spans="1:5" x14ac:dyDescent="0.3">
      <c r="A6880" t="s">
        <v>7005</v>
      </c>
      <c r="B6880" t="s">
        <v>127</v>
      </c>
      <c r="C6880">
        <v>332</v>
      </c>
      <c r="D6880">
        <f t="shared" si="234"/>
        <v>2024</v>
      </c>
      <c r="E6880">
        <f t="shared" si="235"/>
        <v>9</v>
      </c>
    </row>
    <row r="6881" spans="1:5" x14ac:dyDescent="0.3">
      <c r="A6881" t="s">
        <v>7006</v>
      </c>
      <c r="B6881" t="s">
        <v>127</v>
      </c>
      <c r="C6881">
        <v>325</v>
      </c>
      <c r="D6881">
        <f t="shared" si="234"/>
        <v>2024</v>
      </c>
      <c r="E6881">
        <f t="shared" si="235"/>
        <v>9</v>
      </c>
    </row>
    <row r="6882" spans="1:5" x14ac:dyDescent="0.3">
      <c r="A6882" t="s">
        <v>7007</v>
      </c>
      <c r="B6882" t="s">
        <v>127</v>
      </c>
      <c r="C6882">
        <v>321</v>
      </c>
      <c r="D6882">
        <f t="shared" si="234"/>
        <v>2024</v>
      </c>
      <c r="E6882">
        <f t="shared" si="235"/>
        <v>9</v>
      </c>
    </row>
    <row r="6883" spans="1:5" x14ac:dyDescent="0.3">
      <c r="A6883" t="s">
        <v>7008</v>
      </c>
      <c r="B6883" t="s">
        <v>127</v>
      </c>
      <c r="C6883">
        <v>324</v>
      </c>
      <c r="D6883">
        <f t="shared" si="234"/>
        <v>2024</v>
      </c>
      <c r="E6883">
        <f t="shared" si="235"/>
        <v>9</v>
      </c>
    </row>
    <row r="6884" spans="1:5" x14ac:dyDescent="0.3">
      <c r="A6884" t="s">
        <v>7009</v>
      </c>
      <c r="B6884" t="s">
        <v>127</v>
      </c>
      <c r="C6884">
        <v>323</v>
      </c>
      <c r="D6884">
        <f t="shared" si="234"/>
        <v>2024</v>
      </c>
      <c r="E6884">
        <f t="shared" si="235"/>
        <v>9</v>
      </c>
    </row>
    <row r="6885" spans="1:5" x14ac:dyDescent="0.3">
      <c r="A6885" t="s">
        <v>7010</v>
      </c>
      <c r="B6885" t="s">
        <v>127</v>
      </c>
      <c r="C6885">
        <v>323</v>
      </c>
      <c r="D6885">
        <f t="shared" si="234"/>
        <v>2024</v>
      </c>
      <c r="E6885">
        <f t="shared" si="235"/>
        <v>9</v>
      </c>
    </row>
    <row r="6886" spans="1:5" x14ac:dyDescent="0.3">
      <c r="A6886" t="s">
        <v>7011</v>
      </c>
      <c r="B6886" t="s">
        <v>127</v>
      </c>
      <c r="C6886">
        <v>320</v>
      </c>
      <c r="D6886">
        <f t="shared" si="234"/>
        <v>2024</v>
      </c>
      <c r="E6886">
        <f t="shared" si="235"/>
        <v>9</v>
      </c>
    </row>
    <row r="6887" spans="1:5" x14ac:dyDescent="0.3">
      <c r="A6887" t="s">
        <v>7012</v>
      </c>
      <c r="B6887" t="s">
        <v>127</v>
      </c>
      <c r="C6887">
        <v>319</v>
      </c>
      <c r="D6887">
        <f t="shared" si="234"/>
        <v>2024</v>
      </c>
      <c r="E6887">
        <f t="shared" si="235"/>
        <v>9</v>
      </c>
    </row>
    <row r="6888" spans="1:5" x14ac:dyDescent="0.3">
      <c r="A6888" t="s">
        <v>7013</v>
      </c>
      <c r="B6888" t="s">
        <v>127</v>
      </c>
      <c r="C6888">
        <v>316</v>
      </c>
      <c r="D6888">
        <f t="shared" si="234"/>
        <v>2024</v>
      </c>
      <c r="E6888">
        <f t="shared" si="235"/>
        <v>9</v>
      </c>
    </row>
    <row r="6889" spans="1:5" x14ac:dyDescent="0.3">
      <c r="A6889" t="s">
        <v>7014</v>
      </c>
      <c r="B6889" t="s">
        <v>127</v>
      </c>
      <c r="C6889">
        <v>315</v>
      </c>
      <c r="D6889">
        <f t="shared" si="234"/>
        <v>2024</v>
      </c>
      <c r="E6889">
        <f t="shared" si="235"/>
        <v>9</v>
      </c>
    </row>
    <row r="6890" spans="1:5" x14ac:dyDescent="0.3">
      <c r="A6890" t="s">
        <v>7015</v>
      </c>
      <c r="B6890" t="s">
        <v>127</v>
      </c>
      <c r="C6890">
        <v>315</v>
      </c>
      <c r="D6890">
        <f t="shared" si="234"/>
        <v>2024</v>
      </c>
      <c r="E6890">
        <f t="shared" si="235"/>
        <v>10</v>
      </c>
    </row>
    <row r="6891" spans="1:5" x14ac:dyDescent="0.3">
      <c r="A6891" t="s">
        <v>7016</v>
      </c>
      <c r="B6891" t="s">
        <v>127</v>
      </c>
      <c r="C6891">
        <v>307</v>
      </c>
      <c r="D6891">
        <f t="shared" si="234"/>
        <v>2024</v>
      </c>
      <c r="E6891">
        <f t="shared" si="235"/>
        <v>10</v>
      </c>
    </row>
    <row r="6892" spans="1:5" x14ac:dyDescent="0.3">
      <c r="A6892" t="s">
        <v>7017</v>
      </c>
      <c r="B6892" t="s">
        <v>127</v>
      </c>
      <c r="C6892">
        <v>302</v>
      </c>
      <c r="D6892">
        <f t="shared" si="234"/>
        <v>2024</v>
      </c>
      <c r="E6892">
        <f t="shared" si="235"/>
        <v>10</v>
      </c>
    </row>
    <row r="6893" spans="1:5" x14ac:dyDescent="0.3">
      <c r="A6893" t="s">
        <v>7018</v>
      </c>
      <c r="B6893" t="s">
        <v>127</v>
      </c>
      <c r="C6893">
        <v>292</v>
      </c>
      <c r="D6893">
        <f t="shared" si="234"/>
        <v>2024</v>
      </c>
      <c r="E6893">
        <f t="shared" si="235"/>
        <v>10</v>
      </c>
    </row>
    <row r="6894" spans="1:5" x14ac:dyDescent="0.3">
      <c r="A6894" t="s">
        <v>7019</v>
      </c>
      <c r="B6894" t="s">
        <v>127</v>
      </c>
      <c r="C6894">
        <v>296</v>
      </c>
      <c r="D6894">
        <f t="shared" si="234"/>
        <v>2024</v>
      </c>
      <c r="E6894">
        <f t="shared" si="235"/>
        <v>10</v>
      </c>
    </row>
    <row r="6895" spans="1:5" x14ac:dyDescent="0.3">
      <c r="A6895" t="s">
        <v>7020</v>
      </c>
      <c r="B6895" t="s">
        <v>127</v>
      </c>
      <c r="C6895">
        <v>304</v>
      </c>
      <c r="D6895">
        <f t="shared" si="234"/>
        <v>2024</v>
      </c>
      <c r="E6895">
        <f t="shared" si="235"/>
        <v>10</v>
      </c>
    </row>
    <row r="6896" spans="1:5" x14ac:dyDescent="0.3">
      <c r="A6896" t="s">
        <v>7021</v>
      </c>
      <c r="B6896" t="s">
        <v>127</v>
      </c>
      <c r="C6896">
        <v>301</v>
      </c>
      <c r="D6896">
        <f t="shared" si="234"/>
        <v>2024</v>
      </c>
      <c r="E6896">
        <f t="shared" si="235"/>
        <v>10</v>
      </c>
    </row>
    <row r="6897" spans="1:5" x14ac:dyDescent="0.3">
      <c r="A6897" t="s">
        <v>7022</v>
      </c>
      <c r="B6897" t="s">
        <v>127</v>
      </c>
      <c r="C6897">
        <v>305</v>
      </c>
      <c r="D6897">
        <f t="shared" si="234"/>
        <v>2024</v>
      </c>
      <c r="E6897">
        <f t="shared" si="235"/>
        <v>10</v>
      </c>
    </row>
    <row r="6898" spans="1:5" x14ac:dyDescent="0.3">
      <c r="A6898" t="s">
        <v>7023</v>
      </c>
      <c r="B6898" t="s">
        <v>127</v>
      </c>
      <c r="C6898">
        <v>304</v>
      </c>
      <c r="D6898">
        <f t="shared" si="234"/>
        <v>2024</v>
      </c>
      <c r="E6898">
        <f t="shared" si="235"/>
        <v>10</v>
      </c>
    </row>
    <row r="6899" spans="1:5" x14ac:dyDescent="0.3">
      <c r="A6899" t="s">
        <v>7024</v>
      </c>
      <c r="B6899" t="s">
        <v>127</v>
      </c>
      <c r="C6899">
        <v>305</v>
      </c>
      <c r="D6899">
        <f t="shared" si="234"/>
        <v>2024</v>
      </c>
      <c r="E6899">
        <f t="shared" si="235"/>
        <v>10</v>
      </c>
    </row>
    <row r="6900" spans="1:5" x14ac:dyDescent="0.3">
      <c r="A6900" t="s">
        <v>7025</v>
      </c>
      <c r="B6900" t="s">
        <v>127</v>
      </c>
      <c r="C6900">
        <v>305</v>
      </c>
      <c r="D6900">
        <f t="shared" si="234"/>
        <v>2024</v>
      </c>
      <c r="E6900">
        <f t="shared" si="235"/>
        <v>10</v>
      </c>
    </row>
    <row r="6901" spans="1:5" x14ac:dyDescent="0.3">
      <c r="A6901" t="s">
        <v>7026</v>
      </c>
      <c r="B6901" t="s">
        <v>127</v>
      </c>
      <c r="C6901">
        <v>306</v>
      </c>
      <c r="D6901">
        <f t="shared" si="234"/>
        <v>2024</v>
      </c>
      <c r="E6901">
        <f t="shared" si="235"/>
        <v>10</v>
      </c>
    </row>
    <row r="6902" spans="1:5" x14ac:dyDescent="0.3">
      <c r="A6902" t="s">
        <v>7027</v>
      </c>
      <c r="B6902" t="s">
        <v>127</v>
      </c>
      <c r="C6902">
        <v>306</v>
      </c>
      <c r="D6902">
        <f t="shared" si="234"/>
        <v>2024</v>
      </c>
      <c r="E6902">
        <f t="shared" si="235"/>
        <v>10</v>
      </c>
    </row>
    <row r="6903" spans="1:5" x14ac:dyDescent="0.3">
      <c r="A6903" t="s">
        <v>7028</v>
      </c>
      <c r="B6903" t="s">
        <v>127</v>
      </c>
      <c r="C6903">
        <v>303</v>
      </c>
      <c r="D6903">
        <f t="shared" si="234"/>
        <v>2024</v>
      </c>
      <c r="E6903">
        <f t="shared" si="235"/>
        <v>10</v>
      </c>
    </row>
    <row r="6904" spans="1:5" x14ac:dyDescent="0.3">
      <c r="A6904" t="s">
        <v>7029</v>
      </c>
      <c r="B6904" t="s">
        <v>127</v>
      </c>
      <c r="C6904">
        <v>304</v>
      </c>
      <c r="D6904">
        <f t="shared" si="234"/>
        <v>2024</v>
      </c>
      <c r="E6904">
        <f t="shared" si="235"/>
        <v>10</v>
      </c>
    </row>
    <row r="6905" spans="1:5" x14ac:dyDescent="0.3">
      <c r="A6905" t="s">
        <v>7030</v>
      </c>
      <c r="B6905" t="s">
        <v>127</v>
      </c>
      <c r="C6905">
        <v>307</v>
      </c>
      <c r="D6905">
        <f t="shared" si="234"/>
        <v>2024</v>
      </c>
      <c r="E6905">
        <f t="shared" si="235"/>
        <v>10</v>
      </c>
    </row>
    <row r="6906" spans="1:5" x14ac:dyDescent="0.3">
      <c r="A6906" t="s">
        <v>7031</v>
      </c>
      <c r="B6906" t="s">
        <v>127</v>
      </c>
      <c r="C6906">
        <v>310</v>
      </c>
      <c r="D6906">
        <f t="shared" si="234"/>
        <v>2024</v>
      </c>
      <c r="E6906">
        <f t="shared" si="235"/>
        <v>10</v>
      </c>
    </row>
    <row r="6907" spans="1:5" x14ac:dyDescent="0.3">
      <c r="A6907" t="s">
        <v>7032</v>
      </c>
      <c r="B6907" t="s">
        <v>127</v>
      </c>
      <c r="C6907">
        <v>308</v>
      </c>
      <c r="D6907">
        <f t="shared" si="234"/>
        <v>2024</v>
      </c>
      <c r="E6907">
        <f t="shared" si="235"/>
        <v>10</v>
      </c>
    </row>
    <row r="6908" spans="1:5" x14ac:dyDescent="0.3">
      <c r="A6908" t="s">
        <v>7033</v>
      </c>
      <c r="B6908" t="s">
        <v>127</v>
      </c>
      <c r="C6908">
        <v>305</v>
      </c>
      <c r="D6908">
        <f t="shared" si="234"/>
        <v>2024</v>
      </c>
      <c r="E6908">
        <f t="shared" si="235"/>
        <v>10</v>
      </c>
    </row>
    <row r="6909" spans="1:5" x14ac:dyDescent="0.3">
      <c r="A6909" t="s">
        <v>7034</v>
      </c>
      <c r="B6909" t="s">
        <v>127</v>
      </c>
      <c r="C6909">
        <v>305</v>
      </c>
      <c r="D6909">
        <f t="shared" si="234"/>
        <v>2024</v>
      </c>
      <c r="E6909">
        <f t="shared" si="235"/>
        <v>10</v>
      </c>
    </row>
    <row r="6910" spans="1:5" x14ac:dyDescent="0.3">
      <c r="A6910" t="s">
        <v>7035</v>
      </c>
      <c r="B6910" t="s">
        <v>127</v>
      </c>
      <c r="C6910">
        <v>301</v>
      </c>
      <c r="D6910">
        <f t="shared" si="234"/>
        <v>2024</v>
      </c>
      <c r="E6910">
        <f t="shared" si="235"/>
        <v>10</v>
      </c>
    </row>
    <row r="6911" spans="1:5" x14ac:dyDescent="0.3">
      <c r="A6911" t="s">
        <v>7036</v>
      </c>
      <c r="B6911" t="s">
        <v>127</v>
      </c>
      <c r="C6911">
        <v>299</v>
      </c>
      <c r="D6911">
        <f t="shared" si="234"/>
        <v>2024</v>
      </c>
      <c r="E6911">
        <f t="shared" si="235"/>
        <v>10</v>
      </c>
    </row>
    <row r="6912" spans="1:5" x14ac:dyDescent="0.3">
      <c r="A6912" t="s">
        <v>7037</v>
      </c>
      <c r="B6912" t="s">
        <v>127</v>
      </c>
      <c r="C6912">
        <v>307</v>
      </c>
      <c r="D6912">
        <f t="shared" si="234"/>
        <v>2024</v>
      </c>
      <c r="E6912">
        <f t="shared" si="235"/>
        <v>10</v>
      </c>
    </row>
    <row r="6913" spans="1:5" x14ac:dyDescent="0.3">
      <c r="A6913" t="s">
        <v>7038</v>
      </c>
      <c r="B6913" t="s">
        <v>127</v>
      </c>
      <c r="C6913">
        <v>302</v>
      </c>
      <c r="D6913">
        <f t="shared" si="234"/>
        <v>2024</v>
      </c>
      <c r="E6913">
        <f t="shared" si="235"/>
        <v>11</v>
      </c>
    </row>
    <row r="6914" spans="1:5" x14ac:dyDescent="0.3">
      <c r="A6914" t="s">
        <v>7039</v>
      </c>
      <c r="B6914" t="s">
        <v>127</v>
      </c>
      <c r="C6914">
        <v>308</v>
      </c>
      <c r="D6914">
        <f t="shared" si="234"/>
        <v>2024</v>
      </c>
      <c r="E6914">
        <f t="shared" si="235"/>
        <v>11</v>
      </c>
    </row>
    <row r="6915" spans="1:5" x14ac:dyDescent="0.3">
      <c r="A6915" t="s">
        <v>7040</v>
      </c>
      <c r="B6915" t="s">
        <v>127</v>
      </c>
      <c r="C6915">
        <v>308</v>
      </c>
      <c r="D6915">
        <f t="shared" ref="D6915:D6978" si="236">YEAR(A6915)</f>
        <v>2024</v>
      </c>
      <c r="E6915">
        <f t="shared" ref="E6915:E6978" si="237">MONTH(A6915)</f>
        <v>11</v>
      </c>
    </row>
    <row r="6916" spans="1:5" x14ac:dyDescent="0.3">
      <c r="A6916" t="s">
        <v>7041</v>
      </c>
      <c r="B6916" t="s">
        <v>127</v>
      </c>
      <c r="C6916">
        <v>297</v>
      </c>
      <c r="D6916">
        <f t="shared" si="236"/>
        <v>2024</v>
      </c>
      <c r="E6916">
        <f t="shared" si="237"/>
        <v>11</v>
      </c>
    </row>
    <row r="6917" spans="1:5" x14ac:dyDescent="0.3">
      <c r="A6917" t="s">
        <v>7042</v>
      </c>
      <c r="B6917" t="s">
        <v>127</v>
      </c>
      <c r="C6917">
        <v>289</v>
      </c>
      <c r="D6917">
        <f t="shared" si="236"/>
        <v>2024</v>
      </c>
      <c r="E6917">
        <f t="shared" si="237"/>
        <v>11</v>
      </c>
    </row>
    <row r="6918" spans="1:5" x14ac:dyDescent="0.3">
      <c r="A6918" t="s">
        <v>7043</v>
      </c>
      <c r="B6918" t="s">
        <v>127</v>
      </c>
      <c r="C6918">
        <v>295</v>
      </c>
      <c r="D6918">
        <f t="shared" si="236"/>
        <v>2024</v>
      </c>
      <c r="E6918">
        <f t="shared" si="237"/>
        <v>11</v>
      </c>
    </row>
    <row r="6919" spans="1:5" x14ac:dyDescent="0.3">
      <c r="A6919" t="s">
        <v>7044</v>
      </c>
      <c r="B6919" t="s">
        <v>127</v>
      </c>
      <c r="C6919">
        <v>295</v>
      </c>
      <c r="D6919">
        <f t="shared" si="236"/>
        <v>2024</v>
      </c>
      <c r="E6919">
        <f t="shared" si="237"/>
        <v>11</v>
      </c>
    </row>
    <row r="6920" spans="1:5" x14ac:dyDescent="0.3">
      <c r="A6920" t="s">
        <v>7045</v>
      </c>
      <c r="B6920" t="s">
        <v>127</v>
      </c>
      <c r="C6920">
        <v>294</v>
      </c>
      <c r="D6920">
        <f t="shared" si="236"/>
        <v>2024</v>
      </c>
      <c r="E6920">
        <f t="shared" si="237"/>
        <v>11</v>
      </c>
    </row>
    <row r="6921" spans="1:5" x14ac:dyDescent="0.3">
      <c r="A6921" t="s">
        <v>7046</v>
      </c>
      <c r="B6921" t="s">
        <v>127</v>
      </c>
      <c r="C6921">
        <v>293</v>
      </c>
      <c r="D6921">
        <f t="shared" si="236"/>
        <v>2024</v>
      </c>
      <c r="E6921">
        <f t="shared" si="237"/>
        <v>11</v>
      </c>
    </row>
    <row r="6922" spans="1:5" x14ac:dyDescent="0.3">
      <c r="A6922" t="s">
        <v>7047</v>
      </c>
      <c r="B6922" t="s">
        <v>127</v>
      </c>
      <c r="C6922">
        <v>296</v>
      </c>
      <c r="D6922">
        <f t="shared" si="236"/>
        <v>2024</v>
      </c>
      <c r="E6922">
        <f t="shared" si="237"/>
        <v>11</v>
      </c>
    </row>
    <row r="6923" spans="1:5" x14ac:dyDescent="0.3">
      <c r="A6923" t="s">
        <v>7048</v>
      </c>
      <c r="B6923" t="s">
        <v>127</v>
      </c>
      <c r="C6923">
        <v>305</v>
      </c>
      <c r="D6923">
        <f t="shared" si="236"/>
        <v>2024</v>
      </c>
      <c r="E6923">
        <f t="shared" si="237"/>
        <v>11</v>
      </c>
    </row>
    <row r="6924" spans="1:5" x14ac:dyDescent="0.3">
      <c r="A6924" t="s">
        <v>7049</v>
      </c>
      <c r="B6924" t="s">
        <v>127</v>
      </c>
      <c r="C6924">
        <v>312</v>
      </c>
      <c r="D6924">
        <f t="shared" si="236"/>
        <v>2024</v>
      </c>
      <c r="E6924">
        <f t="shared" si="237"/>
        <v>11</v>
      </c>
    </row>
    <row r="6925" spans="1:5" x14ac:dyDescent="0.3">
      <c r="A6925" t="s">
        <v>7050</v>
      </c>
      <c r="B6925" t="s">
        <v>127</v>
      </c>
      <c r="C6925">
        <v>307</v>
      </c>
      <c r="D6925">
        <f t="shared" si="236"/>
        <v>2024</v>
      </c>
      <c r="E6925">
        <f t="shared" si="237"/>
        <v>11</v>
      </c>
    </row>
    <row r="6926" spans="1:5" x14ac:dyDescent="0.3">
      <c r="A6926" t="s">
        <v>7051</v>
      </c>
      <c r="B6926" t="s">
        <v>127</v>
      </c>
      <c r="C6926">
        <v>305</v>
      </c>
      <c r="D6926">
        <f t="shared" si="236"/>
        <v>2024</v>
      </c>
      <c r="E6926">
        <f t="shared" si="237"/>
        <v>11</v>
      </c>
    </row>
    <row r="6927" spans="1:5" x14ac:dyDescent="0.3">
      <c r="A6927" t="s">
        <v>7052</v>
      </c>
      <c r="B6927" t="s">
        <v>127</v>
      </c>
      <c r="C6927">
        <v>300</v>
      </c>
      <c r="D6927">
        <f t="shared" si="236"/>
        <v>2024</v>
      </c>
      <c r="E6927">
        <f t="shared" si="237"/>
        <v>11</v>
      </c>
    </row>
    <row r="6928" spans="1:5" x14ac:dyDescent="0.3">
      <c r="A6928" t="s">
        <v>7053</v>
      </c>
      <c r="B6928" t="s">
        <v>127</v>
      </c>
      <c r="C6928">
        <v>303</v>
      </c>
      <c r="D6928">
        <f t="shared" si="236"/>
        <v>2024</v>
      </c>
      <c r="E6928">
        <f t="shared" si="237"/>
        <v>11</v>
      </c>
    </row>
    <row r="6929" spans="1:5" x14ac:dyDescent="0.3">
      <c r="A6929" t="s">
        <v>7054</v>
      </c>
      <c r="B6929" t="s">
        <v>127</v>
      </c>
      <c r="C6929">
        <v>308</v>
      </c>
      <c r="D6929">
        <f t="shared" si="236"/>
        <v>2024</v>
      </c>
      <c r="E6929">
        <f t="shared" si="237"/>
        <v>11</v>
      </c>
    </row>
    <row r="6930" spans="1:5" x14ac:dyDescent="0.3">
      <c r="A6930" t="s">
        <v>7055</v>
      </c>
      <c r="B6930" t="s">
        <v>127</v>
      </c>
      <c r="C6930">
        <v>309</v>
      </c>
      <c r="D6930">
        <f t="shared" si="236"/>
        <v>2024</v>
      </c>
      <c r="E6930">
        <f t="shared" si="237"/>
        <v>11</v>
      </c>
    </row>
    <row r="6931" spans="1:5" x14ac:dyDescent="0.3">
      <c r="A6931" t="s">
        <v>7056</v>
      </c>
      <c r="B6931" t="s">
        <v>127</v>
      </c>
      <c r="C6931">
        <v>310</v>
      </c>
      <c r="D6931">
        <f t="shared" si="236"/>
        <v>2024</v>
      </c>
      <c r="E6931">
        <f t="shared" si="237"/>
        <v>11</v>
      </c>
    </row>
    <row r="6932" spans="1:5" x14ac:dyDescent="0.3">
      <c r="A6932" t="s">
        <v>7057</v>
      </c>
      <c r="B6932" t="s">
        <v>127</v>
      </c>
      <c r="C6932">
        <v>313</v>
      </c>
      <c r="D6932">
        <f t="shared" si="236"/>
        <v>2024</v>
      </c>
      <c r="E6932">
        <f t="shared" si="237"/>
        <v>11</v>
      </c>
    </row>
    <row r="6933" spans="1:5" x14ac:dyDescent="0.3">
      <c r="A6933" t="s">
        <v>7058</v>
      </c>
      <c r="B6933" t="s">
        <v>127</v>
      </c>
      <c r="C6933">
        <v>315</v>
      </c>
      <c r="D6933">
        <f t="shared" si="236"/>
        <v>2024</v>
      </c>
      <c r="E6933">
        <f t="shared" si="237"/>
        <v>11</v>
      </c>
    </row>
    <row r="6934" spans="1:5" x14ac:dyDescent="0.3">
      <c r="A6934" t="s">
        <v>7059</v>
      </c>
      <c r="B6934" t="s">
        <v>127</v>
      </c>
      <c r="C6934">
        <v>315</v>
      </c>
      <c r="D6934">
        <f t="shared" si="236"/>
        <v>2024</v>
      </c>
      <c r="E6934">
        <f t="shared" si="237"/>
        <v>12</v>
      </c>
    </row>
    <row r="6935" spans="1:5" x14ac:dyDescent="0.3">
      <c r="A6935" t="s">
        <v>7060</v>
      </c>
      <c r="B6935" t="s">
        <v>127</v>
      </c>
      <c r="C6935">
        <v>312</v>
      </c>
      <c r="D6935">
        <f t="shared" si="236"/>
        <v>2024</v>
      </c>
      <c r="E6935">
        <f t="shared" si="237"/>
        <v>12</v>
      </c>
    </row>
    <row r="6936" spans="1:5" x14ac:dyDescent="0.3">
      <c r="A6936" t="s">
        <v>7061</v>
      </c>
      <c r="B6936" t="s">
        <v>127</v>
      </c>
      <c r="C6936">
        <v>315</v>
      </c>
      <c r="D6936">
        <f t="shared" si="236"/>
        <v>2024</v>
      </c>
      <c r="E6936">
        <f t="shared" si="237"/>
        <v>12</v>
      </c>
    </row>
    <row r="6937" spans="1:5" x14ac:dyDescent="0.3">
      <c r="A6937" t="s">
        <v>7062</v>
      </c>
      <c r="B6937" t="s">
        <v>127</v>
      </c>
      <c r="C6937">
        <v>311</v>
      </c>
      <c r="D6937">
        <f t="shared" si="236"/>
        <v>2024</v>
      </c>
      <c r="E6937">
        <f t="shared" si="237"/>
        <v>12</v>
      </c>
    </row>
    <row r="6938" spans="1:5" x14ac:dyDescent="0.3">
      <c r="A6938" t="s">
        <v>7063</v>
      </c>
      <c r="B6938" t="s">
        <v>127</v>
      </c>
      <c r="C6938">
        <v>307</v>
      </c>
      <c r="D6938">
        <f t="shared" si="236"/>
        <v>2024</v>
      </c>
      <c r="E6938">
        <f t="shared" si="237"/>
        <v>12</v>
      </c>
    </row>
    <row r="6939" spans="1:5" x14ac:dyDescent="0.3">
      <c r="A6939" t="s">
        <v>7064</v>
      </c>
      <c r="B6939" t="s">
        <v>127</v>
      </c>
      <c r="C6939">
        <v>308</v>
      </c>
      <c r="D6939">
        <f t="shared" si="236"/>
        <v>2024</v>
      </c>
      <c r="E6939">
        <f t="shared" si="237"/>
        <v>12</v>
      </c>
    </row>
    <row r="6940" spans="1:5" x14ac:dyDescent="0.3">
      <c r="A6940" t="s">
        <v>7065</v>
      </c>
      <c r="B6940" t="s">
        <v>127</v>
      </c>
      <c r="C6940">
        <v>309</v>
      </c>
      <c r="D6940">
        <f t="shared" si="236"/>
        <v>2024</v>
      </c>
      <c r="E6940">
        <f t="shared" si="237"/>
        <v>12</v>
      </c>
    </row>
    <row r="6941" spans="1:5" x14ac:dyDescent="0.3">
      <c r="A6941" t="s">
        <v>7066</v>
      </c>
      <c r="B6941" t="s">
        <v>127</v>
      </c>
      <c r="C6941">
        <v>306</v>
      </c>
      <c r="D6941">
        <f t="shared" si="236"/>
        <v>2024</v>
      </c>
      <c r="E6941">
        <f t="shared" si="237"/>
        <v>12</v>
      </c>
    </row>
    <row r="6942" spans="1:5" x14ac:dyDescent="0.3">
      <c r="A6942" t="s">
        <v>7067</v>
      </c>
      <c r="B6942" t="s">
        <v>127</v>
      </c>
      <c r="C6942">
        <v>302</v>
      </c>
      <c r="D6942">
        <f t="shared" si="236"/>
        <v>2024</v>
      </c>
      <c r="E6942">
        <f t="shared" si="237"/>
        <v>12</v>
      </c>
    </row>
    <row r="6943" spans="1:5" x14ac:dyDescent="0.3">
      <c r="A6943" t="s">
        <v>7068</v>
      </c>
      <c r="B6943" t="s">
        <v>127</v>
      </c>
      <c r="C6943">
        <v>306</v>
      </c>
      <c r="D6943">
        <f t="shared" si="236"/>
        <v>2024</v>
      </c>
      <c r="E6943">
        <f t="shared" si="237"/>
        <v>12</v>
      </c>
    </row>
    <row r="6944" spans="1:5" x14ac:dyDescent="0.3">
      <c r="A6944" t="s">
        <v>7069</v>
      </c>
      <c r="B6944" t="s">
        <v>127</v>
      </c>
      <c r="C6944">
        <v>314</v>
      </c>
      <c r="D6944">
        <f t="shared" si="236"/>
        <v>2024</v>
      </c>
      <c r="E6944">
        <f t="shared" si="237"/>
        <v>12</v>
      </c>
    </row>
    <row r="6945" spans="1:5" x14ac:dyDescent="0.3">
      <c r="A6945" t="s">
        <v>7070</v>
      </c>
      <c r="B6945" t="s">
        <v>127</v>
      </c>
      <c r="C6945">
        <v>316</v>
      </c>
      <c r="D6945">
        <f t="shared" si="236"/>
        <v>2024</v>
      </c>
      <c r="E6945">
        <f t="shared" si="237"/>
        <v>12</v>
      </c>
    </row>
    <row r="6946" spans="1:5" x14ac:dyDescent="0.3">
      <c r="A6946" t="s">
        <v>7071</v>
      </c>
      <c r="B6946" t="s">
        <v>127</v>
      </c>
      <c r="C6946">
        <v>312</v>
      </c>
      <c r="D6946">
        <f t="shared" si="236"/>
        <v>2024</v>
      </c>
      <c r="E6946">
        <f t="shared" si="237"/>
        <v>12</v>
      </c>
    </row>
    <row r="6947" spans="1:5" x14ac:dyDescent="0.3">
      <c r="A6947" t="s">
        <v>7072</v>
      </c>
      <c r="B6947" t="s">
        <v>127</v>
      </c>
      <c r="C6947">
        <v>320</v>
      </c>
      <c r="D6947">
        <f t="shared" si="236"/>
        <v>2024</v>
      </c>
      <c r="E6947">
        <f t="shared" si="237"/>
        <v>12</v>
      </c>
    </row>
    <row r="6948" spans="1:5" x14ac:dyDescent="0.3">
      <c r="A6948" t="s">
        <v>7073</v>
      </c>
      <c r="B6948" t="s">
        <v>127</v>
      </c>
      <c r="C6948">
        <v>318</v>
      </c>
      <c r="D6948">
        <f t="shared" si="236"/>
        <v>2024</v>
      </c>
      <c r="E6948">
        <f t="shared" si="237"/>
        <v>12</v>
      </c>
    </row>
    <row r="6949" spans="1:5" x14ac:dyDescent="0.3">
      <c r="A6949" t="s">
        <v>7074</v>
      </c>
      <c r="B6949" t="s">
        <v>127</v>
      </c>
      <c r="C6949">
        <v>315</v>
      </c>
      <c r="D6949">
        <f t="shared" si="236"/>
        <v>2024</v>
      </c>
      <c r="E6949">
        <f t="shared" si="237"/>
        <v>12</v>
      </c>
    </row>
    <row r="6950" spans="1:5" x14ac:dyDescent="0.3">
      <c r="A6950" t="s">
        <v>7075</v>
      </c>
      <c r="B6950" t="s">
        <v>127</v>
      </c>
      <c r="C6950">
        <v>315</v>
      </c>
      <c r="D6950">
        <f t="shared" si="236"/>
        <v>2024</v>
      </c>
      <c r="E6950">
        <f t="shared" si="237"/>
        <v>12</v>
      </c>
    </row>
    <row r="6951" spans="1:5" x14ac:dyDescent="0.3">
      <c r="A6951" t="s">
        <v>7076</v>
      </c>
      <c r="B6951" t="s">
        <v>127</v>
      </c>
      <c r="C6951">
        <v>315</v>
      </c>
      <c r="D6951">
        <f t="shared" si="236"/>
        <v>2024</v>
      </c>
      <c r="E6951">
        <f t="shared" si="237"/>
        <v>12</v>
      </c>
    </row>
    <row r="6952" spans="1:5" x14ac:dyDescent="0.3">
      <c r="A6952" t="s">
        <v>7077</v>
      </c>
      <c r="B6952" t="s">
        <v>127</v>
      </c>
      <c r="C6952">
        <v>317</v>
      </c>
      <c r="D6952">
        <f t="shared" si="236"/>
        <v>2024</v>
      </c>
      <c r="E6952">
        <f t="shared" si="237"/>
        <v>12</v>
      </c>
    </row>
    <row r="6953" spans="1:5" x14ac:dyDescent="0.3">
      <c r="A6953" t="s">
        <v>7078</v>
      </c>
      <c r="B6953" t="s">
        <v>127</v>
      </c>
      <c r="C6953">
        <v>315</v>
      </c>
      <c r="D6953">
        <f t="shared" si="236"/>
        <v>2024</v>
      </c>
      <c r="E6953">
        <f t="shared" si="237"/>
        <v>12</v>
      </c>
    </row>
    <row r="6954" spans="1:5" x14ac:dyDescent="0.3">
      <c r="A6954" t="s">
        <v>7079</v>
      </c>
      <c r="B6954" t="s">
        <v>127</v>
      </c>
      <c r="C6954">
        <v>324</v>
      </c>
      <c r="D6954">
        <f t="shared" si="236"/>
        <v>2024</v>
      </c>
      <c r="E6954">
        <f t="shared" si="237"/>
        <v>12</v>
      </c>
    </row>
    <row r="6955" spans="1:5" x14ac:dyDescent="0.3">
      <c r="A6955" t="s">
        <v>7080</v>
      </c>
      <c r="B6955" t="s">
        <v>127</v>
      </c>
      <c r="C6955">
        <v>319</v>
      </c>
      <c r="D6955">
        <f t="shared" si="236"/>
        <v>2024</v>
      </c>
      <c r="E6955">
        <f t="shared" si="237"/>
        <v>12</v>
      </c>
    </row>
    <row r="6956" spans="1:5" x14ac:dyDescent="0.3">
      <c r="A6956" t="s">
        <v>7081</v>
      </c>
      <c r="B6956" t="s">
        <v>127</v>
      </c>
      <c r="C6956">
        <v>319</v>
      </c>
      <c r="D6956">
        <f t="shared" si="236"/>
        <v>2025</v>
      </c>
      <c r="E6956">
        <f t="shared" si="237"/>
        <v>1</v>
      </c>
    </row>
    <row r="6957" spans="1:5" x14ac:dyDescent="0.3">
      <c r="A6957" t="s">
        <v>7082</v>
      </c>
      <c r="B6957" t="s">
        <v>127</v>
      </c>
      <c r="C6957">
        <v>321</v>
      </c>
      <c r="D6957">
        <f t="shared" si="236"/>
        <v>2025</v>
      </c>
      <c r="E6957">
        <f t="shared" si="237"/>
        <v>1</v>
      </c>
    </row>
    <row r="6958" spans="1:5" x14ac:dyDescent="0.3">
      <c r="A6958" t="s">
        <v>7083</v>
      </c>
      <c r="B6958" t="s">
        <v>127</v>
      </c>
      <c r="C6958">
        <v>316</v>
      </c>
      <c r="D6958">
        <f t="shared" si="236"/>
        <v>2025</v>
      </c>
      <c r="E6958">
        <f t="shared" si="237"/>
        <v>1</v>
      </c>
    </row>
    <row r="6959" spans="1:5" x14ac:dyDescent="0.3">
      <c r="A6959" t="s">
        <v>7084</v>
      </c>
      <c r="B6959" t="s">
        <v>127</v>
      </c>
      <c r="C6959">
        <v>307</v>
      </c>
      <c r="D6959">
        <f t="shared" si="236"/>
        <v>2025</v>
      </c>
      <c r="E6959">
        <f t="shared" si="237"/>
        <v>1</v>
      </c>
    </row>
    <row r="6960" spans="1:5" x14ac:dyDescent="0.3">
      <c r="A6960" t="s">
        <v>7085</v>
      </c>
      <c r="B6960" t="s">
        <v>127</v>
      </c>
      <c r="C6960">
        <v>302</v>
      </c>
      <c r="D6960">
        <f t="shared" si="236"/>
        <v>2025</v>
      </c>
      <c r="E6960">
        <f t="shared" si="237"/>
        <v>1</v>
      </c>
    </row>
    <row r="6961" spans="1:5" x14ac:dyDescent="0.3">
      <c r="A6961" t="s">
        <v>7086</v>
      </c>
      <c r="B6961" t="s">
        <v>127</v>
      </c>
      <c r="C6961">
        <v>311</v>
      </c>
      <c r="D6961">
        <f t="shared" si="236"/>
        <v>2025</v>
      </c>
      <c r="E6961">
        <f t="shared" si="237"/>
        <v>1</v>
      </c>
    </row>
    <row r="6962" spans="1:5" x14ac:dyDescent="0.3">
      <c r="A6962" t="s">
        <v>7087</v>
      </c>
      <c r="B6962" t="s">
        <v>127</v>
      </c>
      <c r="C6962">
        <v>309</v>
      </c>
      <c r="D6962">
        <f t="shared" si="236"/>
        <v>2025</v>
      </c>
      <c r="E6962">
        <f t="shared" si="237"/>
        <v>1</v>
      </c>
    </row>
    <row r="6963" spans="1:5" x14ac:dyDescent="0.3">
      <c r="A6963" t="s">
        <v>7088</v>
      </c>
      <c r="B6963" t="s">
        <v>127</v>
      </c>
      <c r="C6963">
        <v>314</v>
      </c>
      <c r="D6963">
        <f t="shared" si="236"/>
        <v>2025</v>
      </c>
      <c r="E6963">
        <f t="shared" si="237"/>
        <v>1</v>
      </c>
    </row>
    <row r="6964" spans="1:5" x14ac:dyDescent="0.3">
      <c r="A6964" t="s">
        <v>7089</v>
      </c>
      <c r="B6964" t="s">
        <v>127</v>
      </c>
      <c r="C6964">
        <v>320</v>
      </c>
      <c r="D6964">
        <f t="shared" si="236"/>
        <v>2025</v>
      </c>
      <c r="E6964">
        <f t="shared" si="237"/>
        <v>1</v>
      </c>
    </row>
    <row r="6965" spans="1:5" x14ac:dyDescent="0.3">
      <c r="A6965" t="s">
        <v>7090</v>
      </c>
      <c r="B6965" t="s">
        <v>127</v>
      </c>
      <c r="C6965">
        <v>320</v>
      </c>
      <c r="D6965">
        <f t="shared" si="236"/>
        <v>2025</v>
      </c>
      <c r="E6965">
        <f t="shared" si="237"/>
        <v>1</v>
      </c>
    </row>
    <row r="6966" spans="1:5" x14ac:dyDescent="0.3">
      <c r="A6966" t="s">
        <v>7091</v>
      </c>
      <c r="B6966" t="s">
        <v>127</v>
      </c>
      <c r="C6966">
        <v>314</v>
      </c>
      <c r="D6966">
        <f t="shared" si="236"/>
        <v>2025</v>
      </c>
      <c r="E6966">
        <f t="shared" si="237"/>
        <v>1</v>
      </c>
    </row>
    <row r="6967" spans="1:5" x14ac:dyDescent="0.3">
      <c r="A6967" t="s">
        <v>7092</v>
      </c>
      <c r="B6967" t="s">
        <v>127</v>
      </c>
      <c r="C6967">
        <v>315</v>
      </c>
      <c r="D6967">
        <f t="shared" si="236"/>
        <v>2025</v>
      </c>
      <c r="E6967">
        <f t="shared" si="237"/>
        <v>1</v>
      </c>
    </row>
    <row r="6968" spans="1:5" x14ac:dyDescent="0.3">
      <c r="A6968" t="s">
        <v>7093</v>
      </c>
      <c r="B6968" t="s">
        <v>127</v>
      </c>
      <c r="C6968">
        <v>317</v>
      </c>
      <c r="D6968">
        <f t="shared" si="236"/>
        <v>2025</v>
      </c>
      <c r="E6968">
        <f t="shared" si="237"/>
        <v>1</v>
      </c>
    </row>
    <row r="6969" spans="1:5" x14ac:dyDescent="0.3">
      <c r="A6969" t="s">
        <v>7094</v>
      </c>
      <c r="B6969" t="s">
        <v>127</v>
      </c>
      <c r="C6969">
        <v>317</v>
      </c>
      <c r="D6969">
        <f t="shared" si="236"/>
        <v>2025</v>
      </c>
      <c r="E6969">
        <f t="shared" si="237"/>
        <v>1</v>
      </c>
    </row>
    <row r="6970" spans="1:5" x14ac:dyDescent="0.3">
      <c r="A6970" t="s">
        <v>7095</v>
      </c>
      <c r="B6970" t="s">
        <v>127</v>
      </c>
      <c r="C6970">
        <v>311</v>
      </c>
      <c r="D6970">
        <f t="shared" si="236"/>
        <v>2025</v>
      </c>
      <c r="E6970">
        <f t="shared" si="237"/>
        <v>1</v>
      </c>
    </row>
    <row r="6971" spans="1:5" x14ac:dyDescent="0.3">
      <c r="A6971" t="s">
        <v>7096</v>
      </c>
      <c r="B6971" t="s">
        <v>127</v>
      </c>
      <c r="C6971">
        <v>315</v>
      </c>
      <c r="D6971">
        <f t="shared" si="236"/>
        <v>2025</v>
      </c>
      <c r="E6971">
        <f t="shared" si="237"/>
        <v>1</v>
      </c>
    </row>
    <row r="6972" spans="1:5" x14ac:dyDescent="0.3">
      <c r="A6972" t="s">
        <v>7097</v>
      </c>
      <c r="B6972" t="s">
        <v>127</v>
      </c>
      <c r="C6972">
        <v>317</v>
      </c>
      <c r="D6972">
        <f t="shared" si="236"/>
        <v>2025</v>
      </c>
      <c r="E6972">
        <f t="shared" si="237"/>
        <v>1</v>
      </c>
    </row>
    <row r="6973" spans="1:5" x14ac:dyDescent="0.3">
      <c r="A6973" t="s">
        <v>7098</v>
      </c>
      <c r="B6973" t="s">
        <v>127</v>
      </c>
      <c r="C6973">
        <v>312</v>
      </c>
      <c r="D6973">
        <f t="shared" si="236"/>
        <v>2025</v>
      </c>
      <c r="E6973">
        <f t="shared" si="237"/>
        <v>1</v>
      </c>
    </row>
    <row r="6974" spans="1:5" x14ac:dyDescent="0.3">
      <c r="A6974" t="s">
        <v>7099</v>
      </c>
      <c r="B6974" t="s">
        <v>127</v>
      </c>
      <c r="C6974">
        <v>321</v>
      </c>
      <c r="D6974">
        <f t="shared" si="236"/>
        <v>2025</v>
      </c>
      <c r="E6974">
        <f t="shared" si="237"/>
        <v>1</v>
      </c>
    </row>
    <row r="6975" spans="1:5" x14ac:dyDescent="0.3">
      <c r="A6975" t="s">
        <v>7100</v>
      </c>
      <c r="B6975" t="s">
        <v>127</v>
      </c>
      <c r="C6975">
        <v>324</v>
      </c>
      <c r="D6975">
        <f t="shared" si="236"/>
        <v>2025</v>
      </c>
      <c r="E6975">
        <f t="shared" si="237"/>
        <v>1</v>
      </c>
    </row>
    <row r="6976" spans="1:5" x14ac:dyDescent="0.3">
      <c r="A6976" t="s">
        <v>7101</v>
      </c>
      <c r="B6976" t="s">
        <v>127</v>
      </c>
      <c r="C6976">
        <v>322</v>
      </c>
      <c r="D6976">
        <f t="shared" si="236"/>
        <v>2025</v>
      </c>
      <c r="E6976">
        <f t="shared" si="237"/>
        <v>1</v>
      </c>
    </row>
    <row r="6977" spans="1:5" x14ac:dyDescent="0.3">
      <c r="A6977" t="s">
        <v>7102</v>
      </c>
      <c r="B6977" t="s">
        <v>127</v>
      </c>
      <c r="C6977">
        <v>324</v>
      </c>
      <c r="D6977">
        <f t="shared" si="236"/>
        <v>2025</v>
      </c>
      <c r="E6977">
        <f t="shared" si="237"/>
        <v>1</v>
      </c>
    </row>
    <row r="6978" spans="1:5" x14ac:dyDescent="0.3">
      <c r="A6978" t="s">
        <v>7103</v>
      </c>
      <c r="B6978" t="s">
        <v>127</v>
      </c>
      <c r="C6978">
        <v>317</v>
      </c>
      <c r="D6978">
        <f t="shared" si="236"/>
        <v>2025</v>
      </c>
      <c r="E6978">
        <f t="shared" si="237"/>
        <v>1</v>
      </c>
    </row>
    <row r="6979" spans="1:5" x14ac:dyDescent="0.3">
      <c r="A6979" t="s">
        <v>7104</v>
      </c>
      <c r="B6979" t="s">
        <v>127</v>
      </c>
      <c r="C6979">
        <v>317</v>
      </c>
      <c r="D6979">
        <f t="shared" ref="D6979:D7042" si="238">YEAR(A6979)</f>
        <v>2025</v>
      </c>
      <c r="E6979">
        <f t="shared" ref="E6979:E7042" si="239">MONTH(A6979)</f>
        <v>2</v>
      </c>
    </row>
    <row r="6980" spans="1:5" x14ac:dyDescent="0.3">
      <c r="A6980" t="s">
        <v>7105</v>
      </c>
      <c r="B6980" t="s">
        <v>127</v>
      </c>
      <c r="C6980">
        <v>317</v>
      </c>
      <c r="D6980">
        <f t="shared" si="238"/>
        <v>2025</v>
      </c>
      <c r="E6980">
        <f t="shared" si="239"/>
        <v>2</v>
      </c>
    </row>
    <row r="6981" spans="1:5" x14ac:dyDescent="0.3">
      <c r="A6981" t="s">
        <v>7106</v>
      </c>
      <c r="B6981" t="s">
        <v>127</v>
      </c>
      <c r="C6981">
        <v>315</v>
      </c>
      <c r="D6981">
        <f t="shared" si="238"/>
        <v>2025</v>
      </c>
      <c r="E6981">
        <f t="shared" si="239"/>
        <v>2</v>
      </c>
    </row>
    <row r="6982" spans="1:5" x14ac:dyDescent="0.3">
      <c r="A6982" t="s">
        <v>7107</v>
      </c>
      <c r="B6982" t="s">
        <v>127</v>
      </c>
      <c r="C6982">
        <v>314</v>
      </c>
      <c r="D6982">
        <f t="shared" si="238"/>
        <v>2025</v>
      </c>
      <c r="E6982">
        <f t="shared" si="239"/>
        <v>2</v>
      </c>
    </row>
    <row r="6983" spans="1:5" x14ac:dyDescent="0.3">
      <c r="A6983" t="s">
        <v>7108</v>
      </c>
      <c r="B6983" t="s">
        <v>127</v>
      </c>
      <c r="C6983">
        <v>315</v>
      </c>
      <c r="D6983">
        <f t="shared" si="238"/>
        <v>2025</v>
      </c>
      <c r="E6983">
        <f t="shared" si="239"/>
        <v>2</v>
      </c>
    </row>
    <row r="6984" spans="1:5" x14ac:dyDescent="0.3">
      <c r="A6984" t="s">
        <v>7109</v>
      </c>
      <c r="B6984" t="s">
        <v>127</v>
      </c>
      <c r="C6984">
        <v>311</v>
      </c>
      <c r="D6984">
        <f t="shared" si="238"/>
        <v>2025</v>
      </c>
      <c r="E6984">
        <f t="shared" si="239"/>
        <v>2</v>
      </c>
    </row>
    <row r="6985" spans="1:5" x14ac:dyDescent="0.3">
      <c r="A6985" t="s">
        <v>7110</v>
      </c>
      <c r="B6985" t="s">
        <v>127</v>
      </c>
      <c r="C6985">
        <v>316</v>
      </c>
      <c r="D6985">
        <f t="shared" si="238"/>
        <v>2025</v>
      </c>
      <c r="E6985">
        <f t="shared" si="239"/>
        <v>2</v>
      </c>
    </row>
    <row r="6986" spans="1:5" x14ac:dyDescent="0.3">
      <c r="A6986" t="s">
        <v>7111</v>
      </c>
      <c r="B6986" t="s">
        <v>127</v>
      </c>
      <c r="C6986">
        <v>309</v>
      </c>
      <c r="D6986">
        <f t="shared" si="238"/>
        <v>2025</v>
      </c>
      <c r="E6986">
        <f t="shared" si="239"/>
        <v>2</v>
      </c>
    </row>
    <row r="6987" spans="1:5" x14ac:dyDescent="0.3">
      <c r="A6987" t="s">
        <v>7112</v>
      </c>
      <c r="B6987" t="s">
        <v>127</v>
      </c>
      <c r="C6987">
        <v>305</v>
      </c>
      <c r="D6987">
        <f t="shared" si="238"/>
        <v>2025</v>
      </c>
      <c r="E6987">
        <f t="shared" si="239"/>
        <v>2</v>
      </c>
    </row>
    <row r="6988" spans="1:5" x14ac:dyDescent="0.3">
      <c r="A6988" t="s">
        <v>7113</v>
      </c>
      <c r="B6988" t="s">
        <v>127</v>
      </c>
      <c r="C6988">
        <v>301</v>
      </c>
      <c r="D6988">
        <f t="shared" si="238"/>
        <v>2025</v>
      </c>
      <c r="E6988">
        <f t="shared" si="239"/>
        <v>2</v>
      </c>
    </row>
    <row r="6989" spans="1:5" x14ac:dyDescent="0.3">
      <c r="A6989" t="s">
        <v>7114</v>
      </c>
      <c r="B6989" t="s">
        <v>127</v>
      </c>
      <c r="C6989">
        <v>301</v>
      </c>
      <c r="D6989">
        <f t="shared" si="238"/>
        <v>2025</v>
      </c>
      <c r="E6989">
        <f t="shared" si="239"/>
        <v>2</v>
      </c>
    </row>
    <row r="6990" spans="1:5" x14ac:dyDescent="0.3">
      <c r="A6990" t="s">
        <v>7115</v>
      </c>
      <c r="B6990" t="s">
        <v>127</v>
      </c>
      <c r="C6990">
        <v>303</v>
      </c>
      <c r="D6990">
        <f t="shared" si="238"/>
        <v>2025</v>
      </c>
      <c r="E6990">
        <f t="shared" si="239"/>
        <v>2</v>
      </c>
    </row>
    <row r="6991" spans="1:5" x14ac:dyDescent="0.3">
      <c r="A6991" t="s">
        <v>7116</v>
      </c>
      <c r="B6991" t="s">
        <v>127</v>
      </c>
      <c r="C6991">
        <v>305</v>
      </c>
      <c r="D6991">
        <f t="shared" si="238"/>
        <v>2025</v>
      </c>
      <c r="E6991">
        <f t="shared" si="239"/>
        <v>2</v>
      </c>
    </row>
    <row r="6992" spans="1:5" x14ac:dyDescent="0.3">
      <c r="A6992" t="s">
        <v>7117</v>
      </c>
      <c r="B6992" t="s">
        <v>127</v>
      </c>
      <c r="C6992">
        <v>307</v>
      </c>
      <c r="D6992">
        <f t="shared" si="238"/>
        <v>2025</v>
      </c>
      <c r="E6992">
        <f t="shared" si="239"/>
        <v>2</v>
      </c>
    </row>
    <row r="6993" spans="1:5" x14ac:dyDescent="0.3">
      <c r="A6993" t="s">
        <v>7118</v>
      </c>
      <c r="B6993" t="s">
        <v>127</v>
      </c>
      <c r="C6993">
        <v>311</v>
      </c>
      <c r="D6993">
        <f t="shared" si="238"/>
        <v>2025</v>
      </c>
      <c r="E6993">
        <f t="shared" si="239"/>
        <v>2</v>
      </c>
    </row>
    <row r="6994" spans="1:5" x14ac:dyDescent="0.3">
      <c r="A6994" t="s">
        <v>7119</v>
      </c>
      <c r="B6994" t="s">
        <v>127</v>
      </c>
      <c r="C6994">
        <v>315</v>
      </c>
      <c r="D6994">
        <f t="shared" si="238"/>
        <v>2025</v>
      </c>
      <c r="E6994">
        <f t="shared" si="239"/>
        <v>2</v>
      </c>
    </row>
    <row r="6995" spans="1:5" x14ac:dyDescent="0.3">
      <c r="A6995" t="s">
        <v>7120</v>
      </c>
      <c r="B6995" t="s">
        <v>127</v>
      </c>
      <c r="C6995">
        <v>318</v>
      </c>
      <c r="D6995">
        <f t="shared" si="238"/>
        <v>2025</v>
      </c>
      <c r="E6995">
        <f t="shared" si="239"/>
        <v>2</v>
      </c>
    </row>
    <row r="6996" spans="1:5" x14ac:dyDescent="0.3">
      <c r="A6996" t="s">
        <v>7121</v>
      </c>
      <c r="B6996" t="s">
        <v>127</v>
      </c>
      <c r="C6996">
        <v>315</v>
      </c>
      <c r="D6996">
        <f t="shared" si="238"/>
        <v>2025</v>
      </c>
      <c r="E6996">
        <f t="shared" si="239"/>
        <v>2</v>
      </c>
    </row>
    <row r="6997" spans="1:5" x14ac:dyDescent="0.3">
      <c r="A6997" t="s">
        <v>7122</v>
      </c>
      <c r="B6997" t="s">
        <v>127</v>
      </c>
      <c r="C6997">
        <v>318</v>
      </c>
      <c r="D6997">
        <f t="shared" si="238"/>
        <v>2025</v>
      </c>
      <c r="E6997">
        <f t="shared" si="239"/>
        <v>2</v>
      </c>
    </row>
    <row r="6998" spans="1:5" x14ac:dyDescent="0.3">
      <c r="A6998" t="s">
        <v>7123</v>
      </c>
      <c r="B6998" t="s">
        <v>127</v>
      </c>
      <c r="C6998">
        <v>321</v>
      </c>
      <c r="D6998">
        <f t="shared" si="238"/>
        <v>2025</v>
      </c>
      <c r="E6998">
        <f t="shared" si="239"/>
        <v>2</v>
      </c>
    </row>
    <row r="6999" spans="1:5" x14ac:dyDescent="0.3">
      <c r="A6999" t="s">
        <v>7124</v>
      </c>
      <c r="B6999" t="s">
        <v>127</v>
      </c>
      <c r="C6999">
        <v>323</v>
      </c>
      <c r="D6999">
        <f t="shared" si="238"/>
        <v>2025</v>
      </c>
      <c r="E6999">
        <f t="shared" si="239"/>
        <v>3</v>
      </c>
    </row>
    <row r="7000" spans="1:5" x14ac:dyDescent="0.3">
      <c r="A7000" t="s">
        <v>7125</v>
      </c>
      <c r="B7000" t="s">
        <v>127</v>
      </c>
      <c r="C7000">
        <v>322</v>
      </c>
      <c r="D7000">
        <f t="shared" si="238"/>
        <v>2025</v>
      </c>
      <c r="E7000">
        <f t="shared" si="239"/>
        <v>3</v>
      </c>
    </row>
    <row r="7001" spans="1:5" x14ac:dyDescent="0.3">
      <c r="A7001" t="s">
        <v>7126</v>
      </c>
      <c r="B7001" t="s">
        <v>127</v>
      </c>
      <c r="C7001">
        <v>318</v>
      </c>
      <c r="D7001">
        <f t="shared" si="238"/>
        <v>2025</v>
      </c>
      <c r="E7001">
        <f t="shared" si="239"/>
        <v>3</v>
      </c>
    </row>
    <row r="7002" spans="1:5" x14ac:dyDescent="0.3">
      <c r="A7002" t="s">
        <v>7127</v>
      </c>
      <c r="B7002" t="s">
        <v>127</v>
      </c>
      <c r="C7002">
        <v>324</v>
      </c>
      <c r="D7002">
        <f t="shared" si="238"/>
        <v>2025</v>
      </c>
      <c r="E7002">
        <f t="shared" si="239"/>
        <v>3</v>
      </c>
    </row>
    <row r="7003" spans="1:5" x14ac:dyDescent="0.3">
      <c r="A7003" t="s">
        <v>7128</v>
      </c>
      <c r="B7003" t="s">
        <v>127</v>
      </c>
      <c r="C7003">
        <v>322</v>
      </c>
      <c r="D7003">
        <f t="shared" si="238"/>
        <v>2025</v>
      </c>
      <c r="E7003">
        <f t="shared" si="239"/>
        <v>3</v>
      </c>
    </row>
    <row r="7004" spans="1:5" x14ac:dyDescent="0.3">
      <c r="A7004" t="s">
        <v>7129</v>
      </c>
      <c r="B7004" t="s">
        <v>127</v>
      </c>
      <c r="C7004">
        <v>328</v>
      </c>
      <c r="D7004">
        <f t="shared" si="238"/>
        <v>2025</v>
      </c>
      <c r="E7004">
        <f t="shared" si="239"/>
        <v>3</v>
      </c>
    </row>
    <row r="7005" spans="1:5" x14ac:dyDescent="0.3">
      <c r="A7005" t="s">
        <v>7130</v>
      </c>
      <c r="B7005" t="s">
        <v>127</v>
      </c>
      <c r="C7005">
        <v>327</v>
      </c>
      <c r="D7005">
        <f t="shared" si="238"/>
        <v>2025</v>
      </c>
      <c r="E7005">
        <f t="shared" si="239"/>
        <v>3</v>
      </c>
    </row>
    <row r="7006" spans="1:5" x14ac:dyDescent="0.3">
      <c r="A7006" t="s">
        <v>7131</v>
      </c>
      <c r="B7006" t="s">
        <v>127</v>
      </c>
      <c r="C7006">
        <v>324</v>
      </c>
      <c r="D7006">
        <f t="shared" si="238"/>
        <v>2025</v>
      </c>
      <c r="E7006">
        <f t="shared" si="239"/>
        <v>3</v>
      </c>
    </row>
    <row r="7007" spans="1:5" x14ac:dyDescent="0.3">
      <c r="A7007" t="s">
        <v>7132</v>
      </c>
      <c r="B7007" t="s">
        <v>127</v>
      </c>
      <c r="C7007">
        <v>332</v>
      </c>
      <c r="D7007">
        <f t="shared" si="238"/>
        <v>2025</v>
      </c>
      <c r="E7007">
        <f t="shared" si="239"/>
        <v>3</v>
      </c>
    </row>
    <row r="7008" spans="1:5" x14ac:dyDescent="0.3">
      <c r="A7008" t="s">
        <v>7133</v>
      </c>
      <c r="B7008" t="s">
        <v>127</v>
      </c>
      <c r="C7008">
        <v>327</v>
      </c>
      <c r="D7008">
        <f t="shared" si="238"/>
        <v>2025</v>
      </c>
      <c r="E7008">
        <f t="shared" si="239"/>
        <v>3</v>
      </c>
    </row>
    <row r="7009" spans="1:5" x14ac:dyDescent="0.3">
      <c r="A7009" t="s">
        <v>7134</v>
      </c>
      <c r="B7009" t="s">
        <v>127</v>
      </c>
      <c r="C7009">
        <v>324</v>
      </c>
      <c r="D7009">
        <f t="shared" si="238"/>
        <v>2025</v>
      </c>
      <c r="E7009">
        <f t="shared" si="239"/>
        <v>3</v>
      </c>
    </row>
    <row r="7010" spans="1:5" x14ac:dyDescent="0.3">
      <c r="A7010" t="s">
        <v>7135</v>
      </c>
      <c r="B7010" t="s">
        <v>127</v>
      </c>
      <c r="C7010">
        <v>319</v>
      </c>
      <c r="D7010">
        <f t="shared" si="238"/>
        <v>2025</v>
      </c>
      <c r="E7010">
        <f t="shared" si="239"/>
        <v>3</v>
      </c>
    </row>
    <row r="7011" spans="1:5" x14ac:dyDescent="0.3">
      <c r="A7011" t="s">
        <v>7136</v>
      </c>
      <c r="B7011" t="s">
        <v>127</v>
      </c>
      <c r="C7011">
        <v>310</v>
      </c>
      <c r="D7011">
        <f t="shared" si="238"/>
        <v>2025</v>
      </c>
      <c r="E7011">
        <f t="shared" si="239"/>
        <v>3</v>
      </c>
    </row>
    <row r="7012" spans="1:5" x14ac:dyDescent="0.3">
      <c r="A7012" t="s">
        <v>7137</v>
      </c>
      <c r="B7012" t="s">
        <v>127</v>
      </c>
      <c r="C7012">
        <v>318</v>
      </c>
      <c r="D7012">
        <f t="shared" si="238"/>
        <v>2025</v>
      </c>
      <c r="E7012">
        <f t="shared" si="239"/>
        <v>3</v>
      </c>
    </row>
    <row r="7013" spans="1:5" x14ac:dyDescent="0.3">
      <c r="A7013" t="s">
        <v>7138</v>
      </c>
      <c r="B7013" t="s">
        <v>127</v>
      </c>
      <c r="C7013">
        <v>321</v>
      </c>
      <c r="D7013">
        <f t="shared" si="238"/>
        <v>2025</v>
      </c>
      <c r="E7013">
        <f t="shared" si="239"/>
        <v>3</v>
      </c>
    </row>
    <row r="7014" spans="1:5" x14ac:dyDescent="0.3">
      <c r="A7014" t="s">
        <v>7139</v>
      </c>
      <c r="B7014" t="s">
        <v>127</v>
      </c>
      <c r="C7014">
        <v>313</v>
      </c>
      <c r="D7014">
        <f t="shared" si="238"/>
        <v>2025</v>
      </c>
      <c r="E7014">
        <f t="shared" si="239"/>
        <v>3</v>
      </c>
    </row>
    <row r="7015" spans="1:5" x14ac:dyDescent="0.3">
      <c r="A7015" t="s">
        <v>7140</v>
      </c>
      <c r="B7015" t="s">
        <v>127</v>
      </c>
      <c r="C7015">
        <v>311</v>
      </c>
      <c r="D7015">
        <f t="shared" si="238"/>
        <v>2025</v>
      </c>
      <c r="E7015">
        <f t="shared" si="239"/>
        <v>3</v>
      </c>
    </row>
    <row r="7016" spans="1:5" x14ac:dyDescent="0.3">
      <c r="A7016" t="s">
        <v>7141</v>
      </c>
      <c r="B7016" t="s">
        <v>127</v>
      </c>
      <c r="C7016">
        <v>312</v>
      </c>
      <c r="D7016">
        <f t="shared" si="238"/>
        <v>2025</v>
      </c>
      <c r="E7016">
        <f t="shared" si="239"/>
        <v>3</v>
      </c>
    </row>
    <row r="7017" spans="1:5" x14ac:dyDescent="0.3">
      <c r="A7017" t="s">
        <v>7142</v>
      </c>
      <c r="B7017" t="s">
        <v>127</v>
      </c>
      <c r="C7017">
        <v>317</v>
      </c>
      <c r="D7017">
        <f t="shared" si="238"/>
        <v>2025</v>
      </c>
      <c r="E7017">
        <f t="shared" si="239"/>
        <v>3</v>
      </c>
    </row>
    <row r="7018" spans="1:5" x14ac:dyDescent="0.3">
      <c r="A7018" t="s">
        <v>7143</v>
      </c>
      <c r="B7018" t="s">
        <v>127</v>
      </c>
      <c r="C7018">
        <v>324</v>
      </c>
      <c r="D7018">
        <f t="shared" si="238"/>
        <v>2025</v>
      </c>
      <c r="E7018">
        <f t="shared" si="239"/>
        <v>3</v>
      </c>
    </row>
    <row r="7019" spans="1:5" x14ac:dyDescent="0.3">
      <c r="A7019" t="s">
        <v>7144</v>
      </c>
      <c r="B7019" t="s">
        <v>127</v>
      </c>
      <c r="C7019">
        <v>326</v>
      </c>
      <c r="D7019">
        <f t="shared" si="238"/>
        <v>2025</v>
      </c>
      <c r="E7019">
        <f t="shared" si="239"/>
        <v>3</v>
      </c>
    </row>
    <row r="7020" spans="1:5" x14ac:dyDescent="0.3">
      <c r="A7020" t="s">
        <v>7145</v>
      </c>
      <c r="B7020" t="s">
        <v>127</v>
      </c>
      <c r="C7020">
        <v>323</v>
      </c>
      <c r="D7020">
        <f t="shared" si="238"/>
        <v>2025</v>
      </c>
      <c r="E7020">
        <f t="shared" si="239"/>
        <v>4</v>
      </c>
    </row>
    <row r="7021" spans="1:5" x14ac:dyDescent="0.3">
      <c r="A7021" t="s">
        <v>7146</v>
      </c>
      <c r="B7021" t="s">
        <v>127</v>
      </c>
      <c r="C7021">
        <v>324</v>
      </c>
      <c r="D7021">
        <f t="shared" si="238"/>
        <v>2025</v>
      </c>
      <c r="E7021">
        <f t="shared" si="239"/>
        <v>4</v>
      </c>
    </row>
    <row r="7022" spans="1:5" x14ac:dyDescent="0.3">
      <c r="A7022" t="s">
        <v>7147</v>
      </c>
      <c r="B7022" t="s">
        <v>127</v>
      </c>
      <c r="C7022">
        <v>342</v>
      </c>
      <c r="D7022">
        <f t="shared" si="238"/>
        <v>2025</v>
      </c>
      <c r="E7022">
        <f t="shared" si="239"/>
        <v>4</v>
      </c>
    </row>
    <row r="7023" spans="1:5" x14ac:dyDescent="0.3">
      <c r="A7023" t="s">
        <v>7148</v>
      </c>
      <c r="B7023" t="s">
        <v>127</v>
      </c>
      <c r="C7023">
        <v>355</v>
      </c>
      <c r="D7023">
        <f t="shared" si="238"/>
        <v>2025</v>
      </c>
      <c r="E7023">
        <f t="shared" si="239"/>
        <v>4</v>
      </c>
    </row>
    <row r="7024" spans="1:5" x14ac:dyDescent="0.3">
      <c r="A7024" t="s">
        <v>7149</v>
      </c>
      <c r="B7024" t="s">
        <v>127</v>
      </c>
      <c r="C7024">
        <v>362</v>
      </c>
      <c r="D7024">
        <f t="shared" si="238"/>
        <v>2025</v>
      </c>
      <c r="E7024">
        <f t="shared" si="239"/>
        <v>4</v>
      </c>
    </row>
    <row r="7025" spans="1:5" x14ac:dyDescent="0.3">
      <c r="A7025" t="s">
        <v>7150</v>
      </c>
      <c r="B7025" t="s">
        <v>127</v>
      </c>
      <c r="C7025">
        <v>365</v>
      </c>
      <c r="D7025">
        <f t="shared" si="238"/>
        <v>2025</v>
      </c>
      <c r="E7025">
        <f t="shared" si="239"/>
        <v>4</v>
      </c>
    </row>
    <row r="7026" spans="1:5" x14ac:dyDescent="0.3">
      <c r="A7026" t="s">
        <v>7151</v>
      </c>
      <c r="B7026" t="s">
        <v>127</v>
      </c>
      <c r="C7026">
        <v>353</v>
      </c>
      <c r="D7026">
        <f t="shared" si="238"/>
        <v>2025</v>
      </c>
      <c r="E7026">
        <f t="shared" si="239"/>
        <v>4</v>
      </c>
    </row>
    <row r="7027" spans="1:5" x14ac:dyDescent="0.3">
      <c r="A7027" t="s">
        <v>7152</v>
      </c>
      <c r="B7027" t="s">
        <v>127</v>
      </c>
      <c r="C7027">
        <v>356</v>
      </c>
      <c r="D7027">
        <f t="shared" si="238"/>
        <v>2025</v>
      </c>
      <c r="E7027">
        <f t="shared" si="239"/>
        <v>4</v>
      </c>
    </row>
    <row r="7028" spans="1:5" x14ac:dyDescent="0.3">
      <c r="A7028" t="s">
        <v>7153</v>
      </c>
      <c r="B7028" t="s">
        <v>127</v>
      </c>
      <c r="C7028">
        <v>361</v>
      </c>
      <c r="D7028">
        <f t="shared" si="238"/>
        <v>2025</v>
      </c>
      <c r="E7028">
        <f t="shared" si="239"/>
        <v>4</v>
      </c>
    </row>
    <row r="7029" spans="1:5" x14ac:dyDescent="0.3">
      <c r="A7029" t="s">
        <v>7154</v>
      </c>
      <c r="B7029" t="s">
        <v>127</v>
      </c>
      <c r="C7029">
        <v>358</v>
      </c>
      <c r="D7029">
        <f t="shared" si="238"/>
        <v>2025</v>
      </c>
      <c r="E7029">
        <f t="shared" si="239"/>
        <v>4</v>
      </c>
    </row>
    <row r="7030" spans="1:5" x14ac:dyDescent="0.3">
      <c r="A7030" t="s">
        <v>7155</v>
      </c>
      <c r="B7030" t="s">
        <v>127</v>
      </c>
      <c r="C7030">
        <v>358</v>
      </c>
      <c r="D7030">
        <f t="shared" si="238"/>
        <v>2025</v>
      </c>
      <c r="E7030">
        <f t="shared" si="239"/>
        <v>4</v>
      </c>
    </row>
    <row r="7031" spans="1:5" x14ac:dyDescent="0.3">
      <c r="A7031" t="s">
        <v>7156</v>
      </c>
      <c r="B7031" t="s">
        <v>127</v>
      </c>
      <c r="C7031">
        <v>368</v>
      </c>
      <c r="D7031">
        <f t="shared" si="238"/>
        <v>2025</v>
      </c>
      <c r="E7031">
        <f t="shared" si="239"/>
        <v>4</v>
      </c>
    </row>
    <row r="7032" spans="1:5" x14ac:dyDescent="0.3">
      <c r="A7032" t="s">
        <v>7157</v>
      </c>
      <c r="B7032" t="s">
        <v>127</v>
      </c>
      <c r="C7032">
        <v>356</v>
      </c>
      <c r="D7032">
        <f t="shared" si="238"/>
        <v>2025</v>
      </c>
      <c r="E7032">
        <f t="shared" si="239"/>
        <v>4</v>
      </c>
    </row>
    <row r="7033" spans="1:5" x14ac:dyDescent="0.3">
      <c r="A7033" t="s">
        <v>7158</v>
      </c>
      <c r="B7033" t="s">
        <v>127</v>
      </c>
      <c r="C7033">
        <v>356</v>
      </c>
      <c r="D7033">
        <f t="shared" si="238"/>
        <v>2025</v>
      </c>
      <c r="E7033">
        <f t="shared" si="239"/>
        <v>4</v>
      </c>
    </row>
    <row r="7034" spans="1:5" x14ac:dyDescent="0.3">
      <c r="A7034" t="s">
        <v>7159</v>
      </c>
      <c r="B7034" t="s">
        <v>127</v>
      </c>
      <c r="C7034">
        <v>361</v>
      </c>
      <c r="D7034">
        <f t="shared" si="238"/>
        <v>2025</v>
      </c>
      <c r="E7034">
        <f t="shared" si="239"/>
        <v>4</v>
      </c>
    </row>
    <row r="7035" spans="1:5" x14ac:dyDescent="0.3">
      <c r="A7035" t="s">
        <v>7160</v>
      </c>
      <c r="B7035" t="s">
        <v>127</v>
      </c>
      <c r="C7035">
        <v>356</v>
      </c>
      <c r="D7035">
        <f t="shared" si="238"/>
        <v>2025</v>
      </c>
      <c r="E7035">
        <f t="shared" si="239"/>
        <v>4</v>
      </c>
    </row>
    <row r="7036" spans="1:5" x14ac:dyDescent="0.3">
      <c r="A7036" t="s">
        <v>7161</v>
      </c>
      <c r="B7036" t="s">
        <v>127</v>
      </c>
      <c r="C7036">
        <v>346</v>
      </c>
      <c r="D7036">
        <f t="shared" si="238"/>
        <v>2025</v>
      </c>
      <c r="E7036">
        <f t="shared" si="239"/>
        <v>4</v>
      </c>
    </row>
    <row r="7037" spans="1:5" x14ac:dyDescent="0.3">
      <c r="A7037" t="s">
        <v>7162</v>
      </c>
      <c r="B7037" t="s">
        <v>127</v>
      </c>
      <c r="C7037">
        <v>345</v>
      </c>
      <c r="D7037">
        <f t="shared" si="238"/>
        <v>2025</v>
      </c>
      <c r="E7037">
        <f t="shared" si="239"/>
        <v>4</v>
      </c>
    </row>
    <row r="7038" spans="1:5" x14ac:dyDescent="0.3">
      <c r="A7038" t="s">
        <v>7163</v>
      </c>
      <c r="B7038" t="s">
        <v>127</v>
      </c>
      <c r="C7038">
        <v>344</v>
      </c>
      <c r="D7038">
        <f t="shared" si="238"/>
        <v>2025</v>
      </c>
      <c r="E7038">
        <f t="shared" si="239"/>
        <v>4</v>
      </c>
    </row>
    <row r="7039" spans="1:5" x14ac:dyDescent="0.3">
      <c r="A7039" t="s">
        <v>7164</v>
      </c>
      <c r="B7039" t="s">
        <v>127</v>
      </c>
      <c r="C7039">
        <v>348</v>
      </c>
      <c r="D7039">
        <f t="shared" si="238"/>
        <v>2025</v>
      </c>
      <c r="E7039">
        <f t="shared" si="239"/>
        <v>4</v>
      </c>
    </row>
    <row r="7040" spans="1:5" x14ac:dyDescent="0.3">
      <c r="A7040" t="s">
        <v>7165</v>
      </c>
      <c r="B7040" t="s">
        <v>127</v>
      </c>
      <c r="C7040">
        <v>348</v>
      </c>
      <c r="D7040">
        <f t="shared" si="238"/>
        <v>2025</v>
      </c>
      <c r="E7040">
        <f t="shared" si="239"/>
        <v>4</v>
      </c>
    </row>
    <row r="7041" spans="1:5" x14ac:dyDescent="0.3">
      <c r="A7041" t="s">
        <v>7166</v>
      </c>
      <c r="B7041" t="s">
        <v>127</v>
      </c>
      <c r="C7041">
        <v>351</v>
      </c>
      <c r="D7041">
        <f t="shared" si="238"/>
        <v>2025</v>
      </c>
      <c r="E7041">
        <f t="shared" si="239"/>
        <v>4</v>
      </c>
    </row>
    <row r="7042" spans="1:5" x14ac:dyDescent="0.3">
      <c r="A7042" t="s">
        <v>7167</v>
      </c>
      <c r="B7042" t="s">
        <v>127</v>
      </c>
      <c r="C7042">
        <v>350</v>
      </c>
      <c r="D7042">
        <f t="shared" si="238"/>
        <v>2025</v>
      </c>
      <c r="E7042">
        <f t="shared" si="239"/>
        <v>5</v>
      </c>
    </row>
    <row r="7043" spans="1:5" x14ac:dyDescent="0.3">
      <c r="A7043" t="s">
        <v>7168</v>
      </c>
      <c r="B7043" t="s">
        <v>127</v>
      </c>
      <c r="C7043">
        <v>345</v>
      </c>
      <c r="D7043">
        <f t="shared" ref="D7043:D7066" si="240">YEAR(A7043)</f>
        <v>2025</v>
      </c>
      <c r="E7043">
        <f t="shared" ref="E7043:E7066" si="241">MONTH(A7043)</f>
        <v>5</v>
      </c>
    </row>
    <row r="7044" spans="1:5" x14ac:dyDescent="0.3">
      <c r="A7044" t="s">
        <v>7169</v>
      </c>
      <c r="B7044" t="s">
        <v>127</v>
      </c>
      <c r="C7044">
        <v>347</v>
      </c>
      <c r="D7044">
        <f t="shared" si="240"/>
        <v>2025</v>
      </c>
      <c r="E7044">
        <f t="shared" si="241"/>
        <v>5</v>
      </c>
    </row>
    <row r="7045" spans="1:5" x14ac:dyDescent="0.3">
      <c r="A7045" t="s">
        <v>7170</v>
      </c>
      <c r="B7045" t="s">
        <v>127</v>
      </c>
      <c r="C7045">
        <v>346</v>
      </c>
      <c r="D7045">
        <f t="shared" si="240"/>
        <v>2025</v>
      </c>
      <c r="E7045">
        <f t="shared" si="241"/>
        <v>5</v>
      </c>
    </row>
    <row r="7046" spans="1:5" x14ac:dyDescent="0.3">
      <c r="A7046" t="s">
        <v>7171</v>
      </c>
      <c r="B7046" t="s">
        <v>127</v>
      </c>
      <c r="C7046">
        <v>343</v>
      </c>
      <c r="D7046">
        <f t="shared" si="240"/>
        <v>2025</v>
      </c>
      <c r="E7046">
        <f t="shared" si="241"/>
        <v>5</v>
      </c>
    </row>
    <row r="7047" spans="1:5" x14ac:dyDescent="0.3">
      <c r="A7047" t="s">
        <v>7172</v>
      </c>
      <c r="B7047" t="s">
        <v>127</v>
      </c>
      <c r="C7047">
        <v>333</v>
      </c>
      <c r="D7047">
        <f t="shared" si="240"/>
        <v>2025</v>
      </c>
      <c r="E7047">
        <f t="shared" si="241"/>
        <v>5</v>
      </c>
    </row>
    <row r="7048" spans="1:5" x14ac:dyDescent="0.3">
      <c r="A7048" t="s">
        <v>7173</v>
      </c>
      <c r="B7048" t="s">
        <v>127</v>
      </c>
      <c r="C7048">
        <v>328</v>
      </c>
      <c r="D7048">
        <f t="shared" si="240"/>
        <v>2025</v>
      </c>
      <c r="E7048">
        <f t="shared" si="241"/>
        <v>5</v>
      </c>
    </row>
    <row r="7049" spans="1:5" x14ac:dyDescent="0.3">
      <c r="A7049" t="s">
        <v>7174</v>
      </c>
      <c r="B7049" t="s">
        <v>127</v>
      </c>
      <c r="C7049">
        <v>314</v>
      </c>
      <c r="D7049">
        <f t="shared" si="240"/>
        <v>2025</v>
      </c>
      <c r="E7049">
        <f t="shared" si="241"/>
        <v>5</v>
      </c>
    </row>
    <row r="7050" spans="1:5" x14ac:dyDescent="0.3">
      <c r="A7050" t="s">
        <v>7175</v>
      </c>
      <c r="B7050" t="s">
        <v>127</v>
      </c>
      <c r="C7050">
        <v>311</v>
      </c>
      <c r="D7050">
        <f t="shared" si="240"/>
        <v>2025</v>
      </c>
      <c r="E7050">
        <f t="shared" si="241"/>
        <v>5</v>
      </c>
    </row>
    <row r="7051" spans="1:5" x14ac:dyDescent="0.3">
      <c r="A7051" t="s">
        <v>7176</v>
      </c>
      <c r="B7051" t="s">
        <v>127</v>
      </c>
      <c r="C7051">
        <v>310</v>
      </c>
      <c r="D7051">
        <f t="shared" si="240"/>
        <v>2025</v>
      </c>
      <c r="E7051">
        <f t="shared" si="241"/>
        <v>5</v>
      </c>
    </row>
    <row r="7052" spans="1:5" x14ac:dyDescent="0.3">
      <c r="A7052" t="s">
        <v>7177</v>
      </c>
      <c r="B7052" t="s">
        <v>127</v>
      </c>
      <c r="C7052">
        <v>307</v>
      </c>
      <c r="D7052">
        <f t="shared" si="240"/>
        <v>2025</v>
      </c>
      <c r="E7052">
        <f t="shared" si="241"/>
        <v>5</v>
      </c>
    </row>
    <row r="7053" spans="1:5" x14ac:dyDescent="0.3">
      <c r="A7053" t="s">
        <v>7178</v>
      </c>
      <c r="B7053" t="s">
        <v>127</v>
      </c>
      <c r="C7053">
        <v>302</v>
      </c>
      <c r="D7053">
        <f t="shared" si="240"/>
        <v>2025</v>
      </c>
      <c r="E7053">
        <f t="shared" si="241"/>
        <v>5</v>
      </c>
    </row>
    <row r="7054" spans="1:5" x14ac:dyDescent="0.3">
      <c r="A7054" t="s">
        <v>7179</v>
      </c>
      <c r="B7054" t="s">
        <v>127</v>
      </c>
      <c r="C7054">
        <v>301</v>
      </c>
      <c r="D7054">
        <f t="shared" si="240"/>
        <v>2025</v>
      </c>
      <c r="E7054">
        <f t="shared" si="241"/>
        <v>5</v>
      </c>
    </row>
    <row r="7055" spans="1:5" x14ac:dyDescent="0.3">
      <c r="A7055" t="s">
        <v>7180</v>
      </c>
      <c r="B7055" t="s">
        <v>127</v>
      </c>
      <c r="C7055">
        <v>299</v>
      </c>
      <c r="D7055">
        <f t="shared" si="240"/>
        <v>2025</v>
      </c>
      <c r="E7055">
        <f t="shared" si="241"/>
        <v>5</v>
      </c>
    </row>
    <row r="7056" spans="1:5" x14ac:dyDescent="0.3">
      <c r="A7056" t="s">
        <v>7181</v>
      </c>
      <c r="B7056" t="s">
        <v>127</v>
      </c>
      <c r="C7056">
        <v>298</v>
      </c>
      <c r="D7056">
        <f t="shared" si="240"/>
        <v>2025</v>
      </c>
      <c r="E7056">
        <f t="shared" si="241"/>
        <v>5</v>
      </c>
    </row>
    <row r="7057" spans="1:5" x14ac:dyDescent="0.3">
      <c r="A7057" t="s">
        <v>7182</v>
      </c>
      <c r="B7057" t="s">
        <v>127</v>
      </c>
      <c r="C7057">
        <v>301</v>
      </c>
      <c r="D7057">
        <f t="shared" si="240"/>
        <v>2025</v>
      </c>
      <c r="E7057">
        <f t="shared" si="241"/>
        <v>5</v>
      </c>
    </row>
    <row r="7058" spans="1:5" x14ac:dyDescent="0.3">
      <c r="A7058" t="s">
        <v>7183</v>
      </c>
      <c r="B7058" t="s">
        <v>127</v>
      </c>
      <c r="C7058">
        <v>307</v>
      </c>
      <c r="D7058">
        <f t="shared" si="240"/>
        <v>2025</v>
      </c>
      <c r="E7058">
        <f t="shared" si="241"/>
        <v>5</v>
      </c>
    </row>
    <row r="7059" spans="1:5" x14ac:dyDescent="0.3">
      <c r="A7059" t="s">
        <v>7184</v>
      </c>
      <c r="B7059" t="s">
        <v>127</v>
      </c>
      <c r="C7059">
        <v>307</v>
      </c>
      <c r="D7059">
        <f t="shared" si="240"/>
        <v>2025</v>
      </c>
      <c r="E7059">
        <f t="shared" si="241"/>
        <v>5</v>
      </c>
    </row>
    <row r="7060" spans="1:5" x14ac:dyDescent="0.3">
      <c r="A7060" t="s">
        <v>7185</v>
      </c>
      <c r="B7060" t="s">
        <v>127</v>
      </c>
      <c r="C7060">
        <v>307</v>
      </c>
      <c r="D7060">
        <f t="shared" si="240"/>
        <v>2025</v>
      </c>
      <c r="E7060">
        <f t="shared" si="241"/>
        <v>5</v>
      </c>
    </row>
    <row r="7061" spans="1:5" x14ac:dyDescent="0.3">
      <c r="A7061" t="s">
        <v>7186</v>
      </c>
      <c r="B7061" t="s">
        <v>127</v>
      </c>
      <c r="C7061">
        <v>309</v>
      </c>
      <c r="D7061">
        <f t="shared" si="240"/>
        <v>2025</v>
      </c>
      <c r="E7061">
        <f t="shared" si="241"/>
        <v>5</v>
      </c>
    </row>
    <row r="7062" spans="1:5" x14ac:dyDescent="0.3">
      <c r="A7062" t="s">
        <v>7187</v>
      </c>
      <c r="B7062" t="s">
        <v>127</v>
      </c>
      <c r="C7062">
        <v>308</v>
      </c>
      <c r="D7062">
        <f t="shared" si="240"/>
        <v>2025</v>
      </c>
      <c r="E7062">
        <f t="shared" si="241"/>
        <v>5</v>
      </c>
    </row>
    <row r="7063" spans="1:5" x14ac:dyDescent="0.3">
      <c r="A7063" t="s">
        <v>7188</v>
      </c>
      <c r="B7063" t="s">
        <v>127</v>
      </c>
      <c r="C7063">
        <v>315</v>
      </c>
      <c r="D7063">
        <f t="shared" si="240"/>
        <v>2025</v>
      </c>
      <c r="E7063">
        <f t="shared" si="241"/>
        <v>5</v>
      </c>
    </row>
    <row r="7064" spans="1:5" x14ac:dyDescent="0.3">
      <c r="A7064" t="s">
        <v>7189</v>
      </c>
      <c r="B7064" t="s">
        <v>127</v>
      </c>
      <c r="C7064">
        <v>309</v>
      </c>
      <c r="D7064">
        <f t="shared" si="240"/>
        <v>2025</v>
      </c>
      <c r="E7064">
        <f t="shared" si="241"/>
        <v>6</v>
      </c>
    </row>
    <row r="7065" spans="1:5" x14ac:dyDescent="0.3">
      <c r="A7065" t="s">
        <v>7190</v>
      </c>
      <c r="B7065" t="s">
        <v>127</v>
      </c>
      <c r="C7065">
        <v>302</v>
      </c>
      <c r="D7065">
        <f t="shared" si="240"/>
        <v>2025</v>
      </c>
      <c r="E7065">
        <f t="shared" si="241"/>
        <v>6</v>
      </c>
    </row>
    <row r="7066" spans="1:5" x14ac:dyDescent="0.3">
      <c r="A7066" t="s">
        <v>7191</v>
      </c>
      <c r="B7066" t="s">
        <v>127</v>
      </c>
      <c r="C7066">
        <v>303</v>
      </c>
      <c r="D7066">
        <f t="shared" si="240"/>
        <v>2025</v>
      </c>
      <c r="E7066">
        <f t="shared" si="241"/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205E-8C91-4155-A333-6BBFD14DEB7A}">
  <dimension ref="A1:IQ231"/>
  <sheetViews>
    <sheetView zoomScaleNormal="100" workbookViewId="0">
      <pane xSplit="2" ySplit="4" topLeftCell="C47" activePane="bottomRight" state="frozen"/>
      <selection pane="topRight" activeCell="C1" sqref="C1"/>
      <selection pane="bottomLeft" activeCell="A5" sqref="A5"/>
      <selection pane="bottomRight" activeCell="C60" sqref="C60"/>
    </sheetView>
  </sheetViews>
  <sheetFormatPr defaultColWidth="8.88671875" defaultRowHeight="14.4" x14ac:dyDescent="0.3"/>
  <cols>
    <col min="1" max="1" width="14.88671875" style="61" customWidth="1"/>
    <col min="2" max="2" width="23.33203125" style="61" customWidth="1"/>
    <col min="3" max="202" width="5.88671875" style="61" customWidth="1"/>
    <col min="203" max="217" width="5.88671875" style="85" customWidth="1"/>
    <col min="218" max="219" width="8.88671875" style="61"/>
    <col min="220" max="220" width="9.6640625" style="61" bestFit="1" customWidth="1"/>
    <col min="221" max="16384" width="8.88671875" style="61"/>
  </cols>
  <sheetData>
    <row r="1" spans="1:236" x14ac:dyDescent="0.3">
      <c r="A1" s="60" t="s">
        <v>7214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FA1" s="63"/>
      <c r="GU1" s="63"/>
      <c r="GV1" s="63"/>
      <c r="GW1" s="63"/>
      <c r="GX1" s="63"/>
      <c r="GY1" s="63"/>
      <c r="GZ1" s="63"/>
      <c r="HA1" s="63"/>
      <c r="HB1" s="63"/>
      <c r="HC1" s="63"/>
      <c r="HD1" s="63"/>
      <c r="HE1" s="63"/>
      <c r="HF1" s="63"/>
      <c r="HG1" s="63"/>
      <c r="HH1" s="63"/>
      <c r="HI1" s="63"/>
      <c r="HJ1" s="63"/>
      <c r="HK1" s="63"/>
    </row>
    <row r="2" spans="1:236" s="62" customFormat="1" ht="13.2" x14ac:dyDescent="0.25">
      <c r="B2" s="60" t="s">
        <v>7215</v>
      </c>
      <c r="C2" s="64">
        <v>1800</v>
      </c>
      <c r="D2" s="64">
        <f>C2+1</f>
        <v>1801</v>
      </c>
      <c r="E2" s="64">
        <f t="shared" ref="E2:Z2" si="0">D2+1</f>
        <v>1802</v>
      </c>
      <c r="F2" s="64">
        <f t="shared" si="0"/>
        <v>1803</v>
      </c>
      <c r="G2" s="64">
        <f t="shared" si="0"/>
        <v>1804</v>
      </c>
      <c r="H2" s="64">
        <f t="shared" si="0"/>
        <v>1805</v>
      </c>
      <c r="I2" s="64">
        <f t="shared" si="0"/>
        <v>1806</v>
      </c>
      <c r="J2" s="64">
        <f t="shared" si="0"/>
        <v>1807</v>
      </c>
      <c r="K2" s="64">
        <f t="shared" si="0"/>
        <v>1808</v>
      </c>
      <c r="L2" s="64">
        <f t="shared" si="0"/>
        <v>1809</v>
      </c>
      <c r="M2" s="64">
        <f t="shared" si="0"/>
        <v>1810</v>
      </c>
      <c r="N2" s="64">
        <f t="shared" si="0"/>
        <v>1811</v>
      </c>
      <c r="O2" s="64">
        <f t="shared" si="0"/>
        <v>1812</v>
      </c>
      <c r="P2" s="64">
        <f t="shared" si="0"/>
        <v>1813</v>
      </c>
      <c r="Q2" s="64">
        <f t="shared" si="0"/>
        <v>1814</v>
      </c>
      <c r="R2" s="64">
        <f t="shared" si="0"/>
        <v>1815</v>
      </c>
      <c r="S2" s="64">
        <f t="shared" si="0"/>
        <v>1816</v>
      </c>
      <c r="T2" s="64">
        <f t="shared" si="0"/>
        <v>1817</v>
      </c>
      <c r="U2" s="64">
        <f t="shared" si="0"/>
        <v>1818</v>
      </c>
      <c r="V2" s="64">
        <f t="shared" si="0"/>
        <v>1819</v>
      </c>
      <c r="W2" s="64">
        <f t="shared" si="0"/>
        <v>1820</v>
      </c>
      <c r="X2" s="64">
        <f t="shared" si="0"/>
        <v>1821</v>
      </c>
      <c r="Y2" s="64">
        <f t="shared" si="0"/>
        <v>1822</v>
      </c>
      <c r="Z2" s="64">
        <f t="shared" si="0"/>
        <v>1823</v>
      </c>
      <c r="AA2" s="64">
        <v>1824</v>
      </c>
      <c r="AB2" s="64">
        <v>1825</v>
      </c>
      <c r="AC2" s="64">
        <v>1826</v>
      </c>
      <c r="AD2" s="64">
        <v>1827</v>
      </c>
      <c r="AE2" s="64">
        <v>1828</v>
      </c>
      <c r="AF2" s="64">
        <v>1829</v>
      </c>
      <c r="AG2" s="64">
        <v>1830</v>
      </c>
      <c r="AH2" s="64">
        <v>1831</v>
      </c>
      <c r="AI2" s="64">
        <v>1832</v>
      </c>
      <c r="AJ2" s="64">
        <v>1833</v>
      </c>
      <c r="AK2" s="64">
        <v>1834</v>
      </c>
      <c r="AL2" s="64">
        <v>1835</v>
      </c>
      <c r="AM2" s="64">
        <v>1836</v>
      </c>
      <c r="AN2" s="64">
        <v>1837</v>
      </c>
      <c r="AO2" s="64">
        <v>1838</v>
      </c>
      <c r="AP2" s="64">
        <v>1839</v>
      </c>
      <c r="AQ2" s="64">
        <v>1840</v>
      </c>
      <c r="AR2" s="64">
        <v>1841</v>
      </c>
      <c r="AS2" s="64">
        <v>1842</v>
      </c>
      <c r="AT2" s="64">
        <v>1843</v>
      </c>
      <c r="AU2" s="64">
        <v>1844</v>
      </c>
      <c r="AV2" s="64">
        <v>1845</v>
      </c>
      <c r="AW2" s="64">
        <v>1846</v>
      </c>
      <c r="AX2" s="64">
        <v>1847</v>
      </c>
      <c r="AY2" s="64">
        <v>1848</v>
      </c>
      <c r="AZ2" s="64">
        <v>1849</v>
      </c>
      <c r="BA2" s="64">
        <v>1850</v>
      </c>
      <c r="BB2" s="64">
        <v>1851</v>
      </c>
      <c r="BC2" s="64">
        <v>1852</v>
      </c>
      <c r="BD2" s="64">
        <v>1853</v>
      </c>
      <c r="BE2" s="64">
        <v>1854</v>
      </c>
      <c r="BF2" s="64">
        <v>1855</v>
      </c>
      <c r="BG2" s="64">
        <v>1856</v>
      </c>
      <c r="BH2" s="64">
        <v>1857</v>
      </c>
      <c r="BI2" s="64">
        <v>1858</v>
      </c>
      <c r="BJ2" s="64">
        <v>1859</v>
      </c>
      <c r="BK2" s="64">
        <v>1860</v>
      </c>
      <c r="BL2" s="64">
        <v>1861</v>
      </c>
      <c r="BM2" s="64">
        <v>1862</v>
      </c>
      <c r="BN2" s="64">
        <v>1863</v>
      </c>
      <c r="BO2" s="64">
        <v>1864</v>
      </c>
      <c r="BP2" s="64">
        <v>1865</v>
      </c>
      <c r="BQ2" s="64">
        <v>1866</v>
      </c>
      <c r="BR2" s="64">
        <v>1867</v>
      </c>
      <c r="BS2" s="64">
        <v>1868</v>
      </c>
      <c r="BT2" s="64">
        <v>1869</v>
      </c>
      <c r="BU2" s="64">
        <v>1870</v>
      </c>
      <c r="BV2" s="64">
        <v>1871</v>
      </c>
      <c r="BW2" s="64">
        <v>1872</v>
      </c>
      <c r="BX2" s="64">
        <v>1873</v>
      </c>
      <c r="BY2" s="64">
        <v>1874</v>
      </c>
      <c r="BZ2" s="64">
        <v>1875</v>
      </c>
      <c r="CA2" s="64">
        <v>1876</v>
      </c>
      <c r="CB2" s="64">
        <v>1877</v>
      </c>
      <c r="CC2" s="64">
        <v>1878</v>
      </c>
      <c r="CD2" s="64">
        <v>1879</v>
      </c>
      <c r="CE2" s="64">
        <v>1880</v>
      </c>
      <c r="CF2" s="64">
        <v>1881</v>
      </c>
      <c r="CG2" s="64">
        <v>1882</v>
      </c>
      <c r="CH2" s="64">
        <v>1883</v>
      </c>
      <c r="CI2" s="64">
        <v>1884</v>
      </c>
      <c r="CJ2" s="64">
        <v>1885</v>
      </c>
      <c r="CK2" s="64">
        <v>1886</v>
      </c>
      <c r="CL2" s="64">
        <v>1887</v>
      </c>
      <c r="CM2" s="64">
        <v>1888</v>
      </c>
      <c r="CN2" s="64">
        <v>1889</v>
      </c>
      <c r="CO2" s="64">
        <v>1890</v>
      </c>
      <c r="CP2" s="64">
        <v>1891</v>
      </c>
      <c r="CQ2" s="64">
        <v>1892</v>
      </c>
      <c r="CR2" s="64">
        <v>1893</v>
      </c>
      <c r="CS2" s="64">
        <v>1894</v>
      </c>
      <c r="CT2" s="64">
        <v>1895</v>
      </c>
      <c r="CU2" s="64">
        <v>1896</v>
      </c>
      <c r="CV2" s="64">
        <v>1897</v>
      </c>
      <c r="CW2" s="64">
        <v>1898</v>
      </c>
      <c r="CX2" s="64">
        <v>1899</v>
      </c>
      <c r="CY2" s="64">
        <v>1900</v>
      </c>
      <c r="CZ2" s="64">
        <v>1901</v>
      </c>
      <c r="DA2" s="64">
        <v>1902</v>
      </c>
      <c r="DB2" s="64">
        <v>1903</v>
      </c>
      <c r="DC2" s="64">
        <v>1904</v>
      </c>
      <c r="DD2" s="64">
        <v>1905</v>
      </c>
      <c r="DE2" s="64">
        <v>1906</v>
      </c>
      <c r="DF2" s="64">
        <v>1907</v>
      </c>
      <c r="DG2" s="64">
        <v>1908</v>
      </c>
      <c r="DH2" s="64">
        <v>1909</v>
      </c>
      <c r="DI2" s="64">
        <v>1910</v>
      </c>
      <c r="DJ2" s="64">
        <v>1911</v>
      </c>
      <c r="DK2" s="64">
        <v>1912</v>
      </c>
      <c r="DL2" s="64">
        <v>1913</v>
      </c>
      <c r="DM2" s="64">
        <v>1914</v>
      </c>
      <c r="DN2" s="64">
        <v>1915</v>
      </c>
      <c r="DO2" s="64">
        <v>1916</v>
      </c>
      <c r="DP2" s="64">
        <v>1917</v>
      </c>
      <c r="DQ2" s="64">
        <v>1918</v>
      </c>
      <c r="DR2" s="64">
        <v>1919</v>
      </c>
      <c r="DS2" s="64">
        <v>1920</v>
      </c>
      <c r="DT2" s="64">
        <v>1921</v>
      </c>
      <c r="DU2" s="64">
        <v>1922</v>
      </c>
      <c r="DV2" s="64">
        <v>1923</v>
      </c>
      <c r="DW2" s="64">
        <v>1924</v>
      </c>
      <c r="DX2" s="64">
        <v>1925</v>
      </c>
      <c r="DY2" s="64">
        <v>1926</v>
      </c>
      <c r="DZ2" s="64">
        <v>1927</v>
      </c>
      <c r="EA2" s="64">
        <v>1928</v>
      </c>
      <c r="EB2" s="64">
        <v>1929</v>
      </c>
      <c r="EC2" s="64">
        <v>1930</v>
      </c>
      <c r="ED2" s="64">
        <v>1931</v>
      </c>
      <c r="EE2" s="64">
        <v>1932</v>
      </c>
      <c r="EF2" s="64">
        <v>1933</v>
      </c>
      <c r="EG2" s="64">
        <v>1934</v>
      </c>
      <c r="EH2" s="64">
        <v>1935</v>
      </c>
      <c r="EI2" s="64">
        <v>1936</v>
      </c>
      <c r="EJ2" s="64">
        <v>1937</v>
      </c>
      <c r="EK2" s="64">
        <v>1938</v>
      </c>
      <c r="EL2" s="64">
        <v>1939</v>
      </c>
      <c r="EM2" s="64">
        <v>1940</v>
      </c>
      <c r="EN2" s="64">
        <v>1941</v>
      </c>
      <c r="EO2" s="64">
        <v>1942</v>
      </c>
      <c r="EP2" s="64">
        <v>1943</v>
      </c>
      <c r="EQ2" s="64">
        <v>1944</v>
      </c>
      <c r="ER2" s="64">
        <v>1945</v>
      </c>
      <c r="ES2" s="64">
        <v>1946</v>
      </c>
      <c r="ET2" s="64">
        <v>1947</v>
      </c>
      <c r="EU2" s="64">
        <v>1948</v>
      </c>
      <c r="EV2" s="64">
        <v>1949</v>
      </c>
      <c r="EW2" s="64">
        <v>1950</v>
      </c>
      <c r="EX2" s="64">
        <v>1951</v>
      </c>
      <c r="EY2" s="64">
        <v>1952</v>
      </c>
      <c r="EZ2" s="64">
        <v>1953</v>
      </c>
      <c r="FA2" s="64">
        <v>1954</v>
      </c>
      <c r="FB2" s="64">
        <v>1955</v>
      </c>
      <c r="FC2" s="64">
        <v>1956</v>
      </c>
      <c r="FD2" s="64">
        <v>1957</v>
      </c>
      <c r="FE2" s="64">
        <v>1958</v>
      </c>
      <c r="FF2" s="64">
        <v>1959</v>
      </c>
      <c r="FG2" s="64">
        <v>1960</v>
      </c>
      <c r="FH2" s="64">
        <v>1961</v>
      </c>
      <c r="FI2" s="64">
        <v>1962</v>
      </c>
      <c r="FJ2" s="64">
        <v>1963</v>
      </c>
      <c r="FK2" s="64">
        <v>1964</v>
      </c>
      <c r="FL2" s="64">
        <v>1965</v>
      </c>
      <c r="FM2" s="64">
        <v>1966</v>
      </c>
      <c r="FN2" s="64">
        <v>1967</v>
      </c>
      <c r="FO2" s="64">
        <v>1968</v>
      </c>
      <c r="FP2" s="64">
        <v>1969</v>
      </c>
      <c r="FQ2" s="64">
        <v>1970</v>
      </c>
      <c r="FR2" s="64">
        <v>1971</v>
      </c>
      <c r="FS2" s="64">
        <v>1972</v>
      </c>
      <c r="FT2" s="64">
        <v>1973</v>
      </c>
      <c r="FU2" s="64">
        <v>1974</v>
      </c>
      <c r="FV2" s="64">
        <v>1975</v>
      </c>
      <c r="FW2" s="64">
        <v>1976</v>
      </c>
      <c r="FX2" s="64">
        <v>1977</v>
      </c>
      <c r="FY2" s="64">
        <v>1978</v>
      </c>
      <c r="FZ2" s="64">
        <v>1979</v>
      </c>
      <c r="GA2" s="64">
        <v>1980</v>
      </c>
      <c r="GB2" s="64">
        <v>1981</v>
      </c>
      <c r="GC2" s="64">
        <v>1982</v>
      </c>
      <c r="GD2" s="64">
        <v>1983</v>
      </c>
      <c r="GE2" s="64">
        <v>1984</v>
      </c>
      <c r="GF2" s="64">
        <v>1985</v>
      </c>
      <c r="GG2" s="64">
        <v>1986</v>
      </c>
      <c r="GH2" s="64">
        <v>1987</v>
      </c>
      <c r="GI2" s="64">
        <v>1988</v>
      </c>
      <c r="GJ2" s="64">
        <v>1989</v>
      </c>
      <c r="GK2" s="64">
        <v>1990</v>
      </c>
      <c r="GL2" s="64">
        <v>1991</v>
      </c>
      <c r="GM2" s="64">
        <v>1992</v>
      </c>
      <c r="GN2" s="64">
        <v>1993</v>
      </c>
      <c r="GO2" s="64">
        <v>1994</v>
      </c>
      <c r="GP2" s="64">
        <v>1995</v>
      </c>
      <c r="GQ2" s="64">
        <v>1996</v>
      </c>
      <c r="GR2" s="64">
        <v>1997</v>
      </c>
      <c r="GS2" s="64">
        <v>1998</v>
      </c>
      <c r="GT2" s="64">
        <v>1999</v>
      </c>
      <c r="GU2" s="64">
        <v>2000</v>
      </c>
      <c r="GV2" s="64">
        <v>2001</v>
      </c>
      <c r="GW2" s="64">
        <v>2002</v>
      </c>
      <c r="GX2" s="64">
        <v>2003</v>
      </c>
      <c r="GY2" s="64">
        <v>2004</v>
      </c>
      <c r="GZ2" s="64">
        <v>2005</v>
      </c>
      <c r="HA2" s="64">
        <v>2006</v>
      </c>
      <c r="HB2" s="64">
        <v>2007</v>
      </c>
      <c r="HC2" s="64">
        <v>2008</v>
      </c>
      <c r="HD2" s="64">
        <v>2009</v>
      </c>
      <c r="HE2" s="64">
        <v>2010</v>
      </c>
      <c r="HF2" s="64">
        <v>2011</v>
      </c>
      <c r="HG2" s="64">
        <v>2012</v>
      </c>
      <c r="HH2" s="64">
        <v>2013</v>
      </c>
      <c r="HI2" s="64">
        <v>2014</v>
      </c>
      <c r="HJ2" s="60" t="s">
        <v>7216</v>
      </c>
      <c r="HK2" s="60" t="s">
        <v>7217</v>
      </c>
      <c r="HL2" s="60" t="s">
        <v>7218</v>
      </c>
      <c r="HM2" s="60" t="s">
        <v>7219</v>
      </c>
      <c r="HN2" s="60"/>
      <c r="HO2" s="107" t="s">
        <v>7220</v>
      </c>
      <c r="HP2" s="107"/>
      <c r="HQ2" s="107"/>
      <c r="HS2" s="61"/>
      <c r="HT2" s="61"/>
      <c r="HU2" s="61"/>
      <c r="HV2" s="61"/>
      <c r="HW2" s="61"/>
      <c r="HX2" s="61"/>
      <c r="HY2" s="61"/>
      <c r="HZ2" s="61"/>
      <c r="IA2" s="61"/>
      <c r="IB2" s="61"/>
    </row>
    <row r="3" spans="1:236" x14ac:dyDescent="0.3">
      <c r="B3" s="60" t="s">
        <v>7221</v>
      </c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GU3" s="63"/>
      <c r="GV3" s="63"/>
      <c r="GW3" s="63"/>
      <c r="GX3" s="63"/>
      <c r="GY3" s="63"/>
      <c r="GZ3" s="63"/>
      <c r="HA3" s="63"/>
      <c r="HB3" s="63"/>
      <c r="HC3" s="63"/>
      <c r="HD3" s="63"/>
      <c r="HE3" s="63"/>
      <c r="HF3" s="63"/>
      <c r="HG3" s="63"/>
      <c r="HH3" s="63"/>
      <c r="HI3" s="63"/>
      <c r="HJ3" s="60" t="s">
        <v>7222</v>
      </c>
      <c r="HK3" s="63" t="s">
        <v>7223</v>
      </c>
      <c r="HO3" s="61" t="s">
        <v>7224</v>
      </c>
      <c r="HP3" s="61" t="s">
        <v>7225</v>
      </c>
      <c r="HQ3" s="61" t="s">
        <v>7226</v>
      </c>
    </row>
    <row r="4" spans="1:236" x14ac:dyDescent="0.3">
      <c r="B4" s="62"/>
      <c r="C4" s="60">
        <v>1</v>
      </c>
      <c r="D4" s="60">
        <v>1</v>
      </c>
      <c r="E4" s="60">
        <v>1</v>
      </c>
      <c r="F4" s="60">
        <v>1</v>
      </c>
      <c r="G4" s="60">
        <v>1</v>
      </c>
      <c r="H4" s="60">
        <v>1</v>
      </c>
      <c r="I4" s="60">
        <v>1</v>
      </c>
      <c r="J4" s="60">
        <v>1</v>
      </c>
      <c r="K4" s="60">
        <v>1</v>
      </c>
      <c r="L4" s="60">
        <v>1</v>
      </c>
      <c r="M4" s="60">
        <v>1</v>
      </c>
      <c r="N4" s="60">
        <v>1</v>
      </c>
      <c r="O4" s="60">
        <v>1</v>
      </c>
      <c r="P4" s="60">
        <v>1</v>
      </c>
      <c r="Q4" s="60">
        <v>1</v>
      </c>
      <c r="R4" s="60">
        <v>1</v>
      </c>
      <c r="S4" s="60">
        <v>1</v>
      </c>
      <c r="T4" s="60">
        <v>1</v>
      </c>
      <c r="U4" s="60">
        <v>1</v>
      </c>
      <c r="V4" s="60">
        <v>1</v>
      </c>
      <c r="W4" s="60">
        <v>1</v>
      </c>
      <c r="X4" s="60">
        <v>1</v>
      </c>
      <c r="Y4" s="60">
        <v>1</v>
      </c>
      <c r="Z4" s="60">
        <v>1</v>
      </c>
      <c r="AA4" s="60">
        <v>1</v>
      </c>
      <c r="AB4" s="60">
        <v>1</v>
      </c>
      <c r="AC4" s="60">
        <v>1</v>
      </c>
      <c r="AD4" s="60">
        <v>1</v>
      </c>
      <c r="AE4" s="60">
        <v>1</v>
      </c>
      <c r="AF4" s="60">
        <v>1</v>
      </c>
      <c r="AG4" s="60">
        <v>1</v>
      </c>
      <c r="AH4" s="60">
        <v>1</v>
      </c>
      <c r="AI4" s="60">
        <v>1</v>
      </c>
      <c r="AJ4" s="60">
        <v>1</v>
      </c>
      <c r="AK4" s="60">
        <v>1</v>
      </c>
      <c r="AL4" s="60">
        <v>1</v>
      </c>
      <c r="AM4" s="60">
        <v>1</v>
      </c>
      <c r="AN4" s="60">
        <v>1</v>
      </c>
      <c r="AO4" s="60">
        <v>1</v>
      </c>
      <c r="AP4" s="60">
        <v>1</v>
      </c>
      <c r="AQ4" s="60">
        <v>1</v>
      </c>
      <c r="AR4" s="60">
        <v>1</v>
      </c>
      <c r="AS4" s="60">
        <v>1</v>
      </c>
      <c r="AT4" s="60">
        <v>1</v>
      </c>
      <c r="AU4" s="60">
        <v>1</v>
      </c>
      <c r="AV4" s="60">
        <v>1</v>
      </c>
      <c r="AW4" s="60">
        <v>1</v>
      </c>
      <c r="AX4" s="60">
        <v>1</v>
      </c>
      <c r="AY4" s="60">
        <v>1</v>
      </c>
      <c r="AZ4" s="60">
        <v>1</v>
      </c>
      <c r="BA4" s="60">
        <v>1</v>
      </c>
      <c r="BB4" s="60">
        <v>1</v>
      </c>
      <c r="BC4" s="60">
        <v>1</v>
      </c>
      <c r="BD4" s="60">
        <v>1</v>
      </c>
      <c r="BE4" s="60">
        <v>1</v>
      </c>
      <c r="BF4" s="60">
        <v>1</v>
      </c>
      <c r="BG4" s="60">
        <v>1</v>
      </c>
      <c r="BH4" s="60">
        <v>1</v>
      </c>
      <c r="BI4" s="60">
        <v>1</v>
      </c>
      <c r="BJ4" s="60">
        <v>1</v>
      </c>
      <c r="BK4" s="60">
        <v>1</v>
      </c>
      <c r="BL4" s="60">
        <v>1</v>
      </c>
      <c r="BM4" s="60">
        <v>1</v>
      </c>
      <c r="BN4" s="60">
        <v>1</v>
      </c>
      <c r="BO4" s="60">
        <v>1</v>
      </c>
      <c r="BP4" s="60">
        <v>1</v>
      </c>
      <c r="BQ4" s="60">
        <v>1</v>
      </c>
      <c r="BR4" s="60">
        <v>1</v>
      </c>
      <c r="BS4" s="60">
        <v>1</v>
      </c>
      <c r="BT4" s="60">
        <v>1</v>
      </c>
      <c r="BU4" s="60">
        <v>1</v>
      </c>
      <c r="BV4" s="60">
        <v>1</v>
      </c>
      <c r="BW4" s="60">
        <v>1</v>
      </c>
      <c r="BX4" s="60">
        <v>1</v>
      </c>
      <c r="BY4" s="60">
        <v>1</v>
      </c>
      <c r="BZ4" s="60">
        <v>1</v>
      </c>
      <c r="CA4" s="60">
        <v>1</v>
      </c>
      <c r="CB4" s="60">
        <v>1</v>
      </c>
      <c r="CC4" s="60">
        <v>1</v>
      </c>
      <c r="CD4" s="60">
        <v>1</v>
      </c>
      <c r="CE4" s="60">
        <v>1</v>
      </c>
      <c r="CF4" s="60">
        <v>1</v>
      </c>
      <c r="CG4" s="60">
        <v>1</v>
      </c>
      <c r="CH4" s="60">
        <v>1</v>
      </c>
      <c r="CI4" s="60">
        <v>1</v>
      </c>
      <c r="CJ4" s="60">
        <v>1</v>
      </c>
      <c r="CK4" s="60">
        <v>1</v>
      </c>
      <c r="CL4" s="60">
        <v>1</v>
      </c>
      <c r="CM4" s="60">
        <v>1</v>
      </c>
      <c r="CN4" s="60">
        <v>1</v>
      </c>
      <c r="CO4" s="60">
        <v>1</v>
      </c>
      <c r="CP4" s="60">
        <v>1</v>
      </c>
      <c r="CQ4" s="60">
        <v>1</v>
      </c>
      <c r="CR4" s="60">
        <v>1</v>
      </c>
      <c r="CS4" s="60">
        <v>1</v>
      </c>
      <c r="CT4" s="60">
        <v>1</v>
      </c>
      <c r="CU4" s="60">
        <v>1</v>
      </c>
      <c r="CV4" s="60">
        <v>1</v>
      </c>
      <c r="CW4" s="60">
        <v>1</v>
      </c>
      <c r="CX4" s="60">
        <v>1</v>
      </c>
      <c r="CY4" s="60">
        <v>1</v>
      </c>
      <c r="CZ4" s="60">
        <v>1</v>
      </c>
      <c r="DA4" s="60">
        <v>1</v>
      </c>
      <c r="DB4" s="60">
        <v>1</v>
      </c>
      <c r="DC4" s="60">
        <v>1</v>
      </c>
      <c r="DD4" s="60">
        <v>1</v>
      </c>
      <c r="DE4" s="60">
        <v>1</v>
      </c>
      <c r="DF4" s="60">
        <v>1</v>
      </c>
      <c r="DG4" s="60">
        <v>1</v>
      </c>
      <c r="DH4" s="60">
        <v>1</v>
      </c>
      <c r="DI4" s="60">
        <v>1</v>
      </c>
      <c r="DJ4" s="60">
        <v>1</v>
      </c>
      <c r="DK4" s="60">
        <v>1</v>
      </c>
      <c r="DL4" s="60">
        <v>1</v>
      </c>
      <c r="DM4" s="60">
        <v>1</v>
      </c>
      <c r="DN4" s="60">
        <v>1</v>
      </c>
      <c r="DO4" s="60">
        <v>1</v>
      </c>
      <c r="DP4" s="60">
        <v>1</v>
      </c>
      <c r="DQ4" s="60">
        <v>1</v>
      </c>
      <c r="DR4" s="60">
        <v>1</v>
      </c>
      <c r="DS4" s="60">
        <v>1</v>
      </c>
      <c r="DT4" s="60">
        <v>1</v>
      </c>
      <c r="DU4" s="60">
        <v>1</v>
      </c>
      <c r="DV4" s="60">
        <v>1</v>
      </c>
      <c r="DW4" s="60">
        <v>1</v>
      </c>
      <c r="DX4" s="60">
        <v>1</v>
      </c>
      <c r="DY4" s="60">
        <v>1</v>
      </c>
      <c r="DZ4" s="60">
        <v>1</v>
      </c>
      <c r="EA4" s="60">
        <v>1</v>
      </c>
      <c r="EB4" s="60">
        <v>1</v>
      </c>
      <c r="EC4" s="60">
        <v>1</v>
      </c>
      <c r="ED4" s="60">
        <v>1</v>
      </c>
      <c r="EE4" s="60">
        <v>1</v>
      </c>
      <c r="EF4" s="60">
        <v>1</v>
      </c>
      <c r="EG4" s="60">
        <v>1</v>
      </c>
      <c r="EH4" s="60">
        <v>1</v>
      </c>
      <c r="EI4" s="60">
        <v>1</v>
      </c>
      <c r="EJ4" s="60">
        <v>1</v>
      </c>
      <c r="EK4" s="60">
        <v>1</v>
      </c>
      <c r="EL4" s="60">
        <v>1</v>
      </c>
      <c r="EM4" s="60">
        <v>1</v>
      </c>
      <c r="EN4" s="60">
        <v>1</v>
      </c>
      <c r="EO4" s="60">
        <v>1</v>
      </c>
      <c r="EP4" s="60">
        <v>1</v>
      </c>
      <c r="EQ4" s="60">
        <v>1</v>
      </c>
      <c r="ER4" s="60">
        <v>1</v>
      </c>
      <c r="ES4" s="60">
        <v>1</v>
      </c>
      <c r="ET4" s="60">
        <v>1</v>
      </c>
      <c r="EU4" s="60">
        <v>1</v>
      </c>
      <c r="EV4" s="60">
        <v>1</v>
      </c>
      <c r="EW4" s="60">
        <v>1</v>
      </c>
      <c r="EX4" s="60">
        <v>1</v>
      </c>
      <c r="EY4" s="60">
        <v>1</v>
      </c>
      <c r="EZ4" s="60">
        <v>1</v>
      </c>
      <c r="FA4" s="60">
        <v>1</v>
      </c>
      <c r="FB4" s="60">
        <v>1</v>
      </c>
      <c r="FC4" s="60">
        <v>1</v>
      </c>
      <c r="FD4" s="60">
        <v>1</v>
      </c>
      <c r="FE4" s="60">
        <v>1</v>
      </c>
      <c r="FF4" s="60">
        <v>1</v>
      </c>
      <c r="FG4" s="60">
        <v>1</v>
      </c>
      <c r="FH4" s="60">
        <v>1</v>
      </c>
      <c r="FI4" s="60">
        <v>1</v>
      </c>
      <c r="FJ4" s="60">
        <v>1</v>
      </c>
      <c r="FK4" s="60">
        <v>1</v>
      </c>
      <c r="FL4" s="60">
        <v>1</v>
      </c>
      <c r="FM4" s="60">
        <v>1</v>
      </c>
      <c r="FN4" s="60">
        <v>1</v>
      </c>
      <c r="FO4" s="60">
        <v>1</v>
      </c>
      <c r="FP4" s="60">
        <v>1</v>
      </c>
      <c r="FQ4" s="60">
        <v>1</v>
      </c>
      <c r="FR4" s="60">
        <v>1</v>
      </c>
      <c r="FS4" s="60">
        <v>1</v>
      </c>
      <c r="FT4" s="60">
        <v>1</v>
      </c>
      <c r="FU4" s="60">
        <v>1</v>
      </c>
      <c r="FV4" s="60">
        <v>1</v>
      </c>
      <c r="FW4" s="60">
        <v>1</v>
      </c>
      <c r="FX4" s="60">
        <v>1</v>
      </c>
      <c r="FY4" s="60">
        <v>1</v>
      </c>
      <c r="FZ4" s="60">
        <v>1</v>
      </c>
      <c r="GA4" s="60">
        <v>1</v>
      </c>
      <c r="GB4" s="60">
        <v>1</v>
      </c>
      <c r="GC4" s="60">
        <v>1</v>
      </c>
      <c r="GD4" s="60">
        <v>1</v>
      </c>
      <c r="GE4" s="60">
        <v>1</v>
      </c>
      <c r="GF4" s="60">
        <v>1</v>
      </c>
      <c r="GG4" s="60">
        <v>1</v>
      </c>
      <c r="GH4" s="60">
        <v>1</v>
      </c>
      <c r="GI4" s="60">
        <v>1</v>
      </c>
      <c r="GJ4" s="60">
        <v>1</v>
      </c>
      <c r="GK4" s="60">
        <v>1</v>
      </c>
      <c r="GL4" s="60">
        <v>1</v>
      </c>
      <c r="GM4" s="60">
        <v>1</v>
      </c>
      <c r="GN4" s="60">
        <v>1</v>
      </c>
      <c r="GO4" s="60">
        <v>1</v>
      </c>
      <c r="GP4" s="60">
        <v>1</v>
      </c>
      <c r="GQ4" s="60">
        <v>1</v>
      </c>
      <c r="GR4" s="60">
        <v>1</v>
      </c>
      <c r="GS4" s="60">
        <v>1</v>
      </c>
      <c r="GT4" s="60">
        <v>1</v>
      </c>
      <c r="GU4" s="60">
        <v>1</v>
      </c>
      <c r="GV4" s="60">
        <v>1</v>
      </c>
      <c r="GW4" s="60">
        <v>1</v>
      </c>
      <c r="GX4" s="60">
        <v>1</v>
      </c>
      <c r="GY4" s="60">
        <v>1</v>
      </c>
      <c r="GZ4" s="60">
        <v>1</v>
      </c>
      <c r="HA4" s="60">
        <v>1</v>
      </c>
      <c r="HB4" s="60">
        <v>1</v>
      </c>
      <c r="HC4" s="60">
        <v>1</v>
      </c>
      <c r="HD4" s="60">
        <v>1</v>
      </c>
      <c r="HE4" s="60">
        <v>1</v>
      </c>
      <c r="HF4" s="60">
        <v>1</v>
      </c>
      <c r="HG4" s="60">
        <v>1</v>
      </c>
      <c r="HH4" s="60">
        <v>1</v>
      </c>
      <c r="HI4" s="60">
        <v>1</v>
      </c>
      <c r="HJ4" s="63"/>
      <c r="HK4" s="63">
        <f>SUM(C$4:HI$4)</f>
        <v>215</v>
      </c>
    </row>
    <row r="5" spans="1:236" x14ac:dyDescent="0.3">
      <c r="A5" s="61" t="s">
        <v>7227</v>
      </c>
      <c r="B5" s="63" t="s">
        <v>7228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  <c r="P5" s="61">
        <v>0</v>
      </c>
      <c r="Q5" s="61">
        <v>0</v>
      </c>
      <c r="R5" s="61">
        <v>0</v>
      </c>
      <c r="S5" s="61">
        <v>0</v>
      </c>
      <c r="T5" s="61">
        <v>0</v>
      </c>
      <c r="U5" s="61">
        <v>0</v>
      </c>
      <c r="V5" s="61">
        <v>0</v>
      </c>
      <c r="W5" s="61">
        <v>0</v>
      </c>
      <c r="X5" s="61">
        <v>0</v>
      </c>
      <c r="Y5" s="61">
        <v>0</v>
      </c>
      <c r="Z5" s="61">
        <v>0</v>
      </c>
      <c r="AA5" s="61">
        <v>0</v>
      </c>
      <c r="AB5" s="61">
        <v>0</v>
      </c>
      <c r="AC5" s="61">
        <v>0</v>
      </c>
      <c r="AD5" s="61">
        <v>0</v>
      </c>
      <c r="AE5" s="61">
        <v>0</v>
      </c>
      <c r="AF5" s="61">
        <v>0</v>
      </c>
      <c r="AG5" s="61">
        <v>0</v>
      </c>
      <c r="AH5" s="61">
        <v>0</v>
      </c>
      <c r="AI5" s="61">
        <v>0</v>
      </c>
      <c r="AJ5" s="61">
        <v>0</v>
      </c>
      <c r="AK5" s="61">
        <v>0</v>
      </c>
      <c r="AL5" s="61">
        <v>0</v>
      </c>
      <c r="AM5" s="61">
        <v>0</v>
      </c>
      <c r="AN5" s="61">
        <v>0</v>
      </c>
      <c r="AO5" s="61">
        <v>0</v>
      </c>
      <c r="AP5" s="61">
        <v>0</v>
      </c>
      <c r="AQ5" s="61">
        <v>0</v>
      </c>
      <c r="AR5" s="61">
        <v>0</v>
      </c>
      <c r="AS5" s="61">
        <v>0</v>
      </c>
      <c r="AT5" s="61">
        <v>0</v>
      </c>
      <c r="AU5" s="61">
        <v>0</v>
      </c>
      <c r="AV5" s="61">
        <v>0</v>
      </c>
      <c r="AW5" s="61">
        <v>0</v>
      </c>
      <c r="AX5" s="61">
        <v>0</v>
      </c>
      <c r="AY5" s="61">
        <v>0</v>
      </c>
      <c r="AZ5" s="61">
        <v>0</v>
      </c>
      <c r="BA5" s="61">
        <v>0</v>
      </c>
      <c r="BB5" s="61">
        <v>0</v>
      </c>
      <c r="BC5" s="61">
        <v>0</v>
      </c>
      <c r="BD5" s="61">
        <v>0</v>
      </c>
      <c r="BE5" s="61">
        <v>0</v>
      </c>
      <c r="BF5" s="61">
        <v>0</v>
      </c>
      <c r="BG5" s="61">
        <v>0</v>
      </c>
      <c r="BH5" s="61">
        <v>0</v>
      </c>
      <c r="BI5" s="61">
        <v>0</v>
      </c>
      <c r="BJ5" s="61">
        <v>0</v>
      </c>
      <c r="BK5" s="61">
        <v>0</v>
      </c>
      <c r="BL5" s="61">
        <v>0</v>
      </c>
      <c r="BM5" s="61">
        <v>0</v>
      </c>
      <c r="BN5" s="61">
        <v>0</v>
      </c>
      <c r="BO5" s="61">
        <v>0</v>
      </c>
      <c r="BP5" s="61">
        <v>0</v>
      </c>
      <c r="BQ5" s="61">
        <v>0</v>
      </c>
      <c r="BR5" s="61">
        <v>0</v>
      </c>
      <c r="BS5" s="61">
        <v>0</v>
      </c>
      <c r="BT5" s="61">
        <v>0</v>
      </c>
      <c r="BU5" s="61">
        <v>0</v>
      </c>
      <c r="BV5" s="61">
        <v>0</v>
      </c>
      <c r="BW5" s="61">
        <v>0</v>
      </c>
      <c r="BX5" s="61">
        <v>0</v>
      </c>
      <c r="BY5" s="61">
        <v>0</v>
      </c>
      <c r="BZ5" s="61">
        <v>0</v>
      </c>
      <c r="CA5" s="61">
        <v>0</v>
      </c>
      <c r="CB5" s="61">
        <v>0</v>
      </c>
      <c r="CC5" s="61">
        <v>0</v>
      </c>
      <c r="CD5" s="61">
        <v>0</v>
      </c>
      <c r="CE5" s="61">
        <v>0</v>
      </c>
      <c r="CF5" s="61">
        <v>0</v>
      </c>
      <c r="CG5" s="61">
        <v>0</v>
      </c>
      <c r="CH5" s="61">
        <v>0</v>
      </c>
      <c r="CI5" s="61">
        <v>0</v>
      </c>
      <c r="CJ5" s="61">
        <v>0</v>
      </c>
      <c r="CK5" s="61">
        <v>0</v>
      </c>
      <c r="CL5" s="61">
        <v>0</v>
      </c>
      <c r="CM5" s="61">
        <v>0</v>
      </c>
      <c r="CN5" s="61">
        <v>0</v>
      </c>
      <c r="CO5" s="61">
        <v>0</v>
      </c>
      <c r="CP5" s="61">
        <v>0</v>
      </c>
      <c r="CQ5" s="61">
        <v>0</v>
      </c>
      <c r="CR5" s="61">
        <v>0</v>
      </c>
      <c r="CS5" s="61">
        <v>0</v>
      </c>
      <c r="CT5" s="61">
        <v>0</v>
      </c>
      <c r="CU5" s="61">
        <v>0</v>
      </c>
      <c r="CV5" s="61">
        <v>0</v>
      </c>
      <c r="CW5" s="61">
        <v>0</v>
      </c>
      <c r="CX5" s="61">
        <v>0</v>
      </c>
      <c r="CY5" s="61">
        <v>0</v>
      </c>
      <c r="CZ5" s="61">
        <v>0</v>
      </c>
      <c r="DA5" s="61">
        <v>0</v>
      </c>
      <c r="DB5" s="61">
        <v>0</v>
      </c>
      <c r="DC5" s="61">
        <v>0</v>
      </c>
      <c r="DD5" s="61">
        <v>0</v>
      </c>
      <c r="DE5" s="61">
        <v>0</v>
      </c>
      <c r="DF5" s="61">
        <v>0</v>
      </c>
      <c r="DG5" s="61">
        <v>0</v>
      </c>
      <c r="DH5" s="61">
        <v>0</v>
      </c>
      <c r="DI5" s="61">
        <v>0</v>
      </c>
      <c r="DJ5" s="61">
        <v>0</v>
      </c>
      <c r="DK5" s="61">
        <v>0</v>
      </c>
      <c r="DL5" s="61">
        <v>0</v>
      </c>
      <c r="DM5" s="61">
        <v>0</v>
      </c>
      <c r="DN5" s="61">
        <v>0</v>
      </c>
      <c r="DO5" s="61">
        <v>0</v>
      </c>
      <c r="DP5" s="61">
        <v>0</v>
      </c>
      <c r="DQ5" s="61">
        <v>0</v>
      </c>
      <c r="DR5" s="61">
        <v>0</v>
      </c>
      <c r="DS5" s="61">
        <v>0</v>
      </c>
      <c r="DT5" s="61">
        <v>0</v>
      </c>
      <c r="DU5" s="61">
        <v>0</v>
      </c>
      <c r="DV5" s="61">
        <v>0</v>
      </c>
      <c r="DW5" s="61">
        <v>0</v>
      </c>
      <c r="DX5" s="61">
        <v>0</v>
      </c>
      <c r="DY5" s="61">
        <v>0</v>
      </c>
      <c r="DZ5" s="61">
        <v>0</v>
      </c>
      <c r="EA5" s="61">
        <v>0</v>
      </c>
      <c r="EB5" s="61">
        <v>0</v>
      </c>
      <c r="EC5" s="61">
        <v>0</v>
      </c>
      <c r="ED5" s="61">
        <v>0</v>
      </c>
      <c r="EE5" s="61">
        <v>0</v>
      </c>
      <c r="EF5" s="61">
        <v>0</v>
      </c>
      <c r="EG5" s="61">
        <v>0</v>
      </c>
      <c r="EH5" s="61">
        <v>0</v>
      </c>
      <c r="EI5" s="61">
        <v>0</v>
      </c>
      <c r="EJ5" s="61">
        <v>0</v>
      </c>
      <c r="EK5" s="61">
        <v>0</v>
      </c>
      <c r="EL5" s="61">
        <v>0</v>
      </c>
      <c r="EM5" s="61">
        <v>0</v>
      </c>
      <c r="EN5" s="61">
        <v>0</v>
      </c>
      <c r="EO5" s="61">
        <v>0</v>
      </c>
      <c r="EP5" s="61">
        <v>0</v>
      </c>
      <c r="EQ5" s="61">
        <v>0</v>
      </c>
      <c r="ER5" s="61">
        <v>0</v>
      </c>
      <c r="ES5" s="61">
        <v>0</v>
      </c>
      <c r="ET5" s="61">
        <v>0</v>
      </c>
      <c r="EU5" s="61">
        <v>0</v>
      </c>
      <c r="EV5" s="61">
        <v>0</v>
      </c>
      <c r="EW5" s="61">
        <v>0</v>
      </c>
      <c r="EX5" s="61">
        <v>0</v>
      </c>
      <c r="EY5" s="61">
        <v>0</v>
      </c>
      <c r="EZ5" s="61">
        <v>0</v>
      </c>
      <c r="FA5" s="61">
        <v>0</v>
      </c>
      <c r="FB5" s="61">
        <v>0</v>
      </c>
      <c r="FC5" s="61">
        <v>0</v>
      </c>
      <c r="FD5" s="61">
        <v>0</v>
      </c>
      <c r="FE5" s="61">
        <v>0</v>
      </c>
      <c r="FF5" s="61">
        <v>0</v>
      </c>
      <c r="FG5" s="61">
        <v>0</v>
      </c>
      <c r="FH5" s="61">
        <v>0</v>
      </c>
      <c r="FI5" s="65">
        <v>0</v>
      </c>
      <c r="FJ5" s="61">
        <v>0</v>
      </c>
      <c r="FK5" s="61">
        <v>0</v>
      </c>
      <c r="FL5" s="61">
        <v>0</v>
      </c>
      <c r="FM5" s="61">
        <v>0</v>
      </c>
      <c r="FN5" s="61">
        <v>0</v>
      </c>
      <c r="FO5" s="61">
        <v>0</v>
      </c>
      <c r="FP5" s="61">
        <v>0</v>
      </c>
      <c r="FQ5" s="61">
        <v>0</v>
      </c>
      <c r="FR5" s="61">
        <v>0</v>
      </c>
      <c r="FS5" s="61">
        <v>0</v>
      </c>
      <c r="FT5" s="61">
        <v>0</v>
      </c>
      <c r="FU5" s="61">
        <v>0</v>
      </c>
      <c r="FV5" s="61">
        <v>0</v>
      </c>
      <c r="FW5" s="61">
        <v>0</v>
      </c>
      <c r="FX5" s="61">
        <v>0</v>
      </c>
      <c r="FY5" s="61">
        <v>0</v>
      </c>
      <c r="FZ5" s="61">
        <v>0</v>
      </c>
      <c r="GA5" s="61">
        <v>0</v>
      </c>
      <c r="GB5" s="61">
        <v>0</v>
      </c>
      <c r="GC5" s="61">
        <v>0</v>
      </c>
      <c r="GD5" s="61">
        <v>0</v>
      </c>
      <c r="GE5" s="61">
        <v>0</v>
      </c>
      <c r="GF5" s="61">
        <v>0</v>
      </c>
      <c r="GG5" s="61">
        <v>0</v>
      </c>
      <c r="GH5" s="61">
        <v>0</v>
      </c>
      <c r="GI5" s="61">
        <v>0</v>
      </c>
      <c r="GJ5" s="61">
        <v>0</v>
      </c>
      <c r="GK5" s="61">
        <v>0</v>
      </c>
      <c r="GL5" s="66">
        <v>1</v>
      </c>
      <c r="GM5" s="66">
        <v>1</v>
      </c>
      <c r="GN5" s="66">
        <v>1</v>
      </c>
      <c r="GO5" s="66">
        <v>1</v>
      </c>
      <c r="GP5" s="66">
        <v>1</v>
      </c>
      <c r="GQ5" s="66">
        <v>1</v>
      </c>
      <c r="GR5" s="61">
        <v>0</v>
      </c>
      <c r="GS5" s="61">
        <v>0</v>
      </c>
      <c r="GT5" s="61">
        <v>0</v>
      </c>
      <c r="GU5" s="63">
        <v>0</v>
      </c>
      <c r="GV5" s="63">
        <v>0</v>
      </c>
      <c r="GW5" s="63">
        <v>0</v>
      </c>
      <c r="GX5" s="63">
        <v>0</v>
      </c>
      <c r="GY5" s="63">
        <v>0</v>
      </c>
      <c r="GZ5" s="63">
        <v>0</v>
      </c>
      <c r="HA5" s="63">
        <v>0</v>
      </c>
      <c r="HB5" s="63">
        <v>0</v>
      </c>
      <c r="HC5" s="63">
        <v>0</v>
      </c>
      <c r="HD5" s="63">
        <v>0</v>
      </c>
      <c r="HE5" s="63">
        <v>0</v>
      </c>
      <c r="HF5" s="63">
        <v>0</v>
      </c>
      <c r="HG5" s="63">
        <v>0</v>
      </c>
      <c r="HH5" s="63">
        <v>0</v>
      </c>
      <c r="HI5" s="63">
        <v>0</v>
      </c>
      <c r="HJ5" s="63">
        <v>1962</v>
      </c>
      <c r="HK5" s="63">
        <f>SUM(FI$4:HI$4)</f>
        <v>53</v>
      </c>
      <c r="HL5" s="61">
        <f>SUM(FI5:$HI5)</f>
        <v>6</v>
      </c>
      <c r="HM5" s="67">
        <f t="shared" ref="HM5:HM68" si="1">100*HL5/HK5</f>
        <v>11.320754716981131</v>
      </c>
      <c r="HN5" s="67"/>
      <c r="HO5" s="68">
        <v>0.23</v>
      </c>
      <c r="HP5" s="61">
        <v>0.27</v>
      </c>
      <c r="HQ5" s="68">
        <v>0.24434715520679767</v>
      </c>
    </row>
    <row r="6" spans="1:236" x14ac:dyDescent="0.3">
      <c r="B6" s="63" t="s">
        <v>7229</v>
      </c>
      <c r="C6" s="61">
        <v>0</v>
      </c>
      <c r="D6" s="61">
        <v>0</v>
      </c>
      <c r="E6" s="61">
        <v>0</v>
      </c>
      <c r="F6" s="61">
        <v>0</v>
      </c>
      <c r="G6" s="61">
        <v>0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  <c r="P6" s="61">
        <v>0</v>
      </c>
      <c r="Q6" s="61">
        <v>0</v>
      </c>
      <c r="R6" s="61">
        <v>0</v>
      </c>
      <c r="S6" s="61">
        <v>0</v>
      </c>
      <c r="T6" s="61">
        <v>0</v>
      </c>
      <c r="U6" s="61">
        <v>0</v>
      </c>
      <c r="V6" s="61">
        <v>0</v>
      </c>
      <c r="W6" s="61">
        <v>0</v>
      </c>
      <c r="X6" s="61">
        <v>0</v>
      </c>
      <c r="Y6" s="61">
        <v>0</v>
      </c>
      <c r="Z6" s="61">
        <v>0</v>
      </c>
      <c r="AA6" s="61">
        <v>0</v>
      </c>
      <c r="AB6" s="61">
        <v>0</v>
      </c>
      <c r="AC6" s="61">
        <v>0</v>
      </c>
      <c r="AD6" s="61">
        <v>0</v>
      </c>
      <c r="AE6" s="61">
        <v>0</v>
      </c>
      <c r="AF6" s="61">
        <v>0</v>
      </c>
      <c r="AG6" s="61">
        <v>0</v>
      </c>
      <c r="AH6" s="61">
        <v>0</v>
      </c>
      <c r="AI6" s="61">
        <v>0</v>
      </c>
      <c r="AJ6" s="61">
        <v>0</v>
      </c>
      <c r="AK6" s="61">
        <v>0</v>
      </c>
      <c r="AL6" s="61">
        <v>0</v>
      </c>
      <c r="AM6" s="61">
        <v>0</v>
      </c>
      <c r="AN6" s="61">
        <v>0</v>
      </c>
      <c r="AO6" s="61">
        <v>0</v>
      </c>
      <c r="AP6" s="61">
        <v>0</v>
      </c>
      <c r="AQ6" s="61">
        <v>0</v>
      </c>
      <c r="AR6" s="61">
        <v>0</v>
      </c>
      <c r="AS6" s="61">
        <v>0</v>
      </c>
      <c r="AT6" s="61">
        <v>0</v>
      </c>
      <c r="AU6" s="61">
        <v>0</v>
      </c>
      <c r="AV6" s="61">
        <v>0</v>
      </c>
      <c r="AW6" s="61">
        <v>0</v>
      </c>
      <c r="AX6" s="61">
        <v>0</v>
      </c>
      <c r="AY6" s="61">
        <v>0</v>
      </c>
      <c r="AZ6" s="61">
        <v>0</v>
      </c>
      <c r="BA6" s="61">
        <v>0</v>
      </c>
      <c r="BB6" s="61">
        <v>0</v>
      </c>
      <c r="BC6" s="61">
        <v>0</v>
      </c>
      <c r="BD6" s="61">
        <v>0</v>
      </c>
      <c r="BE6" s="61">
        <v>0</v>
      </c>
      <c r="BF6" s="61">
        <v>0</v>
      </c>
      <c r="BG6" s="61">
        <v>0</v>
      </c>
      <c r="BH6" s="61">
        <v>0</v>
      </c>
      <c r="BI6" s="61">
        <v>0</v>
      </c>
      <c r="BJ6" s="61">
        <v>0</v>
      </c>
      <c r="BK6" s="61">
        <v>0</v>
      </c>
      <c r="BL6" s="61">
        <v>0</v>
      </c>
      <c r="BM6" s="61">
        <v>0</v>
      </c>
      <c r="BN6" s="61">
        <v>0</v>
      </c>
      <c r="BO6" s="61">
        <v>0</v>
      </c>
      <c r="BP6" s="61">
        <v>0</v>
      </c>
      <c r="BQ6" s="61">
        <v>0</v>
      </c>
      <c r="BR6" s="61">
        <v>0</v>
      </c>
      <c r="BS6" s="61">
        <v>0</v>
      </c>
      <c r="BT6" s="61">
        <v>0</v>
      </c>
      <c r="BU6" s="61">
        <v>0</v>
      </c>
      <c r="BV6" s="61">
        <v>0</v>
      </c>
      <c r="BW6" s="61">
        <v>0</v>
      </c>
      <c r="BX6" s="61">
        <v>0</v>
      </c>
      <c r="BY6" s="61">
        <v>0</v>
      </c>
      <c r="BZ6" s="61">
        <v>0</v>
      </c>
      <c r="CA6" s="61">
        <v>0</v>
      </c>
      <c r="CB6" s="61">
        <v>0</v>
      </c>
      <c r="CC6" s="61">
        <v>0</v>
      </c>
      <c r="CD6" s="61">
        <v>0</v>
      </c>
      <c r="CE6" s="61">
        <v>0</v>
      </c>
      <c r="CF6" s="61">
        <v>0</v>
      </c>
      <c r="CG6" s="61">
        <v>0</v>
      </c>
      <c r="CH6" s="61">
        <v>0</v>
      </c>
      <c r="CI6" s="61">
        <v>0</v>
      </c>
      <c r="CJ6" s="61">
        <v>0</v>
      </c>
      <c r="CK6" s="61">
        <v>0</v>
      </c>
      <c r="CL6" s="61">
        <v>0</v>
      </c>
      <c r="CM6" s="61">
        <v>0</v>
      </c>
      <c r="CN6" s="61">
        <v>0</v>
      </c>
      <c r="CO6" s="61">
        <v>0</v>
      </c>
      <c r="CP6" s="61">
        <v>0</v>
      </c>
      <c r="CQ6" s="61">
        <v>0</v>
      </c>
      <c r="CR6" s="61">
        <v>0</v>
      </c>
      <c r="CS6" s="61">
        <v>0</v>
      </c>
      <c r="CT6" s="61">
        <v>0</v>
      </c>
      <c r="CU6" s="61">
        <v>0</v>
      </c>
      <c r="CV6" s="61">
        <v>0</v>
      </c>
      <c r="CW6" s="61">
        <v>0</v>
      </c>
      <c r="CX6" s="61">
        <v>0</v>
      </c>
      <c r="CY6" s="61">
        <v>0</v>
      </c>
      <c r="CZ6" s="61">
        <v>0</v>
      </c>
      <c r="DA6" s="61">
        <v>0</v>
      </c>
      <c r="DB6" s="61">
        <v>0</v>
      </c>
      <c r="DC6" s="61">
        <v>0</v>
      </c>
      <c r="DD6" s="61">
        <v>0</v>
      </c>
      <c r="DE6" s="61">
        <v>0</v>
      </c>
      <c r="DF6" s="61">
        <v>0</v>
      </c>
      <c r="DG6" s="61">
        <v>0</v>
      </c>
      <c r="DH6" s="61">
        <v>0</v>
      </c>
      <c r="DI6" s="61">
        <v>0</v>
      </c>
      <c r="DJ6" s="61">
        <v>0</v>
      </c>
      <c r="DK6" s="61">
        <v>0</v>
      </c>
      <c r="DL6" s="61">
        <v>0</v>
      </c>
      <c r="DM6" s="61">
        <v>0</v>
      </c>
      <c r="DN6" s="61">
        <v>0</v>
      </c>
      <c r="DO6" s="61">
        <v>0</v>
      </c>
      <c r="DP6" s="61">
        <v>0</v>
      </c>
      <c r="DQ6" s="61">
        <v>0</v>
      </c>
      <c r="DR6" s="61">
        <v>0</v>
      </c>
      <c r="DS6" s="61">
        <v>0</v>
      </c>
      <c r="DT6" s="61">
        <v>0</v>
      </c>
      <c r="DU6" s="61">
        <v>0</v>
      </c>
      <c r="DV6" s="61">
        <v>0</v>
      </c>
      <c r="DW6" s="61">
        <v>0</v>
      </c>
      <c r="DX6" s="61">
        <v>0</v>
      </c>
      <c r="DY6" s="61">
        <v>0</v>
      </c>
      <c r="DZ6" s="61">
        <v>0</v>
      </c>
      <c r="EA6" s="61">
        <v>0</v>
      </c>
      <c r="EB6" s="61">
        <v>0</v>
      </c>
      <c r="EC6" s="61">
        <v>0</v>
      </c>
      <c r="ED6" s="61">
        <v>0</v>
      </c>
      <c r="EE6" s="61">
        <v>0</v>
      </c>
      <c r="EF6" s="61">
        <v>0</v>
      </c>
      <c r="EG6" s="61">
        <v>0</v>
      </c>
      <c r="EH6" s="61">
        <v>0</v>
      </c>
      <c r="EI6" s="61">
        <v>0</v>
      </c>
      <c r="EJ6" s="61">
        <v>0</v>
      </c>
      <c r="EK6" s="61">
        <v>0</v>
      </c>
      <c r="EL6" s="61">
        <v>0</v>
      </c>
      <c r="EM6" s="61">
        <v>0</v>
      </c>
      <c r="EN6" s="61">
        <v>0</v>
      </c>
      <c r="EO6" s="61">
        <v>0</v>
      </c>
      <c r="EP6" s="61">
        <v>0</v>
      </c>
      <c r="EQ6" s="61">
        <v>0</v>
      </c>
      <c r="ER6" s="61">
        <v>0</v>
      </c>
      <c r="ES6" s="61">
        <v>0</v>
      </c>
      <c r="ET6" s="61">
        <v>0</v>
      </c>
      <c r="EU6" s="61">
        <v>0</v>
      </c>
      <c r="EV6" s="61">
        <v>0</v>
      </c>
      <c r="EW6" s="61">
        <v>0</v>
      </c>
      <c r="EX6" s="61">
        <v>0</v>
      </c>
      <c r="EY6" s="61">
        <v>0</v>
      </c>
      <c r="EZ6" s="61">
        <v>0</v>
      </c>
      <c r="FA6" s="61">
        <v>0</v>
      </c>
      <c r="FB6" s="61">
        <v>0</v>
      </c>
      <c r="FC6" s="61">
        <v>0</v>
      </c>
      <c r="FD6" s="61">
        <v>0</v>
      </c>
      <c r="FE6" s="61">
        <v>0</v>
      </c>
      <c r="FF6" s="61">
        <v>0</v>
      </c>
      <c r="FG6" s="61">
        <v>0</v>
      </c>
      <c r="FH6" s="61">
        <v>0</v>
      </c>
      <c r="FI6" s="61">
        <v>0</v>
      </c>
      <c r="FJ6" s="61">
        <v>0</v>
      </c>
      <c r="FK6" s="61">
        <v>0</v>
      </c>
      <c r="FL6" s="61">
        <v>0</v>
      </c>
      <c r="FM6" s="61">
        <v>0</v>
      </c>
      <c r="FN6" s="61">
        <v>0</v>
      </c>
      <c r="FO6" s="61">
        <v>0</v>
      </c>
      <c r="FP6" s="61">
        <v>0</v>
      </c>
      <c r="FQ6" s="61">
        <v>0</v>
      </c>
      <c r="FR6" s="61">
        <v>0</v>
      </c>
      <c r="FS6" s="61">
        <v>0</v>
      </c>
      <c r="FT6" s="61">
        <v>0</v>
      </c>
      <c r="FU6" s="61">
        <v>0</v>
      </c>
      <c r="FV6" s="65">
        <v>0</v>
      </c>
      <c r="FW6" s="61">
        <v>0</v>
      </c>
      <c r="FX6" s="61">
        <v>0</v>
      </c>
      <c r="FY6" s="61">
        <v>0</v>
      </c>
      <c r="FZ6" s="61">
        <v>0</v>
      </c>
      <c r="GA6" s="61">
        <v>0</v>
      </c>
      <c r="GB6" s="61">
        <v>0</v>
      </c>
      <c r="GC6" s="61">
        <v>0</v>
      </c>
      <c r="GD6" s="61">
        <v>0</v>
      </c>
      <c r="GE6" s="61">
        <v>0</v>
      </c>
      <c r="GF6" s="66">
        <v>1</v>
      </c>
      <c r="GG6" s="66">
        <v>1</v>
      </c>
      <c r="GH6" s="66">
        <v>1</v>
      </c>
      <c r="GI6" s="66">
        <v>1</v>
      </c>
      <c r="GJ6" s="66">
        <v>1</v>
      </c>
      <c r="GK6" s="66">
        <v>1</v>
      </c>
      <c r="GL6" s="66">
        <v>1</v>
      </c>
      <c r="GM6" s="66">
        <v>1</v>
      </c>
      <c r="GN6" s="66">
        <v>1</v>
      </c>
      <c r="GO6" s="66">
        <v>1</v>
      </c>
      <c r="GP6" s="66">
        <v>1</v>
      </c>
      <c r="GQ6" s="66">
        <v>1</v>
      </c>
      <c r="GR6" s="66">
        <v>1</v>
      </c>
      <c r="GS6" s="66">
        <v>1</v>
      </c>
      <c r="GT6" s="66">
        <v>1</v>
      </c>
      <c r="GU6" s="66">
        <v>1</v>
      </c>
      <c r="GV6" s="66">
        <v>1</v>
      </c>
      <c r="GW6" s="66">
        <v>1</v>
      </c>
      <c r="GX6" s="66">
        <v>1</v>
      </c>
      <c r="GY6" s="63">
        <v>0</v>
      </c>
      <c r="GZ6" s="63">
        <v>0</v>
      </c>
      <c r="HA6" s="63">
        <v>0</v>
      </c>
      <c r="HB6" s="63">
        <v>0</v>
      </c>
      <c r="HC6" s="63">
        <v>0</v>
      </c>
      <c r="HD6" s="63">
        <v>0</v>
      </c>
      <c r="HE6" s="63">
        <v>0</v>
      </c>
      <c r="HF6" s="63">
        <v>0</v>
      </c>
      <c r="HG6" s="63">
        <v>0</v>
      </c>
      <c r="HH6" s="63">
        <v>0</v>
      </c>
      <c r="HI6" s="63">
        <v>0</v>
      </c>
      <c r="HJ6" s="63">
        <v>1975</v>
      </c>
      <c r="HK6" s="63">
        <f>SUM(FV$4:HI$4)</f>
        <v>40</v>
      </c>
      <c r="HL6" s="61">
        <f>SUM(FV6:HI6)</f>
        <v>19</v>
      </c>
      <c r="HM6" s="67">
        <f t="shared" si="1"/>
        <v>47.5</v>
      </c>
      <c r="HN6" s="67"/>
      <c r="HO6" s="68">
        <v>0</v>
      </c>
      <c r="HP6" s="68">
        <v>0.03</v>
      </c>
      <c r="HQ6" s="68">
        <v>2.3964523937624476E-2</v>
      </c>
    </row>
    <row r="7" spans="1:236" x14ac:dyDescent="0.3">
      <c r="B7" s="63" t="s">
        <v>7230</v>
      </c>
      <c r="C7" s="61">
        <v>0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  <c r="P7" s="61">
        <v>0</v>
      </c>
      <c r="Q7" s="61">
        <v>0</v>
      </c>
      <c r="R7" s="61">
        <v>0</v>
      </c>
      <c r="S7" s="61">
        <v>0</v>
      </c>
      <c r="T7" s="61">
        <v>0</v>
      </c>
      <c r="U7" s="61">
        <v>0</v>
      </c>
      <c r="V7" s="61">
        <v>0</v>
      </c>
      <c r="W7" s="61">
        <v>0</v>
      </c>
      <c r="X7" s="61">
        <v>0</v>
      </c>
      <c r="Y7" s="61">
        <v>0</v>
      </c>
      <c r="Z7" s="61">
        <v>0</v>
      </c>
      <c r="AA7" s="61">
        <v>0</v>
      </c>
      <c r="AB7" s="61">
        <v>0</v>
      </c>
      <c r="AC7" s="61">
        <v>0</v>
      </c>
      <c r="AD7" s="61">
        <v>0</v>
      </c>
      <c r="AE7" s="61">
        <v>0</v>
      </c>
      <c r="AF7" s="61">
        <v>0</v>
      </c>
      <c r="AG7" s="61">
        <v>0</v>
      </c>
      <c r="AH7" s="61">
        <v>0</v>
      </c>
      <c r="AI7" s="61">
        <v>0</v>
      </c>
      <c r="AJ7" s="61">
        <v>0</v>
      </c>
      <c r="AK7" s="61">
        <v>0</v>
      </c>
      <c r="AL7" s="61">
        <v>0</v>
      </c>
      <c r="AM7" s="61">
        <v>0</v>
      </c>
      <c r="AN7" s="61">
        <v>0</v>
      </c>
      <c r="AO7" s="61">
        <v>0</v>
      </c>
      <c r="AP7" s="61">
        <v>0</v>
      </c>
      <c r="AQ7" s="61">
        <v>0</v>
      </c>
      <c r="AR7" s="61">
        <v>0</v>
      </c>
      <c r="AS7" s="61">
        <v>0</v>
      </c>
      <c r="AT7" s="61">
        <v>0</v>
      </c>
      <c r="AU7" s="61">
        <v>0</v>
      </c>
      <c r="AV7" s="61">
        <v>0</v>
      </c>
      <c r="AW7" s="61">
        <v>0</v>
      </c>
      <c r="AX7" s="61">
        <v>0</v>
      </c>
      <c r="AY7" s="61">
        <v>0</v>
      </c>
      <c r="AZ7" s="61">
        <v>0</v>
      </c>
      <c r="BA7" s="61">
        <v>0</v>
      </c>
      <c r="BB7" s="61">
        <v>0</v>
      </c>
      <c r="BC7" s="61">
        <v>0</v>
      </c>
      <c r="BD7" s="61">
        <v>0</v>
      </c>
      <c r="BE7" s="61">
        <v>0</v>
      </c>
      <c r="BF7" s="61">
        <v>0</v>
      </c>
      <c r="BG7" s="61">
        <v>0</v>
      </c>
      <c r="BH7" s="61">
        <v>0</v>
      </c>
      <c r="BI7" s="61">
        <v>0</v>
      </c>
      <c r="BJ7" s="61">
        <v>0</v>
      </c>
      <c r="BK7" s="61">
        <v>0</v>
      </c>
      <c r="BL7" s="61">
        <v>0</v>
      </c>
      <c r="BM7" s="61">
        <v>0</v>
      </c>
      <c r="BN7" s="61">
        <v>0</v>
      </c>
      <c r="BO7" s="61">
        <v>0</v>
      </c>
      <c r="BP7" s="61">
        <v>0</v>
      </c>
      <c r="BQ7" s="61">
        <v>0</v>
      </c>
      <c r="BR7" s="61">
        <v>0</v>
      </c>
      <c r="BS7" s="61">
        <v>0</v>
      </c>
      <c r="BT7" s="61">
        <v>0</v>
      </c>
      <c r="BU7" s="61">
        <v>0</v>
      </c>
      <c r="BV7" s="61">
        <v>0</v>
      </c>
      <c r="BW7" s="61">
        <v>0</v>
      </c>
      <c r="BX7" s="61">
        <v>0</v>
      </c>
      <c r="BY7" s="61">
        <v>0</v>
      </c>
      <c r="BZ7" s="61">
        <v>0</v>
      </c>
      <c r="CA7" s="61">
        <v>0</v>
      </c>
      <c r="CB7" s="61">
        <v>0</v>
      </c>
      <c r="CC7" s="61">
        <v>0</v>
      </c>
      <c r="CD7" s="61">
        <v>0</v>
      </c>
      <c r="CE7" s="61">
        <v>0</v>
      </c>
      <c r="CF7" s="61">
        <v>0</v>
      </c>
      <c r="CG7" s="61">
        <v>0</v>
      </c>
      <c r="CH7" s="61">
        <v>0</v>
      </c>
      <c r="CI7" s="61">
        <v>0</v>
      </c>
      <c r="CJ7" s="61">
        <v>0</v>
      </c>
      <c r="CK7" s="61">
        <v>0</v>
      </c>
      <c r="CL7" s="61">
        <v>0</v>
      </c>
      <c r="CM7" s="61">
        <v>0</v>
      </c>
      <c r="CN7" s="61">
        <v>0</v>
      </c>
      <c r="CO7" s="61">
        <v>0</v>
      </c>
      <c r="CP7" s="61">
        <v>0</v>
      </c>
      <c r="CQ7" s="61">
        <v>0</v>
      </c>
      <c r="CR7" s="61">
        <v>0</v>
      </c>
      <c r="CS7" s="61">
        <v>0</v>
      </c>
      <c r="CT7" s="61">
        <v>0</v>
      </c>
      <c r="CU7" s="61">
        <v>0</v>
      </c>
      <c r="CV7" s="61">
        <v>0</v>
      </c>
      <c r="CW7" s="61">
        <v>0</v>
      </c>
      <c r="CX7" s="61">
        <v>0</v>
      </c>
      <c r="CY7" s="61">
        <v>0</v>
      </c>
      <c r="CZ7" s="61">
        <v>0</v>
      </c>
      <c r="DA7" s="61">
        <v>0</v>
      </c>
      <c r="DB7" s="61">
        <v>0</v>
      </c>
      <c r="DC7" s="61">
        <v>0</v>
      </c>
      <c r="DD7" s="61">
        <v>0</v>
      </c>
      <c r="DE7" s="61">
        <v>0</v>
      </c>
      <c r="DF7" s="61">
        <v>0</v>
      </c>
      <c r="DG7" s="61">
        <v>0</v>
      </c>
      <c r="DH7" s="61">
        <v>0</v>
      </c>
      <c r="DI7" s="61">
        <v>0</v>
      </c>
      <c r="DJ7" s="61">
        <v>0</v>
      </c>
      <c r="DK7" s="61">
        <v>0</v>
      </c>
      <c r="DL7" s="61">
        <v>0</v>
      </c>
      <c r="DM7" s="61">
        <v>0</v>
      </c>
      <c r="DN7" s="61">
        <v>0</v>
      </c>
      <c r="DO7" s="61">
        <v>0</v>
      </c>
      <c r="DP7" s="61">
        <v>0</v>
      </c>
      <c r="DQ7" s="61">
        <v>0</v>
      </c>
      <c r="DR7" s="61">
        <v>0</v>
      </c>
      <c r="DS7" s="61">
        <v>0</v>
      </c>
      <c r="DT7" s="61">
        <v>0</v>
      </c>
      <c r="DU7" s="61">
        <v>0</v>
      </c>
      <c r="DV7" s="61">
        <v>0</v>
      </c>
      <c r="DW7" s="61">
        <v>0</v>
      </c>
      <c r="DX7" s="61">
        <v>0</v>
      </c>
      <c r="DY7" s="61">
        <v>0</v>
      </c>
      <c r="DZ7" s="61">
        <v>0</v>
      </c>
      <c r="EA7" s="61">
        <v>0</v>
      </c>
      <c r="EB7" s="61">
        <v>0</v>
      </c>
      <c r="EC7" s="61">
        <v>0</v>
      </c>
      <c r="ED7" s="61">
        <v>0</v>
      </c>
      <c r="EE7" s="61">
        <v>0</v>
      </c>
      <c r="EF7" s="61">
        <v>0</v>
      </c>
      <c r="EG7" s="61">
        <v>0</v>
      </c>
      <c r="EH7" s="61">
        <v>0</v>
      </c>
      <c r="EI7" s="61">
        <v>0</v>
      </c>
      <c r="EJ7" s="61">
        <v>0</v>
      </c>
      <c r="EK7" s="61">
        <v>0</v>
      </c>
      <c r="EL7" s="61">
        <v>0</v>
      </c>
      <c r="EM7" s="61">
        <v>0</v>
      </c>
      <c r="EN7" s="61">
        <v>0</v>
      </c>
      <c r="EO7" s="61">
        <v>0</v>
      </c>
      <c r="EP7" s="61">
        <v>0</v>
      </c>
      <c r="EQ7" s="61">
        <v>0</v>
      </c>
      <c r="ER7" s="61">
        <v>0</v>
      </c>
      <c r="ES7" s="61">
        <v>0</v>
      </c>
      <c r="ET7" s="61">
        <v>0</v>
      </c>
      <c r="EU7" s="61">
        <v>0</v>
      </c>
      <c r="EV7" s="61">
        <v>0</v>
      </c>
      <c r="EW7" s="61">
        <v>0</v>
      </c>
      <c r="EX7" s="61">
        <v>0</v>
      </c>
      <c r="EY7" s="61">
        <v>0</v>
      </c>
      <c r="EZ7" s="61">
        <v>0</v>
      </c>
      <c r="FA7" s="61">
        <v>0</v>
      </c>
      <c r="FB7" s="61">
        <v>0</v>
      </c>
      <c r="FC7" s="61">
        <v>0</v>
      </c>
      <c r="FD7" s="61">
        <v>0</v>
      </c>
      <c r="FE7" s="61">
        <v>0</v>
      </c>
      <c r="FF7" s="61">
        <v>0</v>
      </c>
      <c r="FG7" s="69">
        <v>0</v>
      </c>
      <c r="FH7" s="61">
        <v>0</v>
      </c>
      <c r="FI7" s="61">
        <v>0</v>
      </c>
      <c r="FJ7" s="61">
        <v>0</v>
      </c>
      <c r="FK7" s="61">
        <v>0</v>
      </c>
      <c r="FL7" s="61">
        <v>0</v>
      </c>
      <c r="FM7" s="61">
        <v>0</v>
      </c>
      <c r="FN7" s="61">
        <v>0</v>
      </c>
      <c r="FO7" s="61">
        <v>0</v>
      </c>
      <c r="FP7" s="61">
        <v>0</v>
      </c>
      <c r="FQ7" s="61">
        <v>0</v>
      </c>
      <c r="FR7" s="61">
        <v>0</v>
      </c>
      <c r="FS7" s="61">
        <v>0</v>
      </c>
      <c r="FT7" s="61">
        <v>0</v>
      </c>
      <c r="FU7" s="61">
        <v>0</v>
      </c>
      <c r="FV7" s="61">
        <v>0</v>
      </c>
      <c r="FW7" s="61">
        <v>0</v>
      </c>
      <c r="FX7" s="61">
        <v>0</v>
      </c>
      <c r="FY7" s="61">
        <v>0</v>
      </c>
      <c r="FZ7" s="61">
        <v>0</v>
      </c>
      <c r="GA7" s="61">
        <v>0</v>
      </c>
      <c r="GB7" s="66">
        <v>1</v>
      </c>
      <c r="GC7" s="61">
        <v>0</v>
      </c>
      <c r="GD7" s="66">
        <v>1</v>
      </c>
      <c r="GE7" s="66">
        <v>1</v>
      </c>
      <c r="GF7" s="66">
        <v>1</v>
      </c>
      <c r="GG7" s="66">
        <v>1</v>
      </c>
      <c r="GH7" s="66">
        <v>1</v>
      </c>
      <c r="GI7" s="66">
        <v>1</v>
      </c>
      <c r="GJ7" s="66">
        <v>1</v>
      </c>
      <c r="GK7" s="66">
        <v>1</v>
      </c>
      <c r="GL7" s="66">
        <v>1</v>
      </c>
      <c r="GM7" s="66">
        <v>1</v>
      </c>
      <c r="GN7" s="66">
        <v>1</v>
      </c>
      <c r="GO7" s="66">
        <v>1</v>
      </c>
      <c r="GP7" s="66">
        <v>1</v>
      </c>
      <c r="GQ7" s="66">
        <v>1</v>
      </c>
      <c r="GR7" s="66">
        <v>1</v>
      </c>
      <c r="GS7" s="66">
        <v>1</v>
      </c>
      <c r="GT7" s="66">
        <v>1</v>
      </c>
      <c r="GU7" s="66">
        <v>1</v>
      </c>
      <c r="GV7" s="66">
        <v>1</v>
      </c>
      <c r="GW7" s="66">
        <v>1</v>
      </c>
      <c r="GX7" s="66">
        <v>1</v>
      </c>
      <c r="GY7" s="66">
        <v>1</v>
      </c>
      <c r="GZ7" s="66">
        <v>1</v>
      </c>
      <c r="HA7" s="66">
        <v>1</v>
      </c>
      <c r="HB7" s="66">
        <v>1</v>
      </c>
      <c r="HC7" s="66">
        <v>1</v>
      </c>
      <c r="HD7" s="66">
        <v>1</v>
      </c>
      <c r="HE7" s="66">
        <v>1</v>
      </c>
      <c r="HF7" s="66">
        <v>1</v>
      </c>
      <c r="HG7" s="66">
        <v>1</v>
      </c>
      <c r="HH7" s="66">
        <v>1</v>
      </c>
      <c r="HI7" s="66">
        <v>1</v>
      </c>
      <c r="HJ7" s="63">
        <v>1960</v>
      </c>
      <c r="HK7" s="63">
        <f>SUM(FG$4:HI$4)</f>
        <v>55</v>
      </c>
      <c r="HL7" s="61">
        <f>SUM(FG7:HI7)</f>
        <v>33</v>
      </c>
      <c r="HM7" s="67">
        <f t="shared" si="1"/>
        <v>60</v>
      </c>
      <c r="HN7" s="67"/>
      <c r="HO7" s="68">
        <v>0</v>
      </c>
      <c r="HP7" s="68">
        <v>0.01</v>
      </c>
      <c r="HQ7" s="61">
        <v>0.01</v>
      </c>
      <c r="HS7" s="61" t="s">
        <v>7231</v>
      </c>
    </row>
    <row r="8" spans="1:236" x14ac:dyDescent="0.3">
      <c r="B8" s="63" t="s">
        <v>7232</v>
      </c>
      <c r="C8" s="61">
        <v>0</v>
      </c>
      <c r="D8" s="61">
        <v>0</v>
      </c>
      <c r="E8" s="61">
        <v>0</v>
      </c>
      <c r="F8" s="61">
        <v>0</v>
      </c>
      <c r="G8" s="61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  <c r="P8" s="61">
        <v>0</v>
      </c>
      <c r="Q8" s="61">
        <v>0</v>
      </c>
      <c r="R8" s="61">
        <v>0</v>
      </c>
      <c r="S8" s="61">
        <v>0</v>
      </c>
      <c r="T8" s="61">
        <v>0</v>
      </c>
      <c r="U8" s="61">
        <v>0</v>
      </c>
      <c r="V8" s="61">
        <v>0</v>
      </c>
      <c r="W8" s="61">
        <v>0</v>
      </c>
      <c r="X8" s="61">
        <v>0</v>
      </c>
      <c r="Y8" s="61">
        <v>0</v>
      </c>
      <c r="Z8" s="61">
        <v>0</v>
      </c>
      <c r="AA8" s="61">
        <v>0</v>
      </c>
      <c r="AB8" s="61">
        <v>0</v>
      </c>
      <c r="AC8" s="61">
        <v>0</v>
      </c>
      <c r="AD8" s="61">
        <v>0</v>
      </c>
      <c r="AE8" s="61">
        <v>0</v>
      </c>
      <c r="AF8" s="61">
        <v>0</v>
      </c>
      <c r="AG8" s="61">
        <v>0</v>
      </c>
      <c r="AH8" s="61">
        <v>0</v>
      </c>
      <c r="AI8" s="61">
        <v>0</v>
      </c>
      <c r="AJ8" s="61">
        <v>0</v>
      </c>
      <c r="AK8" s="61">
        <v>0</v>
      </c>
      <c r="AL8" s="61">
        <v>0</v>
      </c>
      <c r="AM8" s="61">
        <v>0</v>
      </c>
      <c r="AN8" s="61">
        <v>0</v>
      </c>
      <c r="AO8" s="61">
        <v>0</v>
      </c>
      <c r="AP8" s="61">
        <v>0</v>
      </c>
      <c r="AQ8" s="61">
        <v>0</v>
      </c>
      <c r="AR8" s="61">
        <v>0</v>
      </c>
      <c r="AS8" s="61">
        <v>0</v>
      </c>
      <c r="AT8" s="61">
        <v>0</v>
      </c>
      <c r="AU8" s="61">
        <v>0</v>
      </c>
      <c r="AV8" s="61">
        <v>0</v>
      </c>
      <c r="AW8" s="61">
        <v>0</v>
      </c>
      <c r="AX8" s="61">
        <v>0</v>
      </c>
      <c r="AY8" s="61">
        <v>0</v>
      </c>
      <c r="AZ8" s="61">
        <v>0</v>
      </c>
      <c r="BA8" s="61">
        <v>0</v>
      </c>
      <c r="BB8" s="61">
        <v>0</v>
      </c>
      <c r="BC8" s="61">
        <v>0</v>
      </c>
      <c r="BD8" s="61">
        <v>0</v>
      </c>
      <c r="BE8" s="61">
        <v>0</v>
      </c>
      <c r="BF8" s="61">
        <v>0</v>
      </c>
      <c r="BG8" s="61">
        <v>0</v>
      </c>
      <c r="BH8" s="61">
        <v>0</v>
      </c>
      <c r="BI8" s="61">
        <v>0</v>
      </c>
      <c r="BJ8" s="61">
        <v>0</v>
      </c>
      <c r="BK8" s="61">
        <v>0</v>
      </c>
      <c r="BL8" s="61">
        <v>0</v>
      </c>
      <c r="BM8" s="61">
        <v>0</v>
      </c>
      <c r="BN8" s="61">
        <v>0</v>
      </c>
      <c r="BO8" s="61">
        <v>0</v>
      </c>
      <c r="BP8" s="61">
        <v>0</v>
      </c>
      <c r="BQ8" s="61">
        <v>0</v>
      </c>
      <c r="BR8" s="61">
        <v>0</v>
      </c>
      <c r="BS8" s="61">
        <v>0</v>
      </c>
      <c r="BT8" s="61">
        <v>0</v>
      </c>
      <c r="BU8" s="61">
        <v>0</v>
      </c>
      <c r="BV8" s="61">
        <v>0</v>
      </c>
      <c r="BW8" s="61">
        <v>0</v>
      </c>
      <c r="BX8" s="61">
        <v>0</v>
      </c>
      <c r="BY8" s="61">
        <v>0</v>
      </c>
      <c r="BZ8" s="61">
        <v>0</v>
      </c>
      <c r="CA8" s="61">
        <v>0</v>
      </c>
      <c r="CB8" s="61">
        <v>0</v>
      </c>
      <c r="CC8" s="61">
        <v>0</v>
      </c>
      <c r="CD8" s="61">
        <v>0</v>
      </c>
      <c r="CE8" s="61">
        <v>0</v>
      </c>
      <c r="CF8" s="61">
        <v>0</v>
      </c>
      <c r="CG8" s="61">
        <v>0</v>
      </c>
      <c r="CH8" s="61">
        <v>0</v>
      </c>
      <c r="CI8" s="61">
        <v>0</v>
      </c>
      <c r="CJ8" s="61">
        <v>0</v>
      </c>
      <c r="CK8" s="61">
        <v>0</v>
      </c>
      <c r="CL8" s="61">
        <v>0</v>
      </c>
      <c r="CM8" s="61">
        <v>0</v>
      </c>
      <c r="CN8" s="61">
        <v>0</v>
      </c>
      <c r="CO8" s="61">
        <v>0</v>
      </c>
      <c r="CP8" s="61">
        <v>0</v>
      </c>
      <c r="CQ8" s="61">
        <v>0</v>
      </c>
      <c r="CR8" s="61">
        <v>0</v>
      </c>
      <c r="CS8" s="61">
        <v>0</v>
      </c>
      <c r="CT8" s="61">
        <v>0</v>
      </c>
      <c r="CU8" s="61">
        <v>0</v>
      </c>
      <c r="CV8" s="61">
        <v>0</v>
      </c>
      <c r="CW8" s="61">
        <v>0</v>
      </c>
      <c r="CX8" s="61">
        <v>0</v>
      </c>
      <c r="CY8" s="61">
        <v>0</v>
      </c>
      <c r="CZ8" s="61">
        <v>0</v>
      </c>
      <c r="DA8" s="61">
        <v>0</v>
      </c>
      <c r="DB8" s="61">
        <v>0</v>
      </c>
      <c r="DC8" s="61">
        <v>0</v>
      </c>
      <c r="DD8" s="61">
        <v>0</v>
      </c>
      <c r="DE8" s="61">
        <v>0</v>
      </c>
      <c r="DF8" s="61">
        <v>0</v>
      </c>
      <c r="DG8" s="61">
        <v>0</v>
      </c>
      <c r="DH8" s="61">
        <v>0</v>
      </c>
      <c r="DI8" s="61">
        <v>0</v>
      </c>
      <c r="DJ8" s="61">
        <v>0</v>
      </c>
      <c r="DK8" s="61">
        <v>0</v>
      </c>
      <c r="DL8" s="61">
        <v>0</v>
      </c>
      <c r="DM8" s="61">
        <v>0</v>
      </c>
      <c r="DN8" s="61">
        <v>0</v>
      </c>
      <c r="DO8" s="61">
        <v>0</v>
      </c>
      <c r="DP8" s="61">
        <v>0</v>
      </c>
      <c r="DQ8" s="61">
        <v>0</v>
      </c>
      <c r="DR8" s="61">
        <v>0</v>
      </c>
      <c r="DS8" s="61">
        <v>0</v>
      </c>
      <c r="DT8" s="61">
        <v>0</v>
      </c>
      <c r="DU8" s="61">
        <v>0</v>
      </c>
      <c r="DV8" s="61">
        <v>0</v>
      </c>
      <c r="DW8" s="61">
        <v>0</v>
      </c>
      <c r="DX8" s="61">
        <v>0</v>
      </c>
      <c r="DY8" s="61">
        <v>0</v>
      </c>
      <c r="DZ8" s="61">
        <v>0</v>
      </c>
      <c r="EA8" s="61">
        <v>0</v>
      </c>
      <c r="EB8" s="61">
        <v>0</v>
      </c>
      <c r="EC8" s="61">
        <v>0</v>
      </c>
      <c r="ED8" s="61">
        <v>0</v>
      </c>
      <c r="EE8" s="61">
        <v>0</v>
      </c>
      <c r="EF8" s="61">
        <v>0</v>
      </c>
      <c r="EG8" s="61">
        <v>0</v>
      </c>
      <c r="EH8" s="61">
        <v>0</v>
      </c>
      <c r="EI8" s="61">
        <v>0</v>
      </c>
      <c r="EJ8" s="61">
        <v>0</v>
      </c>
      <c r="EK8" s="61">
        <v>0</v>
      </c>
      <c r="EL8" s="61">
        <v>0</v>
      </c>
      <c r="EM8" s="61">
        <v>0</v>
      </c>
      <c r="EN8" s="61">
        <v>0</v>
      </c>
      <c r="EO8" s="61">
        <v>0</v>
      </c>
      <c r="EP8" s="61">
        <v>0</v>
      </c>
      <c r="EQ8" s="61">
        <v>0</v>
      </c>
      <c r="ER8" s="61">
        <v>0</v>
      </c>
      <c r="ES8" s="61">
        <v>0</v>
      </c>
      <c r="ET8" s="61">
        <v>0</v>
      </c>
      <c r="EU8" s="61">
        <v>0</v>
      </c>
      <c r="EV8" s="61">
        <v>0</v>
      </c>
      <c r="EW8" s="61">
        <v>0</v>
      </c>
      <c r="EX8" s="61">
        <v>0</v>
      </c>
      <c r="EY8" s="61">
        <v>0</v>
      </c>
      <c r="EZ8" s="61">
        <v>0</v>
      </c>
      <c r="FA8" s="61">
        <v>0</v>
      </c>
      <c r="FB8" s="61">
        <v>0</v>
      </c>
      <c r="FC8" s="61">
        <v>0</v>
      </c>
      <c r="FD8" s="61">
        <v>0</v>
      </c>
      <c r="FE8" s="61">
        <v>0</v>
      </c>
      <c r="FF8" s="61">
        <v>0</v>
      </c>
      <c r="FG8" s="65">
        <v>0</v>
      </c>
      <c r="FH8" s="61">
        <v>0</v>
      </c>
      <c r="FI8" s="61">
        <v>0</v>
      </c>
      <c r="FJ8" s="61">
        <v>0</v>
      </c>
      <c r="FK8" s="61">
        <v>0</v>
      </c>
      <c r="FL8" s="61">
        <v>0</v>
      </c>
      <c r="FM8" s="61">
        <v>0</v>
      </c>
      <c r="FN8" s="61">
        <v>0</v>
      </c>
      <c r="FO8" s="61">
        <v>0</v>
      </c>
      <c r="FP8" s="61">
        <v>0</v>
      </c>
      <c r="FQ8" s="61">
        <v>0</v>
      </c>
      <c r="FR8" s="61">
        <v>0</v>
      </c>
      <c r="FS8" s="61">
        <v>0</v>
      </c>
      <c r="FT8" s="61">
        <v>0</v>
      </c>
      <c r="FU8" s="61">
        <v>0</v>
      </c>
      <c r="FV8" s="61">
        <v>0</v>
      </c>
      <c r="FW8" s="61">
        <v>0</v>
      </c>
      <c r="FX8" s="61">
        <v>0</v>
      </c>
      <c r="FY8" s="61">
        <v>0</v>
      </c>
      <c r="FZ8" s="61">
        <v>0</v>
      </c>
      <c r="GA8" s="61">
        <v>0</v>
      </c>
      <c r="GB8" s="61">
        <v>0</v>
      </c>
      <c r="GC8" s="61">
        <v>0</v>
      </c>
      <c r="GD8" s="66">
        <v>1</v>
      </c>
      <c r="GE8" s="66">
        <v>1</v>
      </c>
      <c r="GF8" s="66">
        <v>1</v>
      </c>
      <c r="GG8" s="66">
        <v>1</v>
      </c>
      <c r="GH8" s="66">
        <v>1</v>
      </c>
      <c r="GI8" s="66">
        <v>1</v>
      </c>
      <c r="GJ8" s="66">
        <v>1</v>
      </c>
      <c r="GK8" s="66">
        <v>1</v>
      </c>
      <c r="GL8" s="66">
        <v>1</v>
      </c>
      <c r="GM8" s="66">
        <v>1</v>
      </c>
      <c r="GN8" s="66">
        <v>1</v>
      </c>
      <c r="GO8" s="66">
        <v>1</v>
      </c>
      <c r="GP8" s="66">
        <v>1</v>
      </c>
      <c r="GQ8" s="66">
        <v>1</v>
      </c>
      <c r="GR8" s="66">
        <v>1</v>
      </c>
      <c r="GS8" s="66">
        <v>1</v>
      </c>
      <c r="GT8" s="61">
        <v>0</v>
      </c>
      <c r="GU8" s="66">
        <v>1</v>
      </c>
      <c r="GV8" s="66">
        <v>1</v>
      </c>
      <c r="GW8" s="66">
        <v>1</v>
      </c>
      <c r="GX8" s="66">
        <v>1</v>
      </c>
      <c r="GY8" s="66">
        <v>1</v>
      </c>
      <c r="GZ8" s="66">
        <v>1</v>
      </c>
      <c r="HA8" s="66">
        <v>1</v>
      </c>
      <c r="HB8" s="66">
        <v>1</v>
      </c>
      <c r="HC8" s="66">
        <v>1</v>
      </c>
      <c r="HD8" s="66">
        <v>1</v>
      </c>
      <c r="HE8" s="66">
        <v>1</v>
      </c>
      <c r="HF8" s="63">
        <v>0</v>
      </c>
      <c r="HG8" s="63">
        <v>0</v>
      </c>
      <c r="HH8" s="63">
        <v>0</v>
      </c>
      <c r="HI8" s="63">
        <v>0</v>
      </c>
      <c r="HJ8" s="63">
        <v>1960</v>
      </c>
      <c r="HK8" s="63">
        <f>SUM(FG$4:HI$4)</f>
        <v>55</v>
      </c>
      <c r="HL8" s="61">
        <f>SUM(FG8:HI8)</f>
        <v>27</v>
      </c>
      <c r="HM8" s="67">
        <f t="shared" si="1"/>
        <v>49.090909090909093</v>
      </c>
      <c r="HN8" s="67"/>
      <c r="HO8" s="68">
        <v>0</v>
      </c>
      <c r="HP8" s="68">
        <v>0.06</v>
      </c>
      <c r="HQ8" s="61">
        <v>0.05</v>
      </c>
      <c r="HS8" s="61" t="s">
        <v>7233</v>
      </c>
    </row>
    <row r="9" spans="1:236" x14ac:dyDescent="0.3">
      <c r="B9" s="63" t="s">
        <v>7234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>
        <v>0</v>
      </c>
      <c r="Y9" s="61">
        <v>0</v>
      </c>
      <c r="Z9" s="61">
        <v>0</v>
      </c>
      <c r="AA9" s="61">
        <v>0</v>
      </c>
      <c r="AB9" s="61">
        <v>0</v>
      </c>
      <c r="AC9" s="61">
        <v>0</v>
      </c>
      <c r="AD9" s="61">
        <v>0</v>
      </c>
      <c r="AE9" s="61">
        <v>0</v>
      </c>
      <c r="AF9" s="61">
        <v>0</v>
      </c>
      <c r="AG9" s="61">
        <v>0</v>
      </c>
      <c r="AH9" s="65">
        <v>0</v>
      </c>
      <c r="AI9" s="61">
        <v>0</v>
      </c>
      <c r="AJ9" s="61">
        <v>0</v>
      </c>
      <c r="AK9" s="61">
        <v>0</v>
      </c>
      <c r="AL9" s="61">
        <v>0</v>
      </c>
      <c r="AM9" s="61">
        <v>0</v>
      </c>
      <c r="AN9" s="61">
        <v>0</v>
      </c>
      <c r="AO9" s="61">
        <v>0</v>
      </c>
      <c r="AP9" s="61">
        <v>0</v>
      </c>
      <c r="AQ9" s="61">
        <v>0</v>
      </c>
      <c r="AR9" s="61">
        <v>0</v>
      </c>
      <c r="AS9" s="61">
        <v>0</v>
      </c>
      <c r="AT9" s="61">
        <v>0</v>
      </c>
      <c r="AU9" s="61">
        <v>0</v>
      </c>
      <c r="AV9" s="61">
        <v>0</v>
      </c>
      <c r="AW9" s="61">
        <v>0</v>
      </c>
      <c r="AX9" s="61">
        <v>0</v>
      </c>
      <c r="AY9" s="61">
        <v>0</v>
      </c>
      <c r="AZ9" s="61">
        <v>0</v>
      </c>
      <c r="BA9" s="61">
        <v>0</v>
      </c>
      <c r="BB9" s="61">
        <v>0</v>
      </c>
      <c r="BC9" s="61">
        <v>0</v>
      </c>
      <c r="BD9" s="61">
        <v>0</v>
      </c>
      <c r="BE9" s="61">
        <v>0</v>
      </c>
      <c r="BF9" s="61">
        <v>0</v>
      </c>
      <c r="BG9" s="61">
        <v>0</v>
      </c>
      <c r="BH9" s="61">
        <v>0</v>
      </c>
      <c r="BI9" s="61">
        <v>0</v>
      </c>
      <c r="BJ9" s="61">
        <v>0</v>
      </c>
      <c r="BK9" s="61">
        <v>0</v>
      </c>
      <c r="BL9" s="61">
        <v>0</v>
      </c>
      <c r="BM9" s="61">
        <v>0</v>
      </c>
      <c r="BN9" s="61">
        <v>0</v>
      </c>
      <c r="BO9" s="61">
        <v>0</v>
      </c>
      <c r="BP9" s="61">
        <v>0</v>
      </c>
      <c r="BQ9" s="61">
        <v>0</v>
      </c>
      <c r="BR9" s="61">
        <v>0</v>
      </c>
      <c r="BS9" s="61">
        <v>0</v>
      </c>
      <c r="BT9" s="61">
        <v>0</v>
      </c>
      <c r="BU9" s="61">
        <v>0</v>
      </c>
      <c r="BV9" s="61">
        <v>0</v>
      </c>
      <c r="BW9" s="61">
        <v>0</v>
      </c>
      <c r="BX9" s="61">
        <v>0</v>
      </c>
      <c r="BY9" s="61">
        <v>0</v>
      </c>
      <c r="BZ9" s="61">
        <v>0</v>
      </c>
      <c r="CA9" s="66">
        <v>1</v>
      </c>
      <c r="CB9" s="66">
        <v>1</v>
      </c>
      <c r="CC9" s="66">
        <v>1</v>
      </c>
      <c r="CD9" s="66">
        <v>1</v>
      </c>
      <c r="CE9" s="66">
        <v>1</v>
      </c>
      <c r="CF9" s="61">
        <v>0</v>
      </c>
      <c r="CG9" s="61">
        <v>0</v>
      </c>
      <c r="CH9" s="61">
        <v>0</v>
      </c>
      <c r="CI9" s="61">
        <v>0</v>
      </c>
      <c r="CJ9" s="61">
        <v>0</v>
      </c>
      <c r="CK9" s="61">
        <v>0</v>
      </c>
      <c r="CL9" s="61">
        <v>0</v>
      </c>
      <c r="CM9" s="61">
        <v>0</v>
      </c>
      <c r="CN9" s="61">
        <v>0</v>
      </c>
      <c r="CO9" s="61">
        <v>0</v>
      </c>
      <c r="CP9" s="61">
        <v>0</v>
      </c>
      <c r="CQ9" s="61">
        <v>0</v>
      </c>
      <c r="CR9" s="61">
        <v>0</v>
      </c>
      <c r="CS9" s="61">
        <v>0</v>
      </c>
      <c r="CT9" s="61">
        <v>0</v>
      </c>
      <c r="CU9" s="61">
        <v>0</v>
      </c>
      <c r="CV9" s="61">
        <v>0</v>
      </c>
      <c r="CW9" s="61">
        <v>0</v>
      </c>
      <c r="CX9" s="61">
        <v>0</v>
      </c>
      <c r="CY9" s="61">
        <v>0</v>
      </c>
      <c r="CZ9" s="61">
        <v>0</v>
      </c>
      <c r="DA9" s="61">
        <v>0</v>
      </c>
      <c r="DB9" s="61">
        <v>0</v>
      </c>
      <c r="DC9" s="61">
        <v>0</v>
      </c>
      <c r="DD9" s="61">
        <v>0</v>
      </c>
      <c r="DE9" s="61">
        <v>0</v>
      </c>
      <c r="DF9" s="61">
        <v>0</v>
      </c>
      <c r="DG9" s="61">
        <v>0</v>
      </c>
      <c r="DH9" s="61">
        <v>0</v>
      </c>
      <c r="DI9" s="61">
        <v>0</v>
      </c>
      <c r="DJ9" s="61">
        <v>0</v>
      </c>
      <c r="DK9" s="61">
        <v>0</v>
      </c>
      <c r="DL9" s="61">
        <v>0</v>
      </c>
      <c r="DM9" s="61">
        <v>0</v>
      </c>
      <c r="DN9" s="61">
        <v>0</v>
      </c>
      <c r="DO9" s="61">
        <v>0</v>
      </c>
      <c r="DP9" s="61">
        <v>0</v>
      </c>
      <c r="DQ9" s="61">
        <v>0</v>
      </c>
      <c r="DR9" s="61">
        <v>0</v>
      </c>
      <c r="DS9" s="61">
        <v>0</v>
      </c>
      <c r="DT9" s="61">
        <v>0</v>
      </c>
      <c r="DU9" s="61">
        <v>0</v>
      </c>
      <c r="DV9" s="61">
        <v>0</v>
      </c>
      <c r="DW9" s="61">
        <v>0</v>
      </c>
      <c r="DX9" s="61">
        <v>0</v>
      </c>
      <c r="DY9" s="61">
        <v>0</v>
      </c>
      <c r="DZ9" s="61">
        <v>0</v>
      </c>
      <c r="EA9" s="61">
        <v>0</v>
      </c>
      <c r="EB9" s="61">
        <v>0</v>
      </c>
      <c r="EC9" s="61">
        <v>0</v>
      </c>
      <c r="ED9" s="61">
        <v>0</v>
      </c>
      <c r="EE9" s="61">
        <v>0</v>
      </c>
      <c r="EF9" s="61">
        <v>0</v>
      </c>
      <c r="EG9" s="61">
        <v>0</v>
      </c>
      <c r="EH9" s="61">
        <v>0</v>
      </c>
      <c r="EI9" s="61">
        <v>0</v>
      </c>
      <c r="EJ9" s="61">
        <v>0</v>
      </c>
      <c r="EK9" s="61">
        <v>0</v>
      </c>
      <c r="EL9" s="61">
        <v>0</v>
      </c>
      <c r="EM9" s="61">
        <v>0</v>
      </c>
      <c r="EN9" s="61">
        <v>0</v>
      </c>
      <c r="EO9" s="61">
        <v>0</v>
      </c>
      <c r="EP9" s="61">
        <v>0</v>
      </c>
      <c r="EQ9" s="61">
        <v>0</v>
      </c>
      <c r="ER9" s="61">
        <v>0</v>
      </c>
      <c r="ES9" s="61">
        <v>0</v>
      </c>
      <c r="ET9" s="61">
        <v>0</v>
      </c>
      <c r="EU9" s="61">
        <v>0</v>
      </c>
      <c r="EV9" s="61">
        <v>0</v>
      </c>
      <c r="EW9" s="61">
        <v>0</v>
      </c>
      <c r="EX9" s="61">
        <v>0</v>
      </c>
      <c r="EY9" s="61">
        <v>0</v>
      </c>
      <c r="EZ9" s="61">
        <v>0</v>
      </c>
      <c r="FA9" s="61">
        <v>0</v>
      </c>
      <c r="FB9" s="61">
        <v>0</v>
      </c>
      <c r="FC9" s="61">
        <v>0</v>
      </c>
      <c r="FD9" s="61">
        <v>0</v>
      </c>
      <c r="FE9" s="61">
        <v>0</v>
      </c>
      <c r="FF9" s="61">
        <v>0</v>
      </c>
      <c r="FG9" s="61">
        <v>0</v>
      </c>
      <c r="FH9" s="61">
        <v>0</v>
      </c>
      <c r="FI9" s="61">
        <v>0</v>
      </c>
      <c r="FJ9" s="61">
        <v>0</v>
      </c>
      <c r="FK9" s="61">
        <v>0</v>
      </c>
      <c r="FL9" s="61">
        <v>0</v>
      </c>
      <c r="FM9" s="61">
        <v>0</v>
      </c>
      <c r="FN9" s="61">
        <v>0</v>
      </c>
      <c r="FO9" s="61">
        <v>0</v>
      </c>
      <c r="FP9" s="61">
        <v>0</v>
      </c>
      <c r="FQ9" s="61">
        <v>0</v>
      </c>
      <c r="FR9" s="61">
        <v>0</v>
      </c>
      <c r="FS9" s="61">
        <v>0</v>
      </c>
      <c r="FT9" s="61">
        <v>0</v>
      </c>
      <c r="FU9" s="61">
        <v>0</v>
      </c>
      <c r="FV9" s="63">
        <v>0</v>
      </c>
      <c r="FW9" s="63">
        <v>0</v>
      </c>
      <c r="FX9" s="63">
        <v>0</v>
      </c>
      <c r="FY9" s="63">
        <v>0</v>
      </c>
      <c r="FZ9" s="63">
        <v>0</v>
      </c>
      <c r="GA9" s="63">
        <v>0</v>
      </c>
      <c r="GB9" s="63">
        <v>0</v>
      </c>
      <c r="GC9" s="63">
        <v>0</v>
      </c>
      <c r="GD9" s="63">
        <v>0</v>
      </c>
      <c r="GE9" s="66">
        <v>1</v>
      </c>
      <c r="GF9" s="63">
        <v>0</v>
      </c>
      <c r="GG9" s="63">
        <v>0</v>
      </c>
      <c r="GH9" s="63">
        <v>0</v>
      </c>
      <c r="GI9" s="63">
        <v>0</v>
      </c>
      <c r="GJ9" s="63">
        <v>0</v>
      </c>
      <c r="GK9" s="63">
        <v>0</v>
      </c>
      <c r="GL9" s="63">
        <v>0</v>
      </c>
      <c r="GM9" s="63">
        <v>0</v>
      </c>
      <c r="GN9" s="63">
        <v>0</v>
      </c>
      <c r="GO9" s="63">
        <v>0</v>
      </c>
      <c r="GP9" s="63">
        <v>0</v>
      </c>
      <c r="GQ9" s="63">
        <v>0</v>
      </c>
      <c r="GR9" s="63">
        <v>0</v>
      </c>
      <c r="GS9" s="63">
        <v>0</v>
      </c>
      <c r="GT9" s="63">
        <v>0</v>
      </c>
      <c r="GU9" s="63">
        <v>0</v>
      </c>
      <c r="GV9" s="63">
        <v>0</v>
      </c>
      <c r="GW9" s="63">
        <v>0</v>
      </c>
      <c r="GX9" s="63">
        <v>0</v>
      </c>
      <c r="GY9" s="63">
        <v>0</v>
      </c>
      <c r="GZ9" s="63">
        <v>0</v>
      </c>
      <c r="HA9" s="63">
        <v>0</v>
      </c>
      <c r="HB9" s="63">
        <v>0</v>
      </c>
      <c r="HC9" s="63">
        <v>0</v>
      </c>
      <c r="HD9" s="63">
        <v>0</v>
      </c>
      <c r="HE9" s="63">
        <v>0</v>
      </c>
      <c r="HF9" s="63">
        <v>0</v>
      </c>
      <c r="HG9" s="63">
        <v>0</v>
      </c>
      <c r="HH9" s="63">
        <v>0</v>
      </c>
      <c r="HI9" s="63">
        <v>0</v>
      </c>
      <c r="HJ9" s="63">
        <v>1831</v>
      </c>
      <c r="HK9" s="63">
        <f>SUM(AH$4:HI$4)</f>
        <v>184</v>
      </c>
      <c r="HL9" s="61">
        <f>SUM(C9:HI9)</f>
        <v>6</v>
      </c>
      <c r="HM9" s="67">
        <f t="shared" si="1"/>
        <v>3.2608695652173911</v>
      </c>
      <c r="HN9" s="67"/>
      <c r="HO9" s="68">
        <v>0.4</v>
      </c>
      <c r="HP9" s="68">
        <v>0.53</v>
      </c>
      <c r="HQ9" s="61">
        <v>0.56000000000000005</v>
      </c>
    </row>
    <row r="10" spans="1:236" x14ac:dyDescent="0.3">
      <c r="B10" s="63" t="s">
        <v>7235</v>
      </c>
      <c r="C10" s="61">
        <v>0</v>
      </c>
      <c r="D10" s="61">
        <v>0</v>
      </c>
      <c r="E10" s="61">
        <v>0</v>
      </c>
      <c r="F10" s="61">
        <v>0</v>
      </c>
      <c r="G10" s="61">
        <v>0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  <c r="P10" s="61">
        <v>0</v>
      </c>
      <c r="Q10" s="61">
        <v>0</v>
      </c>
      <c r="R10" s="61">
        <v>0</v>
      </c>
      <c r="S10" s="61">
        <v>0</v>
      </c>
      <c r="T10" s="61">
        <v>0</v>
      </c>
      <c r="U10" s="61">
        <v>0</v>
      </c>
      <c r="V10" s="61">
        <v>0</v>
      </c>
      <c r="W10" s="61">
        <v>0</v>
      </c>
      <c r="X10" s="61">
        <v>0</v>
      </c>
      <c r="Y10" s="61">
        <v>0</v>
      </c>
      <c r="Z10" s="61">
        <v>0</v>
      </c>
      <c r="AA10" s="61">
        <v>0</v>
      </c>
      <c r="AB10" s="61">
        <v>0</v>
      </c>
      <c r="AC10" s="61">
        <v>0</v>
      </c>
      <c r="AD10" s="61">
        <v>0</v>
      </c>
      <c r="AE10" s="61">
        <v>0</v>
      </c>
      <c r="AF10" s="61">
        <v>0</v>
      </c>
      <c r="AG10" s="61">
        <v>0</v>
      </c>
      <c r="AH10" s="61">
        <v>0</v>
      </c>
      <c r="AI10" s="61">
        <v>0</v>
      </c>
      <c r="AJ10" s="61">
        <v>0</v>
      </c>
      <c r="AK10" s="61">
        <v>0</v>
      </c>
      <c r="AL10" s="61">
        <v>0</v>
      </c>
      <c r="AM10" s="61">
        <v>0</v>
      </c>
      <c r="AN10" s="61">
        <v>0</v>
      </c>
      <c r="AO10" s="61">
        <v>0</v>
      </c>
      <c r="AP10" s="61">
        <v>0</v>
      </c>
      <c r="AQ10" s="61">
        <v>0</v>
      </c>
      <c r="AR10" s="61">
        <v>0</v>
      </c>
      <c r="AS10" s="61">
        <v>0</v>
      </c>
      <c r="AT10" s="61">
        <v>0</v>
      </c>
      <c r="AU10" s="61">
        <v>0</v>
      </c>
      <c r="AV10" s="61">
        <v>0</v>
      </c>
      <c r="AW10" s="61">
        <v>0</v>
      </c>
      <c r="AX10" s="61">
        <v>0</v>
      </c>
      <c r="AY10" s="61">
        <v>0</v>
      </c>
      <c r="AZ10" s="61">
        <v>0</v>
      </c>
      <c r="BA10" s="61">
        <v>0</v>
      </c>
      <c r="BB10" s="61">
        <v>0</v>
      </c>
      <c r="BC10" s="61">
        <v>0</v>
      </c>
      <c r="BD10" s="61">
        <v>0</v>
      </c>
      <c r="BE10" s="61">
        <v>0</v>
      </c>
      <c r="BF10" s="61">
        <v>0</v>
      </c>
      <c r="BG10" s="61">
        <v>0</v>
      </c>
      <c r="BH10" s="61">
        <v>0</v>
      </c>
      <c r="BI10" s="61">
        <v>0</v>
      </c>
      <c r="BJ10" s="61">
        <v>0</v>
      </c>
      <c r="BK10" s="61">
        <v>0</v>
      </c>
      <c r="BL10" s="61">
        <v>0</v>
      </c>
      <c r="BM10" s="61">
        <v>0</v>
      </c>
      <c r="BN10" s="61">
        <v>0</v>
      </c>
      <c r="BO10" s="61">
        <v>0</v>
      </c>
      <c r="BP10" s="61">
        <v>0</v>
      </c>
      <c r="BQ10" s="61">
        <v>0</v>
      </c>
      <c r="BR10" s="61">
        <v>0</v>
      </c>
      <c r="BS10" s="61">
        <v>0</v>
      </c>
      <c r="BT10" s="61">
        <v>0</v>
      </c>
      <c r="BU10" s="61">
        <v>0</v>
      </c>
      <c r="BV10" s="61">
        <v>0</v>
      </c>
      <c r="BW10" s="61">
        <v>0</v>
      </c>
      <c r="BX10" s="61">
        <v>0</v>
      </c>
      <c r="BY10" s="61">
        <v>0</v>
      </c>
      <c r="BZ10" s="61">
        <v>0</v>
      </c>
      <c r="CA10" s="61">
        <v>0</v>
      </c>
      <c r="CB10" s="61">
        <v>0</v>
      </c>
      <c r="CC10" s="61">
        <v>0</v>
      </c>
      <c r="CD10" s="61">
        <v>0</v>
      </c>
      <c r="CE10" s="61">
        <v>0</v>
      </c>
      <c r="CF10" s="61">
        <v>0</v>
      </c>
      <c r="CG10" s="61">
        <v>0</v>
      </c>
      <c r="CH10" s="61">
        <v>0</v>
      </c>
      <c r="CI10" s="61">
        <v>0</v>
      </c>
      <c r="CJ10" s="61">
        <v>0</v>
      </c>
      <c r="CK10" s="61">
        <v>0</v>
      </c>
      <c r="CL10" s="61">
        <v>0</v>
      </c>
      <c r="CM10" s="61">
        <v>0</v>
      </c>
      <c r="CN10" s="61">
        <v>0</v>
      </c>
      <c r="CO10" s="61">
        <v>0</v>
      </c>
      <c r="CP10" s="61">
        <v>0</v>
      </c>
      <c r="CQ10" s="61">
        <v>0</v>
      </c>
      <c r="CR10" s="61">
        <v>0</v>
      </c>
      <c r="CS10" s="61">
        <v>0</v>
      </c>
      <c r="CT10" s="61">
        <v>0</v>
      </c>
      <c r="CU10" s="61">
        <v>0</v>
      </c>
      <c r="CV10" s="61">
        <v>0</v>
      </c>
      <c r="CW10" s="61">
        <v>0</v>
      </c>
      <c r="CX10" s="61">
        <v>0</v>
      </c>
      <c r="CY10" s="61">
        <v>0</v>
      </c>
      <c r="CZ10" s="61">
        <v>0</v>
      </c>
      <c r="DA10" s="61">
        <v>0</v>
      </c>
      <c r="DB10" s="61">
        <v>0</v>
      </c>
      <c r="DC10" s="61">
        <v>0</v>
      </c>
      <c r="DD10" s="61">
        <v>0</v>
      </c>
      <c r="DE10" s="61">
        <v>0</v>
      </c>
      <c r="DF10" s="61">
        <v>0</v>
      </c>
      <c r="DG10" s="61">
        <v>0</v>
      </c>
      <c r="DH10" s="61">
        <v>0</v>
      </c>
      <c r="DI10" s="61">
        <v>0</v>
      </c>
      <c r="DJ10" s="61">
        <v>0</v>
      </c>
      <c r="DK10" s="61">
        <v>0</v>
      </c>
      <c r="DL10" s="61">
        <v>0</v>
      </c>
      <c r="DM10" s="61">
        <v>0</v>
      </c>
      <c r="DN10" s="61">
        <v>0</v>
      </c>
      <c r="DO10" s="61">
        <v>0</v>
      </c>
      <c r="DP10" s="61">
        <v>0</v>
      </c>
      <c r="DQ10" s="61">
        <v>0</v>
      </c>
      <c r="DR10" s="61">
        <v>0</v>
      </c>
      <c r="DS10" s="61">
        <v>0</v>
      </c>
      <c r="DT10" s="61">
        <v>0</v>
      </c>
      <c r="DU10" s="61">
        <v>0</v>
      </c>
      <c r="DV10" s="61">
        <v>0</v>
      </c>
      <c r="DW10" s="61">
        <v>0</v>
      </c>
      <c r="DX10" s="61">
        <v>0</v>
      </c>
      <c r="DY10" s="61">
        <v>0</v>
      </c>
      <c r="DZ10" s="61">
        <v>0</v>
      </c>
      <c r="EA10" s="61">
        <v>0</v>
      </c>
      <c r="EB10" s="61">
        <v>0</v>
      </c>
      <c r="EC10" s="61">
        <v>0</v>
      </c>
      <c r="ED10" s="61">
        <v>0</v>
      </c>
      <c r="EE10" s="61">
        <v>0</v>
      </c>
      <c r="EF10" s="61">
        <v>0</v>
      </c>
      <c r="EG10" s="61">
        <v>0</v>
      </c>
      <c r="EH10" s="61">
        <v>0</v>
      </c>
      <c r="EI10" s="61">
        <v>0</v>
      </c>
      <c r="EJ10" s="61">
        <v>0</v>
      </c>
      <c r="EK10" s="61">
        <v>0</v>
      </c>
      <c r="EL10" s="61">
        <v>0</v>
      </c>
      <c r="EM10" s="61">
        <v>0</v>
      </c>
      <c r="EN10" s="61">
        <v>0</v>
      </c>
      <c r="EO10" s="61">
        <v>0</v>
      </c>
      <c r="EP10" s="61">
        <v>0</v>
      </c>
      <c r="EQ10" s="61">
        <v>0</v>
      </c>
      <c r="ER10" s="61">
        <v>0</v>
      </c>
      <c r="ES10" s="61">
        <v>0</v>
      </c>
      <c r="ET10" s="61">
        <v>0</v>
      </c>
      <c r="EU10" s="61">
        <v>0</v>
      </c>
      <c r="EV10" s="61">
        <v>0</v>
      </c>
      <c r="EW10" s="61">
        <v>0</v>
      </c>
      <c r="EX10" s="61">
        <v>0</v>
      </c>
      <c r="EY10" s="61">
        <v>0</v>
      </c>
      <c r="EZ10" s="61">
        <v>0</v>
      </c>
      <c r="FA10" s="61">
        <v>0</v>
      </c>
      <c r="FB10" s="61">
        <v>0</v>
      </c>
      <c r="FC10" s="61">
        <v>0</v>
      </c>
      <c r="FD10" s="61">
        <v>0</v>
      </c>
      <c r="FE10" s="61">
        <v>0</v>
      </c>
      <c r="FF10" s="61">
        <v>0</v>
      </c>
      <c r="FG10" s="61">
        <v>0</v>
      </c>
      <c r="FH10" s="61">
        <v>0</v>
      </c>
      <c r="FI10" s="61">
        <v>0</v>
      </c>
      <c r="FJ10" s="69">
        <v>0</v>
      </c>
      <c r="FK10" s="61">
        <v>0</v>
      </c>
      <c r="FL10" s="61">
        <v>0</v>
      </c>
      <c r="FM10" s="61">
        <v>0</v>
      </c>
      <c r="FN10" s="61">
        <v>0</v>
      </c>
      <c r="FO10" s="61">
        <v>0</v>
      </c>
      <c r="FP10" s="61">
        <v>0</v>
      </c>
      <c r="FQ10" s="61">
        <v>0</v>
      </c>
      <c r="FR10" s="61">
        <v>0</v>
      </c>
      <c r="FS10" s="61">
        <v>0</v>
      </c>
      <c r="FT10" s="61">
        <v>0</v>
      </c>
      <c r="FU10" s="61">
        <v>0</v>
      </c>
      <c r="FV10" s="61">
        <v>0</v>
      </c>
      <c r="FW10" s="61">
        <v>0</v>
      </c>
      <c r="FX10" s="61">
        <v>0</v>
      </c>
      <c r="FY10" s="61">
        <v>0</v>
      </c>
      <c r="FZ10" s="61">
        <v>0</v>
      </c>
      <c r="GA10" s="61">
        <v>0</v>
      </c>
      <c r="GB10" s="61">
        <v>0</v>
      </c>
      <c r="GC10" s="61">
        <v>0</v>
      </c>
      <c r="GD10" s="61">
        <v>0</v>
      </c>
      <c r="GE10" s="61">
        <v>0</v>
      </c>
      <c r="GF10" s="61">
        <v>0</v>
      </c>
      <c r="GG10" s="61">
        <v>0</v>
      </c>
      <c r="GH10" s="61">
        <v>0</v>
      </c>
      <c r="GI10" s="61">
        <v>0</v>
      </c>
      <c r="GJ10" s="61">
        <v>0</v>
      </c>
      <c r="GK10" s="61">
        <v>0</v>
      </c>
      <c r="GL10" s="61">
        <v>0</v>
      </c>
      <c r="GM10" s="61">
        <v>0</v>
      </c>
      <c r="GN10" s="61">
        <v>0</v>
      </c>
      <c r="GO10" s="66">
        <v>1</v>
      </c>
      <c r="GP10" s="66">
        <v>1</v>
      </c>
      <c r="GQ10" s="66">
        <v>1</v>
      </c>
      <c r="GR10" s="66">
        <v>1</v>
      </c>
      <c r="GS10" s="66">
        <v>1</v>
      </c>
      <c r="GT10" s="63">
        <v>0</v>
      </c>
      <c r="GU10" s="66">
        <v>1</v>
      </c>
      <c r="GV10" s="63">
        <v>0</v>
      </c>
      <c r="GW10" s="63">
        <v>0</v>
      </c>
      <c r="GX10" s="63">
        <v>0</v>
      </c>
      <c r="GY10" s="63">
        <v>0</v>
      </c>
      <c r="GZ10" s="63">
        <v>0</v>
      </c>
      <c r="HA10" s="63">
        <v>0</v>
      </c>
      <c r="HB10" s="63">
        <v>0</v>
      </c>
      <c r="HC10" s="63">
        <v>0</v>
      </c>
      <c r="HD10" s="63">
        <v>0</v>
      </c>
      <c r="HE10" s="63">
        <v>0</v>
      </c>
      <c r="HF10" s="63">
        <v>0</v>
      </c>
      <c r="HG10" s="63">
        <v>0</v>
      </c>
      <c r="HH10" s="63">
        <v>0</v>
      </c>
      <c r="HI10" s="63">
        <v>0</v>
      </c>
      <c r="HJ10" s="63">
        <v>1963</v>
      </c>
      <c r="HK10" s="63">
        <f>SUM(FJ$4:HI$4)</f>
        <v>52</v>
      </c>
      <c r="HL10" s="61">
        <f>SUM(FJ10:HI10)</f>
        <v>6</v>
      </c>
      <c r="HM10" s="67">
        <f t="shared" si="1"/>
        <v>11.538461538461538</v>
      </c>
      <c r="HN10" s="67"/>
      <c r="HO10" s="68">
        <v>0</v>
      </c>
      <c r="HP10" s="68">
        <v>0.1</v>
      </c>
      <c r="HQ10" s="61">
        <v>0.08</v>
      </c>
    </row>
    <row r="11" spans="1:236" x14ac:dyDescent="0.3">
      <c r="B11" s="63" t="s">
        <v>7236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  <c r="P11" s="61">
        <v>0</v>
      </c>
      <c r="Q11" s="61">
        <v>0</v>
      </c>
      <c r="R11" s="61">
        <v>0</v>
      </c>
      <c r="S11" s="61">
        <v>0</v>
      </c>
      <c r="T11" s="61">
        <v>0</v>
      </c>
      <c r="U11" s="61">
        <v>0</v>
      </c>
      <c r="V11" s="61">
        <v>0</v>
      </c>
      <c r="W11" s="61">
        <v>0</v>
      </c>
      <c r="X11" s="61">
        <v>0</v>
      </c>
      <c r="Y11" s="61">
        <v>0</v>
      </c>
      <c r="Z11" s="61">
        <v>0</v>
      </c>
      <c r="AA11" s="61">
        <v>0</v>
      </c>
      <c r="AB11" s="61">
        <v>0</v>
      </c>
      <c r="AC11" s="61">
        <v>0</v>
      </c>
      <c r="AD11" s="61">
        <v>0</v>
      </c>
      <c r="AE11" s="61">
        <v>0</v>
      </c>
      <c r="AF11" s="61">
        <v>0</v>
      </c>
      <c r="AG11" s="61">
        <v>0</v>
      </c>
      <c r="AH11" s="61">
        <v>0</v>
      </c>
      <c r="AI11" s="61">
        <v>0</v>
      </c>
      <c r="AJ11" s="61">
        <v>0</v>
      </c>
      <c r="AK11" s="61">
        <v>0</v>
      </c>
      <c r="AL11" s="61">
        <v>0</v>
      </c>
      <c r="AM11" s="61">
        <v>0</v>
      </c>
      <c r="AN11" s="61">
        <v>0</v>
      </c>
      <c r="AO11" s="61">
        <v>0</v>
      </c>
      <c r="AP11" s="61">
        <v>0</v>
      </c>
      <c r="AQ11" s="61">
        <v>0</v>
      </c>
      <c r="AR11" s="61">
        <v>0</v>
      </c>
      <c r="AS11" s="61">
        <v>0</v>
      </c>
      <c r="AT11" s="61">
        <v>0</v>
      </c>
      <c r="AU11" s="61">
        <v>0</v>
      </c>
      <c r="AV11" s="61">
        <v>0</v>
      </c>
      <c r="AW11" s="61">
        <v>0</v>
      </c>
      <c r="AX11" s="61">
        <v>0</v>
      </c>
      <c r="AY11" s="61">
        <v>0</v>
      </c>
      <c r="AZ11" s="61">
        <v>0</v>
      </c>
      <c r="BA11" s="61">
        <v>0</v>
      </c>
      <c r="BB11" s="61">
        <v>0</v>
      </c>
      <c r="BC11" s="61">
        <v>0</v>
      </c>
      <c r="BD11" s="61">
        <v>0</v>
      </c>
      <c r="BE11" s="61">
        <v>0</v>
      </c>
      <c r="BF11" s="61">
        <v>0</v>
      </c>
      <c r="BG11" s="61">
        <v>0</v>
      </c>
      <c r="BH11" s="61">
        <v>0</v>
      </c>
      <c r="BI11" s="61">
        <v>0</v>
      </c>
      <c r="BJ11" s="61">
        <v>0</v>
      </c>
      <c r="BK11" s="61">
        <v>0</v>
      </c>
      <c r="BL11" s="61">
        <v>0</v>
      </c>
      <c r="BM11" s="61">
        <v>0</v>
      </c>
      <c r="BN11" s="61">
        <v>0</v>
      </c>
      <c r="BO11" s="61">
        <v>0</v>
      </c>
      <c r="BP11" s="61">
        <v>0</v>
      </c>
      <c r="BQ11" s="61">
        <v>0</v>
      </c>
      <c r="BR11" s="61">
        <v>0</v>
      </c>
      <c r="BS11" s="61">
        <v>0</v>
      </c>
      <c r="BT11" s="61">
        <v>0</v>
      </c>
      <c r="BU11" s="61">
        <v>0</v>
      </c>
      <c r="BV11" s="61">
        <v>0</v>
      </c>
      <c r="BW11" s="61">
        <v>0</v>
      </c>
      <c r="BX11" s="61">
        <v>0</v>
      </c>
      <c r="BY11" s="61">
        <v>0</v>
      </c>
      <c r="BZ11" s="61">
        <v>0</v>
      </c>
      <c r="CA11" s="61">
        <v>0</v>
      </c>
      <c r="CB11" s="61">
        <v>0</v>
      </c>
      <c r="CC11" s="61">
        <v>0</v>
      </c>
      <c r="CD11" s="61">
        <v>0</v>
      </c>
      <c r="CE11" s="61">
        <v>0</v>
      </c>
      <c r="CF11" s="61">
        <v>0</v>
      </c>
      <c r="CG11" s="61">
        <v>0</v>
      </c>
      <c r="CH11" s="61">
        <v>0</v>
      </c>
      <c r="CI11" s="61">
        <v>0</v>
      </c>
      <c r="CJ11" s="61">
        <v>0</v>
      </c>
      <c r="CK11" s="61">
        <v>0</v>
      </c>
      <c r="CL11" s="61">
        <v>0</v>
      </c>
      <c r="CM11" s="61">
        <v>0</v>
      </c>
      <c r="CN11" s="61">
        <v>0</v>
      </c>
      <c r="CO11" s="61">
        <v>0</v>
      </c>
      <c r="CP11" s="61">
        <v>0</v>
      </c>
      <c r="CQ11" s="61">
        <v>0</v>
      </c>
      <c r="CR11" s="61">
        <v>0</v>
      </c>
      <c r="CS11" s="61">
        <v>0</v>
      </c>
      <c r="CT11" s="61">
        <v>0</v>
      </c>
      <c r="CU11" s="61">
        <v>0</v>
      </c>
      <c r="CV11" s="61">
        <v>0</v>
      </c>
      <c r="CW11" s="61">
        <v>0</v>
      </c>
      <c r="CX11" s="61">
        <v>0</v>
      </c>
      <c r="CY11" s="61">
        <v>0</v>
      </c>
      <c r="CZ11" s="61">
        <v>0</v>
      </c>
      <c r="DA11" s="61">
        <v>0</v>
      </c>
      <c r="DB11" s="66">
        <v>1</v>
      </c>
      <c r="DC11" s="66">
        <v>1</v>
      </c>
      <c r="DD11" s="61">
        <v>0</v>
      </c>
      <c r="DE11" s="61">
        <v>0</v>
      </c>
      <c r="DF11" s="61">
        <v>0</v>
      </c>
      <c r="DG11" s="61">
        <v>0</v>
      </c>
      <c r="DH11" s="61">
        <v>0</v>
      </c>
      <c r="DI11" s="61">
        <v>0</v>
      </c>
      <c r="DJ11" s="61">
        <v>0</v>
      </c>
      <c r="DK11" s="61">
        <v>0</v>
      </c>
      <c r="DL11" s="61">
        <v>0</v>
      </c>
      <c r="DM11" s="61">
        <v>0</v>
      </c>
      <c r="DN11" s="61">
        <v>0</v>
      </c>
      <c r="DO11" s="61">
        <v>0</v>
      </c>
      <c r="DP11" s="61">
        <v>0</v>
      </c>
      <c r="DQ11" s="61">
        <v>0</v>
      </c>
      <c r="DR11" s="61">
        <v>0</v>
      </c>
      <c r="DS11" s="61">
        <v>0</v>
      </c>
      <c r="DT11" s="61">
        <v>0</v>
      </c>
      <c r="DU11" s="61">
        <v>0</v>
      </c>
      <c r="DV11" s="61">
        <v>0</v>
      </c>
      <c r="DW11" s="61">
        <v>0</v>
      </c>
      <c r="DX11" s="61">
        <v>0</v>
      </c>
      <c r="DY11" s="61">
        <v>0</v>
      </c>
      <c r="DZ11" s="61">
        <v>0</v>
      </c>
      <c r="EA11" s="61">
        <v>0</v>
      </c>
      <c r="EB11" s="61">
        <v>0</v>
      </c>
      <c r="EC11" s="61">
        <v>0</v>
      </c>
      <c r="ED11" s="61">
        <v>0</v>
      </c>
      <c r="EE11" s="61">
        <v>0</v>
      </c>
      <c r="EF11" s="61">
        <v>0</v>
      </c>
      <c r="EG11" s="61">
        <v>0</v>
      </c>
      <c r="EH11" s="61">
        <v>0</v>
      </c>
      <c r="EI11" s="61">
        <v>0</v>
      </c>
      <c r="EJ11" s="61">
        <v>0</v>
      </c>
      <c r="EK11" s="61">
        <v>0</v>
      </c>
      <c r="EL11" s="61">
        <v>0</v>
      </c>
      <c r="EM11" s="61">
        <v>0</v>
      </c>
      <c r="EN11" s="61">
        <v>0</v>
      </c>
      <c r="EO11" s="61">
        <v>0</v>
      </c>
      <c r="EP11" s="61">
        <v>0</v>
      </c>
      <c r="EQ11" s="61">
        <v>0</v>
      </c>
      <c r="ER11" s="61">
        <v>0</v>
      </c>
      <c r="ES11" s="61">
        <v>0</v>
      </c>
      <c r="ET11" s="61">
        <v>0</v>
      </c>
      <c r="EU11" s="61">
        <v>0</v>
      </c>
      <c r="EV11" s="61">
        <v>0</v>
      </c>
      <c r="EW11" s="61">
        <v>0</v>
      </c>
      <c r="EX11" s="61">
        <v>0</v>
      </c>
      <c r="EY11" s="61">
        <v>0</v>
      </c>
      <c r="EZ11" s="61">
        <v>0</v>
      </c>
      <c r="FA11" s="61">
        <v>0</v>
      </c>
      <c r="FB11" s="61">
        <v>0</v>
      </c>
      <c r="FC11" s="65">
        <v>0</v>
      </c>
      <c r="FD11" s="61">
        <v>0</v>
      </c>
      <c r="FE11" s="61">
        <v>0</v>
      </c>
      <c r="FF11" s="61">
        <v>0</v>
      </c>
      <c r="FG11" s="61">
        <v>0</v>
      </c>
      <c r="FH11" s="61">
        <v>0</v>
      </c>
      <c r="FI11" s="61">
        <v>0</v>
      </c>
      <c r="FJ11" s="61">
        <v>0</v>
      </c>
      <c r="FK11" s="61">
        <v>0</v>
      </c>
      <c r="FL11" s="61">
        <v>0</v>
      </c>
      <c r="FM11" s="61">
        <v>0</v>
      </c>
      <c r="FN11" s="61">
        <v>0</v>
      </c>
      <c r="FO11" s="61">
        <v>0</v>
      </c>
      <c r="FP11" s="61">
        <v>0</v>
      </c>
      <c r="FQ11" s="61">
        <v>0</v>
      </c>
      <c r="FR11" s="61">
        <v>0</v>
      </c>
      <c r="FS11" s="61">
        <v>0</v>
      </c>
      <c r="FT11" s="61">
        <v>0</v>
      </c>
      <c r="FU11" s="61">
        <v>0</v>
      </c>
      <c r="FV11" s="63">
        <v>0</v>
      </c>
      <c r="FW11" s="63">
        <v>0</v>
      </c>
      <c r="FX11" s="63">
        <v>0</v>
      </c>
      <c r="FY11" s="63">
        <v>0</v>
      </c>
      <c r="FZ11" s="63">
        <v>0</v>
      </c>
      <c r="GA11" s="63">
        <v>0</v>
      </c>
      <c r="GB11" s="63">
        <v>0</v>
      </c>
      <c r="GC11" s="63">
        <v>0</v>
      </c>
      <c r="GD11" s="66">
        <v>1</v>
      </c>
      <c r="GE11" s="63">
        <v>0</v>
      </c>
      <c r="GF11" s="63">
        <v>0</v>
      </c>
      <c r="GG11" s="66">
        <v>1</v>
      </c>
      <c r="GH11" s="66">
        <v>1</v>
      </c>
      <c r="GI11" s="66">
        <v>1</v>
      </c>
      <c r="GJ11" s="66">
        <v>1</v>
      </c>
      <c r="GK11" s="66">
        <v>1</v>
      </c>
      <c r="GL11" s="63">
        <v>0</v>
      </c>
      <c r="GM11" s="63">
        <v>0</v>
      </c>
      <c r="GN11" s="63">
        <v>0</v>
      </c>
      <c r="GO11" s="63">
        <v>0</v>
      </c>
      <c r="GP11" s="63">
        <v>0</v>
      </c>
      <c r="GQ11" s="63">
        <v>0</v>
      </c>
      <c r="GR11" s="63">
        <v>0</v>
      </c>
      <c r="GS11" s="63">
        <v>0</v>
      </c>
      <c r="GT11" s="63">
        <v>0</v>
      </c>
      <c r="GU11" s="63">
        <v>0</v>
      </c>
      <c r="GV11" s="63">
        <v>0</v>
      </c>
      <c r="GW11" s="63">
        <v>0</v>
      </c>
      <c r="GX11" s="63">
        <v>0</v>
      </c>
      <c r="GY11" s="63">
        <v>0</v>
      </c>
      <c r="GZ11" s="63">
        <v>0</v>
      </c>
      <c r="HA11" s="63">
        <v>0</v>
      </c>
      <c r="HB11" s="63">
        <v>0</v>
      </c>
      <c r="HC11" s="63">
        <v>0</v>
      </c>
      <c r="HD11" s="63">
        <v>0</v>
      </c>
      <c r="HE11" s="63">
        <v>0</v>
      </c>
      <c r="HF11" s="63">
        <v>0</v>
      </c>
      <c r="HG11" s="63">
        <v>0</v>
      </c>
      <c r="HH11" s="63">
        <v>0</v>
      </c>
      <c r="HI11" s="63">
        <v>0</v>
      </c>
      <c r="HJ11" s="63">
        <v>1956</v>
      </c>
      <c r="HK11" s="63">
        <f>SUM(FC$4:HI$4)</f>
        <v>59</v>
      </c>
      <c r="HL11" s="61">
        <f>SUM(FC11:HI11)</f>
        <v>6</v>
      </c>
      <c r="HM11" s="67">
        <f>100*HL11/HK11</f>
        <v>10.169491525423728</v>
      </c>
      <c r="HN11" s="67"/>
      <c r="HO11" s="68">
        <v>0.13</v>
      </c>
      <c r="HP11" s="68">
        <v>0.24</v>
      </c>
      <c r="HQ11" s="61">
        <v>0.23</v>
      </c>
      <c r="HS11" s="61" t="s">
        <v>7237</v>
      </c>
    </row>
    <row r="12" spans="1:236" x14ac:dyDescent="0.3">
      <c r="B12" s="63" t="s">
        <v>7238</v>
      </c>
      <c r="C12" s="61">
        <v>0</v>
      </c>
      <c r="D12" s="61">
        <v>0</v>
      </c>
      <c r="E12" s="61">
        <v>0</v>
      </c>
      <c r="F12" s="61">
        <v>0</v>
      </c>
      <c r="G12" s="61">
        <v>0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  <c r="P12" s="61">
        <v>0</v>
      </c>
      <c r="Q12" s="61">
        <v>0</v>
      </c>
      <c r="R12" s="61">
        <v>0</v>
      </c>
      <c r="S12" s="61">
        <v>0</v>
      </c>
      <c r="T12" s="61">
        <v>0</v>
      </c>
      <c r="U12" s="61">
        <v>0</v>
      </c>
      <c r="V12" s="61">
        <v>0</v>
      </c>
      <c r="W12" s="61">
        <v>0</v>
      </c>
      <c r="X12" s="61">
        <v>0</v>
      </c>
      <c r="Y12" s="61">
        <v>0</v>
      </c>
      <c r="Z12" s="61">
        <v>0</v>
      </c>
      <c r="AA12" s="61">
        <v>0</v>
      </c>
      <c r="AB12" s="61">
        <v>0</v>
      </c>
      <c r="AC12" s="61">
        <v>0</v>
      </c>
      <c r="AD12" s="61">
        <v>0</v>
      </c>
      <c r="AE12" s="61">
        <v>0</v>
      </c>
      <c r="AF12" s="61">
        <v>0</v>
      </c>
      <c r="AG12" s="61">
        <v>0</v>
      </c>
      <c r="AH12" s="61">
        <v>0</v>
      </c>
      <c r="AI12" s="61">
        <v>0</v>
      </c>
      <c r="AJ12" s="61">
        <v>0</v>
      </c>
      <c r="AK12" s="61">
        <v>0</v>
      </c>
      <c r="AL12" s="61">
        <v>0</v>
      </c>
      <c r="AM12" s="61">
        <v>0</v>
      </c>
      <c r="AN12" s="61">
        <v>0</v>
      </c>
      <c r="AO12" s="61">
        <v>0</v>
      </c>
      <c r="AP12" s="61">
        <v>0</v>
      </c>
      <c r="AQ12" s="61">
        <v>0</v>
      </c>
      <c r="AR12" s="61">
        <v>0</v>
      </c>
      <c r="AS12" s="61">
        <v>0</v>
      </c>
      <c r="AT12" s="61">
        <v>0</v>
      </c>
      <c r="AU12" s="61">
        <v>0</v>
      </c>
      <c r="AV12" s="61">
        <v>0</v>
      </c>
      <c r="AW12" s="61">
        <v>0</v>
      </c>
      <c r="AX12" s="61">
        <v>0</v>
      </c>
      <c r="AY12" s="61">
        <v>0</v>
      </c>
      <c r="AZ12" s="61">
        <v>0</v>
      </c>
      <c r="BA12" s="61">
        <v>0</v>
      </c>
      <c r="BB12" s="61">
        <v>0</v>
      </c>
      <c r="BC12" s="61">
        <v>0</v>
      </c>
      <c r="BD12" s="61">
        <v>0</v>
      </c>
      <c r="BE12" s="61">
        <v>0</v>
      </c>
      <c r="BF12" s="61">
        <v>0</v>
      </c>
      <c r="BG12" s="61">
        <v>0</v>
      </c>
      <c r="BH12" s="61">
        <v>0</v>
      </c>
      <c r="BI12" s="61">
        <v>0</v>
      </c>
      <c r="BJ12" s="61">
        <v>0</v>
      </c>
      <c r="BK12" s="61">
        <v>0</v>
      </c>
      <c r="BL12" s="61">
        <v>0</v>
      </c>
      <c r="BM12" s="61">
        <v>0</v>
      </c>
      <c r="BN12" s="61">
        <v>0</v>
      </c>
      <c r="BO12" s="61">
        <v>0</v>
      </c>
      <c r="BP12" s="61">
        <v>0</v>
      </c>
      <c r="BQ12" s="61">
        <v>0</v>
      </c>
      <c r="BR12" s="61">
        <v>0</v>
      </c>
      <c r="BS12" s="61">
        <v>0</v>
      </c>
      <c r="BT12" s="61">
        <v>0</v>
      </c>
      <c r="BU12" s="61">
        <v>0</v>
      </c>
      <c r="BV12" s="61">
        <v>0</v>
      </c>
      <c r="BW12" s="61">
        <v>0</v>
      </c>
      <c r="BX12" s="61">
        <v>0</v>
      </c>
      <c r="BY12" s="61">
        <v>0</v>
      </c>
      <c r="BZ12" s="61">
        <v>0</v>
      </c>
      <c r="CA12" s="61">
        <v>0</v>
      </c>
      <c r="CB12" s="61">
        <v>0</v>
      </c>
      <c r="CC12" s="61">
        <v>0</v>
      </c>
      <c r="CD12" s="61">
        <v>0</v>
      </c>
      <c r="CE12" s="61">
        <v>0</v>
      </c>
      <c r="CF12" s="61">
        <v>0</v>
      </c>
      <c r="CG12" s="61">
        <v>0</v>
      </c>
      <c r="CH12" s="61">
        <v>0</v>
      </c>
      <c r="CI12" s="61">
        <v>0</v>
      </c>
      <c r="CJ12" s="61">
        <v>0</v>
      </c>
      <c r="CK12" s="61">
        <v>0</v>
      </c>
      <c r="CL12" s="61">
        <v>0</v>
      </c>
      <c r="CM12" s="61">
        <v>0</v>
      </c>
      <c r="CN12" s="61">
        <v>0</v>
      </c>
      <c r="CO12" s="61">
        <v>0</v>
      </c>
      <c r="CP12" s="61">
        <v>0</v>
      </c>
      <c r="CQ12" s="61">
        <v>0</v>
      </c>
      <c r="CR12" s="61">
        <v>0</v>
      </c>
      <c r="CS12" s="61">
        <v>0</v>
      </c>
      <c r="CT12" s="61">
        <v>0</v>
      </c>
      <c r="CU12" s="61">
        <v>0</v>
      </c>
      <c r="CV12" s="61">
        <v>0</v>
      </c>
      <c r="CW12" s="61">
        <v>0</v>
      </c>
      <c r="CX12" s="61">
        <v>0</v>
      </c>
      <c r="CY12" s="61">
        <v>0</v>
      </c>
      <c r="CZ12" s="61">
        <v>0</v>
      </c>
      <c r="DA12" s="61">
        <v>0</v>
      </c>
      <c r="DB12" s="61">
        <v>0</v>
      </c>
      <c r="DC12" s="61">
        <v>0</v>
      </c>
      <c r="DD12" s="61">
        <v>0</v>
      </c>
      <c r="DE12" s="61">
        <v>0</v>
      </c>
      <c r="DF12" s="61">
        <v>0</v>
      </c>
      <c r="DG12" s="61">
        <v>0</v>
      </c>
      <c r="DH12" s="61">
        <v>0</v>
      </c>
      <c r="DI12" s="61">
        <v>0</v>
      </c>
      <c r="DJ12" s="61">
        <v>0</v>
      </c>
      <c r="DK12" s="61">
        <v>0</v>
      </c>
      <c r="DL12" s="61">
        <v>0</v>
      </c>
      <c r="DM12" s="61">
        <v>0</v>
      </c>
      <c r="DN12" s="61">
        <v>0</v>
      </c>
      <c r="DO12" s="61">
        <v>0</v>
      </c>
      <c r="DP12" s="61">
        <v>0</v>
      </c>
      <c r="DQ12" s="61">
        <v>0</v>
      </c>
      <c r="DR12" s="61">
        <v>0</v>
      </c>
      <c r="DS12" s="61">
        <v>0</v>
      </c>
      <c r="DT12" s="61">
        <v>0</v>
      </c>
      <c r="DU12" s="61">
        <v>0</v>
      </c>
      <c r="DV12" s="61">
        <v>0</v>
      </c>
      <c r="DW12" s="61">
        <v>0</v>
      </c>
      <c r="DX12" s="61">
        <v>0</v>
      </c>
      <c r="DY12" s="61">
        <v>0</v>
      </c>
      <c r="DZ12" s="61">
        <v>0</v>
      </c>
      <c r="EA12" s="61">
        <v>0</v>
      </c>
      <c r="EB12" s="61">
        <v>0</v>
      </c>
      <c r="EC12" s="61">
        <v>0</v>
      </c>
      <c r="ED12" s="61">
        <v>0</v>
      </c>
      <c r="EE12" s="61">
        <v>0</v>
      </c>
      <c r="EF12" s="61">
        <v>0</v>
      </c>
      <c r="EG12" s="61">
        <v>0</v>
      </c>
      <c r="EH12" s="61">
        <v>0</v>
      </c>
      <c r="EI12" s="61">
        <v>0</v>
      </c>
      <c r="EJ12" s="61">
        <v>0</v>
      </c>
      <c r="EK12" s="61">
        <v>0</v>
      </c>
      <c r="EL12" s="61">
        <v>0</v>
      </c>
      <c r="EM12" s="61">
        <v>0</v>
      </c>
      <c r="EN12" s="61">
        <v>0</v>
      </c>
      <c r="EO12" s="61">
        <v>0</v>
      </c>
      <c r="EP12" s="61">
        <v>0</v>
      </c>
      <c r="EQ12" s="61">
        <v>0</v>
      </c>
      <c r="ER12" s="61">
        <v>0</v>
      </c>
      <c r="ES12" s="61">
        <v>0</v>
      </c>
      <c r="ET12" s="61">
        <v>0</v>
      </c>
      <c r="EU12" s="61">
        <v>0</v>
      </c>
      <c r="EV12" s="61">
        <v>0</v>
      </c>
      <c r="EW12" s="61">
        <v>0</v>
      </c>
      <c r="EX12" s="61">
        <v>0</v>
      </c>
      <c r="EY12" s="61">
        <v>0</v>
      </c>
      <c r="EZ12" s="61">
        <v>0</v>
      </c>
      <c r="FA12" s="61">
        <v>0</v>
      </c>
      <c r="FB12" s="61">
        <v>0</v>
      </c>
      <c r="FC12" s="61">
        <v>0</v>
      </c>
      <c r="FD12" s="61">
        <v>0</v>
      </c>
      <c r="FE12" s="61">
        <v>0</v>
      </c>
      <c r="FF12" s="61">
        <v>0</v>
      </c>
      <c r="FG12" s="61">
        <v>0</v>
      </c>
      <c r="FH12" s="61">
        <v>0</v>
      </c>
      <c r="FI12" s="61">
        <v>0</v>
      </c>
      <c r="FJ12" s="61">
        <v>0</v>
      </c>
      <c r="FK12" s="61">
        <v>0</v>
      </c>
      <c r="FL12" s="61">
        <v>0</v>
      </c>
      <c r="FM12" s="61">
        <v>0</v>
      </c>
      <c r="FN12" s="61">
        <v>0</v>
      </c>
      <c r="FO12" s="61">
        <v>0</v>
      </c>
      <c r="FP12" s="61">
        <v>0</v>
      </c>
      <c r="FQ12" s="61">
        <v>0</v>
      </c>
      <c r="FR12" s="61">
        <v>0</v>
      </c>
      <c r="FS12" s="61">
        <v>0</v>
      </c>
      <c r="FT12" s="61">
        <v>0</v>
      </c>
      <c r="FU12" s="61">
        <v>0</v>
      </c>
      <c r="FV12" s="61">
        <v>0</v>
      </c>
      <c r="FW12" s="61">
        <v>0</v>
      </c>
      <c r="FX12" s="61">
        <v>0</v>
      </c>
      <c r="FY12" s="61">
        <v>0</v>
      </c>
      <c r="FZ12" s="61">
        <v>0</v>
      </c>
      <c r="GA12" s="61">
        <v>0</v>
      </c>
      <c r="GB12" s="61">
        <v>0</v>
      </c>
      <c r="GC12" s="61">
        <v>0</v>
      </c>
      <c r="GD12" s="61">
        <v>0</v>
      </c>
      <c r="GE12" s="61">
        <v>0</v>
      </c>
      <c r="GF12" s="61">
        <v>0</v>
      </c>
      <c r="GG12" s="61">
        <v>0</v>
      </c>
      <c r="GH12" s="61">
        <v>0</v>
      </c>
      <c r="GI12" s="61">
        <v>0</v>
      </c>
      <c r="GJ12" s="61">
        <v>0</v>
      </c>
      <c r="GK12" s="61">
        <v>0</v>
      </c>
      <c r="GL12" s="61">
        <v>0</v>
      </c>
      <c r="GM12" s="61">
        <v>0</v>
      </c>
      <c r="GN12" s="61">
        <v>0</v>
      </c>
      <c r="GO12" s="61">
        <v>0</v>
      </c>
      <c r="GP12" s="61">
        <v>0</v>
      </c>
      <c r="GQ12" s="61">
        <v>0</v>
      </c>
      <c r="GR12" s="61">
        <v>0</v>
      </c>
      <c r="GS12" s="61">
        <v>0</v>
      </c>
      <c r="GT12" s="61">
        <v>0</v>
      </c>
      <c r="GU12" s="61">
        <v>0</v>
      </c>
      <c r="GV12" s="61">
        <v>0</v>
      </c>
      <c r="GW12" s="61">
        <v>0</v>
      </c>
      <c r="GX12" s="61">
        <v>0</v>
      </c>
      <c r="GY12" s="63">
        <v>0</v>
      </c>
      <c r="GZ12" s="63">
        <v>0</v>
      </c>
      <c r="HA12" s="63">
        <v>0</v>
      </c>
      <c r="HB12" s="63">
        <v>0</v>
      </c>
      <c r="HC12" s="63">
        <v>0</v>
      </c>
      <c r="HD12" s="63">
        <v>0</v>
      </c>
      <c r="HE12" s="63">
        <v>0</v>
      </c>
      <c r="HF12" s="63">
        <v>0</v>
      </c>
      <c r="HG12" s="63">
        <v>0</v>
      </c>
      <c r="HH12" s="63">
        <v>0</v>
      </c>
      <c r="HI12" s="63">
        <v>0</v>
      </c>
      <c r="HJ12" s="63">
        <v>1968</v>
      </c>
      <c r="HK12" s="63">
        <f>SUM(FO$4:HI$4)</f>
        <v>47</v>
      </c>
      <c r="HL12" s="61">
        <f>SUM(FO12:HI12)</f>
        <v>0</v>
      </c>
      <c r="HM12" s="67">
        <f>100*HL12/HK12</f>
        <v>0</v>
      </c>
      <c r="HN12" s="67"/>
      <c r="HO12" s="68">
        <v>0</v>
      </c>
      <c r="HP12" s="68">
        <v>0.03</v>
      </c>
      <c r="HQ12" s="61">
        <v>0.04</v>
      </c>
    </row>
    <row r="13" spans="1:236" x14ac:dyDescent="0.3">
      <c r="B13" s="63" t="s">
        <v>7239</v>
      </c>
      <c r="C13" s="61">
        <v>0</v>
      </c>
      <c r="D13" s="61">
        <v>0</v>
      </c>
      <c r="E13" s="61">
        <v>0</v>
      </c>
      <c r="F13" s="61">
        <v>0</v>
      </c>
      <c r="G13" s="61">
        <v>0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  <c r="P13" s="61">
        <v>0</v>
      </c>
      <c r="Q13" s="61">
        <v>0</v>
      </c>
      <c r="R13" s="61">
        <v>0</v>
      </c>
      <c r="S13" s="61">
        <v>0</v>
      </c>
      <c r="T13" s="61">
        <v>0</v>
      </c>
      <c r="U13" s="61">
        <v>0</v>
      </c>
      <c r="V13" s="61">
        <v>0</v>
      </c>
      <c r="W13" s="61">
        <v>0</v>
      </c>
      <c r="X13" s="61">
        <v>0</v>
      </c>
      <c r="Y13" s="61">
        <v>0</v>
      </c>
      <c r="Z13" s="61">
        <v>0</v>
      </c>
      <c r="AA13" s="61">
        <v>0</v>
      </c>
      <c r="AB13" s="61">
        <v>0</v>
      </c>
      <c r="AC13" s="61">
        <v>0</v>
      </c>
      <c r="AD13" s="61">
        <v>0</v>
      </c>
      <c r="AE13" s="61">
        <v>0</v>
      </c>
      <c r="AF13" s="61">
        <v>0</v>
      </c>
      <c r="AG13" s="61">
        <v>0</v>
      </c>
      <c r="AH13" s="61">
        <v>0</v>
      </c>
      <c r="AI13" s="61">
        <v>0</v>
      </c>
      <c r="AJ13" s="61">
        <v>0</v>
      </c>
      <c r="AK13" s="61">
        <v>0</v>
      </c>
      <c r="AL13" s="61">
        <v>0</v>
      </c>
      <c r="AM13" s="61">
        <v>0</v>
      </c>
      <c r="AN13" s="61">
        <v>0</v>
      </c>
      <c r="AO13" s="61">
        <v>0</v>
      </c>
      <c r="AP13" s="61">
        <v>0</v>
      </c>
      <c r="AQ13" s="61">
        <v>0</v>
      </c>
      <c r="AR13" s="61">
        <v>0</v>
      </c>
      <c r="AS13" s="61">
        <v>0</v>
      </c>
      <c r="AT13" s="61">
        <v>0</v>
      </c>
      <c r="AU13" s="61">
        <v>0</v>
      </c>
      <c r="AV13" s="61">
        <v>0</v>
      </c>
      <c r="AW13" s="61">
        <v>0</v>
      </c>
      <c r="AX13" s="61">
        <v>0</v>
      </c>
      <c r="AY13" s="61">
        <v>0</v>
      </c>
      <c r="AZ13" s="61">
        <v>0</v>
      </c>
      <c r="BA13" s="61">
        <v>0</v>
      </c>
      <c r="BB13" s="61">
        <v>0</v>
      </c>
      <c r="BC13" s="61">
        <v>0</v>
      </c>
      <c r="BD13" s="61">
        <v>0</v>
      </c>
      <c r="BE13" s="61">
        <v>0</v>
      </c>
      <c r="BF13" s="61">
        <v>0</v>
      </c>
      <c r="BG13" s="61">
        <v>0</v>
      </c>
      <c r="BH13" s="61">
        <v>0</v>
      </c>
      <c r="BI13" s="61">
        <v>0</v>
      </c>
      <c r="BJ13" s="61">
        <v>0</v>
      </c>
      <c r="BK13" s="61">
        <v>0</v>
      </c>
      <c r="BL13" s="61">
        <v>0</v>
      </c>
      <c r="BM13" s="61">
        <v>0</v>
      </c>
      <c r="BN13" s="61">
        <v>0</v>
      </c>
      <c r="BO13" s="61">
        <v>0</v>
      </c>
      <c r="BP13" s="61">
        <v>0</v>
      </c>
      <c r="BQ13" s="61">
        <v>0</v>
      </c>
      <c r="BR13" s="61">
        <v>0</v>
      </c>
      <c r="BS13" s="61">
        <v>0</v>
      </c>
      <c r="BT13" s="61">
        <v>0</v>
      </c>
      <c r="BU13" s="61">
        <v>0</v>
      </c>
      <c r="BV13" s="61">
        <v>0</v>
      </c>
      <c r="BW13" s="61">
        <v>0</v>
      </c>
      <c r="BX13" s="61">
        <v>0</v>
      </c>
      <c r="BY13" s="61">
        <v>0</v>
      </c>
      <c r="BZ13" s="61">
        <v>0</v>
      </c>
      <c r="CA13" s="61">
        <v>0</v>
      </c>
      <c r="CB13" s="61">
        <v>0</v>
      </c>
      <c r="CC13" s="61">
        <v>0</v>
      </c>
      <c r="CD13" s="61">
        <v>0</v>
      </c>
      <c r="CE13" s="61">
        <v>0</v>
      </c>
      <c r="CF13" s="61">
        <v>0</v>
      </c>
      <c r="CG13" s="61">
        <v>0</v>
      </c>
      <c r="CH13" s="61">
        <v>0</v>
      </c>
      <c r="CI13" s="61">
        <v>0</v>
      </c>
      <c r="CJ13" s="61">
        <v>0</v>
      </c>
      <c r="CK13" s="61">
        <v>0</v>
      </c>
      <c r="CL13" s="61">
        <v>0</v>
      </c>
      <c r="CM13" s="61">
        <v>0</v>
      </c>
      <c r="CN13" s="61">
        <v>0</v>
      </c>
      <c r="CO13" s="61">
        <v>0</v>
      </c>
      <c r="CP13" s="61">
        <v>0</v>
      </c>
      <c r="CQ13" s="61">
        <v>0</v>
      </c>
      <c r="CR13" s="61">
        <v>0</v>
      </c>
      <c r="CS13" s="61">
        <v>0</v>
      </c>
      <c r="CT13" s="61">
        <v>0</v>
      </c>
      <c r="CU13" s="61">
        <v>0</v>
      </c>
      <c r="CV13" s="61">
        <v>0</v>
      </c>
      <c r="CW13" s="61">
        <v>0</v>
      </c>
      <c r="CX13" s="61">
        <v>0</v>
      </c>
      <c r="CY13" s="61">
        <v>0</v>
      </c>
      <c r="CZ13" s="61">
        <v>0</v>
      </c>
      <c r="DA13" s="61">
        <v>0</v>
      </c>
      <c r="DB13" s="61">
        <v>0</v>
      </c>
      <c r="DC13" s="61">
        <v>0</v>
      </c>
      <c r="DD13" s="61">
        <v>0</v>
      </c>
      <c r="DE13" s="61">
        <v>0</v>
      </c>
      <c r="DF13" s="61">
        <v>0</v>
      </c>
      <c r="DG13" s="61">
        <v>0</v>
      </c>
      <c r="DH13" s="61">
        <v>0</v>
      </c>
      <c r="DI13" s="61">
        <v>0</v>
      </c>
      <c r="DJ13" s="61">
        <v>0</v>
      </c>
      <c r="DK13" s="61">
        <v>0</v>
      </c>
      <c r="DL13" s="61">
        <v>0</v>
      </c>
      <c r="DM13" s="61">
        <v>0</v>
      </c>
      <c r="DN13" s="61">
        <v>0</v>
      </c>
      <c r="DO13" s="61">
        <v>0</v>
      </c>
      <c r="DP13" s="61">
        <v>0</v>
      </c>
      <c r="DQ13" s="61">
        <v>0</v>
      </c>
      <c r="DR13" s="61">
        <v>0</v>
      </c>
      <c r="DS13" s="61">
        <v>0</v>
      </c>
      <c r="DT13" s="61">
        <v>0</v>
      </c>
      <c r="DU13" s="61">
        <v>0</v>
      </c>
      <c r="DV13" s="61">
        <v>0</v>
      </c>
      <c r="DW13" s="61">
        <v>0</v>
      </c>
      <c r="DX13" s="61">
        <v>0</v>
      </c>
      <c r="DY13" s="61">
        <v>0</v>
      </c>
      <c r="DZ13" s="61">
        <v>0</v>
      </c>
      <c r="EA13" s="61">
        <v>0</v>
      </c>
      <c r="EB13" s="61">
        <v>0</v>
      </c>
      <c r="EC13" s="61">
        <v>0</v>
      </c>
      <c r="ED13" s="61">
        <v>0</v>
      </c>
      <c r="EE13" s="61">
        <v>0</v>
      </c>
      <c r="EF13" s="61">
        <v>0</v>
      </c>
      <c r="EG13" s="61">
        <v>0</v>
      </c>
      <c r="EH13" s="61">
        <v>0</v>
      </c>
      <c r="EI13" s="61">
        <v>0</v>
      </c>
      <c r="EJ13" s="61">
        <v>0</v>
      </c>
      <c r="EK13" s="61">
        <v>0</v>
      </c>
      <c r="EL13" s="61">
        <v>0</v>
      </c>
      <c r="EM13" s="61">
        <v>0</v>
      </c>
      <c r="EN13" s="61">
        <v>0</v>
      </c>
      <c r="EO13" s="61">
        <v>0</v>
      </c>
      <c r="EP13" s="61">
        <v>0</v>
      </c>
      <c r="EQ13" s="61">
        <v>0</v>
      </c>
      <c r="ER13" s="61">
        <v>0</v>
      </c>
      <c r="ES13" s="61">
        <v>0</v>
      </c>
      <c r="ET13" s="61">
        <v>0</v>
      </c>
      <c r="EU13" s="61">
        <v>0</v>
      </c>
      <c r="EV13" s="61">
        <v>0</v>
      </c>
      <c r="EW13" s="61">
        <v>0</v>
      </c>
      <c r="EX13" s="61">
        <v>0</v>
      </c>
      <c r="EY13" s="61">
        <v>0</v>
      </c>
      <c r="EZ13" s="61">
        <v>0</v>
      </c>
      <c r="FA13" s="61">
        <v>0</v>
      </c>
      <c r="FB13" s="61">
        <v>0</v>
      </c>
      <c r="FC13" s="61">
        <v>0</v>
      </c>
      <c r="FD13" s="61">
        <v>0</v>
      </c>
      <c r="FE13" s="61">
        <v>0</v>
      </c>
      <c r="FF13" s="61">
        <v>0</v>
      </c>
      <c r="FG13" s="65">
        <v>0</v>
      </c>
      <c r="FH13" s="61">
        <v>0</v>
      </c>
      <c r="FI13" s="61">
        <v>0</v>
      </c>
      <c r="FJ13" s="61">
        <v>0</v>
      </c>
      <c r="FK13" s="61">
        <v>0</v>
      </c>
      <c r="FL13" s="61">
        <v>0</v>
      </c>
      <c r="FM13" s="61">
        <v>0</v>
      </c>
      <c r="FN13" s="61">
        <v>0</v>
      </c>
      <c r="FO13" s="61">
        <v>0</v>
      </c>
      <c r="FP13" s="61">
        <v>0</v>
      </c>
      <c r="FQ13" s="61">
        <v>0</v>
      </c>
      <c r="FR13" s="61">
        <v>0</v>
      </c>
      <c r="FS13" s="61">
        <v>0</v>
      </c>
      <c r="FT13" s="61">
        <v>0</v>
      </c>
      <c r="FU13" s="61">
        <v>0</v>
      </c>
      <c r="FV13" s="61">
        <v>0</v>
      </c>
      <c r="FW13" s="61">
        <v>0</v>
      </c>
      <c r="FX13" s="61">
        <v>0</v>
      </c>
      <c r="FY13" s="61">
        <v>0</v>
      </c>
      <c r="FZ13" s="61">
        <v>0</v>
      </c>
      <c r="GA13" s="61">
        <v>0</v>
      </c>
      <c r="GB13" s="61">
        <v>0</v>
      </c>
      <c r="GC13" s="61">
        <v>0</v>
      </c>
      <c r="GD13" s="61">
        <v>0</v>
      </c>
      <c r="GE13" s="61">
        <v>0</v>
      </c>
      <c r="GF13" s="61">
        <v>0</v>
      </c>
      <c r="GG13" s="61">
        <v>0</v>
      </c>
      <c r="GH13" s="66">
        <v>1</v>
      </c>
      <c r="GI13" s="66">
        <v>1</v>
      </c>
      <c r="GJ13" s="66">
        <v>1</v>
      </c>
      <c r="GK13" s="66">
        <v>1</v>
      </c>
      <c r="GL13" s="66">
        <v>1</v>
      </c>
      <c r="GM13" s="66">
        <v>1</v>
      </c>
      <c r="GN13" s="66">
        <v>1</v>
      </c>
      <c r="GO13" s="66">
        <v>1</v>
      </c>
      <c r="GP13" s="61">
        <v>0</v>
      </c>
      <c r="GQ13" s="61">
        <v>0</v>
      </c>
      <c r="GR13" s="61">
        <v>0</v>
      </c>
      <c r="GS13" s="61">
        <v>0</v>
      </c>
      <c r="GT13" s="61">
        <v>0</v>
      </c>
      <c r="GU13" s="63">
        <v>0</v>
      </c>
      <c r="GV13" s="63">
        <v>0</v>
      </c>
      <c r="GW13" s="63">
        <v>0</v>
      </c>
      <c r="GX13" s="63">
        <v>0</v>
      </c>
      <c r="GY13" s="66">
        <v>1</v>
      </c>
      <c r="GZ13" s="66">
        <v>1</v>
      </c>
      <c r="HA13" s="63">
        <v>0</v>
      </c>
      <c r="HB13" s="63">
        <v>0</v>
      </c>
      <c r="HC13" s="63">
        <v>0</v>
      </c>
      <c r="HD13" s="63">
        <v>0</v>
      </c>
      <c r="HE13" s="63">
        <v>0</v>
      </c>
      <c r="HF13" s="63">
        <v>0</v>
      </c>
      <c r="HG13" s="63">
        <v>0</v>
      </c>
      <c r="HH13" s="63"/>
      <c r="HI13" s="63"/>
      <c r="HJ13" s="63">
        <v>1960</v>
      </c>
      <c r="HK13" s="63">
        <f>SUM(FG$4:HI$4)</f>
        <v>55</v>
      </c>
      <c r="HL13" s="61">
        <f>SUM(FG13:HI13)</f>
        <v>10</v>
      </c>
      <c r="HM13" s="67">
        <f t="shared" si="1"/>
        <v>18.181818181818183</v>
      </c>
      <c r="HN13" s="67"/>
      <c r="HO13" s="68">
        <v>0</v>
      </c>
      <c r="HP13" s="68">
        <v>0.4</v>
      </c>
      <c r="HQ13" s="61">
        <v>0.41</v>
      </c>
    </row>
    <row r="14" spans="1:236" x14ac:dyDescent="0.3">
      <c r="B14" s="63" t="s">
        <v>7240</v>
      </c>
      <c r="C14" s="61">
        <v>0</v>
      </c>
      <c r="D14" s="61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  <c r="U14" s="61">
        <v>0</v>
      </c>
      <c r="V14" s="61">
        <v>0</v>
      </c>
      <c r="W14" s="61">
        <v>0</v>
      </c>
      <c r="X14" s="61">
        <v>0</v>
      </c>
      <c r="Y14" s="61">
        <v>0</v>
      </c>
      <c r="Z14" s="61">
        <v>0</v>
      </c>
      <c r="AA14" s="61">
        <v>0</v>
      </c>
      <c r="AB14" s="61">
        <v>0</v>
      </c>
      <c r="AC14" s="61">
        <v>0</v>
      </c>
      <c r="AD14" s="61">
        <v>0</v>
      </c>
      <c r="AE14" s="61">
        <v>0</v>
      </c>
      <c r="AF14" s="61">
        <v>0</v>
      </c>
      <c r="AG14" s="61">
        <v>0</v>
      </c>
      <c r="AH14" s="61">
        <v>0</v>
      </c>
      <c r="AI14" s="61">
        <v>0</v>
      </c>
      <c r="AJ14" s="61">
        <v>0</v>
      </c>
      <c r="AK14" s="61">
        <v>0</v>
      </c>
      <c r="AL14" s="61">
        <v>0</v>
      </c>
      <c r="AM14" s="61">
        <v>0</v>
      </c>
      <c r="AN14" s="61">
        <v>0</v>
      </c>
      <c r="AO14" s="61">
        <v>0</v>
      </c>
      <c r="AP14" s="61">
        <v>0</v>
      </c>
      <c r="AQ14" s="61">
        <v>0</v>
      </c>
      <c r="AR14" s="61">
        <v>0</v>
      </c>
      <c r="AS14" s="61">
        <v>0</v>
      </c>
      <c r="AT14" s="61">
        <v>0</v>
      </c>
      <c r="AU14" s="61">
        <v>0</v>
      </c>
      <c r="AV14" s="61">
        <v>0</v>
      </c>
      <c r="AW14" s="61">
        <v>0</v>
      </c>
      <c r="AX14" s="61">
        <v>0</v>
      </c>
      <c r="AY14" s="61">
        <v>0</v>
      </c>
      <c r="AZ14" s="61">
        <v>0</v>
      </c>
      <c r="BA14" s="61">
        <v>0</v>
      </c>
      <c r="BB14" s="61">
        <v>0</v>
      </c>
      <c r="BC14" s="61">
        <v>0</v>
      </c>
      <c r="BD14" s="61">
        <v>0</v>
      </c>
      <c r="BE14" s="61">
        <v>0</v>
      </c>
      <c r="BF14" s="61">
        <v>0</v>
      </c>
      <c r="BG14" s="61">
        <v>0</v>
      </c>
      <c r="BH14" s="61">
        <v>0</v>
      </c>
      <c r="BI14" s="61">
        <v>0</v>
      </c>
      <c r="BJ14" s="61">
        <v>0</v>
      </c>
      <c r="BK14" s="61">
        <v>0</v>
      </c>
      <c r="BL14" s="61">
        <v>0</v>
      </c>
      <c r="BM14" s="61">
        <v>0</v>
      </c>
      <c r="BN14" s="61">
        <v>0</v>
      </c>
      <c r="BO14" s="61">
        <v>0</v>
      </c>
      <c r="BP14" s="61">
        <v>0</v>
      </c>
      <c r="BQ14" s="61">
        <v>0</v>
      </c>
      <c r="BR14" s="61">
        <v>0</v>
      </c>
      <c r="BS14" s="61">
        <v>0</v>
      </c>
      <c r="BT14" s="61">
        <v>0</v>
      </c>
      <c r="BU14" s="61">
        <v>0</v>
      </c>
      <c r="BV14" s="61">
        <v>0</v>
      </c>
      <c r="BW14" s="61">
        <v>0</v>
      </c>
      <c r="BX14" s="61">
        <v>0</v>
      </c>
      <c r="BY14" s="61">
        <v>0</v>
      </c>
      <c r="BZ14" s="61">
        <v>0</v>
      </c>
      <c r="CA14" s="61">
        <v>0</v>
      </c>
      <c r="CB14" s="61">
        <v>0</v>
      </c>
      <c r="CC14" s="61">
        <v>0</v>
      </c>
      <c r="CD14" s="61">
        <v>0</v>
      </c>
      <c r="CE14" s="61">
        <v>0</v>
      </c>
      <c r="CF14" s="61">
        <v>0</v>
      </c>
      <c r="CG14" s="61">
        <v>0</v>
      </c>
      <c r="CH14" s="61">
        <v>0</v>
      </c>
      <c r="CI14" s="61">
        <v>0</v>
      </c>
      <c r="CJ14" s="61">
        <v>0</v>
      </c>
      <c r="CK14" s="61">
        <v>0</v>
      </c>
      <c r="CL14" s="61">
        <v>0</v>
      </c>
      <c r="CM14" s="61">
        <v>0</v>
      </c>
      <c r="CN14" s="61">
        <v>0</v>
      </c>
      <c r="CO14" s="61">
        <v>0</v>
      </c>
      <c r="CP14" s="61">
        <v>0</v>
      </c>
      <c r="CQ14" s="61">
        <v>0</v>
      </c>
      <c r="CR14" s="61">
        <v>0</v>
      </c>
      <c r="CS14" s="61">
        <v>0</v>
      </c>
      <c r="CT14" s="61">
        <v>0</v>
      </c>
      <c r="CU14" s="61">
        <v>0</v>
      </c>
      <c r="CV14" s="61">
        <v>0</v>
      </c>
      <c r="CW14" s="61">
        <v>0</v>
      </c>
      <c r="CX14" s="61">
        <v>0</v>
      </c>
      <c r="CY14" s="61">
        <v>0</v>
      </c>
      <c r="CZ14" s="61">
        <v>0</v>
      </c>
      <c r="DA14" s="61">
        <v>0</v>
      </c>
      <c r="DB14" s="61">
        <v>0</v>
      </c>
      <c r="DC14" s="61">
        <v>0</v>
      </c>
      <c r="DD14" s="61">
        <v>0</v>
      </c>
      <c r="DE14" s="61">
        <v>0</v>
      </c>
      <c r="DF14" s="61">
        <v>0</v>
      </c>
      <c r="DG14" s="61">
        <v>0</v>
      </c>
      <c r="DH14" s="61">
        <v>0</v>
      </c>
      <c r="DI14" s="65">
        <v>0</v>
      </c>
      <c r="DJ14" s="61">
        <v>0</v>
      </c>
      <c r="DK14" s="61">
        <v>0</v>
      </c>
      <c r="DL14" s="61">
        <v>0</v>
      </c>
      <c r="DM14" s="61">
        <v>0</v>
      </c>
      <c r="DN14" s="61">
        <v>0</v>
      </c>
      <c r="DO14" s="61">
        <v>0</v>
      </c>
      <c r="DP14" s="61">
        <v>0</v>
      </c>
      <c r="DQ14" s="61">
        <v>0</v>
      </c>
      <c r="DR14" s="61">
        <v>0</v>
      </c>
      <c r="DS14" s="61">
        <v>0</v>
      </c>
      <c r="DT14" s="61">
        <v>0</v>
      </c>
      <c r="DU14" s="61">
        <v>0</v>
      </c>
      <c r="DV14" s="61">
        <v>0</v>
      </c>
      <c r="DW14" s="61">
        <v>0</v>
      </c>
      <c r="DX14" s="61">
        <v>0</v>
      </c>
      <c r="DY14" s="61">
        <v>0</v>
      </c>
      <c r="DZ14" s="61">
        <v>0</v>
      </c>
      <c r="EA14" s="61">
        <v>0</v>
      </c>
      <c r="EB14" s="61">
        <v>0</v>
      </c>
      <c r="EC14" s="61">
        <v>0</v>
      </c>
      <c r="ED14" s="61">
        <v>0</v>
      </c>
      <c r="EE14" s="61">
        <v>0</v>
      </c>
      <c r="EF14" s="61">
        <v>0</v>
      </c>
      <c r="EG14" s="61">
        <v>0</v>
      </c>
      <c r="EH14" s="61">
        <v>0</v>
      </c>
      <c r="EI14" s="61">
        <v>0</v>
      </c>
      <c r="EJ14" s="61">
        <v>0</v>
      </c>
      <c r="EK14" s="61">
        <v>0</v>
      </c>
      <c r="EL14" s="61">
        <v>0</v>
      </c>
      <c r="EM14" s="61">
        <v>0</v>
      </c>
      <c r="EN14" s="61">
        <v>0</v>
      </c>
      <c r="EO14" s="61">
        <v>0</v>
      </c>
      <c r="EP14" s="61">
        <v>0</v>
      </c>
      <c r="EQ14" s="61">
        <v>0</v>
      </c>
      <c r="ER14" s="61">
        <v>0</v>
      </c>
      <c r="ES14" s="61">
        <v>0</v>
      </c>
      <c r="ET14" s="61">
        <v>0</v>
      </c>
      <c r="EU14" s="61">
        <v>0</v>
      </c>
      <c r="EV14" s="61">
        <v>0</v>
      </c>
      <c r="EW14" s="61">
        <v>0</v>
      </c>
      <c r="EX14" s="61">
        <v>0</v>
      </c>
      <c r="EY14" s="61">
        <v>0</v>
      </c>
      <c r="EZ14" s="61">
        <v>0</v>
      </c>
      <c r="FA14" s="61">
        <v>0</v>
      </c>
      <c r="FB14" s="61">
        <v>0</v>
      </c>
      <c r="FC14" s="61">
        <v>0</v>
      </c>
      <c r="FD14" s="61">
        <v>0</v>
      </c>
      <c r="FE14" s="61">
        <v>0</v>
      </c>
      <c r="FF14" s="61">
        <v>0</v>
      </c>
      <c r="FG14" s="61">
        <v>0</v>
      </c>
      <c r="FH14" s="61">
        <v>0</v>
      </c>
      <c r="FI14" s="61">
        <v>0</v>
      </c>
      <c r="FJ14" s="61">
        <v>0</v>
      </c>
      <c r="FK14" s="61">
        <v>0</v>
      </c>
      <c r="FL14" s="61">
        <v>0</v>
      </c>
      <c r="FM14" s="61">
        <v>0</v>
      </c>
      <c r="FN14" s="61">
        <v>0</v>
      </c>
      <c r="FO14" s="61">
        <v>0</v>
      </c>
      <c r="FP14" s="61">
        <v>0</v>
      </c>
      <c r="FQ14" s="61">
        <v>0</v>
      </c>
      <c r="FR14" s="61">
        <v>0</v>
      </c>
      <c r="FS14" s="61">
        <v>0</v>
      </c>
      <c r="FT14" s="61">
        <v>0</v>
      </c>
      <c r="FU14" s="61">
        <v>0</v>
      </c>
      <c r="FV14" s="63">
        <v>0</v>
      </c>
      <c r="FW14" s="63">
        <v>0</v>
      </c>
      <c r="FX14" s="63">
        <v>0</v>
      </c>
      <c r="FY14" s="63">
        <v>0</v>
      </c>
      <c r="FZ14" s="63">
        <v>0</v>
      </c>
      <c r="GA14" s="63">
        <v>0</v>
      </c>
      <c r="GB14" s="63">
        <v>0</v>
      </c>
      <c r="GC14" s="63">
        <v>0</v>
      </c>
      <c r="GD14" s="63">
        <v>0</v>
      </c>
      <c r="GE14" s="63">
        <v>0</v>
      </c>
      <c r="GF14" s="66">
        <v>1</v>
      </c>
      <c r="GG14" s="66">
        <v>1</v>
      </c>
      <c r="GH14" s="66">
        <v>1</v>
      </c>
      <c r="GI14" s="63">
        <v>0</v>
      </c>
      <c r="GJ14" s="66">
        <v>1</v>
      </c>
      <c r="GK14" s="63">
        <v>0</v>
      </c>
      <c r="GL14" s="63">
        <v>0</v>
      </c>
      <c r="GM14" s="63">
        <v>0</v>
      </c>
      <c r="GN14" s="66">
        <v>1</v>
      </c>
      <c r="GO14" s="63">
        <v>0</v>
      </c>
      <c r="GP14" s="63">
        <v>0</v>
      </c>
      <c r="GQ14" s="63">
        <v>0</v>
      </c>
      <c r="GR14" s="63">
        <v>0</v>
      </c>
      <c r="GS14" s="63">
        <v>0</v>
      </c>
      <c r="GT14" s="63">
        <v>0</v>
      </c>
      <c r="GU14" s="63">
        <v>0</v>
      </c>
      <c r="GV14" s="63">
        <v>0</v>
      </c>
      <c r="GW14" s="63">
        <v>0</v>
      </c>
      <c r="GX14" s="63">
        <v>0</v>
      </c>
      <c r="GY14" s="63">
        <v>0</v>
      </c>
      <c r="GZ14" s="63">
        <v>0</v>
      </c>
      <c r="HA14" s="63">
        <v>0</v>
      </c>
      <c r="HB14" s="63">
        <v>0</v>
      </c>
      <c r="HC14" s="63">
        <v>0</v>
      </c>
      <c r="HD14" s="63">
        <v>0</v>
      </c>
      <c r="HE14" s="63">
        <v>0</v>
      </c>
      <c r="HF14" s="63">
        <v>0</v>
      </c>
      <c r="HG14" s="63">
        <v>0</v>
      </c>
      <c r="HH14" s="63"/>
      <c r="HI14" s="63"/>
      <c r="HJ14" s="63">
        <v>1910</v>
      </c>
      <c r="HK14" s="63">
        <f>SUM(DI$4:HI$4)</f>
        <v>105</v>
      </c>
      <c r="HL14" s="61">
        <f>SUM(DI14:HI14)</f>
        <v>5</v>
      </c>
      <c r="HM14" s="67">
        <f t="shared" si="1"/>
        <v>4.7619047619047619</v>
      </c>
      <c r="HN14" s="67"/>
      <c r="HO14" s="68">
        <v>0.36</v>
      </c>
      <c r="HP14" s="68">
        <v>0.54</v>
      </c>
      <c r="HQ14" s="61">
        <v>0.47</v>
      </c>
    </row>
    <row r="15" spans="1:236" x14ac:dyDescent="0.3">
      <c r="B15" s="63" t="s">
        <v>7241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61">
        <v>0</v>
      </c>
      <c r="Y15" s="61">
        <v>0</v>
      </c>
      <c r="Z15" s="61">
        <v>0</v>
      </c>
      <c r="AA15" s="61">
        <v>0</v>
      </c>
      <c r="AB15" s="61">
        <v>0</v>
      </c>
      <c r="AC15" s="61">
        <v>0</v>
      </c>
      <c r="AD15" s="61">
        <v>0</v>
      </c>
      <c r="AE15" s="61">
        <v>0</v>
      </c>
      <c r="AF15" s="61">
        <v>0</v>
      </c>
      <c r="AG15" s="61">
        <v>0</v>
      </c>
      <c r="AH15" s="61">
        <v>0</v>
      </c>
      <c r="AI15" s="61">
        <v>0</v>
      </c>
      <c r="AJ15" s="61">
        <v>0</v>
      </c>
      <c r="AK15" s="61">
        <v>0</v>
      </c>
      <c r="AL15" s="61">
        <v>0</v>
      </c>
      <c r="AM15" s="61">
        <v>0</v>
      </c>
      <c r="AN15" s="61">
        <v>0</v>
      </c>
      <c r="AO15" s="61">
        <v>0</v>
      </c>
      <c r="AP15" s="61">
        <v>0</v>
      </c>
      <c r="AQ15" s="61">
        <v>0</v>
      </c>
      <c r="AR15" s="61">
        <v>0</v>
      </c>
      <c r="AS15" s="61">
        <v>0</v>
      </c>
      <c r="AT15" s="61">
        <v>0</v>
      </c>
      <c r="AU15" s="61">
        <v>0</v>
      </c>
      <c r="AV15" s="61">
        <v>0</v>
      </c>
      <c r="AW15" s="61">
        <v>0</v>
      </c>
      <c r="AX15" s="61">
        <v>0</v>
      </c>
      <c r="AY15" s="61">
        <v>0</v>
      </c>
      <c r="AZ15" s="61">
        <v>0</v>
      </c>
      <c r="BA15" s="61">
        <v>0</v>
      </c>
      <c r="BB15" s="61">
        <v>0</v>
      </c>
      <c r="BC15" s="61">
        <v>0</v>
      </c>
      <c r="BD15" s="61">
        <v>0</v>
      </c>
      <c r="BE15" s="61">
        <v>0</v>
      </c>
      <c r="BF15" s="61">
        <v>0</v>
      </c>
      <c r="BG15" s="61">
        <v>0</v>
      </c>
      <c r="BH15" s="61">
        <v>0</v>
      </c>
      <c r="BI15" s="61">
        <v>0</v>
      </c>
      <c r="BJ15" s="61">
        <v>0</v>
      </c>
      <c r="BK15" s="61">
        <v>0</v>
      </c>
      <c r="BL15" s="61">
        <v>0</v>
      </c>
      <c r="BM15" s="61">
        <v>0</v>
      </c>
      <c r="BN15" s="61">
        <v>0</v>
      </c>
      <c r="BO15" s="61">
        <v>0</v>
      </c>
      <c r="BP15" s="61">
        <v>0</v>
      </c>
      <c r="BQ15" s="61">
        <v>0</v>
      </c>
      <c r="BR15" s="66">
        <v>1</v>
      </c>
      <c r="BS15" s="66">
        <v>1</v>
      </c>
      <c r="BT15" s="66">
        <v>1</v>
      </c>
      <c r="BU15" s="66">
        <v>1</v>
      </c>
      <c r="BV15" s="61">
        <v>0</v>
      </c>
      <c r="BW15" s="61">
        <v>0</v>
      </c>
      <c r="BX15" s="61">
        <v>0</v>
      </c>
      <c r="BY15" s="61">
        <v>0</v>
      </c>
      <c r="BZ15" s="61">
        <v>0</v>
      </c>
      <c r="CA15" s="61">
        <v>0</v>
      </c>
      <c r="CB15" s="61">
        <v>0</v>
      </c>
      <c r="CC15" s="61">
        <v>0</v>
      </c>
      <c r="CD15" s="61">
        <v>0</v>
      </c>
      <c r="CE15" s="61">
        <v>0</v>
      </c>
      <c r="CF15" s="61">
        <v>0</v>
      </c>
      <c r="CG15" s="61">
        <v>0</v>
      </c>
      <c r="CH15" s="61">
        <v>0</v>
      </c>
      <c r="CI15" s="61">
        <v>0</v>
      </c>
      <c r="CJ15" s="61">
        <v>0</v>
      </c>
      <c r="CK15" s="61">
        <v>0</v>
      </c>
      <c r="CL15" s="61">
        <v>0</v>
      </c>
      <c r="CM15" s="61">
        <v>0</v>
      </c>
      <c r="CN15" s="61">
        <v>0</v>
      </c>
      <c r="CO15" s="61">
        <v>0</v>
      </c>
      <c r="CP15" s="61">
        <v>0</v>
      </c>
      <c r="CQ15" s="61">
        <v>0</v>
      </c>
      <c r="CR15" s="61">
        <v>0</v>
      </c>
      <c r="CS15" s="61">
        <v>0</v>
      </c>
      <c r="CT15" s="61">
        <v>0</v>
      </c>
      <c r="CU15" s="61">
        <v>0</v>
      </c>
      <c r="CV15" s="61">
        <v>0</v>
      </c>
      <c r="CW15" s="61">
        <v>0</v>
      </c>
      <c r="CX15" s="61">
        <v>0</v>
      </c>
      <c r="CY15" s="61">
        <v>0</v>
      </c>
      <c r="CZ15" s="61">
        <v>0</v>
      </c>
      <c r="DA15" s="61">
        <v>0</v>
      </c>
      <c r="DB15" s="61">
        <v>0</v>
      </c>
      <c r="DC15" s="61">
        <v>0</v>
      </c>
      <c r="DD15" s="61">
        <v>0</v>
      </c>
      <c r="DE15" s="61">
        <v>0</v>
      </c>
      <c r="DF15" s="61">
        <v>0</v>
      </c>
      <c r="DG15" s="61">
        <v>0</v>
      </c>
      <c r="DH15" s="61">
        <v>0</v>
      </c>
      <c r="DI15" s="61">
        <v>0</v>
      </c>
      <c r="DJ15" s="61">
        <v>0</v>
      </c>
      <c r="DK15" s="61">
        <v>0</v>
      </c>
      <c r="DL15" s="61">
        <v>0</v>
      </c>
      <c r="DM15" s="61">
        <v>0</v>
      </c>
      <c r="DN15" s="61">
        <v>0</v>
      </c>
      <c r="DO15" s="61">
        <v>0</v>
      </c>
      <c r="DP15" s="61">
        <v>0</v>
      </c>
      <c r="DQ15" s="61">
        <v>0</v>
      </c>
      <c r="DR15" s="61">
        <v>0</v>
      </c>
      <c r="DS15" s="61">
        <v>0</v>
      </c>
      <c r="DT15" s="61">
        <v>0</v>
      </c>
      <c r="DU15" s="61">
        <v>0</v>
      </c>
      <c r="DV15" s="61">
        <v>0</v>
      </c>
      <c r="DW15" s="61">
        <v>0</v>
      </c>
      <c r="DX15" s="61">
        <v>0</v>
      </c>
      <c r="DY15" s="61">
        <v>0</v>
      </c>
      <c r="DZ15" s="61">
        <v>0</v>
      </c>
      <c r="EA15" s="61">
        <v>0</v>
      </c>
      <c r="EB15" s="61">
        <v>0</v>
      </c>
      <c r="EC15" s="61">
        <v>0</v>
      </c>
      <c r="ED15" s="61">
        <v>0</v>
      </c>
      <c r="EE15" s="61">
        <v>0</v>
      </c>
      <c r="EF15" s="61">
        <v>0</v>
      </c>
      <c r="EG15" s="61">
        <v>0</v>
      </c>
      <c r="EH15" s="61">
        <v>0</v>
      </c>
      <c r="EI15" s="61">
        <v>0</v>
      </c>
      <c r="EJ15" s="61">
        <v>0</v>
      </c>
      <c r="EK15" s="61">
        <v>0</v>
      </c>
      <c r="EL15" s="61">
        <v>0</v>
      </c>
      <c r="EM15" s="61">
        <v>0</v>
      </c>
      <c r="EN15" s="61">
        <v>0</v>
      </c>
      <c r="EO15" s="61">
        <v>0</v>
      </c>
      <c r="EP15" s="61">
        <v>0</v>
      </c>
      <c r="EQ15" s="61">
        <v>0</v>
      </c>
      <c r="ER15" s="61">
        <v>0</v>
      </c>
      <c r="ES15" s="61">
        <v>0</v>
      </c>
      <c r="ET15" s="61">
        <v>0</v>
      </c>
      <c r="EU15" s="61">
        <v>0</v>
      </c>
      <c r="EV15" s="61">
        <v>0</v>
      </c>
      <c r="EW15" s="61">
        <v>0</v>
      </c>
      <c r="EX15" s="61">
        <v>0</v>
      </c>
      <c r="EY15" s="61">
        <v>0</v>
      </c>
      <c r="EZ15" s="61">
        <v>0</v>
      </c>
      <c r="FA15" s="61">
        <v>0</v>
      </c>
      <c r="FB15" s="61">
        <v>0</v>
      </c>
      <c r="FC15" s="66">
        <v>1</v>
      </c>
      <c r="FD15" s="65">
        <v>0</v>
      </c>
      <c r="FE15" s="66">
        <v>1</v>
      </c>
      <c r="FF15" s="61">
        <v>0</v>
      </c>
      <c r="FG15" s="61">
        <v>0</v>
      </c>
      <c r="FH15" s="61">
        <v>0</v>
      </c>
      <c r="FI15" s="61">
        <v>0</v>
      </c>
      <c r="FJ15" s="66">
        <v>1</v>
      </c>
      <c r="FK15" s="61">
        <v>0</v>
      </c>
      <c r="FL15" s="61">
        <v>0</v>
      </c>
      <c r="FM15" s="61">
        <v>0</v>
      </c>
      <c r="FN15" s="61">
        <v>0</v>
      </c>
      <c r="FO15" s="61">
        <v>0</v>
      </c>
      <c r="FP15" s="61">
        <v>0</v>
      </c>
      <c r="FQ15" s="61">
        <v>0</v>
      </c>
      <c r="FR15" s="61">
        <v>0</v>
      </c>
      <c r="FS15" s="61">
        <v>0</v>
      </c>
      <c r="FT15" s="61">
        <v>0</v>
      </c>
      <c r="FU15" s="61">
        <v>0</v>
      </c>
      <c r="FV15" s="63">
        <v>0</v>
      </c>
      <c r="FW15" s="63">
        <v>0</v>
      </c>
      <c r="FX15" s="63">
        <v>0</v>
      </c>
      <c r="FY15" s="63">
        <v>0</v>
      </c>
      <c r="FZ15" s="66">
        <v>1</v>
      </c>
      <c r="GA15" s="66">
        <v>1</v>
      </c>
      <c r="GB15" s="66">
        <v>1</v>
      </c>
      <c r="GC15" s="66">
        <v>1</v>
      </c>
      <c r="GD15" s="63">
        <v>0</v>
      </c>
      <c r="GE15" s="63">
        <v>0</v>
      </c>
      <c r="GF15" s="63">
        <v>0</v>
      </c>
      <c r="GG15" s="63">
        <v>0</v>
      </c>
      <c r="GH15" s="63">
        <v>0</v>
      </c>
      <c r="GI15" s="63">
        <v>0</v>
      </c>
      <c r="GJ15" s="63">
        <v>0</v>
      </c>
      <c r="GK15" s="63">
        <v>0</v>
      </c>
      <c r="GL15" s="63">
        <v>0</v>
      </c>
      <c r="GM15" s="63">
        <v>0</v>
      </c>
      <c r="GN15" s="63">
        <v>0</v>
      </c>
      <c r="GO15" s="63">
        <v>0</v>
      </c>
      <c r="GP15" s="63">
        <v>0</v>
      </c>
      <c r="GQ15" s="63">
        <v>0</v>
      </c>
      <c r="GR15" s="63">
        <v>0</v>
      </c>
      <c r="GS15" s="63">
        <v>0</v>
      </c>
      <c r="GT15" s="63">
        <v>0</v>
      </c>
      <c r="GU15" s="63">
        <v>0</v>
      </c>
      <c r="GV15" s="63">
        <v>0</v>
      </c>
      <c r="GW15" s="63">
        <v>0</v>
      </c>
      <c r="GX15" s="63">
        <v>0</v>
      </c>
      <c r="GY15" s="63">
        <v>0</v>
      </c>
      <c r="GZ15" s="63">
        <v>0</v>
      </c>
      <c r="HA15" s="63">
        <v>0</v>
      </c>
      <c r="HB15" s="63">
        <v>0</v>
      </c>
      <c r="HC15" s="63">
        <v>0</v>
      </c>
      <c r="HD15" s="63">
        <v>0</v>
      </c>
      <c r="HE15" s="63">
        <v>0</v>
      </c>
      <c r="HF15" s="63">
        <v>0</v>
      </c>
      <c r="HG15" s="63">
        <v>0</v>
      </c>
      <c r="HH15" s="63"/>
      <c r="HI15" s="63"/>
      <c r="HJ15" s="63" t="s">
        <v>7242</v>
      </c>
      <c r="HK15" s="63">
        <f>SUM(C$4:HI$4)</f>
        <v>215</v>
      </c>
      <c r="HL15" s="61">
        <f>SUM(C15:HI15)</f>
        <v>11</v>
      </c>
      <c r="HM15" s="67">
        <f t="shared" si="1"/>
        <v>5.1162790697674421</v>
      </c>
      <c r="HN15" s="67"/>
      <c r="HO15" s="68">
        <v>0.06</v>
      </c>
      <c r="HP15" s="68">
        <v>0.1</v>
      </c>
      <c r="HQ15" s="61">
        <v>0.12</v>
      </c>
    </row>
    <row r="16" spans="1:236" x14ac:dyDescent="0.3">
      <c r="B16" s="63" t="s">
        <v>7243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1">
        <v>0</v>
      </c>
      <c r="I16" s="61">
        <v>0</v>
      </c>
      <c r="J16" s="61">
        <v>0</v>
      </c>
      <c r="K16" s="61">
        <v>0</v>
      </c>
      <c r="L16" s="61">
        <v>0</v>
      </c>
      <c r="M16" s="61">
        <v>0</v>
      </c>
      <c r="N16" s="61">
        <v>0</v>
      </c>
      <c r="O16" s="61">
        <v>0</v>
      </c>
      <c r="P16" s="61">
        <v>0</v>
      </c>
      <c r="Q16" s="61">
        <v>0</v>
      </c>
      <c r="R16" s="61">
        <v>0</v>
      </c>
      <c r="S16" s="61">
        <v>0</v>
      </c>
      <c r="T16" s="61">
        <v>0</v>
      </c>
      <c r="U16" s="61">
        <v>0</v>
      </c>
      <c r="V16" s="61">
        <v>0</v>
      </c>
      <c r="W16" s="61">
        <v>0</v>
      </c>
      <c r="X16" s="61">
        <v>0</v>
      </c>
      <c r="Y16" s="61">
        <v>0</v>
      </c>
      <c r="Z16" s="61">
        <v>0</v>
      </c>
      <c r="AA16" s="61">
        <v>0</v>
      </c>
      <c r="AB16" s="61">
        <v>0</v>
      </c>
      <c r="AC16" s="61">
        <v>0</v>
      </c>
      <c r="AD16" s="61">
        <v>0</v>
      </c>
      <c r="AE16" s="61">
        <v>0</v>
      </c>
      <c r="AF16" s="61">
        <v>0</v>
      </c>
      <c r="AG16" s="61">
        <v>0</v>
      </c>
      <c r="AH16" s="61">
        <v>0</v>
      </c>
      <c r="AI16" s="61">
        <v>0</v>
      </c>
      <c r="AJ16" s="61">
        <v>0</v>
      </c>
      <c r="AK16" s="61">
        <v>0</v>
      </c>
      <c r="AL16" s="61">
        <v>0</v>
      </c>
      <c r="AM16" s="61">
        <v>0</v>
      </c>
      <c r="AN16" s="61">
        <v>0</v>
      </c>
      <c r="AO16" s="61">
        <v>0</v>
      </c>
      <c r="AP16" s="61">
        <v>0</v>
      </c>
      <c r="AQ16" s="61">
        <v>0</v>
      </c>
      <c r="AR16" s="61">
        <v>0</v>
      </c>
      <c r="AS16" s="61">
        <v>0</v>
      </c>
      <c r="AT16" s="61">
        <v>0</v>
      </c>
      <c r="AU16" s="61">
        <v>0</v>
      </c>
      <c r="AV16" s="61">
        <v>0</v>
      </c>
      <c r="AW16" s="61">
        <v>0</v>
      </c>
      <c r="AX16" s="61">
        <v>0</v>
      </c>
      <c r="AY16" s="61">
        <v>0</v>
      </c>
      <c r="AZ16" s="61">
        <v>0</v>
      </c>
      <c r="BA16" s="61">
        <v>0</v>
      </c>
      <c r="BB16" s="61">
        <v>0</v>
      </c>
      <c r="BC16" s="61">
        <v>0</v>
      </c>
      <c r="BD16" s="61">
        <v>0</v>
      </c>
      <c r="BE16" s="61">
        <v>0</v>
      </c>
      <c r="BF16" s="61">
        <v>0</v>
      </c>
      <c r="BG16" s="61">
        <v>0</v>
      </c>
      <c r="BH16" s="61">
        <v>0</v>
      </c>
      <c r="BI16" s="61">
        <v>0</v>
      </c>
      <c r="BJ16" s="61">
        <v>0</v>
      </c>
      <c r="BK16" s="61">
        <v>0</v>
      </c>
      <c r="BL16" s="61">
        <v>0</v>
      </c>
      <c r="BM16" s="61">
        <v>0</v>
      </c>
      <c r="BN16" s="61">
        <v>0</v>
      </c>
      <c r="BO16" s="61">
        <v>0</v>
      </c>
      <c r="BP16" s="61">
        <v>0</v>
      </c>
      <c r="BQ16" s="61">
        <v>0</v>
      </c>
      <c r="BR16" s="61">
        <v>0</v>
      </c>
      <c r="BS16" s="61">
        <v>0</v>
      </c>
      <c r="BT16" s="61">
        <v>0</v>
      </c>
      <c r="BU16" s="61">
        <v>0</v>
      </c>
      <c r="BV16" s="61">
        <v>0</v>
      </c>
      <c r="BW16" s="61">
        <v>0</v>
      </c>
      <c r="BX16" s="61">
        <v>0</v>
      </c>
      <c r="BY16" s="61">
        <v>0</v>
      </c>
      <c r="BZ16" s="61">
        <v>0</v>
      </c>
      <c r="CA16" s="61">
        <v>0</v>
      </c>
      <c r="CB16" s="61">
        <v>0</v>
      </c>
      <c r="CC16" s="61">
        <v>0</v>
      </c>
      <c r="CD16" s="61">
        <v>0</v>
      </c>
      <c r="CE16" s="61">
        <v>0</v>
      </c>
      <c r="CF16" s="61">
        <v>0</v>
      </c>
      <c r="CG16" s="61">
        <v>0</v>
      </c>
      <c r="CH16" s="61">
        <v>0</v>
      </c>
      <c r="CI16" s="61">
        <v>0</v>
      </c>
      <c r="CJ16" s="61">
        <v>0</v>
      </c>
      <c r="CK16" s="61">
        <v>0</v>
      </c>
      <c r="CL16" s="61">
        <v>0</v>
      </c>
      <c r="CM16" s="61">
        <v>0</v>
      </c>
      <c r="CN16" s="61">
        <v>0</v>
      </c>
      <c r="CO16" s="61">
        <v>0</v>
      </c>
      <c r="CP16" s="61">
        <v>0</v>
      </c>
      <c r="CQ16" s="61">
        <v>0</v>
      </c>
      <c r="CR16" s="61">
        <v>0</v>
      </c>
      <c r="CS16" s="61">
        <v>0</v>
      </c>
      <c r="CT16" s="61">
        <v>0</v>
      </c>
      <c r="CU16" s="61">
        <v>0</v>
      </c>
      <c r="CV16" s="61">
        <v>0</v>
      </c>
      <c r="CW16" s="61">
        <v>0</v>
      </c>
      <c r="CX16" s="61">
        <v>0</v>
      </c>
      <c r="CY16" s="61">
        <v>0</v>
      </c>
      <c r="CZ16" s="61">
        <v>0</v>
      </c>
      <c r="DA16" s="61">
        <v>0</v>
      </c>
      <c r="DB16" s="61">
        <v>0</v>
      </c>
      <c r="DC16" s="61">
        <v>0</v>
      </c>
      <c r="DD16" s="61">
        <v>0</v>
      </c>
      <c r="DE16" s="61">
        <v>0</v>
      </c>
      <c r="DF16" s="61">
        <v>0</v>
      </c>
      <c r="DG16" s="61">
        <v>0</v>
      </c>
      <c r="DH16" s="61">
        <v>0</v>
      </c>
      <c r="DI16" s="61">
        <v>0</v>
      </c>
      <c r="DJ16" s="61">
        <v>0</v>
      </c>
      <c r="DK16" s="61">
        <v>0</v>
      </c>
      <c r="DL16" s="61">
        <v>0</v>
      </c>
      <c r="DM16" s="61">
        <v>0</v>
      </c>
      <c r="DN16" s="61">
        <v>0</v>
      </c>
      <c r="DO16" s="61">
        <v>0</v>
      </c>
      <c r="DP16" s="61">
        <v>0</v>
      </c>
      <c r="DQ16" s="61">
        <v>0</v>
      </c>
      <c r="DR16" s="61">
        <v>0</v>
      </c>
      <c r="DS16" s="61">
        <v>0</v>
      </c>
      <c r="DT16" s="61">
        <v>0</v>
      </c>
      <c r="DU16" s="61">
        <v>0</v>
      </c>
      <c r="DV16" s="61">
        <v>0</v>
      </c>
      <c r="DW16" s="61">
        <v>0</v>
      </c>
      <c r="DX16" s="61">
        <v>0</v>
      </c>
      <c r="DY16" s="61">
        <v>0</v>
      </c>
      <c r="DZ16" s="61">
        <v>0</v>
      </c>
      <c r="EA16" s="61">
        <v>0</v>
      </c>
      <c r="EB16" s="61">
        <v>0</v>
      </c>
      <c r="EC16" s="61">
        <v>0</v>
      </c>
      <c r="ED16" s="61">
        <v>0</v>
      </c>
      <c r="EE16" s="61">
        <v>0</v>
      </c>
      <c r="EF16" s="61">
        <v>0</v>
      </c>
      <c r="EG16" s="61">
        <v>0</v>
      </c>
      <c r="EH16" s="61">
        <v>0</v>
      </c>
      <c r="EI16" s="61">
        <v>0</v>
      </c>
      <c r="EJ16" s="61">
        <v>0</v>
      </c>
      <c r="EK16" s="61">
        <v>0</v>
      </c>
      <c r="EL16" s="61">
        <v>0</v>
      </c>
      <c r="EM16" s="61">
        <v>0</v>
      </c>
      <c r="EN16" s="61">
        <v>0</v>
      </c>
      <c r="EO16" s="61">
        <v>0</v>
      </c>
      <c r="EP16" s="61">
        <v>0</v>
      </c>
      <c r="EQ16" s="61">
        <v>0</v>
      </c>
      <c r="ER16" s="61">
        <v>0</v>
      </c>
      <c r="ES16" s="61">
        <v>0</v>
      </c>
      <c r="ET16" s="61">
        <v>0</v>
      </c>
      <c r="EU16" s="61">
        <v>0</v>
      </c>
      <c r="EV16" s="61">
        <v>0</v>
      </c>
      <c r="EW16" s="61">
        <v>0</v>
      </c>
      <c r="EX16" s="61">
        <v>0</v>
      </c>
      <c r="EY16" s="61">
        <v>0</v>
      </c>
      <c r="EZ16" s="61">
        <v>0</v>
      </c>
      <c r="FA16" s="61">
        <v>0</v>
      </c>
      <c r="FB16" s="61">
        <v>0</v>
      </c>
      <c r="FC16" s="61">
        <v>0</v>
      </c>
      <c r="FD16" s="61">
        <v>0</v>
      </c>
      <c r="FE16" s="61">
        <v>0</v>
      </c>
      <c r="FF16" s="61">
        <v>0</v>
      </c>
      <c r="FG16" s="61">
        <v>0</v>
      </c>
      <c r="FH16" s="61">
        <v>0</v>
      </c>
      <c r="FI16" s="61">
        <v>0</v>
      </c>
      <c r="FJ16" s="61">
        <v>0</v>
      </c>
      <c r="FK16" s="61">
        <v>0</v>
      </c>
      <c r="FL16" s="65">
        <v>0</v>
      </c>
      <c r="FM16" s="61">
        <v>0</v>
      </c>
      <c r="FN16" s="61">
        <v>0</v>
      </c>
      <c r="FO16" s="61">
        <v>0</v>
      </c>
      <c r="FP16" s="61">
        <v>0</v>
      </c>
      <c r="FQ16" s="61">
        <v>0</v>
      </c>
      <c r="FR16" s="61">
        <v>0</v>
      </c>
      <c r="FS16" s="61">
        <v>0</v>
      </c>
      <c r="FT16" s="61">
        <v>0</v>
      </c>
      <c r="FU16" s="61">
        <v>0</v>
      </c>
      <c r="FV16" s="63">
        <v>0</v>
      </c>
      <c r="FW16" s="63">
        <v>0</v>
      </c>
      <c r="FX16" s="63">
        <v>0</v>
      </c>
      <c r="FY16" s="63">
        <v>0</v>
      </c>
      <c r="FZ16" s="63">
        <v>0</v>
      </c>
      <c r="GA16" s="63">
        <v>0</v>
      </c>
      <c r="GB16" s="61">
        <v>0</v>
      </c>
      <c r="GC16" s="61">
        <v>0</v>
      </c>
      <c r="GD16" s="66">
        <v>1</v>
      </c>
      <c r="GE16" s="66">
        <v>1</v>
      </c>
      <c r="GF16" s="66">
        <v>1</v>
      </c>
      <c r="GG16" s="66">
        <v>1</v>
      </c>
      <c r="GH16" s="66">
        <v>1</v>
      </c>
      <c r="GI16" s="66">
        <v>1</v>
      </c>
      <c r="GJ16" s="66">
        <v>1</v>
      </c>
      <c r="GK16" s="66">
        <v>1</v>
      </c>
      <c r="GL16" s="66">
        <v>1</v>
      </c>
      <c r="GM16" s="66">
        <v>1</v>
      </c>
      <c r="GN16" s="66">
        <v>1</v>
      </c>
      <c r="GO16" s="66">
        <v>1</v>
      </c>
      <c r="GP16" s="61">
        <v>0</v>
      </c>
      <c r="GQ16" s="61">
        <v>0</v>
      </c>
      <c r="GR16" s="61">
        <v>0</v>
      </c>
      <c r="GS16" s="61">
        <v>0</v>
      </c>
      <c r="GT16" s="61">
        <v>0</v>
      </c>
      <c r="GU16" s="63">
        <v>0</v>
      </c>
      <c r="GV16" s="63">
        <v>0</v>
      </c>
      <c r="GW16" s="63">
        <v>0</v>
      </c>
      <c r="GX16" s="63">
        <v>0</v>
      </c>
      <c r="GY16" s="63">
        <v>0</v>
      </c>
      <c r="GZ16" s="63">
        <v>0</v>
      </c>
      <c r="HA16" s="63">
        <v>0</v>
      </c>
      <c r="HB16" s="63">
        <v>0</v>
      </c>
      <c r="HC16" s="63">
        <v>0</v>
      </c>
      <c r="HD16" s="63">
        <v>0</v>
      </c>
      <c r="HE16" s="63">
        <v>0</v>
      </c>
      <c r="HF16" s="63">
        <v>0</v>
      </c>
      <c r="HG16" s="63">
        <v>0</v>
      </c>
      <c r="HH16" s="63"/>
      <c r="HI16" s="63"/>
      <c r="HJ16" s="63">
        <v>1964</v>
      </c>
      <c r="HK16" s="63">
        <f>SUM(FK$4:HI$4)</f>
        <v>51</v>
      </c>
      <c r="HL16" s="61">
        <f>SUM(FK16:HI16)</f>
        <v>12</v>
      </c>
      <c r="HM16" s="67">
        <f t="shared" si="1"/>
        <v>23.529411764705884</v>
      </c>
      <c r="HN16" s="67"/>
      <c r="HO16" s="68">
        <v>0</v>
      </c>
      <c r="HP16" s="68">
        <v>0.02</v>
      </c>
      <c r="HQ16" s="61">
        <v>0.02</v>
      </c>
    </row>
    <row r="17" spans="1:227" x14ac:dyDescent="0.3">
      <c r="B17" s="63" t="s">
        <v>7244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1">
        <v>0</v>
      </c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61">
        <v>0</v>
      </c>
      <c r="Y17" s="61">
        <v>0</v>
      </c>
      <c r="Z17" s="61">
        <v>0</v>
      </c>
      <c r="AA17" s="61">
        <v>0</v>
      </c>
      <c r="AB17" s="61">
        <v>0</v>
      </c>
      <c r="AC17" s="61">
        <v>0</v>
      </c>
      <c r="AD17" s="61">
        <v>0</v>
      </c>
      <c r="AE17" s="61">
        <v>0</v>
      </c>
      <c r="AF17" s="61">
        <v>0</v>
      </c>
      <c r="AG17" s="61">
        <v>0</v>
      </c>
      <c r="AH17" s="61">
        <v>0</v>
      </c>
      <c r="AI17" s="61">
        <v>0</v>
      </c>
      <c r="AJ17" s="61">
        <v>0</v>
      </c>
      <c r="AK17" s="61">
        <v>0</v>
      </c>
      <c r="AL17" s="61">
        <v>0</v>
      </c>
      <c r="AM17" s="61">
        <v>0</v>
      </c>
      <c r="AN17" s="61">
        <v>0</v>
      </c>
      <c r="AO17" s="61">
        <v>0</v>
      </c>
      <c r="AP17" s="61">
        <v>0</v>
      </c>
      <c r="AQ17" s="61">
        <v>0</v>
      </c>
      <c r="AR17" s="61">
        <v>0</v>
      </c>
      <c r="AS17" s="61">
        <v>0</v>
      </c>
      <c r="AT17" s="61">
        <v>0</v>
      </c>
      <c r="AU17" s="61">
        <v>0</v>
      </c>
      <c r="AV17" s="61">
        <v>0</v>
      </c>
      <c r="AW17" s="61">
        <v>0</v>
      </c>
      <c r="AX17" s="61">
        <v>0</v>
      </c>
      <c r="AY17" s="61">
        <v>0</v>
      </c>
      <c r="AZ17" s="61">
        <v>0</v>
      </c>
      <c r="BA17" s="61">
        <v>0</v>
      </c>
      <c r="BB17" s="61">
        <v>0</v>
      </c>
      <c r="BC17" s="61">
        <v>0</v>
      </c>
      <c r="BD17" s="61">
        <v>0</v>
      </c>
      <c r="BE17" s="61">
        <v>0</v>
      </c>
      <c r="BF17" s="61">
        <v>0</v>
      </c>
      <c r="BG17" s="61">
        <v>0</v>
      </c>
      <c r="BH17" s="61">
        <v>0</v>
      </c>
      <c r="BI17" s="61">
        <v>0</v>
      </c>
      <c r="BJ17" s="61">
        <v>0</v>
      </c>
      <c r="BK17" s="61">
        <v>0</v>
      </c>
      <c r="BL17" s="61">
        <v>0</v>
      </c>
      <c r="BM17" s="61">
        <v>0</v>
      </c>
      <c r="BN17" s="61">
        <v>0</v>
      </c>
      <c r="BO17" s="61">
        <v>0</v>
      </c>
      <c r="BP17" s="61">
        <v>0</v>
      </c>
      <c r="BQ17" s="61">
        <v>0</v>
      </c>
      <c r="BR17" s="61">
        <v>0</v>
      </c>
      <c r="BS17" s="61">
        <v>0</v>
      </c>
      <c r="BT17" s="61">
        <v>0</v>
      </c>
      <c r="BU17" s="61">
        <v>0</v>
      </c>
      <c r="BV17" s="61">
        <v>0</v>
      </c>
      <c r="BW17" s="61">
        <v>0</v>
      </c>
      <c r="BX17" s="61">
        <v>0</v>
      </c>
      <c r="BY17" s="61">
        <v>0</v>
      </c>
      <c r="BZ17" s="61">
        <v>0</v>
      </c>
      <c r="CA17" s="61">
        <v>0</v>
      </c>
      <c r="CB17" s="61">
        <v>0</v>
      </c>
      <c r="CC17" s="61">
        <v>0</v>
      </c>
      <c r="CD17" s="61">
        <v>0</v>
      </c>
      <c r="CE17" s="61">
        <v>0</v>
      </c>
      <c r="CF17" s="61">
        <v>0</v>
      </c>
      <c r="CG17" s="61">
        <v>0</v>
      </c>
      <c r="CH17" s="61">
        <v>0</v>
      </c>
      <c r="CI17" s="61">
        <v>0</v>
      </c>
      <c r="CJ17" s="61">
        <v>0</v>
      </c>
      <c r="CK17" s="61">
        <v>0</v>
      </c>
      <c r="CL17" s="61">
        <v>0</v>
      </c>
      <c r="CM17" s="61">
        <v>0</v>
      </c>
      <c r="CN17" s="61">
        <v>0</v>
      </c>
      <c r="CO17" s="61">
        <v>0</v>
      </c>
      <c r="CP17" s="61">
        <v>0</v>
      </c>
      <c r="CQ17" s="61">
        <v>0</v>
      </c>
      <c r="CR17" s="61">
        <v>0</v>
      </c>
      <c r="CS17" s="61">
        <v>0</v>
      </c>
      <c r="CT17" s="61">
        <v>0</v>
      </c>
      <c r="CU17" s="61">
        <v>0</v>
      </c>
      <c r="CV17" s="61">
        <v>0</v>
      </c>
      <c r="CW17" s="61">
        <v>0</v>
      </c>
      <c r="CX17" s="61">
        <v>0</v>
      </c>
      <c r="CY17" s="61">
        <v>0</v>
      </c>
      <c r="CZ17" s="61">
        <v>0</v>
      </c>
      <c r="DA17" s="61">
        <v>0</v>
      </c>
      <c r="DB17" s="61">
        <v>0</v>
      </c>
      <c r="DC17" s="61">
        <v>0</v>
      </c>
      <c r="DD17" s="61">
        <v>0</v>
      </c>
      <c r="DE17" s="61">
        <v>0</v>
      </c>
      <c r="DF17" s="61">
        <v>0</v>
      </c>
      <c r="DG17" s="61">
        <v>0</v>
      </c>
      <c r="DH17" s="61">
        <v>0</v>
      </c>
      <c r="DI17" s="61">
        <v>0</v>
      </c>
      <c r="DJ17" s="61">
        <v>0</v>
      </c>
      <c r="DK17" s="61">
        <v>0</v>
      </c>
      <c r="DL17" s="61">
        <v>0</v>
      </c>
      <c r="DM17" s="61">
        <v>0</v>
      </c>
      <c r="DN17" s="61">
        <v>0</v>
      </c>
      <c r="DO17" s="61">
        <v>0</v>
      </c>
      <c r="DP17" s="61">
        <v>0</v>
      </c>
      <c r="DQ17" s="61">
        <v>0</v>
      </c>
      <c r="DR17" s="61">
        <v>0</v>
      </c>
      <c r="DS17" s="61">
        <v>0</v>
      </c>
      <c r="DT17" s="61">
        <v>0</v>
      </c>
      <c r="DU17" s="61">
        <v>0</v>
      </c>
      <c r="DV17" s="61">
        <v>0</v>
      </c>
      <c r="DW17" s="61">
        <v>0</v>
      </c>
      <c r="DX17" s="61">
        <v>0</v>
      </c>
      <c r="DY17" s="61">
        <v>0</v>
      </c>
      <c r="DZ17" s="61">
        <v>0</v>
      </c>
      <c r="EA17" s="61">
        <v>0</v>
      </c>
      <c r="EB17" s="61">
        <v>0</v>
      </c>
      <c r="EC17" s="61">
        <v>0</v>
      </c>
      <c r="ED17" s="61">
        <v>0</v>
      </c>
      <c r="EE17" s="61">
        <v>0</v>
      </c>
      <c r="EF17" s="61">
        <v>0</v>
      </c>
      <c r="EG17" s="61">
        <v>0</v>
      </c>
      <c r="EH17" s="61">
        <v>0</v>
      </c>
      <c r="EI17" s="61">
        <v>0</v>
      </c>
      <c r="EJ17" s="61">
        <v>0</v>
      </c>
      <c r="EK17" s="61">
        <v>0</v>
      </c>
      <c r="EL17" s="61">
        <v>0</v>
      </c>
      <c r="EM17" s="61">
        <v>0</v>
      </c>
      <c r="EN17" s="61">
        <v>0</v>
      </c>
      <c r="EO17" s="61">
        <v>0</v>
      </c>
      <c r="EP17" s="61">
        <v>0</v>
      </c>
      <c r="EQ17" s="61">
        <v>0</v>
      </c>
      <c r="ER17" s="61">
        <v>0</v>
      </c>
      <c r="ES17" s="61">
        <v>0</v>
      </c>
      <c r="ET17" s="61">
        <v>0</v>
      </c>
      <c r="EU17" s="61">
        <v>0</v>
      </c>
      <c r="EV17" s="61">
        <v>0</v>
      </c>
      <c r="EW17" s="61">
        <v>0</v>
      </c>
      <c r="EX17" s="61">
        <v>0</v>
      </c>
      <c r="EY17" s="61">
        <v>0</v>
      </c>
      <c r="EZ17" s="61">
        <v>0</v>
      </c>
      <c r="FA17" s="61">
        <v>0</v>
      </c>
      <c r="FB17" s="61">
        <v>0</v>
      </c>
      <c r="FC17" s="61">
        <v>0</v>
      </c>
      <c r="FD17" s="61">
        <v>0</v>
      </c>
      <c r="FE17" s="61">
        <v>0</v>
      </c>
      <c r="FF17" s="61">
        <v>0</v>
      </c>
      <c r="FG17" s="61">
        <v>0</v>
      </c>
      <c r="FH17" s="61">
        <v>0</v>
      </c>
      <c r="FI17" s="61">
        <v>0</v>
      </c>
      <c r="FJ17" s="61">
        <v>0</v>
      </c>
      <c r="FK17" s="65">
        <v>0</v>
      </c>
      <c r="FL17" s="66">
        <v>1</v>
      </c>
      <c r="FM17" s="66">
        <v>1</v>
      </c>
      <c r="FN17" s="66">
        <v>1</v>
      </c>
      <c r="FO17" s="66">
        <v>1</v>
      </c>
      <c r="FP17" s="66">
        <v>1</v>
      </c>
      <c r="FQ17" s="66">
        <v>1</v>
      </c>
      <c r="FR17" s="66">
        <v>1</v>
      </c>
      <c r="FS17" s="66">
        <v>1</v>
      </c>
      <c r="FT17" s="66">
        <v>1</v>
      </c>
      <c r="FU17" s="66">
        <v>1</v>
      </c>
      <c r="FV17" s="66">
        <v>1</v>
      </c>
      <c r="FW17" s="66">
        <v>1</v>
      </c>
      <c r="FX17" s="66">
        <v>1</v>
      </c>
      <c r="FY17" s="66">
        <v>1</v>
      </c>
      <c r="FZ17" s="66">
        <v>1</v>
      </c>
      <c r="GA17" s="66">
        <v>1</v>
      </c>
      <c r="GB17" s="61">
        <v>0</v>
      </c>
      <c r="GC17" s="61">
        <v>0</v>
      </c>
      <c r="GD17" s="61">
        <v>0</v>
      </c>
      <c r="GE17" s="61">
        <v>0</v>
      </c>
      <c r="GF17" s="61">
        <v>0</v>
      </c>
      <c r="GG17" s="61">
        <v>0</v>
      </c>
      <c r="GH17" s="61">
        <v>0</v>
      </c>
      <c r="GI17" s="61">
        <v>0</v>
      </c>
      <c r="GJ17" s="61">
        <v>0</v>
      </c>
      <c r="GK17" s="61">
        <v>0</v>
      </c>
      <c r="GL17" s="61">
        <v>0</v>
      </c>
      <c r="GM17" s="61">
        <v>0</v>
      </c>
      <c r="GN17" s="61">
        <v>0</v>
      </c>
      <c r="GO17" s="61">
        <v>0</v>
      </c>
      <c r="GP17" s="61">
        <v>0</v>
      </c>
      <c r="GQ17" s="61">
        <v>0</v>
      </c>
      <c r="GR17" s="61">
        <v>0</v>
      </c>
      <c r="GS17" s="61">
        <v>0</v>
      </c>
      <c r="GT17" s="61">
        <v>0</v>
      </c>
      <c r="GU17" s="66">
        <v>1</v>
      </c>
      <c r="GV17" s="66">
        <v>1</v>
      </c>
      <c r="GW17" s="66">
        <v>1</v>
      </c>
      <c r="GX17" s="66">
        <v>1</v>
      </c>
      <c r="GY17" s="66">
        <v>1</v>
      </c>
      <c r="GZ17" s="66">
        <v>1</v>
      </c>
      <c r="HA17" s="66">
        <v>1</v>
      </c>
      <c r="HB17" s="66">
        <v>1</v>
      </c>
      <c r="HC17" s="66">
        <v>1</v>
      </c>
      <c r="HD17" s="66">
        <v>1</v>
      </c>
      <c r="HE17" s="66">
        <v>1</v>
      </c>
      <c r="HF17" s="66">
        <v>1</v>
      </c>
      <c r="HG17" s="66">
        <v>1</v>
      </c>
      <c r="HH17" s="66"/>
      <c r="HI17" s="66"/>
      <c r="HJ17" s="63">
        <v>1965</v>
      </c>
      <c r="HK17" s="63">
        <f>SUM(FL4:HI$4)</f>
        <v>50</v>
      </c>
      <c r="HL17" s="61">
        <f>SUM(FL17:HI17)</f>
        <v>29</v>
      </c>
      <c r="HM17" s="67">
        <f t="shared" si="1"/>
        <v>58</v>
      </c>
      <c r="HN17" s="67"/>
      <c r="HO17" s="68">
        <v>0</v>
      </c>
      <c r="HP17" s="68">
        <v>0.05</v>
      </c>
      <c r="HQ17" s="61">
        <v>0.03</v>
      </c>
      <c r="HS17" s="61" t="s">
        <v>7231</v>
      </c>
    </row>
    <row r="18" spans="1:227" x14ac:dyDescent="0.3">
      <c r="A18" s="61" t="s">
        <v>7245</v>
      </c>
      <c r="B18" s="61" t="s">
        <v>7246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1">
        <v>0</v>
      </c>
      <c r="V18" s="61">
        <v>0</v>
      </c>
      <c r="W18" s="61">
        <v>0</v>
      </c>
      <c r="X18" s="61">
        <v>0</v>
      </c>
      <c r="Y18" s="61">
        <v>0</v>
      </c>
      <c r="Z18" s="61">
        <v>0</v>
      </c>
      <c r="AA18" s="61">
        <v>0</v>
      </c>
      <c r="AB18" s="61">
        <v>0</v>
      </c>
      <c r="AC18" s="61">
        <v>0</v>
      </c>
      <c r="AD18" s="61">
        <v>0</v>
      </c>
      <c r="AE18" s="61">
        <v>0</v>
      </c>
      <c r="AF18" s="61">
        <v>0</v>
      </c>
      <c r="AG18" s="61">
        <v>0</v>
      </c>
      <c r="AH18" s="61">
        <v>0</v>
      </c>
      <c r="AI18" s="61">
        <v>0</v>
      </c>
      <c r="AJ18" s="61">
        <v>0</v>
      </c>
      <c r="AK18" s="61">
        <v>0</v>
      </c>
      <c r="AL18" s="61">
        <v>0</v>
      </c>
      <c r="AM18" s="61">
        <v>0</v>
      </c>
      <c r="AN18" s="61">
        <v>0</v>
      </c>
      <c r="AO18" s="61">
        <v>0</v>
      </c>
      <c r="AP18" s="61">
        <v>0</v>
      </c>
      <c r="AQ18" s="61">
        <v>0</v>
      </c>
      <c r="AR18" s="61">
        <v>0</v>
      </c>
      <c r="AS18" s="61">
        <v>0</v>
      </c>
      <c r="AT18" s="61">
        <v>0</v>
      </c>
      <c r="AU18" s="61">
        <v>0</v>
      </c>
      <c r="AV18" s="61">
        <v>0</v>
      </c>
      <c r="AW18" s="61">
        <v>0</v>
      </c>
      <c r="AX18" s="61">
        <v>0</v>
      </c>
      <c r="AY18" s="61">
        <v>0</v>
      </c>
      <c r="AZ18" s="61">
        <v>0</v>
      </c>
      <c r="BA18" s="61">
        <v>0</v>
      </c>
      <c r="BB18" s="61">
        <v>0</v>
      </c>
      <c r="BC18" s="61">
        <v>0</v>
      </c>
      <c r="BD18" s="61">
        <v>0</v>
      </c>
      <c r="BE18" s="61">
        <v>0</v>
      </c>
      <c r="BF18" s="61">
        <v>0</v>
      </c>
      <c r="BG18" s="61">
        <v>0</v>
      </c>
      <c r="BH18" s="61">
        <v>0</v>
      </c>
      <c r="BI18" s="61">
        <v>0</v>
      </c>
      <c r="BJ18" s="61">
        <v>0</v>
      </c>
      <c r="BK18" s="61">
        <v>0</v>
      </c>
      <c r="BL18" s="61">
        <v>0</v>
      </c>
      <c r="BM18" s="61">
        <v>0</v>
      </c>
      <c r="BN18" s="61">
        <v>0</v>
      </c>
      <c r="BO18" s="61">
        <v>0</v>
      </c>
      <c r="BP18" s="61">
        <v>0</v>
      </c>
      <c r="BQ18" s="61">
        <v>0</v>
      </c>
      <c r="BR18" s="61">
        <v>0</v>
      </c>
      <c r="BS18" s="61">
        <v>0</v>
      </c>
      <c r="BT18" s="61">
        <v>0</v>
      </c>
      <c r="BU18" s="61">
        <v>0</v>
      </c>
      <c r="BV18" s="61">
        <v>0</v>
      </c>
      <c r="BW18" s="61">
        <v>0</v>
      </c>
      <c r="BX18" s="61">
        <v>0</v>
      </c>
      <c r="BY18" s="61">
        <v>0</v>
      </c>
      <c r="BZ18" s="61">
        <v>0</v>
      </c>
      <c r="CA18" s="61">
        <v>0</v>
      </c>
      <c r="CB18" s="61">
        <v>0</v>
      </c>
      <c r="CC18" s="61">
        <v>0</v>
      </c>
      <c r="CD18" s="61">
        <v>0</v>
      </c>
      <c r="CE18" s="61">
        <v>0</v>
      </c>
      <c r="CF18" s="61">
        <v>0</v>
      </c>
      <c r="CG18" s="61">
        <v>0</v>
      </c>
      <c r="CH18" s="61">
        <v>0</v>
      </c>
      <c r="CI18" s="61">
        <v>0</v>
      </c>
      <c r="CJ18" s="61">
        <v>0</v>
      </c>
      <c r="CK18" s="61">
        <v>0</v>
      </c>
      <c r="CL18" s="61">
        <v>0</v>
      </c>
      <c r="CM18" s="61">
        <v>0</v>
      </c>
      <c r="CN18" s="61">
        <v>0</v>
      </c>
      <c r="CO18" s="61">
        <v>0</v>
      </c>
      <c r="CP18" s="61">
        <v>0</v>
      </c>
      <c r="CQ18" s="61">
        <v>0</v>
      </c>
      <c r="CR18" s="61">
        <v>0</v>
      </c>
      <c r="CS18" s="61">
        <v>0</v>
      </c>
      <c r="CT18" s="61">
        <v>0</v>
      </c>
      <c r="CU18" s="61">
        <v>0</v>
      </c>
      <c r="CV18" s="61">
        <v>0</v>
      </c>
      <c r="CW18" s="61">
        <v>0</v>
      </c>
      <c r="CX18" s="61">
        <v>0</v>
      </c>
      <c r="CY18" s="61">
        <v>0</v>
      </c>
      <c r="CZ18" s="61">
        <v>0</v>
      </c>
      <c r="DA18" s="61">
        <v>0</v>
      </c>
      <c r="DB18" s="61">
        <v>0</v>
      </c>
      <c r="DC18" s="61">
        <v>0</v>
      </c>
      <c r="DD18" s="61">
        <v>0</v>
      </c>
      <c r="DE18" s="61">
        <v>0</v>
      </c>
      <c r="DF18" s="61">
        <v>0</v>
      </c>
      <c r="DG18" s="61">
        <v>0</v>
      </c>
      <c r="DH18" s="61">
        <v>0</v>
      </c>
      <c r="DI18" s="61">
        <v>0</v>
      </c>
      <c r="DJ18" s="61">
        <v>0</v>
      </c>
      <c r="DK18" s="61">
        <v>0</v>
      </c>
      <c r="DL18" s="61">
        <v>0</v>
      </c>
      <c r="DM18" s="61">
        <v>0</v>
      </c>
      <c r="DN18" s="61">
        <v>0</v>
      </c>
      <c r="DO18" s="61">
        <v>0</v>
      </c>
      <c r="DP18" s="61">
        <v>0</v>
      </c>
      <c r="DQ18" s="61">
        <v>0</v>
      </c>
      <c r="DR18" s="61">
        <v>0</v>
      </c>
      <c r="DS18" s="61">
        <v>0</v>
      </c>
      <c r="DT18" s="66">
        <v>1</v>
      </c>
      <c r="DU18" s="66">
        <v>1</v>
      </c>
      <c r="DV18" s="66">
        <v>1</v>
      </c>
      <c r="DW18" s="66">
        <v>1</v>
      </c>
      <c r="DX18" s="66">
        <v>1</v>
      </c>
      <c r="DY18" s="66">
        <v>1</v>
      </c>
      <c r="DZ18" s="66">
        <v>1</v>
      </c>
      <c r="EA18" s="66">
        <v>1</v>
      </c>
      <c r="EB18" s="66">
        <v>1</v>
      </c>
      <c r="EC18" s="66">
        <v>1</v>
      </c>
      <c r="ED18" s="66">
        <v>1</v>
      </c>
      <c r="EE18" s="66">
        <v>1</v>
      </c>
      <c r="EF18" s="66">
        <v>1</v>
      </c>
      <c r="EG18" s="66">
        <v>1</v>
      </c>
      <c r="EH18" s="66">
        <v>1</v>
      </c>
      <c r="EI18" s="66">
        <v>1</v>
      </c>
      <c r="EJ18" s="61">
        <v>0</v>
      </c>
      <c r="EK18" s="61">
        <v>0</v>
      </c>
      <c r="EL18" s="66">
        <v>1</v>
      </c>
      <c r="EM18" s="66">
        <v>1</v>
      </c>
      <c r="EN18" s="66">
        <v>1</v>
      </c>
      <c r="EO18" s="66">
        <v>1</v>
      </c>
      <c r="EP18" s="66">
        <v>1</v>
      </c>
      <c r="EQ18" s="66">
        <v>1</v>
      </c>
      <c r="ER18" s="66">
        <v>1</v>
      </c>
      <c r="ES18" s="66">
        <v>1</v>
      </c>
      <c r="ET18" s="66">
        <v>1</v>
      </c>
      <c r="EU18" s="66">
        <v>1</v>
      </c>
      <c r="EV18" s="66">
        <v>1</v>
      </c>
      <c r="EW18" s="61">
        <v>0</v>
      </c>
      <c r="EX18" s="61">
        <v>0</v>
      </c>
      <c r="EY18" s="61">
        <v>0</v>
      </c>
      <c r="EZ18" s="61">
        <v>0</v>
      </c>
      <c r="FA18" s="61">
        <v>0</v>
      </c>
      <c r="FB18" s="61">
        <v>0</v>
      </c>
      <c r="FC18" s="61">
        <v>0</v>
      </c>
      <c r="FD18" s="61">
        <v>0</v>
      </c>
      <c r="FE18" s="61">
        <v>0</v>
      </c>
      <c r="FF18" s="61">
        <v>0</v>
      </c>
      <c r="FG18" s="61">
        <v>0</v>
      </c>
      <c r="FH18" s="61">
        <v>0</v>
      </c>
      <c r="FI18" s="61">
        <v>0</v>
      </c>
      <c r="FJ18" s="61">
        <v>0</v>
      </c>
      <c r="FK18" s="61">
        <v>0</v>
      </c>
      <c r="FL18" s="61">
        <v>0</v>
      </c>
      <c r="FM18" s="61">
        <v>0</v>
      </c>
      <c r="FN18" s="61">
        <v>0</v>
      </c>
      <c r="FO18" s="61">
        <v>0</v>
      </c>
      <c r="FP18" s="61">
        <v>0</v>
      </c>
      <c r="FQ18" s="61">
        <v>0</v>
      </c>
      <c r="FR18" s="61">
        <v>0</v>
      </c>
      <c r="FS18" s="61">
        <v>0</v>
      </c>
      <c r="FT18" s="61">
        <v>0</v>
      </c>
      <c r="FU18" s="61">
        <v>0</v>
      </c>
      <c r="FV18" s="63">
        <v>0</v>
      </c>
      <c r="FW18" s="63">
        <v>0</v>
      </c>
      <c r="FX18" s="63">
        <v>0</v>
      </c>
      <c r="FY18" s="63">
        <v>0</v>
      </c>
      <c r="FZ18" s="63">
        <v>0</v>
      </c>
      <c r="GA18" s="63">
        <v>0</v>
      </c>
      <c r="GB18" s="63">
        <v>0</v>
      </c>
      <c r="GC18" s="63">
        <v>0</v>
      </c>
      <c r="GD18" s="63">
        <v>0</v>
      </c>
      <c r="GE18" s="63">
        <v>0</v>
      </c>
      <c r="GF18" s="63">
        <v>0</v>
      </c>
      <c r="GG18" s="63">
        <v>0</v>
      </c>
      <c r="GH18" s="63">
        <v>0</v>
      </c>
      <c r="GI18" s="63">
        <v>0</v>
      </c>
      <c r="GJ18" s="63">
        <v>0</v>
      </c>
      <c r="GK18" s="63">
        <v>0</v>
      </c>
      <c r="GL18" s="63">
        <v>0</v>
      </c>
      <c r="GM18" s="63">
        <v>0</v>
      </c>
      <c r="GN18" s="63">
        <v>0</v>
      </c>
      <c r="GO18" s="63">
        <v>0</v>
      </c>
      <c r="GP18" s="63">
        <v>0</v>
      </c>
      <c r="GQ18" s="63">
        <v>0</v>
      </c>
      <c r="GR18" s="63">
        <v>0</v>
      </c>
      <c r="GS18" s="63">
        <v>0</v>
      </c>
      <c r="GT18" s="63">
        <v>0</v>
      </c>
      <c r="GU18" s="63">
        <v>0</v>
      </c>
      <c r="GV18" s="63">
        <v>0</v>
      </c>
      <c r="GW18" s="63">
        <v>0</v>
      </c>
      <c r="GX18" s="63">
        <v>0</v>
      </c>
      <c r="GY18" s="63">
        <v>0</v>
      </c>
      <c r="GZ18" s="63">
        <v>0</v>
      </c>
      <c r="HA18" s="63">
        <v>0</v>
      </c>
      <c r="HB18" s="63">
        <v>0</v>
      </c>
      <c r="HC18" s="63">
        <v>0</v>
      </c>
      <c r="HD18" s="63">
        <v>0</v>
      </c>
      <c r="HE18" s="63">
        <v>0</v>
      </c>
      <c r="HF18" s="63">
        <v>0</v>
      </c>
      <c r="HG18" s="63">
        <v>0</v>
      </c>
      <c r="HH18" s="63">
        <v>0</v>
      </c>
      <c r="HI18" s="63">
        <v>0</v>
      </c>
      <c r="HJ18" s="63">
        <v>1368</v>
      </c>
      <c r="HK18" s="63">
        <f>SUM(C$4:HI$4)</f>
        <v>215</v>
      </c>
      <c r="HL18" s="61">
        <f>SUM(C18:HI18)</f>
        <v>27</v>
      </c>
      <c r="HM18" s="67">
        <f t="shared" si="1"/>
        <v>12.55813953488372</v>
      </c>
      <c r="HN18" s="67"/>
      <c r="HO18" s="68">
        <v>8.83</v>
      </c>
      <c r="HP18" s="68">
        <v>7.7</v>
      </c>
      <c r="HQ18" s="61">
        <v>14.6</v>
      </c>
    </row>
    <row r="19" spans="1:227" x14ac:dyDescent="0.3">
      <c r="B19" s="63" t="s">
        <v>7247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1">
        <v>0</v>
      </c>
      <c r="I19" s="61">
        <v>0</v>
      </c>
      <c r="J19" s="61">
        <v>0</v>
      </c>
      <c r="K19" s="61">
        <v>0</v>
      </c>
      <c r="L19" s="61">
        <v>0</v>
      </c>
      <c r="M19" s="61">
        <v>0</v>
      </c>
      <c r="N19" s="61">
        <v>0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  <c r="V19" s="61">
        <v>0</v>
      </c>
      <c r="W19" s="61">
        <v>0</v>
      </c>
      <c r="X19" s="61">
        <v>0</v>
      </c>
      <c r="Y19" s="61">
        <v>0</v>
      </c>
      <c r="Z19" s="61">
        <v>0</v>
      </c>
      <c r="AA19" s="61">
        <v>0</v>
      </c>
      <c r="AB19" s="61">
        <v>0</v>
      </c>
      <c r="AC19" s="61">
        <v>0</v>
      </c>
      <c r="AD19" s="61">
        <v>0</v>
      </c>
      <c r="AE19" s="61">
        <v>0</v>
      </c>
      <c r="AF19" s="61">
        <v>0</v>
      </c>
      <c r="AG19" s="61">
        <v>0</v>
      </c>
      <c r="AH19" s="61">
        <v>0</v>
      </c>
      <c r="AI19" s="61">
        <v>0</v>
      </c>
      <c r="AJ19" s="61">
        <v>0</v>
      </c>
      <c r="AK19" s="61">
        <v>0</v>
      </c>
      <c r="AL19" s="61">
        <v>0</v>
      </c>
      <c r="AM19" s="61">
        <v>0</v>
      </c>
      <c r="AN19" s="61">
        <v>0</v>
      </c>
      <c r="AO19" s="61">
        <v>0</v>
      </c>
      <c r="AP19" s="61">
        <v>0</v>
      </c>
      <c r="AQ19" s="61">
        <v>0</v>
      </c>
      <c r="AR19" s="61">
        <v>0</v>
      </c>
      <c r="AS19" s="61">
        <v>0</v>
      </c>
      <c r="AT19" s="61">
        <v>0</v>
      </c>
      <c r="AU19" s="61">
        <v>0</v>
      </c>
      <c r="AV19" s="61">
        <v>0</v>
      </c>
      <c r="AW19" s="61">
        <v>0</v>
      </c>
      <c r="AX19" s="61">
        <v>0</v>
      </c>
      <c r="AY19" s="61">
        <v>0</v>
      </c>
      <c r="AZ19" s="61">
        <v>0</v>
      </c>
      <c r="BA19" s="61">
        <v>0</v>
      </c>
      <c r="BB19" s="61">
        <v>0</v>
      </c>
      <c r="BC19" s="61">
        <v>0</v>
      </c>
      <c r="BD19" s="61">
        <v>0</v>
      </c>
      <c r="BE19" s="61">
        <v>0</v>
      </c>
      <c r="BF19" s="61">
        <v>0</v>
      </c>
      <c r="BG19" s="61">
        <v>0</v>
      </c>
      <c r="BH19" s="61">
        <v>0</v>
      </c>
      <c r="BI19" s="61">
        <v>0</v>
      </c>
      <c r="BJ19" s="61">
        <v>0</v>
      </c>
      <c r="BK19" s="61">
        <v>0</v>
      </c>
      <c r="BL19" s="61">
        <v>0</v>
      </c>
      <c r="BM19" s="61">
        <v>0</v>
      </c>
      <c r="BN19" s="61">
        <v>0</v>
      </c>
      <c r="BO19" s="61">
        <v>0</v>
      </c>
      <c r="BP19" s="61">
        <v>0</v>
      </c>
      <c r="BQ19" s="61">
        <v>0</v>
      </c>
      <c r="BR19" s="61">
        <v>0</v>
      </c>
      <c r="BS19" s="61">
        <v>0</v>
      </c>
      <c r="BT19" s="61">
        <v>0</v>
      </c>
      <c r="BU19" s="61">
        <v>0</v>
      </c>
      <c r="BV19" s="61">
        <v>0</v>
      </c>
      <c r="BW19" s="61">
        <v>0</v>
      </c>
      <c r="BX19" s="61">
        <v>0</v>
      </c>
      <c r="BY19" s="61">
        <v>0</v>
      </c>
      <c r="BZ19" s="61">
        <v>0</v>
      </c>
      <c r="CA19" s="61">
        <v>0</v>
      </c>
      <c r="CB19" s="61">
        <v>0</v>
      </c>
      <c r="CC19" s="61">
        <v>0</v>
      </c>
      <c r="CD19" s="61">
        <v>0</v>
      </c>
      <c r="CE19" s="61">
        <v>0</v>
      </c>
      <c r="CF19" s="61">
        <v>0</v>
      </c>
      <c r="CG19" s="61">
        <v>0</v>
      </c>
      <c r="CH19" s="61">
        <v>0</v>
      </c>
      <c r="CI19" s="61">
        <v>0</v>
      </c>
      <c r="CJ19" s="61">
        <v>0</v>
      </c>
      <c r="CK19" s="61">
        <v>0</v>
      </c>
      <c r="CL19" s="61">
        <v>0</v>
      </c>
      <c r="CM19" s="61">
        <v>0</v>
      </c>
      <c r="CN19" s="61">
        <v>0</v>
      </c>
      <c r="CO19" s="61">
        <v>0</v>
      </c>
      <c r="CP19" s="61">
        <v>0</v>
      </c>
      <c r="CQ19" s="61">
        <v>0</v>
      </c>
      <c r="CR19" s="61">
        <v>0</v>
      </c>
      <c r="CS19" s="61">
        <v>0</v>
      </c>
      <c r="CT19" s="61">
        <v>0</v>
      </c>
      <c r="CU19" s="61">
        <v>0</v>
      </c>
      <c r="CV19" s="61">
        <v>0</v>
      </c>
      <c r="CW19" s="61">
        <v>0</v>
      </c>
      <c r="CX19" s="61">
        <v>0</v>
      </c>
      <c r="CY19" s="61">
        <v>0</v>
      </c>
      <c r="CZ19" s="61">
        <v>0</v>
      </c>
      <c r="DA19" s="61">
        <v>0</v>
      </c>
      <c r="DB19" s="61">
        <v>0</v>
      </c>
      <c r="DC19" s="61">
        <v>0</v>
      </c>
      <c r="DD19" s="61">
        <v>0</v>
      </c>
      <c r="DE19" s="61">
        <v>0</v>
      </c>
      <c r="DF19" s="61">
        <v>0</v>
      </c>
      <c r="DG19" s="61">
        <v>0</v>
      </c>
      <c r="DH19" s="61">
        <v>0</v>
      </c>
      <c r="DI19" s="61">
        <v>0</v>
      </c>
      <c r="DJ19" s="61">
        <v>0</v>
      </c>
      <c r="DK19" s="61">
        <v>0</v>
      </c>
      <c r="DL19" s="61">
        <v>0</v>
      </c>
      <c r="DM19" s="61">
        <v>0</v>
      </c>
      <c r="DN19" s="61">
        <v>0</v>
      </c>
      <c r="DO19" s="61">
        <v>0</v>
      </c>
      <c r="DP19" s="61">
        <v>0</v>
      </c>
      <c r="DQ19" s="61">
        <v>0</v>
      </c>
      <c r="DR19" s="61">
        <v>0</v>
      </c>
      <c r="DS19" s="61">
        <v>0</v>
      </c>
      <c r="DT19" s="61">
        <v>0</v>
      </c>
      <c r="DU19" s="61">
        <v>0</v>
      </c>
      <c r="DV19" s="61">
        <v>0</v>
      </c>
      <c r="DW19" s="61">
        <v>0</v>
      </c>
      <c r="DX19" s="61">
        <v>0</v>
      </c>
      <c r="DY19" s="61">
        <v>0</v>
      </c>
      <c r="DZ19" s="61">
        <v>0</v>
      </c>
      <c r="EA19" s="61">
        <v>0</v>
      </c>
      <c r="EB19" s="61">
        <v>0</v>
      </c>
      <c r="EC19" s="61">
        <v>0</v>
      </c>
      <c r="ED19" s="61">
        <v>0</v>
      </c>
      <c r="EE19" s="61">
        <v>0</v>
      </c>
      <c r="EF19" s="61">
        <v>0</v>
      </c>
      <c r="EG19" s="61">
        <v>0</v>
      </c>
      <c r="EH19" s="61">
        <v>0</v>
      </c>
      <c r="EI19" s="61">
        <v>0</v>
      </c>
      <c r="EJ19" s="61">
        <v>0</v>
      </c>
      <c r="EK19" s="61">
        <v>0</v>
      </c>
      <c r="EL19" s="61">
        <v>0</v>
      </c>
      <c r="EM19" s="61">
        <v>0</v>
      </c>
      <c r="EN19" s="61">
        <v>0</v>
      </c>
      <c r="EO19" s="66">
        <v>1</v>
      </c>
      <c r="EP19" s="66">
        <v>1</v>
      </c>
      <c r="EQ19" s="66">
        <v>1</v>
      </c>
      <c r="ER19" s="66">
        <v>1</v>
      </c>
      <c r="ES19" s="66">
        <v>1</v>
      </c>
      <c r="ET19" s="66">
        <v>1</v>
      </c>
      <c r="EU19" s="66">
        <v>1</v>
      </c>
      <c r="EV19" s="66">
        <v>1</v>
      </c>
      <c r="EW19" s="66">
        <v>1</v>
      </c>
      <c r="EX19" s="66">
        <v>1</v>
      </c>
      <c r="EY19" s="66">
        <v>1</v>
      </c>
      <c r="EZ19" s="61">
        <v>0</v>
      </c>
      <c r="FA19" s="61">
        <v>0</v>
      </c>
      <c r="FB19" s="61">
        <v>0</v>
      </c>
      <c r="FC19" s="61">
        <v>0</v>
      </c>
      <c r="FD19" s="61">
        <v>0</v>
      </c>
      <c r="FE19" s="61">
        <v>0</v>
      </c>
      <c r="FF19" s="61">
        <v>0</v>
      </c>
      <c r="FG19" s="61">
        <v>0</v>
      </c>
      <c r="FH19" s="61">
        <v>0</v>
      </c>
      <c r="FI19" s="61">
        <v>0</v>
      </c>
      <c r="FJ19" s="61">
        <v>0</v>
      </c>
      <c r="FK19" s="61">
        <v>0</v>
      </c>
      <c r="FL19" s="61">
        <v>0</v>
      </c>
      <c r="FM19" s="61">
        <v>0</v>
      </c>
      <c r="FN19" s="61">
        <v>0</v>
      </c>
      <c r="FO19" s="61">
        <v>0</v>
      </c>
      <c r="FP19" s="61">
        <v>0</v>
      </c>
      <c r="FQ19" s="61">
        <v>0</v>
      </c>
      <c r="FR19" s="61">
        <v>0</v>
      </c>
      <c r="FS19" s="61">
        <v>0</v>
      </c>
      <c r="FT19" s="61">
        <v>0</v>
      </c>
      <c r="FU19" s="61">
        <v>0</v>
      </c>
      <c r="FV19" s="63">
        <v>0</v>
      </c>
      <c r="FW19" s="63">
        <v>0</v>
      </c>
      <c r="FX19" s="63">
        <v>0</v>
      </c>
      <c r="FY19" s="63">
        <v>0</v>
      </c>
      <c r="FZ19" s="63">
        <v>0</v>
      </c>
      <c r="GA19" s="63">
        <v>0</v>
      </c>
      <c r="GB19" s="63">
        <v>0</v>
      </c>
      <c r="GC19" s="63">
        <v>0</v>
      </c>
      <c r="GD19" s="63">
        <v>0</v>
      </c>
      <c r="GE19" s="63">
        <v>0</v>
      </c>
      <c r="GF19" s="63">
        <v>0</v>
      </c>
      <c r="GG19" s="63">
        <v>0</v>
      </c>
      <c r="GH19" s="63">
        <v>0</v>
      </c>
      <c r="GI19" s="63">
        <v>0</v>
      </c>
      <c r="GJ19" s="63">
        <v>0</v>
      </c>
      <c r="GK19" s="63">
        <v>0</v>
      </c>
      <c r="GL19" s="63">
        <v>0</v>
      </c>
      <c r="GM19" s="63">
        <v>0</v>
      </c>
      <c r="GN19" s="63">
        <v>0</v>
      </c>
      <c r="GO19" s="63">
        <v>0</v>
      </c>
      <c r="GP19" s="63">
        <v>0</v>
      </c>
      <c r="GQ19" s="63">
        <v>0</v>
      </c>
      <c r="GR19" s="63">
        <v>0</v>
      </c>
      <c r="GS19" s="63">
        <v>0</v>
      </c>
      <c r="GT19" s="63">
        <v>0</v>
      </c>
      <c r="GU19" s="63">
        <v>0</v>
      </c>
      <c r="GV19" s="63">
        <v>0</v>
      </c>
      <c r="GW19" s="63">
        <v>0</v>
      </c>
      <c r="GX19" s="63">
        <v>0</v>
      </c>
      <c r="GY19" s="63">
        <v>0</v>
      </c>
      <c r="GZ19" s="63">
        <v>0</v>
      </c>
      <c r="HA19" s="63">
        <v>0</v>
      </c>
      <c r="HB19" s="63">
        <v>0</v>
      </c>
      <c r="HC19" s="63">
        <v>0</v>
      </c>
      <c r="HD19" s="63">
        <v>0</v>
      </c>
      <c r="HE19" s="63">
        <v>0</v>
      </c>
      <c r="HF19" s="63">
        <v>0</v>
      </c>
      <c r="HG19" s="63">
        <v>0</v>
      </c>
      <c r="HH19" s="63">
        <v>0</v>
      </c>
      <c r="HI19" s="63">
        <v>0</v>
      </c>
      <c r="HJ19" s="63">
        <v>1590</v>
      </c>
      <c r="HK19" s="63">
        <f>SUM(C$4:HI$4)</f>
        <v>215</v>
      </c>
      <c r="HL19" s="61">
        <f>SUM(C19:HI19)</f>
        <v>11</v>
      </c>
      <c r="HM19" s="67">
        <f>100*HL19/HK30</f>
        <v>5.1162790697674421</v>
      </c>
      <c r="HN19" s="67"/>
      <c r="HO19" s="68">
        <v>2.62</v>
      </c>
      <c r="HP19" s="68">
        <v>8.57</v>
      </c>
      <c r="HQ19" s="61">
        <v>6.64</v>
      </c>
    </row>
    <row r="20" spans="1:227" x14ac:dyDescent="0.3">
      <c r="B20" s="63" t="s">
        <v>7248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1">
        <v>0</v>
      </c>
      <c r="I20" s="61">
        <v>0</v>
      </c>
      <c r="J20" s="61">
        <v>0</v>
      </c>
      <c r="K20" s="61">
        <v>0</v>
      </c>
      <c r="L20" s="61">
        <v>0</v>
      </c>
      <c r="M20" s="61">
        <v>0</v>
      </c>
      <c r="N20" s="61">
        <v>0</v>
      </c>
      <c r="O20" s="61">
        <v>0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  <c r="V20" s="61">
        <v>0</v>
      </c>
      <c r="W20" s="61">
        <v>0</v>
      </c>
      <c r="X20" s="61">
        <v>0</v>
      </c>
      <c r="Y20" s="61">
        <v>0</v>
      </c>
      <c r="Z20" s="61">
        <v>0</v>
      </c>
      <c r="AA20" s="61">
        <v>0</v>
      </c>
      <c r="AB20" s="61">
        <v>0</v>
      </c>
      <c r="AC20" s="61">
        <v>0</v>
      </c>
      <c r="AD20" s="61">
        <v>0</v>
      </c>
      <c r="AE20" s="61">
        <v>0</v>
      </c>
      <c r="AF20" s="61">
        <v>0</v>
      </c>
      <c r="AG20" s="61">
        <v>0</v>
      </c>
      <c r="AH20" s="61">
        <v>0</v>
      </c>
      <c r="AI20" s="61">
        <v>0</v>
      </c>
      <c r="AJ20" s="61">
        <v>0</v>
      </c>
      <c r="AK20" s="61">
        <v>0</v>
      </c>
      <c r="AL20" s="61">
        <v>0</v>
      </c>
      <c r="AM20" s="61">
        <v>0</v>
      </c>
      <c r="AN20" s="61">
        <v>0</v>
      </c>
      <c r="AO20" s="61">
        <v>0</v>
      </c>
      <c r="AP20" s="61">
        <v>0</v>
      </c>
      <c r="AQ20" s="61">
        <v>0</v>
      </c>
      <c r="AR20" s="61">
        <v>0</v>
      </c>
      <c r="AS20" s="61">
        <v>0</v>
      </c>
      <c r="AT20" s="61">
        <v>0</v>
      </c>
      <c r="AU20" s="61">
        <v>0</v>
      </c>
      <c r="AV20" s="61">
        <v>0</v>
      </c>
      <c r="AW20" s="61">
        <v>0</v>
      </c>
      <c r="AX20" s="61">
        <v>0</v>
      </c>
      <c r="AY20" s="61">
        <v>0</v>
      </c>
      <c r="AZ20" s="61">
        <v>0</v>
      </c>
      <c r="BA20" s="61">
        <v>0</v>
      </c>
      <c r="BB20" s="61">
        <v>0</v>
      </c>
      <c r="BC20" s="61">
        <v>0</v>
      </c>
      <c r="BD20" s="61">
        <v>0</v>
      </c>
      <c r="BE20" s="61">
        <v>0</v>
      </c>
      <c r="BF20" s="61">
        <v>0</v>
      </c>
      <c r="BG20" s="61">
        <v>0</v>
      </c>
      <c r="BH20" s="61">
        <v>0</v>
      </c>
      <c r="BI20" s="61">
        <v>0</v>
      </c>
      <c r="BJ20" s="61">
        <v>0</v>
      </c>
      <c r="BK20" s="61">
        <v>0</v>
      </c>
      <c r="BL20" s="61">
        <v>0</v>
      </c>
      <c r="BM20" s="61">
        <v>0</v>
      </c>
      <c r="BN20" s="61">
        <v>0</v>
      </c>
      <c r="BO20" s="61">
        <v>0</v>
      </c>
      <c r="BP20" s="61">
        <v>0</v>
      </c>
      <c r="BQ20" s="61">
        <v>0</v>
      </c>
      <c r="BR20" s="61">
        <v>0</v>
      </c>
      <c r="BS20" s="61">
        <v>0</v>
      </c>
      <c r="BT20" s="61">
        <v>0</v>
      </c>
      <c r="BU20" s="61">
        <v>0</v>
      </c>
      <c r="BV20" s="61">
        <v>0</v>
      </c>
      <c r="BW20" s="61">
        <v>0</v>
      </c>
      <c r="BX20" s="61">
        <v>0</v>
      </c>
      <c r="BY20" s="61">
        <v>0</v>
      </c>
      <c r="BZ20" s="61">
        <v>0</v>
      </c>
      <c r="CA20" s="61">
        <v>0</v>
      </c>
      <c r="CB20" s="61">
        <v>0</v>
      </c>
      <c r="CC20" s="61">
        <v>0</v>
      </c>
      <c r="CD20" s="61">
        <v>0</v>
      </c>
      <c r="CE20" s="61">
        <v>0</v>
      </c>
      <c r="CF20" s="61">
        <v>0</v>
      </c>
      <c r="CG20" s="61">
        <v>0</v>
      </c>
      <c r="CH20" s="61">
        <v>0</v>
      </c>
      <c r="CI20" s="61">
        <v>0</v>
      </c>
      <c r="CJ20" s="61">
        <v>0</v>
      </c>
      <c r="CK20" s="61">
        <v>0</v>
      </c>
      <c r="CL20" s="61">
        <v>0</v>
      </c>
      <c r="CM20" s="61">
        <v>0</v>
      </c>
      <c r="CN20" s="61">
        <v>0</v>
      </c>
      <c r="CO20" s="61">
        <v>0</v>
      </c>
      <c r="CP20" s="61">
        <v>0</v>
      </c>
      <c r="CQ20" s="61">
        <v>0</v>
      </c>
      <c r="CR20" s="61">
        <v>0</v>
      </c>
      <c r="CS20" s="61">
        <v>0</v>
      </c>
      <c r="CT20" s="61">
        <v>0</v>
      </c>
      <c r="CU20" s="61">
        <v>0</v>
      </c>
      <c r="CV20" s="61">
        <v>0</v>
      </c>
      <c r="CW20" s="61">
        <v>0</v>
      </c>
      <c r="CX20" s="61">
        <v>0</v>
      </c>
      <c r="CY20" s="61">
        <v>0</v>
      </c>
      <c r="CZ20" s="61">
        <v>0</v>
      </c>
      <c r="DA20" s="61">
        <v>0</v>
      </c>
      <c r="DB20" s="61">
        <v>0</v>
      </c>
      <c r="DC20" s="61">
        <v>0</v>
      </c>
      <c r="DD20" s="61">
        <v>0</v>
      </c>
      <c r="DE20" s="61">
        <v>0</v>
      </c>
      <c r="DF20" s="61">
        <v>0</v>
      </c>
      <c r="DG20" s="61">
        <v>0</v>
      </c>
      <c r="DH20" s="61">
        <v>0</v>
      </c>
      <c r="DI20" s="61">
        <v>0</v>
      </c>
      <c r="DJ20" s="61">
        <v>0</v>
      </c>
      <c r="DK20" s="61">
        <v>0</v>
      </c>
      <c r="DL20" s="61">
        <v>0</v>
      </c>
      <c r="DM20" s="61">
        <v>0</v>
      </c>
      <c r="DN20" s="61">
        <v>0</v>
      </c>
      <c r="DO20" s="61">
        <v>0</v>
      </c>
      <c r="DP20" s="61">
        <v>0</v>
      </c>
      <c r="DQ20" s="61">
        <v>0</v>
      </c>
      <c r="DR20" s="61">
        <v>0</v>
      </c>
      <c r="DS20" s="61">
        <v>0</v>
      </c>
      <c r="DT20" s="61">
        <v>0</v>
      </c>
      <c r="DU20" s="61">
        <v>0</v>
      </c>
      <c r="DV20" s="61">
        <v>0</v>
      </c>
      <c r="DW20" s="61">
        <v>0</v>
      </c>
      <c r="DX20" s="61">
        <v>0</v>
      </c>
      <c r="DY20" s="61">
        <v>0</v>
      </c>
      <c r="DZ20" s="61">
        <v>0</v>
      </c>
      <c r="EA20" s="61">
        <v>0</v>
      </c>
      <c r="EB20" s="61">
        <v>0</v>
      </c>
      <c r="EC20" s="61">
        <v>0</v>
      </c>
      <c r="ED20" s="61">
        <v>0</v>
      </c>
      <c r="EE20" s="61">
        <v>0</v>
      </c>
      <c r="EF20" s="61">
        <v>0</v>
      </c>
      <c r="EG20" s="61">
        <v>0</v>
      </c>
      <c r="EH20" s="61">
        <v>0</v>
      </c>
      <c r="EI20" s="61">
        <v>0</v>
      </c>
      <c r="EJ20" s="61">
        <v>0</v>
      </c>
      <c r="EK20" s="61">
        <v>0</v>
      </c>
      <c r="EL20" s="61">
        <v>0</v>
      </c>
      <c r="EM20" s="61">
        <v>0</v>
      </c>
      <c r="EN20" s="61">
        <v>0</v>
      </c>
      <c r="EO20" s="61">
        <v>0</v>
      </c>
      <c r="EP20" s="61">
        <v>0</v>
      </c>
      <c r="EQ20" s="61">
        <v>0</v>
      </c>
      <c r="ER20" s="61">
        <v>0</v>
      </c>
      <c r="ES20" s="61">
        <v>0</v>
      </c>
      <c r="ET20" s="65">
        <v>0</v>
      </c>
      <c r="EU20" s="61">
        <v>0</v>
      </c>
      <c r="EV20" s="61">
        <v>0</v>
      </c>
      <c r="EW20" s="61">
        <v>0</v>
      </c>
      <c r="EX20" s="61">
        <v>0</v>
      </c>
      <c r="EY20" s="61">
        <v>0</v>
      </c>
      <c r="EZ20" s="61">
        <v>0</v>
      </c>
      <c r="FA20" s="61">
        <v>0</v>
      </c>
      <c r="FB20" s="61">
        <v>0</v>
      </c>
      <c r="FC20" s="61">
        <v>0</v>
      </c>
      <c r="FD20" s="61">
        <v>0</v>
      </c>
      <c r="FE20" s="66">
        <v>1</v>
      </c>
      <c r="FF20" s="61">
        <v>0</v>
      </c>
      <c r="FG20" s="61">
        <v>0</v>
      </c>
      <c r="FH20" s="61">
        <v>0</v>
      </c>
      <c r="FI20" s="61">
        <v>0</v>
      </c>
      <c r="FJ20" s="61">
        <v>0</v>
      </c>
      <c r="FK20" s="61">
        <v>0</v>
      </c>
      <c r="FL20" s="61">
        <v>0</v>
      </c>
      <c r="FM20" s="61">
        <v>0</v>
      </c>
      <c r="FN20" s="61">
        <v>0</v>
      </c>
      <c r="FO20" s="61">
        <v>0</v>
      </c>
      <c r="FP20" s="66">
        <v>1</v>
      </c>
      <c r="FQ20" s="66">
        <v>1</v>
      </c>
      <c r="FR20" s="66">
        <v>1</v>
      </c>
      <c r="FS20" s="66">
        <v>1</v>
      </c>
      <c r="FT20" s="66">
        <v>1</v>
      </c>
      <c r="FU20" s="66">
        <v>1</v>
      </c>
      <c r="FV20" s="66">
        <v>1</v>
      </c>
      <c r="FW20" s="66">
        <v>1</v>
      </c>
      <c r="FX20" s="61">
        <v>0</v>
      </c>
      <c r="FY20" s="61">
        <v>0</v>
      </c>
      <c r="FZ20" s="61">
        <v>0</v>
      </c>
      <c r="GA20" s="61">
        <v>0</v>
      </c>
      <c r="GB20" s="61">
        <v>0</v>
      </c>
      <c r="GC20" s="61">
        <v>0</v>
      </c>
      <c r="GD20" s="61">
        <v>0</v>
      </c>
      <c r="GE20" s="61">
        <v>0</v>
      </c>
      <c r="GF20" s="61">
        <v>0</v>
      </c>
      <c r="GG20" s="61">
        <v>0</v>
      </c>
      <c r="GH20" s="61">
        <v>0</v>
      </c>
      <c r="GI20" s="61">
        <v>0</v>
      </c>
      <c r="GJ20" s="61">
        <v>0</v>
      </c>
      <c r="GK20" s="61">
        <v>0</v>
      </c>
      <c r="GL20" s="61">
        <v>0</v>
      </c>
      <c r="GM20" s="61">
        <v>0</v>
      </c>
      <c r="GN20" s="61">
        <v>0</v>
      </c>
      <c r="GO20" s="61">
        <v>0</v>
      </c>
      <c r="GP20" s="61">
        <v>0</v>
      </c>
      <c r="GQ20" s="61">
        <v>0</v>
      </c>
      <c r="GR20" s="61">
        <v>0</v>
      </c>
      <c r="GS20" s="61">
        <v>0</v>
      </c>
      <c r="GT20" s="61">
        <v>0</v>
      </c>
      <c r="GU20" s="63">
        <v>0</v>
      </c>
      <c r="GV20" s="63">
        <v>0</v>
      </c>
      <c r="GW20" s="63">
        <v>0</v>
      </c>
      <c r="GX20" s="63">
        <v>0</v>
      </c>
      <c r="GY20" s="63">
        <v>0</v>
      </c>
      <c r="GZ20" s="63">
        <v>0</v>
      </c>
      <c r="HA20" s="63">
        <v>0</v>
      </c>
      <c r="HB20" s="63">
        <v>0</v>
      </c>
      <c r="HC20" s="63">
        <v>0</v>
      </c>
      <c r="HD20" s="63">
        <v>0</v>
      </c>
      <c r="HE20" s="63">
        <v>0</v>
      </c>
      <c r="HF20" s="63">
        <v>0</v>
      </c>
      <c r="HG20" s="63">
        <v>0</v>
      </c>
      <c r="HH20" s="63">
        <v>0</v>
      </c>
      <c r="HI20" s="63">
        <v>0</v>
      </c>
      <c r="HJ20" s="63">
        <v>1947</v>
      </c>
      <c r="HK20" s="63">
        <f>SUM(ET$4:HI$4)</f>
        <v>68</v>
      </c>
      <c r="HL20" s="61">
        <f>SUM(ET20:HI20)</f>
        <v>9</v>
      </c>
      <c r="HM20" s="67">
        <f t="shared" si="1"/>
        <v>13.235294117647058</v>
      </c>
      <c r="HN20" s="67"/>
      <c r="HO20" s="68">
        <v>7.47</v>
      </c>
      <c r="HP20" s="68">
        <v>4.05</v>
      </c>
      <c r="HQ20" s="61">
        <v>5.58</v>
      </c>
    </row>
    <row r="21" spans="1:227" x14ac:dyDescent="0.3">
      <c r="B21" s="63" t="s">
        <v>7249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1">
        <v>0</v>
      </c>
      <c r="I21" s="61">
        <v>0</v>
      </c>
      <c r="J21" s="61">
        <v>0</v>
      </c>
      <c r="K21" s="61">
        <v>0</v>
      </c>
      <c r="L21" s="61">
        <v>0</v>
      </c>
      <c r="M21" s="61">
        <v>0</v>
      </c>
      <c r="N21" s="61">
        <v>0</v>
      </c>
      <c r="O21" s="61">
        <v>0</v>
      </c>
      <c r="P21" s="61">
        <v>0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  <c r="V21" s="61">
        <v>0</v>
      </c>
      <c r="W21" s="61">
        <v>0</v>
      </c>
      <c r="X21" s="61">
        <v>0</v>
      </c>
      <c r="Y21" s="61">
        <v>0</v>
      </c>
      <c r="Z21" s="61">
        <v>0</v>
      </c>
      <c r="AA21" s="61">
        <v>0</v>
      </c>
      <c r="AB21" s="61">
        <v>0</v>
      </c>
      <c r="AC21" s="61">
        <v>0</v>
      </c>
      <c r="AD21" s="61">
        <v>0</v>
      </c>
      <c r="AE21" s="61">
        <v>0</v>
      </c>
      <c r="AF21" s="61">
        <v>0</v>
      </c>
      <c r="AG21" s="61">
        <v>0</v>
      </c>
      <c r="AH21" s="61">
        <v>0</v>
      </c>
      <c r="AI21" s="61">
        <v>0</v>
      </c>
      <c r="AJ21" s="61">
        <v>0</v>
      </c>
      <c r="AK21" s="61">
        <v>0</v>
      </c>
      <c r="AL21" s="61">
        <v>0</v>
      </c>
      <c r="AM21" s="61">
        <v>0</v>
      </c>
      <c r="AN21" s="61">
        <v>0</v>
      </c>
      <c r="AO21" s="61">
        <v>0</v>
      </c>
      <c r="AP21" s="61">
        <v>0</v>
      </c>
      <c r="AQ21" s="61">
        <v>0</v>
      </c>
      <c r="AR21" s="61">
        <v>0</v>
      </c>
      <c r="AS21" s="61">
        <v>0</v>
      </c>
      <c r="AT21" s="61">
        <v>0</v>
      </c>
      <c r="AU21" s="61">
        <v>0</v>
      </c>
      <c r="AV21" s="61">
        <v>0</v>
      </c>
      <c r="AW21" s="61">
        <v>0</v>
      </c>
      <c r="AX21" s="61">
        <v>0</v>
      </c>
      <c r="AY21" s="61">
        <v>0</v>
      </c>
      <c r="AZ21" s="61">
        <v>0</v>
      </c>
      <c r="BA21" s="61">
        <v>0</v>
      </c>
      <c r="BB21" s="61">
        <v>0</v>
      </c>
      <c r="BC21" s="61">
        <v>0</v>
      </c>
      <c r="BD21" s="61">
        <v>0</v>
      </c>
      <c r="BE21" s="61">
        <v>0</v>
      </c>
      <c r="BF21" s="61">
        <v>0</v>
      </c>
      <c r="BG21" s="61">
        <v>0</v>
      </c>
      <c r="BH21" s="61">
        <v>0</v>
      </c>
      <c r="BI21" s="61">
        <v>0</v>
      </c>
      <c r="BJ21" s="61">
        <v>0</v>
      </c>
      <c r="BK21" s="61">
        <v>0</v>
      </c>
      <c r="BL21" s="61">
        <v>0</v>
      </c>
      <c r="BM21" s="61">
        <v>0</v>
      </c>
      <c r="BN21" s="61">
        <v>0</v>
      </c>
      <c r="BO21" s="61">
        <v>0</v>
      </c>
      <c r="BP21" s="61">
        <v>0</v>
      </c>
      <c r="BQ21" s="61">
        <v>0</v>
      </c>
      <c r="BR21" s="61">
        <v>0</v>
      </c>
      <c r="BS21" s="61">
        <v>0</v>
      </c>
      <c r="BT21" s="61">
        <v>0</v>
      </c>
      <c r="BU21" s="61">
        <v>0</v>
      </c>
      <c r="BV21" s="61">
        <v>0</v>
      </c>
      <c r="BW21" s="61">
        <v>0</v>
      </c>
      <c r="BX21" s="61">
        <v>0</v>
      </c>
      <c r="BY21" s="61">
        <v>0</v>
      </c>
      <c r="BZ21" s="61">
        <v>0</v>
      </c>
      <c r="CA21" s="61">
        <v>0</v>
      </c>
      <c r="CB21" s="61">
        <v>0</v>
      </c>
      <c r="CC21" s="61">
        <v>0</v>
      </c>
      <c r="CD21" s="61">
        <v>0</v>
      </c>
      <c r="CE21" s="61">
        <v>0</v>
      </c>
      <c r="CF21" s="61">
        <v>0</v>
      </c>
      <c r="CG21" s="61">
        <v>0</v>
      </c>
      <c r="CH21" s="61">
        <v>0</v>
      </c>
      <c r="CI21" s="61">
        <v>0</v>
      </c>
      <c r="CJ21" s="61">
        <v>0</v>
      </c>
      <c r="CK21" s="61">
        <v>0</v>
      </c>
      <c r="CL21" s="61">
        <v>0</v>
      </c>
      <c r="CM21" s="61">
        <v>0</v>
      </c>
      <c r="CN21" s="61">
        <v>0</v>
      </c>
      <c r="CO21" s="61">
        <v>0</v>
      </c>
      <c r="CP21" s="61">
        <v>0</v>
      </c>
      <c r="CQ21" s="61">
        <v>0</v>
      </c>
      <c r="CR21" s="61">
        <v>0</v>
      </c>
      <c r="CS21" s="61">
        <v>0</v>
      </c>
      <c r="CT21" s="61">
        <v>0</v>
      </c>
      <c r="CU21" s="61">
        <v>0</v>
      </c>
      <c r="CV21" s="61">
        <v>0</v>
      </c>
      <c r="CW21" s="61">
        <v>0</v>
      </c>
      <c r="CX21" s="61">
        <v>0</v>
      </c>
      <c r="CY21" s="61">
        <v>0</v>
      </c>
      <c r="CZ21" s="61">
        <v>0</v>
      </c>
      <c r="DA21" s="61">
        <v>0</v>
      </c>
      <c r="DB21" s="61">
        <v>0</v>
      </c>
      <c r="DC21" s="61">
        <v>0</v>
      </c>
      <c r="DD21" s="61">
        <v>0</v>
      </c>
      <c r="DE21" s="61">
        <v>0</v>
      </c>
      <c r="DF21" s="61">
        <v>0</v>
      </c>
      <c r="DG21" s="61">
        <v>0</v>
      </c>
      <c r="DH21" s="61">
        <v>0</v>
      </c>
      <c r="DI21" s="61">
        <v>0</v>
      </c>
      <c r="DJ21" s="61">
        <v>0</v>
      </c>
      <c r="DK21" s="61">
        <v>0</v>
      </c>
      <c r="DL21" s="61">
        <v>0</v>
      </c>
      <c r="DM21" s="61">
        <v>0</v>
      </c>
      <c r="DN21" s="61">
        <v>0</v>
      </c>
      <c r="DO21" s="61">
        <v>0</v>
      </c>
      <c r="DP21" s="61">
        <v>0</v>
      </c>
      <c r="DQ21" s="61">
        <v>0</v>
      </c>
      <c r="DR21" s="61">
        <v>0</v>
      </c>
      <c r="DS21" s="61">
        <v>0</v>
      </c>
      <c r="DT21" s="61">
        <v>0</v>
      </c>
      <c r="DU21" s="61">
        <v>0</v>
      </c>
      <c r="DV21" s="61">
        <v>0</v>
      </c>
      <c r="DW21" s="61">
        <v>0</v>
      </c>
      <c r="DX21" s="61">
        <v>0</v>
      </c>
      <c r="DY21" s="61">
        <v>0</v>
      </c>
      <c r="DZ21" s="61">
        <v>0</v>
      </c>
      <c r="EA21" s="61">
        <v>0</v>
      </c>
      <c r="EB21" s="61">
        <v>0</v>
      </c>
      <c r="EC21" s="61">
        <v>0</v>
      </c>
      <c r="ED21" s="61">
        <v>0</v>
      </c>
      <c r="EE21" s="61">
        <v>0</v>
      </c>
      <c r="EF21" s="61">
        <v>0</v>
      </c>
      <c r="EG21" s="61">
        <v>0</v>
      </c>
      <c r="EH21" s="61">
        <v>0</v>
      </c>
      <c r="EI21" s="61">
        <v>0</v>
      </c>
      <c r="EJ21" s="61">
        <v>0</v>
      </c>
      <c r="EK21" s="61">
        <v>0</v>
      </c>
      <c r="EL21" s="61">
        <v>0</v>
      </c>
      <c r="EM21" s="61">
        <v>0</v>
      </c>
      <c r="EN21" s="61">
        <v>0</v>
      </c>
      <c r="EO21" s="61">
        <v>0</v>
      </c>
      <c r="EP21" s="61">
        <v>0</v>
      </c>
      <c r="EQ21" s="61">
        <v>0</v>
      </c>
      <c r="ER21" s="61">
        <v>0</v>
      </c>
      <c r="ES21" s="61">
        <v>0</v>
      </c>
      <c r="ET21" s="61">
        <v>0</v>
      </c>
      <c r="EU21" s="61">
        <v>0</v>
      </c>
      <c r="EV21" s="65">
        <v>0</v>
      </c>
      <c r="EW21" s="61">
        <v>0</v>
      </c>
      <c r="EX21" s="61">
        <v>0</v>
      </c>
      <c r="EY21" s="61">
        <v>0</v>
      </c>
      <c r="EZ21" s="61">
        <v>0</v>
      </c>
      <c r="FA21" s="61">
        <v>0</v>
      </c>
      <c r="FB21" s="61">
        <v>0</v>
      </c>
      <c r="FC21" s="61">
        <v>0</v>
      </c>
      <c r="FD21" s="61">
        <v>0</v>
      </c>
      <c r="FE21" s="61">
        <v>0</v>
      </c>
      <c r="FF21" s="61">
        <v>0</v>
      </c>
      <c r="FG21" s="61">
        <v>0</v>
      </c>
      <c r="FH21" s="61">
        <v>0</v>
      </c>
      <c r="FI21" s="61">
        <v>0</v>
      </c>
      <c r="FJ21" s="61">
        <v>0</v>
      </c>
      <c r="FK21" s="61">
        <v>0</v>
      </c>
      <c r="FL21" s="61">
        <v>0</v>
      </c>
      <c r="FM21" s="66">
        <v>1</v>
      </c>
      <c r="FN21" s="66">
        <v>1</v>
      </c>
      <c r="FO21" s="66">
        <v>1</v>
      </c>
      <c r="FP21" s="66">
        <v>1</v>
      </c>
      <c r="FQ21" s="66">
        <v>1</v>
      </c>
      <c r="FR21" s="61">
        <v>0</v>
      </c>
      <c r="FS21" s="61">
        <v>0</v>
      </c>
      <c r="FT21" s="61">
        <v>0</v>
      </c>
      <c r="FU21" s="61">
        <v>0</v>
      </c>
      <c r="FV21" s="63">
        <v>0</v>
      </c>
      <c r="FW21" s="63">
        <v>0</v>
      </c>
      <c r="FX21" s="63">
        <v>0</v>
      </c>
      <c r="FY21" s="63">
        <v>0</v>
      </c>
      <c r="FZ21" s="63">
        <v>0</v>
      </c>
      <c r="GA21" s="63">
        <v>0</v>
      </c>
      <c r="GB21" s="63">
        <v>0</v>
      </c>
      <c r="GC21" s="63">
        <v>0</v>
      </c>
      <c r="GD21" s="63">
        <v>0</v>
      </c>
      <c r="GE21" s="63">
        <v>0</v>
      </c>
      <c r="GF21" s="63">
        <v>0</v>
      </c>
      <c r="GG21" s="63">
        <v>0</v>
      </c>
      <c r="GH21" s="63">
        <v>0</v>
      </c>
      <c r="GI21" s="63">
        <v>0</v>
      </c>
      <c r="GJ21" s="63">
        <v>0</v>
      </c>
      <c r="GK21" s="63">
        <v>0</v>
      </c>
      <c r="GL21" s="63">
        <v>0</v>
      </c>
      <c r="GM21" s="63">
        <v>0</v>
      </c>
      <c r="GN21" s="63">
        <v>0</v>
      </c>
      <c r="GO21" s="63">
        <v>0</v>
      </c>
      <c r="GP21" s="63">
        <v>0</v>
      </c>
      <c r="GQ21" s="63">
        <v>0</v>
      </c>
      <c r="GR21" s="63">
        <v>0</v>
      </c>
      <c r="GS21" s="63">
        <v>0</v>
      </c>
      <c r="GT21" s="66">
        <v>1</v>
      </c>
      <c r="GU21" s="66">
        <v>1</v>
      </c>
      <c r="GV21" s="63">
        <v>0</v>
      </c>
      <c r="GW21" s="66">
        <v>1</v>
      </c>
      <c r="GX21" s="63">
        <v>0</v>
      </c>
      <c r="GY21" s="63">
        <v>0</v>
      </c>
      <c r="GZ21" s="63">
        <v>0</v>
      </c>
      <c r="HA21" s="63">
        <v>0</v>
      </c>
      <c r="HB21" s="63">
        <v>0</v>
      </c>
      <c r="HC21" s="63">
        <v>0</v>
      </c>
      <c r="HD21" s="63">
        <v>0</v>
      </c>
      <c r="HE21" s="63">
        <v>0</v>
      </c>
      <c r="HF21" s="63">
        <v>0</v>
      </c>
      <c r="HG21" s="63">
        <v>0</v>
      </c>
      <c r="HH21" s="63">
        <v>0</v>
      </c>
      <c r="HI21" s="63">
        <v>0</v>
      </c>
      <c r="HJ21" s="63">
        <v>1949</v>
      </c>
      <c r="HK21" s="63">
        <f>SUM(EV$4:HI$4)</f>
        <v>66</v>
      </c>
      <c r="HL21" s="61">
        <f>SUM(EV21:HI21)</f>
        <v>8</v>
      </c>
      <c r="HM21" s="67">
        <f>100*HL21/HK21</f>
        <v>12.121212121212121</v>
      </c>
      <c r="HN21" s="67"/>
      <c r="HO21" s="68">
        <v>1.65</v>
      </c>
      <c r="HP21" s="68">
        <v>1.66</v>
      </c>
      <c r="HQ21" s="61">
        <v>1.88</v>
      </c>
      <c r="HS21" s="61" t="s">
        <v>7250</v>
      </c>
    </row>
    <row r="22" spans="1:227" x14ac:dyDescent="0.3">
      <c r="B22" s="63" t="s">
        <v>7251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0</v>
      </c>
      <c r="P22" s="61">
        <v>0</v>
      </c>
      <c r="Q22" s="61">
        <v>0</v>
      </c>
      <c r="R22" s="61">
        <v>0</v>
      </c>
      <c r="S22" s="61">
        <v>0</v>
      </c>
      <c r="T22" s="61">
        <v>0</v>
      </c>
      <c r="U22" s="61">
        <v>0</v>
      </c>
      <c r="V22" s="61">
        <v>0</v>
      </c>
      <c r="W22" s="61">
        <v>0</v>
      </c>
      <c r="X22" s="61">
        <v>0</v>
      </c>
      <c r="Y22" s="61">
        <v>0</v>
      </c>
      <c r="Z22" s="61">
        <v>0</v>
      </c>
      <c r="AA22" s="61">
        <v>0</v>
      </c>
      <c r="AB22" s="61">
        <v>0</v>
      </c>
      <c r="AC22" s="61">
        <v>0</v>
      </c>
      <c r="AD22" s="61">
        <v>0</v>
      </c>
      <c r="AE22" s="61">
        <v>0</v>
      </c>
      <c r="AF22" s="61">
        <v>0</v>
      </c>
      <c r="AG22" s="61">
        <v>0</v>
      </c>
      <c r="AH22" s="61">
        <v>0</v>
      </c>
      <c r="AI22" s="61">
        <v>0</v>
      </c>
      <c r="AJ22" s="61">
        <v>0</v>
      </c>
      <c r="AK22" s="61">
        <v>0</v>
      </c>
      <c r="AL22" s="61">
        <v>0</v>
      </c>
      <c r="AM22" s="61">
        <v>0</v>
      </c>
      <c r="AN22" s="61">
        <v>0</v>
      </c>
      <c r="AO22" s="61">
        <v>0</v>
      </c>
      <c r="AP22" s="61">
        <v>0</v>
      </c>
      <c r="AQ22" s="61">
        <v>0</v>
      </c>
      <c r="AR22" s="61">
        <v>0</v>
      </c>
      <c r="AS22" s="61">
        <v>0</v>
      </c>
      <c r="AT22" s="61">
        <v>0</v>
      </c>
      <c r="AU22" s="61">
        <v>0</v>
      </c>
      <c r="AV22" s="61">
        <v>0</v>
      </c>
      <c r="AW22" s="61">
        <v>0</v>
      </c>
      <c r="AX22" s="61">
        <v>0</v>
      </c>
      <c r="AY22" s="61">
        <v>0</v>
      </c>
      <c r="AZ22" s="61">
        <v>0</v>
      </c>
      <c r="BA22" s="61">
        <v>0</v>
      </c>
      <c r="BB22" s="61">
        <v>0</v>
      </c>
      <c r="BC22" s="61">
        <v>0</v>
      </c>
      <c r="BD22" s="61">
        <v>0</v>
      </c>
      <c r="BE22" s="61">
        <v>0</v>
      </c>
      <c r="BF22" s="61">
        <v>0</v>
      </c>
      <c r="BG22" s="61">
        <v>0</v>
      </c>
      <c r="BH22" s="61">
        <v>0</v>
      </c>
      <c r="BI22" s="61">
        <v>0</v>
      </c>
      <c r="BJ22" s="61">
        <v>0</v>
      </c>
      <c r="BK22" s="61">
        <v>0</v>
      </c>
      <c r="BL22" s="61">
        <v>0</v>
      </c>
      <c r="BM22" s="61">
        <v>0</v>
      </c>
      <c r="BN22" s="61">
        <v>0</v>
      </c>
      <c r="BO22" s="61">
        <v>0</v>
      </c>
      <c r="BP22" s="61">
        <v>0</v>
      </c>
      <c r="BQ22" s="61">
        <v>0</v>
      </c>
      <c r="BR22" s="61">
        <v>0</v>
      </c>
      <c r="BS22" s="61">
        <v>0</v>
      </c>
      <c r="BT22" s="61">
        <v>0</v>
      </c>
      <c r="BU22" s="61">
        <v>0</v>
      </c>
      <c r="BV22" s="61">
        <v>0</v>
      </c>
      <c r="BW22" s="61">
        <v>0</v>
      </c>
      <c r="BX22" s="61">
        <v>0</v>
      </c>
      <c r="BY22" s="61">
        <v>0</v>
      </c>
      <c r="BZ22" s="61">
        <v>0</v>
      </c>
      <c r="CA22" s="61">
        <v>0</v>
      </c>
      <c r="CB22" s="61">
        <v>0</v>
      </c>
      <c r="CC22" s="61">
        <v>0</v>
      </c>
      <c r="CD22" s="61">
        <v>0</v>
      </c>
      <c r="CE22" s="61">
        <v>0</v>
      </c>
      <c r="CF22" s="61">
        <v>0</v>
      </c>
      <c r="CG22" s="61">
        <v>0</v>
      </c>
      <c r="CH22" s="61">
        <v>0</v>
      </c>
      <c r="CI22" s="61">
        <v>0</v>
      </c>
      <c r="CJ22" s="61">
        <v>0</v>
      </c>
      <c r="CK22" s="61">
        <v>0</v>
      </c>
      <c r="CL22" s="61">
        <v>0</v>
      </c>
      <c r="CM22" s="61">
        <v>0</v>
      </c>
      <c r="CN22" s="61">
        <v>0</v>
      </c>
      <c r="CO22" s="61">
        <v>0</v>
      </c>
      <c r="CP22" s="61">
        <v>0</v>
      </c>
      <c r="CQ22" s="61">
        <v>0</v>
      </c>
      <c r="CR22" s="61">
        <v>0</v>
      </c>
      <c r="CS22" s="61">
        <v>0</v>
      </c>
      <c r="CT22" s="61">
        <v>0</v>
      </c>
      <c r="CU22" s="61">
        <v>0</v>
      </c>
      <c r="CV22" s="61">
        <v>0</v>
      </c>
      <c r="CW22" s="61">
        <v>0</v>
      </c>
      <c r="CX22" s="61">
        <v>0</v>
      </c>
      <c r="CY22" s="61">
        <v>0</v>
      </c>
      <c r="CZ22" s="61">
        <v>0</v>
      </c>
      <c r="DA22" s="61">
        <v>0</v>
      </c>
      <c r="DB22" s="61">
        <v>0</v>
      </c>
      <c r="DC22" s="61">
        <v>0</v>
      </c>
      <c r="DD22" s="61">
        <v>0</v>
      </c>
      <c r="DE22" s="61">
        <v>0</v>
      </c>
      <c r="DF22" s="61">
        <v>0</v>
      </c>
      <c r="DG22" s="61">
        <v>0</v>
      </c>
      <c r="DH22" s="61">
        <v>0</v>
      </c>
      <c r="DI22" s="61">
        <v>0</v>
      </c>
      <c r="DJ22" s="61">
        <v>0</v>
      </c>
      <c r="DK22" s="61">
        <v>0</v>
      </c>
      <c r="DL22" s="61">
        <v>0</v>
      </c>
      <c r="DM22" s="61">
        <v>0</v>
      </c>
      <c r="DN22" s="61">
        <v>0</v>
      </c>
      <c r="DO22" s="61">
        <v>0</v>
      </c>
      <c r="DP22" s="61">
        <v>0</v>
      </c>
      <c r="DQ22" s="61">
        <v>0</v>
      </c>
      <c r="DR22" s="61">
        <v>0</v>
      </c>
      <c r="DS22" s="61">
        <v>0</v>
      </c>
      <c r="DT22" s="61">
        <v>0</v>
      </c>
      <c r="DU22" s="61">
        <v>0</v>
      </c>
      <c r="DV22" s="61">
        <v>0</v>
      </c>
      <c r="DW22" s="61">
        <v>0</v>
      </c>
      <c r="DX22" s="61">
        <v>0</v>
      </c>
      <c r="DY22" s="61">
        <v>0</v>
      </c>
      <c r="DZ22" s="61">
        <v>0</v>
      </c>
      <c r="EA22" s="61">
        <v>0</v>
      </c>
      <c r="EB22" s="61">
        <v>0</v>
      </c>
      <c r="EC22" s="61">
        <v>0</v>
      </c>
      <c r="ED22" s="61">
        <v>0</v>
      </c>
      <c r="EE22" s="61">
        <v>0</v>
      </c>
      <c r="EF22" s="61">
        <v>0</v>
      </c>
      <c r="EG22" s="61">
        <v>0</v>
      </c>
      <c r="EH22" s="61">
        <v>0</v>
      </c>
      <c r="EI22" s="61">
        <v>0</v>
      </c>
      <c r="EJ22" s="61">
        <v>0</v>
      </c>
      <c r="EK22" s="61">
        <v>0</v>
      </c>
      <c r="EL22" s="61">
        <v>0</v>
      </c>
      <c r="EM22" s="61">
        <v>0</v>
      </c>
      <c r="EN22" s="61">
        <v>0</v>
      </c>
      <c r="EO22" s="61">
        <v>0</v>
      </c>
      <c r="EP22" s="61">
        <v>0</v>
      </c>
      <c r="EQ22" s="61">
        <v>0</v>
      </c>
      <c r="ER22" s="65">
        <v>0</v>
      </c>
      <c r="ES22" s="61">
        <v>0</v>
      </c>
      <c r="ET22" s="61">
        <v>0</v>
      </c>
      <c r="EU22" s="61">
        <v>0</v>
      </c>
      <c r="EV22" s="61">
        <v>0</v>
      </c>
      <c r="EW22" s="61">
        <v>0</v>
      </c>
      <c r="EX22" s="61">
        <v>0</v>
      </c>
      <c r="EY22" s="61">
        <v>0</v>
      </c>
      <c r="EZ22" s="61">
        <v>0</v>
      </c>
      <c r="FA22" s="61">
        <v>0</v>
      </c>
      <c r="FB22" s="61">
        <v>0</v>
      </c>
      <c r="FC22" s="61">
        <v>0</v>
      </c>
      <c r="FD22" s="61">
        <v>0</v>
      </c>
      <c r="FE22" s="61">
        <v>0</v>
      </c>
      <c r="FF22" s="61">
        <v>0</v>
      </c>
      <c r="FG22" s="61">
        <v>0</v>
      </c>
      <c r="FH22" s="61">
        <v>0</v>
      </c>
      <c r="FI22" s="61">
        <v>0</v>
      </c>
      <c r="FJ22" s="61">
        <v>0</v>
      </c>
      <c r="FK22" s="61">
        <v>0</v>
      </c>
      <c r="FL22" s="61">
        <v>0</v>
      </c>
      <c r="FM22" s="61">
        <v>0</v>
      </c>
      <c r="FN22" s="61">
        <v>0</v>
      </c>
      <c r="FO22" s="61">
        <v>0</v>
      </c>
      <c r="FP22" s="61">
        <v>0</v>
      </c>
      <c r="FQ22" s="61">
        <v>0</v>
      </c>
      <c r="FR22" s="61">
        <v>0</v>
      </c>
      <c r="FS22" s="61">
        <v>0</v>
      </c>
      <c r="FT22" s="61">
        <v>0</v>
      </c>
      <c r="FU22" s="61">
        <v>0</v>
      </c>
      <c r="FV22" s="61">
        <v>0</v>
      </c>
      <c r="FW22" s="61">
        <v>0</v>
      </c>
      <c r="FX22" s="61">
        <v>0</v>
      </c>
      <c r="FY22" s="61">
        <v>0</v>
      </c>
      <c r="FZ22" s="61">
        <v>0</v>
      </c>
      <c r="GA22" s="61">
        <v>0</v>
      </c>
      <c r="GB22" s="61">
        <v>0</v>
      </c>
      <c r="GC22" s="61">
        <v>0</v>
      </c>
      <c r="GD22" s="61">
        <v>0</v>
      </c>
      <c r="GE22" s="61">
        <v>0</v>
      </c>
      <c r="GF22" s="61">
        <v>0</v>
      </c>
      <c r="GG22" s="61">
        <v>0</v>
      </c>
      <c r="GH22" s="61">
        <v>0</v>
      </c>
      <c r="GI22" s="61">
        <v>0</v>
      </c>
      <c r="GJ22" s="61">
        <v>0</v>
      </c>
      <c r="GK22" s="61">
        <v>0</v>
      </c>
      <c r="GL22" s="61">
        <v>0</v>
      </c>
      <c r="GM22" s="61">
        <v>0</v>
      </c>
      <c r="GN22" s="61">
        <v>0</v>
      </c>
      <c r="GO22" s="61">
        <v>0</v>
      </c>
      <c r="GP22" s="61">
        <v>0</v>
      </c>
      <c r="GQ22" s="61">
        <v>0</v>
      </c>
      <c r="GR22" s="61">
        <v>0</v>
      </c>
      <c r="GS22" s="61">
        <v>0</v>
      </c>
      <c r="GT22" s="61">
        <v>0</v>
      </c>
      <c r="GU22" s="63">
        <v>0</v>
      </c>
      <c r="GV22" s="63">
        <v>0</v>
      </c>
      <c r="GW22" s="63">
        <v>0</v>
      </c>
      <c r="GX22" s="63">
        <v>0</v>
      </c>
      <c r="GY22" s="63">
        <v>0</v>
      </c>
      <c r="GZ22" s="63">
        <v>0</v>
      </c>
      <c r="HA22" s="63">
        <v>0</v>
      </c>
      <c r="HB22" s="63">
        <v>0</v>
      </c>
      <c r="HC22" s="63">
        <v>0</v>
      </c>
      <c r="HD22" s="63">
        <v>0</v>
      </c>
      <c r="HE22" s="63">
        <v>0</v>
      </c>
      <c r="HF22" s="63">
        <v>0</v>
      </c>
      <c r="HG22" s="63">
        <v>0</v>
      </c>
      <c r="HH22" s="63">
        <v>0</v>
      </c>
      <c r="HI22" s="63">
        <v>0</v>
      </c>
      <c r="HJ22" s="63">
        <v>1945</v>
      </c>
      <c r="HK22" s="63">
        <f>SUM(ER$4:HI$4)</f>
        <v>70</v>
      </c>
      <c r="HL22" s="61">
        <f>SUM(ER22:HI22)</f>
        <v>0</v>
      </c>
      <c r="HM22" s="67">
        <f>100*HL22/HK22</f>
        <v>0</v>
      </c>
      <c r="HN22" s="67"/>
      <c r="HO22" s="68">
        <v>0.34</v>
      </c>
      <c r="HP22" s="68">
        <v>1.38</v>
      </c>
      <c r="HQ22" s="61">
        <v>1.86</v>
      </c>
    </row>
    <row r="23" spans="1:227" x14ac:dyDescent="0.3">
      <c r="B23" s="63" t="s">
        <v>7252</v>
      </c>
      <c r="C23" s="61">
        <v>0</v>
      </c>
      <c r="D23" s="61">
        <v>0</v>
      </c>
      <c r="E23" s="61">
        <v>0</v>
      </c>
      <c r="F23" s="61">
        <v>0</v>
      </c>
      <c r="G23" s="61">
        <v>0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0</v>
      </c>
      <c r="Q23" s="61">
        <v>0</v>
      </c>
      <c r="R23" s="61">
        <v>0</v>
      </c>
      <c r="S23" s="61">
        <v>0</v>
      </c>
      <c r="T23" s="61">
        <v>0</v>
      </c>
      <c r="U23" s="61">
        <v>0</v>
      </c>
      <c r="V23" s="61">
        <v>0</v>
      </c>
      <c r="W23" s="61">
        <v>0</v>
      </c>
      <c r="X23" s="61">
        <v>0</v>
      </c>
      <c r="Y23" s="61">
        <v>0</v>
      </c>
      <c r="Z23" s="61">
        <v>0</v>
      </c>
      <c r="AA23" s="61">
        <v>0</v>
      </c>
      <c r="AB23" s="61">
        <v>0</v>
      </c>
      <c r="AC23" s="61">
        <v>0</v>
      </c>
      <c r="AD23" s="61">
        <v>0</v>
      </c>
      <c r="AE23" s="61">
        <v>0</v>
      </c>
      <c r="AF23" s="61">
        <v>0</v>
      </c>
      <c r="AG23" s="61">
        <v>0</v>
      </c>
      <c r="AH23" s="61">
        <v>0</v>
      </c>
      <c r="AI23" s="61">
        <v>0</v>
      </c>
      <c r="AJ23" s="61">
        <v>0</v>
      </c>
      <c r="AK23" s="61">
        <v>0</v>
      </c>
      <c r="AL23" s="61">
        <v>0</v>
      </c>
      <c r="AM23" s="61">
        <v>0</v>
      </c>
      <c r="AN23" s="61">
        <v>0</v>
      </c>
      <c r="AO23" s="61">
        <v>0</v>
      </c>
      <c r="AP23" s="61">
        <v>0</v>
      </c>
      <c r="AQ23" s="61">
        <v>0</v>
      </c>
      <c r="AR23" s="61">
        <v>0</v>
      </c>
      <c r="AS23" s="61">
        <v>0</v>
      </c>
      <c r="AT23" s="61">
        <v>0</v>
      </c>
      <c r="AU23" s="61">
        <v>0</v>
      </c>
      <c r="AV23" s="61">
        <v>0</v>
      </c>
      <c r="AW23" s="61">
        <v>0</v>
      </c>
      <c r="AX23" s="61">
        <v>0</v>
      </c>
      <c r="AY23" s="61">
        <v>0</v>
      </c>
      <c r="AZ23" s="61">
        <v>0</v>
      </c>
      <c r="BA23" s="61">
        <v>0</v>
      </c>
      <c r="BB23" s="61">
        <v>0</v>
      </c>
      <c r="BC23" s="61">
        <v>0</v>
      </c>
      <c r="BD23" s="61">
        <v>0</v>
      </c>
      <c r="BE23" s="61">
        <v>0</v>
      </c>
      <c r="BF23" s="61">
        <v>0</v>
      </c>
      <c r="BG23" s="61">
        <v>0</v>
      </c>
      <c r="BH23" s="61">
        <v>0</v>
      </c>
      <c r="BI23" s="61">
        <v>0</v>
      </c>
      <c r="BJ23" s="61">
        <v>0</v>
      </c>
      <c r="BK23" s="61">
        <v>0</v>
      </c>
      <c r="BL23" s="61">
        <v>0</v>
      </c>
      <c r="BM23" s="61">
        <v>0</v>
      </c>
      <c r="BN23" s="61">
        <v>0</v>
      </c>
      <c r="BO23" s="61">
        <v>0</v>
      </c>
      <c r="BP23" s="61">
        <v>0</v>
      </c>
      <c r="BQ23" s="61">
        <v>0</v>
      </c>
      <c r="BR23" s="61">
        <v>0</v>
      </c>
      <c r="BS23" s="61">
        <v>0</v>
      </c>
      <c r="BT23" s="61">
        <v>0</v>
      </c>
      <c r="BU23" s="61">
        <v>0</v>
      </c>
      <c r="BV23" s="61">
        <v>0</v>
      </c>
      <c r="BW23" s="61">
        <v>0</v>
      </c>
      <c r="BX23" s="61">
        <v>0</v>
      </c>
      <c r="BY23" s="61">
        <v>0</v>
      </c>
      <c r="BZ23" s="61">
        <v>0</v>
      </c>
      <c r="CA23" s="61">
        <v>0</v>
      </c>
      <c r="CB23" s="61">
        <v>0</v>
      </c>
      <c r="CC23" s="61">
        <v>0</v>
      </c>
      <c r="CD23" s="61">
        <v>0</v>
      </c>
      <c r="CE23" s="61">
        <v>0</v>
      </c>
      <c r="CF23" s="61">
        <v>0</v>
      </c>
      <c r="CG23" s="61">
        <v>0</v>
      </c>
      <c r="CH23" s="61">
        <v>0</v>
      </c>
      <c r="CI23" s="61">
        <v>0</v>
      </c>
      <c r="CJ23" s="61">
        <v>0</v>
      </c>
      <c r="CK23" s="61">
        <v>0</v>
      </c>
      <c r="CL23" s="61">
        <v>0</v>
      </c>
      <c r="CM23" s="61">
        <v>0</v>
      </c>
      <c r="CN23" s="61">
        <v>0</v>
      </c>
      <c r="CO23" s="61">
        <v>0</v>
      </c>
      <c r="CP23" s="61">
        <v>0</v>
      </c>
      <c r="CQ23" s="61">
        <v>0</v>
      </c>
      <c r="CR23" s="61">
        <v>0</v>
      </c>
      <c r="CS23" s="61">
        <v>0</v>
      </c>
      <c r="CT23" s="61">
        <v>0</v>
      </c>
      <c r="CU23" s="61">
        <v>0</v>
      </c>
      <c r="CV23" s="61">
        <v>0</v>
      </c>
      <c r="CW23" s="61">
        <v>0</v>
      </c>
      <c r="CX23" s="61">
        <v>0</v>
      </c>
      <c r="CY23" s="61">
        <v>0</v>
      </c>
      <c r="CZ23" s="61">
        <v>0</v>
      </c>
      <c r="DA23" s="61">
        <v>0</v>
      </c>
      <c r="DB23" s="61">
        <v>0</v>
      </c>
      <c r="DC23" s="61">
        <v>0</v>
      </c>
      <c r="DD23" s="61">
        <v>0</v>
      </c>
      <c r="DE23" s="61">
        <v>0</v>
      </c>
      <c r="DF23" s="61">
        <v>0</v>
      </c>
      <c r="DG23" s="61">
        <v>0</v>
      </c>
      <c r="DH23" s="61">
        <v>0</v>
      </c>
      <c r="DI23" s="61">
        <v>0</v>
      </c>
      <c r="DJ23" s="61">
        <v>0</v>
      </c>
      <c r="DK23" s="61">
        <v>0</v>
      </c>
      <c r="DL23" s="61">
        <v>0</v>
      </c>
      <c r="DM23" s="61">
        <v>0</v>
      </c>
      <c r="DN23" s="61">
        <v>0</v>
      </c>
      <c r="DO23" s="61">
        <v>0</v>
      </c>
      <c r="DP23" s="61">
        <v>0</v>
      </c>
      <c r="DQ23" s="61">
        <v>0</v>
      </c>
      <c r="DR23" s="61">
        <v>0</v>
      </c>
      <c r="DS23" s="61">
        <v>0</v>
      </c>
      <c r="DT23" s="61">
        <v>0</v>
      </c>
      <c r="DU23" s="61">
        <v>0</v>
      </c>
      <c r="DV23" s="61">
        <v>0</v>
      </c>
      <c r="DW23" s="61">
        <v>0</v>
      </c>
      <c r="DX23" s="61">
        <v>0</v>
      </c>
      <c r="DY23" s="61">
        <v>0</v>
      </c>
      <c r="DZ23" s="61">
        <v>0</v>
      </c>
      <c r="EA23" s="61">
        <v>0</v>
      </c>
      <c r="EB23" s="61">
        <v>0</v>
      </c>
      <c r="EC23" s="61">
        <v>0</v>
      </c>
      <c r="ED23" s="61">
        <v>0</v>
      </c>
      <c r="EE23" s="61">
        <v>0</v>
      </c>
      <c r="EF23" s="61">
        <v>0</v>
      </c>
      <c r="EG23" s="61">
        <v>0</v>
      </c>
      <c r="EH23" s="61">
        <v>0</v>
      </c>
      <c r="EI23" s="61">
        <v>0</v>
      </c>
      <c r="EJ23" s="61">
        <v>0</v>
      </c>
      <c r="EK23" s="61">
        <v>0</v>
      </c>
      <c r="EL23" s="61">
        <v>0</v>
      </c>
      <c r="EM23" s="61">
        <v>0</v>
      </c>
      <c r="EN23" s="61">
        <v>0</v>
      </c>
      <c r="EO23" s="61">
        <v>0</v>
      </c>
      <c r="EP23" s="61">
        <v>0</v>
      </c>
      <c r="EQ23" s="61">
        <v>0</v>
      </c>
      <c r="ER23" s="61">
        <v>0</v>
      </c>
      <c r="ES23" s="61">
        <v>0</v>
      </c>
      <c r="ET23" s="61">
        <v>0</v>
      </c>
      <c r="EU23" s="61">
        <v>0</v>
      </c>
      <c r="EV23" s="61">
        <v>0</v>
      </c>
      <c r="EW23" s="61">
        <v>0</v>
      </c>
      <c r="EX23" s="61">
        <v>0</v>
      </c>
      <c r="EY23" s="61">
        <v>0</v>
      </c>
      <c r="EZ23" s="61">
        <v>0</v>
      </c>
      <c r="FA23" s="61">
        <v>0</v>
      </c>
      <c r="FB23" s="61">
        <v>0</v>
      </c>
      <c r="FC23" s="61">
        <v>0</v>
      </c>
      <c r="FD23" s="65">
        <v>0</v>
      </c>
      <c r="FE23" s="61">
        <v>0</v>
      </c>
      <c r="FF23" s="61">
        <v>0</v>
      </c>
      <c r="FG23" s="61">
        <v>0</v>
      </c>
      <c r="FH23" s="61">
        <v>0</v>
      </c>
      <c r="FI23" s="61">
        <v>0</v>
      </c>
      <c r="FJ23" s="61">
        <v>0</v>
      </c>
      <c r="FK23" s="61">
        <v>0</v>
      </c>
      <c r="FL23" s="61">
        <v>0</v>
      </c>
      <c r="FM23" s="61">
        <v>0</v>
      </c>
      <c r="FN23" s="61">
        <v>0</v>
      </c>
      <c r="FO23" s="61">
        <v>0</v>
      </c>
      <c r="FP23" s="61">
        <v>0</v>
      </c>
      <c r="FQ23" s="61">
        <v>0</v>
      </c>
      <c r="FR23" s="61">
        <v>0</v>
      </c>
      <c r="FS23" s="61">
        <v>0</v>
      </c>
      <c r="FT23" s="61">
        <v>0</v>
      </c>
      <c r="FU23" s="61">
        <v>0</v>
      </c>
      <c r="FV23" s="61">
        <v>0</v>
      </c>
      <c r="FW23" s="61">
        <v>0</v>
      </c>
      <c r="FX23" s="61">
        <v>0</v>
      </c>
      <c r="FY23" s="61">
        <v>0</v>
      </c>
      <c r="FZ23" s="61">
        <v>0</v>
      </c>
      <c r="GA23" s="61">
        <v>0</v>
      </c>
      <c r="GB23" s="61">
        <v>0</v>
      </c>
      <c r="GC23" s="61">
        <v>0</v>
      </c>
      <c r="GD23" s="61">
        <v>0</v>
      </c>
      <c r="GE23" s="61">
        <v>0</v>
      </c>
      <c r="GF23" s="61">
        <v>0</v>
      </c>
      <c r="GG23" s="61">
        <v>0</v>
      </c>
      <c r="GH23" s="61">
        <v>0</v>
      </c>
      <c r="GI23" s="61">
        <v>0</v>
      </c>
      <c r="GJ23" s="61">
        <v>0</v>
      </c>
      <c r="GK23" s="61">
        <v>0</v>
      </c>
      <c r="GL23" s="61">
        <v>0</v>
      </c>
      <c r="GM23" s="61">
        <v>0</v>
      </c>
      <c r="GN23" s="61">
        <v>0</v>
      </c>
      <c r="GO23" s="61">
        <v>0</v>
      </c>
      <c r="GP23" s="61">
        <v>0</v>
      </c>
      <c r="GQ23" s="61">
        <v>0</v>
      </c>
      <c r="GR23" s="61">
        <v>0</v>
      </c>
      <c r="GS23" s="61">
        <v>0</v>
      </c>
      <c r="GT23" s="61">
        <v>0</v>
      </c>
      <c r="GU23" s="61">
        <v>0</v>
      </c>
      <c r="GV23" s="61">
        <v>0</v>
      </c>
      <c r="GW23" s="61">
        <v>0</v>
      </c>
      <c r="GX23" s="61">
        <v>0</v>
      </c>
      <c r="GY23" s="63">
        <v>0</v>
      </c>
      <c r="GZ23" s="63">
        <v>0</v>
      </c>
      <c r="HA23" s="63">
        <v>0</v>
      </c>
      <c r="HB23" s="63">
        <v>0</v>
      </c>
      <c r="HC23" s="63">
        <v>0</v>
      </c>
      <c r="HD23" s="63">
        <v>0</v>
      </c>
      <c r="HE23" s="63">
        <v>0</v>
      </c>
      <c r="HF23" s="63">
        <v>0</v>
      </c>
      <c r="HG23" s="63">
        <v>0</v>
      </c>
      <c r="HH23" s="63">
        <v>0</v>
      </c>
      <c r="HI23" s="63">
        <v>0</v>
      </c>
      <c r="HJ23" s="63">
        <v>1957</v>
      </c>
      <c r="HK23" s="63">
        <f>SUM(FD$4:HI$4)</f>
        <v>58</v>
      </c>
      <c r="HL23" s="61">
        <f>SUM(FD23:HI23)</f>
        <v>0</v>
      </c>
      <c r="HM23" s="67">
        <f>100*HL23/HK23</f>
        <v>0</v>
      </c>
      <c r="HN23" s="67"/>
      <c r="HO23" s="68">
        <v>0.1</v>
      </c>
      <c r="HP23" s="68">
        <v>0.33</v>
      </c>
      <c r="HQ23" s="61">
        <v>0.48</v>
      </c>
    </row>
    <row r="24" spans="1:227" x14ac:dyDescent="0.3">
      <c r="B24" s="63" t="s">
        <v>7253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0</v>
      </c>
      <c r="R24" s="61">
        <v>0</v>
      </c>
      <c r="S24" s="61">
        <v>0</v>
      </c>
      <c r="T24" s="61">
        <v>0</v>
      </c>
      <c r="U24" s="61">
        <v>0</v>
      </c>
      <c r="V24" s="61">
        <v>0</v>
      </c>
      <c r="W24" s="61">
        <v>0</v>
      </c>
      <c r="X24" s="61">
        <v>0</v>
      </c>
      <c r="Y24" s="61">
        <v>0</v>
      </c>
      <c r="Z24" s="61">
        <v>0</v>
      </c>
      <c r="AA24" s="61">
        <v>0</v>
      </c>
      <c r="AB24" s="61">
        <v>0</v>
      </c>
      <c r="AC24" s="61">
        <v>0</v>
      </c>
      <c r="AD24" s="61">
        <v>0</v>
      </c>
      <c r="AE24" s="61">
        <v>0</v>
      </c>
      <c r="AF24" s="61">
        <v>0</v>
      </c>
      <c r="AG24" s="61">
        <v>0</v>
      </c>
      <c r="AH24" s="61">
        <v>0</v>
      </c>
      <c r="AI24" s="61">
        <v>0</v>
      </c>
      <c r="AJ24" s="61">
        <v>0</v>
      </c>
      <c r="AK24" s="61">
        <v>0</v>
      </c>
      <c r="AL24" s="61">
        <v>0</v>
      </c>
      <c r="AM24" s="61">
        <v>0</v>
      </c>
      <c r="AN24" s="61">
        <v>0</v>
      </c>
      <c r="AO24" s="61">
        <v>0</v>
      </c>
      <c r="AP24" s="61">
        <v>0</v>
      </c>
      <c r="AQ24" s="61">
        <v>0</v>
      </c>
      <c r="AR24" s="61">
        <v>0</v>
      </c>
      <c r="AS24" s="61">
        <v>0</v>
      </c>
      <c r="AT24" s="61">
        <v>0</v>
      </c>
      <c r="AU24" s="61">
        <v>0</v>
      </c>
      <c r="AV24" s="61">
        <v>0</v>
      </c>
      <c r="AW24" s="61">
        <v>0</v>
      </c>
      <c r="AX24" s="61">
        <v>0</v>
      </c>
      <c r="AY24" s="61">
        <v>0</v>
      </c>
      <c r="AZ24" s="61">
        <v>0</v>
      </c>
      <c r="BA24" s="61">
        <v>0</v>
      </c>
      <c r="BB24" s="61">
        <v>0</v>
      </c>
      <c r="BC24" s="61">
        <v>0</v>
      </c>
      <c r="BD24" s="61">
        <v>0</v>
      </c>
      <c r="BE24" s="61">
        <v>0</v>
      </c>
      <c r="BF24" s="61">
        <v>0</v>
      </c>
      <c r="BG24" s="61">
        <v>0</v>
      </c>
      <c r="BH24" s="61">
        <v>0</v>
      </c>
      <c r="BI24" s="61">
        <v>0</v>
      </c>
      <c r="BJ24" s="61">
        <v>0</v>
      </c>
      <c r="BK24" s="61">
        <v>0</v>
      </c>
      <c r="BL24" s="61">
        <v>0</v>
      </c>
      <c r="BM24" s="61">
        <v>0</v>
      </c>
      <c r="BN24" s="61">
        <v>0</v>
      </c>
      <c r="BO24" s="61">
        <v>0</v>
      </c>
      <c r="BP24" s="61">
        <v>0</v>
      </c>
      <c r="BQ24" s="61">
        <v>0</v>
      </c>
      <c r="BR24" s="61">
        <v>0</v>
      </c>
      <c r="BS24" s="61">
        <v>0</v>
      </c>
      <c r="BT24" s="61">
        <v>0</v>
      </c>
      <c r="BU24" s="61">
        <v>0</v>
      </c>
      <c r="BV24" s="61">
        <v>0</v>
      </c>
      <c r="BW24" s="61">
        <v>0</v>
      </c>
      <c r="BX24" s="61">
        <v>0</v>
      </c>
      <c r="BY24" s="61">
        <v>0</v>
      </c>
      <c r="BZ24" s="61">
        <v>0</v>
      </c>
      <c r="CA24" s="61">
        <v>0</v>
      </c>
      <c r="CB24" s="61">
        <v>0</v>
      </c>
      <c r="CC24" s="61">
        <v>0</v>
      </c>
      <c r="CD24" s="61">
        <v>0</v>
      </c>
      <c r="CE24" s="61">
        <v>0</v>
      </c>
      <c r="CF24" s="61">
        <v>0</v>
      </c>
      <c r="CG24" s="61">
        <v>0</v>
      </c>
      <c r="CH24" s="61">
        <v>0</v>
      </c>
      <c r="CI24" s="61">
        <v>0</v>
      </c>
      <c r="CJ24" s="61">
        <v>0</v>
      </c>
      <c r="CK24" s="61">
        <v>0</v>
      </c>
      <c r="CL24" s="61">
        <v>0</v>
      </c>
      <c r="CM24" s="61">
        <v>0</v>
      </c>
      <c r="CN24" s="61">
        <v>0</v>
      </c>
      <c r="CO24" s="61">
        <v>0</v>
      </c>
      <c r="CP24" s="61">
        <v>0</v>
      </c>
      <c r="CQ24" s="61">
        <v>0</v>
      </c>
      <c r="CR24" s="61">
        <v>0</v>
      </c>
      <c r="CS24" s="61">
        <v>0</v>
      </c>
      <c r="CT24" s="61">
        <v>0</v>
      </c>
      <c r="CU24" s="61">
        <v>0</v>
      </c>
      <c r="CV24" s="61">
        <v>0</v>
      </c>
      <c r="CW24" s="61">
        <v>0</v>
      </c>
      <c r="CX24" s="61">
        <v>0</v>
      </c>
      <c r="CY24" s="61">
        <v>0</v>
      </c>
      <c r="CZ24" s="61">
        <v>0</v>
      </c>
      <c r="DA24" s="61">
        <v>0</v>
      </c>
      <c r="DB24" s="61">
        <v>0</v>
      </c>
      <c r="DC24" s="61">
        <v>0</v>
      </c>
      <c r="DD24" s="61">
        <v>0</v>
      </c>
      <c r="DE24" s="61">
        <v>0</v>
      </c>
      <c r="DF24" s="61">
        <v>0</v>
      </c>
      <c r="DG24" s="61">
        <v>0</v>
      </c>
      <c r="DH24" s="61">
        <v>0</v>
      </c>
      <c r="DI24" s="61">
        <v>0</v>
      </c>
      <c r="DJ24" s="61">
        <v>0</v>
      </c>
      <c r="DK24" s="61">
        <v>0</v>
      </c>
      <c r="DL24" s="61">
        <v>0</v>
      </c>
      <c r="DM24" s="61">
        <v>0</v>
      </c>
      <c r="DN24" s="61">
        <v>0</v>
      </c>
      <c r="DO24" s="61">
        <v>0</v>
      </c>
      <c r="DP24" s="61">
        <v>0</v>
      </c>
      <c r="DQ24" s="61">
        <v>0</v>
      </c>
      <c r="DR24" s="61">
        <v>0</v>
      </c>
      <c r="DS24" s="61">
        <v>0</v>
      </c>
      <c r="DT24" s="61">
        <v>0</v>
      </c>
      <c r="DU24" s="61">
        <v>0</v>
      </c>
      <c r="DV24" s="61">
        <v>0</v>
      </c>
      <c r="DW24" s="61">
        <v>0</v>
      </c>
      <c r="DX24" s="61">
        <v>0</v>
      </c>
      <c r="DY24" s="61">
        <v>0</v>
      </c>
      <c r="DZ24" s="61">
        <v>0</v>
      </c>
      <c r="EA24" s="61">
        <v>0</v>
      </c>
      <c r="EB24" s="61">
        <v>0</v>
      </c>
      <c r="EC24" s="61">
        <v>0</v>
      </c>
      <c r="ED24" s="61">
        <v>0</v>
      </c>
      <c r="EE24" s="61">
        <v>0</v>
      </c>
      <c r="EF24" s="61">
        <v>0</v>
      </c>
      <c r="EG24" s="61">
        <v>0</v>
      </c>
      <c r="EH24" s="61">
        <v>0</v>
      </c>
      <c r="EI24" s="61">
        <v>0</v>
      </c>
      <c r="EJ24" s="61">
        <v>0</v>
      </c>
      <c r="EK24" s="61">
        <v>0</v>
      </c>
      <c r="EL24" s="61">
        <v>0</v>
      </c>
      <c r="EM24" s="61">
        <v>0</v>
      </c>
      <c r="EN24" s="61">
        <v>0</v>
      </c>
      <c r="EO24" s="61">
        <v>0</v>
      </c>
      <c r="EP24" s="61">
        <v>0</v>
      </c>
      <c r="EQ24" s="61">
        <v>0</v>
      </c>
      <c r="ER24" s="61">
        <v>0</v>
      </c>
      <c r="ES24" s="61">
        <v>0</v>
      </c>
      <c r="ET24" s="61">
        <v>0</v>
      </c>
      <c r="EU24" s="65">
        <v>0</v>
      </c>
      <c r="EV24" s="61">
        <v>0</v>
      </c>
      <c r="EW24" s="61">
        <v>0</v>
      </c>
      <c r="EX24" s="61">
        <v>0</v>
      </c>
      <c r="EY24" s="61">
        <v>0</v>
      </c>
      <c r="EZ24" s="61">
        <v>0</v>
      </c>
      <c r="FA24" s="61">
        <v>0</v>
      </c>
      <c r="FB24" s="61">
        <v>0</v>
      </c>
      <c r="FC24" s="61">
        <v>0</v>
      </c>
      <c r="FD24" s="61">
        <v>0</v>
      </c>
      <c r="FE24" s="61">
        <v>0</v>
      </c>
      <c r="FF24" s="61">
        <v>0</v>
      </c>
      <c r="FG24" s="61">
        <v>0</v>
      </c>
      <c r="FH24" s="61">
        <v>0</v>
      </c>
      <c r="FI24" s="61">
        <v>0</v>
      </c>
      <c r="FJ24" s="61">
        <v>0</v>
      </c>
      <c r="FK24" s="61">
        <v>0</v>
      </c>
      <c r="FL24" s="61">
        <v>0</v>
      </c>
      <c r="FM24" s="61">
        <v>0</v>
      </c>
      <c r="FN24" s="61">
        <v>0</v>
      </c>
      <c r="FO24" s="61">
        <v>0</v>
      </c>
      <c r="FP24" s="61">
        <v>0</v>
      </c>
      <c r="FQ24" s="61">
        <v>0</v>
      </c>
      <c r="FR24" s="61">
        <v>0</v>
      </c>
      <c r="FS24" s="61">
        <v>0</v>
      </c>
      <c r="FT24" s="61">
        <v>0</v>
      </c>
      <c r="FU24" s="61">
        <v>0</v>
      </c>
      <c r="FV24" s="61">
        <v>0</v>
      </c>
      <c r="FW24" s="61">
        <v>0</v>
      </c>
      <c r="FX24" s="61">
        <v>0</v>
      </c>
      <c r="FY24" s="61">
        <v>0</v>
      </c>
      <c r="FZ24" s="61">
        <v>0</v>
      </c>
      <c r="GA24" s="61">
        <v>0</v>
      </c>
      <c r="GB24" s="61">
        <v>0</v>
      </c>
      <c r="GC24" s="61">
        <v>0</v>
      </c>
      <c r="GD24" s="61">
        <v>0</v>
      </c>
      <c r="GE24" s="61">
        <v>0</v>
      </c>
      <c r="GF24" s="61">
        <v>0</v>
      </c>
      <c r="GG24" s="61">
        <v>0</v>
      </c>
      <c r="GH24" s="61">
        <v>0</v>
      </c>
      <c r="GI24" s="61">
        <v>0</v>
      </c>
      <c r="GJ24" s="61">
        <v>0</v>
      </c>
      <c r="GK24" s="61">
        <v>0</v>
      </c>
      <c r="GL24" s="61">
        <v>0</v>
      </c>
      <c r="GM24" s="61">
        <v>0</v>
      </c>
      <c r="GN24" s="61">
        <v>0</v>
      </c>
      <c r="GO24" s="61">
        <v>0</v>
      </c>
      <c r="GP24" s="61">
        <v>0</v>
      </c>
      <c r="GQ24" s="61">
        <v>0</v>
      </c>
      <c r="GR24" s="66">
        <v>1</v>
      </c>
      <c r="GS24" s="66">
        <v>1</v>
      </c>
      <c r="GT24" s="66">
        <v>1</v>
      </c>
      <c r="GU24" s="66">
        <v>1</v>
      </c>
      <c r="GV24" s="66">
        <v>1</v>
      </c>
      <c r="GW24" s="66">
        <v>1</v>
      </c>
      <c r="GX24" s="66">
        <v>1</v>
      </c>
      <c r="GY24" s="66">
        <v>1</v>
      </c>
      <c r="GZ24" s="66">
        <v>1</v>
      </c>
      <c r="HA24" s="66">
        <v>1</v>
      </c>
      <c r="HB24" s="66">
        <v>1</v>
      </c>
      <c r="HC24" s="66">
        <v>1</v>
      </c>
      <c r="HD24" s="66">
        <v>1</v>
      </c>
      <c r="HE24" s="66">
        <v>1</v>
      </c>
      <c r="HF24" s="66">
        <v>1</v>
      </c>
      <c r="HG24" s="66">
        <v>1</v>
      </c>
      <c r="HH24" s="66">
        <v>1</v>
      </c>
      <c r="HI24" s="66">
        <v>1</v>
      </c>
      <c r="HJ24" s="63">
        <v>1948</v>
      </c>
      <c r="HK24" s="63">
        <f>SUM(EU$4:HI$4)</f>
        <v>67</v>
      </c>
      <c r="HL24" s="61">
        <f>SUM(EU24:HI24)</f>
        <v>18</v>
      </c>
      <c r="HM24" s="67">
        <f t="shared" si="1"/>
        <v>26.865671641791046</v>
      </c>
      <c r="HN24" s="67"/>
      <c r="HO24" s="68">
        <v>0.31</v>
      </c>
      <c r="HP24" s="68">
        <v>0.11</v>
      </c>
      <c r="HQ24" s="61">
        <v>0.21</v>
      </c>
      <c r="HS24" s="61" t="s">
        <v>7254</v>
      </c>
    </row>
    <row r="25" spans="1:227" x14ac:dyDescent="0.3">
      <c r="B25" s="63" t="s">
        <v>7255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0</v>
      </c>
      <c r="S25" s="61">
        <v>0</v>
      </c>
      <c r="T25" s="61">
        <v>0</v>
      </c>
      <c r="U25" s="61">
        <v>0</v>
      </c>
      <c r="V25" s="61">
        <v>0</v>
      </c>
      <c r="W25" s="61">
        <v>0</v>
      </c>
      <c r="X25" s="61">
        <v>0</v>
      </c>
      <c r="Y25" s="61">
        <v>0</v>
      </c>
      <c r="Z25" s="61">
        <v>0</v>
      </c>
      <c r="AA25" s="61">
        <v>0</v>
      </c>
      <c r="AB25" s="61">
        <v>0</v>
      </c>
      <c r="AC25" s="61">
        <v>0</v>
      </c>
      <c r="AD25" s="61">
        <v>0</v>
      </c>
      <c r="AE25" s="61">
        <v>0</v>
      </c>
      <c r="AF25" s="61">
        <v>0</v>
      </c>
      <c r="AG25" s="61">
        <v>0</v>
      </c>
      <c r="AH25" s="61">
        <v>0</v>
      </c>
      <c r="AI25" s="61">
        <v>0</v>
      </c>
      <c r="AJ25" s="61">
        <v>0</v>
      </c>
      <c r="AK25" s="61">
        <v>0</v>
      </c>
      <c r="AL25" s="61">
        <v>0</v>
      </c>
      <c r="AM25" s="61">
        <v>0</v>
      </c>
      <c r="AN25" s="61">
        <v>0</v>
      </c>
      <c r="AO25" s="61">
        <v>0</v>
      </c>
      <c r="AP25" s="61">
        <v>0</v>
      </c>
      <c r="AQ25" s="61">
        <v>0</v>
      </c>
      <c r="AR25" s="61">
        <v>0</v>
      </c>
      <c r="AS25" s="61">
        <v>0</v>
      </c>
      <c r="AT25" s="61">
        <v>0</v>
      </c>
      <c r="AU25" s="61">
        <v>0</v>
      </c>
      <c r="AV25" s="61">
        <v>0</v>
      </c>
      <c r="AW25" s="61">
        <v>0</v>
      </c>
      <c r="AX25" s="61">
        <v>0</v>
      </c>
      <c r="AY25" s="61">
        <v>0</v>
      </c>
      <c r="AZ25" s="61">
        <v>0</v>
      </c>
      <c r="BA25" s="61">
        <v>0</v>
      </c>
      <c r="BB25" s="61">
        <v>0</v>
      </c>
      <c r="BC25" s="61">
        <v>0</v>
      </c>
      <c r="BD25" s="61">
        <v>0</v>
      </c>
      <c r="BE25" s="61">
        <v>0</v>
      </c>
      <c r="BF25" s="61">
        <v>0</v>
      </c>
      <c r="BG25" s="61">
        <v>0</v>
      </c>
      <c r="BH25" s="61">
        <v>0</v>
      </c>
      <c r="BI25" s="61">
        <v>0</v>
      </c>
      <c r="BJ25" s="61">
        <v>0</v>
      </c>
      <c r="BK25" s="61">
        <v>0</v>
      </c>
      <c r="BL25" s="61">
        <v>0</v>
      </c>
      <c r="BM25" s="61">
        <v>0</v>
      </c>
      <c r="BN25" s="61">
        <v>0</v>
      </c>
      <c r="BO25" s="61">
        <v>0</v>
      </c>
      <c r="BP25" s="61">
        <v>0</v>
      </c>
      <c r="BQ25" s="61">
        <v>0</v>
      </c>
      <c r="BR25" s="61">
        <v>0</v>
      </c>
      <c r="BS25" s="61">
        <v>0</v>
      </c>
      <c r="BT25" s="61">
        <v>0</v>
      </c>
      <c r="BU25" s="61">
        <v>0</v>
      </c>
      <c r="BV25" s="61">
        <v>0</v>
      </c>
      <c r="BW25" s="61">
        <v>0</v>
      </c>
      <c r="BX25" s="61">
        <v>0</v>
      </c>
      <c r="BY25" s="61">
        <v>0</v>
      </c>
      <c r="BZ25" s="61">
        <v>0</v>
      </c>
      <c r="CA25" s="61">
        <v>0</v>
      </c>
      <c r="CB25" s="61">
        <v>0</v>
      </c>
      <c r="CC25" s="61">
        <v>0</v>
      </c>
      <c r="CD25" s="61">
        <v>0</v>
      </c>
      <c r="CE25" s="61">
        <v>0</v>
      </c>
      <c r="CF25" s="61">
        <v>0</v>
      </c>
      <c r="CG25" s="61">
        <v>0</v>
      </c>
      <c r="CH25" s="61">
        <v>0</v>
      </c>
      <c r="CI25" s="61">
        <v>0</v>
      </c>
      <c r="CJ25" s="61">
        <v>0</v>
      </c>
      <c r="CK25" s="61">
        <v>0</v>
      </c>
      <c r="CL25" s="61">
        <v>0</v>
      </c>
      <c r="CM25" s="61">
        <v>0</v>
      </c>
      <c r="CN25" s="61">
        <v>0</v>
      </c>
      <c r="CO25" s="61">
        <v>0</v>
      </c>
      <c r="CP25" s="61">
        <v>0</v>
      </c>
      <c r="CQ25" s="61">
        <v>0</v>
      </c>
      <c r="CR25" s="61">
        <v>0</v>
      </c>
      <c r="CS25" s="61">
        <v>0</v>
      </c>
      <c r="CT25" s="61">
        <v>0</v>
      </c>
      <c r="CU25" s="61">
        <v>0</v>
      </c>
      <c r="CV25" s="61">
        <v>0</v>
      </c>
      <c r="CW25" s="61">
        <v>0</v>
      </c>
      <c r="CX25" s="61">
        <v>0</v>
      </c>
      <c r="CY25" s="61">
        <v>0</v>
      </c>
      <c r="CZ25" s="61">
        <v>0</v>
      </c>
      <c r="DA25" s="61">
        <v>0</v>
      </c>
      <c r="DB25" s="61">
        <v>0</v>
      </c>
      <c r="DC25" s="61">
        <v>0</v>
      </c>
      <c r="DD25" s="61">
        <v>0</v>
      </c>
      <c r="DE25" s="61">
        <v>0</v>
      </c>
      <c r="DF25" s="61">
        <v>0</v>
      </c>
      <c r="DG25" s="61">
        <v>0</v>
      </c>
      <c r="DH25" s="61">
        <v>0</v>
      </c>
      <c r="DI25" s="61">
        <v>0</v>
      </c>
      <c r="DJ25" s="61">
        <v>0</v>
      </c>
      <c r="DK25" s="61">
        <v>0</v>
      </c>
      <c r="DL25" s="61">
        <v>0</v>
      </c>
      <c r="DM25" s="61">
        <v>0</v>
      </c>
      <c r="DN25" s="61">
        <v>0</v>
      </c>
      <c r="DO25" s="61">
        <v>0</v>
      </c>
      <c r="DP25" s="61">
        <v>0</v>
      </c>
      <c r="DQ25" s="61">
        <v>0</v>
      </c>
      <c r="DR25" s="61">
        <v>0</v>
      </c>
      <c r="DS25" s="61">
        <v>0</v>
      </c>
      <c r="DT25" s="61">
        <v>0</v>
      </c>
      <c r="DU25" s="61">
        <v>0</v>
      </c>
      <c r="DV25" s="61">
        <v>0</v>
      </c>
      <c r="DW25" s="61">
        <v>0</v>
      </c>
      <c r="DX25" s="61">
        <v>0</v>
      </c>
      <c r="DY25" s="61">
        <v>0</v>
      </c>
      <c r="DZ25" s="61">
        <v>0</v>
      </c>
      <c r="EA25" s="61">
        <v>0</v>
      </c>
      <c r="EB25" s="61">
        <v>0</v>
      </c>
      <c r="EC25" s="61">
        <v>0</v>
      </c>
      <c r="ED25" s="61">
        <v>0</v>
      </c>
      <c r="EE25" s="61">
        <v>0</v>
      </c>
      <c r="EF25" s="61">
        <v>0</v>
      </c>
      <c r="EG25" s="61">
        <v>0</v>
      </c>
      <c r="EH25" s="61">
        <v>0</v>
      </c>
      <c r="EI25" s="61">
        <v>0</v>
      </c>
      <c r="EJ25" s="61">
        <v>0</v>
      </c>
      <c r="EK25" s="61">
        <v>0</v>
      </c>
      <c r="EL25" s="61">
        <v>0</v>
      </c>
      <c r="EM25" s="61">
        <v>0</v>
      </c>
      <c r="EN25" s="61">
        <v>0</v>
      </c>
      <c r="EO25" s="61">
        <v>0</v>
      </c>
      <c r="EP25" s="61">
        <v>0</v>
      </c>
      <c r="EQ25" s="61">
        <v>0</v>
      </c>
      <c r="ER25" s="61">
        <v>0</v>
      </c>
      <c r="ES25" s="65">
        <v>0</v>
      </c>
      <c r="ET25" s="61">
        <v>0</v>
      </c>
      <c r="EU25" s="61">
        <v>0</v>
      </c>
      <c r="EV25" s="61">
        <v>0</v>
      </c>
      <c r="EW25" s="61">
        <v>0</v>
      </c>
      <c r="EX25" s="61">
        <v>0</v>
      </c>
      <c r="EY25" s="61">
        <v>0</v>
      </c>
      <c r="EZ25" s="61">
        <v>0</v>
      </c>
      <c r="FA25" s="61">
        <v>0</v>
      </c>
      <c r="FB25" s="61">
        <v>0</v>
      </c>
      <c r="FC25" s="61">
        <v>0</v>
      </c>
      <c r="FD25" s="61">
        <v>0</v>
      </c>
      <c r="FE25" s="61">
        <v>0</v>
      </c>
      <c r="FF25" s="61">
        <v>0</v>
      </c>
      <c r="FG25" s="61">
        <v>0</v>
      </c>
      <c r="FH25" s="61">
        <v>0</v>
      </c>
      <c r="FI25" s="61">
        <v>0</v>
      </c>
      <c r="FJ25" s="61">
        <v>0</v>
      </c>
      <c r="FK25" s="61">
        <v>0</v>
      </c>
      <c r="FL25" s="61">
        <v>0</v>
      </c>
      <c r="FM25" s="61">
        <v>0</v>
      </c>
      <c r="FN25" s="61">
        <v>0</v>
      </c>
      <c r="FO25" s="61">
        <v>0</v>
      </c>
      <c r="FP25" s="61">
        <v>0</v>
      </c>
      <c r="FQ25" s="61">
        <v>0</v>
      </c>
      <c r="FR25" s="61">
        <v>0</v>
      </c>
      <c r="FS25" s="61">
        <v>0</v>
      </c>
      <c r="FT25" s="61">
        <v>0</v>
      </c>
      <c r="FU25" s="61">
        <v>0</v>
      </c>
      <c r="FV25" s="63">
        <v>0</v>
      </c>
      <c r="FW25" s="63">
        <v>0</v>
      </c>
      <c r="FX25" s="63">
        <v>0</v>
      </c>
      <c r="FY25" s="63">
        <v>0</v>
      </c>
      <c r="FZ25" s="63">
        <v>0</v>
      </c>
      <c r="GA25" s="63">
        <v>0</v>
      </c>
      <c r="GB25" s="63">
        <v>0</v>
      </c>
      <c r="GC25" s="63">
        <v>0</v>
      </c>
      <c r="GD25" s="66">
        <v>1</v>
      </c>
      <c r="GE25" s="66">
        <v>1</v>
      </c>
      <c r="GF25" s="66">
        <v>1</v>
      </c>
      <c r="GG25" s="66">
        <v>1</v>
      </c>
      <c r="GH25" s="66">
        <v>1</v>
      </c>
      <c r="GI25" s="66">
        <v>1</v>
      </c>
      <c r="GJ25" s="66">
        <v>1</v>
      </c>
      <c r="GK25" s="66">
        <v>1</v>
      </c>
      <c r="GL25" s="66">
        <v>1</v>
      </c>
      <c r="GM25" s="66">
        <v>1</v>
      </c>
      <c r="GN25" s="63">
        <v>0</v>
      </c>
      <c r="GO25" s="63">
        <v>0</v>
      </c>
      <c r="GP25" s="63">
        <v>0</v>
      </c>
      <c r="GQ25" s="63">
        <v>0</v>
      </c>
      <c r="GR25" s="63">
        <v>0</v>
      </c>
      <c r="GS25" s="63">
        <v>0</v>
      </c>
      <c r="GT25" s="63">
        <v>0</v>
      </c>
      <c r="GU25" s="63">
        <v>0</v>
      </c>
      <c r="GV25" s="63">
        <v>0</v>
      </c>
      <c r="GW25" s="63">
        <v>0</v>
      </c>
      <c r="GX25" s="63">
        <v>0</v>
      </c>
      <c r="GY25" s="63">
        <v>0</v>
      </c>
      <c r="GZ25" s="63">
        <v>0</v>
      </c>
      <c r="HA25" s="63">
        <v>0</v>
      </c>
      <c r="HB25" s="63">
        <v>0</v>
      </c>
      <c r="HC25" s="63">
        <v>0</v>
      </c>
      <c r="HD25" s="63">
        <v>0</v>
      </c>
      <c r="HE25" s="63">
        <v>0</v>
      </c>
      <c r="HF25" s="63">
        <v>0</v>
      </c>
      <c r="HG25" s="63">
        <v>0</v>
      </c>
      <c r="HH25" s="63"/>
      <c r="HI25" s="63"/>
      <c r="HJ25" s="63">
        <v>1946</v>
      </c>
      <c r="HK25" s="63">
        <f>SUM(ES$4:HI$4)</f>
        <v>69</v>
      </c>
      <c r="HL25" s="61">
        <f>SUM(ES25:HI25)</f>
        <v>10</v>
      </c>
      <c r="HM25" s="67">
        <f t="shared" si="1"/>
        <v>14.492753623188406</v>
      </c>
      <c r="HN25" s="67"/>
      <c r="HO25" s="68">
        <v>0.34</v>
      </c>
      <c r="HP25" s="68">
        <v>0.53</v>
      </c>
      <c r="HQ25" s="61">
        <v>0.53</v>
      </c>
    </row>
    <row r="26" spans="1:227" x14ac:dyDescent="0.3">
      <c r="B26" s="63" t="s">
        <v>7256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0</v>
      </c>
      <c r="T26" s="61">
        <v>0</v>
      </c>
      <c r="U26" s="61">
        <v>0</v>
      </c>
      <c r="V26" s="61">
        <v>0</v>
      </c>
      <c r="W26" s="61">
        <v>0</v>
      </c>
      <c r="X26" s="61">
        <v>0</v>
      </c>
      <c r="Y26" s="61">
        <v>0</v>
      </c>
      <c r="Z26" s="61">
        <v>0</v>
      </c>
      <c r="AA26" s="61">
        <v>0</v>
      </c>
      <c r="AB26" s="61">
        <v>0</v>
      </c>
      <c r="AC26" s="61">
        <v>0</v>
      </c>
      <c r="AD26" s="61">
        <v>0</v>
      </c>
      <c r="AE26" s="61">
        <v>0</v>
      </c>
      <c r="AF26" s="61">
        <v>0</v>
      </c>
      <c r="AG26" s="61">
        <v>0</v>
      </c>
      <c r="AH26" s="61">
        <v>0</v>
      </c>
      <c r="AI26" s="61">
        <v>0</v>
      </c>
      <c r="AJ26" s="61">
        <v>0</v>
      </c>
      <c r="AK26" s="61">
        <v>0</v>
      </c>
      <c r="AL26" s="61">
        <v>0</v>
      </c>
      <c r="AM26" s="61">
        <v>0</v>
      </c>
      <c r="AN26" s="61">
        <v>0</v>
      </c>
      <c r="AO26" s="61">
        <v>0</v>
      </c>
      <c r="AP26" s="61">
        <v>0</v>
      </c>
      <c r="AQ26" s="61">
        <v>0</v>
      </c>
      <c r="AR26" s="61">
        <v>0</v>
      </c>
      <c r="AS26" s="61">
        <v>0</v>
      </c>
      <c r="AT26" s="61">
        <v>0</v>
      </c>
      <c r="AU26" s="61">
        <v>0</v>
      </c>
      <c r="AV26" s="61">
        <v>0</v>
      </c>
      <c r="AW26" s="61">
        <v>0</v>
      </c>
      <c r="AX26" s="61">
        <v>0</v>
      </c>
      <c r="AY26" s="61">
        <v>0</v>
      </c>
      <c r="AZ26" s="61">
        <v>0</v>
      </c>
      <c r="BA26" s="61">
        <v>0</v>
      </c>
      <c r="BB26" s="61">
        <v>0</v>
      </c>
      <c r="BC26" s="61">
        <v>0</v>
      </c>
      <c r="BD26" s="61">
        <v>0</v>
      </c>
      <c r="BE26" s="61">
        <v>0</v>
      </c>
      <c r="BF26" s="61">
        <v>0</v>
      </c>
      <c r="BG26" s="61">
        <v>0</v>
      </c>
      <c r="BH26" s="61">
        <v>0</v>
      </c>
      <c r="BI26" s="61">
        <v>0</v>
      </c>
      <c r="BJ26" s="61">
        <v>0</v>
      </c>
      <c r="BK26" s="61">
        <v>0</v>
      </c>
      <c r="BL26" s="61">
        <v>0</v>
      </c>
      <c r="BM26" s="61">
        <v>0</v>
      </c>
      <c r="BN26" s="61">
        <v>0</v>
      </c>
      <c r="BO26" s="61">
        <v>0</v>
      </c>
      <c r="BP26" s="61">
        <v>0</v>
      </c>
      <c r="BQ26" s="61">
        <v>0</v>
      </c>
      <c r="BR26" s="61">
        <v>0</v>
      </c>
      <c r="BS26" s="61">
        <v>0</v>
      </c>
      <c r="BT26" s="61">
        <v>0</v>
      </c>
      <c r="BU26" s="61">
        <v>0</v>
      </c>
      <c r="BV26" s="61">
        <v>0</v>
      </c>
      <c r="BW26" s="61">
        <v>0</v>
      </c>
      <c r="BX26" s="61">
        <v>0</v>
      </c>
      <c r="BY26" s="61">
        <v>0</v>
      </c>
      <c r="BZ26" s="61">
        <v>0</v>
      </c>
      <c r="CA26" s="61">
        <v>0</v>
      </c>
      <c r="CB26" s="61">
        <v>0</v>
      </c>
      <c r="CC26" s="61">
        <v>0</v>
      </c>
      <c r="CD26" s="61">
        <v>0</v>
      </c>
      <c r="CE26" s="61">
        <v>0</v>
      </c>
      <c r="CF26" s="61">
        <v>0</v>
      </c>
      <c r="CG26" s="61">
        <v>0</v>
      </c>
      <c r="CH26" s="61">
        <v>0</v>
      </c>
      <c r="CI26" s="61">
        <v>0</v>
      </c>
      <c r="CJ26" s="61">
        <v>0</v>
      </c>
      <c r="CK26" s="61">
        <v>0</v>
      </c>
      <c r="CL26" s="61">
        <v>0</v>
      </c>
      <c r="CM26" s="61">
        <v>0</v>
      </c>
      <c r="CN26" s="61">
        <v>0</v>
      </c>
      <c r="CO26" s="61">
        <v>0</v>
      </c>
      <c r="CP26" s="61">
        <v>0</v>
      </c>
      <c r="CQ26" s="61">
        <v>0</v>
      </c>
      <c r="CR26" s="61">
        <v>0</v>
      </c>
      <c r="CS26" s="61">
        <v>0</v>
      </c>
      <c r="CT26" s="61">
        <v>0</v>
      </c>
      <c r="CU26" s="61">
        <v>0</v>
      </c>
      <c r="CV26" s="61">
        <v>0</v>
      </c>
      <c r="CW26" s="61">
        <v>0</v>
      </c>
      <c r="CX26" s="61">
        <v>0</v>
      </c>
      <c r="CY26" s="61">
        <v>0</v>
      </c>
      <c r="CZ26" s="61">
        <v>0</v>
      </c>
      <c r="DA26" s="61">
        <v>0</v>
      </c>
      <c r="DB26" s="61">
        <v>0</v>
      </c>
      <c r="DC26" s="61">
        <v>0</v>
      </c>
      <c r="DD26" s="61">
        <v>0</v>
      </c>
      <c r="DE26" s="61">
        <v>0</v>
      </c>
      <c r="DF26" s="61">
        <v>0</v>
      </c>
      <c r="DG26" s="61">
        <v>0</v>
      </c>
      <c r="DH26" s="61">
        <v>0</v>
      </c>
      <c r="DI26" s="61">
        <v>0</v>
      </c>
      <c r="DJ26" s="61">
        <v>0</v>
      </c>
      <c r="DK26" s="61">
        <v>0</v>
      </c>
      <c r="DL26" s="61">
        <v>0</v>
      </c>
      <c r="DM26" s="61">
        <v>0</v>
      </c>
      <c r="DN26" s="61">
        <v>0</v>
      </c>
      <c r="DO26" s="61">
        <v>0</v>
      </c>
      <c r="DP26" s="61">
        <v>0</v>
      </c>
      <c r="DQ26" s="61">
        <v>0</v>
      </c>
      <c r="DR26" s="61">
        <v>0</v>
      </c>
      <c r="DS26" s="61">
        <v>0</v>
      </c>
      <c r="DT26" s="61">
        <v>0</v>
      </c>
      <c r="DU26" s="61">
        <v>0</v>
      </c>
      <c r="DV26" s="61">
        <v>0</v>
      </c>
      <c r="DW26" s="61">
        <v>0</v>
      </c>
      <c r="DX26" s="61">
        <v>0</v>
      </c>
      <c r="DY26" s="61">
        <v>0</v>
      </c>
      <c r="DZ26" s="61">
        <v>0</v>
      </c>
      <c r="EA26" s="61">
        <v>0</v>
      </c>
      <c r="EB26" s="61">
        <v>0</v>
      </c>
      <c r="EC26" s="61">
        <v>0</v>
      </c>
      <c r="ED26" s="61">
        <v>0</v>
      </c>
      <c r="EE26" s="61">
        <v>0</v>
      </c>
      <c r="EF26" s="61">
        <v>0</v>
      </c>
      <c r="EG26" s="61">
        <v>0</v>
      </c>
      <c r="EH26" s="61">
        <v>0</v>
      </c>
      <c r="EI26" s="61">
        <v>0</v>
      </c>
      <c r="EJ26" s="61">
        <v>0</v>
      </c>
      <c r="EK26" s="61">
        <v>0</v>
      </c>
      <c r="EL26" s="61">
        <v>0</v>
      </c>
      <c r="EM26" s="61">
        <v>0</v>
      </c>
      <c r="EN26" s="61">
        <v>0</v>
      </c>
      <c r="EO26" s="61">
        <v>0</v>
      </c>
      <c r="EP26" s="61">
        <v>0</v>
      </c>
      <c r="EQ26" s="61">
        <v>0</v>
      </c>
      <c r="ER26" s="61">
        <v>0</v>
      </c>
      <c r="ES26" s="61">
        <v>0</v>
      </c>
      <c r="ET26" s="61">
        <v>0</v>
      </c>
      <c r="EU26" s="61">
        <v>0</v>
      </c>
      <c r="EV26" s="61">
        <v>0</v>
      </c>
      <c r="EW26" s="61">
        <v>0</v>
      </c>
      <c r="EX26" s="61">
        <v>0</v>
      </c>
      <c r="EY26" s="61">
        <v>0</v>
      </c>
      <c r="EZ26" s="61">
        <v>0</v>
      </c>
      <c r="FA26" s="61">
        <v>0</v>
      </c>
      <c r="FB26" s="61">
        <v>0</v>
      </c>
      <c r="FC26" s="61">
        <v>0</v>
      </c>
      <c r="FD26" s="61">
        <v>0</v>
      </c>
      <c r="FE26" s="61">
        <v>0</v>
      </c>
      <c r="FF26" s="61">
        <v>0</v>
      </c>
      <c r="FG26" s="61">
        <v>0</v>
      </c>
      <c r="FH26" s="61">
        <v>0</v>
      </c>
      <c r="FI26" s="61">
        <v>0</v>
      </c>
      <c r="FJ26" s="61">
        <v>0</v>
      </c>
      <c r="FK26" s="61">
        <v>0</v>
      </c>
      <c r="FL26" s="65">
        <v>0</v>
      </c>
      <c r="FM26" s="61">
        <v>0</v>
      </c>
      <c r="FN26" s="61">
        <v>0</v>
      </c>
      <c r="FO26" s="61">
        <v>0</v>
      </c>
      <c r="FP26" s="61">
        <v>0</v>
      </c>
      <c r="FQ26" s="61">
        <v>0</v>
      </c>
      <c r="FR26" s="61">
        <v>0</v>
      </c>
      <c r="FS26" s="61">
        <v>0</v>
      </c>
      <c r="FT26" s="61">
        <v>0</v>
      </c>
      <c r="FU26" s="61">
        <v>0</v>
      </c>
      <c r="FV26" s="61">
        <v>0</v>
      </c>
      <c r="FW26" s="61">
        <v>0</v>
      </c>
      <c r="FX26" s="61">
        <v>0</v>
      </c>
      <c r="FY26" s="61">
        <v>0</v>
      </c>
      <c r="FZ26" s="61">
        <v>0</v>
      </c>
      <c r="GA26" s="61">
        <v>0</v>
      </c>
      <c r="GB26" s="61">
        <v>0</v>
      </c>
      <c r="GC26" s="61">
        <v>0</v>
      </c>
      <c r="GD26" s="61">
        <v>0</v>
      </c>
      <c r="GE26" s="61">
        <v>0</v>
      </c>
      <c r="GF26" s="61">
        <v>0</v>
      </c>
      <c r="GG26" s="61">
        <v>0</v>
      </c>
      <c r="GH26" s="61">
        <v>0</v>
      </c>
      <c r="GI26" s="61">
        <v>0</v>
      </c>
      <c r="GJ26" s="61">
        <v>0</v>
      </c>
      <c r="GK26" s="61">
        <v>0</v>
      </c>
      <c r="GL26" s="61">
        <v>0</v>
      </c>
      <c r="GM26" s="61">
        <v>0</v>
      </c>
      <c r="GN26" s="61">
        <v>0</v>
      </c>
      <c r="GO26" s="61">
        <v>0</v>
      </c>
      <c r="GP26" s="61">
        <v>0</v>
      </c>
      <c r="GQ26" s="61">
        <v>0</v>
      </c>
      <c r="GR26" s="61">
        <v>0</v>
      </c>
      <c r="GS26" s="61">
        <v>0</v>
      </c>
      <c r="GT26" s="61">
        <v>0</v>
      </c>
      <c r="GU26" s="63">
        <v>0</v>
      </c>
      <c r="GV26" s="63">
        <v>0</v>
      </c>
      <c r="GW26" s="63">
        <v>0</v>
      </c>
      <c r="GX26" s="63">
        <v>0</v>
      </c>
      <c r="GY26" s="63">
        <v>0</v>
      </c>
      <c r="GZ26" s="63">
        <v>0</v>
      </c>
      <c r="HA26" s="63">
        <v>0</v>
      </c>
      <c r="HB26" s="63">
        <v>0</v>
      </c>
      <c r="HC26" s="63">
        <v>0</v>
      </c>
      <c r="HD26" s="63">
        <v>0</v>
      </c>
      <c r="HE26" s="63">
        <v>0</v>
      </c>
      <c r="HF26" s="63">
        <v>0</v>
      </c>
      <c r="HG26" s="63">
        <v>0</v>
      </c>
      <c r="HH26" s="63"/>
      <c r="HI26" s="63"/>
      <c r="HJ26" s="63">
        <v>1965</v>
      </c>
      <c r="HK26" s="63">
        <f>SUM(FL$4:HI4)</f>
        <v>50</v>
      </c>
      <c r="HL26" s="61">
        <f>SUM(FL26:HI26)</f>
        <v>0</v>
      </c>
      <c r="HM26" s="67">
        <f t="shared" si="1"/>
        <v>0</v>
      </c>
      <c r="HN26" s="67"/>
      <c r="HO26" s="68">
        <v>0.02</v>
      </c>
      <c r="HP26" s="68">
        <v>0.16</v>
      </c>
      <c r="HQ26" s="61">
        <v>0.23</v>
      </c>
    </row>
    <row r="27" spans="1:227" x14ac:dyDescent="0.3">
      <c r="B27" s="60" t="s">
        <v>7257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0</v>
      </c>
      <c r="U27" s="61">
        <v>0</v>
      </c>
      <c r="V27" s="61">
        <v>0</v>
      </c>
      <c r="W27" s="61">
        <v>0</v>
      </c>
      <c r="X27" s="61">
        <v>0</v>
      </c>
      <c r="Y27" s="61">
        <v>0</v>
      </c>
      <c r="Z27" s="61">
        <v>0</v>
      </c>
      <c r="AA27" s="61">
        <v>0</v>
      </c>
      <c r="AB27" s="61">
        <v>0</v>
      </c>
      <c r="AC27" s="61">
        <v>0</v>
      </c>
      <c r="AD27" s="61">
        <v>0</v>
      </c>
      <c r="AE27" s="61">
        <v>0</v>
      </c>
      <c r="AF27" s="61">
        <v>0</v>
      </c>
      <c r="AG27" s="61">
        <v>0</v>
      </c>
      <c r="AH27" s="61">
        <v>0</v>
      </c>
      <c r="AI27" s="61">
        <v>0</v>
      </c>
      <c r="AJ27" s="61">
        <v>0</v>
      </c>
      <c r="AK27" s="61">
        <v>0</v>
      </c>
      <c r="AL27" s="61">
        <v>0</v>
      </c>
      <c r="AM27" s="61">
        <v>0</v>
      </c>
      <c r="AN27" s="61">
        <v>0</v>
      </c>
      <c r="AO27" s="61">
        <v>0</v>
      </c>
      <c r="AP27" s="61">
        <v>0</v>
      </c>
      <c r="AQ27" s="61">
        <v>0</v>
      </c>
      <c r="AR27" s="61">
        <v>0</v>
      </c>
      <c r="AS27" s="61">
        <v>0</v>
      </c>
      <c r="AT27" s="61">
        <v>0</v>
      </c>
      <c r="AU27" s="61">
        <v>0</v>
      </c>
      <c r="AV27" s="61">
        <v>0</v>
      </c>
      <c r="AW27" s="61">
        <v>0</v>
      </c>
      <c r="AX27" s="61">
        <v>0</v>
      </c>
      <c r="AY27" s="61">
        <v>0</v>
      </c>
      <c r="AZ27" s="61">
        <v>0</v>
      </c>
      <c r="BA27" s="61">
        <v>0</v>
      </c>
      <c r="BB27" s="61">
        <v>0</v>
      </c>
      <c r="BC27" s="61">
        <v>0</v>
      </c>
      <c r="BD27" s="61">
        <v>0</v>
      </c>
      <c r="BE27" s="61">
        <v>0</v>
      </c>
      <c r="BF27" s="61">
        <v>0</v>
      </c>
      <c r="BG27" s="61">
        <v>0</v>
      </c>
      <c r="BH27" s="61">
        <v>0</v>
      </c>
      <c r="BI27" s="61">
        <v>0</v>
      </c>
      <c r="BJ27" s="61">
        <v>0</v>
      </c>
      <c r="BK27" s="61">
        <v>0</v>
      </c>
      <c r="BL27" s="61">
        <v>0</v>
      </c>
      <c r="BM27" s="61">
        <v>0</v>
      </c>
      <c r="BN27" s="61">
        <v>0</v>
      </c>
      <c r="BO27" s="61">
        <v>0</v>
      </c>
      <c r="BP27" s="61">
        <v>0</v>
      </c>
      <c r="BQ27" s="61">
        <v>0</v>
      </c>
      <c r="BR27" s="61">
        <v>0</v>
      </c>
      <c r="BS27" s="61">
        <v>0</v>
      </c>
      <c r="BT27" s="61">
        <v>0</v>
      </c>
      <c r="BU27" s="61">
        <v>0</v>
      </c>
      <c r="BV27" s="61">
        <v>0</v>
      </c>
      <c r="BW27" s="61">
        <v>0</v>
      </c>
      <c r="BX27" s="61">
        <v>0</v>
      </c>
      <c r="BY27" s="61">
        <v>0</v>
      </c>
      <c r="BZ27" s="61">
        <v>0</v>
      </c>
      <c r="CA27" s="61">
        <v>0</v>
      </c>
      <c r="CB27" s="61">
        <v>0</v>
      </c>
      <c r="CC27" s="61">
        <v>0</v>
      </c>
      <c r="CD27" s="61">
        <v>0</v>
      </c>
      <c r="CE27" s="61">
        <v>0</v>
      </c>
      <c r="CF27" s="61">
        <v>0</v>
      </c>
      <c r="CG27" s="61">
        <v>0</v>
      </c>
      <c r="CH27" s="61">
        <v>0</v>
      </c>
      <c r="CI27" s="61">
        <v>0</v>
      </c>
      <c r="CJ27" s="61">
        <v>0</v>
      </c>
      <c r="CK27" s="61">
        <v>0</v>
      </c>
      <c r="CL27" s="61">
        <v>0</v>
      </c>
      <c r="CM27" s="61">
        <v>0</v>
      </c>
      <c r="CN27" s="61">
        <v>0</v>
      </c>
      <c r="CO27" s="61">
        <v>0</v>
      </c>
      <c r="CP27" s="61">
        <v>0</v>
      </c>
      <c r="CQ27" s="61">
        <v>0</v>
      </c>
      <c r="CR27" s="61">
        <v>0</v>
      </c>
      <c r="CS27" s="61">
        <v>0</v>
      </c>
      <c r="CT27" s="61">
        <v>0</v>
      </c>
      <c r="CU27" s="61">
        <v>0</v>
      </c>
      <c r="CV27" s="61">
        <v>0</v>
      </c>
      <c r="CW27" s="61">
        <v>0</v>
      </c>
      <c r="CX27" s="61">
        <v>0</v>
      </c>
      <c r="CY27" s="61">
        <v>0</v>
      </c>
      <c r="CZ27" s="61">
        <v>0</v>
      </c>
      <c r="DA27" s="61">
        <v>0</v>
      </c>
      <c r="DB27" s="61">
        <v>0</v>
      </c>
      <c r="DC27" s="61">
        <v>0</v>
      </c>
      <c r="DD27" s="61">
        <v>0</v>
      </c>
      <c r="DE27" s="61">
        <v>0</v>
      </c>
      <c r="DF27" s="61">
        <v>0</v>
      </c>
      <c r="DG27" s="61">
        <v>0</v>
      </c>
      <c r="DH27" s="61">
        <v>0</v>
      </c>
      <c r="DI27" s="61">
        <v>0</v>
      </c>
      <c r="DJ27" s="61">
        <v>0</v>
      </c>
      <c r="DK27" s="61">
        <v>0</v>
      </c>
      <c r="DL27" s="61">
        <v>0</v>
      </c>
      <c r="DM27" s="61">
        <v>0</v>
      </c>
      <c r="DN27" s="61">
        <v>0</v>
      </c>
      <c r="DO27" s="61">
        <v>0</v>
      </c>
      <c r="DP27" s="61">
        <v>0</v>
      </c>
      <c r="DQ27" s="61">
        <v>0</v>
      </c>
      <c r="DR27" s="61">
        <v>0</v>
      </c>
      <c r="DS27" s="61">
        <v>0</v>
      </c>
      <c r="DT27" s="61">
        <v>0</v>
      </c>
      <c r="DU27" s="61">
        <v>0</v>
      </c>
      <c r="DV27" s="61">
        <v>0</v>
      </c>
      <c r="DW27" s="61">
        <v>0</v>
      </c>
      <c r="DX27" s="61">
        <v>0</v>
      </c>
      <c r="DY27" s="61">
        <v>0</v>
      </c>
      <c r="DZ27" s="61">
        <v>0</v>
      </c>
      <c r="EA27" s="61">
        <v>0</v>
      </c>
      <c r="EB27" s="61">
        <v>0</v>
      </c>
      <c r="EC27" s="61">
        <v>0</v>
      </c>
      <c r="ED27" s="61">
        <v>0</v>
      </c>
      <c r="EE27" s="61">
        <v>0</v>
      </c>
      <c r="EF27" s="61">
        <v>0</v>
      </c>
      <c r="EG27" s="61">
        <v>0</v>
      </c>
      <c r="EH27" s="61">
        <v>0</v>
      </c>
      <c r="EI27" s="61">
        <v>0</v>
      </c>
      <c r="EJ27" s="61">
        <v>0</v>
      </c>
      <c r="EK27" s="61">
        <v>0</v>
      </c>
      <c r="EL27" s="61">
        <v>0</v>
      </c>
      <c r="EM27" s="61">
        <v>0</v>
      </c>
      <c r="EN27" s="61">
        <v>0</v>
      </c>
      <c r="EO27" s="61">
        <v>0</v>
      </c>
      <c r="EP27" s="61">
        <v>0</v>
      </c>
      <c r="EQ27" s="61">
        <v>0</v>
      </c>
      <c r="ER27" s="61">
        <v>0</v>
      </c>
      <c r="ES27" s="61">
        <v>0</v>
      </c>
      <c r="ET27" s="61">
        <v>0</v>
      </c>
      <c r="EU27" s="61">
        <v>0</v>
      </c>
      <c r="EV27" s="61">
        <v>0</v>
      </c>
      <c r="EW27" s="61">
        <v>0</v>
      </c>
      <c r="EX27" s="61">
        <v>0</v>
      </c>
      <c r="EY27" s="61">
        <v>0</v>
      </c>
      <c r="EZ27" s="61">
        <v>0</v>
      </c>
      <c r="FA27" s="61">
        <v>0</v>
      </c>
      <c r="FB27" s="61">
        <v>0</v>
      </c>
      <c r="FC27" s="61">
        <v>0</v>
      </c>
      <c r="FD27" s="61">
        <v>0</v>
      </c>
      <c r="FE27" s="61">
        <v>0</v>
      </c>
      <c r="FF27" s="61">
        <v>0</v>
      </c>
      <c r="FG27" s="61">
        <v>0</v>
      </c>
      <c r="FH27" s="61">
        <v>0</v>
      </c>
      <c r="FI27" s="61">
        <v>0</v>
      </c>
      <c r="FJ27" s="61">
        <v>0</v>
      </c>
      <c r="FK27" s="61">
        <v>0</v>
      </c>
      <c r="FL27" s="61">
        <v>0</v>
      </c>
      <c r="FM27" s="61">
        <v>0</v>
      </c>
      <c r="FN27" s="61">
        <v>0</v>
      </c>
      <c r="FO27" s="61">
        <v>0</v>
      </c>
      <c r="FP27" s="61">
        <v>0</v>
      </c>
      <c r="FQ27" s="61">
        <v>0</v>
      </c>
      <c r="FR27" s="61">
        <v>0</v>
      </c>
      <c r="FS27" s="61">
        <v>0</v>
      </c>
      <c r="FT27" s="61">
        <v>0</v>
      </c>
      <c r="FU27" s="61">
        <v>0</v>
      </c>
      <c r="FV27" s="61">
        <v>0</v>
      </c>
      <c r="FW27" s="61">
        <v>0</v>
      </c>
      <c r="FX27" s="61">
        <v>0</v>
      </c>
      <c r="FY27" s="61">
        <v>0</v>
      </c>
      <c r="FZ27" s="66">
        <v>1</v>
      </c>
      <c r="GA27" s="61">
        <v>0</v>
      </c>
      <c r="GB27" s="66">
        <v>1</v>
      </c>
      <c r="GC27" s="66">
        <v>1</v>
      </c>
      <c r="GD27" s="66">
        <v>1</v>
      </c>
      <c r="GE27" s="61">
        <v>0</v>
      </c>
      <c r="GF27" s="61">
        <v>0</v>
      </c>
      <c r="GG27" s="61">
        <v>0</v>
      </c>
      <c r="GH27" s="61">
        <v>0</v>
      </c>
      <c r="GI27" s="61">
        <v>0</v>
      </c>
      <c r="GJ27" s="61">
        <v>0</v>
      </c>
      <c r="GK27" s="61">
        <v>0</v>
      </c>
      <c r="GL27" s="61">
        <v>0</v>
      </c>
      <c r="GM27" s="61">
        <v>0</v>
      </c>
      <c r="GN27" s="61">
        <v>0</v>
      </c>
      <c r="GO27" s="61">
        <v>0</v>
      </c>
      <c r="GP27" s="61">
        <v>0</v>
      </c>
      <c r="GQ27" s="61">
        <v>0</v>
      </c>
      <c r="GR27" s="61">
        <v>0</v>
      </c>
      <c r="GS27" s="61">
        <v>0</v>
      </c>
      <c r="GT27" s="61">
        <v>0</v>
      </c>
      <c r="GU27" s="61">
        <v>0</v>
      </c>
      <c r="GV27" s="61">
        <v>0</v>
      </c>
      <c r="GW27" s="61">
        <v>0</v>
      </c>
      <c r="GX27" s="61">
        <v>0</v>
      </c>
      <c r="GY27" s="63">
        <v>0</v>
      </c>
      <c r="GZ27" s="63">
        <v>0</v>
      </c>
      <c r="HA27" s="63">
        <v>0</v>
      </c>
      <c r="HB27" s="63">
        <v>0</v>
      </c>
      <c r="HC27" s="63">
        <v>0</v>
      </c>
      <c r="HD27" s="63">
        <v>0</v>
      </c>
      <c r="HE27" s="63">
        <v>0</v>
      </c>
      <c r="HF27" s="63">
        <v>0</v>
      </c>
      <c r="HG27" s="63">
        <v>0</v>
      </c>
      <c r="HH27" s="63"/>
      <c r="HI27" s="63"/>
      <c r="HJ27" s="63">
        <v>1948</v>
      </c>
      <c r="HK27" s="63">
        <f>SUM(EU$4:HI$4)</f>
        <v>67</v>
      </c>
      <c r="HL27" s="61">
        <f>SUM(EU27:HI27)</f>
        <v>4</v>
      </c>
      <c r="HM27" s="67">
        <f t="shared" si="1"/>
        <v>5.9701492537313436</v>
      </c>
      <c r="HN27" s="67"/>
      <c r="HO27" s="68">
        <v>0.22</v>
      </c>
      <c r="HP27" s="68">
        <v>0.16</v>
      </c>
      <c r="HQ27" s="61">
        <v>0.19</v>
      </c>
    </row>
    <row r="28" spans="1:227" x14ac:dyDescent="0.3">
      <c r="B28" s="63" t="s">
        <v>7258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61">
        <v>0</v>
      </c>
      <c r="V28" s="61">
        <v>0</v>
      </c>
      <c r="W28" s="61">
        <v>0</v>
      </c>
      <c r="X28" s="61">
        <v>0</v>
      </c>
      <c r="Y28" s="61">
        <v>0</v>
      </c>
      <c r="Z28" s="61">
        <v>0</v>
      </c>
      <c r="AA28" s="61">
        <v>0</v>
      </c>
      <c r="AB28" s="61">
        <v>0</v>
      </c>
      <c r="AC28" s="61">
        <v>0</v>
      </c>
      <c r="AD28" s="61">
        <v>0</v>
      </c>
      <c r="AE28" s="61">
        <v>0</v>
      </c>
      <c r="AF28" s="61">
        <v>0</v>
      </c>
      <c r="AG28" s="61">
        <v>0</v>
      </c>
      <c r="AH28" s="61">
        <v>0</v>
      </c>
      <c r="AI28" s="61">
        <v>0</v>
      </c>
      <c r="AJ28" s="61">
        <v>0</v>
      </c>
      <c r="AK28" s="61">
        <v>0</v>
      </c>
      <c r="AL28" s="61">
        <v>0</v>
      </c>
      <c r="AM28" s="61">
        <v>0</v>
      </c>
      <c r="AN28" s="61">
        <v>0</v>
      </c>
      <c r="AO28" s="61">
        <v>0</v>
      </c>
      <c r="AP28" s="61">
        <v>0</v>
      </c>
      <c r="AQ28" s="61">
        <v>0</v>
      </c>
      <c r="AR28" s="61">
        <v>0</v>
      </c>
      <c r="AS28" s="61">
        <v>0</v>
      </c>
      <c r="AT28" s="61">
        <v>0</v>
      </c>
      <c r="AU28" s="61">
        <v>0</v>
      </c>
      <c r="AV28" s="61">
        <v>0</v>
      </c>
      <c r="AW28" s="61">
        <v>0</v>
      </c>
      <c r="AX28" s="61">
        <v>0</v>
      </c>
      <c r="AY28" s="61">
        <v>0</v>
      </c>
      <c r="AZ28" s="61">
        <v>0</v>
      </c>
      <c r="BA28" s="61">
        <v>0</v>
      </c>
      <c r="BB28" s="61">
        <v>0</v>
      </c>
      <c r="BC28" s="61">
        <v>0</v>
      </c>
      <c r="BD28" s="61">
        <v>0</v>
      </c>
      <c r="BE28" s="61">
        <v>0</v>
      </c>
      <c r="BF28" s="61">
        <v>0</v>
      </c>
      <c r="BG28" s="61">
        <v>0</v>
      </c>
      <c r="BH28" s="61">
        <v>0</v>
      </c>
      <c r="BI28" s="61">
        <v>0</v>
      </c>
      <c r="BJ28" s="61">
        <v>0</v>
      </c>
      <c r="BK28" s="61">
        <v>0</v>
      </c>
      <c r="BL28" s="61">
        <v>0</v>
      </c>
      <c r="BM28" s="61">
        <v>0</v>
      </c>
      <c r="BN28" s="61">
        <v>0</v>
      </c>
      <c r="BO28" s="61">
        <v>0</v>
      </c>
      <c r="BP28" s="61">
        <v>0</v>
      </c>
      <c r="BQ28" s="61">
        <v>0</v>
      </c>
      <c r="BR28" s="61">
        <v>0</v>
      </c>
      <c r="BS28" s="61">
        <v>0</v>
      </c>
      <c r="BT28" s="61">
        <v>0</v>
      </c>
      <c r="BU28" s="61">
        <v>0</v>
      </c>
      <c r="BV28" s="61">
        <v>0</v>
      </c>
      <c r="BW28" s="61">
        <v>0</v>
      </c>
      <c r="BX28" s="61">
        <v>0</v>
      </c>
      <c r="BY28" s="61">
        <v>0</v>
      </c>
      <c r="BZ28" s="61">
        <v>0</v>
      </c>
      <c r="CA28" s="61">
        <v>0</v>
      </c>
      <c r="CB28" s="61">
        <v>0</v>
      </c>
      <c r="CC28" s="61">
        <v>0</v>
      </c>
      <c r="CD28" s="61">
        <v>0</v>
      </c>
      <c r="CE28" s="61">
        <v>0</v>
      </c>
      <c r="CF28" s="61">
        <v>0</v>
      </c>
      <c r="CG28" s="61">
        <v>0</v>
      </c>
      <c r="CH28" s="61">
        <v>0</v>
      </c>
      <c r="CI28" s="61">
        <v>0</v>
      </c>
      <c r="CJ28" s="61">
        <v>0</v>
      </c>
      <c r="CK28" s="61">
        <v>0</v>
      </c>
      <c r="CL28" s="61">
        <v>0</v>
      </c>
      <c r="CM28" s="61">
        <v>0</v>
      </c>
      <c r="CN28" s="61">
        <v>0</v>
      </c>
      <c r="CO28" s="61">
        <v>0</v>
      </c>
      <c r="CP28" s="61">
        <v>0</v>
      </c>
      <c r="CQ28" s="61">
        <v>0</v>
      </c>
      <c r="CR28" s="61">
        <v>0</v>
      </c>
      <c r="CS28" s="61">
        <v>0</v>
      </c>
      <c r="CT28" s="61">
        <v>0</v>
      </c>
      <c r="CU28" s="61">
        <v>0</v>
      </c>
      <c r="CV28" s="61">
        <v>0</v>
      </c>
      <c r="CW28" s="61">
        <v>0</v>
      </c>
      <c r="CX28" s="61">
        <v>0</v>
      </c>
      <c r="CY28" s="61">
        <v>0</v>
      </c>
      <c r="CZ28" s="61">
        <v>0</v>
      </c>
      <c r="DA28" s="61">
        <v>0</v>
      </c>
      <c r="DB28" s="61">
        <v>0</v>
      </c>
      <c r="DC28" s="61">
        <v>0</v>
      </c>
      <c r="DD28" s="61">
        <v>0</v>
      </c>
      <c r="DE28" s="61">
        <v>0</v>
      </c>
      <c r="DF28" s="61">
        <v>0</v>
      </c>
      <c r="DG28" s="61">
        <v>0</v>
      </c>
      <c r="DH28" s="61">
        <v>0</v>
      </c>
      <c r="DI28" s="61">
        <v>0</v>
      </c>
      <c r="DJ28" s="61">
        <v>0</v>
      </c>
      <c r="DK28" s="61">
        <v>0</v>
      </c>
      <c r="DL28" s="61">
        <v>0</v>
      </c>
      <c r="DM28" s="61">
        <v>0</v>
      </c>
      <c r="DN28" s="61">
        <v>0</v>
      </c>
      <c r="DO28" s="61">
        <v>0</v>
      </c>
      <c r="DP28" s="61">
        <v>0</v>
      </c>
      <c r="DQ28" s="61">
        <v>0</v>
      </c>
      <c r="DR28" s="61">
        <v>0</v>
      </c>
      <c r="DS28" s="61">
        <v>0</v>
      </c>
      <c r="DT28" s="61">
        <v>0</v>
      </c>
      <c r="DU28" s="61">
        <v>0</v>
      </c>
      <c r="DV28" s="61">
        <v>0</v>
      </c>
      <c r="DW28" s="61">
        <v>0</v>
      </c>
      <c r="DX28" s="61">
        <v>0</v>
      </c>
      <c r="DY28" s="61">
        <v>0</v>
      </c>
      <c r="DZ28" s="61">
        <v>0</v>
      </c>
      <c r="EA28" s="61">
        <v>0</v>
      </c>
      <c r="EB28" s="61">
        <v>0</v>
      </c>
      <c r="EC28" s="61">
        <v>0</v>
      </c>
      <c r="ED28" s="61">
        <v>0</v>
      </c>
      <c r="EE28" s="61">
        <v>0</v>
      </c>
      <c r="EF28" s="61">
        <v>0</v>
      </c>
      <c r="EG28" s="61">
        <v>0</v>
      </c>
      <c r="EH28" s="61">
        <v>0</v>
      </c>
      <c r="EI28" s="61">
        <v>0</v>
      </c>
      <c r="EJ28" s="61">
        <v>0</v>
      </c>
      <c r="EK28" s="61">
        <v>0</v>
      </c>
      <c r="EL28" s="61">
        <v>0</v>
      </c>
      <c r="EM28" s="61">
        <v>0</v>
      </c>
      <c r="EN28" s="61">
        <v>0</v>
      </c>
      <c r="EO28" s="61">
        <v>0</v>
      </c>
      <c r="EP28" s="61">
        <v>0</v>
      </c>
      <c r="EQ28" s="61">
        <v>0</v>
      </c>
      <c r="ER28" s="61">
        <v>0</v>
      </c>
      <c r="ES28" s="61">
        <v>0</v>
      </c>
      <c r="ET28" s="61">
        <v>0</v>
      </c>
      <c r="EU28" s="61">
        <v>0</v>
      </c>
      <c r="EV28" s="65">
        <v>0</v>
      </c>
      <c r="EW28" s="61">
        <v>0</v>
      </c>
      <c r="EX28" s="61">
        <v>0</v>
      </c>
      <c r="EY28" s="61">
        <v>0</v>
      </c>
      <c r="EZ28" s="61">
        <v>0</v>
      </c>
      <c r="FA28" s="61">
        <v>0</v>
      </c>
      <c r="FB28" s="61">
        <v>0</v>
      </c>
      <c r="FC28" s="61">
        <v>0</v>
      </c>
      <c r="FD28" s="61">
        <v>0</v>
      </c>
      <c r="FE28" s="61">
        <v>0</v>
      </c>
      <c r="FF28" s="61">
        <v>0</v>
      </c>
      <c r="FG28" s="61">
        <v>0</v>
      </c>
      <c r="FH28" s="61">
        <v>0</v>
      </c>
      <c r="FI28" s="61">
        <v>0</v>
      </c>
      <c r="FJ28" s="61">
        <v>0</v>
      </c>
      <c r="FK28" s="61">
        <v>0</v>
      </c>
      <c r="FL28" s="61">
        <v>0</v>
      </c>
      <c r="FM28" s="61">
        <v>0</v>
      </c>
      <c r="FN28" s="61">
        <v>0</v>
      </c>
      <c r="FO28" s="61">
        <v>0</v>
      </c>
      <c r="FP28" s="61">
        <v>0</v>
      </c>
      <c r="FQ28" s="61">
        <v>0</v>
      </c>
      <c r="FR28" s="61">
        <v>0</v>
      </c>
      <c r="FS28" s="61">
        <v>0</v>
      </c>
      <c r="FT28" s="61">
        <v>0</v>
      </c>
      <c r="FU28" s="61">
        <v>0</v>
      </c>
      <c r="FV28" s="61">
        <v>0</v>
      </c>
      <c r="FW28" s="61">
        <v>0</v>
      </c>
      <c r="FX28" s="61">
        <v>0</v>
      </c>
      <c r="FY28" s="61">
        <v>0</v>
      </c>
      <c r="FZ28" s="61">
        <v>0</v>
      </c>
      <c r="GA28" s="61">
        <v>0</v>
      </c>
      <c r="GB28" s="61">
        <v>0</v>
      </c>
      <c r="GC28" s="61">
        <v>0</v>
      </c>
      <c r="GD28" s="61">
        <v>0</v>
      </c>
      <c r="GE28" s="61">
        <v>0</v>
      </c>
      <c r="GF28" s="61">
        <v>0</v>
      </c>
      <c r="GG28" s="61">
        <v>0</v>
      </c>
      <c r="GH28" s="61">
        <v>0</v>
      </c>
      <c r="GI28" s="61">
        <v>0</v>
      </c>
      <c r="GJ28" s="61">
        <v>0</v>
      </c>
      <c r="GK28" s="61">
        <v>0</v>
      </c>
      <c r="GL28" s="61">
        <v>0</v>
      </c>
      <c r="GM28" s="61">
        <v>0</v>
      </c>
      <c r="GN28" s="61">
        <v>0</v>
      </c>
      <c r="GO28" s="61">
        <v>0</v>
      </c>
      <c r="GP28" s="61">
        <v>0</v>
      </c>
      <c r="GQ28" s="61">
        <v>0</v>
      </c>
      <c r="GR28" s="61">
        <v>0</v>
      </c>
      <c r="GS28" s="61">
        <v>0</v>
      </c>
      <c r="GT28" s="61">
        <v>0</v>
      </c>
      <c r="GU28" s="63">
        <v>0</v>
      </c>
      <c r="GV28" s="63">
        <v>0</v>
      </c>
      <c r="GW28" s="63">
        <v>0</v>
      </c>
      <c r="GX28" s="63">
        <v>0</v>
      </c>
      <c r="GY28" s="63">
        <v>0</v>
      </c>
      <c r="GZ28" s="63">
        <v>0</v>
      </c>
      <c r="HA28" s="63">
        <v>0</v>
      </c>
      <c r="HB28" s="63">
        <v>0</v>
      </c>
      <c r="HC28" s="63">
        <v>0</v>
      </c>
      <c r="HD28" s="63">
        <v>0</v>
      </c>
      <c r="HE28" s="63">
        <v>0</v>
      </c>
      <c r="HF28" s="63">
        <v>0</v>
      </c>
      <c r="HG28" s="63">
        <v>0</v>
      </c>
      <c r="HH28" s="63"/>
      <c r="HI28" s="63"/>
      <c r="HJ28" s="63">
        <v>1949</v>
      </c>
      <c r="HK28" s="63">
        <f>SUM(EV$4:HI$4)</f>
        <v>66</v>
      </c>
      <c r="HL28" s="61">
        <f>SUM(EV28:HI28)</f>
        <v>0</v>
      </c>
      <c r="HM28" s="67">
        <f t="shared" si="1"/>
        <v>0</v>
      </c>
      <c r="HN28" s="67"/>
      <c r="HO28" s="68">
        <v>0.09</v>
      </c>
      <c r="HP28" s="68">
        <v>0.74</v>
      </c>
      <c r="HQ28" s="61">
        <v>0.96</v>
      </c>
    </row>
    <row r="29" spans="1:227" x14ac:dyDescent="0.3">
      <c r="B29" s="61" t="s">
        <v>7259</v>
      </c>
      <c r="C29" s="61">
        <v>0</v>
      </c>
      <c r="D29" s="61">
        <v>0</v>
      </c>
      <c r="E29" s="61">
        <v>0</v>
      </c>
      <c r="F29" s="61">
        <v>0</v>
      </c>
      <c r="G29" s="61">
        <v>0</v>
      </c>
      <c r="H29" s="61">
        <v>0</v>
      </c>
      <c r="I29" s="61">
        <v>0</v>
      </c>
      <c r="J29" s="61">
        <v>0</v>
      </c>
      <c r="K29" s="61">
        <v>0</v>
      </c>
      <c r="L29" s="61">
        <v>0</v>
      </c>
      <c r="M29" s="61">
        <v>0</v>
      </c>
      <c r="N29" s="61">
        <v>0</v>
      </c>
      <c r="O29" s="61">
        <v>0</v>
      </c>
      <c r="P29" s="61">
        <v>0</v>
      </c>
      <c r="Q29" s="61">
        <v>0</v>
      </c>
      <c r="R29" s="61">
        <v>0</v>
      </c>
      <c r="S29" s="61">
        <v>0</v>
      </c>
      <c r="T29" s="61">
        <v>0</v>
      </c>
      <c r="U29" s="61">
        <v>0</v>
      </c>
      <c r="V29" s="61">
        <v>0</v>
      </c>
      <c r="W29" s="61">
        <v>0</v>
      </c>
      <c r="X29" s="61">
        <v>0</v>
      </c>
      <c r="Y29" s="61">
        <v>0</v>
      </c>
      <c r="Z29" s="61">
        <v>0</v>
      </c>
      <c r="AA29" s="61">
        <v>0</v>
      </c>
      <c r="AB29" s="61">
        <v>0</v>
      </c>
      <c r="AC29" s="61">
        <v>0</v>
      </c>
      <c r="AD29" s="61">
        <v>0</v>
      </c>
      <c r="AE29" s="61">
        <v>0</v>
      </c>
      <c r="AF29" s="61">
        <v>0</v>
      </c>
      <c r="AG29" s="61">
        <v>0</v>
      </c>
      <c r="AH29" s="61">
        <v>0</v>
      </c>
      <c r="AI29" s="61">
        <v>0</v>
      </c>
      <c r="AJ29" s="61">
        <v>0</v>
      </c>
      <c r="AK29" s="61">
        <v>0</v>
      </c>
      <c r="AL29" s="61">
        <v>0</v>
      </c>
      <c r="AM29" s="61">
        <v>0</v>
      </c>
      <c r="AN29" s="61">
        <v>0</v>
      </c>
      <c r="AO29" s="61">
        <v>0</v>
      </c>
      <c r="AP29" s="61">
        <v>0</v>
      </c>
      <c r="AQ29" s="61">
        <v>0</v>
      </c>
      <c r="AR29" s="61">
        <v>0</v>
      </c>
      <c r="AS29" s="61">
        <v>0</v>
      </c>
      <c r="AT29" s="61">
        <v>0</v>
      </c>
      <c r="AU29" s="61">
        <v>0</v>
      </c>
      <c r="AV29" s="61">
        <v>0</v>
      </c>
      <c r="AW29" s="61">
        <v>0</v>
      </c>
      <c r="AX29" s="61">
        <v>0</v>
      </c>
      <c r="AY29" s="61">
        <v>0</v>
      </c>
      <c r="AZ29" s="61">
        <v>0</v>
      </c>
      <c r="BA29" s="61">
        <v>0</v>
      </c>
      <c r="BB29" s="61">
        <v>0</v>
      </c>
      <c r="BC29" s="61">
        <v>0</v>
      </c>
      <c r="BD29" s="61">
        <v>0</v>
      </c>
      <c r="BE29" s="61">
        <v>0</v>
      </c>
      <c r="BF29" s="61">
        <v>0</v>
      </c>
      <c r="BG29" s="61">
        <v>0</v>
      </c>
      <c r="BH29" s="61">
        <v>0</v>
      </c>
      <c r="BI29" s="61">
        <v>0</v>
      </c>
      <c r="BJ29" s="61">
        <v>0</v>
      </c>
      <c r="BK29" s="61">
        <v>0</v>
      </c>
      <c r="BL29" s="61">
        <v>0</v>
      </c>
      <c r="BM29" s="61">
        <v>0</v>
      </c>
      <c r="BN29" s="61">
        <v>0</v>
      </c>
      <c r="BO29" s="61">
        <v>0</v>
      </c>
      <c r="BP29" s="61">
        <v>0</v>
      </c>
      <c r="BQ29" s="61">
        <v>0</v>
      </c>
      <c r="BR29" s="61">
        <v>0</v>
      </c>
      <c r="BS29" s="61">
        <v>0</v>
      </c>
      <c r="BT29" s="61">
        <v>0</v>
      </c>
      <c r="BU29" s="61">
        <v>0</v>
      </c>
      <c r="BV29" s="61">
        <v>0</v>
      </c>
      <c r="BW29" s="61">
        <v>0</v>
      </c>
      <c r="BX29" s="61">
        <v>0</v>
      </c>
      <c r="BY29" s="61">
        <v>0</v>
      </c>
      <c r="BZ29" s="61">
        <v>0</v>
      </c>
      <c r="CA29" s="61">
        <v>0</v>
      </c>
      <c r="CB29" s="61">
        <v>0</v>
      </c>
      <c r="CC29" s="61">
        <v>0</v>
      </c>
      <c r="CD29" s="61">
        <v>0</v>
      </c>
      <c r="CE29" s="61">
        <v>0</v>
      </c>
      <c r="CF29" s="61">
        <v>0</v>
      </c>
      <c r="CG29" s="61">
        <v>0</v>
      </c>
      <c r="CH29" s="61">
        <v>0</v>
      </c>
      <c r="CI29" s="61">
        <v>0</v>
      </c>
      <c r="CJ29" s="61">
        <v>0</v>
      </c>
      <c r="CK29" s="61">
        <v>0</v>
      </c>
      <c r="CL29" s="61">
        <v>0</v>
      </c>
      <c r="CM29" s="61">
        <v>0</v>
      </c>
      <c r="CN29" s="61">
        <v>0</v>
      </c>
      <c r="CO29" s="61">
        <v>0</v>
      </c>
      <c r="CP29" s="61">
        <v>0</v>
      </c>
      <c r="CQ29" s="61">
        <v>0</v>
      </c>
      <c r="CR29" s="61">
        <v>0</v>
      </c>
      <c r="CS29" s="61">
        <v>0</v>
      </c>
      <c r="CT29" s="61">
        <v>0</v>
      </c>
      <c r="CU29" s="61">
        <v>0</v>
      </c>
      <c r="CV29" s="61">
        <v>0</v>
      </c>
      <c r="CW29" s="61">
        <v>0</v>
      </c>
      <c r="CX29" s="61">
        <v>0</v>
      </c>
      <c r="CY29" s="61">
        <v>0</v>
      </c>
      <c r="CZ29" s="61">
        <v>0</v>
      </c>
      <c r="DA29" s="61">
        <v>0</v>
      </c>
      <c r="DB29" s="61">
        <v>0</v>
      </c>
      <c r="DC29" s="61">
        <v>0</v>
      </c>
      <c r="DD29" s="61">
        <v>0</v>
      </c>
      <c r="DE29" s="61">
        <v>0</v>
      </c>
      <c r="DF29" s="61">
        <v>0</v>
      </c>
      <c r="DG29" s="61">
        <v>0</v>
      </c>
      <c r="DH29" s="61">
        <v>0</v>
      </c>
      <c r="DI29" s="61">
        <v>0</v>
      </c>
      <c r="DJ29" s="61">
        <v>0</v>
      </c>
      <c r="DK29" s="61">
        <v>0</v>
      </c>
      <c r="DL29" s="61">
        <v>0</v>
      </c>
      <c r="DM29" s="61">
        <v>0</v>
      </c>
      <c r="DN29" s="61">
        <v>0</v>
      </c>
      <c r="DO29" s="61">
        <v>0</v>
      </c>
      <c r="DP29" s="61">
        <v>0</v>
      </c>
      <c r="DQ29" s="61">
        <v>0</v>
      </c>
      <c r="DR29" s="61">
        <v>0</v>
      </c>
      <c r="DS29" s="61">
        <v>0</v>
      </c>
      <c r="DT29" s="61">
        <v>0</v>
      </c>
      <c r="DU29" s="61">
        <v>0</v>
      </c>
      <c r="DV29" s="61">
        <v>0</v>
      </c>
      <c r="DW29" s="61">
        <v>0</v>
      </c>
      <c r="DX29" s="61">
        <v>0</v>
      </c>
      <c r="DY29" s="61">
        <v>0</v>
      </c>
      <c r="DZ29" s="61">
        <v>0</v>
      </c>
      <c r="EA29" s="61">
        <v>0</v>
      </c>
      <c r="EB29" s="61">
        <v>0</v>
      </c>
      <c r="EC29" s="61">
        <v>0</v>
      </c>
      <c r="ED29" s="61">
        <v>0</v>
      </c>
      <c r="EE29" s="61">
        <v>0</v>
      </c>
      <c r="EF29" s="61">
        <v>0</v>
      </c>
      <c r="EG29" s="61">
        <v>0</v>
      </c>
      <c r="EH29" s="61">
        <v>0</v>
      </c>
      <c r="EI29" s="61">
        <v>0</v>
      </c>
      <c r="EJ29" s="61">
        <v>0</v>
      </c>
      <c r="EK29" s="61">
        <v>0</v>
      </c>
      <c r="EL29" s="61">
        <v>0</v>
      </c>
      <c r="EM29" s="61">
        <v>0</v>
      </c>
      <c r="EN29" s="61">
        <v>0</v>
      </c>
      <c r="EO29" s="61">
        <v>0</v>
      </c>
      <c r="EP29" s="61">
        <v>0</v>
      </c>
      <c r="EQ29" s="61">
        <v>0</v>
      </c>
      <c r="ER29" s="61">
        <v>0</v>
      </c>
      <c r="ES29" s="61">
        <v>0</v>
      </c>
      <c r="ET29" s="61">
        <v>0</v>
      </c>
      <c r="EU29" s="61">
        <v>0</v>
      </c>
      <c r="EV29" s="61">
        <v>0</v>
      </c>
      <c r="EW29" s="61">
        <v>0</v>
      </c>
      <c r="EX29" s="61">
        <v>0</v>
      </c>
      <c r="EY29" s="61">
        <v>0</v>
      </c>
      <c r="EZ29" s="61">
        <v>0</v>
      </c>
      <c r="FA29" s="61">
        <v>0</v>
      </c>
      <c r="FB29" s="61">
        <v>0</v>
      </c>
      <c r="FC29" s="61">
        <v>0</v>
      </c>
      <c r="FD29" s="61">
        <v>0</v>
      </c>
      <c r="FE29" s="61">
        <v>0</v>
      </c>
      <c r="FF29" s="61">
        <v>0</v>
      </c>
      <c r="FG29" s="61">
        <v>0</v>
      </c>
      <c r="FH29" s="61">
        <v>0</v>
      </c>
      <c r="FI29" s="61">
        <v>0</v>
      </c>
      <c r="FJ29" s="61">
        <v>0</v>
      </c>
      <c r="FK29" s="61">
        <v>0</v>
      </c>
      <c r="FL29" s="61">
        <v>0</v>
      </c>
      <c r="FM29" s="61">
        <v>0</v>
      </c>
      <c r="FN29" s="61">
        <v>0</v>
      </c>
      <c r="FO29" s="61">
        <v>0</v>
      </c>
      <c r="FP29" s="61">
        <v>0</v>
      </c>
      <c r="FQ29" s="61">
        <v>0</v>
      </c>
      <c r="FR29" s="61">
        <v>0</v>
      </c>
      <c r="FS29" s="61">
        <v>0</v>
      </c>
      <c r="FT29" s="61">
        <v>0</v>
      </c>
      <c r="FU29" s="61">
        <v>0</v>
      </c>
      <c r="FV29" s="61">
        <v>0</v>
      </c>
      <c r="FW29" s="61">
        <v>0</v>
      </c>
      <c r="FX29" s="61">
        <v>0</v>
      </c>
      <c r="FY29" s="61">
        <v>0</v>
      </c>
      <c r="FZ29" s="61">
        <v>0</v>
      </c>
      <c r="GA29" s="61">
        <v>0</v>
      </c>
      <c r="GB29" s="61">
        <v>0</v>
      </c>
      <c r="GC29" s="61">
        <v>0</v>
      </c>
      <c r="GD29" s="61">
        <v>0</v>
      </c>
      <c r="GE29" s="61">
        <v>0</v>
      </c>
      <c r="GF29" s="61">
        <v>0</v>
      </c>
      <c r="GG29" s="61">
        <v>0</v>
      </c>
      <c r="GH29" s="61">
        <v>0</v>
      </c>
      <c r="GI29" s="61">
        <v>0</v>
      </c>
      <c r="GJ29" s="61">
        <v>0</v>
      </c>
      <c r="GK29" s="61">
        <v>0</v>
      </c>
      <c r="GL29" s="61">
        <v>0</v>
      </c>
      <c r="GM29" s="61">
        <v>0</v>
      </c>
      <c r="GN29" s="61">
        <v>0</v>
      </c>
      <c r="GO29" s="61">
        <v>0</v>
      </c>
      <c r="GP29" s="61">
        <v>0</v>
      </c>
      <c r="GQ29" s="61">
        <v>0</v>
      </c>
      <c r="GR29" s="61">
        <v>0</v>
      </c>
      <c r="GS29" s="61">
        <v>0</v>
      </c>
      <c r="GT29" s="61">
        <v>0</v>
      </c>
      <c r="GU29" s="63">
        <v>0</v>
      </c>
      <c r="GV29" s="63">
        <v>0</v>
      </c>
      <c r="GW29" s="63">
        <v>0</v>
      </c>
      <c r="GX29" s="63">
        <v>0</v>
      </c>
      <c r="GY29" s="63">
        <v>0</v>
      </c>
      <c r="GZ29" s="63">
        <v>0</v>
      </c>
      <c r="HA29" s="63">
        <v>0</v>
      </c>
      <c r="HB29" s="63">
        <v>0</v>
      </c>
      <c r="HC29" s="63">
        <v>0</v>
      </c>
      <c r="HD29" s="63">
        <v>0</v>
      </c>
      <c r="HE29" s="63">
        <v>0</v>
      </c>
      <c r="HF29" s="63">
        <v>0</v>
      </c>
      <c r="HG29" s="63">
        <v>0</v>
      </c>
      <c r="HH29" s="63"/>
      <c r="HI29" s="63"/>
      <c r="HJ29" s="63">
        <v>1769</v>
      </c>
      <c r="HK29" s="63">
        <f>SUM(C$4:HI$4)</f>
        <v>215</v>
      </c>
      <c r="HL29" s="61">
        <f>SUM(C29:HI29)</f>
        <v>0</v>
      </c>
      <c r="HM29" s="67">
        <f t="shared" si="1"/>
        <v>0</v>
      </c>
      <c r="HN29" s="67"/>
      <c r="HO29" s="68">
        <v>0.27</v>
      </c>
      <c r="HP29" s="68">
        <v>0.94</v>
      </c>
      <c r="HQ29" s="61">
        <v>1.1200000000000001</v>
      </c>
    </row>
    <row r="30" spans="1:227" x14ac:dyDescent="0.3">
      <c r="A30" s="61" t="s">
        <v>7260</v>
      </c>
      <c r="B30" s="63" t="s">
        <v>7261</v>
      </c>
      <c r="C30" s="61">
        <v>0</v>
      </c>
      <c r="D30" s="61">
        <v>0</v>
      </c>
      <c r="E30" s="66">
        <v>1</v>
      </c>
      <c r="F30" s="66">
        <v>1</v>
      </c>
      <c r="G30" s="66">
        <v>1</v>
      </c>
      <c r="H30" s="66">
        <v>1</v>
      </c>
      <c r="I30" s="66">
        <v>1</v>
      </c>
      <c r="J30" s="66">
        <v>1</v>
      </c>
      <c r="K30" s="66">
        <v>1</v>
      </c>
      <c r="L30" s="66">
        <v>1</v>
      </c>
      <c r="M30" s="66">
        <v>1</v>
      </c>
      <c r="N30" s="66">
        <v>1</v>
      </c>
      <c r="O30" s="66">
        <v>1</v>
      </c>
      <c r="P30" s="66">
        <v>1</v>
      </c>
      <c r="Q30" s="66">
        <v>1</v>
      </c>
      <c r="R30" s="66">
        <v>1</v>
      </c>
      <c r="S30" s="66">
        <v>1</v>
      </c>
      <c r="T30" s="61">
        <v>0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0</v>
      </c>
      <c r="AF30" s="61">
        <v>0</v>
      </c>
      <c r="AG30" s="61">
        <v>0</v>
      </c>
      <c r="AH30" s="61">
        <v>0</v>
      </c>
      <c r="AI30" s="61">
        <v>0</v>
      </c>
      <c r="AJ30" s="61">
        <v>0</v>
      </c>
      <c r="AK30" s="61">
        <v>0</v>
      </c>
      <c r="AL30" s="61">
        <v>0</v>
      </c>
      <c r="AM30" s="61">
        <v>0</v>
      </c>
      <c r="AN30" s="61">
        <v>0</v>
      </c>
      <c r="AO30" s="61">
        <v>0</v>
      </c>
      <c r="AP30" s="61">
        <v>0</v>
      </c>
      <c r="AQ30" s="61">
        <v>0</v>
      </c>
      <c r="AR30" s="61">
        <v>0</v>
      </c>
      <c r="AS30" s="61">
        <v>0</v>
      </c>
      <c r="AT30" s="61">
        <v>0</v>
      </c>
      <c r="AU30" s="61">
        <v>0</v>
      </c>
      <c r="AV30" s="61">
        <v>0</v>
      </c>
      <c r="AW30" s="61">
        <v>0</v>
      </c>
      <c r="AX30" s="61">
        <v>0</v>
      </c>
      <c r="AY30" s="61">
        <v>0</v>
      </c>
      <c r="AZ30" s="61">
        <v>0</v>
      </c>
      <c r="BA30" s="61">
        <v>0</v>
      </c>
      <c r="BB30" s="61">
        <v>0</v>
      </c>
      <c r="BC30" s="61">
        <v>0</v>
      </c>
      <c r="BD30" s="61">
        <v>0</v>
      </c>
      <c r="BE30" s="61">
        <v>0</v>
      </c>
      <c r="BF30" s="61">
        <v>0</v>
      </c>
      <c r="BG30" s="61">
        <v>0</v>
      </c>
      <c r="BH30" s="61">
        <v>0</v>
      </c>
      <c r="BI30" s="61">
        <v>0</v>
      </c>
      <c r="BJ30" s="61">
        <v>0</v>
      </c>
      <c r="BK30" s="61">
        <v>0</v>
      </c>
      <c r="BL30" s="61">
        <v>0</v>
      </c>
      <c r="BM30" s="61">
        <v>0</v>
      </c>
      <c r="BN30" s="61">
        <v>0</v>
      </c>
      <c r="BO30" s="61">
        <v>0</v>
      </c>
      <c r="BP30" s="61">
        <v>0</v>
      </c>
      <c r="BQ30" s="61">
        <v>0</v>
      </c>
      <c r="BR30" s="61">
        <v>0</v>
      </c>
      <c r="BS30" s="66">
        <v>1</v>
      </c>
      <c r="BT30" s="66">
        <v>1</v>
      </c>
      <c r="BU30" s="66">
        <v>1</v>
      </c>
      <c r="BV30" s="61">
        <v>0</v>
      </c>
      <c r="BW30" s="61">
        <v>0</v>
      </c>
      <c r="BX30" s="61">
        <v>0</v>
      </c>
      <c r="BY30" s="61">
        <v>0</v>
      </c>
      <c r="BZ30" s="61">
        <v>0</v>
      </c>
      <c r="CA30" s="61">
        <v>0</v>
      </c>
      <c r="CB30" s="61">
        <v>0</v>
      </c>
      <c r="CC30" s="61">
        <v>0</v>
      </c>
      <c r="CD30" s="61">
        <v>0</v>
      </c>
      <c r="CE30" s="61">
        <v>0</v>
      </c>
      <c r="CF30" s="61">
        <v>0</v>
      </c>
      <c r="CG30" s="61">
        <v>0</v>
      </c>
      <c r="CH30" s="61">
        <v>0</v>
      </c>
      <c r="CI30" s="61">
        <v>0</v>
      </c>
      <c r="CJ30" s="61">
        <v>0</v>
      </c>
      <c r="CK30" s="61">
        <v>0</v>
      </c>
      <c r="CL30" s="61">
        <v>0</v>
      </c>
      <c r="CM30" s="61">
        <v>0</v>
      </c>
      <c r="CN30" s="61">
        <v>0</v>
      </c>
      <c r="CO30" s="61">
        <v>0</v>
      </c>
      <c r="CP30" s="61">
        <v>0</v>
      </c>
      <c r="CQ30" s="61">
        <v>0</v>
      </c>
      <c r="CR30" s="61">
        <v>0</v>
      </c>
      <c r="CS30" s="61">
        <v>0</v>
      </c>
      <c r="CT30" s="61">
        <v>0</v>
      </c>
      <c r="CU30" s="61">
        <v>0</v>
      </c>
      <c r="CV30" s="61">
        <v>0</v>
      </c>
      <c r="CW30" s="61">
        <v>0</v>
      </c>
      <c r="CX30" s="61">
        <v>0</v>
      </c>
      <c r="CY30" s="61">
        <v>0</v>
      </c>
      <c r="CZ30" s="61">
        <v>0</v>
      </c>
      <c r="DA30" s="61">
        <v>0</v>
      </c>
      <c r="DB30" s="61">
        <v>0</v>
      </c>
      <c r="DC30" s="61">
        <v>0</v>
      </c>
      <c r="DD30" s="61">
        <v>0</v>
      </c>
      <c r="DE30" s="61">
        <v>0</v>
      </c>
      <c r="DF30" s="61">
        <v>0</v>
      </c>
      <c r="DG30" s="61">
        <v>0</v>
      </c>
      <c r="DH30" s="61">
        <v>0</v>
      </c>
      <c r="DI30" s="61">
        <v>0</v>
      </c>
      <c r="DJ30" s="61">
        <v>0</v>
      </c>
      <c r="DK30" s="61">
        <v>0</v>
      </c>
      <c r="DL30" s="61">
        <v>0</v>
      </c>
      <c r="DM30" s="66">
        <v>1</v>
      </c>
      <c r="DN30" s="66">
        <v>1</v>
      </c>
      <c r="DO30" s="61">
        <v>0</v>
      </c>
      <c r="DP30" s="61">
        <v>0</v>
      </c>
      <c r="DQ30" s="61">
        <v>0</v>
      </c>
      <c r="DR30" s="61">
        <v>0</v>
      </c>
      <c r="DS30" s="61">
        <v>0</v>
      </c>
      <c r="DT30" s="61">
        <v>0</v>
      </c>
      <c r="DU30" s="61">
        <v>0</v>
      </c>
      <c r="DV30" s="61">
        <v>0</v>
      </c>
      <c r="DW30" s="61">
        <v>0</v>
      </c>
      <c r="DX30" s="61">
        <v>0</v>
      </c>
      <c r="DY30" s="61">
        <v>0</v>
      </c>
      <c r="DZ30" s="61">
        <v>0</v>
      </c>
      <c r="EA30" s="61">
        <v>0</v>
      </c>
      <c r="EB30" s="61">
        <v>0</v>
      </c>
      <c r="EC30" s="61">
        <v>0</v>
      </c>
      <c r="ED30" s="61">
        <v>0</v>
      </c>
      <c r="EE30" s="66">
        <v>1</v>
      </c>
      <c r="EF30" s="66">
        <v>1</v>
      </c>
      <c r="EG30" s="61">
        <v>0</v>
      </c>
      <c r="EH30" s="61">
        <v>0</v>
      </c>
      <c r="EI30" s="61">
        <v>0</v>
      </c>
      <c r="EJ30" s="61">
        <v>0</v>
      </c>
      <c r="EK30" s="66">
        <v>1</v>
      </c>
      <c r="EL30" s="61">
        <v>0</v>
      </c>
      <c r="EM30" s="66">
        <v>1</v>
      </c>
      <c r="EN30" s="66">
        <v>1</v>
      </c>
      <c r="EO30" s="66">
        <v>1</v>
      </c>
      <c r="EP30" s="66">
        <v>1</v>
      </c>
      <c r="EQ30" s="66">
        <v>1</v>
      </c>
      <c r="ER30" s="66">
        <v>1</v>
      </c>
      <c r="ES30" s="66">
        <v>1</v>
      </c>
      <c r="ET30" s="66">
        <v>1</v>
      </c>
      <c r="EU30" s="66">
        <v>1</v>
      </c>
      <c r="EV30" s="66">
        <v>1</v>
      </c>
      <c r="EW30" s="66">
        <v>1</v>
      </c>
      <c r="EX30" s="66">
        <v>1</v>
      </c>
      <c r="EY30" s="66">
        <v>1</v>
      </c>
      <c r="EZ30" s="61">
        <v>0</v>
      </c>
      <c r="FA30" s="61">
        <v>0</v>
      </c>
      <c r="FB30" s="61">
        <v>0</v>
      </c>
      <c r="FC30" s="61">
        <v>0</v>
      </c>
      <c r="FD30" s="61">
        <v>0</v>
      </c>
      <c r="FE30" s="61">
        <v>0</v>
      </c>
      <c r="FF30" s="61">
        <v>0</v>
      </c>
      <c r="FG30" s="61">
        <v>0</v>
      </c>
      <c r="FH30" s="61">
        <v>0</v>
      </c>
      <c r="FI30" s="61">
        <v>0</v>
      </c>
      <c r="FJ30" s="61">
        <v>0</v>
      </c>
      <c r="FK30" s="61">
        <v>0</v>
      </c>
      <c r="FL30" s="61">
        <v>0</v>
      </c>
      <c r="FM30" s="61">
        <v>0</v>
      </c>
      <c r="FN30" s="61">
        <v>0</v>
      </c>
      <c r="FO30" s="61">
        <v>0</v>
      </c>
      <c r="FP30" s="61">
        <v>0</v>
      </c>
      <c r="FQ30" s="61">
        <v>0</v>
      </c>
      <c r="FR30" s="61">
        <v>0</v>
      </c>
      <c r="FS30" s="61">
        <v>0</v>
      </c>
      <c r="FT30" s="61">
        <v>0</v>
      </c>
      <c r="FU30" s="61">
        <v>0</v>
      </c>
      <c r="FV30" s="63">
        <v>0</v>
      </c>
      <c r="FW30" s="63">
        <v>0</v>
      </c>
      <c r="FX30" s="63">
        <v>0</v>
      </c>
      <c r="FY30" s="63">
        <v>0</v>
      </c>
      <c r="FZ30" s="63">
        <v>0</v>
      </c>
      <c r="GA30" s="63">
        <v>0</v>
      </c>
      <c r="GB30" s="63">
        <v>0</v>
      </c>
      <c r="GC30" s="63">
        <v>0</v>
      </c>
      <c r="GD30" s="63">
        <v>0</v>
      </c>
      <c r="GE30" s="63">
        <v>0</v>
      </c>
      <c r="GF30" s="63">
        <v>0</v>
      </c>
      <c r="GG30" s="63">
        <v>0</v>
      </c>
      <c r="GH30" s="63">
        <v>0</v>
      </c>
      <c r="GI30" s="63">
        <v>0</v>
      </c>
      <c r="GJ30" s="63">
        <v>0</v>
      </c>
      <c r="GK30" s="63">
        <v>0</v>
      </c>
      <c r="GL30" s="63">
        <v>0</v>
      </c>
      <c r="GM30" s="63">
        <v>0</v>
      </c>
      <c r="GN30" s="63">
        <v>0</v>
      </c>
      <c r="GO30" s="63">
        <v>0</v>
      </c>
      <c r="GP30" s="63">
        <v>0</v>
      </c>
      <c r="GQ30" s="63">
        <v>0</v>
      </c>
      <c r="GR30" s="63">
        <v>0</v>
      </c>
      <c r="GS30" s="63">
        <v>0</v>
      </c>
      <c r="GT30" s="63">
        <v>0</v>
      </c>
      <c r="GU30" s="63">
        <v>0</v>
      </c>
      <c r="GV30" s="63">
        <v>0</v>
      </c>
      <c r="GW30" s="63">
        <v>0</v>
      </c>
      <c r="GX30" s="63">
        <v>0</v>
      </c>
      <c r="GY30" s="63">
        <v>0</v>
      </c>
      <c r="GZ30" s="63">
        <v>0</v>
      </c>
      <c r="HA30" s="63">
        <v>0</v>
      </c>
      <c r="HB30" s="63">
        <v>0</v>
      </c>
      <c r="HC30" s="63">
        <v>0</v>
      </c>
      <c r="HD30" s="63">
        <v>0</v>
      </c>
      <c r="HE30" s="63">
        <v>0</v>
      </c>
      <c r="HF30" s="63">
        <v>0</v>
      </c>
      <c r="HG30" s="63">
        <v>0</v>
      </c>
      <c r="HH30" s="63">
        <v>0</v>
      </c>
      <c r="HI30" s="63">
        <v>0</v>
      </c>
      <c r="HJ30" s="63">
        <v>1282</v>
      </c>
      <c r="HK30" s="63">
        <f>SUM(C$4:HI$4)</f>
        <v>215</v>
      </c>
      <c r="HL30" s="61">
        <f>SUM(C30:HI30)</f>
        <v>36</v>
      </c>
      <c r="HM30" s="67">
        <f t="shared" si="1"/>
        <v>16.744186046511629</v>
      </c>
      <c r="HN30" s="67"/>
      <c r="HO30" s="68">
        <v>0.86</v>
      </c>
      <c r="HP30" s="68">
        <v>0.48</v>
      </c>
      <c r="HQ30" s="61">
        <v>0.43</v>
      </c>
    </row>
    <row r="31" spans="1:227" x14ac:dyDescent="0.3">
      <c r="B31" s="61" t="s">
        <v>7262</v>
      </c>
      <c r="C31" s="61">
        <v>0</v>
      </c>
      <c r="D31" s="61">
        <v>0</v>
      </c>
      <c r="E31" s="61">
        <v>0</v>
      </c>
      <c r="F31" s="61">
        <v>0</v>
      </c>
      <c r="G31" s="61">
        <v>0</v>
      </c>
      <c r="H31" s="61">
        <v>0</v>
      </c>
      <c r="I31" s="61">
        <v>0</v>
      </c>
      <c r="J31" s="61">
        <v>0</v>
      </c>
      <c r="K31" s="61">
        <v>0</v>
      </c>
      <c r="L31" s="61">
        <v>0</v>
      </c>
      <c r="M31" s="61">
        <v>0</v>
      </c>
      <c r="N31" s="61">
        <v>0</v>
      </c>
      <c r="O31" s="61">
        <v>0</v>
      </c>
      <c r="P31" s="61">
        <v>0</v>
      </c>
      <c r="Q31" s="61">
        <v>0</v>
      </c>
      <c r="R31" s="61">
        <v>0</v>
      </c>
      <c r="S31" s="61">
        <v>0</v>
      </c>
      <c r="T31" s="61">
        <v>0</v>
      </c>
      <c r="U31" s="61">
        <v>0</v>
      </c>
      <c r="V31" s="61">
        <v>0</v>
      </c>
      <c r="W31" s="61">
        <v>0</v>
      </c>
      <c r="X31" s="61">
        <v>0</v>
      </c>
      <c r="Y31" s="61">
        <v>0</v>
      </c>
      <c r="Z31" s="61">
        <v>0</v>
      </c>
      <c r="AA31" s="61">
        <v>0</v>
      </c>
      <c r="AB31" s="61">
        <v>0</v>
      </c>
      <c r="AC31" s="61">
        <v>0</v>
      </c>
      <c r="AD31" s="61">
        <v>0</v>
      </c>
      <c r="AE31" s="61">
        <v>0</v>
      </c>
      <c r="AF31" s="61">
        <v>0</v>
      </c>
      <c r="AG31" s="69">
        <v>0</v>
      </c>
      <c r="AH31" s="61">
        <v>0</v>
      </c>
      <c r="AI31" s="61">
        <v>0</v>
      </c>
      <c r="AJ31" s="61">
        <v>0</v>
      </c>
      <c r="AK31" s="61">
        <v>0</v>
      </c>
      <c r="AL31" s="61">
        <v>0</v>
      </c>
      <c r="AM31" s="61">
        <v>0</v>
      </c>
      <c r="AN31" s="61">
        <v>0</v>
      </c>
      <c r="AO31" s="61">
        <v>0</v>
      </c>
      <c r="AP31" s="61">
        <v>0</v>
      </c>
      <c r="AQ31" s="61">
        <v>0</v>
      </c>
      <c r="AR31" s="61">
        <v>0</v>
      </c>
      <c r="AS31" s="61">
        <v>0</v>
      </c>
      <c r="AT31" s="61">
        <v>0</v>
      </c>
      <c r="AU31" s="61">
        <v>0</v>
      </c>
      <c r="AV31" s="61">
        <v>0</v>
      </c>
      <c r="AW31" s="61">
        <v>0</v>
      </c>
      <c r="AX31" s="61">
        <v>0</v>
      </c>
      <c r="AY31" s="61">
        <v>0</v>
      </c>
      <c r="AZ31" s="61">
        <v>0</v>
      </c>
      <c r="BA31" s="61">
        <v>0</v>
      </c>
      <c r="BB31" s="61">
        <v>0</v>
      </c>
      <c r="BC31" s="61">
        <v>0</v>
      </c>
      <c r="BD31" s="61">
        <v>0</v>
      </c>
      <c r="BE31" s="61">
        <v>0</v>
      </c>
      <c r="BF31" s="61">
        <v>0</v>
      </c>
      <c r="BG31" s="61">
        <v>0</v>
      </c>
      <c r="BH31" s="61">
        <v>0</v>
      </c>
      <c r="BI31" s="61">
        <v>0</v>
      </c>
      <c r="BJ31" s="61">
        <v>0</v>
      </c>
      <c r="BK31" s="61">
        <v>0</v>
      </c>
      <c r="BL31" s="61">
        <v>0</v>
      </c>
      <c r="BM31" s="61">
        <v>0</v>
      </c>
      <c r="BN31" s="61">
        <v>0</v>
      </c>
      <c r="BO31" s="61">
        <v>0</v>
      </c>
      <c r="BP31" s="61">
        <v>0</v>
      </c>
      <c r="BQ31" s="61">
        <v>0</v>
      </c>
      <c r="BR31" s="61">
        <v>0</v>
      </c>
      <c r="BS31" s="61">
        <v>0</v>
      </c>
      <c r="BT31" s="61">
        <v>0</v>
      </c>
      <c r="BU31" s="61">
        <v>0</v>
      </c>
      <c r="BV31" s="61">
        <v>0</v>
      </c>
      <c r="BW31" s="61">
        <v>0</v>
      </c>
      <c r="BX31" s="61">
        <v>0</v>
      </c>
      <c r="BY31" s="61">
        <v>0</v>
      </c>
      <c r="BZ31" s="61">
        <v>0</v>
      </c>
      <c r="CA31" s="61">
        <v>0</v>
      </c>
      <c r="CB31" s="61">
        <v>0</v>
      </c>
      <c r="CC31" s="61">
        <v>0</v>
      </c>
      <c r="CD31" s="61">
        <v>0</v>
      </c>
      <c r="CE31" s="61">
        <v>0</v>
      </c>
      <c r="CF31" s="61">
        <v>0</v>
      </c>
      <c r="CG31" s="61">
        <v>0</v>
      </c>
      <c r="CH31" s="61">
        <v>0</v>
      </c>
      <c r="CI31" s="61">
        <v>0</v>
      </c>
      <c r="CJ31" s="61">
        <v>0</v>
      </c>
      <c r="CK31" s="61">
        <v>0</v>
      </c>
      <c r="CL31" s="61">
        <v>0</v>
      </c>
      <c r="CM31" s="61">
        <v>0</v>
      </c>
      <c r="CN31" s="61">
        <v>0</v>
      </c>
      <c r="CO31" s="61">
        <v>0</v>
      </c>
      <c r="CP31" s="61">
        <v>0</v>
      </c>
      <c r="CQ31" s="61">
        <v>0</v>
      </c>
      <c r="CR31" s="61">
        <v>0</v>
      </c>
      <c r="CS31" s="61">
        <v>0</v>
      </c>
      <c r="CT31" s="61">
        <v>0</v>
      </c>
      <c r="CU31" s="61">
        <v>0</v>
      </c>
      <c r="CV31" s="61">
        <v>0</v>
      </c>
      <c r="CW31" s="61">
        <v>0</v>
      </c>
      <c r="CX31" s="61">
        <v>0</v>
      </c>
      <c r="CY31" s="61">
        <v>0</v>
      </c>
      <c r="CZ31" s="61">
        <v>0</v>
      </c>
      <c r="DA31" s="61">
        <v>0</v>
      </c>
      <c r="DB31" s="61">
        <v>0</v>
      </c>
      <c r="DC31" s="61">
        <v>0</v>
      </c>
      <c r="DD31" s="61">
        <v>0</v>
      </c>
      <c r="DE31" s="61">
        <v>0</v>
      </c>
      <c r="DF31" s="61">
        <v>0</v>
      </c>
      <c r="DG31" s="61">
        <v>0</v>
      </c>
      <c r="DH31" s="61">
        <v>0</v>
      </c>
      <c r="DI31" s="61">
        <v>0</v>
      </c>
      <c r="DJ31" s="61">
        <v>0</v>
      </c>
      <c r="DK31" s="61">
        <v>0</v>
      </c>
      <c r="DL31" s="61">
        <v>0</v>
      </c>
      <c r="DM31" s="61">
        <v>0</v>
      </c>
      <c r="DN31" s="61">
        <v>0</v>
      </c>
      <c r="DO31" s="61">
        <v>0</v>
      </c>
      <c r="DP31" s="61">
        <v>0</v>
      </c>
      <c r="DQ31" s="61">
        <v>0</v>
      </c>
      <c r="DR31" s="61">
        <v>0</v>
      </c>
      <c r="DS31" s="61">
        <v>0</v>
      </c>
      <c r="DT31" s="61">
        <v>0</v>
      </c>
      <c r="DU31" s="61">
        <v>0</v>
      </c>
      <c r="DV31" s="61">
        <v>0</v>
      </c>
      <c r="DW31" s="61">
        <v>0</v>
      </c>
      <c r="DX31" s="61">
        <v>0</v>
      </c>
      <c r="DY31" s="61">
        <v>0</v>
      </c>
      <c r="DZ31" s="61">
        <v>0</v>
      </c>
      <c r="EA31" s="61">
        <v>0</v>
      </c>
      <c r="EB31" s="61">
        <v>0</v>
      </c>
      <c r="EC31" s="61">
        <v>0</v>
      </c>
      <c r="ED31" s="61">
        <v>0</v>
      </c>
      <c r="EE31" s="61">
        <v>0</v>
      </c>
      <c r="EF31" s="61">
        <v>0</v>
      </c>
      <c r="EG31" s="61">
        <v>0</v>
      </c>
      <c r="EH31" s="61">
        <v>0</v>
      </c>
      <c r="EI31" s="61">
        <v>0</v>
      </c>
      <c r="EJ31" s="61">
        <v>0</v>
      </c>
      <c r="EK31" s="61">
        <v>0</v>
      </c>
      <c r="EL31" s="61">
        <v>0</v>
      </c>
      <c r="EM31" s="61">
        <v>0</v>
      </c>
      <c r="EN31" s="61">
        <v>0</v>
      </c>
      <c r="EO31" s="61">
        <v>0</v>
      </c>
      <c r="EP31" s="61">
        <v>0</v>
      </c>
      <c r="EQ31" s="61">
        <v>0</v>
      </c>
      <c r="ER31" s="61">
        <v>0</v>
      </c>
      <c r="ES31" s="61">
        <v>0</v>
      </c>
      <c r="ET31" s="61">
        <v>0</v>
      </c>
      <c r="EU31" s="61">
        <v>0</v>
      </c>
      <c r="EV31" s="61">
        <v>0</v>
      </c>
      <c r="EW31" s="61">
        <v>0</v>
      </c>
      <c r="EX31" s="61">
        <v>0</v>
      </c>
      <c r="EY31" s="61">
        <v>0</v>
      </c>
      <c r="EZ31" s="61">
        <v>0</v>
      </c>
      <c r="FA31" s="61">
        <v>0</v>
      </c>
      <c r="FB31" s="61">
        <v>0</v>
      </c>
      <c r="FC31" s="61">
        <v>0</v>
      </c>
      <c r="FD31" s="61">
        <v>0</v>
      </c>
      <c r="FE31" s="61">
        <v>0</v>
      </c>
      <c r="FF31" s="61">
        <v>0</v>
      </c>
      <c r="FG31" s="61">
        <v>0</v>
      </c>
      <c r="FH31" s="61">
        <v>0</v>
      </c>
      <c r="FI31" s="61">
        <v>0</v>
      </c>
      <c r="FJ31" s="61">
        <v>0</v>
      </c>
      <c r="FK31" s="61">
        <v>0</v>
      </c>
      <c r="FL31" s="61">
        <v>0</v>
      </c>
      <c r="FM31" s="61">
        <v>0</v>
      </c>
      <c r="FN31" s="61">
        <v>0</v>
      </c>
      <c r="FO31" s="61">
        <v>0</v>
      </c>
      <c r="FP31" s="61">
        <v>0</v>
      </c>
      <c r="FQ31" s="61">
        <v>0</v>
      </c>
      <c r="FR31" s="61">
        <v>0</v>
      </c>
      <c r="FS31" s="61">
        <v>0</v>
      </c>
      <c r="FT31" s="61">
        <v>0</v>
      </c>
      <c r="FU31" s="61">
        <v>0</v>
      </c>
      <c r="FV31" s="61">
        <v>0</v>
      </c>
      <c r="FW31" s="61">
        <v>0</v>
      </c>
      <c r="FX31" s="61">
        <v>0</v>
      </c>
      <c r="FY31" s="61">
        <v>0</v>
      </c>
      <c r="FZ31" s="61">
        <v>0</v>
      </c>
      <c r="GA31" s="61">
        <v>0</v>
      </c>
      <c r="GB31" s="61">
        <v>0</v>
      </c>
      <c r="GC31" s="61">
        <v>0</v>
      </c>
      <c r="GD31" s="61">
        <v>0</v>
      </c>
      <c r="GE31" s="61">
        <v>0</v>
      </c>
      <c r="GF31" s="61">
        <v>0</v>
      </c>
      <c r="GG31" s="61">
        <v>0</v>
      </c>
      <c r="GH31" s="61">
        <v>0</v>
      </c>
      <c r="GI31" s="61">
        <v>0</v>
      </c>
      <c r="GJ31" s="61">
        <v>0</v>
      </c>
      <c r="GK31" s="61">
        <v>0</v>
      </c>
      <c r="GL31" s="61">
        <v>0</v>
      </c>
      <c r="GM31" s="61">
        <v>0</v>
      </c>
      <c r="GN31" s="61">
        <v>0</v>
      </c>
      <c r="GO31" s="61">
        <v>0</v>
      </c>
      <c r="GP31" s="61">
        <v>0</v>
      </c>
      <c r="GQ31" s="61">
        <v>0</v>
      </c>
      <c r="GR31" s="61">
        <v>0</v>
      </c>
      <c r="GS31" s="61">
        <v>0</v>
      </c>
      <c r="GT31" s="61">
        <v>0</v>
      </c>
      <c r="GU31" s="63">
        <v>0</v>
      </c>
      <c r="GV31" s="63">
        <v>0</v>
      </c>
      <c r="GW31" s="63">
        <v>0</v>
      </c>
      <c r="GX31" s="63">
        <v>0</v>
      </c>
      <c r="GY31" s="63">
        <v>0</v>
      </c>
      <c r="GZ31" s="63">
        <v>0</v>
      </c>
      <c r="HA31" s="63">
        <v>0</v>
      </c>
      <c r="HB31" s="63">
        <v>0</v>
      </c>
      <c r="HC31" s="63">
        <v>0</v>
      </c>
      <c r="HD31" s="63">
        <v>0</v>
      </c>
      <c r="HE31" s="63">
        <v>0</v>
      </c>
      <c r="HF31" s="63">
        <v>0</v>
      </c>
      <c r="HG31" s="63">
        <v>0</v>
      </c>
      <c r="HH31" s="63">
        <v>0</v>
      </c>
      <c r="HI31" s="63">
        <v>0</v>
      </c>
      <c r="HJ31" s="63">
        <v>1830</v>
      </c>
      <c r="HK31" s="63">
        <f>SUM(AG$4:HI$4)</f>
        <v>185</v>
      </c>
      <c r="HL31" s="61">
        <f>SUM(AG31:HI31)</f>
        <v>0</v>
      </c>
      <c r="HM31" s="67">
        <f t="shared" si="1"/>
        <v>0</v>
      </c>
      <c r="HN31" s="67"/>
      <c r="HO31" s="68">
        <v>1.18</v>
      </c>
      <c r="HP31" s="68">
        <v>0.63</v>
      </c>
      <c r="HQ31" s="61">
        <v>0.54</v>
      </c>
    </row>
    <row r="32" spans="1:227" x14ac:dyDescent="0.3">
      <c r="B32" s="61" t="s">
        <v>7263</v>
      </c>
      <c r="C32" s="61">
        <v>0</v>
      </c>
      <c r="D32" s="61">
        <v>0</v>
      </c>
      <c r="E32" s="61">
        <v>0</v>
      </c>
      <c r="F32" s="61">
        <v>0</v>
      </c>
      <c r="G32" s="61">
        <v>0</v>
      </c>
      <c r="H32" s="61">
        <v>0</v>
      </c>
      <c r="I32" s="61">
        <v>0</v>
      </c>
      <c r="J32" s="61">
        <v>0</v>
      </c>
      <c r="K32" s="61">
        <v>0</v>
      </c>
      <c r="L32" s="61">
        <v>0</v>
      </c>
      <c r="M32" s="61">
        <v>0</v>
      </c>
      <c r="N32" s="61">
        <v>0</v>
      </c>
      <c r="O32" s="61">
        <v>0</v>
      </c>
      <c r="P32" s="61">
        <v>0</v>
      </c>
      <c r="Q32" s="61">
        <v>0</v>
      </c>
      <c r="R32" s="61">
        <v>0</v>
      </c>
      <c r="S32" s="61">
        <v>0</v>
      </c>
      <c r="T32" s="61">
        <v>0</v>
      </c>
      <c r="U32" s="61">
        <v>0</v>
      </c>
      <c r="V32" s="61">
        <v>0</v>
      </c>
      <c r="W32" s="61">
        <v>0</v>
      </c>
      <c r="X32" s="61">
        <v>0</v>
      </c>
      <c r="Y32" s="61">
        <v>0</v>
      </c>
      <c r="Z32" s="61">
        <v>0</v>
      </c>
      <c r="AA32" s="61">
        <v>0</v>
      </c>
      <c r="AB32" s="61">
        <v>0</v>
      </c>
      <c r="AC32" s="61">
        <v>0</v>
      </c>
      <c r="AD32" s="61">
        <v>0</v>
      </c>
      <c r="AE32" s="61">
        <v>0</v>
      </c>
      <c r="AF32" s="61">
        <v>0</v>
      </c>
      <c r="AG32" s="61">
        <v>0</v>
      </c>
      <c r="AH32" s="61">
        <v>0</v>
      </c>
      <c r="AI32" s="61">
        <v>0</v>
      </c>
      <c r="AJ32" s="61">
        <v>0</v>
      </c>
      <c r="AK32" s="61">
        <v>0</v>
      </c>
      <c r="AL32" s="61">
        <v>0</v>
      </c>
      <c r="AM32" s="61">
        <v>0</v>
      </c>
      <c r="AN32" s="61">
        <v>0</v>
      </c>
      <c r="AO32" s="61">
        <v>0</v>
      </c>
      <c r="AP32" s="61">
        <v>0</v>
      </c>
      <c r="AQ32" s="61">
        <v>0</v>
      </c>
      <c r="AR32" s="61">
        <v>0</v>
      </c>
      <c r="AS32" s="61">
        <v>0</v>
      </c>
      <c r="AT32" s="61">
        <v>0</v>
      </c>
      <c r="AU32" s="61">
        <v>0</v>
      </c>
      <c r="AV32" s="61">
        <v>0</v>
      </c>
      <c r="AW32" s="61">
        <v>0</v>
      </c>
      <c r="AX32" s="61">
        <v>0</v>
      </c>
      <c r="AY32" s="61">
        <v>0</v>
      </c>
      <c r="AZ32" s="61">
        <v>0</v>
      </c>
      <c r="BA32" s="61">
        <v>0</v>
      </c>
      <c r="BB32" s="61">
        <v>0</v>
      </c>
      <c r="BC32" s="61">
        <v>0</v>
      </c>
      <c r="BD32" s="61">
        <v>0</v>
      </c>
      <c r="BE32" s="61">
        <v>0</v>
      </c>
      <c r="BF32" s="61">
        <v>0</v>
      </c>
      <c r="BG32" s="61">
        <v>0</v>
      </c>
      <c r="BH32" s="61">
        <v>0</v>
      </c>
      <c r="BI32" s="61">
        <v>0</v>
      </c>
      <c r="BJ32" s="61">
        <v>0</v>
      </c>
      <c r="BK32" s="61">
        <v>0</v>
      </c>
      <c r="BL32" s="61">
        <v>0</v>
      </c>
      <c r="BM32" s="61">
        <v>0</v>
      </c>
      <c r="BN32" s="61">
        <v>0</v>
      </c>
      <c r="BO32" s="61">
        <v>0</v>
      </c>
      <c r="BP32" s="61">
        <v>0</v>
      </c>
      <c r="BQ32" s="61">
        <v>0</v>
      </c>
      <c r="BR32" s="61">
        <v>0</v>
      </c>
      <c r="BS32" s="61">
        <v>0</v>
      </c>
      <c r="BT32" s="61">
        <v>0</v>
      </c>
      <c r="BU32" s="61">
        <v>0</v>
      </c>
      <c r="BV32" s="61">
        <v>0</v>
      </c>
      <c r="BW32" s="61">
        <v>0</v>
      </c>
      <c r="BX32" s="61">
        <v>0</v>
      </c>
      <c r="BY32" s="61">
        <v>0</v>
      </c>
      <c r="BZ32" s="61">
        <v>0</v>
      </c>
      <c r="CA32" s="61">
        <v>0</v>
      </c>
      <c r="CB32" s="61">
        <v>0</v>
      </c>
      <c r="CC32" s="61">
        <v>0</v>
      </c>
      <c r="CD32" s="61">
        <v>0</v>
      </c>
      <c r="CE32" s="61">
        <v>0</v>
      </c>
      <c r="CF32" s="61">
        <v>0</v>
      </c>
      <c r="CG32" s="61">
        <v>0</v>
      </c>
      <c r="CH32" s="61">
        <v>0</v>
      </c>
      <c r="CI32" s="61">
        <v>0</v>
      </c>
      <c r="CJ32" s="61">
        <v>0</v>
      </c>
      <c r="CK32" s="61">
        <v>0</v>
      </c>
      <c r="CL32" s="61">
        <v>0</v>
      </c>
      <c r="CM32" s="61">
        <v>0</v>
      </c>
      <c r="CN32" s="61">
        <v>0</v>
      </c>
      <c r="CO32" s="61">
        <v>0</v>
      </c>
      <c r="CP32" s="61">
        <v>0</v>
      </c>
      <c r="CQ32" s="61">
        <v>0</v>
      </c>
      <c r="CR32" s="61">
        <v>0</v>
      </c>
      <c r="CS32" s="61">
        <v>0</v>
      </c>
      <c r="CT32" s="61">
        <v>0</v>
      </c>
      <c r="CU32" s="61">
        <v>0</v>
      </c>
      <c r="CV32" s="61">
        <v>0</v>
      </c>
      <c r="CW32" s="61">
        <v>0</v>
      </c>
      <c r="CX32" s="61">
        <v>0</v>
      </c>
      <c r="CY32" s="61">
        <v>0</v>
      </c>
      <c r="CZ32" s="61">
        <v>0</v>
      </c>
      <c r="DA32" s="61">
        <v>0</v>
      </c>
      <c r="DB32" s="61">
        <v>0</v>
      </c>
      <c r="DC32" s="61">
        <v>0</v>
      </c>
      <c r="DD32" s="61">
        <v>0</v>
      </c>
      <c r="DE32" s="61">
        <v>0</v>
      </c>
      <c r="DF32" s="61">
        <v>0</v>
      </c>
      <c r="DG32" s="61">
        <v>0</v>
      </c>
      <c r="DH32" s="61">
        <v>0</v>
      </c>
      <c r="DI32" s="61">
        <v>0</v>
      </c>
      <c r="DJ32" s="61">
        <v>0</v>
      </c>
      <c r="DK32" s="61">
        <v>0</v>
      </c>
      <c r="DL32" s="61">
        <v>0</v>
      </c>
      <c r="DM32" s="61">
        <v>0</v>
      </c>
      <c r="DN32" s="61">
        <v>0</v>
      </c>
      <c r="DO32" s="61">
        <v>0</v>
      </c>
      <c r="DP32" s="61">
        <v>0</v>
      </c>
      <c r="DQ32" s="61">
        <v>0</v>
      </c>
      <c r="DR32" s="61">
        <v>0</v>
      </c>
      <c r="DS32" s="61">
        <v>0</v>
      </c>
      <c r="DT32" s="61">
        <v>0</v>
      </c>
      <c r="DU32" s="61">
        <v>0</v>
      </c>
      <c r="DV32" s="61">
        <v>0</v>
      </c>
      <c r="DW32" s="61">
        <v>0</v>
      </c>
      <c r="DX32" s="61">
        <v>0</v>
      </c>
      <c r="DY32" s="61">
        <v>0</v>
      </c>
      <c r="DZ32" s="61">
        <v>0</v>
      </c>
      <c r="EA32" s="61">
        <v>0</v>
      </c>
      <c r="EB32" s="61">
        <v>0</v>
      </c>
      <c r="EC32" s="61">
        <v>0</v>
      </c>
      <c r="ED32" s="61">
        <v>0</v>
      </c>
      <c r="EE32" s="61">
        <v>0</v>
      </c>
      <c r="EF32" s="61">
        <v>0</v>
      </c>
      <c r="EG32" s="61">
        <v>0</v>
      </c>
      <c r="EH32" s="61">
        <v>0</v>
      </c>
      <c r="EI32" s="61">
        <v>0</v>
      </c>
      <c r="EJ32" s="61">
        <v>0</v>
      </c>
      <c r="EK32" s="61">
        <v>0</v>
      </c>
      <c r="EL32" s="61">
        <v>0</v>
      </c>
      <c r="EM32" s="61">
        <v>0</v>
      </c>
      <c r="EN32" s="61">
        <v>0</v>
      </c>
      <c r="EO32" s="61">
        <v>0</v>
      </c>
      <c r="EP32" s="61">
        <v>0</v>
      </c>
      <c r="EQ32" s="61">
        <v>0</v>
      </c>
      <c r="ER32" s="61">
        <v>0</v>
      </c>
      <c r="ES32" s="61">
        <v>0</v>
      </c>
      <c r="ET32" s="61">
        <v>0</v>
      </c>
      <c r="EU32" s="61">
        <v>0</v>
      </c>
      <c r="EV32" s="61">
        <v>0</v>
      </c>
      <c r="EW32" s="61">
        <v>0</v>
      </c>
      <c r="EX32" s="61">
        <v>0</v>
      </c>
      <c r="EY32" s="61">
        <v>0</v>
      </c>
      <c r="EZ32" s="61">
        <v>0</v>
      </c>
      <c r="FA32" s="61">
        <v>0</v>
      </c>
      <c r="FB32" s="61">
        <v>0</v>
      </c>
      <c r="FC32" s="61">
        <v>0</v>
      </c>
      <c r="FD32" s="61">
        <v>0</v>
      </c>
      <c r="FE32" s="61">
        <v>0</v>
      </c>
      <c r="FF32" s="61">
        <v>0</v>
      </c>
      <c r="FG32" s="61">
        <v>0</v>
      </c>
      <c r="FH32" s="61">
        <v>0</v>
      </c>
      <c r="FI32" s="61">
        <v>0</v>
      </c>
      <c r="FJ32" s="61">
        <v>0</v>
      </c>
      <c r="FK32" s="61">
        <v>0</v>
      </c>
      <c r="FL32" s="61">
        <v>0</v>
      </c>
      <c r="FM32" s="61">
        <v>0</v>
      </c>
      <c r="FN32" s="61">
        <v>0</v>
      </c>
      <c r="FO32" s="61">
        <v>0</v>
      </c>
      <c r="FP32" s="61">
        <v>0</v>
      </c>
      <c r="FQ32" s="61">
        <v>0</v>
      </c>
      <c r="FR32" s="61">
        <v>0</v>
      </c>
      <c r="FS32" s="61">
        <v>0</v>
      </c>
      <c r="FT32" s="61">
        <v>0</v>
      </c>
      <c r="FU32" s="61">
        <v>0</v>
      </c>
      <c r="FV32" s="61">
        <v>0</v>
      </c>
      <c r="FW32" s="61">
        <v>0</v>
      </c>
      <c r="FX32" s="61">
        <v>0</v>
      </c>
      <c r="FY32" s="61">
        <v>0</v>
      </c>
      <c r="FZ32" s="61">
        <v>0</v>
      </c>
      <c r="GA32" s="61">
        <v>0</v>
      </c>
      <c r="GB32" s="61">
        <v>0</v>
      </c>
      <c r="GC32" s="61">
        <v>0</v>
      </c>
      <c r="GD32" s="61">
        <v>0</v>
      </c>
      <c r="GE32" s="61">
        <v>0</v>
      </c>
      <c r="GF32" s="61">
        <v>0</v>
      </c>
      <c r="GG32" s="61">
        <v>0</v>
      </c>
      <c r="GH32" s="61">
        <v>0</v>
      </c>
      <c r="GI32" s="61">
        <v>0</v>
      </c>
      <c r="GJ32" s="61">
        <v>0</v>
      </c>
      <c r="GK32" s="61">
        <v>0</v>
      </c>
      <c r="GL32" s="61">
        <v>0</v>
      </c>
      <c r="GM32" s="61">
        <v>0</v>
      </c>
      <c r="GN32" s="61">
        <v>0</v>
      </c>
      <c r="GO32" s="61">
        <v>0</v>
      </c>
      <c r="GP32" s="61">
        <v>0</v>
      </c>
      <c r="GQ32" s="61">
        <v>0</v>
      </c>
      <c r="GR32" s="61">
        <v>0</v>
      </c>
      <c r="GS32" s="61">
        <v>0</v>
      </c>
      <c r="GT32" s="61">
        <v>0</v>
      </c>
      <c r="GU32" s="63">
        <v>0</v>
      </c>
      <c r="GV32" s="63">
        <v>0</v>
      </c>
      <c r="GW32" s="63">
        <v>0</v>
      </c>
      <c r="GX32" s="63">
        <v>0</v>
      </c>
      <c r="GY32" s="63">
        <v>0</v>
      </c>
      <c r="GZ32" s="63">
        <v>0</v>
      </c>
      <c r="HA32" s="63">
        <v>0</v>
      </c>
      <c r="HB32" s="63">
        <v>0</v>
      </c>
      <c r="HC32" s="63">
        <v>0</v>
      </c>
      <c r="HD32" s="63">
        <v>0</v>
      </c>
      <c r="HE32" s="63">
        <v>0</v>
      </c>
      <c r="HF32" s="63">
        <v>0</v>
      </c>
      <c r="HG32" s="63">
        <v>0</v>
      </c>
      <c r="HH32" s="63">
        <v>0</v>
      </c>
      <c r="HI32" s="63">
        <v>0</v>
      </c>
      <c r="HJ32" s="63">
        <v>980</v>
      </c>
      <c r="HK32" s="63">
        <f>SUM(C$4:HI$4)</f>
        <v>215</v>
      </c>
      <c r="HL32" s="61">
        <f>SUM(C32:HI32)</f>
        <v>0</v>
      </c>
      <c r="HM32" s="67">
        <f t="shared" si="1"/>
        <v>0</v>
      </c>
      <c r="HN32" s="67"/>
      <c r="HO32" s="68">
        <v>0.43</v>
      </c>
      <c r="HP32" s="68">
        <v>0.35</v>
      </c>
      <c r="HQ32" s="61">
        <v>0.31</v>
      </c>
    </row>
    <row r="33" spans="2:227" x14ac:dyDescent="0.3">
      <c r="B33" s="63" t="s">
        <v>7264</v>
      </c>
      <c r="C33" s="61">
        <v>0</v>
      </c>
      <c r="D33" s="61">
        <v>0</v>
      </c>
      <c r="E33" s="61">
        <v>0</v>
      </c>
      <c r="F33" s="61">
        <v>0</v>
      </c>
      <c r="G33" s="61">
        <v>0</v>
      </c>
      <c r="H33" s="61">
        <v>0</v>
      </c>
      <c r="I33" s="61">
        <v>0</v>
      </c>
      <c r="J33" s="61">
        <v>0</v>
      </c>
      <c r="K33" s="61">
        <v>0</v>
      </c>
      <c r="L33" s="61">
        <v>0</v>
      </c>
      <c r="M33" s="61">
        <v>0</v>
      </c>
      <c r="N33" s="61">
        <v>0</v>
      </c>
      <c r="O33" s="61">
        <v>0</v>
      </c>
      <c r="P33" s="61">
        <v>0</v>
      </c>
      <c r="Q33" s="61">
        <v>0</v>
      </c>
      <c r="R33" s="61">
        <v>0</v>
      </c>
      <c r="S33" s="61">
        <v>0</v>
      </c>
      <c r="T33" s="61">
        <v>0</v>
      </c>
      <c r="U33" s="61">
        <v>0</v>
      </c>
      <c r="V33" s="61">
        <v>0</v>
      </c>
      <c r="W33" s="61">
        <v>0</v>
      </c>
      <c r="X33" s="61">
        <v>0</v>
      </c>
      <c r="Y33" s="61">
        <v>0</v>
      </c>
      <c r="Z33" s="61">
        <v>0</v>
      </c>
      <c r="AA33" s="61">
        <v>0</v>
      </c>
      <c r="AB33" s="61">
        <v>0</v>
      </c>
      <c r="AC33" s="61">
        <v>0</v>
      </c>
      <c r="AD33" s="61">
        <v>0</v>
      </c>
      <c r="AE33" s="61">
        <v>0</v>
      </c>
      <c r="AF33" s="61">
        <v>0</v>
      </c>
      <c r="AG33" s="61">
        <v>0</v>
      </c>
      <c r="AH33" s="61">
        <v>0</v>
      </c>
      <c r="AI33" s="61">
        <v>0</v>
      </c>
      <c r="AJ33" s="61">
        <v>0</v>
      </c>
      <c r="AK33" s="61">
        <v>0</v>
      </c>
      <c r="AL33" s="61">
        <v>0</v>
      </c>
      <c r="AM33" s="61">
        <v>0</v>
      </c>
      <c r="AN33" s="61">
        <v>0</v>
      </c>
      <c r="AO33" s="61">
        <v>0</v>
      </c>
      <c r="AP33" s="61">
        <v>0</v>
      </c>
      <c r="AQ33" s="61">
        <v>0</v>
      </c>
      <c r="AR33" s="61">
        <v>0</v>
      </c>
      <c r="AS33" s="61">
        <v>0</v>
      </c>
      <c r="AT33" s="61">
        <v>0</v>
      </c>
      <c r="AU33" s="61">
        <v>0</v>
      </c>
      <c r="AV33" s="61">
        <v>0</v>
      </c>
      <c r="AW33" s="61">
        <v>0</v>
      </c>
      <c r="AX33" s="61">
        <v>0</v>
      </c>
      <c r="AY33" s="61">
        <v>0</v>
      </c>
      <c r="AZ33" s="61">
        <v>0</v>
      </c>
      <c r="BA33" s="61">
        <v>0</v>
      </c>
      <c r="BB33" s="61">
        <v>0</v>
      </c>
      <c r="BC33" s="61">
        <v>0</v>
      </c>
      <c r="BD33" s="61">
        <v>0</v>
      </c>
      <c r="BE33" s="61">
        <v>0</v>
      </c>
      <c r="BF33" s="61">
        <v>0</v>
      </c>
      <c r="BG33" s="61">
        <v>0</v>
      </c>
      <c r="BH33" s="61">
        <v>0</v>
      </c>
      <c r="BI33" s="61">
        <v>0</v>
      </c>
      <c r="BJ33" s="61">
        <v>0</v>
      </c>
      <c r="BK33" s="61">
        <v>0</v>
      </c>
      <c r="BL33" s="61">
        <v>0</v>
      </c>
      <c r="BM33" s="61">
        <v>0</v>
      </c>
      <c r="BN33" s="61">
        <v>0</v>
      </c>
      <c r="BO33" s="61">
        <v>0</v>
      </c>
      <c r="BP33" s="61">
        <v>0</v>
      </c>
      <c r="BQ33" s="61">
        <v>0</v>
      </c>
      <c r="BR33" s="61">
        <v>0</v>
      </c>
      <c r="BS33" s="61">
        <v>0</v>
      </c>
      <c r="BT33" s="61">
        <v>0</v>
      </c>
      <c r="BU33" s="61">
        <v>0</v>
      </c>
      <c r="BV33" s="61">
        <v>0</v>
      </c>
      <c r="BW33" s="61">
        <v>0</v>
      </c>
      <c r="BX33" s="61">
        <v>0</v>
      </c>
      <c r="BY33" s="61">
        <v>0</v>
      </c>
      <c r="BZ33" s="61">
        <v>0</v>
      </c>
      <c r="CA33" s="61">
        <v>0</v>
      </c>
      <c r="CB33" s="61">
        <v>0</v>
      </c>
      <c r="CC33" s="61">
        <v>0</v>
      </c>
      <c r="CD33" s="61">
        <v>0</v>
      </c>
      <c r="CE33" s="61">
        <v>0</v>
      </c>
      <c r="CF33" s="61">
        <v>0</v>
      </c>
      <c r="CG33" s="61">
        <v>0</v>
      </c>
      <c r="CH33" s="61">
        <v>0</v>
      </c>
      <c r="CI33" s="61">
        <v>0</v>
      </c>
      <c r="CJ33" s="61">
        <v>0</v>
      </c>
      <c r="CK33" s="61">
        <v>0</v>
      </c>
      <c r="CL33" s="61">
        <v>0</v>
      </c>
      <c r="CM33" s="61">
        <v>0</v>
      </c>
      <c r="CN33" s="61">
        <v>0</v>
      </c>
      <c r="CO33" s="61">
        <v>0</v>
      </c>
      <c r="CP33" s="61">
        <v>0</v>
      </c>
      <c r="CQ33" s="61">
        <v>0</v>
      </c>
      <c r="CR33" s="61">
        <v>0</v>
      </c>
      <c r="CS33" s="61">
        <v>0</v>
      </c>
      <c r="CT33" s="61">
        <v>0</v>
      </c>
      <c r="CU33" s="61">
        <v>0</v>
      </c>
      <c r="CV33" s="61">
        <v>0</v>
      </c>
      <c r="CW33" s="61">
        <v>0</v>
      </c>
      <c r="CX33" s="61">
        <v>0</v>
      </c>
      <c r="CY33" s="61">
        <v>0</v>
      </c>
      <c r="CZ33" s="61">
        <v>0</v>
      </c>
      <c r="DA33" s="61">
        <v>0</v>
      </c>
      <c r="DB33" s="61">
        <v>0</v>
      </c>
      <c r="DC33" s="61">
        <v>0</v>
      </c>
      <c r="DD33" s="61">
        <v>0</v>
      </c>
      <c r="DE33" s="61">
        <v>0</v>
      </c>
      <c r="DF33" s="61">
        <v>0</v>
      </c>
      <c r="DG33" s="61">
        <v>0</v>
      </c>
      <c r="DH33" s="61">
        <v>0</v>
      </c>
      <c r="DI33" s="61">
        <v>0</v>
      </c>
      <c r="DJ33" s="61">
        <v>0</v>
      </c>
      <c r="DK33" s="61">
        <v>0</v>
      </c>
      <c r="DL33" s="61">
        <v>0</v>
      </c>
      <c r="DM33" s="61">
        <v>0</v>
      </c>
      <c r="DN33" s="61">
        <v>0</v>
      </c>
      <c r="DO33" s="61">
        <v>0</v>
      </c>
      <c r="DP33" s="65">
        <v>0</v>
      </c>
      <c r="DQ33" s="61">
        <v>0</v>
      </c>
      <c r="DR33" s="61">
        <v>0</v>
      </c>
      <c r="DS33" s="61">
        <v>0</v>
      </c>
      <c r="DT33" s="61">
        <v>0</v>
      </c>
      <c r="DU33" s="61">
        <v>0</v>
      </c>
      <c r="DV33" s="61">
        <v>0</v>
      </c>
      <c r="DW33" s="61">
        <v>0</v>
      </c>
      <c r="DX33" s="61">
        <v>0</v>
      </c>
      <c r="DY33" s="61">
        <v>0</v>
      </c>
      <c r="DZ33" s="61">
        <v>0</v>
      </c>
      <c r="EA33" s="61">
        <v>0</v>
      </c>
      <c r="EB33" s="61">
        <v>0</v>
      </c>
      <c r="EC33" s="61">
        <v>0</v>
      </c>
      <c r="ED33" s="61">
        <v>0</v>
      </c>
      <c r="EE33" s="61">
        <v>0</v>
      </c>
      <c r="EF33" s="61">
        <v>0</v>
      </c>
      <c r="EG33" s="61">
        <v>0</v>
      </c>
      <c r="EH33" s="61">
        <v>0</v>
      </c>
      <c r="EI33" s="61">
        <v>0</v>
      </c>
      <c r="EJ33" s="61">
        <v>0</v>
      </c>
      <c r="EK33" s="61">
        <v>0</v>
      </c>
      <c r="EL33" s="61">
        <v>0</v>
      </c>
      <c r="EM33" s="61">
        <v>0</v>
      </c>
      <c r="EN33" s="61">
        <v>0</v>
      </c>
      <c r="EO33" s="61">
        <v>0</v>
      </c>
      <c r="EP33" s="61">
        <v>0</v>
      </c>
      <c r="EQ33" s="61">
        <v>0</v>
      </c>
      <c r="ER33" s="61">
        <v>0</v>
      </c>
      <c r="ES33" s="61">
        <v>0</v>
      </c>
      <c r="ET33" s="61">
        <v>0</v>
      </c>
      <c r="EU33" s="61">
        <v>0</v>
      </c>
      <c r="EV33" s="61">
        <v>0</v>
      </c>
      <c r="EW33" s="61">
        <v>0</v>
      </c>
      <c r="EX33" s="61">
        <v>0</v>
      </c>
      <c r="EY33" s="61">
        <v>0</v>
      </c>
      <c r="EZ33" s="61">
        <v>0</v>
      </c>
      <c r="FA33" s="61">
        <v>0</v>
      </c>
      <c r="FB33" s="61">
        <v>0</v>
      </c>
      <c r="FC33" s="61">
        <v>0</v>
      </c>
      <c r="FD33" s="61">
        <v>0</v>
      </c>
      <c r="FE33" s="61">
        <v>0</v>
      </c>
      <c r="FF33" s="61">
        <v>0</v>
      </c>
      <c r="FG33" s="61">
        <v>0</v>
      </c>
      <c r="FH33" s="61">
        <v>0</v>
      </c>
      <c r="FI33" s="61">
        <v>0</v>
      </c>
      <c r="FJ33" s="61">
        <v>0</v>
      </c>
      <c r="FK33" s="61">
        <v>0</v>
      </c>
      <c r="FL33" s="61">
        <v>0</v>
      </c>
      <c r="FM33" s="61">
        <v>0</v>
      </c>
      <c r="FN33" s="61">
        <v>0</v>
      </c>
      <c r="FO33" s="61">
        <v>0</v>
      </c>
      <c r="FP33" s="61">
        <v>0</v>
      </c>
      <c r="FQ33" s="61">
        <v>0</v>
      </c>
      <c r="FR33" s="61">
        <v>0</v>
      </c>
      <c r="FS33" s="61">
        <v>0</v>
      </c>
      <c r="FT33" s="61">
        <v>0</v>
      </c>
      <c r="FU33" s="61">
        <v>0</v>
      </c>
      <c r="FV33" s="61">
        <v>0</v>
      </c>
      <c r="FW33" s="61">
        <v>0</v>
      </c>
      <c r="FX33" s="61">
        <v>0</v>
      </c>
      <c r="FY33" s="61">
        <v>0</v>
      </c>
      <c r="FZ33" s="61">
        <v>0</v>
      </c>
      <c r="GA33" s="61">
        <v>0</v>
      </c>
      <c r="GB33" s="61">
        <v>0</v>
      </c>
      <c r="GC33" s="61">
        <v>0</v>
      </c>
      <c r="GD33" s="61">
        <v>0</v>
      </c>
      <c r="GE33" s="61">
        <v>0</v>
      </c>
      <c r="GF33" s="61">
        <v>0</v>
      </c>
      <c r="GG33" s="61">
        <v>0</v>
      </c>
      <c r="GH33" s="61">
        <v>0</v>
      </c>
      <c r="GI33" s="61">
        <v>0</v>
      </c>
      <c r="GJ33" s="61">
        <v>0</v>
      </c>
      <c r="GK33" s="61">
        <v>0</v>
      </c>
      <c r="GL33" s="61">
        <v>0</v>
      </c>
      <c r="GM33" s="61">
        <v>0</v>
      </c>
      <c r="GN33" s="61">
        <v>0</v>
      </c>
      <c r="GO33" s="61">
        <v>0</v>
      </c>
      <c r="GP33" s="61">
        <v>0</v>
      </c>
      <c r="GQ33" s="61">
        <v>0</v>
      </c>
      <c r="GR33" s="61">
        <v>0</v>
      </c>
      <c r="GS33" s="61">
        <v>0</v>
      </c>
      <c r="GT33" s="61">
        <v>0</v>
      </c>
      <c r="GU33" s="63">
        <v>0</v>
      </c>
      <c r="GV33" s="63">
        <v>0</v>
      </c>
      <c r="GW33" s="63">
        <v>0</v>
      </c>
      <c r="GX33" s="63">
        <v>0</v>
      </c>
      <c r="GY33" s="63">
        <v>0</v>
      </c>
      <c r="GZ33" s="63">
        <v>0</v>
      </c>
      <c r="HA33" s="63">
        <v>0</v>
      </c>
      <c r="HB33" s="63">
        <v>0</v>
      </c>
      <c r="HC33" s="63">
        <v>0</v>
      </c>
      <c r="HD33" s="63">
        <v>0</v>
      </c>
      <c r="HE33" s="63">
        <v>0</v>
      </c>
      <c r="HF33" s="63">
        <v>0</v>
      </c>
      <c r="HG33" s="63">
        <v>0</v>
      </c>
      <c r="HH33" s="63">
        <v>0</v>
      </c>
      <c r="HI33" s="63">
        <v>0</v>
      </c>
      <c r="HJ33" s="63">
        <v>1917</v>
      </c>
      <c r="HK33" s="63">
        <f>SUM(DP$4:HI$4)</f>
        <v>98</v>
      </c>
      <c r="HL33" s="61">
        <f>SUM(DP33:HI33)</f>
        <v>0</v>
      </c>
      <c r="HM33" s="67">
        <f t="shared" si="1"/>
        <v>0</v>
      </c>
      <c r="HN33" s="67"/>
      <c r="HO33" s="68">
        <v>0.23</v>
      </c>
      <c r="HP33" s="68">
        <v>0.31</v>
      </c>
      <c r="HQ33" s="61">
        <v>0.26</v>
      </c>
    </row>
    <row r="34" spans="2:227" x14ac:dyDescent="0.3">
      <c r="B34" s="63" t="s">
        <v>7265</v>
      </c>
      <c r="C34" s="61">
        <v>0</v>
      </c>
      <c r="D34" s="61">
        <v>0</v>
      </c>
      <c r="E34" s="61">
        <v>0</v>
      </c>
      <c r="F34" s="61">
        <v>0</v>
      </c>
      <c r="G34" s="61">
        <v>0</v>
      </c>
      <c r="H34" s="61">
        <v>0</v>
      </c>
      <c r="I34" s="61">
        <v>0</v>
      </c>
      <c r="J34" s="61">
        <v>0</v>
      </c>
      <c r="K34" s="61">
        <v>0</v>
      </c>
      <c r="L34" s="61">
        <v>0</v>
      </c>
      <c r="M34" s="61">
        <v>0</v>
      </c>
      <c r="N34" s="61">
        <v>0</v>
      </c>
      <c r="O34" s="66">
        <v>1</v>
      </c>
      <c r="P34" s="61">
        <v>0</v>
      </c>
      <c r="Q34" s="61">
        <v>0</v>
      </c>
      <c r="R34" s="61">
        <v>0</v>
      </c>
      <c r="S34" s="61">
        <v>0</v>
      </c>
      <c r="T34" s="61">
        <v>0</v>
      </c>
      <c r="U34" s="61">
        <v>0</v>
      </c>
      <c r="V34" s="61">
        <v>0</v>
      </c>
      <c r="W34" s="61">
        <v>0</v>
      </c>
      <c r="X34" s="61">
        <v>0</v>
      </c>
      <c r="Y34" s="61">
        <v>0</v>
      </c>
      <c r="Z34" s="61">
        <v>0</v>
      </c>
      <c r="AA34" s="61">
        <v>0</v>
      </c>
      <c r="AB34" s="61">
        <v>0</v>
      </c>
      <c r="AC34" s="61">
        <v>0</v>
      </c>
      <c r="AD34" s="61">
        <v>0</v>
      </c>
      <c r="AE34" s="61">
        <v>0</v>
      </c>
      <c r="AF34" s="61">
        <v>0</v>
      </c>
      <c r="AG34" s="61">
        <v>0</v>
      </c>
      <c r="AH34" s="61">
        <v>0</v>
      </c>
      <c r="AI34" s="61">
        <v>0</v>
      </c>
      <c r="AJ34" s="61">
        <v>0</v>
      </c>
      <c r="AK34" s="61">
        <v>0</v>
      </c>
      <c r="AL34" s="61">
        <v>0</v>
      </c>
      <c r="AM34" s="61">
        <v>0</v>
      </c>
      <c r="AN34" s="61">
        <v>0</v>
      </c>
      <c r="AO34" s="61">
        <v>0</v>
      </c>
      <c r="AP34" s="61">
        <v>0</v>
      </c>
      <c r="AQ34" s="61">
        <v>0</v>
      </c>
      <c r="AR34" s="61">
        <v>0</v>
      </c>
      <c r="AS34" s="61">
        <v>0</v>
      </c>
      <c r="AT34" s="61">
        <v>0</v>
      </c>
      <c r="AU34" s="61">
        <v>0</v>
      </c>
      <c r="AV34" s="61">
        <v>0</v>
      </c>
      <c r="AW34" s="61">
        <v>0</v>
      </c>
      <c r="AX34" s="61">
        <v>0</v>
      </c>
      <c r="AY34" s="61">
        <v>0</v>
      </c>
      <c r="AZ34" s="61">
        <v>0</v>
      </c>
      <c r="BA34" s="61">
        <v>0</v>
      </c>
      <c r="BB34" s="61">
        <v>0</v>
      </c>
      <c r="BC34" s="61">
        <v>0</v>
      </c>
      <c r="BD34" s="61">
        <v>0</v>
      </c>
      <c r="BE34" s="61">
        <v>0</v>
      </c>
      <c r="BF34" s="61">
        <v>0</v>
      </c>
      <c r="BG34" s="61">
        <v>0</v>
      </c>
      <c r="BH34" s="61">
        <v>0</v>
      </c>
      <c r="BI34" s="61">
        <v>0</v>
      </c>
      <c r="BJ34" s="61">
        <v>0</v>
      </c>
      <c r="BK34" s="61">
        <v>0</v>
      </c>
      <c r="BL34" s="61">
        <v>0</v>
      </c>
      <c r="BM34" s="61">
        <v>0</v>
      </c>
      <c r="BN34" s="61">
        <v>0</v>
      </c>
      <c r="BO34" s="61">
        <v>0</v>
      </c>
      <c r="BP34" s="61">
        <v>0</v>
      </c>
      <c r="BQ34" s="61">
        <v>0</v>
      </c>
      <c r="BR34" s="61">
        <v>0</v>
      </c>
      <c r="BS34" s="61">
        <v>0</v>
      </c>
      <c r="BT34" s="61">
        <v>0</v>
      </c>
      <c r="BU34" s="61">
        <v>0</v>
      </c>
      <c r="BV34" s="61">
        <v>0</v>
      </c>
      <c r="BW34" s="61">
        <v>0</v>
      </c>
      <c r="BX34" s="61">
        <v>0</v>
      </c>
      <c r="BY34" s="61">
        <v>0</v>
      </c>
      <c r="BZ34" s="61">
        <v>0</v>
      </c>
      <c r="CA34" s="61">
        <v>0</v>
      </c>
      <c r="CB34" s="61">
        <v>0</v>
      </c>
      <c r="CC34" s="61">
        <v>0</v>
      </c>
      <c r="CD34" s="61">
        <v>0</v>
      </c>
      <c r="CE34" s="61">
        <v>0</v>
      </c>
      <c r="CF34" s="61">
        <v>0</v>
      </c>
      <c r="CG34" s="61">
        <v>0</v>
      </c>
      <c r="CH34" s="61">
        <v>0</v>
      </c>
      <c r="CI34" s="61">
        <v>0</v>
      </c>
      <c r="CJ34" s="61">
        <v>0</v>
      </c>
      <c r="CK34" s="61">
        <v>0</v>
      </c>
      <c r="CL34" s="61">
        <v>0</v>
      </c>
      <c r="CM34" s="61">
        <v>0</v>
      </c>
      <c r="CN34" s="61">
        <v>0</v>
      </c>
      <c r="CO34" s="61">
        <v>0</v>
      </c>
      <c r="CP34" s="61">
        <v>0</v>
      </c>
      <c r="CQ34" s="61">
        <v>0</v>
      </c>
      <c r="CR34" s="61">
        <v>0</v>
      </c>
      <c r="CS34" s="61">
        <v>0</v>
      </c>
      <c r="CT34" s="61">
        <v>0</v>
      </c>
      <c r="CU34" s="61">
        <v>0</v>
      </c>
      <c r="CV34" s="61">
        <v>0</v>
      </c>
      <c r="CW34" s="61">
        <v>0</v>
      </c>
      <c r="CX34" s="61">
        <v>0</v>
      </c>
      <c r="CY34" s="61">
        <v>0</v>
      </c>
      <c r="CZ34" s="61">
        <v>0</v>
      </c>
      <c r="DA34" s="61">
        <v>0</v>
      </c>
      <c r="DB34" s="61">
        <v>0</v>
      </c>
      <c r="DC34" s="61">
        <v>0</v>
      </c>
      <c r="DD34" s="61">
        <v>0</v>
      </c>
      <c r="DE34" s="61">
        <v>0</v>
      </c>
      <c r="DF34" s="61">
        <v>0</v>
      </c>
      <c r="DG34" s="61">
        <v>0</v>
      </c>
      <c r="DH34" s="61">
        <v>0</v>
      </c>
      <c r="DI34" s="61">
        <v>0</v>
      </c>
      <c r="DJ34" s="61">
        <v>0</v>
      </c>
      <c r="DK34" s="61">
        <v>0</v>
      </c>
      <c r="DL34" s="61">
        <v>0</v>
      </c>
      <c r="DM34" s="61">
        <v>0</v>
      </c>
      <c r="DN34" s="61">
        <v>0</v>
      </c>
      <c r="DO34" s="61">
        <v>0</v>
      </c>
      <c r="DP34" s="61">
        <v>0</v>
      </c>
      <c r="DQ34" s="61">
        <v>0</v>
      </c>
      <c r="DR34" s="61">
        <v>0</v>
      </c>
      <c r="DS34" s="61">
        <v>0</v>
      </c>
      <c r="DT34" s="61">
        <v>0</v>
      </c>
      <c r="DU34" s="61">
        <v>0</v>
      </c>
      <c r="DV34" s="61">
        <v>0</v>
      </c>
      <c r="DW34" s="61">
        <v>0</v>
      </c>
      <c r="DX34" s="61">
        <v>0</v>
      </c>
      <c r="DY34" s="61">
        <v>0</v>
      </c>
      <c r="DZ34" s="61">
        <v>0</v>
      </c>
      <c r="EA34" s="61">
        <v>0</v>
      </c>
      <c r="EB34" s="61">
        <v>0</v>
      </c>
      <c r="EC34" s="61">
        <v>0</v>
      </c>
      <c r="ED34" s="61">
        <v>0</v>
      </c>
      <c r="EE34" s="61">
        <v>0</v>
      </c>
      <c r="EF34" s="61">
        <v>0</v>
      </c>
      <c r="EG34" s="61">
        <v>0</v>
      </c>
      <c r="EH34" s="61">
        <v>0</v>
      </c>
      <c r="EI34" s="61">
        <v>0</v>
      </c>
      <c r="EJ34" s="61">
        <v>0</v>
      </c>
      <c r="EK34" s="61">
        <v>0</v>
      </c>
      <c r="EL34" s="61">
        <v>0</v>
      </c>
      <c r="EM34" s="61">
        <v>0</v>
      </c>
      <c r="EN34" s="61">
        <v>0</v>
      </c>
      <c r="EO34" s="61">
        <v>0</v>
      </c>
      <c r="EP34" s="61">
        <v>0</v>
      </c>
      <c r="EQ34" s="61">
        <v>0</v>
      </c>
      <c r="ER34" s="61">
        <v>0</v>
      </c>
      <c r="ES34" s="61">
        <v>0</v>
      </c>
      <c r="ET34" s="61">
        <v>0</v>
      </c>
      <c r="EU34" s="61">
        <v>0</v>
      </c>
      <c r="EV34" s="61">
        <v>0</v>
      </c>
      <c r="EW34" s="61">
        <v>0</v>
      </c>
      <c r="EX34" s="61">
        <v>0</v>
      </c>
      <c r="EY34" s="61">
        <v>0</v>
      </c>
      <c r="EZ34" s="61">
        <v>0</v>
      </c>
      <c r="FA34" s="61">
        <v>0</v>
      </c>
      <c r="FB34" s="61">
        <v>0</v>
      </c>
      <c r="FC34" s="61">
        <v>0</v>
      </c>
      <c r="FD34" s="61">
        <v>0</v>
      </c>
      <c r="FE34" s="61">
        <v>0</v>
      </c>
      <c r="FF34" s="61">
        <v>0</v>
      </c>
      <c r="FG34" s="61">
        <v>0</v>
      </c>
      <c r="FH34" s="61">
        <v>0</v>
      </c>
      <c r="FI34" s="61">
        <v>0</v>
      </c>
      <c r="FJ34" s="61">
        <v>0</v>
      </c>
      <c r="FK34" s="61">
        <v>0</v>
      </c>
      <c r="FL34" s="61">
        <v>0</v>
      </c>
      <c r="FM34" s="61">
        <v>0</v>
      </c>
      <c r="FN34" s="61">
        <v>0</v>
      </c>
      <c r="FO34" s="61">
        <v>0</v>
      </c>
      <c r="FP34" s="61">
        <v>0</v>
      </c>
      <c r="FQ34" s="61">
        <v>0</v>
      </c>
      <c r="FR34" s="61">
        <v>0</v>
      </c>
      <c r="FS34" s="61">
        <v>0</v>
      </c>
      <c r="FT34" s="61">
        <v>0</v>
      </c>
      <c r="FU34" s="61">
        <v>0</v>
      </c>
      <c r="FV34" s="61">
        <v>0</v>
      </c>
      <c r="FW34" s="61">
        <v>0</v>
      </c>
      <c r="FX34" s="61">
        <v>0</v>
      </c>
      <c r="FY34" s="61">
        <v>0</v>
      </c>
      <c r="FZ34" s="61">
        <v>0</v>
      </c>
      <c r="GA34" s="61">
        <v>0</v>
      </c>
      <c r="GB34" s="61">
        <v>0</v>
      </c>
      <c r="GC34" s="61">
        <v>0</v>
      </c>
      <c r="GD34" s="61">
        <v>0</v>
      </c>
      <c r="GE34" s="61">
        <v>0</v>
      </c>
      <c r="GF34" s="61">
        <v>0</v>
      </c>
      <c r="GG34" s="61">
        <v>0</v>
      </c>
      <c r="GH34" s="61">
        <v>0</v>
      </c>
      <c r="GI34" s="61">
        <v>0</v>
      </c>
      <c r="GJ34" s="61">
        <v>0</v>
      </c>
      <c r="GK34" s="61">
        <v>0</v>
      </c>
      <c r="GL34" s="61">
        <v>0</v>
      </c>
      <c r="GM34" s="61">
        <v>0</v>
      </c>
      <c r="GN34" s="61">
        <v>0</v>
      </c>
      <c r="GO34" s="61">
        <v>0</v>
      </c>
      <c r="GP34" s="61">
        <v>0</v>
      </c>
      <c r="GQ34" s="61">
        <v>0</v>
      </c>
      <c r="GR34" s="61">
        <v>0</v>
      </c>
      <c r="GS34" s="61">
        <v>0</v>
      </c>
      <c r="GT34" s="61">
        <v>0</v>
      </c>
      <c r="GU34" s="63">
        <v>0</v>
      </c>
      <c r="GV34" s="63">
        <v>0</v>
      </c>
      <c r="GW34" s="63">
        <v>0</v>
      </c>
      <c r="GX34" s="63">
        <v>0</v>
      </c>
      <c r="GY34" s="63">
        <v>0</v>
      </c>
      <c r="GZ34" s="63">
        <v>0</v>
      </c>
      <c r="HA34" s="63">
        <v>0</v>
      </c>
      <c r="HB34" s="63">
        <v>0</v>
      </c>
      <c r="HC34" s="63">
        <v>0</v>
      </c>
      <c r="HD34" s="63">
        <v>0</v>
      </c>
      <c r="HE34" s="63">
        <v>0</v>
      </c>
      <c r="HF34" s="63">
        <v>0</v>
      </c>
      <c r="HG34" s="63">
        <v>0</v>
      </c>
      <c r="HH34" s="63">
        <v>0</v>
      </c>
      <c r="HI34" s="63">
        <v>0</v>
      </c>
      <c r="HJ34" s="63">
        <v>943</v>
      </c>
      <c r="HK34" s="63">
        <f>SUM(C$4:HI$4)</f>
        <v>215</v>
      </c>
      <c r="HL34" s="61">
        <f>SUM(C34:HI34)</f>
        <v>1</v>
      </c>
      <c r="HM34" s="67">
        <f t="shared" si="1"/>
        <v>0.46511627906976744</v>
      </c>
      <c r="HN34" s="67"/>
      <c r="HO34" s="68">
        <v>5.29</v>
      </c>
      <c r="HP34" s="68">
        <v>3.79</v>
      </c>
      <c r="HQ34" s="61">
        <v>3.24</v>
      </c>
    </row>
    <row r="35" spans="2:227" x14ac:dyDescent="0.3">
      <c r="B35" s="61" t="s">
        <v>7266</v>
      </c>
      <c r="C35" s="61">
        <v>0</v>
      </c>
      <c r="D35" s="61">
        <v>0</v>
      </c>
      <c r="E35" s="61">
        <v>0</v>
      </c>
      <c r="F35" s="61">
        <v>0</v>
      </c>
      <c r="G35" s="61">
        <v>0</v>
      </c>
      <c r="H35" s="61">
        <v>0</v>
      </c>
      <c r="I35" s="61">
        <v>0</v>
      </c>
      <c r="J35" s="66">
        <v>1</v>
      </c>
      <c r="K35" s="61">
        <v>0</v>
      </c>
      <c r="L35" s="61">
        <v>0</v>
      </c>
      <c r="M35" s="61">
        <v>0</v>
      </c>
      <c r="N35" s="61">
        <v>0</v>
      </c>
      <c r="O35" s="66">
        <v>1</v>
      </c>
      <c r="P35" s="66">
        <v>1</v>
      </c>
      <c r="Q35" s="66">
        <v>1</v>
      </c>
      <c r="R35" s="61">
        <v>0</v>
      </c>
      <c r="S35" s="61">
        <v>0</v>
      </c>
      <c r="T35" s="61">
        <v>0</v>
      </c>
      <c r="U35" s="61">
        <v>0</v>
      </c>
      <c r="V35" s="61">
        <v>0</v>
      </c>
      <c r="W35" s="61">
        <v>0</v>
      </c>
      <c r="X35" s="61">
        <v>0</v>
      </c>
      <c r="Y35" s="61">
        <v>0</v>
      </c>
      <c r="Z35" s="61">
        <v>0</v>
      </c>
      <c r="AA35" s="61">
        <v>0</v>
      </c>
      <c r="AB35" s="61">
        <v>0</v>
      </c>
      <c r="AC35" s="61">
        <v>0</v>
      </c>
      <c r="AD35" s="61">
        <v>0</v>
      </c>
      <c r="AE35" s="61">
        <v>0</v>
      </c>
      <c r="AF35" s="61">
        <v>0</v>
      </c>
      <c r="AG35" s="61">
        <v>0</v>
      </c>
      <c r="AH35" s="61">
        <v>0</v>
      </c>
      <c r="AI35" s="61">
        <v>0</v>
      </c>
      <c r="AJ35" s="61">
        <v>0</v>
      </c>
      <c r="AK35" s="61">
        <v>0</v>
      </c>
      <c r="AL35" s="61">
        <v>0</v>
      </c>
      <c r="AM35" s="61">
        <v>0</v>
      </c>
      <c r="AN35" s="61">
        <v>0</v>
      </c>
      <c r="AO35" s="61">
        <v>0</v>
      </c>
      <c r="AP35" s="61">
        <v>0</v>
      </c>
      <c r="AQ35" s="61">
        <v>0</v>
      </c>
      <c r="AR35" s="61">
        <v>0</v>
      </c>
      <c r="AS35" s="61">
        <v>0</v>
      </c>
      <c r="AT35" s="61">
        <v>0</v>
      </c>
      <c r="AU35" s="61">
        <v>0</v>
      </c>
      <c r="AV35" s="61">
        <v>0</v>
      </c>
      <c r="AW35" s="61">
        <v>0</v>
      </c>
      <c r="AX35" s="61">
        <v>0</v>
      </c>
      <c r="AY35" s="61">
        <v>0</v>
      </c>
      <c r="AZ35" s="61">
        <v>0</v>
      </c>
      <c r="BA35" s="66">
        <v>1</v>
      </c>
      <c r="BB35" s="61">
        <v>0</v>
      </c>
      <c r="BC35" s="61">
        <v>0</v>
      </c>
      <c r="BD35" s="61">
        <v>0</v>
      </c>
      <c r="BE35" s="61">
        <v>0</v>
      </c>
      <c r="BF35" s="61">
        <v>0</v>
      </c>
      <c r="BG35" s="61">
        <v>0</v>
      </c>
      <c r="BH35" s="61">
        <v>0</v>
      </c>
      <c r="BI35" s="61">
        <v>0</v>
      </c>
      <c r="BJ35" s="61">
        <v>0</v>
      </c>
      <c r="BK35" s="61">
        <v>0</v>
      </c>
      <c r="BL35" s="61">
        <v>0</v>
      </c>
      <c r="BM35" s="61">
        <v>0</v>
      </c>
      <c r="BN35" s="61">
        <v>0</v>
      </c>
      <c r="BO35" s="61">
        <v>0</v>
      </c>
      <c r="BP35" s="61">
        <v>0</v>
      </c>
      <c r="BQ35" s="61">
        <v>0</v>
      </c>
      <c r="BR35" s="61">
        <v>0</v>
      </c>
      <c r="BS35" s="61">
        <v>0</v>
      </c>
      <c r="BT35" s="61">
        <v>0</v>
      </c>
      <c r="BU35" s="61">
        <v>0</v>
      </c>
      <c r="BV35" s="61">
        <v>0</v>
      </c>
      <c r="BW35" s="61">
        <v>0</v>
      </c>
      <c r="BX35" s="61">
        <v>0</v>
      </c>
      <c r="BY35" s="61">
        <v>0</v>
      </c>
      <c r="BZ35" s="61">
        <v>0</v>
      </c>
      <c r="CA35" s="61">
        <v>0</v>
      </c>
      <c r="CB35" s="61">
        <v>0</v>
      </c>
      <c r="CC35" s="61">
        <v>0</v>
      </c>
      <c r="CD35" s="61">
        <v>0</v>
      </c>
      <c r="CE35" s="61">
        <v>0</v>
      </c>
      <c r="CF35" s="61">
        <v>0</v>
      </c>
      <c r="CG35" s="61">
        <v>0</v>
      </c>
      <c r="CH35" s="61">
        <v>0</v>
      </c>
      <c r="CI35" s="61">
        <v>0</v>
      </c>
      <c r="CJ35" s="61">
        <v>0</v>
      </c>
      <c r="CK35" s="61">
        <v>0</v>
      </c>
      <c r="CL35" s="61">
        <v>0</v>
      </c>
      <c r="CM35" s="61">
        <v>0</v>
      </c>
      <c r="CN35" s="61">
        <v>0</v>
      </c>
      <c r="CO35" s="61">
        <v>0</v>
      </c>
      <c r="CP35" s="61">
        <v>0</v>
      </c>
      <c r="CQ35" s="61">
        <v>0</v>
      </c>
      <c r="CR35" s="61">
        <v>0</v>
      </c>
      <c r="CS35" s="61">
        <v>0</v>
      </c>
      <c r="CT35" s="61">
        <v>0</v>
      </c>
      <c r="CU35" s="61">
        <v>0</v>
      </c>
      <c r="CV35" s="61">
        <v>0</v>
      </c>
      <c r="CW35" s="61">
        <v>0</v>
      </c>
      <c r="CX35" s="61">
        <v>0</v>
      </c>
      <c r="CY35" s="61">
        <v>0</v>
      </c>
      <c r="CZ35" s="61">
        <v>0</v>
      </c>
      <c r="DA35" s="61">
        <v>0</v>
      </c>
      <c r="DB35" s="61">
        <v>0</v>
      </c>
      <c r="DC35" s="61">
        <v>0</v>
      </c>
      <c r="DD35" s="61">
        <v>0</v>
      </c>
      <c r="DE35" s="61">
        <v>0</v>
      </c>
      <c r="DF35" s="61">
        <v>0</v>
      </c>
      <c r="DG35" s="61">
        <v>0</v>
      </c>
      <c r="DH35" s="61">
        <v>0</v>
      </c>
      <c r="DI35" s="61">
        <v>0</v>
      </c>
      <c r="DJ35" s="61">
        <v>0</v>
      </c>
      <c r="DK35" s="61">
        <v>0</v>
      </c>
      <c r="DL35" s="61">
        <v>0</v>
      </c>
      <c r="DM35" s="61">
        <v>0</v>
      </c>
      <c r="DN35" s="61">
        <v>0</v>
      </c>
      <c r="DO35" s="61">
        <v>0</v>
      </c>
      <c r="DP35" s="61">
        <v>0</v>
      </c>
      <c r="DQ35" s="61">
        <v>0</v>
      </c>
      <c r="DR35" s="61">
        <v>0</v>
      </c>
      <c r="DS35" s="61">
        <v>0</v>
      </c>
      <c r="DT35" s="61">
        <v>0</v>
      </c>
      <c r="DU35" s="61">
        <v>0</v>
      </c>
      <c r="DV35" s="61">
        <v>0</v>
      </c>
      <c r="DW35" s="61">
        <v>0</v>
      </c>
      <c r="DX35" s="61">
        <v>0</v>
      </c>
      <c r="DY35" s="61">
        <v>0</v>
      </c>
      <c r="DZ35" s="61">
        <v>0</v>
      </c>
      <c r="EA35" s="61">
        <v>0</v>
      </c>
      <c r="EB35" s="61">
        <v>0</v>
      </c>
      <c r="EC35" s="61">
        <v>0</v>
      </c>
      <c r="ED35" s="61">
        <v>0</v>
      </c>
      <c r="EE35" s="66">
        <v>1</v>
      </c>
      <c r="EF35" s="66">
        <v>1</v>
      </c>
      <c r="EG35" s="66">
        <v>1</v>
      </c>
      <c r="EH35" s="66">
        <v>1</v>
      </c>
      <c r="EI35" s="66">
        <v>1</v>
      </c>
      <c r="EJ35" s="66">
        <v>1</v>
      </c>
      <c r="EK35" s="66">
        <v>1</v>
      </c>
      <c r="EL35" s="66">
        <v>1</v>
      </c>
      <c r="EM35" s="66">
        <v>1</v>
      </c>
      <c r="EN35" s="66">
        <v>1</v>
      </c>
      <c r="EO35" s="66">
        <v>1</v>
      </c>
      <c r="EP35" s="66">
        <v>1</v>
      </c>
      <c r="EQ35" s="66">
        <v>1</v>
      </c>
      <c r="ER35" s="66">
        <v>1</v>
      </c>
      <c r="ES35" s="66">
        <v>1</v>
      </c>
      <c r="ET35" s="66">
        <v>1</v>
      </c>
      <c r="EU35" s="66">
        <v>1</v>
      </c>
      <c r="EV35" s="66">
        <v>1</v>
      </c>
      <c r="EW35" s="66">
        <v>1</v>
      </c>
      <c r="EX35" s="66">
        <v>1</v>
      </c>
      <c r="EY35" s="66">
        <v>1</v>
      </c>
      <c r="EZ35" s="66">
        <v>1</v>
      </c>
      <c r="FA35" s="61">
        <v>0</v>
      </c>
      <c r="FB35" s="61">
        <v>0</v>
      </c>
      <c r="FC35" s="61">
        <v>0</v>
      </c>
      <c r="FD35" s="61">
        <v>0</v>
      </c>
      <c r="FE35" s="61">
        <v>0</v>
      </c>
      <c r="FF35" s="61">
        <v>0</v>
      </c>
      <c r="FG35" s="61">
        <v>0</v>
      </c>
      <c r="FH35" s="61">
        <v>0</v>
      </c>
      <c r="FI35" s="61">
        <v>0</v>
      </c>
      <c r="FJ35" s="61">
        <v>0</v>
      </c>
      <c r="FK35" s="61">
        <v>0</v>
      </c>
      <c r="FL35" s="61">
        <v>0</v>
      </c>
      <c r="FM35" s="61">
        <v>0</v>
      </c>
      <c r="FN35" s="61">
        <v>0</v>
      </c>
      <c r="FO35" s="61">
        <v>0</v>
      </c>
      <c r="FP35" s="61">
        <v>0</v>
      </c>
      <c r="FQ35" s="61">
        <v>0</v>
      </c>
      <c r="FR35" s="61">
        <v>0</v>
      </c>
      <c r="FS35" s="61">
        <v>0</v>
      </c>
      <c r="FT35" s="61">
        <v>0</v>
      </c>
      <c r="FU35" s="61">
        <v>0</v>
      </c>
      <c r="FV35" s="63">
        <v>0</v>
      </c>
      <c r="FW35" s="63">
        <v>0</v>
      </c>
      <c r="FX35" s="63">
        <v>0</v>
      </c>
      <c r="FY35" s="63">
        <v>0</v>
      </c>
      <c r="FZ35" s="63">
        <v>0</v>
      </c>
      <c r="GA35" s="63">
        <v>0</v>
      </c>
      <c r="GB35" s="63">
        <v>0</v>
      </c>
      <c r="GC35" s="63">
        <v>0</v>
      </c>
      <c r="GD35" s="63">
        <v>0</v>
      </c>
      <c r="GE35" s="63">
        <v>0</v>
      </c>
      <c r="GF35" s="63">
        <v>0</v>
      </c>
      <c r="GG35" s="63">
        <v>0</v>
      </c>
      <c r="GH35" s="63">
        <v>0</v>
      </c>
      <c r="GI35" s="63">
        <v>0</v>
      </c>
      <c r="GJ35" s="63">
        <v>0</v>
      </c>
      <c r="GK35" s="63">
        <v>0</v>
      </c>
      <c r="GL35" s="63">
        <v>0</v>
      </c>
      <c r="GM35" s="63">
        <v>0</v>
      </c>
      <c r="GN35" s="63">
        <v>0</v>
      </c>
      <c r="GO35" s="63">
        <v>0</v>
      </c>
      <c r="GP35" s="63">
        <v>0</v>
      </c>
      <c r="GQ35" s="63">
        <v>0</v>
      </c>
      <c r="GR35" s="63">
        <v>0</v>
      </c>
      <c r="GS35" s="63">
        <v>0</v>
      </c>
      <c r="GT35" s="63">
        <v>0</v>
      </c>
      <c r="GU35" s="63">
        <v>0</v>
      </c>
      <c r="GV35" s="63">
        <v>0</v>
      </c>
      <c r="GW35" s="63">
        <v>0</v>
      </c>
      <c r="GX35" s="63">
        <v>0</v>
      </c>
      <c r="GY35" s="63">
        <v>0</v>
      </c>
      <c r="GZ35" s="63">
        <v>0</v>
      </c>
      <c r="HA35" s="63">
        <v>0</v>
      </c>
      <c r="HB35" s="63">
        <v>0</v>
      </c>
      <c r="HC35" s="63">
        <v>0</v>
      </c>
      <c r="HD35" s="63">
        <v>0</v>
      </c>
      <c r="HE35" s="63">
        <v>0</v>
      </c>
      <c r="HF35" s="63">
        <v>0</v>
      </c>
      <c r="HG35" s="63">
        <v>0</v>
      </c>
      <c r="HH35" s="63"/>
      <c r="HI35" s="63"/>
      <c r="HJ35" s="63">
        <v>1618</v>
      </c>
      <c r="HK35" s="63">
        <f>SUM(C$4:HI$4)</f>
        <v>215</v>
      </c>
      <c r="HL35" s="61">
        <f>SUM(C35:HI35)</f>
        <v>27</v>
      </c>
      <c r="HM35" s="67">
        <f t="shared" si="1"/>
        <v>12.55813953488372</v>
      </c>
      <c r="HN35" s="67"/>
      <c r="HO35" s="68">
        <v>8.68</v>
      </c>
      <c r="HP35" s="68">
        <v>4.67</v>
      </c>
      <c r="HQ35" s="61">
        <v>3.88</v>
      </c>
    </row>
    <row r="36" spans="2:227" x14ac:dyDescent="0.3">
      <c r="B36" s="61" t="s">
        <v>7267</v>
      </c>
      <c r="C36" s="61">
        <v>0</v>
      </c>
      <c r="D36" s="61">
        <v>0</v>
      </c>
      <c r="E36" s="61">
        <v>0</v>
      </c>
      <c r="F36" s="61">
        <v>0</v>
      </c>
      <c r="G36" s="61">
        <v>0</v>
      </c>
      <c r="H36" s="61">
        <v>0</v>
      </c>
      <c r="I36" s="61">
        <v>0</v>
      </c>
      <c r="J36" s="61">
        <v>0</v>
      </c>
      <c r="K36" s="61">
        <v>0</v>
      </c>
      <c r="L36" s="61">
        <v>0</v>
      </c>
      <c r="M36" s="61">
        <v>0</v>
      </c>
      <c r="N36" s="61">
        <v>0</v>
      </c>
      <c r="O36" s="61">
        <v>0</v>
      </c>
      <c r="P36" s="61">
        <v>0</v>
      </c>
      <c r="Q36" s="61">
        <v>0</v>
      </c>
      <c r="R36" s="61">
        <v>0</v>
      </c>
      <c r="S36" s="61">
        <v>0</v>
      </c>
      <c r="T36" s="61">
        <v>0</v>
      </c>
      <c r="U36" s="61">
        <v>0</v>
      </c>
      <c r="V36" s="61">
        <v>0</v>
      </c>
      <c r="W36" s="61">
        <v>0</v>
      </c>
      <c r="X36" s="61">
        <v>0</v>
      </c>
      <c r="Y36" s="61">
        <v>0</v>
      </c>
      <c r="Z36" s="61">
        <v>0</v>
      </c>
      <c r="AA36" s="61">
        <v>0</v>
      </c>
      <c r="AB36" s="61">
        <v>0</v>
      </c>
      <c r="AC36" s="66">
        <v>1</v>
      </c>
      <c r="AD36" s="66">
        <v>1</v>
      </c>
      <c r="AE36" s="66">
        <v>1</v>
      </c>
      <c r="AF36" s="65">
        <v>1</v>
      </c>
      <c r="AG36" s="66">
        <v>1</v>
      </c>
      <c r="AH36" s="66">
        <v>1</v>
      </c>
      <c r="AI36" s="66">
        <v>1</v>
      </c>
      <c r="AJ36" s="66">
        <v>1</v>
      </c>
      <c r="AK36" s="66">
        <v>1</v>
      </c>
      <c r="AL36" s="66">
        <v>1</v>
      </c>
      <c r="AM36" s="66">
        <v>1</v>
      </c>
      <c r="AN36" s="66">
        <v>1</v>
      </c>
      <c r="AO36" s="66">
        <v>1</v>
      </c>
      <c r="AP36" s="66">
        <v>1</v>
      </c>
      <c r="AQ36" s="66">
        <v>1</v>
      </c>
      <c r="AR36" s="66">
        <v>1</v>
      </c>
      <c r="AS36" s="66">
        <v>1</v>
      </c>
      <c r="AT36" s="66">
        <v>1</v>
      </c>
      <c r="AU36" s="66">
        <v>1</v>
      </c>
      <c r="AV36" s="66">
        <v>1</v>
      </c>
      <c r="AW36" s="66">
        <v>1</v>
      </c>
      <c r="AX36" s="66">
        <v>1</v>
      </c>
      <c r="AY36" s="66">
        <v>1</v>
      </c>
      <c r="AZ36" s="66">
        <v>1</v>
      </c>
      <c r="BA36" s="66">
        <v>1</v>
      </c>
      <c r="BB36" s="66">
        <v>1</v>
      </c>
      <c r="BC36" s="66">
        <v>1</v>
      </c>
      <c r="BD36" s="66">
        <v>1</v>
      </c>
      <c r="BE36" s="66">
        <v>1</v>
      </c>
      <c r="BF36" s="66">
        <v>1</v>
      </c>
      <c r="BG36" s="66">
        <v>1</v>
      </c>
      <c r="BH36" s="66">
        <v>1</v>
      </c>
      <c r="BI36" s="66">
        <v>1</v>
      </c>
      <c r="BJ36" s="66">
        <v>1</v>
      </c>
      <c r="BK36" s="66">
        <v>1</v>
      </c>
      <c r="BL36" s="66">
        <v>1</v>
      </c>
      <c r="BM36" s="66">
        <v>1</v>
      </c>
      <c r="BN36" s="66">
        <v>1</v>
      </c>
      <c r="BO36" s="66">
        <v>1</v>
      </c>
      <c r="BP36" s="66">
        <v>1</v>
      </c>
      <c r="BQ36" s="66">
        <v>1</v>
      </c>
      <c r="BR36" s="66">
        <v>1</v>
      </c>
      <c r="BS36" s="66">
        <v>1</v>
      </c>
      <c r="BT36" s="66">
        <v>1</v>
      </c>
      <c r="BU36" s="66">
        <v>1</v>
      </c>
      <c r="BV36" s="66">
        <v>1</v>
      </c>
      <c r="BW36" s="66">
        <v>1</v>
      </c>
      <c r="BX36" s="66">
        <v>1</v>
      </c>
      <c r="BY36" s="66">
        <v>1</v>
      </c>
      <c r="BZ36" s="66">
        <v>1</v>
      </c>
      <c r="CA36" s="66">
        <v>1</v>
      </c>
      <c r="CB36" s="66">
        <v>1</v>
      </c>
      <c r="CC36" s="66">
        <v>1</v>
      </c>
      <c r="CD36" s="61">
        <v>0</v>
      </c>
      <c r="CE36" s="61">
        <v>0</v>
      </c>
      <c r="CF36" s="61">
        <v>0</v>
      </c>
      <c r="CG36" s="61">
        <v>0</v>
      </c>
      <c r="CH36" s="61">
        <v>0</v>
      </c>
      <c r="CI36" s="61">
        <v>0</v>
      </c>
      <c r="CJ36" s="61">
        <v>0</v>
      </c>
      <c r="CK36" s="61">
        <v>0</v>
      </c>
      <c r="CL36" s="61">
        <v>0</v>
      </c>
      <c r="CM36" s="61">
        <v>0</v>
      </c>
      <c r="CN36" s="61">
        <v>0</v>
      </c>
      <c r="CO36" s="61">
        <v>0</v>
      </c>
      <c r="CP36" s="61">
        <v>0</v>
      </c>
      <c r="CQ36" s="61">
        <v>0</v>
      </c>
      <c r="CR36" s="61">
        <v>0</v>
      </c>
      <c r="CS36" s="66">
        <v>1</v>
      </c>
      <c r="CT36" s="66">
        <v>1</v>
      </c>
      <c r="CU36" s="66">
        <v>1</v>
      </c>
      <c r="CV36" s="66">
        <v>1</v>
      </c>
      <c r="CW36" s="61">
        <v>0</v>
      </c>
      <c r="CX36" s="61">
        <v>0</v>
      </c>
      <c r="CY36" s="61">
        <v>0</v>
      </c>
      <c r="CZ36" s="61">
        <v>0</v>
      </c>
      <c r="DA36" s="61">
        <v>0</v>
      </c>
      <c r="DB36" s="61">
        <v>0</v>
      </c>
      <c r="DC36" s="61">
        <v>0</v>
      </c>
      <c r="DD36" s="61">
        <v>0</v>
      </c>
      <c r="DE36" s="61">
        <v>0</v>
      </c>
      <c r="DF36" s="61">
        <v>0</v>
      </c>
      <c r="DG36" s="61">
        <v>0</v>
      </c>
      <c r="DH36" s="61">
        <v>0</v>
      </c>
      <c r="DI36" s="61">
        <v>0</v>
      </c>
      <c r="DJ36" s="61">
        <v>0</v>
      </c>
      <c r="DK36" s="61">
        <v>0</v>
      </c>
      <c r="DL36" s="61">
        <v>0</v>
      </c>
      <c r="DM36" s="61">
        <v>0</v>
      </c>
      <c r="DN36" s="61">
        <v>0</v>
      </c>
      <c r="DO36" s="61">
        <v>0</v>
      </c>
      <c r="DP36" s="61">
        <v>0</v>
      </c>
      <c r="DQ36" s="61">
        <v>0</v>
      </c>
      <c r="DR36" s="61">
        <v>0</v>
      </c>
      <c r="DS36" s="61">
        <v>0</v>
      </c>
      <c r="DT36" s="61">
        <v>0</v>
      </c>
      <c r="DU36" s="61">
        <v>0</v>
      </c>
      <c r="DV36" s="61">
        <v>0</v>
      </c>
      <c r="DW36" s="61">
        <v>0</v>
      </c>
      <c r="DX36" s="61">
        <v>0</v>
      </c>
      <c r="DY36" s="61">
        <v>0</v>
      </c>
      <c r="DZ36" s="61">
        <v>0</v>
      </c>
      <c r="EA36" s="61">
        <v>0</v>
      </c>
      <c r="EB36" s="61">
        <v>0</v>
      </c>
      <c r="EC36" s="61">
        <v>0</v>
      </c>
      <c r="ED36" s="61">
        <v>0</v>
      </c>
      <c r="EE36" s="66">
        <v>1</v>
      </c>
      <c r="EF36" s="66">
        <v>1</v>
      </c>
      <c r="EG36" s="66">
        <v>1</v>
      </c>
      <c r="EH36" s="66">
        <v>1</v>
      </c>
      <c r="EI36" s="66">
        <v>1</v>
      </c>
      <c r="EJ36" s="66">
        <v>1</v>
      </c>
      <c r="EK36" s="66">
        <v>1</v>
      </c>
      <c r="EL36" s="66">
        <v>1</v>
      </c>
      <c r="EM36" s="66">
        <v>1</v>
      </c>
      <c r="EN36" s="66">
        <v>1</v>
      </c>
      <c r="EO36" s="66">
        <v>1</v>
      </c>
      <c r="EP36" s="66">
        <v>1</v>
      </c>
      <c r="EQ36" s="66">
        <v>1</v>
      </c>
      <c r="ER36" s="66">
        <v>1</v>
      </c>
      <c r="ES36" s="66">
        <v>1</v>
      </c>
      <c r="ET36" s="66">
        <v>1</v>
      </c>
      <c r="EU36" s="66">
        <v>1</v>
      </c>
      <c r="EV36" s="66">
        <v>1</v>
      </c>
      <c r="EW36" s="66">
        <v>1</v>
      </c>
      <c r="EX36" s="66">
        <v>1</v>
      </c>
      <c r="EY36" s="66">
        <v>1</v>
      </c>
      <c r="EZ36" s="66">
        <v>1</v>
      </c>
      <c r="FA36" s="66">
        <v>1</v>
      </c>
      <c r="FB36" s="66">
        <v>1</v>
      </c>
      <c r="FC36" s="66">
        <v>1</v>
      </c>
      <c r="FD36" s="66">
        <v>1</v>
      </c>
      <c r="FE36" s="66">
        <v>1</v>
      </c>
      <c r="FF36" s="66">
        <v>1</v>
      </c>
      <c r="FG36" s="66">
        <v>1</v>
      </c>
      <c r="FH36" s="66">
        <v>1</v>
      </c>
      <c r="FI36" s="66">
        <v>1</v>
      </c>
      <c r="FJ36" s="66">
        <v>1</v>
      </c>
      <c r="FK36" s="66">
        <v>1</v>
      </c>
      <c r="FL36" s="61">
        <v>0</v>
      </c>
      <c r="FM36" s="61">
        <v>0</v>
      </c>
      <c r="FN36" s="61">
        <v>0</v>
      </c>
      <c r="FO36" s="61">
        <v>0</v>
      </c>
      <c r="FP36" s="61">
        <v>0</v>
      </c>
      <c r="FQ36" s="61">
        <v>0</v>
      </c>
      <c r="FR36" s="61">
        <v>0</v>
      </c>
      <c r="FS36" s="61">
        <v>0</v>
      </c>
      <c r="FT36" s="61">
        <v>0</v>
      </c>
      <c r="FU36" s="61">
        <v>0</v>
      </c>
      <c r="FV36" s="63">
        <v>0</v>
      </c>
      <c r="FW36" s="63">
        <v>0</v>
      </c>
      <c r="FX36" s="63">
        <v>0</v>
      </c>
      <c r="FY36" s="63">
        <v>0</v>
      </c>
      <c r="FZ36" s="63">
        <v>0</v>
      </c>
      <c r="GA36" s="63">
        <v>0</v>
      </c>
      <c r="GB36" s="63">
        <v>0</v>
      </c>
      <c r="GC36" s="63">
        <v>0</v>
      </c>
      <c r="GD36" s="63">
        <v>0</v>
      </c>
      <c r="GE36" s="63">
        <v>0</v>
      </c>
      <c r="GF36" s="63">
        <v>0</v>
      </c>
      <c r="GG36" s="63">
        <v>0</v>
      </c>
      <c r="GH36" s="63">
        <v>0</v>
      </c>
      <c r="GI36" s="63">
        <v>0</v>
      </c>
      <c r="GJ36" s="63">
        <v>0</v>
      </c>
      <c r="GK36" s="63">
        <v>0</v>
      </c>
      <c r="GL36" s="63">
        <v>0</v>
      </c>
      <c r="GM36" s="63">
        <v>0</v>
      </c>
      <c r="GN36" s="63">
        <v>0</v>
      </c>
      <c r="GO36" s="63">
        <v>0</v>
      </c>
      <c r="GP36" s="63">
        <v>0</v>
      </c>
      <c r="GQ36" s="63">
        <v>0</v>
      </c>
      <c r="GR36" s="63">
        <v>0</v>
      </c>
      <c r="GS36" s="63">
        <v>0</v>
      </c>
      <c r="GT36" s="63">
        <v>0</v>
      </c>
      <c r="GU36" s="63">
        <v>0</v>
      </c>
      <c r="GV36" s="63">
        <v>0</v>
      </c>
      <c r="GW36" s="63">
        <v>0</v>
      </c>
      <c r="GX36" s="63">
        <v>0</v>
      </c>
      <c r="GY36" s="63">
        <v>0</v>
      </c>
      <c r="GZ36" s="63">
        <v>0</v>
      </c>
      <c r="HA36" s="63">
        <v>0</v>
      </c>
      <c r="HB36" s="63">
        <v>0</v>
      </c>
      <c r="HC36" s="63">
        <v>0</v>
      </c>
      <c r="HD36" s="63">
        <v>0</v>
      </c>
      <c r="HE36" s="63">
        <v>0</v>
      </c>
      <c r="HF36" s="63">
        <v>0</v>
      </c>
      <c r="HG36" s="66">
        <v>1</v>
      </c>
      <c r="HH36" s="66"/>
      <c r="HI36" s="66"/>
      <c r="HJ36" s="63">
        <v>1829</v>
      </c>
      <c r="HK36" s="63">
        <f>SUM(AF$4:HI$4)</f>
        <v>186</v>
      </c>
      <c r="HL36" s="61">
        <f>SUM(AF36:HI36)</f>
        <v>88</v>
      </c>
      <c r="HM36" s="67">
        <f t="shared" si="1"/>
        <v>47.311827956989248</v>
      </c>
      <c r="HN36" s="67"/>
      <c r="HO36" s="68">
        <v>0.32</v>
      </c>
      <c r="HP36" s="68">
        <v>0.37</v>
      </c>
      <c r="HQ36" s="61">
        <v>0.36</v>
      </c>
      <c r="HS36" s="61" t="s">
        <v>7268</v>
      </c>
    </row>
    <row r="37" spans="2:227" x14ac:dyDescent="0.3">
      <c r="B37" s="61" t="s">
        <v>7269</v>
      </c>
      <c r="C37" s="61">
        <v>0</v>
      </c>
      <c r="D37" s="61">
        <v>0</v>
      </c>
      <c r="E37" s="61">
        <v>0</v>
      </c>
      <c r="F37" s="61">
        <v>0</v>
      </c>
      <c r="G37" s="61">
        <v>0</v>
      </c>
      <c r="H37" s="61">
        <v>0</v>
      </c>
      <c r="I37" s="61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>
        <v>0</v>
      </c>
      <c r="X37" s="61">
        <v>0</v>
      </c>
      <c r="Y37" s="61">
        <v>0</v>
      </c>
      <c r="Z37" s="61">
        <v>0</v>
      </c>
      <c r="AA37" s="61">
        <v>0</v>
      </c>
      <c r="AB37" s="61">
        <v>0</v>
      </c>
      <c r="AC37" s="61">
        <v>0</v>
      </c>
      <c r="AD37" s="61">
        <v>0</v>
      </c>
      <c r="AE37" s="61">
        <v>0</v>
      </c>
      <c r="AF37" s="61">
        <v>0</v>
      </c>
      <c r="AG37" s="61">
        <v>0</v>
      </c>
      <c r="AH37" s="61">
        <v>0</v>
      </c>
      <c r="AI37" s="61">
        <v>0</v>
      </c>
      <c r="AJ37" s="61">
        <v>0</v>
      </c>
      <c r="AK37" s="61">
        <v>0</v>
      </c>
      <c r="AL37" s="61">
        <v>0</v>
      </c>
      <c r="AM37" s="61">
        <v>0</v>
      </c>
      <c r="AN37" s="61">
        <v>0</v>
      </c>
      <c r="AO37" s="61">
        <v>0</v>
      </c>
      <c r="AP37" s="61">
        <v>0</v>
      </c>
      <c r="AQ37" s="61">
        <v>0</v>
      </c>
      <c r="AR37" s="61">
        <v>0</v>
      </c>
      <c r="AS37" s="61">
        <v>0</v>
      </c>
      <c r="AT37" s="61">
        <v>0</v>
      </c>
      <c r="AU37" s="61">
        <v>0</v>
      </c>
      <c r="AV37" s="61">
        <v>0</v>
      </c>
      <c r="AW37" s="61">
        <v>0</v>
      </c>
      <c r="AX37" s="61">
        <v>0</v>
      </c>
      <c r="AY37" s="61">
        <v>0</v>
      </c>
      <c r="AZ37" s="61">
        <v>0</v>
      </c>
      <c r="BA37" s="61">
        <v>0</v>
      </c>
      <c r="BB37" s="61">
        <v>0</v>
      </c>
      <c r="BC37" s="61">
        <v>0</v>
      </c>
      <c r="BD37" s="61">
        <v>0</v>
      </c>
      <c r="BE37" s="61">
        <v>0</v>
      </c>
      <c r="BF37" s="61">
        <v>0</v>
      </c>
      <c r="BG37" s="61">
        <v>0</v>
      </c>
      <c r="BH37" s="61">
        <v>0</v>
      </c>
      <c r="BI37" s="61">
        <v>0</v>
      </c>
      <c r="BJ37" s="61">
        <v>0</v>
      </c>
      <c r="BK37" s="61">
        <v>0</v>
      </c>
      <c r="BL37" s="61">
        <v>0</v>
      </c>
      <c r="BM37" s="61">
        <v>0</v>
      </c>
      <c r="BN37" s="61">
        <v>0</v>
      </c>
      <c r="BO37" s="61">
        <v>0</v>
      </c>
      <c r="BP37" s="61">
        <v>0</v>
      </c>
      <c r="BQ37" s="61">
        <v>0</v>
      </c>
      <c r="BR37" s="61">
        <v>0</v>
      </c>
      <c r="BS37" s="61">
        <v>0</v>
      </c>
      <c r="BT37" s="61">
        <v>0</v>
      </c>
      <c r="BU37" s="61">
        <v>0</v>
      </c>
      <c r="BV37" s="61">
        <v>0</v>
      </c>
      <c r="BW37" s="61">
        <v>0</v>
      </c>
      <c r="BX37" s="61">
        <v>0</v>
      </c>
      <c r="BY37" s="61">
        <v>0</v>
      </c>
      <c r="BZ37" s="61">
        <v>0</v>
      </c>
      <c r="CA37" s="61">
        <v>0</v>
      </c>
      <c r="CB37" s="61">
        <v>0</v>
      </c>
      <c r="CC37" s="61">
        <v>0</v>
      </c>
      <c r="CD37" s="61">
        <v>0</v>
      </c>
      <c r="CE37" s="61">
        <v>0</v>
      </c>
      <c r="CF37" s="61">
        <v>0</v>
      </c>
      <c r="CG37" s="61">
        <v>0</v>
      </c>
      <c r="CH37" s="61">
        <v>0</v>
      </c>
      <c r="CI37" s="61">
        <v>0</v>
      </c>
      <c r="CJ37" s="61">
        <v>0</v>
      </c>
      <c r="CK37" s="61">
        <v>0</v>
      </c>
      <c r="CL37" s="61">
        <v>0</v>
      </c>
      <c r="CM37" s="61">
        <v>0</v>
      </c>
      <c r="CN37" s="61">
        <v>0</v>
      </c>
      <c r="CO37" s="61">
        <v>0</v>
      </c>
      <c r="CP37" s="61">
        <v>0</v>
      </c>
      <c r="CQ37" s="61">
        <v>0</v>
      </c>
      <c r="CR37" s="61">
        <v>0</v>
      </c>
      <c r="CS37" s="61">
        <v>0</v>
      </c>
      <c r="CT37" s="61">
        <v>0</v>
      </c>
      <c r="CU37" s="61">
        <v>0</v>
      </c>
      <c r="CV37" s="61">
        <v>0</v>
      </c>
      <c r="CW37" s="61">
        <v>0</v>
      </c>
      <c r="CX37" s="61">
        <v>0</v>
      </c>
      <c r="CY37" s="61">
        <v>0</v>
      </c>
      <c r="CZ37" s="61">
        <v>0</v>
      </c>
      <c r="DA37" s="61">
        <v>0</v>
      </c>
      <c r="DB37" s="61">
        <v>0</v>
      </c>
      <c r="DC37" s="61">
        <v>0</v>
      </c>
      <c r="DD37" s="61">
        <v>0</v>
      </c>
      <c r="DE37" s="61">
        <v>0</v>
      </c>
      <c r="DF37" s="61">
        <v>0</v>
      </c>
      <c r="DG37" s="61">
        <v>0</v>
      </c>
      <c r="DH37" s="61">
        <v>0</v>
      </c>
      <c r="DI37" s="61">
        <v>0</v>
      </c>
      <c r="DJ37" s="61">
        <v>0</v>
      </c>
      <c r="DK37" s="61">
        <v>0</v>
      </c>
      <c r="DL37" s="61">
        <v>0</v>
      </c>
      <c r="DM37" s="61">
        <v>0</v>
      </c>
      <c r="DN37" s="61">
        <v>0</v>
      </c>
      <c r="DO37" s="61">
        <v>0</v>
      </c>
      <c r="DP37" s="61">
        <v>0</v>
      </c>
      <c r="DQ37" s="61">
        <v>0</v>
      </c>
      <c r="DR37" s="61">
        <v>0</v>
      </c>
      <c r="DS37" s="61">
        <v>0</v>
      </c>
      <c r="DT37" s="61">
        <v>0</v>
      </c>
      <c r="DU37" s="61">
        <v>0</v>
      </c>
      <c r="DV37" s="61">
        <v>0</v>
      </c>
      <c r="DW37" s="61">
        <v>0</v>
      </c>
      <c r="DX37" s="61">
        <v>0</v>
      </c>
      <c r="DY37" s="61">
        <v>0</v>
      </c>
      <c r="DZ37" s="61">
        <v>0</v>
      </c>
      <c r="EA37" s="61">
        <v>0</v>
      </c>
      <c r="EB37" s="61">
        <v>0</v>
      </c>
      <c r="EC37" s="61">
        <v>0</v>
      </c>
      <c r="ED37" s="61">
        <v>0</v>
      </c>
      <c r="EE37" s="61">
        <v>0</v>
      </c>
      <c r="EF37" s="61">
        <v>0</v>
      </c>
      <c r="EG37" s="61">
        <v>0</v>
      </c>
      <c r="EH37" s="61">
        <v>0</v>
      </c>
      <c r="EI37" s="61">
        <v>0</v>
      </c>
      <c r="EJ37" s="61">
        <v>0</v>
      </c>
      <c r="EK37" s="61">
        <v>0</v>
      </c>
      <c r="EL37" s="61">
        <v>0</v>
      </c>
      <c r="EM37" s="66">
        <v>1</v>
      </c>
      <c r="EN37" s="66">
        <v>1</v>
      </c>
      <c r="EO37" s="66">
        <v>1</v>
      </c>
      <c r="EP37" s="66">
        <v>1</v>
      </c>
      <c r="EQ37" s="66">
        <v>1</v>
      </c>
      <c r="ER37" s="66">
        <v>1</v>
      </c>
      <c r="ES37" s="66">
        <v>1</v>
      </c>
      <c r="ET37" s="61">
        <v>0</v>
      </c>
      <c r="EU37" s="61">
        <v>0</v>
      </c>
      <c r="EV37" s="61">
        <v>0</v>
      </c>
      <c r="EW37" s="61">
        <v>0</v>
      </c>
      <c r="EX37" s="61">
        <v>0</v>
      </c>
      <c r="EY37" s="61">
        <v>0</v>
      </c>
      <c r="EZ37" s="61">
        <v>0</v>
      </c>
      <c r="FA37" s="61">
        <v>0</v>
      </c>
      <c r="FB37" s="61">
        <v>0</v>
      </c>
      <c r="FC37" s="61">
        <v>0</v>
      </c>
      <c r="FD37" s="61">
        <v>0</v>
      </c>
      <c r="FE37" s="63">
        <v>0</v>
      </c>
      <c r="FF37" s="61">
        <v>0</v>
      </c>
      <c r="FG37" s="61">
        <v>0</v>
      </c>
      <c r="FH37" s="61">
        <v>0</v>
      </c>
      <c r="FI37" s="61">
        <v>0</v>
      </c>
      <c r="FJ37" s="61">
        <v>0</v>
      </c>
      <c r="FK37" s="61">
        <v>0</v>
      </c>
      <c r="FL37" s="61">
        <v>0</v>
      </c>
      <c r="FM37" s="61">
        <v>0</v>
      </c>
      <c r="FN37" s="61">
        <v>0</v>
      </c>
      <c r="FO37" s="61">
        <v>0</v>
      </c>
      <c r="FP37" s="63">
        <v>0</v>
      </c>
      <c r="FQ37" s="61">
        <v>0</v>
      </c>
      <c r="FR37" s="61">
        <v>0</v>
      </c>
      <c r="FS37" s="63">
        <v>0</v>
      </c>
      <c r="FT37" s="61">
        <v>0</v>
      </c>
      <c r="FU37" s="61">
        <v>0</v>
      </c>
      <c r="FV37" s="63">
        <v>0</v>
      </c>
      <c r="FW37" s="63">
        <v>0</v>
      </c>
      <c r="FX37" s="63">
        <v>0</v>
      </c>
      <c r="FY37" s="63">
        <v>0</v>
      </c>
      <c r="FZ37" s="63">
        <v>0</v>
      </c>
      <c r="GA37" s="63">
        <v>0</v>
      </c>
      <c r="GB37" s="63">
        <v>0</v>
      </c>
      <c r="GC37" s="63">
        <v>0</v>
      </c>
      <c r="GD37" s="63">
        <v>0</v>
      </c>
      <c r="GE37" s="63">
        <v>0</v>
      </c>
      <c r="GF37" s="63">
        <v>0</v>
      </c>
      <c r="GG37" s="63">
        <v>0</v>
      </c>
      <c r="GH37" s="63">
        <v>0</v>
      </c>
      <c r="GI37" s="63">
        <v>0</v>
      </c>
      <c r="GJ37" s="63">
        <v>0</v>
      </c>
      <c r="GK37" s="63">
        <v>0</v>
      </c>
      <c r="GL37" s="63">
        <v>0</v>
      </c>
      <c r="GM37" s="63">
        <v>0</v>
      </c>
      <c r="GN37" s="63">
        <v>0</v>
      </c>
      <c r="GO37" s="63">
        <v>0</v>
      </c>
      <c r="GP37" s="63">
        <v>0</v>
      </c>
      <c r="GQ37" s="63">
        <v>0</v>
      </c>
      <c r="GR37" s="63">
        <v>0</v>
      </c>
      <c r="GS37" s="63">
        <v>0</v>
      </c>
      <c r="GT37" s="63">
        <v>0</v>
      </c>
      <c r="GU37" s="63">
        <v>0</v>
      </c>
      <c r="GV37" s="63">
        <v>0</v>
      </c>
      <c r="GW37" s="63">
        <v>0</v>
      </c>
      <c r="GX37" s="63">
        <v>0</v>
      </c>
      <c r="GY37" s="63">
        <v>0</v>
      </c>
      <c r="GZ37" s="63">
        <v>0</v>
      </c>
      <c r="HA37" s="63">
        <v>0</v>
      </c>
      <c r="HB37" s="63">
        <v>0</v>
      </c>
      <c r="HC37" s="63">
        <v>0</v>
      </c>
      <c r="HD37" s="63">
        <v>0</v>
      </c>
      <c r="HE37" s="63">
        <v>0</v>
      </c>
      <c r="HF37" s="63">
        <v>0</v>
      </c>
      <c r="HG37" s="63">
        <v>0</v>
      </c>
      <c r="HH37" s="63">
        <v>0</v>
      </c>
      <c r="HI37" s="63">
        <v>0</v>
      </c>
      <c r="HJ37" s="63">
        <v>1569</v>
      </c>
      <c r="HK37" s="63">
        <f>SUM(C$4:HI$4)</f>
        <v>215</v>
      </c>
      <c r="HL37" s="61">
        <f>SUM(C37:HI37)</f>
        <v>7</v>
      </c>
      <c r="HM37" s="67">
        <f t="shared" si="1"/>
        <v>3.2558139534883721</v>
      </c>
      <c r="HN37" s="67"/>
      <c r="HO37" s="68">
        <v>3.49</v>
      </c>
      <c r="HP37" s="68">
        <v>3.42</v>
      </c>
      <c r="HQ37" s="61">
        <v>2.73</v>
      </c>
    </row>
    <row r="38" spans="2:227" x14ac:dyDescent="0.3">
      <c r="B38" s="63" t="s">
        <v>7270</v>
      </c>
      <c r="C38" s="61">
        <v>0</v>
      </c>
      <c r="D38" s="61">
        <v>0</v>
      </c>
      <c r="E38" s="61">
        <v>0</v>
      </c>
      <c r="F38" s="61">
        <v>0</v>
      </c>
      <c r="G38" s="61">
        <v>0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1">
        <v>0</v>
      </c>
      <c r="Y38" s="61">
        <v>0</v>
      </c>
      <c r="Z38" s="61">
        <v>0</v>
      </c>
      <c r="AA38" s="61">
        <v>0</v>
      </c>
      <c r="AB38" s="61">
        <v>0</v>
      </c>
      <c r="AC38" s="61">
        <v>0</v>
      </c>
      <c r="AD38" s="61">
        <v>0</v>
      </c>
      <c r="AE38" s="61">
        <v>0</v>
      </c>
      <c r="AF38" s="61">
        <v>0</v>
      </c>
      <c r="AG38" s="61">
        <v>0</v>
      </c>
      <c r="AH38" s="61">
        <v>0</v>
      </c>
      <c r="AI38" s="61">
        <v>0</v>
      </c>
      <c r="AJ38" s="61">
        <v>0</v>
      </c>
      <c r="AK38" s="61">
        <v>0</v>
      </c>
      <c r="AL38" s="61">
        <v>0</v>
      </c>
      <c r="AM38" s="61">
        <v>0</v>
      </c>
      <c r="AN38" s="61">
        <v>0</v>
      </c>
      <c r="AO38" s="61">
        <v>0</v>
      </c>
      <c r="AP38" s="61">
        <v>0</v>
      </c>
      <c r="AQ38" s="61">
        <v>0</v>
      </c>
      <c r="AR38" s="61">
        <v>0</v>
      </c>
      <c r="AS38" s="61">
        <v>0</v>
      </c>
      <c r="AT38" s="61">
        <v>0</v>
      </c>
      <c r="AU38" s="61">
        <v>0</v>
      </c>
      <c r="AV38" s="61">
        <v>0</v>
      </c>
      <c r="AW38" s="61">
        <v>0</v>
      </c>
      <c r="AX38" s="61">
        <v>0</v>
      </c>
      <c r="AY38" s="61">
        <v>0</v>
      </c>
      <c r="AZ38" s="61">
        <v>0</v>
      </c>
      <c r="BA38" s="61">
        <v>0</v>
      </c>
      <c r="BB38" s="61">
        <v>0</v>
      </c>
      <c r="BC38" s="61">
        <v>0</v>
      </c>
      <c r="BD38" s="61">
        <v>0</v>
      </c>
      <c r="BE38" s="61">
        <v>0</v>
      </c>
      <c r="BF38" s="61">
        <v>0</v>
      </c>
      <c r="BG38" s="61">
        <v>0</v>
      </c>
      <c r="BH38" s="61">
        <v>0</v>
      </c>
      <c r="BI38" s="61">
        <v>0</v>
      </c>
      <c r="BJ38" s="61">
        <v>0</v>
      </c>
      <c r="BK38" s="61">
        <v>0</v>
      </c>
      <c r="BL38" s="61">
        <v>0</v>
      </c>
      <c r="BM38" s="61">
        <v>0</v>
      </c>
      <c r="BN38" s="61">
        <v>0</v>
      </c>
      <c r="BO38" s="61">
        <v>0</v>
      </c>
      <c r="BP38" s="61">
        <v>0</v>
      </c>
      <c r="BQ38" s="61">
        <v>0</v>
      </c>
      <c r="BR38" s="61">
        <v>0</v>
      </c>
      <c r="BS38" s="61">
        <v>0</v>
      </c>
      <c r="BT38" s="61">
        <v>0</v>
      </c>
      <c r="BU38" s="61">
        <v>0</v>
      </c>
      <c r="BV38" s="61">
        <v>0</v>
      </c>
      <c r="BW38" s="61">
        <v>0</v>
      </c>
      <c r="BX38" s="61">
        <v>0</v>
      </c>
      <c r="BY38" s="61">
        <v>0</v>
      </c>
      <c r="BZ38" s="61">
        <v>0</v>
      </c>
      <c r="CA38" s="61">
        <v>0</v>
      </c>
      <c r="CB38" s="61">
        <v>0</v>
      </c>
      <c r="CC38" s="61">
        <v>0</v>
      </c>
      <c r="CD38" s="61">
        <v>0</v>
      </c>
      <c r="CE38" s="61">
        <v>0</v>
      </c>
      <c r="CF38" s="61">
        <v>0</v>
      </c>
      <c r="CG38" s="61">
        <v>0</v>
      </c>
      <c r="CH38" s="61">
        <v>0</v>
      </c>
      <c r="CI38" s="61">
        <v>0</v>
      </c>
      <c r="CJ38" s="61">
        <v>0</v>
      </c>
      <c r="CK38" s="61">
        <v>0</v>
      </c>
      <c r="CL38" s="61">
        <v>0</v>
      </c>
      <c r="CM38" s="61">
        <v>0</v>
      </c>
      <c r="CN38" s="61">
        <v>0</v>
      </c>
      <c r="CO38" s="61">
        <v>0</v>
      </c>
      <c r="CP38" s="61">
        <v>0</v>
      </c>
      <c r="CQ38" s="61">
        <v>0</v>
      </c>
      <c r="CR38" s="61">
        <v>0</v>
      </c>
      <c r="CS38" s="61">
        <v>0</v>
      </c>
      <c r="CT38" s="61">
        <v>0</v>
      </c>
      <c r="CU38" s="61">
        <v>0</v>
      </c>
      <c r="CV38" s="61">
        <v>0</v>
      </c>
      <c r="CW38" s="61">
        <v>0</v>
      </c>
      <c r="CX38" s="61">
        <v>0</v>
      </c>
      <c r="CY38" s="61">
        <v>0</v>
      </c>
      <c r="CZ38" s="61">
        <v>0</v>
      </c>
      <c r="DA38" s="61">
        <v>0</v>
      </c>
      <c r="DB38" s="61">
        <v>0</v>
      </c>
      <c r="DC38" s="61">
        <v>0</v>
      </c>
      <c r="DD38" s="61">
        <v>0</v>
      </c>
      <c r="DE38" s="61">
        <v>0</v>
      </c>
      <c r="DF38" s="61">
        <v>0</v>
      </c>
      <c r="DG38" s="61">
        <v>0</v>
      </c>
      <c r="DH38" s="61">
        <v>0</v>
      </c>
      <c r="DI38" s="61">
        <v>0</v>
      </c>
      <c r="DJ38" s="61">
        <v>0</v>
      </c>
      <c r="DK38" s="61">
        <v>0</v>
      </c>
      <c r="DL38" s="61">
        <v>0</v>
      </c>
      <c r="DM38" s="61">
        <v>0</v>
      </c>
      <c r="DN38" s="61">
        <v>0</v>
      </c>
      <c r="DO38" s="61">
        <v>0</v>
      </c>
      <c r="DP38" s="61">
        <v>0</v>
      </c>
      <c r="DQ38" s="69">
        <v>0</v>
      </c>
      <c r="DR38" s="61">
        <v>0</v>
      </c>
      <c r="DS38" s="61">
        <v>0</v>
      </c>
      <c r="DT38" s="61">
        <v>0</v>
      </c>
      <c r="DU38" s="61">
        <v>0</v>
      </c>
      <c r="DV38" s="61">
        <v>0</v>
      </c>
      <c r="DW38" s="61">
        <v>0</v>
      </c>
      <c r="DX38" s="61">
        <v>0</v>
      </c>
      <c r="DY38" s="61">
        <v>0</v>
      </c>
      <c r="DZ38" s="61">
        <v>0</v>
      </c>
      <c r="EA38" s="61">
        <v>0</v>
      </c>
      <c r="EB38" s="61">
        <v>0</v>
      </c>
      <c r="EC38" s="61">
        <v>0</v>
      </c>
      <c r="ED38" s="61">
        <v>0</v>
      </c>
      <c r="EE38" s="66">
        <v>1</v>
      </c>
      <c r="EF38" s="66">
        <v>1</v>
      </c>
      <c r="EG38" s="66">
        <v>1</v>
      </c>
      <c r="EH38" s="66">
        <v>1</v>
      </c>
      <c r="EI38" s="66">
        <v>1</v>
      </c>
      <c r="EJ38" s="66">
        <v>1</v>
      </c>
      <c r="EK38" s="61">
        <v>0</v>
      </c>
      <c r="EL38" s="61">
        <v>0</v>
      </c>
      <c r="EM38" s="61">
        <v>0</v>
      </c>
      <c r="EN38" s="66">
        <v>1</v>
      </c>
      <c r="EO38" s="66">
        <v>1</v>
      </c>
      <c r="EP38" s="66">
        <v>1</v>
      </c>
      <c r="EQ38" s="66">
        <v>1</v>
      </c>
      <c r="ER38" s="66">
        <v>1</v>
      </c>
      <c r="ES38" s="66">
        <v>1</v>
      </c>
      <c r="ET38" s="66">
        <v>1</v>
      </c>
      <c r="EU38" s="66">
        <v>1</v>
      </c>
      <c r="EV38" s="66">
        <v>1</v>
      </c>
      <c r="EW38" s="66">
        <v>1</v>
      </c>
      <c r="EX38" s="66">
        <v>1</v>
      </c>
      <c r="EY38" s="66">
        <v>1</v>
      </c>
      <c r="EZ38" s="66">
        <v>1</v>
      </c>
      <c r="FA38" s="66">
        <v>1</v>
      </c>
      <c r="FB38" s="66">
        <v>1</v>
      </c>
      <c r="FC38" s="66">
        <v>1</v>
      </c>
      <c r="FD38" s="66">
        <v>1</v>
      </c>
      <c r="FE38" s="66">
        <v>1</v>
      </c>
      <c r="FF38" s="66">
        <v>1</v>
      </c>
      <c r="FG38" s="66">
        <v>1</v>
      </c>
      <c r="FH38" s="66">
        <v>1</v>
      </c>
      <c r="FI38" s="66">
        <v>1</v>
      </c>
      <c r="FJ38" s="66">
        <v>1</v>
      </c>
      <c r="FK38" s="66">
        <v>1</v>
      </c>
      <c r="FL38" s="66">
        <v>1</v>
      </c>
      <c r="FM38" s="66">
        <v>1</v>
      </c>
      <c r="FN38" s="66">
        <v>1</v>
      </c>
      <c r="FO38" s="61">
        <v>0</v>
      </c>
      <c r="FP38" s="61">
        <v>0</v>
      </c>
      <c r="FQ38" s="61">
        <v>0</v>
      </c>
      <c r="FR38" s="61">
        <v>0</v>
      </c>
      <c r="FS38" s="61">
        <v>0</v>
      </c>
      <c r="FT38" s="61">
        <v>0</v>
      </c>
      <c r="FU38" s="61">
        <v>0</v>
      </c>
      <c r="FV38" s="63">
        <v>0</v>
      </c>
      <c r="FW38" s="63">
        <v>0</v>
      </c>
      <c r="FX38" s="63">
        <v>0</v>
      </c>
      <c r="FY38" s="63">
        <v>0</v>
      </c>
      <c r="FZ38" s="63">
        <v>0</v>
      </c>
      <c r="GA38" s="63">
        <v>0</v>
      </c>
      <c r="GB38" s="63">
        <v>0</v>
      </c>
      <c r="GC38" s="63">
        <v>0</v>
      </c>
      <c r="GD38" s="63">
        <v>0</v>
      </c>
      <c r="GE38" s="63">
        <v>0</v>
      </c>
      <c r="GF38" s="63">
        <v>0</v>
      </c>
      <c r="GG38" s="63">
        <v>0</v>
      </c>
      <c r="GH38" s="63">
        <v>0</v>
      </c>
      <c r="GI38" s="63">
        <v>0</v>
      </c>
      <c r="GJ38" s="63">
        <v>0</v>
      </c>
      <c r="GK38" s="63">
        <v>0</v>
      </c>
      <c r="GL38" s="63">
        <v>0</v>
      </c>
      <c r="GM38" s="63">
        <v>0</v>
      </c>
      <c r="GN38" s="63">
        <v>0</v>
      </c>
      <c r="GO38" s="63">
        <v>0</v>
      </c>
      <c r="GP38" s="63">
        <v>0</v>
      </c>
      <c r="GQ38" s="63">
        <v>0</v>
      </c>
      <c r="GR38" s="63">
        <v>0</v>
      </c>
      <c r="GS38" s="63">
        <v>0</v>
      </c>
      <c r="GT38" s="63">
        <v>0</v>
      </c>
      <c r="GU38" s="63">
        <v>0</v>
      </c>
      <c r="GV38" s="63">
        <v>0</v>
      </c>
      <c r="GW38" s="63">
        <v>0</v>
      </c>
      <c r="GX38" s="63">
        <v>0</v>
      </c>
      <c r="GY38" s="63">
        <v>0</v>
      </c>
      <c r="GZ38" s="63">
        <v>0</v>
      </c>
      <c r="HA38" s="63">
        <v>0</v>
      </c>
      <c r="HB38" s="63">
        <v>0</v>
      </c>
      <c r="HC38" s="63">
        <v>0</v>
      </c>
      <c r="HD38" s="63">
        <v>0</v>
      </c>
      <c r="HE38" s="63">
        <v>0</v>
      </c>
      <c r="HF38" s="63">
        <v>0</v>
      </c>
      <c r="HG38" s="63">
        <v>0</v>
      </c>
      <c r="HH38" s="63"/>
      <c r="HI38" s="63"/>
      <c r="HJ38" s="63">
        <v>1918</v>
      </c>
      <c r="HK38" s="63">
        <f>SUM(DQ$4:HI$4)</f>
        <v>97</v>
      </c>
      <c r="HL38" s="61">
        <f>SUM(DQ38:HI38)</f>
        <v>33</v>
      </c>
      <c r="HM38" s="67">
        <f t="shared" si="1"/>
        <v>34.020618556701031</v>
      </c>
      <c r="HN38" s="67"/>
      <c r="HO38" s="68">
        <v>0.6</v>
      </c>
      <c r="HP38" s="68">
        <v>0.25</v>
      </c>
      <c r="HQ38" s="61">
        <v>0.2</v>
      </c>
    </row>
    <row r="39" spans="2:227" x14ac:dyDescent="0.3">
      <c r="B39" s="63" t="s">
        <v>7271</v>
      </c>
      <c r="C39" s="61">
        <v>0</v>
      </c>
      <c r="D39" s="61">
        <v>0</v>
      </c>
      <c r="E39" s="66">
        <v>1</v>
      </c>
      <c r="F39" s="66">
        <v>1</v>
      </c>
      <c r="G39" s="66">
        <v>1</v>
      </c>
      <c r="H39" s="66">
        <v>1</v>
      </c>
      <c r="I39" s="66">
        <v>1</v>
      </c>
      <c r="J39" s="66">
        <v>1</v>
      </c>
      <c r="K39" s="66">
        <v>1</v>
      </c>
      <c r="L39" s="66">
        <v>1</v>
      </c>
      <c r="M39" s="66">
        <v>1</v>
      </c>
      <c r="N39" s="66">
        <v>1</v>
      </c>
      <c r="O39" s="66">
        <v>1</v>
      </c>
      <c r="P39" s="66">
        <v>1</v>
      </c>
      <c r="Q39" s="66">
        <v>1</v>
      </c>
      <c r="R39" s="61">
        <v>0</v>
      </c>
      <c r="S39" s="61">
        <v>0</v>
      </c>
      <c r="T39" s="61">
        <v>0</v>
      </c>
      <c r="U39" s="61">
        <v>0</v>
      </c>
      <c r="V39" s="61">
        <v>0</v>
      </c>
      <c r="W39" s="61">
        <v>0</v>
      </c>
      <c r="X39" s="61">
        <v>0</v>
      </c>
      <c r="Y39" s="61">
        <v>0</v>
      </c>
      <c r="Z39" s="61">
        <v>0</v>
      </c>
      <c r="AA39" s="61">
        <v>0</v>
      </c>
      <c r="AB39" s="61">
        <v>0</v>
      </c>
      <c r="AC39" s="61">
        <v>0</v>
      </c>
      <c r="AD39" s="61">
        <v>0</v>
      </c>
      <c r="AE39" s="61">
        <v>0</v>
      </c>
      <c r="AF39" s="61">
        <v>0</v>
      </c>
      <c r="AG39" s="61">
        <v>0</v>
      </c>
      <c r="AH39" s="61">
        <v>0</v>
      </c>
      <c r="AI39" s="61">
        <v>0</v>
      </c>
      <c r="AJ39" s="61">
        <v>0</v>
      </c>
      <c r="AK39" s="61">
        <v>0</v>
      </c>
      <c r="AL39" s="61">
        <v>0</v>
      </c>
      <c r="AM39" s="61">
        <v>0</v>
      </c>
      <c r="AN39" s="61">
        <v>0</v>
      </c>
      <c r="AO39" s="61">
        <v>0</v>
      </c>
      <c r="AP39" s="61">
        <v>0</v>
      </c>
      <c r="AQ39" s="61">
        <v>0</v>
      </c>
      <c r="AR39" s="61">
        <v>0</v>
      </c>
      <c r="AS39" s="61">
        <v>0</v>
      </c>
      <c r="AT39" s="61">
        <v>0</v>
      </c>
      <c r="AU39" s="61">
        <v>0</v>
      </c>
      <c r="AV39" s="61">
        <v>0</v>
      </c>
      <c r="AW39" s="61">
        <v>0</v>
      </c>
      <c r="AX39" s="61">
        <v>0</v>
      </c>
      <c r="AY39" s="61">
        <v>0</v>
      </c>
      <c r="AZ39" s="61">
        <v>0</v>
      </c>
      <c r="BA39" s="61">
        <v>0</v>
      </c>
      <c r="BB39" s="61">
        <v>0</v>
      </c>
      <c r="BC39" s="61">
        <v>0</v>
      </c>
      <c r="BD39" s="61">
        <v>0</v>
      </c>
      <c r="BE39" s="61">
        <v>0</v>
      </c>
      <c r="BF39" s="61">
        <v>0</v>
      </c>
      <c r="BG39" s="61">
        <v>0</v>
      </c>
      <c r="BH39" s="61">
        <v>0</v>
      </c>
      <c r="BI39" s="61">
        <v>0</v>
      </c>
      <c r="BJ39" s="61">
        <v>0</v>
      </c>
      <c r="BK39" s="61">
        <v>0</v>
      </c>
      <c r="BL39" s="61">
        <v>0</v>
      </c>
      <c r="BM39" s="61">
        <v>0</v>
      </c>
      <c r="BN39" s="61">
        <v>0</v>
      </c>
      <c r="BO39" s="61">
        <v>0</v>
      </c>
      <c r="BP39" s="61">
        <v>0</v>
      </c>
      <c r="BQ39" s="61">
        <v>0</v>
      </c>
      <c r="BR39" s="61">
        <v>0</v>
      </c>
      <c r="BS39" s="61">
        <v>0</v>
      </c>
      <c r="BT39" s="61">
        <v>0</v>
      </c>
      <c r="BU39" s="61">
        <v>0</v>
      </c>
      <c r="BV39" s="61">
        <v>0</v>
      </c>
      <c r="BW39" s="61">
        <v>0</v>
      </c>
      <c r="BX39" s="61">
        <v>0</v>
      </c>
      <c r="BY39" s="61">
        <v>0</v>
      </c>
      <c r="BZ39" s="61">
        <v>0</v>
      </c>
      <c r="CA39" s="61">
        <v>0</v>
      </c>
      <c r="CB39" s="61">
        <v>0</v>
      </c>
      <c r="CC39" s="61">
        <v>0</v>
      </c>
      <c r="CD39" s="61">
        <v>0</v>
      </c>
      <c r="CE39" s="61">
        <v>0</v>
      </c>
      <c r="CF39" s="61">
        <v>0</v>
      </c>
      <c r="CG39" s="61">
        <v>0</v>
      </c>
      <c r="CH39" s="61">
        <v>0</v>
      </c>
      <c r="CI39" s="61">
        <v>0</v>
      </c>
      <c r="CJ39" s="61">
        <v>0</v>
      </c>
      <c r="CK39" s="61">
        <v>0</v>
      </c>
      <c r="CL39" s="61">
        <v>0</v>
      </c>
      <c r="CM39" s="61">
        <v>0</v>
      </c>
      <c r="CN39" s="61">
        <v>0</v>
      </c>
      <c r="CO39" s="61">
        <v>0</v>
      </c>
      <c r="CP39" s="61">
        <v>0</v>
      </c>
      <c r="CQ39" s="61">
        <v>0</v>
      </c>
      <c r="CR39" s="61">
        <v>0</v>
      </c>
      <c r="CS39" s="61">
        <v>0</v>
      </c>
      <c r="CT39" s="61">
        <v>0</v>
      </c>
      <c r="CU39" s="61">
        <v>0</v>
      </c>
      <c r="CV39" s="61">
        <v>0</v>
      </c>
      <c r="CW39" s="61">
        <v>0</v>
      </c>
      <c r="CX39" s="61">
        <v>0</v>
      </c>
      <c r="CY39" s="61">
        <v>0</v>
      </c>
      <c r="CZ39" s="61">
        <v>0</v>
      </c>
      <c r="DA39" s="61">
        <v>0</v>
      </c>
      <c r="DB39" s="61">
        <v>0</v>
      </c>
      <c r="DC39" s="61">
        <v>0</v>
      </c>
      <c r="DD39" s="61">
        <v>0</v>
      </c>
      <c r="DE39" s="61">
        <v>0</v>
      </c>
      <c r="DF39" s="61">
        <v>0</v>
      </c>
      <c r="DG39" s="61">
        <v>0</v>
      </c>
      <c r="DH39" s="61">
        <v>0</v>
      </c>
      <c r="DI39" s="61">
        <v>0</v>
      </c>
      <c r="DJ39" s="61">
        <v>0</v>
      </c>
      <c r="DK39" s="61">
        <v>0</v>
      </c>
      <c r="DL39" s="61">
        <v>0</v>
      </c>
      <c r="DM39" s="61">
        <v>0</v>
      </c>
      <c r="DN39" s="61">
        <v>0</v>
      </c>
      <c r="DO39" s="61">
        <v>0</v>
      </c>
      <c r="DP39" s="61">
        <v>0</v>
      </c>
      <c r="DQ39" s="61">
        <v>0</v>
      </c>
      <c r="DR39" s="61">
        <v>0</v>
      </c>
      <c r="DS39" s="61">
        <v>0</v>
      </c>
      <c r="DT39" s="61">
        <v>0</v>
      </c>
      <c r="DU39" s="61">
        <v>0</v>
      </c>
      <c r="DV39" s="61">
        <v>0</v>
      </c>
      <c r="DW39" s="61">
        <v>0</v>
      </c>
      <c r="DX39" s="61">
        <v>0</v>
      </c>
      <c r="DY39" s="61">
        <v>0</v>
      </c>
      <c r="DZ39" s="61">
        <v>0</v>
      </c>
      <c r="EA39" s="61">
        <v>0</v>
      </c>
      <c r="EB39" s="61">
        <v>0</v>
      </c>
      <c r="EC39" s="61">
        <v>0</v>
      </c>
      <c r="ED39" s="61">
        <v>0</v>
      </c>
      <c r="EE39" s="61">
        <v>0</v>
      </c>
      <c r="EF39" s="61">
        <v>0</v>
      </c>
      <c r="EG39" s="61">
        <v>0</v>
      </c>
      <c r="EH39" s="61">
        <v>0</v>
      </c>
      <c r="EI39" s="61">
        <v>0</v>
      </c>
      <c r="EJ39" s="61">
        <v>0</v>
      </c>
      <c r="EK39" s="61">
        <v>0</v>
      </c>
      <c r="EL39" s="61">
        <v>0</v>
      </c>
      <c r="EM39" s="61">
        <v>0</v>
      </c>
      <c r="EN39" s="61">
        <v>0</v>
      </c>
      <c r="EO39" s="61">
        <v>0</v>
      </c>
      <c r="EP39" s="61">
        <v>0</v>
      </c>
      <c r="EQ39" s="61">
        <v>0</v>
      </c>
      <c r="ER39" s="61">
        <v>0</v>
      </c>
      <c r="ES39" s="61">
        <v>0</v>
      </c>
      <c r="ET39" s="61">
        <v>0</v>
      </c>
      <c r="EU39" s="61">
        <v>0</v>
      </c>
      <c r="EV39" s="61">
        <v>0</v>
      </c>
      <c r="EW39" s="61">
        <v>0</v>
      </c>
      <c r="EX39" s="61">
        <v>0</v>
      </c>
      <c r="EY39" s="61">
        <v>0</v>
      </c>
      <c r="EZ39" s="61">
        <v>0</v>
      </c>
      <c r="FA39" s="61">
        <v>0</v>
      </c>
      <c r="FB39" s="61">
        <v>0</v>
      </c>
      <c r="FC39" s="61">
        <v>0</v>
      </c>
      <c r="FD39" s="61">
        <v>0</v>
      </c>
      <c r="FE39" s="61">
        <v>0</v>
      </c>
      <c r="FF39" s="61">
        <v>0</v>
      </c>
      <c r="FG39" s="61">
        <v>0</v>
      </c>
      <c r="FH39" s="61">
        <v>0</v>
      </c>
      <c r="FI39" s="61">
        <v>0</v>
      </c>
      <c r="FJ39" s="61">
        <v>0</v>
      </c>
      <c r="FK39" s="61">
        <v>0</v>
      </c>
      <c r="FL39" s="61">
        <v>0</v>
      </c>
      <c r="FM39" s="61">
        <v>0</v>
      </c>
      <c r="FN39" s="61">
        <v>0</v>
      </c>
      <c r="FO39" s="61">
        <v>0</v>
      </c>
      <c r="FP39" s="61">
        <v>0</v>
      </c>
      <c r="FQ39" s="61">
        <v>0</v>
      </c>
      <c r="FR39" s="61">
        <v>0</v>
      </c>
      <c r="FS39" s="61">
        <v>0</v>
      </c>
      <c r="FT39" s="61">
        <v>0</v>
      </c>
      <c r="FU39" s="61">
        <v>0</v>
      </c>
      <c r="FV39" s="61">
        <v>0</v>
      </c>
      <c r="FW39" s="61">
        <v>0</v>
      </c>
      <c r="FX39" s="61">
        <v>0</v>
      </c>
      <c r="FY39" s="61">
        <v>0</v>
      </c>
      <c r="FZ39" s="61">
        <v>0</v>
      </c>
      <c r="GA39" s="61">
        <v>0</v>
      </c>
      <c r="GB39" s="61">
        <v>0</v>
      </c>
      <c r="GC39" s="61">
        <v>0</v>
      </c>
      <c r="GD39" s="61">
        <v>0</v>
      </c>
      <c r="GE39" s="61">
        <v>0</v>
      </c>
      <c r="GF39" s="61">
        <v>0</v>
      </c>
      <c r="GG39" s="61">
        <v>0</v>
      </c>
      <c r="GH39" s="61">
        <v>0</v>
      </c>
      <c r="GI39" s="61">
        <v>0</v>
      </c>
      <c r="GJ39" s="61">
        <v>0</v>
      </c>
      <c r="GK39" s="61">
        <v>0</v>
      </c>
      <c r="GL39" s="61">
        <v>0</v>
      </c>
      <c r="GM39" s="61">
        <v>0</v>
      </c>
      <c r="GN39" s="61">
        <v>0</v>
      </c>
      <c r="GO39" s="61">
        <v>0</v>
      </c>
      <c r="GP39" s="61">
        <v>0</v>
      </c>
      <c r="GQ39" s="61">
        <v>0</v>
      </c>
      <c r="GR39" s="61">
        <v>0</v>
      </c>
      <c r="GS39" s="61">
        <v>0</v>
      </c>
      <c r="GT39" s="61">
        <v>0</v>
      </c>
      <c r="GU39" s="63">
        <v>0</v>
      </c>
      <c r="GV39" s="63">
        <v>0</v>
      </c>
      <c r="GW39" s="63">
        <v>0</v>
      </c>
      <c r="GX39" s="63">
        <v>0</v>
      </c>
      <c r="GY39" s="63">
        <v>0</v>
      </c>
      <c r="GZ39" s="63">
        <v>0</v>
      </c>
      <c r="HA39" s="63">
        <v>0</v>
      </c>
      <c r="HB39" s="63">
        <v>0</v>
      </c>
      <c r="HC39" s="63">
        <v>0</v>
      </c>
      <c r="HD39" s="63">
        <v>0</v>
      </c>
      <c r="HE39" s="63">
        <v>0</v>
      </c>
      <c r="HF39" s="63">
        <v>0</v>
      </c>
      <c r="HG39" s="63">
        <v>0</v>
      </c>
      <c r="HH39" s="63"/>
      <c r="HI39" s="63"/>
      <c r="HJ39" s="63">
        <v>1581</v>
      </c>
      <c r="HK39" s="63">
        <f>SUM(C$4:HI$4)</f>
        <v>215</v>
      </c>
      <c r="HL39" s="61">
        <f>SUM(C39:HI39)</f>
        <v>13</v>
      </c>
      <c r="HM39" s="67">
        <f t="shared" si="1"/>
        <v>6.0465116279069768</v>
      </c>
      <c r="HN39" s="67"/>
      <c r="HO39" s="68">
        <v>0.91</v>
      </c>
      <c r="HP39" s="68">
        <v>0.95</v>
      </c>
      <c r="HQ39" s="61">
        <v>0.86</v>
      </c>
    </row>
    <row r="40" spans="2:227" x14ac:dyDescent="0.3">
      <c r="B40" s="61" t="s">
        <v>7272</v>
      </c>
      <c r="C40" s="61">
        <v>0</v>
      </c>
      <c r="D40" s="61">
        <v>0</v>
      </c>
      <c r="E40" s="61">
        <v>0</v>
      </c>
      <c r="F40" s="61">
        <v>0</v>
      </c>
      <c r="G40" s="61">
        <v>0</v>
      </c>
      <c r="H40" s="61">
        <v>0</v>
      </c>
      <c r="I40" s="61">
        <v>0</v>
      </c>
      <c r="J40" s="61">
        <v>0</v>
      </c>
      <c r="K40" s="61">
        <v>0</v>
      </c>
      <c r="L40" s="61">
        <v>0</v>
      </c>
      <c r="M40" s="61">
        <v>0</v>
      </c>
      <c r="N40" s="61">
        <v>0</v>
      </c>
      <c r="O40" s="61">
        <v>0</v>
      </c>
      <c r="P40" s="61">
        <v>0</v>
      </c>
      <c r="Q40" s="61">
        <v>0</v>
      </c>
      <c r="R40" s="61">
        <v>0</v>
      </c>
      <c r="S40" s="61">
        <v>0</v>
      </c>
      <c r="T40" s="61">
        <v>0</v>
      </c>
      <c r="U40" s="61">
        <v>0</v>
      </c>
      <c r="V40" s="61">
        <v>0</v>
      </c>
      <c r="W40" s="61">
        <v>0</v>
      </c>
      <c r="X40" s="61">
        <v>0</v>
      </c>
      <c r="Y40" s="61">
        <v>0</v>
      </c>
      <c r="Z40" s="61">
        <v>0</v>
      </c>
      <c r="AA40" s="61">
        <v>0</v>
      </c>
      <c r="AB40" s="61">
        <v>0</v>
      </c>
      <c r="AC40" s="61">
        <v>0</v>
      </c>
      <c r="AD40" s="61">
        <v>0</v>
      </c>
      <c r="AE40" s="61">
        <v>0</v>
      </c>
      <c r="AF40" s="61">
        <v>0</v>
      </c>
      <c r="AG40" s="61">
        <v>0</v>
      </c>
      <c r="AH40" s="61">
        <v>0</v>
      </c>
      <c r="AI40" s="61">
        <v>0</v>
      </c>
      <c r="AJ40" s="61">
        <v>0</v>
      </c>
      <c r="AK40" s="61">
        <v>0</v>
      </c>
      <c r="AL40" s="61">
        <v>0</v>
      </c>
      <c r="AM40" s="61">
        <v>0</v>
      </c>
      <c r="AN40" s="61">
        <v>0</v>
      </c>
      <c r="AO40" s="61">
        <v>0</v>
      </c>
      <c r="AP40" s="61">
        <v>0</v>
      </c>
      <c r="AQ40" s="61">
        <v>0</v>
      </c>
      <c r="AR40" s="61">
        <v>0</v>
      </c>
      <c r="AS40" s="61">
        <v>0</v>
      </c>
      <c r="AT40" s="61">
        <v>0</v>
      </c>
      <c r="AU40" s="61">
        <v>0</v>
      </c>
      <c r="AV40" s="61">
        <v>0</v>
      </c>
      <c r="AW40" s="61">
        <v>0</v>
      </c>
      <c r="AX40" s="61">
        <v>0</v>
      </c>
      <c r="AY40" s="61">
        <v>0</v>
      </c>
      <c r="AZ40" s="61">
        <v>0</v>
      </c>
      <c r="BA40" s="61">
        <v>0</v>
      </c>
      <c r="BB40" s="61">
        <v>0</v>
      </c>
      <c r="BC40" s="61">
        <v>0</v>
      </c>
      <c r="BD40" s="61">
        <v>0</v>
      </c>
      <c r="BE40" s="61">
        <v>0</v>
      </c>
      <c r="BF40" s="61">
        <v>0</v>
      </c>
      <c r="BG40" s="61">
        <v>0</v>
      </c>
      <c r="BH40" s="61">
        <v>0</v>
      </c>
      <c r="BI40" s="61">
        <v>0</v>
      </c>
      <c r="BJ40" s="61">
        <v>0</v>
      </c>
      <c r="BK40" s="61">
        <v>0</v>
      </c>
      <c r="BL40" s="61">
        <v>0</v>
      </c>
      <c r="BM40" s="61">
        <v>0</v>
      </c>
      <c r="BN40" s="61">
        <v>0</v>
      </c>
      <c r="BO40" s="61">
        <v>0</v>
      </c>
      <c r="BP40" s="61">
        <v>0</v>
      </c>
      <c r="BQ40" s="61">
        <v>0</v>
      </c>
      <c r="BR40" s="61">
        <v>0</v>
      </c>
      <c r="BS40" s="61">
        <v>0</v>
      </c>
      <c r="BT40" s="61">
        <v>0</v>
      </c>
      <c r="BU40" s="61">
        <v>0</v>
      </c>
      <c r="BV40" s="61">
        <v>0</v>
      </c>
      <c r="BW40" s="61">
        <v>0</v>
      </c>
      <c r="BX40" s="61">
        <v>0</v>
      </c>
      <c r="BY40" s="61">
        <v>0</v>
      </c>
      <c r="BZ40" s="61">
        <v>0</v>
      </c>
      <c r="CA40" s="61">
        <v>0</v>
      </c>
      <c r="CB40" s="61">
        <v>0</v>
      </c>
      <c r="CC40" s="61">
        <v>0</v>
      </c>
      <c r="CD40" s="61">
        <v>0</v>
      </c>
      <c r="CE40" s="61">
        <v>0</v>
      </c>
      <c r="CF40" s="61">
        <v>0</v>
      </c>
      <c r="CG40" s="61">
        <v>0</v>
      </c>
      <c r="CH40" s="61">
        <v>0</v>
      </c>
      <c r="CI40" s="61">
        <v>0</v>
      </c>
      <c r="CJ40" s="61">
        <v>0</v>
      </c>
      <c r="CK40" s="61">
        <v>0</v>
      </c>
      <c r="CL40" s="61">
        <v>0</v>
      </c>
      <c r="CM40" s="61">
        <v>0</v>
      </c>
      <c r="CN40" s="61">
        <v>0</v>
      </c>
      <c r="CO40" s="61">
        <v>0</v>
      </c>
      <c r="CP40" s="61">
        <v>0</v>
      </c>
      <c r="CQ40" s="61">
        <v>0</v>
      </c>
      <c r="CR40" s="61">
        <v>0</v>
      </c>
      <c r="CS40" s="61">
        <v>0</v>
      </c>
      <c r="CT40" s="61">
        <v>0</v>
      </c>
      <c r="CU40" s="61">
        <v>0</v>
      </c>
      <c r="CV40" s="61">
        <v>0</v>
      </c>
      <c r="CW40" s="61">
        <v>0</v>
      </c>
      <c r="CX40" s="61">
        <v>0</v>
      </c>
      <c r="CY40" s="61">
        <v>0</v>
      </c>
      <c r="CZ40" s="61">
        <v>0</v>
      </c>
      <c r="DA40" s="61">
        <v>0</v>
      </c>
      <c r="DB40" s="61">
        <v>0</v>
      </c>
      <c r="DC40" s="61">
        <v>0</v>
      </c>
      <c r="DD40" s="65">
        <v>0</v>
      </c>
      <c r="DE40" s="61">
        <v>0</v>
      </c>
      <c r="DF40" s="61">
        <v>0</v>
      </c>
      <c r="DG40" s="61">
        <v>0</v>
      </c>
      <c r="DH40" s="61">
        <v>0</v>
      </c>
      <c r="DI40" s="61">
        <v>0</v>
      </c>
      <c r="DJ40" s="61">
        <v>0</v>
      </c>
      <c r="DK40" s="61">
        <v>0</v>
      </c>
      <c r="DL40" s="61">
        <v>0</v>
      </c>
      <c r="DM40" s="61">
        <v>0</v>
      </c>
      <c r="DN40" s="61">
        <v>0</v>
      </c>
      <c r="DO40" s="61">
        <v>0</v>
      </c>
      <c r="DP40" s="61">
        <v>0</v>
      </c>
      <c r="DQ40" s="61">
        <v>0</v>
      </c>
      <c r="DR40" s="61">
        <v>0</v>
      </c>
      <c r="DS40" s="61">
        <v>0</v>
      </c>
      <c r="DT40" s="61">
        <v>0</v>
      </c>
      <c r="DU40" s="61">
        <v>0</v>
      </c>
      <c r="DV40" s="61">
        <v>0</v>
      </c>
      <c r="DW40" s="61">
        <v>0</v>
      </c>
      <c r="DX40" s="61">
        <v>0</v>
      </c>
      <c r="DY40" s="61">
        <v>0</v>
      </c>
      <c r="DZ40" s="61">
        <v>0</v>
      </c>
      <c r="EA40" s="61">
        <v>0</v>
      </c>
      <c r="EB40" s="61">
        <v>0</v>
      </c>
      <c r="EC40" s="61">
        <v>0</v>
      </c>
      <c r="ED40" s="61">
        <v>0</v>
      </c>
      <c r="EE40" s="61">
        <v>0</v>
      </c>
      <c r="EF40" s="61">
        <v>0</v>
      </c>
      <c r="EG40" s="61">
        <v>0</v>
      </c>
      <c r="EH40" s="61">
        <v>0</v>
      </c>
      <c r="EI40" s="61">
        <v>0</v>
      </c>
      <c r="EJ40" s="61">
        <v>0</v>
      </c>
      <c r="EK40" s="61">
        <v>0</v>
      </c>
      <c r="EL40" s="61">
        <v>0</v>
      </c>
      <c r="EM40" s="61">
        <v>0</v>
      </c>
      <c r="EN40" s="61">
        <v>0</v>
      </c>
      <c r="EO40" s="61">
        <v>0</v>
      </c>
      <c r="EP40" s="61">
        <v>0</v>
      </c>
      <c r="EQ40" s="61">
        <v>0</v>
      </c>
      <c r="ER40" s="61">
        <v>0</v>
      </c>
      <c r="ES40" s="61">
        <v>0</v>
      </c>
      <c r="ET40" s="61">
        <v>0</v>
      </c>
      <c r="EU40" s="61">
        <v>0</v>
      </c>
      <c r="EV40" s="61">
        <v>0</v>
      </c>
      <c r="EW40" s="61">
        <v>0</v>
      </c>
      <c r="EX40" s="61">
        <v>0</v>
      </c>
      <c r="EY40" s="61">
        <v>0</v>
      </c>
      <c r="EZ40" s="61">
        <v>0</v>
      </c>
      <c r="FA40" s="61">
        <v>0</v>
      </c>
      <c r="FB40" s="61">
        <v>0</v>
      </c>
      <c r="FC40" s="61">
        <v>0</v>
      </c>
      <c r="FD40" s="61">
        <v>0</v>
      </c>
      <c r="FE40" s="61">
        <v>0</v>
      </c>
      <c r="FF40" s="61">
        <v>0</v>
      </c>
      <c r="FG40" s="61">
        <v>0</v>
      </c>
      <c r="FH40" s="61">
        <v>0</v>
      </c>
      <c r="FI40" s="61">
        <v>0</v>
      </c>
      <c r="FJ40" s="61">
        <v>0</v>
      </c>
      <c r="FK40" s="61">
        <v>0</v>
      </c>
      <c r="FL40" s="61">
        <v>0</v>
      </c>
      <c r="FM40" s="61">
        <v>0</v>
      </c>
      <c r="FN40" s="61">
        <v>0</v>
      </c>
      <c r="FO40" s="61">
        <v>0</v>
      </c>
      <c r="FP40" s="61">
        <v>0</v>
      </c>
      <c r="FQ40" s="61">
        <v>0</v>
      </c>
      <c r="FR40" s="61">
        <v>0</v>
      </c>
      <c r="FS40" s="61">
        <v>0</v>
      </c>
      <c r="FT40" s="61">
        <v>0</v>
      </c>
      <c r="FU40" s="61">
        <v>0</v>
      </c>
      <c r="FV40" s="61">
        <v>0</v>
      </c>
      <c r="FW40" s="61">
        <v>0</v>
      </c>
      <c r="FX40" s="61">
        <v>0</v>
      </c>
      <c r="FY40" s="61">
        <v>0</v>
      </c>
      <c r="FZ40" s="61">
        <v>0</v>
      </c>
      <c r="GA40" s="61">
        <v>0</v>
      </c>
      <c r="GB40" s="61">
        <v>0</v>
      </c>
      <c r="GC40" s="61">
        <v>0</v>
      </c>
      <c r="GD40" s="61">
        <v>0</v>
      </c>
      <c r="GE40" s="61">
        <v>0</v>
      </c>
      <c r="GF40" s="61">
        <v>0</v>
      </c>
      <c r="GG40" s="61">
        <v>0</v>
      </c>
      <c r="GH40" s="61">
        <v>0</v>
      </c>
      <c r="GI40" s="61">
        <v>0</v>
      </c>
      <c r="GJ40" s="61">
        <v>0</v>
      </c>
      <c r="GK40" s="61">
        <v>0</v>
      </c>
      <c r="GL40" s="61">
        <v>0</v>
      </c>
      <c r="GM40" s="61">
        <v>0</v>
      </c>
      <c r="GN40" s="61">
        <v>0</v>
      </c>
      <c r="GO40" s="61">
        <v>0</v>
      </c>
      <c r="GP40" s="61">
        <v>0</v>
      </c>
      <c r="GQ40" s="61">
        <v>0</v>
      </c>
      <c r="GR40" s="61">
        <v>0</v>
      </c>
      <c r="GS40" s="61">
        <v>0</v>
      </c>
      <c r="GT40" s="61">
        <v>0</v>
      </c>
      <c r="GU40" s="63">
        <v>0</v>
      </c>
      <c r="GV40" s="63">
        <v>0</v>
      </c>
      <c r="GW40" s="63">
        <v>0</v>
      </c>
      <c r="GX40" s="63">
        <v>0</v>
      </c>
      <c r="GY40" s="63">
        <v>0</v>
      </c>
      <c r="GZ40" s="63">
        <v>0</v>
      </c>
      <c r="HA40" s="63">
        <v>0</v>
      </c>
      <c r="HB40" s="63">
        <v>0</v>
      </c>
      <c r="HC40" s="63">
        <v>0</v>
      </c>
      <c r="HD40" s="63">
        <v>0</v>
      </c>
      <c r="HE40" s="63">
        <v>0</v>
      </c>
      <c r="HF40" s="63">
        <v>0</v>
      </c>
      <c r="HG40" s="63">
        <v>0</v>
      </c>
      <c r="HH40" s="63"/>
      <c r="HI40" s="63"/>
      <c r="HJ40" s="63">
        <v>1905</v>
      </c>
      <c r="HK40" s="63">
        <f>SUM(DD$4:HI$4)</f>
        <v>110</v>
      </c>
      <c r="HL40" s="61">
        <f>SUM(DD40:HI40)</f>
        <v>0</v>
      </c>
      <c r="HM40" s="67">
        <f t="shared" si="1"/>
        <v>0</v>
      </c>
      <c r="HN40" s="67"/>
      <c r="HO40" s="68">
        <v>0.22</v>
      </c>
      <c r="HP40" s="68">
        <v>0.28999999999999998</v>
      </c>
      <c r="HQ40" s="61">
        <v>0.28999999999999998</v>
      </c>
    </row>
    <row r="41" spans="2:227" x14ac:dyDescent="0.3">
      <c r="B41" s="61" t="s">
        <v>7273</v>
      </c>
      <c r="C41" s="61">
        <v>0</v>
      </c>
      <c r="D41" s="61">
        <v>0</v>
      </c>
      <c r="E41" s="61">
        <v>0</v>
      </c>
      <c r="F41" s="61">
        <v>0</v>
      </c>
      <c r="G41" s="61">
        <v>0</v>
      </c>
      <c r="H41" s="61">
        <v>0</v>
      </c>
      <c r="I41" s="61">
        <v>0</v>
      </c>
      <c r="J41" s="61">
        <v>0</v>
      </c>
      <c r="K41" s="61">
        <v>0</v>
      </c>
      <c r="L41" s="61">
        <v>0</v>
      </c>
      <c r="M41" s="61">
        <v>0</v>
      </c>
      <c r="N41" s="61">
        <v>0</v>
      </c>
      <c r="O41" s="61">
        <v>0</v>
      </c>
      <c r="P41" s="61">
        <v>0</v>
      </c>
      <c r="Q41" s="61">
        <v>0</v>
      </c>
      <c r="R41" s="61">
        <v>0</v>
      </c>
      <c r="S41" s="61">
        <v>0</v>
      </c>
      <c r="T41" s="61">
        <v>0</v>
      </c>
      <c r="U41" s="61">
        <v>0</v>
      </c>
      <c r="V41" s="61">
        <v>0</v>
      </c>
      <c r="W41" s="61">
        <v>0</v>
      </c>
      <c r="X41" s="61">
        <v>0</v>
      </c>
      <c r="Y41" s="61">
        <v>0</v>
      </c>
      <c r="Z41" s="61">
        <v>0</v>
      </c>
      <c r="AA41" s="61">
        <v>0</v>
      </c>
      <c r="AB41" s="61">
        <v>0</v>
      </c>
      <c r="AC41" s="61">
        <v>0</v>
      </c>
      <c r="AD41" s="61">
        <v>0</v>
      </c>
      <c r="AE41" s="61">
        <v>0</v>
      </c>
      <c r="AF41" s="61">
        <v>0</v>
      </c>
      <c r="AG41" s="61">
        <v>0</v>
      </c>
      <c r="AH41" s="61">
        <v>0</v>
      </c>
      <c r="AI41" s="61">
        <v>0</v>
      </c>
      <c r="AJ41" s="61">
        <v>0</v>
      </c>
      <c r="AK41" s="61">
        <v>0</v>
      </c>
      <c r="AL41" s="61">
        <v>0</v>
      </c>
      <c r="AM41" s="61">
        <v>0</v>
      </c>
      <c r="AN41" s="61">
        <v>0</v>
      </c>
      <c r="AO41" s="61">
        <v>0</v>
      </c>
      <c r="AP41" s="61">
        <v>0</v>
      </c>
      <c r="AQ41" s="61">
        <v>0</v>
      </c>
      <c r="AR41" s="61">
        <v>0</v>
      </c>
      <c r="AS41" s="61">
        <v>0</v>
      </c>
      <c r="AT41" s="61">
        <v>0</v>
      </c>
      <c r="AU41" s="61">
        <v>0</v>
      </c>
      <c r="AV41" s="61">
        <v>0</v>
      </c>
      <c r="AW41" s="61">
        <v>0</v>
      </c>
      <c r="AX41" s="61">
        <v>0</v>
      </c>
      <c r="AY41" s="61">
        <v>0</v>
      </c>
      <c r="AZ41" s="61">
        <v>0</v>
      </c>
      <c r="BA41" s="61">
        <v>0</v>
      </c>
      <c r="BB41" s="61">
        <v>0</v>
      </c>
      <c r="BC41" s="61">
        <v>0</v>
      </c>
      <c r="BD41" s="61">
        <v>0</v>
      </c>
      <c r="BE41" s="61">
        <v>0</v>
      </c>
      <c r="BF41" s="61">
        <v>0</v>
      </c>
      <c r="BG41" s="61">
        <v>0</v>
      </c>
      <c r="BH41" s="61">
        <v>0</v>
      </c>
      <c r="BI41" s="61">
        <v>0</v>
      </c>
      <c r="BJ41" s="61">
        <v>0</v>
      </c>
      <c r="BK41" s="61">
        <v>0</v>
      </c>
      <c r="BL41" s="61">
        <v>0</v>
      </c>
      <c r="BM41" s="61">
        <v>0</v>
      </c>
      <c r="BN41" s="61">
        <v>0</v>
      </c>
      <c r="BO41" s="61">
        <v>0</v>
      </c>
      <c r="BP41" s="61">
        <v>0</v>
      </c>
      <c r="BQ41" s="61">
        <v>0</v>
      </c>
      <c r="BR41" s="61">
        <v>0</v>
      </c>
      <c r="BS41" s="61">
        <v>0</v>
      </c>
      <c r="BT41" s="61">
        <v>0</v>
      </c>
      <c r="BU41" s="61">
        <v>0</v>
      </c>
      <c r="BV41" s="61">
        <v>0</v>
      </c>
      <c r="BW41" s="61">
        <v>0</v>
      </c>
      <c r="BX41" s="61">
        <v>0</v>
      </c>
      <c r="BY41" s="61">
        <v>0</v>
      </c>
      <c r="BZ41" s="61">
        <v>0</v>
      </c>
      <c r="CA41" s="61">
        <v>0</v>
      </c>
      <c r="CB41" s="61">
        <v>0</v>
      </c>
      <c r="CC41" s="61">
        <v>0</v>
      </c>
      <c r="CD41" s="61">
        <v>0</v>
      </c>
      <c r="CE41" s="61">
        <v>0</v>
      </c>
      <c r="CF41" s="61">
        <v>0</v>
      </c>
      <c r="CG41" s="61">
        <v>0</v>
      </c>
      <c r="CH41" s="61">
        <v>0</v>
      </c>
      <c r="CI41" s="61">
        <v>0</v>
      </c>
      <c r="CJ41" s="61">
        <v>0</v>
      </c>
      <c r="CK41" s="61">
        <v>0</v>
      </c>
      <c r="CL41" s="61">
        <v>0</v>
      </c>
      <c r="CM41" s="61">
        <v>0</v>
      </c>
      <c r="CN41" s="61">
        <v>0</v>
      </c>
      <c r="CO41" s="61">
        <v>0</v>
      </c>
      <c r="CP41" s="61">
        <v>0</v>
      </c>
      <c r="CQ41" s="61">
        <v>0</v>
      </c>
      <c r="CR41" s="61">
        <v>0</v>
      </c>
      <c r="CS41" s="61">
        <v>0</v>
      </c>
      <c r="CT41" s="61">
        <v>0</v>
      </c>
      <c r="CU41" s="61">
        <v>0</v>
      </c>
      <c r="CV41" s="61">
        <v>0</v>
      </c>
      <c r="CW41" s="61">
        <v>0</v>
      </c>
      <c r="CX41" s="61">
        <v>0</v>
      </c>
      <c r="CY41" s="61">
        <v>0</v>
      </c>
      <c r="CZ41" s="61">
        <v>0</v>
      </c>
      <c r="DA41" s="61">
        <v>0</v>
      </c>
      <c r="DB41" s="61">
        <v>0</v>
      </c>
      <c r="DC41" s="61">
        <v>0</v>
      </c>
      <c r="DD41" s="61">
        <v>0</v>
      </c>
      <c r="DE41" s="61">
        <v>0</v>
      </c>
      <c r="DF41" s="61">
        <v>0</v>
      </c>
      <c r="DG41" s="61">
        <v>0</v>
      </c>
      <c r="DH41" s="61">
        <v>0</v>
      </c>
      <c r="DI41" s="61">
        <v>0</v>
      </c>
      <c r="DJ41" s="61">
        <v>0</v>
      </c>
      <c r="DK41" s="61">
        <v>0</v>
      </c>
      <c r="DL41" s="61">
        <v>0</v>
      </c>
      <c r="DM41" s="61">
        <v>0</v>
      </c>
      <c r="DN41" s="61">
        <v>0</v>
      </c>
      <c r="DO41" s="61">
        <v>0</v>
      </c>
      <c r="DP41" s="61">
        <v>0</v>
      </c>
      <c r="DQ41" s="65">
        <v>0</v>
      </c>
      <c r="DR41" s="61">
        <v>0</v>
      </c>
      <c r="DS41" s="61">
        <v>0</v>
      </c>
      <c r="DT41" s="61">
        <v>0</v>
      </c>
      <c r="DU41" s="61">
        <v>0</v>
      </c>
      <c r="DV41" s="61">
        <v>0</v>
      </c>
      <c r="DW41" s="61">
        <v>0</v>
      </c>
      <c r="DX41" s="61">
        <v>0</v>
      </c>
      <c r="DY41" s="61">
        <v>0</v>
      </c>
      <c r="DZ41" s="61">
        <v>0</v>
      </c>
      <c r="EA41" s="61">
        <v>0</v>
      </c>
      <c r="EB41" s="61">
        <v>0</v>
      </c>
      <c r="EC41" s="61">
        <v>0</v>
      </c>
      <c r="ED41" s="61">
        <v>0</v>
      </c>
      <c r="EE41" s="61">
        <v>0</v>
      </c>
      <c r="EF41" s="61">
        <v>0</v>
      </c>
      <c r="EG41" s="61">
        <v>0</v>
      </c>
      <c r="EH41" s="61">
        <v>0</v>
      </c>
      <c r="EI41" s="66">
        <v>1</v>
      </c>
      <c r="EJ41" s="66">
        <v>1</v>
      </c>
      <c r="EK41" s="61">
        <v>0</v>
      </c>
      <c r="EL41" s="61">
        <v>0</v>
      </c>
      <c r="EM41" s="66">
        <v>1</v>
      </c>
      <c r="EN41" s="66">
        <v>1</v>
      </c>
      <c r="EO41" s="66">
        <v>1</v>
      </c>
      <c r="EP41" s="66">
        <v>1</v>
      </c>
      <c r="EQ41" s="66">
        <v>1</v>
      </c>
      <c r="ER41" s="66">
        <v>1</v>
      </c>
      <c r="ES41" s="66">
        <v>1</v>
      </c>
      <c r="ET41" s="66">
        <v>1</v>
      </c>
      <c r="EU41" s="66">
        <v>1</v>
      </c>
      <c r="EV41" s="66">
        <v>1</v>
      </c>
      <c r="EW41" s="66">
        <v>1</v>
      </c>
      <c r="EX41" s="66">
        <v>1</v>
      </c>
      <c r="EY41" s="66">
        <v>1</v>
      </c>
      <c r="EZ41" s="61">
        <v>0</v>
      </c>
      <c r="FA41" s="61">
        <v>0</v>
      </c>
      <c r="FB41" s="61">
        <v>0</v>
      </c>
      <c r="FC41" s="61">
        <v>0</v>
      </c>
      <c r="FD41" s="61">
        <v>0</v>
      </c>
      <c r="FE41" s="61">
        <v>0</v>
      </c>
      <c r="FF41" s="61">
        <v>0</v>
      </c>
      <c r="FG41" s="61">
        <v>0</v>
      </c>
      <c r="FH41" s="61">
        <v>0</v>
      </c>
      <c r="FI41" s="61">
        <v>0</v>
      </c>
      <c r="FJ41" s="61">
        <v>0</v>
      </c>
      <c r="FK41" s="61">
        <v>0</v>
      </c>
      <c r="FL41" s="61">
        <v>0</v>
      </c>
      <c r="FM41" s="61">
        <v>0</v>
      </c>
      <c r="FN41" s="61">
        <v>0</v>
      </c>
      <c r="FO41" s="61">
        <v>0</v>
      </c>
      <c r="FP41" s="61">
        <v>0</v>
      </c>
      <c r="FQ41" s="61">
        <v>0</v>
      </c>
      <c r="FR41" s="61">
        <v>0</v>
      </c>
      <c r="FS41" s="61">
        <v>0</v>
      </c>
      <c r="FT41" s="61">
        <v>0</v>
      </c>
      <c r="FU41" s="61">
        <v>0</v>
      </c>
      <c r="FV41" s="63">
        <v>0</v>
      </c>
      <c r="FW41" s="63">
        <v>0</v>
      </c>
      <c r="FX41" s="63">
        <v>0</v>
      </c>
      <c r="FY41" s="63">
        <v>0</v>
      </c>
      <c r="FZ41" s="63">
        <v>0</v>
      </c>
      <c r="GA41" s="63">
        <v>0</v>
      </c>
      <c r="GB41" s="66">
        <v>1</v>
      </c>
      <c r="GC41" s="66">
        <v>1</v>
      </c>
      <c r="GD41" s="66">
        <v>1</v>
      </c>
      <c r="GE41" s="66">
        <v>1</v>
      </c>
      <c r="GF41" s="66">
        <v>1</v>
      </c>
      <c r="GG41" s="66">
        <v>1</v>
      </c>
      <c r="GH41" s="66">
        <v>1</v>
      </c>
      <c r="GI41" s="66">
        <v>1</v>
      </c>
      <c r="GJ41" s="66">
        <v>1</v>
      </c>
      <c r="GK41" s="66">
        <v>1</v>
      </c>
      <c r="GL41" s="66">
        <v>1</v>
      </c>
      <c r="GM41" s="66">
        <v>1</v>
      </c>
      <c r="GN41" s="66">
        <v>1</v>
      </c>
      <c r="GO41" s="66">
        <v>1</v>
      </c>
      <c r="GP41" s="63">
        <v>0</v>
      </c>
      <c r="GQ41" s="63">
        <v>0</v>
      </c>
      <c r="GR41" s="63">
        <v>0</v>
      </c>
      <c r="GS41" s="63">
        <v>0</v>
      </c>
      <c r="GT41" s="63">
        <v>0</v>
      </c>
      <c r="GU41" s="63">
        <v>0</v>
      </c>
      <c r="GV41" s="63">
        <v>0</v>
      </c>
      <c r="GW41" s="63">
        <v>0</v>
      </c>
      <c r="GX41" s="63">
        <v>0</v>
      </c>
      <c r="GY41" s="63">
        <v>0</v>
      </c>
      <c r="GZ41" s="63">
        <v>0</v>
      </c>
      <c r="HA41" s="63">
        <v>0</v>
      </c>
      <c r="HB41" s="63">
        <v>0</v>
      </c>
      <c r="HC41" s="63">
        <v>0</v>
      </c>
      <c r="HD41" s="63">
        <v>0</v>
      </c>
      <c r="HE41" s="63">
        <v>0</v>
      </c>
      <c r="HF41" s="63">
        <v>0</v>
      </c>
      <c r="HG41" s="63">
        <v>0</v>
      </c>
      <c r="HH41" s="63"/>
      <c r="HI41" s="63"/>
      <c r="HJ41" s="63">
        <v>1918</v>
      </c>
      <c r="HK41" s="63">
        <f>SUM(DQ$4:HI$4)</f>
        <v>97</v>
      </c>
      <c r="HL41" s="61">
        <f>SUM(DQ41:HI41)</f>
        <v>29</v>
      </c>
      <c r="HM41" s="67">
        <f t="shared" si="1"/>
        <v>29.896907216494846</v>
      </c>
      <c r="HN41" s="67"/>
      <c r="HO41" s="68">
        <v>1.7</v>
      </c>
      <c r="HP41" s="68">
        <v>0.72</v>
      </c>
      <c r="HQ41" s="61">
        <v>0.73</v>
      </c>
    </row>
    <row r="42" spans="2:227" x14ac:dyDescent="0.3">
      <c r="B42" s="63" t="s">
        <v>7274</v>
      </c>
      <c r="C42" s="61">
        <v>0</v>
      </c>
      <c r="D42" s="61">
        <v>0</v>
      </c>
      <c r="E42" s="61">
        <v>0</v>
      </c>
      <c r="F42" s="61">
        <v>0</v>
      </c>
      <c r="G42" s="61">
        <v>0</v>
      </c>
      <c r="H42" s="61">
        <v>0</v>
      </c>
      <c r="I42" s="61">
        <v>0</v>
      </c>
      <c r="J42" s="61">
        <v>0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  <c r="V42" s="61">
        <v>0</v>
      </c>
      <c r="W42" s="61">
        <v>0</v>
      </c>
      <c r="X42" s="61">
        <v>0</v>
      </c>
      <c r="Y42" s="61">
        <v>0</v>
      </c>
      <c r="Z42" s="61">
        <v>0</v>
      </c>
      <c r="AA42" s="61">
        <v>0</v>
      </c>
      <c r="AB42" s="61">
        <v>0</v>
      </c>
      <c r="AC42" s="61">
        <v>0</v>
      </c>
      <c r="AD42" s="61">
        <v>0</v>
      </c>
      <c r="AE42" s="66">
        <v>1</v>
      </c>
      <c r="AF42" s="61">
        <v>0</v>
      </c>
      <c r="AG42" s="61">
        <v>0</v>
      </c>
      <c r="AH42" s="61">
        <v>0</v>
      </c>
      <c r="AI42" s="61">
        <v>0</v>
      </c>
      <c r="AJ42" s="61">
        <v>0</v>
      </c>
      <c r="AK42" s="61">
        <v>0</v>
      </c>
      <c r="AL42" s="61">
        <v>0</v>
      </c>
      <c r="AM42" s="61">
        <v>0</v>
      </c>
      <c r="AN42" s="66">
        <v>1</v>
      </c>
      <c r="AO42" s="66">
        <v>1</v>
      </c>
      <c r="AP42" s="66">
        <v>1</v>
      </c>
      <c r="AQ42" s="66">
        <v>1</v>
      </c>
      <c r="AR42" s="66">
        <v>1</v>
      </c>
      <c r="AS42" s="61">
        <v>0</v>
      </c>
      <c r="AT42" s="61">
        <v>0</v>
      </c>
      <c r="AU42" s="61">
        <v>0</v>
      </c>
      <c r="AV42" s="61">
        <v>0</v>
      </c>
      <c r="AW42" s="61">
        <v>0</v>
      </c>
      <c r="AX42" s="61">
        <v>0</v>
      </c>
      <c r="AY42" s="61">
        <v>0</v>
      </c>
      <c r="AZ42" s="61">
        <v>0</v>
      </c>
      <c r="BA42" s="66">
        <v>1</v>
      </c>
      <c r="BB42" s="66">
        <v>1</v>
      </c>
      <c r="BC42" s="66">
        <v>1</v>
      </c>
      <c r="BD42" s="66">
        <v>1</v>
      </c>
      <c r="BE42" s="66">
        <v>1</v>
      </c>
      <c r="BF42" s="66">
        <v>1</v>
      </c>
      <c r="BG42" s="66">
        <v>1</v>
      </c>
      <c r="BH42" s="61">
        <v>0</v>
      </c>
      <c r="BI42" s="61">
        <v>0</v>
      </c>
      <c r="BJ42" s="61">
        <v>0</v>
      </c>
      <c r="BK42" s="61">
        <v>0</v>
      </c>
      <c r="BL42" s="61">
        <v>0</v>
      </c>
      <c r="BM42" s="61">
        <v>0</v>
      </c>
      <c r="BN42" s="61">
        <v>0</v>
      </c>
      <c r="BO42" s="61">
        <v>0</v>
      </c>
      <c r="BP42" s="61">
        <v>0</v>
      </c>
      <c r="BQ42" s="61">
        <v>0</v>
      </c>
      <c r="BR42" s="61">
        <v>0</v>
      </c>
      <c r="BS42" s="61">
        <v>0</v>
      </c>
      <c r="BT42" s="61">
        <v>0</v>
      </c>
      <c r="BU42" s="61">
        <v>0</v>
      </c>
      <c r="BV42" s="61">
        <v>0</v>
      </c>
      <c r="BW42" s="61">
        <v>0</v>
      </c>
      <c r="BX42" s="61">
        <v>0</v>
      </c>
      <c r="BY42" s="61">
        <v>0</v>
      </c>
      <c r="BZ42" s="61">
        <v>0</v>
      </c>
      <c r="CA42" s="61">
        <v>0</v>
      </c>
      <c r="CB42" s="61">
        <v>0</v>
      </c>
      <c r="CC42" s="61">
        <v>0</v>
      </c>
      <c r="CD42" s="61">
        <v>0</v>
      </c>
      <c r="CE42" s="61">
        <v>0</v>
      </c>
      <c r="CF42" s="61">
        <v>0</v>
      </c>
      <c r="CG42" s="61">
        <v>0</v>
      </c>
      <c r="CH42" s="61">
        <v>0</v>
      </c>
      <c r="CI42" s="61">
        <v>0</v>
      </c>
      <c r="CJ42" s="61">
        <v>0</v>
      </c>
      <c r="CK42" s="61">
        <v>0</v>
      </c>
      <c r="CL42" s="61">
        <v>0</v>
      </c>
      <c r="CM42" s="61">
        <v>0</v>
      </c>
      <c r="CN42" s="61">
        <v>0</v>
      </c>
      <c r="CO42" s="61">
        <v>0</v>
      </c>
      <c r="CP42" s="61">
        <v>0</v>
      </c>
      <c r="CQ42" s="66">
        <v>1</v>
      </c>
      <c r="CR42" s="66">
        <v>1</v>
      </c>
      <c r="CS42" s="66">
        <v>1</v>
      </c>
      <c r="CT42" s="66">
        <v>1</v>
      </c>
      <c r="CU42" s="66">
        <v>1</v>
      </c>
      <c r="CV42" s="66">
        <v>1</v>
      </c>
      <c r="CW42" s="66">
        <v>1</v>
      </c>
      <c r="CX42" s="66">
        <v>1</v>
      </c>
      <c r="CY42" s="66">
        <v>1</v>
      </c>
      <c r="CZ42" s="66">
        <v>1</v>
      </c>
      <c r="DA42" s="61">
        <v>0</v>
      </c>
      <c r="DB42" s="61">
        <v>0</v>
      </c>
      <c r="DC42" s="61">
        <v>0</v>
      </c>
      <c r="DD42" s="61">
        <v>0</v>
      </c>
      <c r="DE42" s="61">
        <v>0</v>
      </c>
      <c r="DF42" s="61">
        <v>0</v>
      </c>
      <c r="DG42" s="61">
        <v>0</v>
      </c>
      <c r="DH42" s="61">
        <v>0</v>
      </c>
      <c r="DI42" s="61">
        <v>0</v>
      </c>
      <c r="DJ42" s="61">
        <v>0</v>
      </c>
      <c r="DK42" s="61">
        <v>0</v>
      </c>
      <c r="DL42" s="61">
        <v>0</v>
      </c>
      <c r="DM42" s="61">
        <v>0</v>
      </c>
      <c r="DN42" s="61">
        <v>0</v>
      </c>
      <c r="DO42" s="61">
        <v>0</v>
      </c>
      <c r="DP42" s="61">
        <v>0</v>
      </c>
      <c r="DQ42" s="61">
        <v>0</v>
      </c>
      <c r="DR42" s="61">
        <v>0</v>
      </c>
      <c r="DS42" s="61">
        <v>0</v>
      </c>
      <c r="DT42" s="61">
        <v>0</v>
      </c>
      <c r="DU42" s="61">
        <v>0</v>
      </c>
      <c r="DV42" s="61">
        <v>0</v>
      </c>
      <c r="DW42" s="61">
        <v>0</v>
      </c>
      <c r="DX42" s="61">
        <v>0</v>
      </c>
      <c r="DY42" s="61">
        <v>0</v>
      </c>
      <c r="DZ42" s="61">
        <v>0</v>
      </c>
      <c r="EA42" s="61">
        <v>0</v>
      </c>
      <c r="EB42" s="61">
        <v>0</v>
      </c>
      <c r="EC42" s="61">
        <v>0</v>
      </c>
      <c r="ED42" s="61">
        <v>0</v>
      </c>
      <c r="EE42" s="61">
        <v>0</v>
      </c>
      <c r="EF42" s="61">
        <v>0</v>
      </c>
      <c r="EG42" s="61">
        <v>0</v>
      </c>
      <c r="EH42" s="61">
        <v>0</v>
      </c>
      <c r="EI42" s="61">
        <v>0</v>
      </c>
      <c r="EJ42" s="61">
        <v>0</v>
      </c>
      <c r="EK42" s="61">
        <v>0</v>
      </c>
      <c r="EL42" s="61">
        <v>0</v>
      </c>
      <c r="EM42" s="61">
        <v>0</v>
      </c>
      <c r="EN42" s="61">
        <v>0</v>
      </c>
      <c r="EO42" s="61">
        <v>0</v>
      </c>
      <c r="EP42" s="61">
        <v>0</v>
      </c>
      <c r="EQ42" s="61">
        <v>0</v>
      </c>
      <c r="ER42" s="61">
        <v>0</v>
      </c>
      <c r="ES42" s="61">
        <v>0</v>
      </c>
      <c r="ET42" s="61">
        <v>0</v>
      </c>
      <c r="EU42" s="61">
        <v>0</v>
      </c>
      <c r="EV42" s="61">
        <v>0</v>
      </c>
      <c r="EW42" s="61">
        <v>0</v>
      </c>
      <c r="EX42" s="61">
        <v>0</v>
      </c>
      <c r="EY42" s="61">
        <v>0</v>
      </c>
      <c r="EZ42" s="61">
        <v>0</v>
      </c>
      <c r="FA42" s="61">
        <v>0</v>
      </c>
      <c r="FB42" s="61">
        <v>0</v>
      </c>
      <c r="FC42" s="61">
        <v>0</v>
      </c>
      <c r="FD42" s="61">
        <v>0</v>
      </c>
      <c r="FE42" s="61">
        <v>0</v>
      </c>
      <c r="FF42" s="61">
        <v>0</v>
      </c>
      <c r="FG42" s="61">
        <v>0</v>
      </c>
      <c r="FH42" s="61">
        <v>0</v>
      </c>
      <c r="FI42" s="61">
        <v>0</v>
      </c>
      <c r="FJ42" s="61">
        <v>0</v>
      </c>
      <c r="FK42" s="61">
        <v>0</v>
      </c>
      <c r="FL42" s="61">
        <v>0</v>
      </c>
      <c r="FM42" s="61">
        <v>0</v>
      </c>
      <c r="FN42" s="61">
        <v>0</v>
      </c>
      <c r="FO42" s="61">
        <v>0</v>
      </c>
      <c r="FP42" s="61">
        <v>0</v>
      </c>
      <c r="FQ42" s="61">
        <v>0</v>
      </c>
      <c r="FR42" s="61">
        <v>0</v>
      </c>
      <c r="FS42" s="61">
        <v>0</v>
      </c>
      <c r="FT42" s="61">
        <v>0</v>
      </c>
      <c r="FU42" s="61">
        <v>0</v>
      </c>
      <c r="FV42" s="63">
        <v>0</v>
      </c>
      <c r="FW42" s="63">
        <v>0</v>
      </c>
      <c r="FX42" s="63">
        <v>0</v>
      </c>
      <c r="FY42" s="63">
        <v>0</v>
      </c>
      <c r="FZ42" s="63">
        <v>0</v>
      </c>
      <c r="GA42" s="63">
        <v>0</v>
      </c>
      <c r="GB42" s="63">
        <v>0</v>
      </c>
      <c r="GC42" s="63">
        <v>0</v>
      </c>
      <c r="GD42" s="63">
        <v>0</v>
      </c>
      <c r="GE42" s="63">
        <v>0</v>
      </c>
      <c r="GF42" s="63">
        <v>0</v>
      </c>
      <c r="GG42" s="63">
        <v>0</v>
      </c>
      <c r="GH42" s="63">
        <v>0</v>
      </c>
      <c r="GI42" s="63">
        <v>0</v>
      </c>
      <c r="GJ42" s="63">
        <v>0</v>
      </c>
      <c r="GK42" s="63">
        <v>0</v>
      </c>
      <c r="GL42" s="63">
        <v>0</v>
      </c>
      <c r="GM42" s="63">
        <v>0</v>
      </c>
      <c r="GN42" s="63">
        <v>0</v>
      </c>
      <c r="GO42" s="63">
        <v>0</v>
      </c>
      <c r="GP42" s="63">
        <v>0</v>
      </c>
      <c r="GQ42" s="63">
        <v>0</v>
      </c>
      <c r="GR42" s="63">
        <v>0</v>
      </c>
      <c r="GS42" s="63">
        <v>0</v>
      </c>
      <c r="GT42" s="63">
        <v>0</v>
      </c>
      <c r="GU42" s="63">
        <v>0</v>
      </c>
      <c r="GV42" s="63">
        <v>0</v>
      </c>
      <c r="GW42" s="63">
        <v>0</v>
      </c>
      <c r="GX42" s="63">
        <v>0</v>
      </c>
      <c r="GY42" s="63">
        <v>0</v>
      </c>
      <c r="GZ42" s="63">
        <v>0</v>
      </c>
      <c r="HA42" s="63">
        <v>0</v>
      </c>
      <c r="HB42" s="63">
        <v>0</v>
      </c>
      <c r="HC42" s="63">
        <v>0</v>
      </c>
      <c r="HD42" s="63">
        <v>0</v>
      </c>
      <c r="HE42" s="63">
        <v>0</v>
      </c>
      <c r="HF42" s="63">
        <v>0</v>
      </c>
      <c r="HG42" s="63">
        <v>0</v>
      </c>
      <c r="HH42" s="63"/>
      <c r="HI42" s="63"/>
      <c r="HJ42" s="63">
        <v>1139</v>
      </c>
      <c r="HK42" s="63">
        <f>SUM(C$4:HI$4)</f>
        <v>215</v>
      </c>
      <c r="HL42" s="61">
        <f>SUM(C42:HI42)</f>
        <v>23</v>
      </c>
      <c r="HM42" s="67">
        <f t="shared" si="1"/>
        <v>10.697674418604651</v>
      </c>
      <c r="HN42" s="67"/>
      <c r="HO42" s="68">
        <v>0.27</v>
      </c>
      <c r="HP42" s="68">
        <v>0.4</v>
      </c>
      <c r="HQ42" s="61">
        <v>0.36</v>
      </c>
    </row>
    <row r="43" spans="2:227" x14ac:dyDescent="0.3">
      <c r="B43" s="61" t="s">
        <v>7275</v>
      </c>
      <c r="C43" s="61">
        <v>0</v>
      </c>
      <c r="D43" s="61">
        <v>0</v>
      </c>
      <c r="E43" s="61">
        <v>0</v>
      </c>
      <c r="F43" s="61">
        <v>0</v>
      </c>
      <c r="G43" s="61">
        <v>0</v>
      </c>
      <c r="H43" s="61">
        <v>0</v>
      </c>
      <c r="I43" s="61">
        <v>0</v>
      </c>
      <c r="J43" s="61">
        <v>0</v>
      </c>
      <c r="K43" s="61">
        <v>0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0</v>
      </c>
      <c r="V43" s="61">
        <v>0</v>
      </c>
      <c r="W43" s="61">
        <v>0</v>
      </c>
      <c r="X43" s="61">
        <v>0</v>
      </c>
      <c r="Y43" s="61">
        <v>0</v>
      </c>
      <c r="Z43" s="61">
        <v>0</v>
      </c>
      <c r="AA43" s="61">
        <v>0</v>
      </c>
      <c r="AB43" s="61">
        <v>0</v>
      </c>
      <c r="AC43" s="61">
        <v>0</v>
      </c>
      <c r="AD43" s="61">
        <v>0</v>
      </c>
      <c r="AE43" s="61">
        <v>0</v>
      </c>
      <c r="AF43" s="61">
        <v>0</v>
      </c>
      <c r="AG43" s="61">
        <v>0</v>
      </c>
      <c r="AH43" s="61">
        <v>0</v>
      </c>
      <c r="AI43" s="61">
        <v>0</v>
      </c>
      <c r="AJ43" s="61">
        <v>0</v>
      </c>
      <c r="AK43" s="61">
        <v>0</v>
      </c>
      <c r="AL43" s="61">
        <v>0</v>
      </c>
      <c r="AM43" s="61">
        <v>0</v>
      </c>
      <c r="AN43" s="61">
        <v>0</v>
      </c>
      <c r="AO43" s="61">
        <v>0</v>
      </c>
      <c r="AP43" s="61">
        <v>0</v>
      </c>
      <c r="AQ43" s="61">
        <v>0</v>
      </c>
      <c r="AR43" s="61">
        <v>0</v>
      </c>
      <c r="AS43" s="61">
        <v>0</v>
      </c>
      <c r="AT43" s="61">
        <v>0</v>
      </c>
      <c r="AU43" s="61">
        <v>0</v>
      </c>
      <c r="AV43" s="61">
        <v>0</v>
      </c>
      <c r="AW43" s="61">
        <v>0</v>
      </c>
      <c r="AX43" s="61">
        <v>0</v>
      </c>
      <c r="AY43" s="61">
        <v>0</v>
      </c>
      <c r="AZ43" s="61">
        <v>0</v>
      </c>
      <c r="BA43" s="61">
        <v>0</v>
      </c>
      <c r="BB43" s="61">
        <v>0</v>
      </c>
      <c r="BC43" s="61">
        <v>0</v>
      </c>
      <c r="BD43" s="61">
        <v>0</v>
      </c>
      <c r="BE43" s="61">
        <v>0</v>
      </c>
      <c r="BF43" s="61">
        <v>0</v>
      </c>
      <c r="BG43" s="61">
        <v>0</v>
      </c>
      <c r="BH43" s="61">
        <v>0</v>
      </c>
      <c r="BI43" s="61">
        <v>0</v>
      </c>
      <c r="BJ43" s="61">
        <v>0</v>
      </c>
      <c r="BK43" s="61">
        <v>0</v>
      </c>
      <c r="BL43" s="61">
        <v>0</v>
      </c>
      <c r="BM43" s="61">
        <v>0</v>
      </c>
      <c r="BN43" s="61">
        <v>0</v>
      </c>
      <c r="BO43" s="61">
        <v>0</v>
      </c>
      <c r="BP43" s="61">
        <v>0</v>
      </c>
      <c r="BQ43" s="61">
        <v>0</v>
      </c>
      <c r="BR43" s="61">
        <v>0</v>
      </c>
      <c r="BS43" s="61">
        <v>0</v>
      </c>
      <c r="BT43" s="61">
        <v>0</v>
      </c>
      <c r="BU43" s="61">
        <v>0</v>
      </c>
      <c r="BV43" s="61">
        <v>0</v>
      </c>
      <c r="BW43" s="61">
        <v>0</v>
      </c>
      <c r="BX43" s="61">
        <v>0</v>
      </c>
      <c r="BY43" s="61">
        <v>0</v>
      </c>
      <c r="BZ43" s="61">
        <v>0</v>
      </c>
      <c r="CA43" s="61">
        <v>0</v>
      </c>
      <c r="CB43" s="61">
        <v>0</v>
      </c>
      <c r="CC43" s="65">
        <v>0</v>
      </c>
      <c r="CD43" s="61">
        <v>0</v>
      </c>
      <c r="CE43" s="61">
        <v>0</v>
      </c>
      <c r="CF43" s="61">
        <v>0</v>
      </c>
      <c r="CG43" s="61">
        <v>0</v>
      </c>
      <c r="CH43" s="61">
        <v>0</v>
      </c>
      <c r="CI43" s="61">
        <v>0</v>
      </c>
      <c r="CJ43" s="61">
        <v>0</v>
      </c>
      <c r="CK43" s="61">
        <v>0</v>
      </c>
      <c r="CL43" s="61">
        <v>0</v>
      </c>
      <c r="CM43" s="61">
        <v>0</v>
      </c>
      <c r="CN43" s="61">
        <v>0</v>
      </c>
      <c r="CO43" s="61">
        <v>0</v>
      </c>
      <c r="CP43" s="61">
        <v>0</v>
      </c>
      <c r="CQ43" s="61">
        <v>0</v>
      </c>
      <c r="CR43" s="61">
        <v>0</v>
      </c>
      <c r="CS43" s="61">
        <v>0</v>
      </c>
      <c r="CT43" s="61">
        <v>0</v>
      </c>
      <c r="CU43" s="61">
        <v>0</v>
      </c>
      <c r="CV43" s="61">
        <v>0</v>
      </c>
      <c r="CW43" s="61">
        <v>0</v>
      </c>
      <c r="CX43" s="61">
        <v>0</v>
      </c>
      <c r="CY43" s="61">
        <v>0</v>
      </c>
      <c r="CZ43" s="61">
        <v>0</v>
      </c>
      <c r="DA43" s="61">
        <v>0</v>
      </c>
      <c r="DB43" s="61">
        <v>0</v>
      </c>
      <c r="DC43" s="61">
        <v>0</v>
      </c>
      <c r="DD43" s="61">
        <v>0</v>
      </c>
      <c r="DE43" s="61">
        <v>0</v>
      </c>
      <c r="DF43" s="61">
        <v>0</v>
      </c>
      <c r="DG43" s="61">
        <v>0</v>
      </c>
      <c r="DH43" s="61">
        <v>0</v>
      </c>
      <c r="DI43" s="61">
        <v>0</v>
      </c>
      <c r="DJ43" s="61">
        <v>0</v>
      </c>
      <c r="DK43" s="61">
        <v>0</v>
      </c>
      <c r="DL43" s="61">
        <v>0</v>
      </c>
      <c r="DM43" s="61">
        <v>0</v>
      </c>
      <c r="DN43" s="61">
        <v>0</v>
      </c>
      <c r="DO43" s="61">
        <v>0</v>
      </c>
      <c r="DP43" s="61">
        <v>0</v>
      </c>
      <c r="DQ43" s="61">
        <v>0</v>
      </c>
      <c r="DR43" s="61">
        <v>0</v>
      </c>
      <c r="DS43" s="61">
        <v>0</v>
      </c>
      <c r="DT43" s="61">
        <v>0</v>
      </c>
      <c r="DU43" s="61">
        <v>0</v>
      </c>
      <c r="DV43" s="61">
        <v>0</v>
      </c>
      <c r="DW43" s="61">
        <v>0</v>
      </c>
      <c r="DX43" s="61">
        <v>0</v>
      </c>
      <c r="DY43" s="61">
        <v>0</v>
      </c>
      <c r="DZ43" s="61">
        <v>0</v>
      </c>
      <c r="EA43" s="61">
        <v>0</v>
      </c>
      <c r="EB43" s="61">
        <v>0</v>
      </c>
      <c r="EC43" s="61">
        <v>0</v>
      </c>
      <c r="ED43" s="61">
        <v>0</v>
      </c>
      <c r="EE43" s="61">
        <v>0</v>
      </c>
      <c r="EF43" s="66">
        <v>1</v>
      </c>
      <c r="EG43" s="66">
        <v>1</v>
      </c>
      <c r="EH43" s="66">
        <v>1</v>
      </c>
      <c r="EI43" s="66">
        <v>1</v>
      </c>
      <c r="EJ43" s="66">
        <v>1</v>
      </c>
      <c r="EK43" s="66">
        <v>1</v>
      </c>
      <c r="EL43" s="66">
        <v>1</v>
      </c>
      <c r="EM43" s="66">
        <v>1</v>
      </c>
      <c r="EN43" s="66">
        <v>1</v>
      </c>
      <c r="EO43" s="66">
        <v>1</v>
      </c>
      <c r="EP43" s="66">
        <v>1</v>
      </c>
      <c r="EQ43" s="66">
        <v>1</v>
      </c>
      <c r="ER43" s="66">
        <v>1</v>
      </c>
      <c r="ES43" s="66">
        <v>1</v>
      </c>
      <c r="ET43" s="66">
        <v>1</v>
      </c>
      <c r="EU43" s="66">
        <v>1</v>
      </c>
      <c r="EV43" s="66">
        <v>1</v>
      </c>
      <c r="EW43" s="66">
        <v>1</v>
      </c>
      <c r="EX43" s="66">
        <v>1</v>
      </c>
      <c r="EY43" s="66">
        <v>1</v>
      </c>
      <c r="EZ43" s="66">
        <v>1</v>
      </c>
      <c r="FA43" s="66">
        <v>1</v>
      </c>
      <c r="FB43" s="66">
        <v>1</v>
      </c>
      <c r="FC43" s="66">
        <v>1</v>
      </c>
      <c r="FD43" s="66">
        <v>1</v>
      </c>
      <c r="FE43" s="66">
        <v>1</v>
      </c>
      <c r="FF43" s="61">
        <v>0</v>
      </c>
      <c r="FG43" s="61">
        <v>0</v>
      </c>
      <c r="FH43" s="61">
        <v>0</v>
      </c>
      <c r="FI43" s="61">
        <v>0</v>
      </c>
      <c r="FJ43" s="61">
        <v>0</v>
      </c>
      <c r="FK43" s="61">
        <v>0</v>
      </c>
      <c r="FL43" s="61">
        <v>0</v>
      </c>
      <c r="FM43" s="61">
        <v>0</v>
      </c>
      <c r="FN43" s="61">
        <v>0</v>
      </c>
      <c r="FO43" s="61">
        <v>0</v>
      </c>
      <c r="FP43" s="61">
        <v>0</v>
      </c>
      <c r="FQ43" s="61">
        <v>0</v>
      </c>
      <c r="FR43" s="61">
        <v>0</v>
      </c>
      <c r="FS43" s="61">
        <v>0</v>
      </c>
      <c r="FT43" s="61">
        <v>0</v>
      </c>
      <c r="FU43" s="61">
        <v>0</v>
      </c>
      <c r="FV43" s="63">
        <v>0</v>
      </c>
      <c r="FW43" s="63">
        <v>0</v>
      </c>
      <c r="FX43" s="63">
        <v>0</v>
      </c>
      <c r="FY43" s="63">
        <v>0</v>
      </c>
      <c r="FZ43" s="63">
        <v>0</v>
      </c>
      <c r="GA43" s="63">
        <v>0</v>
      </c>
      <c r="GB43" s="66">
        <v>1</v>
      </c>
      <c r="GC43" s="66">
        <v>1</v>
      </c>
      <c r="GD43" s="66">
        <v>1</v>
      </c>
      <c r="GE43" s="63">
        <v>0</v>
      </c>
      <c r="GF43" s="63">
        <v>0</v>
      </c>
      <c r="GG43" s="66">
        <v>1</v>
      </c>
      <c r="GH43" s="63">
        <v>0</v>
      </c>
      <c r="GI43" s="63">
        <v>0</v>
      </c>
      <c r="GJ43" s="63">
        <v>0</v>
      </c>
      <c r="GK43" s="63">
        <v>0</v>
      </c>
      <c r="GL43" s="63">
        <v>0</v>
      </c>
      <c r="GM43" s="63">
        <v>0</v>
      </c>
      <c r="GN43" s="63">
        <v>0</v>
      </c>
      <c r="GO43" s="63">
        <v>0</v>
      </c>
      <c r="GP43" s="63">
        <v>0</v>
      </c>
      <c r="GQ43" s="63">
        <v>0</v>
      </c>
      <c r="GR43" s="63">
        <v>0</v>
      </c>
      <c r="GS43" s="63">
        <v>0</v>
      </c>
      <c r="GT43" s="63">
        <v>0</v>
      </c>
      <c r="GU43" s="63">
        <v>0</v>
      </c>
      <c r="GV43" s="63">
        <v>0</v>
      </c>
      <c r="GW43" s="63">
        <v>0</v>
      </c>
      <c r="GX43" s="63">
        <v>0</v>
      </c>
      <c r="GY43" s="63">
        <v>0</v>
      </c>
      <c r="GZ43" s="63">
        <v>0</v>
      </c>
      <c r="HA43" s="63">
        <v>0</v>
      </c>
      <c r="HB43" s="63">
        <v>0</v>
      </c>
      <c r="HC43" s="63">
        <v>0</v>
      </c>
      <c r="HD43" s="63">
        <v>0</v>
      </c>
      <c r="HE43" s="63">
        <v>0</v>
      </c>
      <c r="HF43" s="63">
        <v>0</v>
      </c>
      <c r="HG43" s="63">
        <v>0</v>
      </c>
      <c r="HH43" s="63"/>
      <c r="HI43" s="63"/>
      <c r="HJ43" s="63">
        <v>1878</v>
      </c>
      <c r="HK43" s="63">
        <f>SUM(CC$4:HI$4)</f>
        <v>137</v>
      </c>
      <c r="HL43" s="61">
        <f>SUM(CC43:HI43)</f>
        <v>30</v>
      </c>
      <c r="HM43" s="67">
        <f t="shared" si="1"/>
        <v>21.897810218978101</v>
      </c>
      <c r="HN43" s="67"/>
      <c r="HO43" s="68">
        <v>0.8</v>
      </c>
      <c r="HP43" s="68">
        <v>0.3</v>
      </c>
      <c r="HQ43" s="61">
        <v>0.19</v>
      </c>
    </row>
    <row r="44" spans="2:227" x14ac:dyDescent="0.3">
      <c r="B44" s="61" t="s">
        <v>7276</v>
      </c>
      <c r="C44" s="61">
        <v>0</v>
      </c>
      <c r="D44" s="61">
        <v>0</v>
      </c>
      <c r="E44" s="61">
        <v>0</v>
      </c>
      <c r="F44" s="61">
        <v>0</v>
      </c>
      <c r="G44" s="61">
        <v>0</v>
      </c>
      <c r="H44" s="61">
        <v>0</v>
      </c>
      <c r="I44" s="61">
        <v>0</v>
      </c>
      <c r="J44" s="61">
        <v>0</v>
      </c>
      <c r="K44" s="61">
        <v>0</v>
      </c>
      <c r="L44" s="61">
        <v>0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  <c r="V44" s="61">
        <v>0</v>
      </c>
      <c r="W44" s="61">
        <v>0</v>
      </c>
      <c r="X44" s="61">
        <v>0</v>
      </c>
      <c r="Y44" s="61">
        <v>0</v>
      </c>
      <c r="Z44" s="61">
        <v>0</v>
      </c>
      <c r="AA44" s="61">
        <v>0</v>
      </c>
      <c r="AB44" s="61">
        <v>0</v>
      </c>
      <c r="AC44" s="61">
        <v>0</v>
      </c>
      <c r="AD44" s="61">
        <v>0</v>
      </c>
      <c r="AE44" s="61">
        <v>0</v>
      </c>
      <c r="AF44" s="61">
        <v>0</v>
      </c>
      <c r="AG44" s="61">
        <v>0</v>
      </c>
      <c r="AH44" s="61">
        <v>0</v>
      </c>
      <c r="AI44" s="61">
        <v>0</v>
      </c>
      <c r="AJ44" s="61">
        <v>0</v>
      </c>
      <c r="AK44" s="61">
        <v>0</v>
      </c>
      <c r="AL44" s="61">
        <v>0</v>
      </c>
      <c r="AM44" s="61">
        <v>0</v>
      </c>
      <c r="AN44" s="61">
        <v>0</v>
      </c>
      <c r="AO44" s="61">
        <v>0</v>
      </c>
      <c r="AP44" s="66">
        <v>1</v>
      </c>
      <c r="AQ44" s="61">
        <v>0</v>
      </c>
      <c r="AR44" s="61">
        <v>0</v>
      </c>
      <c r="AS44" s="61">
        <v>0</v>
      </c>
      <c r="AT44" s="61">
        <v>0</v>
      </c>
      <c r="AU44" s="61">
        <v>0</v>
      </c>
      <c r="AV44" s="61">
        <v>0</v>
      </c>
      <c r="AW44" s="61">
        <v>0</v>
      </c>
      <c r="AX44" s="61">
        <v>0</v>
      </c>
      <c r="AY44" s="61">
        <v>0</v>
      </c>
      <c r="AZ44" s="61">
        <v>0</v>
      </c>
      <c r="BA44" s="61">
        <v>0</v>
      </c>
      <c r="BB44" s="61">
        <v>0</v>
      </c>
      <c r="BC44" s="61">
        <v>0</v>
      </c>
      <c r="BD44" s="61">
        <v>0</v>
      </c>
      <c r="BE44" s="61">
        <v>0</v>
      </c>
      <c r="BF44" s="61">
        <v>0</v>
      </c>
      <c r="BG44" s="61">
        <v>0</v>
      </c>
      <c r="BH44" s="61">
        <v>0</v>
      </c>
      <c r="BI44" s="61">
        <v>0</v>
      </c>
      <c r="BJ44" s="61">
        <v>0</v>
      </c>
      <c r="BK44" s="61">
        <v>0</v>
      </c>
      <c r="BL44" s="61">
        <v>0</v>
      </c>
      <c r="BM44" s="61">
        <v>0</v>
      </c>
      <c r="BN44" s="61">
        <v>0</v>
      </c>
      <c r="BO44" s="61">
        <v>0</v>
      </c>
      <c r="BP44" s="61">
        <v>0</v>
      </c>
      <c r="BQ44" s="61">
        <v>0</v>
      </c>
      <c r="BR44" s="61">
        <v>0</v>
      </c>
      <c r="BS44" s="61">
        <v>0</v>
      </c>
      <c r="BT44" s="61">
        <v>0</v>
      </c>
      <c r="BU44" s="61">
        <v>0</v>
      </c>
      <c r="BV44" s="61">
        <v>0</v>
      </c>
      <c r="BW44" s="61">
        <v>0</v>
      </c>
      <c r="BX44" s="61">
        <v>0</v>
      </c>
      <c r="BY44" s="61">
        <v>0</v>
      </c>
      <c r="BZ44" s="61">
        <v>0</v>
      </c>
      <c r="CA44" s="61">
        <v>0</v>
      </c>
      <c r="CB44" s="61">
        <v>0</v>
      </c>
      <c r="CC44" s="61">
        <v>0</v>
      </c>
      <c r="CD44" s="61">
        <v>0</v>
      </c>
      <c r="CE44" s="61">
        <v>0</v>
      </c>
      <c r="CF44" s="61">
        <v>0</v>
      </c>
      <c r="CG44" s="61">
        <v>0</v>
      </c>
      <c r="CH44" s="61">
        <v>0</v>
      </c>
      <c r="CI44" s="61">
        <v>0</v>
      </c>
      <c r="CJ44" s="66">
        <v>1</v>
      </c>
      <c r="CK44" s="61">
        <v>0</v>
      </c>
      <c r="CL44" s="61">
        <v>0</v>
      </c>
      <c r="CM44" s="61">
        <v>0</v>
      </c>
      <c r="CN44" s="61">
        <v>0</v>
      </c>
      <c r="CO44" s="61">
        <v>0</v>
      </c>
      <c r="CP44" s="61">
        <v>0</v>
      </c>
      <c r="CQ44" s="61">
        <v>0</v>
      </c>
      <c r="CR44" s="61">
        <v>0</v>
      </c>
      <c r="CS44" s="61">
        <v>0</v>
      </c>
      <c r="CT44" s="61">
        <v>0</v>
      </c>
      <c r="CU44" s="61">
        <v>0</v>
      </c>
      <c r="CV44" s="61">
        <v>0</v>
      </c>
      <c r="CW44" s="61">
        <v>0</v>
      </c>
      <c r="CX44" s="61">
        <v>0</v>
      </c>
      <c r="CY44" s="61">
        <v>0</v>
      </c>
      <c r="CZ44" s="61">
        <v>0</v>
      </c>
      <c r="DA44" s="61">
        <v>0</v>
      </c>
      <c r="DB44" s="61">
        <v>0</v>
      </c>
      <c r="DC44" s="61">
        <v>0</v>
      </c>
      <c r="DD44" s="61">
        <v>0</v>
      </c>
      <c r="DE44" s="61">
        <v>0</v>
      </c>
      <c r="DF44" s="61">
        <v>0</v>
      </c>
      <c r="DG44" s="61">
        <v>0</v>
      </c>
      <c r="DH44" s="61">
        <v>0</v>
      </c>
      <c r="DI44" s="61">
        <v>0</v>
      </c>
      <c r="DJ44" s="61">
        <v>0</v>
      </c>
      <c r="DK44" s="61">
        <v>0</v>
      </c>
      <c r="DL44" s="61">
        <v>0</v>
      </c>
      <c r="DM44" s="61">
        <v>0</v>
      </c>
      <c r="DN44" s="61">
        <v>0</v>
      </c>
      <c r="DO44" s="61">
        <v>0</v>
      </c>
      <c r="DP44" s="61">
        <v>0</v>
      </c>
      <c r="DQ44" s="66">
        <v>1</v>
      </c>
      <c r="DR44" s="66">
        <v>1</v>
      </c>
      <c r="DS44" s="66">
        <v>1</v>
      </c>
      <c r="DT44" s="66">
        <v>1</v>
      </c>
      <c r="DU44" s="66">
        <v>1</v>
      </c>
      <c r="DV44" s="66">
        <v>1</v>
      </c>
      <c r="DW44" s="66">
        <v>1</v>
      </c>
      <c r="DX44" s="66">
        <v>1</v>
      </c>
      <c r="DY44" s="66">
        <v>1</v>
      </c>
      <c r="DZ44" s="66">
        <v>1</v>
      </c>
      <c r="EA44" s="66">
        <v>1</v>
      </c>
      <c r="EB44" s="66">
        <v>1</v>
      </c>
      <c r="EC44" s="66">
        <v>1</v>
      </c>
      <c r="ED44" s="66">
        <v>1</v>
      </c>
      <c r="EE44" s="66">
        <v>1</v>
      </c>
      <c r="EF44" s="66">
        <v>1</v>
      </c>
      <c r="EG44" s="66">
        <v>1</v>
      </c>
      <c r="EH44" s="66">
        <v>1</v>
      </c>
      <c r="EI44" s="66">
        <v>1</v>
      </c>
      <c r="EJ44" s="66">
        <v>1</v>
      </c>
      <c r="EK44" s="66">
        <v>1</v>
      </c>
      <c r="EL44" s="66">
        <v>1</v>
      </c>
      <c r="EM44" s="66">
        <v>1</v>
      </c>
      <c r="EN44" s="66">
        <v>1</v>
      </c>
      <c r="EO44" s="66">
        <v>1</v>
      </c>
      <c r="EP44" s="66">
        <v>1</v>
      </c>
      <c r="EQ44" s="66">
        <v>1</v>
      </c>
      <c r="ER44" s="66">
        <v>1</v>
      </c>
      <c r="ES44" s="66">
        <v>1</v>
      </c>
      <c r="ET44" s="66">
        <v>1</v>
      </c>
      <c r="EU44" s="66">
        <v>1</v>
      </c>
      <c r="EV44" s="66">
        <v>1</v>
      </c>
      <c r="EW44" s="66">
        <v>1</v>
      </c>
      <c r="EX44" s="66">
        <v>1</v>
      </c>
      <c r="EY44" s="66">
        <v>1</v>
      </c>
      <c r="EZ44" s="66">
        <v>1</v>
      </c>
      <c r="FA44" s="66">
        <v>1</v>
      </c>
      <c r="FB44" s="66">
        <v>1</v>
      </c>
      <c r="FC44" s="66">
        <v>1</v>
      </c>
      <c r="FD44" s="66">
        <v>1</v>
      </c>
      <c r="FE44" s="66">
        <v>1</v>
      </c>
      <c r="FF44" s="66">
        <v>1</v>
      </c>
      <c r="FG44" s="66">
        <v>1</v>
      </c>
      <c r="FH44" s="66">
        <v>1</v>
      </c>
      <c r="FI44" s="66">
        <v>1</v>
      </c>
      <c r="FJ44" s="66">
        <v>1</v>
      </c>
      <c r="FK44" s="66">
        <v>1</v>
      </c>
      <c r="FL44" s="66">
        <v>1</v>
      </c>
      <c r="FM44" s="66">
        <v>1</v>
      </c>
      <c r="FN44" s="66">
        <v>1</v>
      </c>
      <c r="FO44" s="66">
        <v>1</v>
      </c>
      <c r="FP44" s="66">
        <v>1</v>
      </c>
      <c r="FQ44" s="66">
        <v>1</v>
      </c>
      <c r="FR44" s="66">
        <v>1</v>
      </c>
      <c r="FS44" s="66">
        <v>1</v>
      </c>
      <c r="FT44" s="66">
        <v>1</v>
      </c>
      <c r="FU44" s="66">
        <v>1</v>
      </c>
      <c r="FV44" s="66">
        <v>1</v>
      </c>
      <c r="FW44" s="66">
        <v>1</v>
      </c>
      <c r="FX44" s="66">
        <v>1</v>
      </c>
      <c r="FY44" s="66">
        <v>1</v>
      </c>
      <c r="FZ44" s="66">
        <v>1</v>
      </c>
      <c r="GA44" s="66">
        <v>1</v>
      </c>
      <c r="GB44" s="66">
        <v>1</v>
      </c>
      <c r="GC44" s="66">
        <v>1</v>
      </c>
      <c r="GD44" s="66">
        <v>1</v>
      </c>
      <c r="GE44" s="66">
        <v>1</v>
      </c>
      <c r="GF44" s="66">
        <v>1</v>
      </c>
      <c r="GG44" s="66">
        <v>1</v>
      </c>
      <c r="GH44" s="63">
        <v>0</v>
      </c>
      <c r="GI44" s="63">
        <v>0</v>
      </c>
      <c r="GJ44" s="63">
        <v>0</v>
      </c>
      <c r="GK44" s="63">
        <v>0</v>
      </c>
      <c r="GL44" s="66">
        <v>1</v>
      </c>
      <c r="GM44" s="66">
        <v>1</v>
      </c>
      <c r="GN44" s="66">
        <v>1</v>
      </c>
      <c r="GO44" s="66">
        <v>1</v>
      </c>
      <c r="GP44" s="66">
        <v>1</v>
      </c>
      <c r="GQ44" s="66">
        <v>1</v>
      </c>
      <c r="GR44" s="66">
        <v>1</v>
      </c>
      <c r="GS44" s="66">
        <v>1</v>
      </c>
      <c r="GT44" s="66">
        <v>1</v>
      </c>
      <c r="GU44" s="66">
        <v>1</v>
      </c>
      <c r="GV44" s="63">
        <v>0</v>
      </c>
      <c r="GW44" s="63">
        <v>0</v>
      </c>
      <c r="GX44" s="63">
        <v>0</v>
      </c>
      <c r="GY44" s="63">
        <v>0</v>
      </c>
      <c r="GZ44" s="63">
        <v>0</v>
      </c>
      <c r="HA44" s="63">
        <v>0</v>
      </c>
      <c r="HB44" s="63">
        <v>0</v>
      </c>
      <c r="HC44" s="63">
        <v>0</v>
      </c>
      <c r="HD44" s="63">
        <v>0</v>
      </c>
      <c r="HE44" s="63">
        <v>0</v>
      </c>
      <c r="HF44" s="63">
        <v>0</v>
      </c>
      <c r="HG44" s="63">
        <v>0</v>
      </c>
      <c r="HH44" s="63"/>
      <c r="HI44" s="63"/>
      <c r="HJ44" s="63">
        <v>1457</v>
      </c>
      <c r="HK44" s="63">
        <f>SUM(C$4:HI$4)</f>
        <v>215</v>
      </c>
      <c r="HL44" s="61">
        <f>SUM(C44:HI44)</f>
        <v>81</v>
      </c>
      <c r="HM44" s="67">
        <f t="shared" si="1"/>
        <v>37.674418604651166</v>
      </c>
      <c r="HN44" s="67"/>
      <c r="HO44" s="68">
        <v>8.5</v>
      </c>
      <c r="HP44" s="68">
        <v>4.25</v>
      </c>
      <c r="HQ44" s="61">
        <v>2.25</v>
      </c>
    </row>
    <row r="45" spans="2:227" x14ac:dyDescent="0.3">
      <c r="B45" s="63" t="s">
        <v>7277</v>
      </c>
      <c r="C45" s="61">
        <v>0</v>
      </c>
      <c r="D45" s="61">
        <v>0</v>
      </c>
      <c r="E45" s="61">
        <v>0</v>
      </c>
      <c r="F45" s="61">
        <v>0</v>
      </c>
      <c r="G45" s="61">
        <v>0</v>
      </c>
      <c r="H45" s="61">
        <v>0</v>
      </c>
      <c r="I45" s="61">
        <v>0</v>
      </c>
      <c r="J45" s="61">
        <v>0</v>
      </c>
      <c r="K45" s="61">
        <v>0</v>
      </c>
      <c r="L45" s="61">
        <v>0</v>
      </c>
      <c r="M45" s="61">
        <v>0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  <c r="V45" s="61">
        <v>0</v>
      </c>
      <c r="W45" s="66">
        <v>1</v>
      </c>
      <c r="X45" s="61">
        <v>0</v>
      </c>
      <c r="Y45" s="61">
        <v>0</v>
      </c>
      <c r="Z45" s="61">
        <v>0</v>
      </c>
      <c r="AA45" s="66">
        <v>1</v>
      </c>
      <c r="AB45" s="66">
        <v>1</v>
      </c>
      <c r="AC45" s="66">
        <v>1</v>
      </c>
      <c r="AD45" s="66">
        <v>1</v>
      </c>
      <c r="AE45" s="66">
        <v>1</v>
      </c>
      <c r="AF45" s="66">
        <v>1</v>
      </c>
      <c r="AG45" s="66">
        <v>1</v>
      </c>
      <c r="AH45" s="66">
        <v>1</v>
      </c>
      <c r="AI45" s="66">
        <v>1</v>
      </c>
      <c r="AJ45" s="66">
        <v>1</v>
      </c>
      <c r="AK45" s="66">
        <v>1</v>
      </c>
      <c r="AL45" s="61">
        <v>0</v>
      </c>
      <c r="AM45" s="61">
        <v>0</v>
      </c>
      <c r="AN45" s="66">
        <v>1</v>
      </c>
      <c r="AO45" s="66">
        <v>1</v>
      </c>
      <c r="AP45" s="66">
        <v>1</v>
      </c>
      <c r="AQ45" s="66">
        <v>1</v>
      </c>
      <c r="AR45" s="66">
        <v>1</v>
      </c>
      <c r="AS45" s="66">
        <v>1</v>
      </c>
      <c r="AT45" s="66">
        <v>1</v>
      </c>
      <c r="AU45" s="66">
        <v>1</v>
      </c>
      <c r="AV45" s="66">
        <v>1</v>
      </c>
      <c r="AW45" s="66">
        <v>1</v>
      </c>
      <c r="AX45" s="66">
        <v>1</v>
      </c>
      <c r="AY45" s="66">
        <v>1</v>
      </c>
      <c r="AZ45" s="66">
        <v>1</v>
      </c>
      <c r="BA45" s="66">
        <v>1</v>
      </c>
      <c r="BB45" s="66">
        <v>1</v>
      </c>
      <c r="BC45" s="66">
        <v>1</v>
      </c>
      <c r="BD45" s="66">
        <v>1</v>
      </c>
      <c r="BE45" s="66">
        <v>1</v>
      </c>
      <c r="BF45" s="66">
        <v>1</v>
      </c>
      <c r="BG45" s="66">
        <v>1</v>
      </c>
      <c r="BH45" s="66">
        <v>1</v>
      </c>
      <c r="BI45" s="66">
        <v>1</v>
      </c>
      <c r="BJ45" s="66">
        <v>1</v>
      </c>
      <c r="BK45" s="66">
        <v>1</v>
      </c>
      <c r="BL45" s="66">
        <v>1</v>
      </c>
      <c r="BM45" s="66">
        <v>1</v>
      </c>
      <c r="BN45" s="66">
        <v>1</v>
      </c>
      <c r="BO45" s="66">
        <v>1</v>
      </c>
      <c r="BP45" s="66">
        <v>1</v>
      </c>
      <c r="BQ45" s="66">
        <v>1</v>
      </c>
      <c r="BR45" s="66">
        <v>1</v>
      </c>
      <c r="BS45" s="61">
        <v>0</v>
      </c>
      <c r="BT45" s="61">
        <v>0</v>
      </c>
      <c r="BU45" s="61">
        <v>0</v>
      </c>
      <c r="BV45" s="61">
        <v>0</v>
      </c>
      <c r="BW45" s="61">
        <v>0</v>
      </c>
      <c r="BX45" s="61">
        <v>0</v>
      </c>
      <c r="BY45" s="61">
        <v>0</v>
      </c>
      <c r="BZ45" s="61">
        <v>0</v>
      </c>
      <c r="CA45" s="61">
        <v>0</v>
      </c>
      <c r="CB45" s="66">
        <v>1</v>
      </c>
      <c r="CC45" s="66">
        <v>1</v>
      </c>
      <c r="CD45" s="66">
        <v>1</v>
      </c>
      <c r="CE45" s="66">
        <v>1</v>
      </c>
      <c r="CF45" s="66">
        <v>1</v>
      </c>
      <c r="CG45" s="66">
        <v>1</v>
      </c>
      <c r="CH45" s="61">
        <v>0</v>
      </c>
      <c r="CI45" s="61">
        <v>0</v>
      </c>
      <c r="CJ45" s="61">
        <v>0</v>
      </c>
      <c r="CK45" s="61">
        <v>0</v>
      </c>
      <c r="CL45" s="61">
        <v>0</v>
      </c>
      <c r="CM45" s="61">
        <v>0</v>
      </c>
      <c r="CN45" s="61">
        <v>0</v>
      </c>
      <c r="CO45" s="61">
        <v>0</v>
      </c>
      <c r="CP45" s="61">
        <v>0</v>
      </c>
      <c r="CQ45" s="61">
        <v>0</v>
      </c>
      <c r="CR45" s="61">
        <v>0</v>
      </c>
      <c r="CS45" s="61">
        <v>0</v>
      </c>
      <c r="CT45" s="61">
        <v>0</v>
      </c>
      <c r="CU45" s="61">
        <v>0</v>
      </c>
      <c r="CV45" s="61">
        <v>0</v>
      </c>
      <c r="CW45" s="61">
        <v>0</v>
      </c>
      <c r="CX45" s="61">
        <v>0</v>
      </c>
      <c r="CY45" s="61">
        <v>0</v>
      </c>
      <c r="CZ45" s="61">
        <v>0</v>
      </c>
      <c r="DA45" s="61">
        <v>0</v>
      </c>
      <c r="DB45" s="61">
        <v>0</v>
      </c>
      <c r="DC45" s="61">
        <v>0</v>
      </c>
      <c r="DD45" s="61">
        <v>0</v>
      </c>
      <c r="DE45" s="61">
        <v>0</v>
      </c>
      <c r="DF45" s="61">
        <v>0</v>
      </c>
      <c r="DG45" s="61">
        <v>0</v>
      </c>
      <c r="DH45" s="61">
        <v>0</v>
      </c>
      <c r="DI45" s="61">
        <v>0</v>
      </c>
      <c r="DJ45" s="61">
        <v>0</v>
      </c>
      <c r="DK45" s="61">
        <v>0</v>
      </c>
      <c r="DL45" s="61">
        <v>0</v>
      </c>
      <c r="DM45" s="61">
        <v>0</v>
      </c>
      <c r="DN45" s="61">
        <v>0</v>
      </c>
      <c r="DO45" s="61">
        <v>0</v>
      </c>
      <c r="DP45" s="61">
        <v>0</v>
      </c>
      <c r="DQ45" s="61">
        <v>0</v>
      </c>
      <c r="DR45" s="61">
        <v>0</v>
      </c>
      <c r="DS45" s="61">
        <v>0</v>
      </c>
      <c r="DT45" s="61">
        <v>0</v>
      </c>
      <c r="DU45" s="61">
        <v>0</v>
      </c>
      <c r="DV45" s="61">
        <v>0</v>
      </c>
      <c r="DW45" s="61">
        <v>0</v>
      </c>
      <c r="DX45" s="61">
        <v>0</v>
      </c>
      <c r="DY45" s="61">
        <v>0</v>
      </c>
      <c r="DZ45" s="61">
        <v>0</v>
      </c>
      <c r="EA45" s="61">
        <v>0</v>
      </c>
      <c r="EB45" s="61">
        <v>0</v>
      </c>
      <c r="EC45" s="61">
        <v>0</v>
      </c>
      <c r="ED45" s="61">
        <v>0</v>
      </c>
      <c r="EE45" s="61">
        <v>0</v>
      </c>
      <c r="EF45" s="61">
        <v>0</v>
      </c>
      <c r="EG45" s="61">
        <v>0</v>
      </c>
      <c r="EH45" s="61">
        <v>0</v>
      </c>
      <c r="EI45" s="66">
        <v>1</v>
      </c>
      <c r="EJ45" s="61">
        <v>0</v>
      </c>
      <c r="EK45" s="61">
        <v>0</v>
      </c>
      <c r="EL45" s="61">
        <v>0</v>
      </c>
      <c r="EM45" s="61">
        <v>0</v>
      </c>
      <c r="EN45" s="61">
        <v>0</v>
      </c>
      <c r="EO45" s="61">
        <v>0</v>
      </c>
      <c r="EP45" s="61">
        <v>0</v>
      </c>
      <c r="EQ45" s="61">
        <v>0</v>
      </c>
      <c r="ER45" s="61">
        <v>0</v>
      </c>
      <c r="ES45" s="61">
        <v>0</v>
      </c>
      <c r="ET45" s="61">
        <v>0</v>
      </c>
      <c r="EU45" s="61">
        <v>0</v>
      </c>
      <c r="EV45" s="61">
        <v>0</v>
      </c>
      <c r="EW45" s="61">
        <v>0</v>
      </c>
      <c r="EX45" s="61">
        <v>0</v>
      </c>
      <c r="EY45" s="61">
        <v>0</v>
      </c>
      <c r="EZ45" s="61">
        <v>0</v>
      </c>
      <c r="FA45" s="61">
        <v>0</v>
      </c>
      <c r="FB45" s="61">
        <v>0</v>
      </c>
      <c r="FC45" s="61">
        <v>0</v>
      </c>
      <c r="FD45" s="61">
        <v>0</v>
      </c>
      <c r="FE45" s="61">
        <v>0</v>
      </c>
      <c r="FF45" s="61">
        <v>0</v>
      </c>
      <c r="FG45" s="61">
        <v>0</v>
      </c>
      <c r="FH45" s="61">
        <v>0</v>
      </c>
      <c r="FI45" s="61">
        <v>0</v>
      </c>
      <c r="FJ45" s="61">
        <v>0</v>
      </c>
      <c r="FK45" s="61">
        <v>0</v>
      </c>
      <c r="FL45" s="61">
        <v>0</v>
      </c>
      <c r="FM45" s="61">
        <v>0</v>
      </c>
      <c r="FN45" s="61">
        <v>0</v>
      </c>
      <c r="FO45" s="61">
        <v>0</v>
      </c>
      <c r="FP45" s="61">
        <v>0</v>
      </c>
      <c r="FQ45" s="61">
        <v>0</v>
      </c>
      <c r="FR45" s="61">
        <v>0</v>
      </c>
      <c r="FS45" s="61">
        <v>0</v>
      </c>
      <c r="FT45" s="61">
        <v>0</v>
      </c>
      <c r="FU45" s="61">
        <v>0</v>
      </c>
      <c r="FV45" s="63">
        <v>0</v>
      </c>
      <c r="FW45" s="63">
        <v>0</v>
      </c>
      <c r="FX45" s="63">
        <v>0</v>
      </c>
      <c r="FY45" s="63">
        <v>0</v>
      </c>
      <c r="FZ45" s="63">
        <v>0</v>
      </c>
      <c r="GA45" s="63">
        <v>0</v>
      </c>
      <c r="GB45" s="63">
        <v>0</v>
      </c>
      <c r="GC45" s="63">
        <v>0</v>
      </c>
      <c r="GD45" s="63">
        <v>0</v>
      </c>
      <c r="GE45" s="63">
        <v>0</v>
      </c>
      <c r="GF45" s="63">
        <v>0</v>
      </c>
      <c r="GG45" s="63">
        <v>0</v>
      </c>
      <c r="GH45" s="63">
        <v>0</v>
      </c>
      <c r="GI45" s="63">
        <v>0</v>
      </c>
      <c r="GJ45" s="63">
        <v>0</v>
      </c>
      <c r="GK45" s="63">
        <v>0</v>
      </c>
      <c r="GL45" s="63">
        <v>0</v>
      </c>
      <c r="GM45" s="63">
        <v>0</v>
      </c>
      <c r="GN45" s="63">
        <v>0</v>
      </c>
      <c r="GO45" s="63">
        <v>0</v>
      </c>
      <c r="GP45" s="63">
        <v>0</v>
      </c>
      <c r="GQ45" s="63">
        <v>0</v>
      </c>
      <c r="GR45" s="63">
        <v>0</v>
      </c>
      <c r="GS45" s="63">
        <v>0</v>
      </c>
      <c r="GT45" s="63">
        <v>0</v>
      </c>
      <c r="GU45" s="63">
        <v>0</v>
      </c>
      <c r="GV45" s="63">
        <v>0</v>
      </c>
      <c r="GW45" s="63">
        <v>0</v>
      </c>
      <c r="GX45" s="63">
        <v>0</v>
      </c>
      <c r="GY45" s="63">
        <v>0</v>
      </c>
      <c r="GZ45" s="63">
        <v>0</v>
      </c>
      <c r="HA45" s="63">
        <v>0</v>
      </c>
      <c r="HB45" s="63">
        <v>0</v>
      </c>
      <c r="HC45" s="63">
        <v>0</v>
      </c>
      <c r="HD45" s="63">
        <v>0</v>
      </c>
      <c r="HE45" s="63">
        <v>0</v>
      </c>
      <c r="HF45" s="63">
        <v>0</v>
      </c>
      <c r="HG45" s="63">
        <v>0</v>
      </c>
      <c r="HH45" s="63"/>
      <c r="HI45" s="63"/>
      <c r="HJ45" s="63">
        <v>1476</v>
      </c>
      <c r="HK45" s="63">
        <f>SUM(C$4:HI$4)</f>
        <v>215</v>
      </c>
      <c r="HL45" s="61">
        <f>SUM(C45:HI45)</f>
        <v>50</v>
      </c>
      <c r="HM45" s="67">
        <f t="shared" si="1"/>
        <v>23.255813953488371</v>
      </c>
      <c r="HN45" s="67"/>
      <c r="HO45" s="68">
        <v>1.52</v>
      </c>
      <c r="HP45" s="68">
        <v>1.75</v>
      </c>
      <c r="HQ45" s="61">
        <v>1.68</v>
      </c>
    </row>
    <row r="46" spans="2:227" x14ac:dyDescent="0.3">
      <c r="B46" s="61" t="s">
        <v>7278</v>
      </c>
      <c r="C46" s="61">
        <v>0</v>
      </c>
      <c r="D46" s="61">
        <v>0</v>
      </c>
      <c r="E46" s="61">
        <v>0</v>
      </c>
      <c r="F46" s="61">
        <v>0</v>
      </c>
      <c r="G46" s="61">
        <v>0</v>
      </c>
      <c r="H46" s="61">
        <v>0</v>
      </c>
      <c r="I46" s="61">
        <v>0</v>
      </c>
      <c r="J46" s="61">
        <v>0</v>
      </c>
      <c r="K46" s="61">
        <v>0</v>
      </c>
      <c r="L46" s="61">
        <v>0</v>
      </c>
      <c r="M46" s="61">
        <v>0</v>
      </c>
      <c r="N46" s="61">
        <v>0</v>
      </c>
      <c r="O46" s="66">
        <v>1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  <c r="V46" s="61">
        <v>0</v>
      </c>
      <c r="W46" s="61">
        <v>0</v>
      </c>
      <c r="X46" s="61">
        <v>0</v>
      </c>
      <c r="Y46" s="61">
        <v>0</v>
      </c>
      <c r="Z46" s="61">
        <v>0</v>
      </c>
      <c r="AA46" s="61">
        <v>0</v>
      </c>
      <c r="AB46" s="61">
        <v>0</v>
      </c>
      <c r="AC46" s="61">
        <v>0</v>
      </c>
      <c r="AD46" s="61">
        <v>0</v>
      </c>
      <c r="AE46" s="61">
        <v>0</v>
      </c>
      <c r="AF46" s="61">
        <v>0</v>
      </c>
      <c r="AG46" s="61">
        <v>0</v>
      </c>
      <c r="AH46" s="61">
        <v>0</v>
      </c>
      <c r="AI46" s="61">
        <v>0</v>
      </c>
      <c r="AJ46" s="61">
        <v>0</v>
      </c>
      <c r="AK46" s="61">
        <v>0</v>
      </c>
      <c r="AL46" s="61">
        <v>0</v>
      </c>
      <c r="AM46" s="61">
        <v>0</v>
      </c>
      <c r="AN46" s="61">
        <v>0</v>
      </c>
      <c r="AO46" s="61">
        <v>0</v>
      </c>
      <c r="AP46" s="61">
        <v>0</v>
      </c>
      <c r="AQ46" s="61">
        <v>0</v>
      </c>
      <c r="AR46" s="61">
        <v>0</v>
      </c>
      <c r="AS46" s="61">
        <v>0</v>
      </c>
      <c r="AT46" s="61">
        <v>0</v>
      </c>
      <c r="AU46" s="61">
        <v>0</v>
      </c>
      <c r="AV46" s="61">
        <v>0</v>
      </c>
      <c r="AW46" s="61">
        <v>0</v>
      </c>
      <c r="AX46" s="61">
        <v>0</v>
      </c>
      <c r="AY46" s="61">
        <v>0</v>
      </c>
      <c r="AZ46" s="61">
        <v>0</v>
      </c>
      <c r="BA46" s="61">
        <v>0</v>
      </c>
      <c r="BB46" s="61">
        <v>0</v>
      </c>
      <c r="BC46" s="61">
        <v>0</v>
      </c>
      <c r="BD46" s="61">
        <v>0</v>
      </c>
      <c r="BE46" s="61">
        <v>0</v>
      </c>
      <c r="BF46" s="61">
        <v>0</v>
      </c>
      <c r="BG46" s="61">
        <v>0</v>
      </c>
      <c r="BH46" s="61">
        <v>0</v>
      </c>
      <c r="BI46" s="61">
        <v>0</v>
      </c>
      <c r="BJ46" s="61">
        <v>0</v>
      </c>
      <c r="BK46" s="61">
        <v>0</v>
      </c>
      <c r="BL46" s="61">
        <v>0</v>
      </c>
      <c r="BM46" s="61">
        <v>0</v>
      </c>
      <c r="BN46" s="61">
        <v>0</v>
      </c>
      <c r="BO46" s="61">
        <v>0</v>
      </c>
      <c r="BP46" s="61">
        <v>0</v>
      </c>
      <c r="BQ46" s="61">
        <v>0</v>
      </c>
      <c r="BR46" s="61">
        <v>0</v>
      </c>
      <c r="BS46" s="61">
        <v>0</v>
      </c>
      <c r="BT46" s="61">
        <v>0</v>
      </c>
      <c r="BU46" s="61">
        <v>0</v>
      </c>
      <c r="BV46" s="61">
        <v>0</v>
      </c>
      <c r="BW46" s="61">
        <v>0</v>
      </c>
      <c r="BX46" s="61">
        <v>0</v>
      </c>
      <c r="BY46" s="61">
        <v>0</v>
      </c>
      <c r="BZ46" s="61">
        <v>0</v>
      </c>
      <c r="CA46" s="61">
        <v>0</v>
      </c>
      <c r="CB46" s="61">
        <v>0</v>
      </c>
      <c r="CC46" s="61">
        <v>0</v>
      </c>
      <c r="CD46" s="61">
        <v>0</v>
      </c>
      <c r="CE46" s="61">
        <v>0</v>
      </c>
      <c r="CF46" s="61">
        <v>0</v>
      </c>
      <c r="CG46" s="61">
        <v>0</v>
      </c>
      <c r="CH46" s="61">
        <v>0</v>
      </c>
      <c r="CI46" s="61">
        <v>0</v>
      </c>
      <c r="CJ46" s="61">
        <v>0</v>
      </c>
      <c r="CK46" s="61">
        <v>0</v>
      </c>
      <c r="CL46" s="61">
        <v>0</v>
      </c>
      <c r="CM46" s="61">
        <v>0</v>
      </c>
      <c r="CN46" s="61">
        <v>0</v>
      </c>
      <c r="CO46" s="61">
        <v>0</v>
      </c>
      <c r="CP46" s="61">
        <v>0</v>
      </c>
      <c r="CQ46" s="61">
        <v>0</v>
      </c>
      <c r="CR46" s="61">
        <v>0</v>
      </c>
      <c r="CS46" s="61">
        <v>0</v>
      </c>
      <c r="CT46" s="61">
        <v>0</v>
      </c>
      <c r="CU46" s="61">
        <v>0</v>
      </c>
      <c r="CV46" s="61">
        <v>0</v>
      </c>
      <c r="CW46" s="61">
        <v>0</v>
      </c>
      <c r="CX46" s="61">
        <v>0</v>
      </c>
      <c r="CY46" s="61">
        <v>0</v>
      </c>
      <c r="CZ46" s="61">
        <v>0</v>
      </c>
      <c r="DA46" s="61">
        <v>0</v>
      </c>
      <c r="DB46" s="61">
        <v>0</v>
      </c>
      <c r="DC46" s="61">
        <v>0</v>
      </c>
      <c r="DD46" s="61">
        <v>0</v>
      </c>
      <c r="DE46" s="61">
        <v>0</v>
      </c>
      <c r="DF46" s="61">
        <v>0</v>
      </c>
      <c r="DG46" s="61">
        <v>0</v>
      </c>
      <c r="DH46" s="61">
        <v>0</v>
      </c>
      <c r="DI46" s="61">
        <v>0</v>
      </c>
      <c r="DJ46" s="61">
        <v>0</v>
      </c>
      <c r="DK46" s="61">
        <v>0</v>
      </c>
      <c r="DL46" s="61">
        <v>0</v>
      </c>
      <c r="DM46" s="61">
        <v>0</v>
      </c>
      <c r="DN46" s="61">
        <v>0</v>
      </c>
      <c r="DO46" s="61">
        <v>0</v>
      </c>
      <c r="DP46" s="61">
        <v>0</v>
      </c>
      <c r="DQ46" s="61">
        <v>0</v>
      </c>
      <c r="DR46" s="61">
        <v>0</v>
      </c>
      <c r="DS46" s="61">
        <v>0</v>
      </c>
      <c r="DT46" s="61">
        <v>0</v>
      </c>
      <c r="DU46" s="61">
        <v>0</v>
      </c>
      <c r="DV46" s="61">
        <v>0</v>
      </c>
      <c r="DW46" s="61">
        <v>0</v>
      </c>
      <c r="DX46" s="61">
        <v>0</v>
      </c>
      <c r="DY46" s="61">
        <v>0</v>
      </c>
      <c r="DZ46" s="61">
        <v>0</v>
      </c>
      <c r="EA46" s="61">
        <v>0</v>
      </c>
      <c r="EB46" s="61">
        <v>0</v>
      </c>
      <c r="EC46" s="61">
        <v>0</v>
      </c>
      <c r="ED46" s="61">
        <v>0</v>
      </c>
      <c r="EE46" s="61">
        <v>0</v>
      </c>
      <c r="EF46" s="61">
        <v>0</v>
      </c>
      <c r="EG46" s="61">
        <v>0</v>
      </c>
      <c r="EH46" s="61">
        <v>0</v>
      </c>
      <c r="EI46" s="61">
        <v>0</v>
      </c>
      <c r="EJ46" s="61">
        <v>0</v>
      </c>
      <c r="EK46" s="61">
        <v>0</v>
      </c>
      <c r="EL46" s="61">
        <v>0</v>
      </c>
      <c r="EM46" s="61">
        <v>0</v>
      </c>
      <c r="EN46" s="61">
        <v>0</v>
      </c>
      <c r="EO46" s="61">
        <v>0</v>
      </c>
      <c r="EP46" s="61">
        <v>0</v>
      </c>
      <c r="EQ46" s="61">
        <v>0</v>
      </c>
      <c r="ER46" s="61">
        <v>0</v>
      </c>
      <c r="ES46" s="61">
        <v>0</v>
      </c>
      <c r="ET46" s="61">
        <v>0</v>
      </c>
      <c r="EU46" s="61">
        <v>0</v>
      </c>
      <c r="EV46" s="61">
        <v>0</v>
      </c>
      <c r="EW46" s="61">
        <v>0</v>
      </c>
      <c r="EX46" s="61">
        <v>0</v>
      </c>
      <c r="EY46" s="61">
        <v>0</v>
      </c>
      <c r="EZ46" s="61">
        <v>0</v>
      </c>
      <c r="FA46" s="61">
        <v>0</v>
      </c>
      <c r="FB46" s="61">
        <v>0</v>
      </c>
      <c r="FC46" s="61">
        <v>0</v>
      </c>
      <c r="FD46" s="61">
        <v>0</v>
      </c>
      <c r="FE46" s="61">
        <v>0</v>
      </c>
      <c r="FF46" s="61">
        <v>0</v>
      </c>
      <c r="FG46" s="61">
        <v>0</v>
      </c>
      <c r="FH46" s="61">
        <v>0</v>
      </c>
      <c r="FI46" s="61">
        <v>0</v>
      </c>
      <c r="FJ46" s="61">
        <v>0</v>
      </c>
      <c r="FK46" s="61">
        <v>0</v>
      </c>
      <c r="FL46" s="61">
        <v>0</v>
      </c>
      <c r="FM46" s="61">
        <v>0</v>
      </c>
      <c r="FN46" s="61">
        <v>0</v>
      </c>
      <c r="FO46" s="61">
        <v>0</v>
      </c>
      <c r="FP46" s="61">
        <v>0</v>
      </c>
      <c r="FQ46" s="61">
        <v>0</v>
      </c>
      <c r="FR46" s="61">
        <v>0</v>
      </c>
      <c r="FS46" s="61">
        <v>0</v>
      </c>
      <c r="FT46" s="61">
        <v>0</v>
      </c>
      <c r="FU46" s="61">
        <v>0</v>
      </c>
      <c r="FV46" s="61">
        <v>0</v>
      </c>
      <c r="FW46" s="61">
        <v>0</v>
      </c>
      <c r="FX46" s="61">
        <v>0</v>
      </c>
      <c r="FY46" s="61">
        <v>0</v>
      </c>
      <c r="FZ46" s="61">
        <v>0</v>
      </c>
      <c r="GA46" s="61">
        <v>0</v>
      </c>
      <c r="GB46" s="61">
        <v>0</v>
      </c>
      <c r="GC46" s="61">
        <v>0</v>
      </c>
      <c r="GD46" s="61">
        <v>0</v>
      </c>
      <c r="GE46" s="61">
        <v>0</v>
      </c>
      <c r="GF46" s="61">
        <v>0</v>
      </c>
      <c r="GG46" s="61">
        <v>0</v>
      </c>
      <c r="GH46" s="61">
        <v>0</v>
      </c>
      <c r="GI46" s="61">
        <v>0</v>
      </c>
      <c r="GJ46" s="61">
        <v>0</v>
      </c>
      <c r="GK46" s="61">
        <v>0</v>
      </c>
      <c r="GL46" s="61">
        <v>0</v>
      </c>
      <c r="GM46" s="61">
        <v>0</v>
      </c>
      <c r="GN46" s="61">
        <v>0</v>
      </c>
      <c r="GO46" s="61">
        <v>0</v>
      </c>
      <c r="GP46" s="61">
        <v>0</v>
      </c>
      <c r="GQ46" s="61">
        <v>0</v>
      </c>
      <c r="GR46" s="61">
        <v>0</v>
      </c>
      <c r="GS46" s="61">
        <v>0</v>
      </c>
      <c r="GT46" s="61">
        <v>0</v>
      </c>
      <c r="GU46" s="63">
        <v>0</v>
      </c>
      <c r="GV46" s="63">
        <v>0</v>
      </c>
      <c r="GW46" s="63">
        <v>0</v>
      </c>
      <c r="GX46" s="63">
        <v>0</v>
      </c>
      <c r="GY46" s="63">
        <v>0</v>
      </c>
      <c r="GZ46" s="63">
        <v>0</v>
      </c>
      <c r="HA46" s="63">
        <v>0</v>
      </c>
      <c r="HB46" s="63">
        <v>0</v>
      </c>
      <c r="HC46" s="63">
        <v>0</v>
      </c>
      <c r="HD46" s="63">
        <v>0</v>
      </c>
      <c r="HE46" s="63">
        <v>0</v>
      </c>
      <c r="HF46" s="63">
        <v>0</v>
      </c>
      <c r="HG46" s="63">
        <v>0</v>
      </c>
      <c r="HH46" s="63"/>
      <c r="HI46" s="63"/>
      <c r="HJ46" s="63">
        <v>1523</v>
      </c>
      <c r="HK46" s="63">
        <f>SUM(C$4:HI$4)</f>
        <v>215</v>
      </c>
      <c r="HL46" s="61">
        <f>SUM(C46:HI46)</f>
        <v>1</v>
      </c>
      <c r="HM46" s="67">
        <f t="shared" si="1"/>
        <v>0.46511627906976744</v>
      </c>
      <c r="HN46" s="67"/>
      <c r="HO46" s="68">
        <v>0.64</v>
      </c>
      <c r="HP46" s="68">
        <v>0.56000000000000005</v>
      </c>
      <c r="HQ46" s="61">
        <v>0.48</v>
      </c>
    </row>
    <row r="47" spans="2:227" x14ac:dyDescent="0.3">
      <c r="B47" s="63" t="s">
        <v>7279</v>
      </c>
      <c r="C47" s="61">
        <v>0</v>
      </c>
      <c r="D47" s="61">
        <v>0</v>
      </c>
      <c r="E47" s="61">
        <v>0</v>
      </c>
      <c r="F47" s="61">
        <v>0</v>
      </c>
      <c r="G47" s="61">
        <v>0</v>
      </c>
      <c r="H47" s="61">
        <v>0</v>
      </c>
      <c r="I47" s="61">
        <v>0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61">
        <v>0</v>
      </c>
      <c r="P47" s="61">
        <v>0</v>
      </c>
      <c r="Q47" s="61">
        <v>0</v>
      </c>
      <c r="R47" s="61">
        <v>0</v>
      </c>
      <c r="S47" s="61">
        <v>0</v>
      </c>
      <c r="T47" s="61">
        <v>0</v>
      </c>
      <c r="U47" s="61">
        <v>0</v>
      </c>
      <c r="V47" s="61">
        <v>0</v>
      </c>
      <c r="W47" s="61">
        <v>0</v>
      </c>
      <c r="X47" s="61">
        <v>0</v>
      </c>
      <c r="Y47" s="61">
        <v>0</v>
      </c>
      <c r="Z47" s="61">
        <v>0</v>
      </c>
      <c r="AA47" s="61">
        <v>0</v>
      </c>
      <c r="AB47" s="61">
        <v>0</v>
      </c>
      <c r="AC47" s="61">
        <v>0</v>
      </c>
      <c r="AD47" s="61">
        <v>0</v>
      </c>
      <c r="AE47" s="61">
        <v>0</v>
      </c>
      <c r="AF47" s="61">
        <v>0</v>
      </c>
      <c r="AG47" s="61">
        <v>0</v>
      </c>
      <c r="AH47" s="61">
        <v>0</v>
      </c>
      <c r="AI47" s="61">
        <v>0</v>
      </c>
      <c r="AJ47" s="61">
        <v>0</v>
      </c>
      <c r="AK47" s="61">
        <v>0</v>
      </c>
      <c r="AL47" s="61">
        <v>0</v>
      </c>
      <c r="AM47" s="61">
        <v>0</v>
      </c>
      <c r="AN47" s="61">
        <v>0</v>
      </c>
      <c r="AO47" s="61">
        <v>0</v>
      </c>
      <c r="AP47" s="61">
        <v>0</v>
      </c>
      <c r="AQ47" s="61">
        <v>0</v>
      </c>
      <c r="AR47" s="61">
        <v>0</v>
      </c>
      <c r="AS47" s="61">
        <v>0</v>
      </c>
      <c r="AT47" s="61">
        <v>0</v>
      </c>
      <c r="AU47" s="61">
        <v>0</v>
      </c>
      <c r="AV47" s="61">
        <v>0</v>
      </c>
      <c r="AW47" s="61">
        <v>0</v>
      </c>
      <c r="AX47" s="61">
        <v>0</v>
      </c>
      <c r="AY47" s="61">
        <v>0</v>
      </c>
      <c r="AZ47" s="61">
        <v>0</v>
      </c>
      <c r="BA47" s="61">
        <v>0</v>
      </c>
      <c r="BB47" s="61">
        <v>0</v>
      </c>
      <c r="BC47" s="61">
        <v>0</v>
      </c>
      <c r="BD47" s="61">
        <v>0</v>
      </c>
      <c r="BE47" s="61">
        <v>0</v>
      </c>
      <c r="BF47" s="61">
        <v>0</v>
      </c>
      <c r="BG47" s="61">
        <v>0</v>
      </c>
      <c r="BH47" s="61">
        <v>0</v>
      </c>
      <c r="BI47" s="61">
        <v>0</v>
      </c>
      <c r="BJ47" s="61">
        <v>0</v>
      </c>
      <c r="BK47" s="61">
        <v>0</v>
      </c>
      <c r="BL47" s="61">
        <v>0</v>
      </c>
      <c r="BM47" s="61">
        <v>0</v>
      </c>
      <c r="BN47" s="61">
        <v>0</v>
      </c>
      <c r="BO47" s="61">
        <v>0</v>
      </c>
      <c r="BP47" s="61">
        <v>0</v>
      </c>
      <c r="BQ47" s="61">
        <v>0</v>
      </c>
      <c r="BR47" s="61">
        <v>0</v>
      </c>
      <c r="BS47" s="61">
        <v>0</v>
      </c>
      <c r="BT47" s="61">
        <v>0</v>
      </c>
      <c r="BU47" s="61">
        <v>0</v>
      </c>
      <c r="BV47" s="61">
        <v>0</v>
      </c>
      <c r="BW47" s="61">
        <v>0</v>
      </c>
      <c r="BX47" s="61">
        <v>0</v>
      </c>
      <c r="BY47" s="61">
        <v>0</v>
      </c>
      <c r="BZ47" s="61">
        <v>0</v>
      </c>
      <c r="CA47" s="66">
        <v>1</v>
      </c>
      <c r="CB47" s="66">
        <v>1</v>
      </c>
      <c r="CC47" s="66">
        <v>1</v>
      </c>
      <c r="CD47" s="66">
        <v>1</v>
      </c>
      <c r="CE47" s="66">
        <v>1</v>
      </c>
      <c r="CF47" s="66">
        <v>1</v>
      </c>
      <c r="CG47" s="61">
        <v>0</v>
      </c>
      <c r="CH47" s="61">
        <v>0</v>
      </c>
      <c r="CI47" s="61">
        <v>0</v>
      </c>
      <c r="CJ47" s="61">
        <v>0</v>
      </c>
      <c r="CK47" s="61">
        <v>0</v>
      </c>
      <c r="CL47" s="61">
        <v>0</v>
      </c>
      <c r="CM47" s="61">
        <v>0</v>
      </c>
      <c r="CN47" s="61">
        <v>0</v>
      </c>
      <c r="CO47" s="61">
        <v>0</v>
      </c>
      <c r="CP47" s="61">
        <v>0</v>
      </c>
      <c r="CQ47" s="61">
        <v>0</v>
      </c>
      <c r="CR47" s="61">
        <v>0</v>
      </c>
      <c r="CS47" s="61">
        <v>0</v>
      </c>
      <c r="CT47" s="61">
        <v>0</v>
      </c>
      <c r="CU47" s="61">
        <v>0</v>
      </c>
      <c r="CV47" s="61">
        <v>0</v>
      </c>
      <c r="CW47" s="61">
        <v>0</v>
      </c>
      <c r="CX47" s="61">
        <v>0</v>
      </c>
      <c r="CY47" s="61">
        <v>0</v>
      </c>
      <c r="CZ47" s="61">
        <v>0</v>
      </c>
      <c r="DA47" s="61">
        <v>0</v>
      </c>
      <c r="DB47" s="61">
        <v>0</v>
      </c>
      <c r="DC47" s="61">
        <v>0</v>
      </c>
      <c r="DD47" s="61">
        <v>0</v>
      </c>
      <c r="DE47" s="61">
        <v>0</v>
      </c>
      <c r="DF47" s="61">
        <v>0</v>
      </c>
      <c r="DG47" s="61">
        <v>0</v>
      </c>
      <c r="DH47" s="61">
        <v>0</v>
      </c>
      <c r="DI47" s="61">
        <v>0</v>
      </c>
      <c r="DJ47" s="61">
        <v>0</v>
      </c>
      <c r="DK47" s="61">
        <v>0</v>
      </c>
      <c r="DL47" s="61">
        <v>0</v>
      </c>
      <c r="DM47" s="61">
        <v>0</v>
      </c>
      <c r="DN47" s="66">
        <v>1</v>
      </c>
      <c r="DO47" s="66">
        <v>1</v>
      </c>
      <c r="DP47" s="66">
        <v>1</v>
      </c>
      <c r="DQ47" s="66">
        <v>1</v>
      </c>
      <c r="DR47" s="66">
        <v>1</v>
      </c>
      <c r="DS47" s="66">
        <v>1</v>
      </c>
      <c r="DT47" s="66">
        <v>1</v>
      </c>
      <c r="DU47" s="66">
        <v>1</v>
      </c>
      <c r="DV47" s="66">
        <v>1</v>
      </c>
      <c r="DW47" s="66">
        <v>1</v>
      </c>
      <c r="DX47" s="66">
        <v>1</v>
      </c>
      <c r="DY47" s="66">
        <v>1</v>
      </c>
      <c r="DZ47" s="66">
        <v>1</v>
      </c>
      <c r="EA47" s="66">
        <v>1</v>
      </c>
      <c r="EB47" s="61">
        <v>0</v>
      </c>
      <c r="EC47" s="61">
        <v>0</v>
      </c>
      <c r="ED47" s="66">
        <v>1</v>
      </c>
      <c r="EE47" s="66">
        <v>1</v>
      </c>
      <c r="EF47" s="61">
        <v>0</v>
      </c>
      <c r="EG47" s="61">
        <v>0</v>
      </c>
      <c r="EH47" s="61">
        <v>0</v>
      </c>
      <c r="EI47" s="61">
        <v>0</v>
      </c>
      <c r="EJ47" s="61">
        <v>0</v>
      </c>
      <c r="EK47" s="61">
        <v>0</v>
      </c>
      <c r="EL47" s="61">
        <v>0</v>
      </c>
      <c r="EM47" s="66">
        <v>1</v>
      </c>
      <c r="EN47" s="66">
        <v>1</v>
      </c>
      <c r="EO47" s="66">
        <v>1</v>
      </c>
      <c r="EP47" s="66">
        <v>1</v>
      </c>
      <c r="EQ47" s="61">
        <v>0</v>
      </c>
      <c r="ER47" s="61">
        <v>0</v>
      </c>
      <c r="ES47" s="61">
        <v>0</v>
      </c>
      <c r="ET47" s="61">
        <v>0</v>
      </c>
      <c r="EU47" s="61">
        <v>0</v>
      </c>
      <c r="EV47" s="61">
        <v>0</v>
      </c>
      <c r="EW47" s="61">
        <v>0</v>
      </c>
      <c r="EX47" s="61">
        <v>0</v>
      </c>
      <c r="EY47" s="61">
        <v>0</v>
      </c>
      <c r="EZ47" s="61">
        <v>0</v>
      </c>
      <c r="FA47" s="61">
        <v>0</v>
      </c>
      <c r="FB47" s="61">
        <v>0</v>
      </c>
      <c r="FC47" s="66">
        <v>1</v>
      </c>
      <c r="FD47" s="61">
        <v>0</v>
      </c>
      <c r="FE47" s="66">
        <v>1</v>
      </c>
      <c r="FF47" s="61">
        <v>0</v>
      </c>
      <c r="FG47" s="61">
        <v>0</v>
      </c>
      <c r="FH47" s="61">
        <v>0</v>
      </c>
      <c r="FI47" s="61">
        <v>0</v>
      </c>
      <c r="FJ47" s="66">
        <v>1</v>
      </c>
      <c r="FK47" s="61">
        <v>0</v>
      </c>
      <c r="FL47" s="61">
        <v>0</v>
      </c>
      <c r="FM47" s="61">
        <v>0</v>
      </c>
      <c r="FN47" s="61">
        <v>0</v>
      </c>
      <c r="FO47" s="61">
        <v>0</v>
      </c>
      <c r="FP47" s="61">
        <v>0</v>
      </c>
      <c r="FQ47" s="61">
        <v>0</v>
      </c>
      <c r="FR47" s="61">
        <v>0</v>
      </c>
      <c r="FS47" s="61">
        <v>0</v>
      </c>
      <c r="FT47" s="61">
        <v>0</v>
      </c>
      <c r="FU47" s="61">
        <v>0</v>
      </c>
      <c r="FV47" s="63">
        <v>0</v>
      </c>
      <c r="FW47" s="63">
        <v>0</v>
      </c>
      <c r="FX47" s="63">
        <v>0</v>
      </c>
      <c r="FY47" s="66">
        <v>1</v>
      </c>
      <c r="FZ47" s="66">
        <v>1</v>
      </c>
      <c r="GA47" s="63">
        <v>0</v>
      </c>
      <c r="GB47" s="63">
        <v>0</v>
      </c>
      <c r="GC47" s="66">
        <v>1</v>
      </c>
      <c r="GD47" s="63">
        <v>0</v>
      </c>
      <c r="GE47" s="63">
        <v>0</v>
      </c>
      <c r="GF47" s="63">
        <v>0</v>
      </c>
      <c r="GG47" s="63">
        <v>0</v>
      </c>
      <c r="GH47" s="63">
        <v>0</v>
      </c>
      <c r="GI47" s="63">
        <v>0</v>
      </c>
      <c r="GJ47" s="63">
        <v>0</v>
      </c>
      <c r="GK47" s="63">
        <v>0</v>
      </c>
      <c r="GL47" s="63">
        <v>0</v>
      </c>
      <c r="GM47" s="63">
        <v>0</v>
      </c>
      <c r="GN47" s="63">
        <v>0</v>
      </c>
      <c r="GO47" s="63">
        <v>0</v>
      </c>
      <c r="GP47" s="63">
        <v>0</v>
      </c>
      <c r="GQ47" s="63">
        <v>0</v>
      </c>
      <c r="GR47" s="63">
        <v>0</v>
      </c>
      <c r="GS47" s="63">
        <v>0</v>
      </c>
      <c r="GT47" s="63">
        <v>0</v>
      </c>
      <c r="GU47" s="63">
        <v>0</v>
      </c>
      <c r="GV47" s="63">
        <v>0</v>
      </c>
      <c r="GW47" s="63">
        <v>0</v>
      </c>
      <c r="GX47" s="63">
        <v>0</v>
      </c>
      <c r="GY47" s="63">
        <v>0</v>
      </c>
      <c r="GZ47" s="63">
        <v>0</v>
      </c>
      <c r="HA47" s="63">
        <v>0</v>
      </c>
      <c r="HB47" s="63">
        <v>0</v>
      </c>
      <c r="HC47" s="63">
        <v>0</v>
      </c>
      <c r="HD47" s="63">
        <v>0</v>
      </c>
      <c r="HE47" s="63">
        <v>0</v>
      </c>
      <c r="HF47" s="63">
        <v>0</v>
      </c>
      <c r="HG47" s="63">
        <v>0</v>
      </c>
      <c r="HH47" s="63"/>
      <c r="HI47" s="63"/>
      <c r="HJ47" s="63">
        <v>1453</v>
      </c>
      <c r="HK47" s="63">
        <f>SUM(C$4:HI$4)</f>
        <v>215</v>
      </c>
      <c r="HL47" s="61">
        <f>SUM(C47:HI47)</f>
        <v>32</v>
      </c>
      <c r="HM47" s="67">
        <f t="shared" si="1"/>
        <v>14.883720930232558</v>
      </c>
      <c r="HN47" s="67"/>
      <c r="HO47" s="68">
        <v>0.67</v>
      </c>
      <c r="HP47" s="68">
        <v>1.1299999999999999</v>
      </c>
      <c r="HQ47" s="61">
        <v>1.1299999999999999</v>
      </c>
    </row>
    <row r="48" spans="2:227" x14ac:dyDescent="0.3">
      <c r="B48" s="63" t="s">
        <v>7280</v>
      </c>
      <c r="C48" s="61">
        <v>0</v>
      </c>
      <c r="D48" s="61">
        <v>0</v>
      </c>
      <c r="E48" s="61">
        <v>0</v>
      </c>
      <c r="F48" s="61">
        <v>0</v>
      </c>
      <c r="G48" s="61">
        <v>0</v>
      </c>
      <c r="H48" s="61">
        <v>0</v>
      </c>
      <c r="I48" s="61">
        <v>0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  <c r="P48" s="61">
        <v>0</v>
      </c>
      <c r="Q48" s="61">
        <v>0</v>
      </c>
      <c r="R48" s="61">
        <v>0</v>
      </c>
      <c r="S48" s="61">
        <v>0</v>
      </c>
      <c r="T48" s="61">
        <v>0</v>
      </c>
      <c r="U48" s="61">
        <v>0</v>
      </c>
      <c r="V48" s="61">
        <v>0</v>
      </c>
      <c r="W48" s="61">
        <v>0</v>
      </c>
      <c r="X48" s="61">
        <v>0</v>
      </c>
      <c r="Y48" s="61">
        <v>0</v>
      </c>
      <c r="Z48" s="61">
        <v>0</v>
      </c>
      <c r="AA48" s="61">
        <v>0</v>
      </c>
      <c r="AB48" s="61">
        <v>0</v>
      </c>
      <c r="AC48" s="61">
        <v>0</v>
      </c>
      <c r="AD48" s="61">
        <v>0</v>
      </c>
      <c r="AE48" s="61">
        <v>0</v>
      </c>
      <c r="AF48" s="61">
        <v>0</v>
      </c>
      <c r="AG48" s="61">
        <v>0</v>
      </c>
      <c r="AH48" s="61">
        <v>0</v>
      </c>
      <c r="AI48" s="61">
        <v>0</v>
      </c>
      <c r="AJ48" s="61">
        <v>0</v>
      </c>
      <c r="AK48" s="61">
        <v>0</v>
      </c>
      <c r="AL48" s="61">
        <v>0</v>
      </c>
      <c r="AM48" s="61">
        <v>0</v>
      </c>
      <c r="AN48" s="61">
        <v>0</v>
      </c>
      <c r="AO48" s="61">
        <v>0</v>
      </c>
      <c r="AP48" s="61">
        <v>0</v>
      </c>
      <c r="AQ48" s="61">
        <v>0</v>
      </c>
      <c r="AR48" s="61">
        <v>0</v>
      </c>
      <c r="AS48" s="61">
        <v>0</v>
      </c>
      <c r="AT48" s="61">
        <v>0</v>
      </c>
      <c r="AU48" s="61">
        <v>0</v>
      </c>
      <c r="AV48" s="61">
        <v>0</v>
      </c>
      <c r="AW48" s="61">
        <v>0</v>
      </c>
      <c r="AX48" s="61">
        <v>0</v>
      </c>
      <c r="AY48" s="61">
        <v>0</v>
      </c>
      <c r="AZ48" s="61">
        <v>0</v>
      </c>
      <c r="BA48" s="61">
        <v>0</v>
      </c>
      <c r="BB48" s="61">
        <v>0</v>
      </c>
      <c r="BC48" s="61">
        <v>0</v>
      </c>
      <c r="BD48" s="61">
        <v>0</v>
      </c>
      <c r="BE48" s="61">
        <v>0</v>
      </c>
      <c r="BF48" s="61">
        <v>0</v>
      </c>
      <c r="BG48" s="61">
        <v>0</v>
      </c>
      <c r="BH48" s="61">
        <v>0</v>
      </c>
      <c r="BI48" s="61">
        <v>0</v>
      </c>
      <c r="BJ48" s="61">
        <v>0</v>
      </c>
      <c r="BK48" s="61">
        <v>0</v>
      </c>
      <c r="BL48" s="61">
        <v>0</v>
      </c>
      <c r="BM48" s="61">
        <v>0</v>
      </c>
      <c r="BN48" s="61">
        <v>0</v>
      </c>
      <c r="BO48" s="61">
        <v>0</v>
      </c>
      <c r="BP48" s="61">
        <v>0</v>
      </c>
      <c r="BQ48" s="61">
        <v>0</v>
      </c>
      <c r="BR48" s="61">
        <v>0</v>
      </c>
      <c r="BS48" s="61">
        <v>0</v>
      </c>
      <c r="BT48" s="61">
        <v>0</v>
      </c>
      <c r="BU48" s="61">
        <v>0</v>
      </c>
      <c r="BV48" s="61">
        <v>0</v>
      </c>
      <c r="BW48" s="61">
        <v>0</v>
      </c>
      <c r="BX48" s="61">
        <v>0</v>
      </c>
      <c r="BY48" s="61">
        <v>0</v>
      </c>
      <c r="BZ48" s="61">
        <v>0</v>
      </c>
      <c r="CA48" s="61">
        <v>0</v>
      </c>
      <c r="CB48" s="61">
        <v>0</v>
      </c>
      <c r="CC48" s="61">
        <v>0</v>
      </c>
      <c r="CD48" s="61">
        <v>0</v>
      </c>
      <c r="CE48" s="61">
        <v>0</v>
      </c>
      <c r="CF48" s="61">
        <v>0</v>
      </c>
      <c r="CG48" s="61">
        <v>0</v>
      </c>
      <c r="CH48" s="61">
        <v>0</v>
      </c>
      <c r="CI48" s="61">
        <v>0</v>
      </c>
      <c r="CJ48" s="61">
        <v>0</v>
      </c>
      <c r="CK48" s="61">
        <v>0</v>
      </c>
      <c r="CL48" s="61">
        <v>0</v>
      </c>
      <c r="CM48" s="61">
        <v>0</v>
      </c>
      <c r="CN48" s="61">
        <v>0</v>
      </c>
      <c r="CO48" s="61">
        <v>0</v>
      </c>
      <c r="CP48" s="61">
        <v>0</v>
      </c>
      <c r="CQ48" s="61">
        <v>0</v>
      </c>
      <c r="CR48" s="61">
        <v>0</v>
      </c>
      <c r="CS48" s="61">
        <v>0</v>
      </c>
      <c r="CT48" s="61">
        <v>0</v>
      </c>
      <c r="CU48" s="61">
        <v>0</v>
      </c>
      <c r="CV48" s="61">
        <v>0</v>
      </c>
      <c r="CW48" s="61">
        <v>0</v>
      </c>
      <c r="CX48" s="61">
        <v>0</v>
      </c>
      <c r="CY48" s="61">
        <v>0</v>
      </c>
      <c r="CZ48" s="61">
        <v>0</v>
      </c>
      <c r="DA48" s="61">
        <v>0</v>
      </c>
      <c r="DB48" s="61">
        <v>0</v>
      </c>
      <c r="DC48" s="61">
        <v>0</v>
      </c>
      <c r="DD48" s="61">
        <v>0</v>
      </c>
      <c r="DE48" s="61">
        <v>0</v>
      </c>
      <c r="DF48" s="61">
        <v>0</v>
      </c>
      <c r="DG48" s="61">
        <v>0</v>
      </c>
      <c r="DH48" s="61">
        <v>0</v>
      </c>
      <c r="DI48" s="61">
        <v>0</v>
      </c>
      <c r="DJ48" s="61">
        <v>0</v>
      </c>
      <c r="DK48" s="61">
        <v>0</v>
      </c>
      <c r="DL48" s="61">
        <v>0</v>
      </c>
      <c r="DM48" s="61">
        <v>0</v>
      </c>
      <c r="DN48" s="61">
        <v>0</v>
      </c>
      <c r="DO48" s="61">
        <v>0</v>
      </c>
      <c r="DP48" s="61">
        <v>0</v>
      </c>
      <c r="DQ48" s="61">
        <v>0</v>
      </c>
      <c r="DR48" s="61">
        <v>0</v>
      </c>
      <c r="DS48" s="61">
        <v>0</v>
      </c>
      <c r="DT48" s="61">
        <v>0</v>
      </c>
      <c r="DU48" s="61">
        <v>0</v>
      </c>
      <c r="DV48" s="61">
        <v>0</v>
      </c>
      <c r="DW48" s="61">
        <v>0</v>
      </c>
      <c r="DX48" s="61">
        <v>0</v>
      </c>
      <c r="DY48" s="61">
        <v>0</v>
      </c>
      <c r="DZ48" s="61">
        <v>0</v>
      </c>
      <c r="EA48" s="61">
        <v>0</v>
      </c>
      <c r="EB48" s="61">
        <v>0</v>
      </c>
      <c r="EC48" s="61">
        <v>0</v>
      </c>
      <c r="ED48" s="61">
        <v>0</v>
      </c>
      <c r="EE48" s="61">
        <v>0</v>
      </c>
      <c r="EF48" s="61">
        <v>0</v>
      </c>
      <c r="EG48" s="61">
        <v>0</v>
      </c>
      <c r="EH48" s="61">
        <v>0</v>
      </c>
      <c r="EI48" s="61">
        <v>0</v>
      </c>
      <c r="EJ48" s="61">
        <v>0</v>
      </c>
      <c r="EK48" s="61">
        <v>0</v>
      </c>
      <c r="EL48" s="61">
        <v>0</v>
      </c>
      <c r="EM48" s="61">
        <v>0</v>
      </c>
      <c r="EN48" s="61">
        <v>0</v>
      </c>
      <c r="EO48" s="61">
        <v>0</v>
      </c>
      <c r="EP48" s="61">
        <v>0</v>
      </c>
      <c r="EQ48" s="61">
        <v>0</v>
      </c>
      <c r="ER48" s="61">
        <v>0</v>
      </c>
      <c r="ES48" s="61">
        <v>0</v>
      </c>
      <c r="ET48" s="61">
        <v>0</v>
      </c>
      <c r="EU48" s="61">
        <v>0</v>
      </c>
      <c r="EV48" s="61">
        <v>0</v>
      </c>
      <c r="EW48" s="61">
        <v>0</v>
      </c>
      <c r="EX48" s="61">
        <v>0</v>
      </c>
      <c r="EY48" s="61">
        <v>0</v>
      </c>
      <c r="EZ48" s="61">
        <v>0</v>
      </c>
      <c r="FA48" s="61">
        <v>0</v>
      </c>
      <c r="FB48" s="61">
        <v>0</v>
      </c>
      <c r="FC48" s="61">
        <v>0</v>
      </c>
      <c r="FD48" s="61">
        <v>0</v>
      </c>
      <c r="FE48" s="61">
        <v>0</v>
      </c>
      <c r="FF48" s="61">
        <v>0</v>
      </c>
      <c r="FG48" s="61">
        <v>0</v>
      </c>
      <c r="FH48" s="61">
        <v>0</v>
      </c>
      <c r="FI48" s="61">
        <v>0</v>
      </c>
      <c r="FJ48" s="61">
        <v>0</v>
      </c>
      <c r="FK48" s="61">
        <v>0</v>
      </c>
      <c r="FL48" s="61">
        <v>0</v>
      </c>
      <c r="FM48" s="61">
        <v>0</v>
      </c>
      <c r="FN48" s="61">
        <v>0</v>
      </c>
      <c r="FO48" s="61">
        <v>0</v>
      </c>
      <c r="FP48" s="61">
        <v>0</v>
      </c>
      <c r="FQ48" s="61">
        <v>0</v>
      </c>
      <c r="FR48" s="61">
        <v>0</v>
      </c>
      <c r="FS48" s="61">
        <v>0</v>
      </c>
      <c r="FT48" s="61">
        <v>0</v>
      </c>
      <c r="FU48" s="61">
        <v>0</v>
      </c>
      <c r="FV48" s="61">
        <v>0</v>
      </c>
      <c r="FW48" s="61">
        <v>0</v>
      </c>
      <c r="FX48" s="61">
        <v>0</v>
      </c>
      <c r="FY48" s="61">
        <v>0</v>
      </c>
      <c r="FZ48" s="61">
        <v>0</v>
      </c>
      <c r="GA48" s="61">
        <v>0</v>
      </c>
      <c r="GB48" s="61">
        <v>0</v>
      </c>
      <c r="GC48" s="61">
        <v>0</v>
      </c>
      <c r="GD48" s="61">
        <v>0</v>
      </c>
      <c r="GE48" s="61">
        <v>0</v>
      </c>
      <c r="GF48" s="61">
        <v>0</v>
      </c>
      <c r="GG48" s="61">
        <v>0</v>
      </c>
      <c r="GH48" s="61">
        <v>0</v>
      </c>
      <c r="GI48" s="61">
        <v>0</v>
      </c>
      <c r="GJ48" s="61">
        <v>0</v>
      </c>
      <c r="GK48" s="61">
        <v>0</v>
      </c>
      <c r="GL48" s="61">
        <v>0</v>
      </c>
      <c r="GM48" s="61">
        <v>0</v>
      </c>
      <c r="GN48" s="61">
        <v>0</v>
      </c>
      <c r="GO48" s="61">
        <v>0</v>
      </c>
      <c r="GP48" s="61">
        <v>0</v>
      </c>
      <c r="GQ48" s="61">
        <v>0</v>
      </c>
      <c r="GR48" s="61">
        <v>0</v>
      </c>
      <c r="GS48" s="61">
        <v>0</v>
      </c>
      <c r="GT48" s="61">
        <v>0</v>
      </c>
      <c r="GU48" s="63">
        <v>0</v>
      </c>
      <c r="GV48" s="63">
        <v>0</v>
      </c>
      <c r="GW48" s="63">
        <v>0</v>
      </c>
      <c r="GX48" s="63">
        <v>0</v>
      </c>
      <c r="GY48" s="63">
        <v>0</v>
      </c>
      <c r="GZ48" s="63">
        <v>0</v>
      </c>
      <c r="HA48" s="63">
        <v>0</v>
      </c>
      <c r="HB48" s="63">
        <v>0</v>
      </c>
      <c r="HC48" s="63">
        <v>0</v>
      </c>
      <c r="HD48" s="63">
        <v>0</v>
      </c>
      <c r="HE48" s="63">
        <v>0</v>
      </c>
      <c r="HF48" s="63">
        <v>0</v>
      </c>
      <c r="HG48" s="63">
        <v>0</v>
      </c>
      <c r="HH48" s="63"/>
      <c r="HI48" s="63"/>
      <c r="HJ48" s="63">
        <v>1066</v>
      </c>
      <c r="HK48" s="63">
        <f>SUM(C$4:HI$4)</f>
        <v>215</v>
      </c>
      <c r="HL48" s="61">
        <f>SUM(C48:HI48)</f>
        <v>0</v>
      </c>
      <c r="HM48" s="67">
        <f t="shared" si="1"/>
        <v>0</v>
      </c>
      <c r="HN48" s="67"/>
      <c r="HO48" s="68">
        <v>8.2200000000000006</v>
      </c>
      <c r="HP48" s="68">
        <v>3.49</v>
      </c>
      <c r="HQ48" s="61">
        <v>3.15</v>
      </c>
    </row>
    <row r="49" spans="1:238" x14ac:dyDescent="0.3">
      <c r="A49" s="61" t="s">
        <v>7281</v>
      </c>
      <c r="B49" s="63" t="s">
        <v>7282</v>
      </c>
      <c r="C49" s="61">
        <v>0</v>
      </c>
      <c r="D49" s="61">
        <v>0</v>
      </c>
      <c r="E49" s="61">
        <v>0</v>
      </c>
      <c r="F49" s="61">
        <v>0</v>
      </c>
      <c r="G49" s="61">
        <v>0</v>
      </c>
      <c r="H49" s="61">
        <v>0</v>
      </c>
      <c r="I49" s="61">
        <v>0</v>
      </c>
      <c r="J49" s="61">
        <v>0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  <c r="P49" s="61">
        <v>0</v>
      </c>
      <c r="Q49" s="61">
        <v>0</v>
      </c>
      <c r="R49" s="61">
        <v>0</v>
      </c>
      <c r="S49" s="65">
        <v>0</v>
      </c>
      <c r="T49" s="61">
        <v>0</v>
      </c>
      <c r="U49" s="61">
        <v>0</v>
      </c>
      <c r="V49" s="61">
        <v>0</v>
      </c>
      <c r="W49" s="61">
        <v>0</v>
      </c>
      <c r="X49" s="61">
        <v>0</v>
      </c>
      <c r="Y49" s="61">
        <v>0</v>
      </c>
      <c r="Z49" s="61">
        <v>0</v>
      </c>
      <c r="AA49" s="61">
        <v>0</v>
      </c>
      <c r="AB49" s="61">
        <v>0</v>
      </c>
      <c r="AC49" s="61">
        <v>0</v>
      </c>
      <c r="AD49" s="61">
        <v>0</v>
      </c>
      <c r="AE49" s="66">
        <v>1</v>
      </c>
      <c r="AF49" s="66">
        <v>1</v>
      </c>
      <c r="AG49" s="66">
        <v>1</v>
      </c>
      <c r="AH49" s="66">
        <v>1</v>
      </c>
      <c r="AI49" s="66">
        <v>1</v>
      </c>
      <c r="AJ49" s="66">
        <v>1</v>
      </c>
      <c r="AK49" s="66">
        <v>1</v>
      </c>
      <c r="AL49" s="66">
        <v>1</v>
      </c>
      <c r="AM49" s="66">
        <v>1</v>
      </c>
      <c r="AN49" s="66">
        <v>1</v>
      </c>
      <c r="AO49" s="66">
        <v>1</v>
      </c>
      <c r="AP49" s="66">
        <v>1</v>
      </c>
      <c r="AQ49" s="66">
        <v>1</v>
      </c>
      <c r="AR49" s="66">
        <v>1</v>
      </c>
      <c r="AS49" s="66">
        <v>1</v>
      </c>
      <c r="AT49" s="66">
        <v>1</v>
      </c>
      <c r="AU49" s="66">
        <v>1</v>
      </c>
      <c r="AV49" s="66">
        <v>1</v>
      </c>
      <c r="AW49" s="66">
        <v>1</v>
      </c>
      <c r="AX49" s="66">
        <v>1</v>
      </c>
      <c r="AY49" s="66">
        <v>1</v>
      </c>
      <c r="AZ49" s="66">
        <v>1</v>
      </c>
      <c r="BA49" s="66">
        <v>1</v>
      </c>
      <c r="BB49" s="66">
        <v>1</v>
      </c>
      <c r="BC49" s="66">
        <v>1</v>
      </c>
      <c r="BD49" s="66">
        <v>1</v>
      </c>
      <c r="BE49" s="66">
        <v>1</v>
      </c>
      <c r="BF49" s="66">
        <v>1</v>
      </c>
      <c r="BG49" s="66">
        <v>1</v>
      </c>
      <c r="BH49" s="66">
        <v>1</v>
      </c>
      <c r="BI49" s="61">
        <v>0</v>
      </c>
      <c r="BJ49" s="61">
        <v>0</v>
      </c>
      <c r="BK49" s="61">
        <v>0</v>
      </c>
      <c r="BL49" s="61">
        <v>0</v>
      </c>
      <c r="BM49" s="61">
        <v>0</v>
      </c>
      <c r="BN49" s="61">
        <v>0</v>
      </c>
      <c r="BO49" s="61">
        <v>0</v>
      </c>
      <c r="BP49" s="61">
        <v>0</v>
      </c>
      <c r="BQ49" s="61">
        <v>0</v>
      </c>
      <c r="BR49" s="61">
        <v>0</v>
      </c>
      <c r="BS49" s="61">
        <v>0</v>
      </c>
      <c r="BT49" s="61">
        <v>0</v>
      </c>
      <c r="BU49" s="61">
        <v>0</v>
      </c>
      <c r="BV49" s="61">
        <v>0</v>
      </c>
      <c r="BW49" s="61">
        <v>0</v>
      </c>
      <c r="BX49" s="61">
        <v>0</v>
      </c>
      <c r="BY49" s="61">
        <v>0</v>
      </c>
      <c r="BZ49" s="61">
        <v>0</v>
      </c>
      <c r="CA49" s="61">
        <v>0</v>
      </c>
      <c r="CB49" s="61">
        <v>0</v>
      </c>
      <c r="CC49" s="61">
        <v>0</v>
      </c>
      <c r="CD49" s="61">
        <v>0</v>
      </c>
      <c r="CE49" s="61">
        <v>0</v>
      </c>
      <c r="CF49" s="61">
        <v>0</v>
      </c>
      <c r="CG49" s="61">
        <v>0</v>
      </c>
      <c r="CH49" s="61">
        <v>0</v>
      </c>
      <c r="CI49" s="61">
        <v>0</v>
      </c>
      <c r="CJ49" s="61">
        <v>0</v>
      </c>
      <c r="CK49" s="61">
        <v>0</v>
      </c>
      <c r="CL49" s="61">
        <v>0</v>
      </c>
      <c r="CM49" s="61">
        <v>0</v>
      </c>
      <c r="CN49" s="61">
        <v>0</v>
      </c>
      <c r="CO49" s="66">
        <v>1</v>
      </c>
      <c r="CP49" s="66">
        <v>1</v>
      </c>
      <c r="CQ49" s="66">
        <v>1</v>
      </c>
      <c r="CR49" s="66">
        <v>1</v>
      </c>
      <c r="CS49" s="61">
        <v>0</v>
      </c>
      <c r="CT49" s="61">
        <v>0</v>
      </c>
      <c r="CU49" s="61">
        <v>0</v>
      </c>
      <c r="CV49" s="61">
        <v>0</v>
      </c>
      <c r="CW49" s="61">
        <v>0</v>
      </c>
      <c r="CX49" s="61">
        <v>0</v>
      </c>
      <c r="CY49" s="61">
        <v>0</v>
      </c>
      <c r="CZ49" s="61">
        <v>0</v>
      </c>
      <c r="DA49" s="61">
        <v>0</v>
      </c>
      <c r="DB49" s="61">
        <v>0</v>
      </c>
      <c r="DC49" s="61">
        <v>0</v>
      </c>
      <c r="DD49" s="61">
        <v>0</v>
      </c>
      <c r="DE49" s="61">
        <v>0</v>
      </c>
      <c r="DF49" s="61">
        <v>0</v>
      </c>
      <c r="DG49" s="61">
        <v>0</v>
      </c>
      <c r="DH49" s="61">
        <v>0</v>
      </c>
      <c r="DI49" s="61">
        <v>0</v>
      </c>
      <c r="DJ49" s="61">
        <v>0</v>
      </c>
      <c r="DK49" s="61">
        <v>0</v>
      </c>
      <c r="DL49" s="61">
        <v>0</v>
      </c>
      <c r="DM49" s="61">
        <v>0</v>
      </c>
      <c r="DN49" s="61">
        <v>0</v>
      </c>
      <c r="DO49" s="61">
        <v>0</v>
      </c>
      <c r="DP49" s="61">
        <v>0</v>
      </c>
      <c r="DQ49" s="61">
        <v>0</v>
      </c>
      <c r="DR49" s="61">
        <v>0</v>
      </c>
      <c r="DS49" s="61">
        <v>0</v>
      </c>
      <c r="DT49" s="61">
        <v>0</v>
      </c>
      <c r="DU49" s="61">
        <v>0</v>
      </c>
      <c r="DV49" s="61">
        <v>0</v>
      </c>
      <c r="DW49" s="61">
        <v>0</v>
      </c>
      <c r="DX49" s="61">
        <v>0</v>
      </c>
      <c r="DY49" s="61">
        <v>0</v>
      </c>
      <c r="DZ49" s="61">
        <v>0</v>
      </c>
      <c r="EA49" s="61">
        <v>0</v>
      </c>
      <c r="EB49" s="61">
        <v>0</v>
      </c>
      <c r="EC49" s="61">
        <v>0</v>
      </c>
      <c r="ED49" s="61">
        <v>0</v>
      </c>
      <c r="EE49" s="61">
        <v>0</v>
      </c>
      <c r="EF49" s="61">
        <v>0</v>
      </c>
      <c r="EG49" s="61">
        <v>0</v>
      </c>
      <c r="EH49" s="61">
        <v>0</v>
      </c>
      <c r="EI49" s="61">
        <v>0</v>
      </c>
      <c r="EJ49" s="61">
        <v>0</v>
      </c>
      <c r="EK49" s="61">
        <v>0</v>
      </c>
      <c r="EL49" s="61">
        <v>0</v>
      </c>
      <c r="EM49" s="61">
        <v>0</v>
      </c>
      <c r="EN49" s="61">
        <v>0</v>
      </c>
      <c r="EO49" s="61">
        <v>0</v>
      </c>
      <c r="EP49" s="61">
        <v>0</v>
      </c>
      <c r="EQ49" s="61">
        <v>0</v>
      </c>
      <c r="ER49" s="61">
        <v>0</v>
      </c>
      <c r="ES49" s="61">
        <v>0</v>
      </c>
      <c r="ET49" s="61">
        <v>0</v>
      </c>
      <c r="EU49" s="61">
        <v>0</v>
      </c>
      <c r="EV49" s="61">
        <v>0</v>
      </c>
      <c r="EW49" s="61">
        <v>0</v>
      </c>
      <c r="EX49" s="66">
        <v>1</v>
      </c>
      <c r="EY49" s="61">
        <v>0</v>
      </c>
      <c r="EZ49" s="61">
        <v>0</v>
      </c>
      <c r="FA49" s="61">
        <v>0</v>
      </c>
      <c r="FB49" s="61">
        <v>0</v>
      </c>
      <c r="FC49" s="66">
        <v>1</v>
      </c>
      <c r="FD49" s="66">
        <v>1</v>
      </c>
      <c r="FE49" s="66">
        <v>1</v>
      </c>
      <c r="FF49" s="66">
        <v>1</v>
      </c>
      <c r="FG49" s="66">
        <v>1</v>
      </c>
      <c r="FH49" s="66">
        <v>1</v>
      </c>
      <c r="FI49" s="66">
        <v>1</v>
      </c>
      <c r="FJ49" s="66">
        <v>1</v>
      </c>
      <c r="FK49" s="66">
        <v>1</v>
      </c>
      <c r="FL49" s="66">
        <v>1</v>
      </c>
      <c r="FM49" s="61">
        <v>0</v>
      </c>
      <c r="FN49" s="61">
        <v>0</v>
      </c>
      <c r="FO49" s="61">
        <v>0</v>
      </c>
      <c r="FP49" s="61">
        <v>0</v>
      </c>
      <c r="FQ49" s="61">
        <v>0</v>
      </c>
      <c r="FR49" s="61">
        <v>0</v>
      </c>
      <c r="FS49" s="61">
        <v>0</v>
      </c>
      <c r="FT49" s="61">
        <v>0</v>
      </c>
      <c r="FU49" s="61">
        <v>0</v>
      </c>
      <c r="FV49" s="63">
        <v>0</v>
      </c>
      <c r="FW49" s="63">
        <v>0</v>
      </c>
      <c r="FX49" s="63">
        <v>0</v>
      </c>
      <c r="FY49" s="63">
        <v>0</v>
      </c>
      <c r="FZ49" s="63">
        <v>0</v>
      </c>
      <c r="GA49" s="63">
        <v>0</v>
      </c>
      <c r="GB49" s="63">
        <v>0</v>
      </c>
      <c r="GC49" s="66">
        <v>1</v>
      </c>
      <c r="GD49" s="66">
        <v>1</v>
      </c>
      <c r="GE49" s="66">
        <v>1</v>
      </c>
      <c r="GF49" s="66">
        <v>1</v>
      </c>
      <c r="GG49" s="66">
        <v>1</v>
      </c>
      <c r="GH49" s="66">
        <v>1</v>
      </c>
      <c r="GI49" s="66">
        <v>1</v>
      </c>
      <c r="GJ49" s="66">
        <v>1</v>
      </c>
      <c r="GK49" s="66">
        <v>1</v>
      </c>
      <c r="GL49" s="66">
        <v>1</v>
      </c>
      <c r="GM49" s="66">
        <v>1</v>
      </c>
      <c r="GN49" s="66">
        <v>1</v>
      </c>
      <c r="GO49" s="63">
        <v>0</v>
      </c>
      <c r="GP49" s="63">
        <v>0</v>
      </c>
      <c r="GQ49" s="63">
        <v>0</v>
      </c>
      <c r="GR49" s="63">
        <v>0</v>
      </c>
      <c r="GS49" s="63">
        <v>0</v>
      </c>
      <c r="GT49" s="63">
        <v>0</v>
      </c>
      <c r="GU49" s="63">
        <v>0</v>
      </c>
      <c r="GV49" s="66">
        <v>1</v>
      </c>
      <c r="GW49" s="66">
        <v>1</v>
      </c>
      <c r="GX49" s="66">
        <v>1</v>
      </c>
      <c r="GY49" s="66">
        <v>1</v>
      </c>
      <c r="GZ49" s="66">
        <v>1</v>
      </c>
      <c r="HA49" s="63">
        <v>0</v>
      </c>
      <c r="HB49" s="63">
        <v>0</v>
      </c>
      <c r="HC49" s="63">
        <v>0</v>
      </c>
      <c r="HD49" s="63">
        <v>0</v>
      </c>
      <c r="HE49" s="63">
        <v>0</v>
      </c>
      <c r="HF49" s="63">
        <v>0</v>
      </c>
      <c r="HG49" s="63">
        <v>0</v>
      </c>
      <c r="HH49" s="70">
        <v>1</v>
      </c>
      <c r="HI49" s="70">
        <v>1</v>
      </c>
      <c r="HJ49" s="63">
        <v>1816</v>
      </c>
      <c r="HK49" s="63">
        <f>SUM(S$4:HI$4)</f>
        <v>199</v>
      </c>
      <c r="HL49" s="61">
        <f>SUM(S49:HI49)</f>
        <v>64</v>
      </c>
      <c r="HM49" s="67">
        <f t="shared" si="1"/>
        <v>32.1608040201005</v>
      </c>
      <c r="HN49" s="67"/>
      <c r="HO49" s="68">
        <v>1.06</v>
      </c>
      <c r="HP49" s="68">
        <v>0.78</v>
      </c>
      <c r="HQ49" s="61">
        <v>0.73</v>
      </c>
    </row>
    <row r="50" spans="1:238" x14ac:dyDescent="0.3">
      <c r="B50" s="63" t="s">
        <v>7283</v>
      </c>
      <c r="C50" s="61">
        <v>0</v>
      </c>
      <c r="D50" s="61">
        <v>0</v>
      </c>
      <c r="E50" s="61">
        <v>0</v>
      </c>
      <c r="F50" s="61">
        <v>0</v>
      </c>
      <c r="G50" s="61">
        <v>0</v>
      </c>
      <c r="H50" s="61">
        <v>0</v>
      </c>
      <c r="I50" s="61">
        <v>0</v>
      </c>
      <c r="J50" s="61">
        <v>0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0</v>
      </c>
      <c r="R50" s="61">
        <v>0</v>
      </c>
      <c r="S50" s="61">
        <v>0</v>
      </c>
      <c r="T50" s="61">
        <v>0</v>
      </c>
      <c r="U50" s="61">
        <v>0</v>
      </c>
      <c r="V50" s="61">
        <v>0</v>
      </c>
      <c r="W50" s="61">
        <v>0</v>
      </c>
      <c r="X50" s="61">
        <v>0</v>
      </c>
      <c r="Y50" s="61">
        <v>0</v>
      </c>
      <c r="Z50" s="61">
        <v>0</v>
      </c>
      <c r="AA50" s="61">
        <v>0</v>
      </c>
      <c r="AB50" s="65">
        <v>0</v>
      </c>
      <c r="AC50" s="61">
        <v>0</v>
      </c>
      <c r="AD50" s="61">
        <v>0</v>
      </c>
      <c r="AE50" s="61">
        <v>0</v>
      </c>
      <c r="AF50" s="61">
        <v>0</v>
      </c>
      <c r="AG50" s="61">
        <v>0</v>
      </c>
      <c r="AH50" s="61">
        <v>0</v>
      </c>
      <c r="AI50" s="61">
        <v>0</v>
      </c>
      <c r="AJ50" s="61">
        <v>0</v>
      </c>
      <c r="AK50" s="61">
        <v>0</v>
      </c>
      <c r="AL50" s="61">
        <v>0</v>
      </c>
      <c r="AM50" s="61">
        <v>0</v>
      </c>
      <c r="AN50" s="61">
        <v>0</v>
      </c>
      <c r="AO50" s="61">
        <v>0</v>
      </c>
      <c r="AP50" s="61">
        <v>0</v>
      </c>
      <c r="AQ50" s="61">
        <v>0</v>
      </c>
      <c r="AR50" s="61">
        <v>0</v>
      </c>
      <c r="AS50" s="61">
        <v>0</v>
      </c>
      <c r="AT50" s="61">
        <v>0</v>
      </c>
      <c r="AU50" s="61">
        <v>0</v>
      </c>
      <c r="AV50" s="61">
        <v>0</v>
      </c>
      <c r="AW50" s="61">
        <v>0</v>
      </c>
      <c r="AX50" s="61">
        <v>0</v>
      </c>
      <c r="AY50" s="61">
        <v>0</v>
      </c>
      <c r="AZ50" s="61">
        <v>0</v>
      </c>
      <c r="BA50" s="61">
        <v>0</v>
      </c>
      <c r="BB50" s="61">
        <v>0</v>
      </c>
      <c r="BC50" s="61">
        <v>0</v>
      </c>
      <c r="BD50" s="61">
        <v>0</v>
      </c>
      <c r="BE50" s="61">
        <v>0</v>
      </c>
      <c r="BF50" s="61">
        <v>0</v>
      </c>
      <c r="BG50" s="61">
        <v>0</v>
      </c>
      <c r="BH50" s="61">
        <v>0</v>
      </c>
      <c r="BI50" s="61">
        <v>0</v>
      </c>
      <c r="BJ50" s="61">
        <v>0</v>
      </c>
      <c r="BK50" s="61">
        <v>0</v>
      </c>
      <c r="BL50" s="61">
        <v>0</v>
      </c>
      <c r="BM50" s="61">
        <v>0</v>
      </c>
      <c r="BN50" s="61">
        <v>0</v>
      </c>
      <c r="BO50" s="61">
        <v>0</v>
      </c>
      <c r="BP50" s="61">
        <v>0</v>
      </c>
      <c r="BQ50" s="61">
        <v>0</v>
      </c>
      <c r="BR50" s="61">
        <v>0</v>
      </c>
      <c r="BS50" s="61">
        <v>0</v>
      </c>
      <c r="BT50" s="61">
        <v>0</v>
      </c>
      <c r="BU50" s="61">
        <v>0</v>
      </c>
      <c r="BV50" s="61">
        <v>0</v>
      </c>
      <c r="BW50" s="61">
        <v>0</v>
      </c>
      <c r="BX50" s="61">
        <v>0</v>
      </c>
      <c r="BY50" s="61">
        <v>0</v>
      </c>
      <c r="BZ50" s="66">
        <v>1</v>
      </c>
      <c r="CA50" s="66">
        <v>1</v>
      </c>
      <c r="CB50" s="66">
        <v>1</v>
      </c>
      <c r="CC50" s="66">
        <v>1</v>
      </c>
      <c r="CD50" s="66">
        <v>1</v>
      </c>
      <c r="CE50" s="61">
        <v>0</v>
      </c>
      <c r="CF50" s="61">
        <v>0</v>
      </c>
      <c r="CG50" s="61">
        <v>0</v>
      </c>
      <c r="CH50" s="61">
        <v>0</v>
      </c>
      <c r="CI50" s="61">
        <v>0</v>
      </c>
      <c r="CJ50" s="61">
        <v>0</v>
      </c>
      <c r="CK50" s="61">
        <v>0</v>
      </c>
      <c r="CL50" s="61">
        <v>0</v>
      </c>
      <c r="CM50" s="61">
        <v>0</v>
      </c>
      <c r="CN50" s="61">
        <v>0</v>
      </c>
      <c r="CO50" s="61">
        <v>0</v>
      </c>
      <c r="CP50" s="61">
        <v>0</v>
      </c>
      <c r="CQ50" s="61">
        <v>0</v>
      </c>
      <c r="CR50" s="61">
        <v>0</v>
      </c>
      <c r="CS50" s="61">
        <v>0</v>
      </c>
      <c r="CT50" s="61">
        <v>0</v>
      </c>
      <c r="CU50" s="61">
        <v>0</v>
      </c>
      <c r="CV50" s="61">
        <v>0</v>
      </c>
      <c r="CW50" s="61">
        <v>0</v>
      </c>
      <c r="CX50" s="61">
        <v>0</v>
      </c>
      <c r="CY50" s="61">
        <v>0</v>
      </c>
      <c r="CZ50" s="61">
        <v>0</v>
      </c>
      <c r="DA50" s="61">
        <v>0</v>
      </c>
      <c r="DB50" s="61">
        <v>0</v>
      </c>
      <c r="DC50" s="61">
        <v>0</v>
      </c>
      <c r="DD50" s="61">
        <v>0</v>
      </c>
      <c r="DE50" s="61">
        <v>0</v>
      </c>
      <c r="DF50" s="61">
        <v>0</v>
      </c>
      <c r="DG50" s="61">
        <v>0</v>
      </c>
      <c r="DH50" s="61">
        <v>0</v>
      </c>
      <c r="DI50" s="61">
        <v>0</v>
      </c>
      <c r="DJ50" s="61">
        <v>0</v>
      </c>
      <c r="DK50" s="61">
        <v>0</v>
      </c>
      <c r="DL50" s="61">
        <v>0</v>
      </c>
      <c r="DM50" s="61">
        <v>0</v>
      </c>
      <c r="DN50" s="61">
        <v>0</v>
      </c>
      <c r="DO50" s="61">
        <v>0</v>
      </c>
      <c r="DP50" s="61">
        <v>0</v>
      </c>
      <c r="DQ50" s="61">
        <v>0</v>
      </c>
      <c r="DR50" s="61">
        <v>0</v>
      </c>
      <c r="DS50" s="61">
        <v>0</v>
      </c>
      <c r="DT50" s="61">
        <v>0</v>
      </c>
      <c r="DU50" s="61">
        <v>0</v>
      </c>
      <c r="DV50" s="61">
        <v>0</v>
      </c>
      <c r="DW50" s="61">
        <v>0</v>
      </c>
      <c r="DX50" s="61">
        <v>0</v>
      </c>
      <c r="DY50" s="61">
        <v>0</v>
      </c>
      <c r="DZ50" s="61">
        <v>0</v>
      </c>
      <c r="EA50" s="61">
        <v>0</v>
      </c>
      <c r="EB50" s="61">
        <v>0</v>
      </c>
      <c r="EC50" s="61">
        <v>0</v>
      </c>
      <c r="ED50" s="66">
        <v>1</v>
      </c>
      <c r="EE50" s="66">
        <v>1</v>
      </c>
      <c r="EF50" s="66">
        <v>1</v>
      </c>
      <c r="EG50" s="66">
        <v>1</v>
      </c>
      <c r="EH50" s="66">
        <v>1</v>
      </c>
      <c r="EI50" s="66">
        <v>1</v>
      </c>
      <c r="EJ50" s="66">
        <v>1</v>
      </c>
      <c r="EK50" s="66">
        <v>1</v>
      </c>
      <c r="EL50" s="66">
        <v>1</v>
      </c>
      <c r="EM50" s="66">
        <v>1</v>
      </c>
      <c r="EN50" s="66">
        <v>1</v>
      </c>
      <c r="EO50" s="66">
        <v>1</v>
      </c>
      <c r="EP50" s="66">
        <v>1</v>
      </c>
      <c r="EQ50" s="66">
        <v>1</v>
      </c>
      <c r="ER50" s="66">
        <v>1</v>
      </c>
      <c r="ES50" s="66">
        <v>1</v>
      </c>
      <c r="ET50" s="66">
        <v>1</v>
      </c>
      <c r="EU50" s="66">
        <v>1</v>
      </c>
      <c r="EV50" s="61">
        <v>0</v>
      </c>
      <c r="EW50" s="61">
        <v>0</v>
      </c>
      <c r="EX50" s="61">
        <v>0</v>
      </c>
      <c r="EY50" s="61">
        <v>0</v>
      </c>
      <c r="EZ50" s="61">
        <v>0</v>
      </c>
      <c r="FA50" s="61">
        <v>0</v>
      </c>
      <c r="FB50" s="61">
        <v>0</v>
      </c>
      <c r="FC50" s="61">
        <v>0</v>
      </c>
      <c r="FD50" s="61">
        <v>0</v>
      </c>
      <c r="FE50" s="61">
        <v>0</v>
      </c>
      <c r="FF50" s="61">
        <v>0</v>
      </c>
      <c r="FG50" s="61">
        <v>0</v>
      </c>
      <c r="FH50" s="61">
        <v>0</v>
      </c>
      <c r="FI50" s="61">
        <v>0</v>
      </c>
      <c r="FJ50" s="61">
        <v>0</v>
      </c>
      <c r="FK50" s="61">
        <v>0</v>
      </c>
      <c r="FL50" s="61">
        <v>0</v>
      </c>
      <c r="FM50" s="61">
        <v>0</v>
      </c>
      <c r="FN50" s="61">
        <v>0</v>
      </c>
      <c r="FO50" s="61">
        <v>0</v>
      </c>
      <c r="FP50" s="61">
        <v>0</v>
      </c>
      <c r="FQ50" s="61">
        <v>0</v>
      </c>
      <c r="FR50" s="61">
        <v>0</v>
      </c>
      <c r="FS50" s="61">
        <v>0</v>
      </c>
      <c r="FT50" s="61">
        <v>0</v>
      </c>
      <c r="FU50" s="61">
        <v>0</v>
      </c>
      <c r="FV50" s="63">
        <v>0</v>
      </c>
      <c r="FW50" s="63">
        <v>0</v>
      </c>
      <c r="FX50" s="63">
        <v>0</v>
      </c>
      <c r="FY50" s="63">
        <v>0</v>
      </c>
      <c r="FZ50" s="63">
        <v>0</v>
      </c>
      <c r="GA50" s="66">
        <v>1</v>
      </c>
      <c r="GB50" s="66">
        <v>1</v>
      </c>
      <c r="GC50" s="66">
        <v>1</v>
      </c>
      <c r="GD50" s="66">
        <v>1</v>
      </c>
      <c r="GE50" s="66">
        <v>1</v>
      </c>
      <c r="GF50" s="63">
        <v>0</v>
      </c>
      <c r="GG50" s="66">
        <v>1</v>
      </c>
      <c r="GH50" s="66">
        <v>1</v>
      </c>
      <c r="GI50" s="66">
        <v>1</v>
      </c>
      <c r="GJ50" s="66">
        <v>1</v>
      </c>
      <c r="GK50" s="66">
        <v>1</v>
      </c>
      <c r="GL50" s="66">
        <v>1</v>
      </c>
      <c r="GM50" s="66">
        <v>1</v>
      </c>
      <c r="GN50" s="66">
        <v>1</v>
      </c>
      <c r="GO50" s="66">
        <v>1</v>
      </c>
      <c r="GP50" s="66">
        <v>1</v>
      </c>
      <c r="GQ50" s="66">
        <v>1</v>
      </c>
      <c r="GR50" s="66">
        <v>1</v>
      </c>
      <c r="GS50" s="63">
        <v>0</v>
      </c>
      <c r="GT50" s="63">
        <v>0</v>
      </c>
      <c r="GU50" s="63">
        <v>0</v>
      </c>
      <c r="GV50" s="63">
        <v>0</v>
      </c>
      <c r="GW50" s="63">
        <v>0</v>
      </c>
      <c r="GX50" s="63">
        <v>0</v>
      </c>
      <c r="GY50" s="63">
        <v>0</v>
      </c>
      <c r="GZ50" s="63">
        <v>0</v>
      </c>
      <c r="HA50" s="63">
        <v>0</v>
      </c>
      <c r="HB50" s="63">
        <v>0</v>
      </c>
      <c r="HC50" s="63">
        <v>0</v>
      </c>
      <c r="HD50" s="63">
        <v>0</v>
      </c>
      <c r="HE50" s="63">
        <v>0</v>
      </c>
      <c r="HF50" s="63">
        <v>0</v>
      </c>
      <c r="HG50" s="63">
        <v>0</v>
      </c>
      <c r="HH50" s="63">
        <v>0</v>
      </c>
      <c r="HI50" s="63">
        <v>0</v>
      </c>
      <c r="HJ50" s="63">
        <v>1825</v>
      </c>
      <c r="HK50" s="63">
        <f>SUM(AB$4:HI$4)</f>
        <v>190</v>
      </c>
      <c r="HL50" s="61">
        <f>SUM(AB50:HI50)</f>
        <v>40</v>
      </c>
      <c r="HM50" s="67">
        <f t="shared" si="1"/>
        <v>21.05263157894737</v>
      </c>
      <c r="HN50" s="67"/>
      <c r="HO50" s="68">
        <v>0</v>
      </c>
      <c r="HP50" s="68">
        <v>0.05</v>
      </c>
      <c r="HQ50" s="61">
        <v>0.06</v>
      </c>
    </row>
    <row r="51" spans="1:238" x14ac:dyDescent="0.3">
      <c r="B51" s="63" t="s">
        <v>7284</v>
      </c>
      <c r="C51" s="61">
        <v>0</v>
      </c>
      <c r="D51" s="61">
        <v>0</v>
      </c>
      <c r="E51" s="61">
        <v>0</v>
      </c>
      <c r="F51" s="61">
        <v>0</v>
      </c>
      <c r="G51" s="61">
        <v>0</v>
      </c>
      <c r="H51" s="61">
        <v>0</v>
      </c>
      <c r="I51" s="61">
        <v>0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0</v>
      </c>
      <c r="P51" s="61">
        <v>0</v>
      </c>
      <c r="Q51" s="61">
        <v>0</v>
      </c>
      <c r="R51" s="61">
        <v>0</v>
      </c>
      <c r="S51" s="61">
        <v>0</v>
      </c>
      <c r="T51" s="61">
        <v>0</v>
      </c>
      <c r="U51" s="61">
        <v>0</v>
      </c>
      <c r="V51" s="61">
        <v>0</v>
      </c>
      <c r="W51" s="61">
        <v>0</v>
      </c>
      <c r="X51" s="61">
        <v>0</v>
      </c>
      <c r="Y51" s="65">
        <v>0</v>
      </c>
      <c r="Z51" s="61">
        <v>0</v>
      </c>
      <c r="AA51" s="61">
        <v>0</v>
      </c>
      <c r="AB51" s="61">
        <v>0</v>
      </c>
      <c r="AC51" s="61">
        <v>0</v>
      </c>
      <c r="AD51" s="61">
        <v>0</v>
      </c>
      <c r="AE51" s="61">
        <v>0</v>
      </c>
      <c r="AF51" s="61">
        <v>0</v>
      </c>
      <c r="AG51" s="61">
        <v>0</v>
      </c>
      <c r="AH51" s="61">
        <v>0</v>
      </c>
      <c r="AI51" s="61">
        <v>0</v>
      </c>
      <c r="AJ51" s="61">
        <v>0</v>
      </c>
      <c r="AK51" s="61">
        <v>0</v>
      </c>
      <c r="AL51" s="61">
        <v>0</v>
      </c>
      <c r="AM51" s="61">
        <v>0</v>
      </c>
      <c r="AN51" s="61">
        <v>0</v>
      </c>
      <c r="AO51" s="61">
        <v>0</v>
      </c>
      <c r="AP51" s="61">
        <v>0</v>
      </c>
      <c r="AQ51" s="61">
        <v>0</v>
      </c>
      <c r="AR51" s="61">
        <v>0</v>
      </c>
      <c r="AS51" s="61">
        <v>0</v>
      </c>
      <c r="AT51" s="61">
        <v>0</v>
      </c>
      <c r="AU51" s="61">
        <v>0</v>
      </c>
      <c r="AV51" s="61">
        <v>0</v>
      </c>
      <c r="AW51" s="61">
        <v>0</v>
      </c>
      <c r="AX51" s="61">
        <v>0</v>
      </c>
      <c r="AY51" s="61">
        <v>0</v>
      </c>
      <c r="AZ51" s="61">
        <v>0</v>
      </c>
      <c r="BA51" s="61">
        <v>0</v>
      </c>
      <c r="BB51" s="61">
        <v>0</v>
      </c>
      <c r="BC51" s="61">
        <v>0</v>
      </c>
      <c r="BD51" s="61">
        <v>0</v>
      </c>
      <c r="BE51" s="61">
        <v>0</v>
      </c>
      <c r="BF51" s="61">
        <v>0</v>
      </c>
      <c r="BG51" s="61">
        <v>0</v>
      </c>
      <c r="BH51" s="61">
        <v>0</v>
      </c>
      <c r="BI51" s="61">
        <v>0</v>
      </c>
      <c r="BJ51" s="61">
        <v>0</v>
      </c>
      <c r="BK51" s="61">
        <v>0</v>
      </c>
      <c r="BL51" s="61">
        <v>0</v>
      </c>
      <c r="BM51" s="61">
        <v>0</v>
      </c>
      <c r="BN51" s="61">
        <v>0</v>
      </c>
      <c r="BO51" s="61">
        <v>0</v>
      </c>
      <c r="BP51" s="61">
        <v>0</v>
      </c>
      <c r="BQ51" s="61">
        <v>0</v>
      </c>
      <c r="BR51" s="61">
        <v>0</v>
      </c>
      <c r="BS51" s="61">
        <v>0</v>
      </c>
      <c r="BT51" s="61">
        <v>0</v>
      </c>
      <c r="BU51" s="61">
        <v>0</v>
      </c>
      <c r="BV51" s="61">
        <v>0</v>
      </c>
      <c r="BW51" s="61">
        <v>0</v>
      </c>
      <c r="BX51" s="61">
        <v>0</v>
      </c>
      <c r="BY51" s="61">
        <v>0</v>
      </c>
      <c r="BZ51" s="61">
        <v>0</v>
      </c>
      <c r="CA51" s="61">
        <v>0</v>
      </c>
      <c r="CB51" s="61">
        <v>0</v>
      </c>
      <c r="CC51" s="61">
        <v>0</v>
      </c>
      <c r="CD51" s="61">
        <v>0</v>
      </c>
      <c r="CE51" s="61">
        <v>0</v>
      </c>
      <c r="CF51" s="61">
        <v>0</v>
      </c>
      <c r="CG51" s="61">
        <v>0</v>
      </c>
      <c r="CH51" s="61">
        <v>0</v>
      </c>
      <c r="CI51" s="61">
        <v>0</v>
      </c>
      <c r="CJ51" s="61">
        <v>0</v>
      </c>
      <c r="CK51" s="61">
        <v>0</v>
      </c>
      <c r="CL51" s="61">
        <v>0</v>
      </c>
      <c r="CM51" s="61">
        <v>0</v>
      </c>
      <c r="CN51" s="61">
        <v>0</v>
      </c>
      <c r="CO51" s="61">
        <v>0</v>
      </c>
      <c r="CP51" s="61">
        <v>0</v>
      </c>
      <c r="CQ51" s="61">
        <v>0</v>
      </c>
      <c r="CR51" s="61">
        <v>0</v>
      </c>
      <c r="CS51" s="61">
        <v>0</v>
      </c>
      <c r="CT51" s="61">
        <v>0</v>
      </c>
      <c r="CU51" s="61">
        <v>0</v>
      </c>
      <c r="CV51" s="61">
        <v>0</v>
      </c>
      <c r="CW51" s="66">
        <v>1</v>
      </c>
      <c r="CX51" s="66">
        <v>1</v>
      </c>
      <c r="CY51" s="66">
        <v>1</v>
      </c>
      <c r="CZ51" s="66">
        <v>1</v>
      </c>
      <c r="DA51" s="66">
        <v>1</v>
      </c>
      <c r="DB51" s="66">
        <v>1</v>
      </c>
      <c r="DC51" s="66">
        <v>1</v>
      </c>
      <c r="DD51" s="66">
        <v>1</v>
      </c>
      <c r="DE51" s="66">
        <v>1</v>
      </c>
      <c r="DF51" s="66">
        <v>1</v>
      </c>
      <c r="DG51" s="66">
        <v>1</v>
      </c>
      <c r="DH51" s="66">
        <v>1</v>
      </c>
      <c r="DI51" s="66">
        <v>1</v>
      </c>
      <c r="DJ51" s="61">
        <v>0</v>
      </c>
      <c r="DK51" s="61">
        <v>0</v>
      </c>
      <c r="DL51" s="61">
        <v>0</v>
      </c>
      <c r="DM51" s="66">
        <v>1</v>
      </c>
      <c r="DN51" s="66">
        <v>1</v>
      </c>
      <c r="DO51" s="66">
        <v>1</v>
      </c>
      <c r="DP51" s="66">
        <v>1</v>
      </c>
      <c r="DQ51" s="66">
        <v>1</v>
      </c>
      <c r="DR51" s="66">
        <v>1</v>
      </c>
      <c r="DS51" s="61">
        <v>0</v>
      </c>
      <c r="DT51" s="61">
        <v>0</v>
      </c>
      <c r="DU51" s="61">
        <v>0</v>
      </c>
      <c r="DV51" s="61">
        <v>0</v>
      </c>
      <c r="DW51" s="61">
        <v>0</v>
      </c>
      <c r="DX51" s="61">
        <v>0</v>
      </c>
      <c r="DY51" s="61">
        <v>0</v>
      </c>
      <c r="DZ51" s="61">
        <v>0</v>
      </c>
      <c r="EA51" s="61">
        <v>0</v>
      </c>
      <c r="EB51" s="61">
        <v>0</v>
      </c>
      <c r="EC51" s="61">
        <v>0</v>
      </c>
      <c r="ED51" s="66">
        <v>1</v>
      </c>
      <c r="EE51" s="66">
        <v>1</v>
      </c>
      <c r="EF51" s="66">
        <v>1</v>
      </c>
      <c r="EG51" s="61">
        <v>0</v>
      </c>
      <c r="EH51" s="61">
        <v>0</v>
      </c>
      <c r="EI51" s="61">
        <v>0</v>
      </c>
      <c r="EJ51" s="66">
        <v>1</v>
      </c>
      <c r="EK51" s="66">
        <v>1</v>
      </c>
      <c r="EL51" s="66">
        <v>1</v>
      </c>
      <c r="EM51" s="66">
        <v>1</v>
      </c>
      <c r="EN51" s="66">
        <v>1</v>
      </c>
      <c r="EO51" s="66">
        <v>1</v>
      </c>
      <c r="EP51" s="66">
        <v>1</v>
      </c>
      <c r="EQ51" s="61">
        <v>0</v>
      </c>
      <c r="ER51" s="61">
        <v>0</v>
      </c>
      <c r="ES51" s="61">
        <v>0</v>
      </c>
      <c r="ET51" s="61">
        <v>0</v>
      </c>
      <c r="EU51" s="61">
        <v>0</v>
      </c>
      <c r="EV51" s="61">
        <v>0</v>
      </c>
      <c r="EW51" s="61">
        <v>0</v>
      </c>
      <c r="EX51" s="61">
        <v>0</v>
      </c>
      <c r="EY51" s="61">
        <v>0</v>
      </c>
      <c r="EZ51" s="61">
        <v>0</v>
      </c>
      <c r="FA51" s="61">
        <v>0</v>
      </c>
      <c r="FB51" s="61">
        <v>0</v>
      </c>
      <c r="FC51" s="61">
        <v>0</v>
      </c>
      <c r="FD51" s="61">
        <v>0</v>
      </c>
      <c r="FE51" s="61">
        <v>0</v>
      </c>
      <c r="FF51" s="61">
        <v>0</v>
      </c>
      <c r="FG51" s="61">
        <v>0</v>
      </c>
      <c r="FH51" s="66">
        <v>1</v>
      </c>
      <c r="FI51" s="66">
        <v>1</v>
      </c>
      <c r="FJ51" s="66">
        <v>1</v>
      </c>
      <c r="FK51" s="66">
        <v>1</v>
      </c>
      <c r="FL51" s="61">
        <v>0</v>
      </c>
      <c r="FM51" s="61">
        <v>0</v>
      </c>
      <c r="FN51" s="61">
        <v>0</v>
      </c>
      <c r="FO51" s="61">
        <v>0</v>
      </c>
      <c r="FP51" s="61">
        <v>0</v>
      </c>
      <c r="FQ51" s="61">
        <v>0</v>
      </c>
      <c r="FR51" s="61">
        <v>0</v>
      </c>
      <c r="FS51" s="61">
        <v>0</v>
      </c>
      <c r="FT51" s="61">
        <v>0</v>
      </c>
      <c r="FU51" s="61">
        <v>0</v>
      </c>
      <c r="FV51" s="63">
        <v>0</v>
      </c>
      <c r="FW51" s="63">
        <v>0</v>
      </c>
      <c r="FX51" s="63">
        <v>0</v>
      </c>
      <c r="FY51" s="63">
        <v>0</v>
      </c>
      <c r="FZ51" s="63">
        <v>0</v>
      </c>
      <c r="GA51" s="63">
        <v>0</v>
      </c>
      <c r="GB51" s="63">
        <v>0</v>
      </c>
      <c r="GC51" s="63">
        <v>0</v>
      </c>
      <c r="GD51" s="66">
        <v>1</v>
      </c>
      <c r="GE51" s="66">
        <v>1</v>
      </c>
      <c r="GF51" s="66">
        <v>1</v>
      </c>
      <c r="GG51" s="66">
        <v>1</v>
      </c>
      <c r="GH51" s="66">
        <v>1</v>
      </c>
      <c r="GI51" s="66">
        <v>1</v>
      </c>
      <c r="GJ51" s="66">
        <v>1</v>
      </c>
      <c r="GK51" s="66">
        <v>1</v>
      </c>
      <c r="GL51" s="66">
        <v>1</v>
      </c>
      <c r="GM51" s="66">
        <v>1</v>
      </c>
      <c r="GN51" s="66">
        <v>1</v>
      </c>
      <c r="GO51" s="66">
        <v>1</v>
      </c>
      <c r="GP51" s="63">
        <v>0</v>
      </c>
      <c r="GQ51" s="63">
        <v>0</v>
      </c>
      <c r="GR51" s="63">
        <v>0</v>
      </c>
      <c r="GS51" s="63">
        <v>0</v>
      </c>
      <c r="GT51" s="63">
        <v>0</v>
      </c>
      <c r="GU51" s="63">
        <v>0</v>
      </c>
      <c r="GV51" s="63">
        <v>0</v>
      </c>
      <c r="GW51" s="63">
        <v>0</v>
      </c>
      <c r="GX51" s="63">
        <v>0</v>
      </c>
      <c r="GY51" s="63">
        <v>0</v>
      </c>
      <c r="GZ51" s="63">
        <v>0</v>
      </c>
      <c r="HA51" s="63">
        <v>0</v>
      </c>
      <c r="HB51" s="63">
        <v>0</v>
      </c>
      <c r="HC51" s="63">
        <v>0</v>
      </c>
      <c r="HD51" s="63">
        <v>0</v>
      </c>
      <c r="HE51" s="63">
        <v>0</v>
      </c>
      <c r="HF51" s="63">
        <v>0</v>
      </c>
      <c r="HG51" s="63">
        <v>0</v>
      </c>
      <c r="HH51" s="63">
        <v>0</v>
      </c>
      <c r="HI51" s="63">
        <v>0</v>
      </c>
      <c r="HJ51" s="63">
        <v>1822</v>
      </c>
      <c r="HK51" s="63">
        <f>SUM(Y$4:HI$4)</f>
        <v>193</v>
      </c>
      <c r="HL51" s="61">
        <f>SUM(Y51:HI51)</f>
        <v>45</v>
      </c>
      <c r="HM51" s="67">
        <f t="shared" si="1"/>
        <v>23.316062176165804</v>
      </c>
      <c r="HN51" s="67"/>
      <c r="HO51" s="68">
        <v>0.7</v>
      </c>
      <c r="HP51" s="68">
        <v>2.74</v>
      </c>
      <c r="HQ51" s="61">
        <v>2.4900000000000002</v>
      </c>
    </row>
    <row r="52" spans="1:238" x14ac:dyDescent="0.3">
      <c r="B52" s="63" t="s">
        <v>7285</v>
      </c>
      <c r="C52" s="61">
        <v>0</v>
      </c>
      <c r="D52" s="61">
        <v>0</v>
      </c>
      <c r="E52" s="61">
        <v>0</v>
      </c>
      <c r="F52" s="61">
        <v>0</v>
      </c>
      <c r="G52" s="61">
        <v>0</v>
      </c>
      <c r="H52" s="61">
        <v>0</v>
      </c>
      <c r="I52" s="61">
        <v>0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61">
        <v>0</v>
      </c>
      <c r="U52" s="65">
        <v>0</v>
      </c>
      <c r="V52" s="61">
        <v>0</v>
      </c>
      <c r="W52" s="61">
        <v>0</v>
      </c>
      <c r="X52" s="61">
        <v>0</v>
      </c>
      <c r="Y52" s="63">
        <v>0</v>
      </c>
      <c r="Z52" s="61">
        <v>0</v>
      </c>
      <c r="AA52" s="61">
        <v>0</v>
      </c>
      <c r="AB52" s="61">
        <v>0</v>
      </c>
      <c r="AC52" s="66">
        <v>1</v>
      </c>
      <c r="AD52" s="66">
        <v>1</v>
      </c>
      <c r="AE52" s="66">
        <v>1</v>
      </c>
      <c r="AF52" s="66">
        <v>1</v>
      </c>
      <c r="AG52" s="66">
        <v>1</v>
      </c>
      <c r="AH52" s="66">
        <v>1</v>
      </c>
      <c r="AI52" s="66">
        <v>1</v>
      </c>
      <c r="AJ52" s="66">
        <v>1</v>
      </c>
      <c r="AK52" s="66">
        <v>1</v>
      </c>
      <c r="AL52" s="66">
        <v>1</v>
      </c>
      <c r="AM52" s="66">
        <v>1</v>
      </c>
      <c r="AN52" s="66">
        <v>1</v>
      </c>
      <c r="AO52" s="66">
        <v>1</v>
      </c>
      <c r="AP52" s="66">
        <v>1</v>
      </c>
      <c r="AQ52" s="66">
        <v>1</v>
      </c>
      <c r="AR52" s="66">
        <v>1</v>
      </c>
      <c r="AS52" s="66">
        <v>1</v>
      </c>
      <c r="AT52" s="61">
        <v>0</v>
      </c>
      <c r="AU52" s="61">
        <v>0</v>
      </c>
      <c r="AV52" s="61">
        <v>0</v>
      </c>
      <c r="AW52" s="61">
        <v>0</v>
      </c>
      <c r="AX52" s="61">
        <v>0</v>
      </c>
      <c r="AY52" s="61">
        <v>0</v>
      </c>
      <c r="AZ52" s="61">
        <v>0</v>
      </c>
      <c r="BA52" s="61">
        <v>0</v>
      </c>
      <c r="BB52" s="61">
        <v>0</v>
      </c>
      <c r="BC52" s="61">
        <v>0</v>
      </c>
      <c r="BD52" s="61">
        <v>0</v>
      </c>
      <c r="BE52" s="61">
        <v>0</v>
      </c>
      <c r="BF52" s="61">
        <v>0</v>
      </c>
      <c r="BG52" s="61">
        <v>0</v>
      </c>
      <c r="BH52" s="61">
        <v>0</v>
      </c>
      <c r="BI52" s="61">
        <v>0</v>
      </c>
      <c r="BJ52" s="61">
        <v>0</v>
      </c>
      <c r="BK52" s="61">
        <v>0</v>
      </c>
      <c r="BL52" s="61">
        <v>0</v>
      </c>
      <c r="BM52" s="61">
        <v>0</v>
      </c>
      <c r="BN52" s="61">
        <v>0</v>
      </c>
      <c r="BO52" s="61">
        <v>0</v>
      </c>
      <c r="BP52" s="61">
        <v>0</v>
      </c>
      <c r="BQ52" s="61">
        <v>0</v>
      </c>
      <c r="BR52" s="61">
        <v>0</v>
      </c>
      <c r="BS52" s="61">
        <v>0</v>
      </c>
      <c r="BT52" s="61">
        <v>0</v>
      </c>
      <c r="BU52" s="61">
        <v>0</v>
      </c>
      <c r="BV52" s="61">
        <v>0</v>
      </c>
      <c r="BW52" s="61">
        <v>0</v>
      </c>
      <c r="BX52" s="61">
        <v>0</v>
      </c>
      <c r="BY52" s="61">
        <v>0</v>
      </c>
      <c r="BZ52" s="61">
        <v>0</v>
      </c>
      <c r="CA52" s="61">
        <v>0</v>
      </c>
      <c r="CB52" s="61">
        <v>0</v>
      </c>
      <c r="CC52" s="61">
        <v>0</v>
      </c>
      <c r="CD52" s="61">
        <v>0</v>
      </c>
      <c r="CE52" s="66">
        <v>1</v>
      </c>
      <c r="CF52" s="66">
        <v>1</v>
      </c>
      <c r="CG52" s="66">
        <v>1</v>
      </c>
      <c r="CH52" s="66">
        <v>1</v>
      </c>
      <c r="CI52" s="61">
        <v>0</v>
      </c>
      <c r="CJ52" s="61">
        <v>0</v>
      </c>
      <c r="CK52" s="61">
        <v>0</v>
      </c>
      <c r="CL52" s="61">
        <v>0</v>
      </c>
      <c r="CM52" s="61">
        <v>0</v>
      </c>
      <c r="CN52" s="61">
        <v>0</v>
      </c>
      <c r="CO52" s="61">
        <v>0</v>
      </c>
      <c r="CP52" s="61">
        <v>0</v>
      </c>
      <c r="CQ52" s="61">
        <v>0</v>
      </c>
      <c r="CR52" s="61">
        <v>0</v>
      </c>
      <c r="CS52" s="61">
        <v>0</v>
      </c>
      <c r="CT52" s="61">
        <v>0</v>
      </c>
      <c r="CU52" s="61">
        <v>0</v>
      </c>
      <c r="CV52" s="61">
        <v>0</v>
      </c>
      <c r="CW52" s="61">
        <v>0</v>
      </c>
      <c r="CX52" s="61">
        <v>0</v>
      </c>
      <c r="CY52" s="61">
        <v>0</v>
      </c>
      <c r="CZ52" s="61">
        <v>0</v>
      </c>
      <c r="DA52" s="61">
        <v>0</v>
      </c>
      <c r="DB52" s="61">
        <v>0</v>
      </c>
      <c r="DC52" s="61">
        <v>0</v>
      </c>
      <c r="DD52" s="61">
        <v>0</v>
      </c>
      <c r="DE52" s="61">
        <v>0</v>
      </c>
      <c r="DF52" s="61">
        <v>0</v>
      </c>
      <c r="DG52" s="61">
        <v>0</v>
      </c>
      <c r="DH52" s="61">
        <v>0</v>
      </c>
      <c r="DI52" s="61">
        <v>0</v>
      </c>
      <c r="DJ52" s="61">
        <v>0</v>
      </c>
      <c r="DK52" s="61">
        <v>0</v>
      </c>
      <c r="DL52" s="61">
        <v>0</v>
      </c>
      <c r="DM52" s="61">
        <v>0</v>
      </c>
      <c r="DN52" s="61">
        <v>0</v>
      </c>
      <c r="DO52" s="61">
        <v>0</v>
      </c>
      <c r="DP52" s="61">
        <v>0</v>
      </c>
      <c r="DQ52" s="61">
        <v>0</v>
      </c>
      <c r="DR52" s="61">
        <v>0</v>
      </c>
      <c r="DS52" s="61">
        <v>0</v>
      </c>
      <c r="DT52" s="61">
        <v>0</v>
      </c>
      <c r="DU52" s="61">
        <v>0</v>
      </c>
      <c r="DV52" s="61">
        <v>0</v>
      </c>
      <c r="DW52" s="61">
        <v>0</v>
      </c>
      <c r="DX52" s="61">
        <v>0</v>
      </c>
      <c r="DY52" s="61">
        <v>0</v>
      </c>
      <c r="DZ52" s="61">
        <v>0</v>
      </c>
      <c r="EA52" s="61">
        <v>0</v>
      </c>
      <c r="EB52" s="61">
        <v>0</v>
      </c>
      <c r="EC52" s="61">
        <v>0</v>
      </c>
      <c r="ED52" s="66">
        <v>1</v>
      </c>
      <c r="EE52" s="66">
        <v>1</v>
      </c>
      <c r="EF52" s="66">
        <v>1</v>
      </c>
      <c r="EG52" s="66">
        <v>1</v>
      </c>
      <c r="EH52" s="66">
        <v>1</v>
      </c>
      <c r="EI52" s="66">
        <v>1</v>
      </c>
      <c r="EJ52" s="66">
        <v>1</v>
      </c>
      <c r="EK52" s="66">
        <v>1</v>
      </c>
      <c r="EL52" s="66">
        <v>1</v>
      </c>
      <c r="EM52" s="66">
        <v>1</v>
      </c>
      <c r="EN52" s="66">
        <v>1</v>
      </c>
      <c r="EO52" s="66">
        <v>1</v>
      </c>
      <c r="EP52" s="66">
        <v>1</v>
      </c>
      <c r="EQ52" s="66">
        <v>1</v>
      </c>
      <c r="ER52" s="66">
        <v>1</v>
      </c>
      <c r="ES52" s="66">
        <v>1</v>
      </c>
      <c r="ET52" s="66">
        <v>1</v>
      </c>
      <c r="EU52" s="61">
        <v>0</v>
      </c>
      <c r="EV52" s="61">
        <v>0</v>
      </c>
      <c r="EW52" s="61">
        <v>0</v>
      </c>
      <c r="EX52" s="61">
        <v>0</v>
      </c>
      <c r="EY52" s="61">
        <v>0</v>
      </c>
      <c r="EZ52" s="61">
        <v>0</v>
      </c>
      <c r="FA52" s="61">
        <v>0</v>
      </c>
      <c r="FB52" s="61">
        <v>0</v>
      </c>
      <c r="FC52" s="61">
        <v>0</v>
      </c>
      <c r="FD52" s="61">
        <v>0</v>
      </c>
      <c r="FE52" s="61">
        <v>0</v>
      </c>
      <c r="FF52" s="61">
        <v>0</v>
      </c>
      <c r="FG52" s="61">
        <v>0</v>
      </c>
      <c r="FH52" s="66">
        <v>1</v>
      </c>
      <c r="FI52" s="61">
        <v>0</v>
      </c>
      <c r="FJ52" s="66">
        <v>1</v>
      </c>
      <c r="FK52" s="61">
        <v>0</v>
      </c>
      <c r="FL52" s="66">
        <v>1</v>
      </c>
      <c r="FM52" s="61">
        <v>0</v>
      </c>
      <c r="FN52" s="61">
        <v>0</v>
      </c>
      <c r="FO52" s="61">
        <v>0</v>
      </c>
      <c r="FP52" s="61">
        <v>0</v>
      </c>
      <c r="FQ52" s="61">
        <v>0</v>
      </c>
      <c r="FR52" s="61">
        <v>0</v>
      </c>
      <c r="FS52" s="66">
        <v>1</v>
      </c>
      <c r="FT52" s="66">
        <v>1</v>
      </c>
      <c r="FU52" s="66">
        <v>1</v>
      </c>
      <c r="FV52" s="66">
        <v>1</v>
      </c>
      <c r="FW52" s="63">
        <v>0</v>
      </c>
      <c r="FX52" s="63">
        <v>0</v>
      </c>
      <c r="FY52" s="63">
        <v>0</v>
      </c>
      <c r="FZ52" s="63">
        <v>0</v>
      </c>
      <c r="GA52" s="63">
        <v>0</v>
      </c>
      <c r="GB52" s="63">
        <v>0</v>
      </c>
      <c r="GC52" s="63">
        <v>0</v>
      </c>
      <c r="GD52" s="66">
        <v>1</v>
      </c>
      <c r="GE52" s="66">
        <v>1</v>
      </c>
      <c r="GF52" s="66">
        <v>1</v>
      </c>
      <c r="GG52" s="66">
        <v>1</v>
      </c>
      <c r="GH52" s="66">
        <v>1</v>
      </c>
      <c r="GI52" s="66">
        <v>1</v>
      </c>
      <c r="GJ52" s="66">
        <v>1</v>
      </c>
      <c r="GK52" s="66">
        <v>1</v>
      </c>
      <c r="GL52" s="63">
        <v>0</v>
      </c>
      <c r="GM52" s="63">
        <v>0</v>
      </c>
      <c r="GN52" s="63">
        <v>0</v>
      </c>
      <c r="GO52" s="63">
        <v>0</v>
      </c>
      <c r="GP52" s="63">
        <v>0</v>
      </c>
      <c r="GQ52" s="63">
        <v>0</v>
      </c>
      <c r="GR52" s="63">
        <v>0</v>
      </c>
      <c r="GS52" s="63">
        <v>0</v>
      </c>
      <c r="GT52" s="63">
        <v>0</v>
      </c>
      <c r="GU52" s="63">
        <v>0</v>
      </c>
      <c r="GV52" s="63">
        <v>0</v>
      </c>
      <c r="GW52" s="63">
        <v>0</v>
      </c>
      <c r="GX52" s="63">
        <v>0</v>
      </c>
      <c r="GY52" s="63">
        <v>0</v>
      </c>
      <c r="GZ52" s="63">
        <v>0</v>
      </c>
      <c r="HA52" s="63">
        <v>0</v>
      </c>
      <c r="HB52" s="63">
        <v>0</v>
      </c>
      <c r="HC52" s="63">
        <v>0</v>
      </c>
      <c r="HD52" s="63">
        <v>0</v>
      </c>
      <c r="HE52" s="63">
        <v>0</v>
      </c>
      <c r="HF52" s="63">
        <v>0</v>
      </c>
      <c r="HG52" s="63">
        <v>0</v>
      </c>
      <c r="HH52" s="63">
        <v>0</v>
      </c>
      <c r="HI52" s="63">
        <v>0</v>
      </c>
      <c r="HJ52" s="63">
        <v>1818</v>
      </c>
      <c r="HK52" s="63">
        <f>SUM(U$4:HI$4)</f>
        <v>197</v>
      </c>
      <c r="HL52" s="61">
        <f>SUM(U52:HI52)</f>
        <v>53</v>
      </c>
      <c r="HM52" s="67">
        <f t="shared" si="1"/>
        <v>26.903553299492387</v>
      </c>
      <c r="HN52" s="67"/>
      <c r="HO52" s="68">
        <v>0.38</v>
      </c>
      <c r="HP52" s="68">
        <v>0.31</v>
      </c>
      <c r="HQ52" s="61">
        <v>0.42</v>
      </c>
    </row>
    <row r="53" spans="1:238" x14ac:dyDescent="0.3">
      <c r="B53" s="63" t="s">
        <v>7286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0</v>
      </c>
      <c r="V53" s="65">
        <v>0</v>
      </c>
      <c r="W53" s="61">
        <v>0</v>
      </c>
      <c r="X53" s="61">
        <v>0</v>
      </c>
      <c r="Y53" s="61">
        <v>0</v>
      </c>
      <c r="Z53" s="61">
        <v>0</v>
      </c>
      <c r="AA53" s="61">
        <v>0</v>
      </c>
      <c r="AB53" s="61">
        <v>0</v>
      </c>
      <c r="AC53" s="66">
        <v>1</v>
      </c>
      <c r="AD53" s="66">
        <v>1</v>
      </c>
      <c r="AE53" s="66">
        <v>1</v>
      </c>
      <c r="AF53" s="66">
        <v>1</v>
      </c>
      <c r="AG53" s="66">
        <v>1</v>
      </c>
      <c r="AH53" s="66">
        <v>1</v>
      </c>
      <c r="AI53" s="66">
        <v>1</v>
      </c>
      <c r="AJ53" s="66">
        <v>1</v>
      </c>
      <c r="AK53" s="66">
        <v>1</v>
      </c>
      <c r="AL53" s="66">
        <v>1</v>
      </c>
      <c r="AM53" s="66">
        <v>1</v>
      </c>
      <c r="AN53" s="66">
        <v>1</v>
      </c>
      <c r="AO53" s="66">
        <v>1</v>
      </c>
      <c r="AP53" s="66">
        <v>1</v>
      </c>
      <c r="AQ53" s="66">
        <v>1</v>
      </c>
      <c r="AR53" s="66">
        <v>1</v>
      </c>
      <c r="AS53" s="66">
        <v>1</v>
      </c>
      <c r="AT53" s="66">
        <v>1</v>
      </c>
      <c r="AU53" s="66">
        <v>1</v>
      </c>
      <c r="AV53" s="66">
        <v>1</v>
      </c>
      <c r="AW53" s="61">
        <v>0</v>
      </c>
      <c r="AX53" s="61">
        <v>0</v>
      </c>
      <c r="AY53" s="61">
        <v>0</v>
      </c>
      <c r="AZ53" s="61">
        <v>0</v>
      </c>
      <c r="BA53" s="66">
        <v>1</v>
      </c>
      <c r="BB53" s="66">
        <v>1</v>
      </c>
      <c r="BC53" s="66">
        <v>1</v>
      </c>
      <c r="BD53" s="66">
        <v>1</v>
      </c>
      <c r="BE53" s="66">
        <v>1</v>
      </c>
      <c r="BF53" s="66">
        <v>1</v>
      </c>
      <c r="BG53" s="66">
        <v>1</v>
      </c>
      <c r="BH53" s="66">
        <v>1</v>
      </c>
      <c r="BI53" s="66">
        <v>1</v>
      </c>
      <c r="BJ53" s="66">
        <v>1</v>
      </c>
      <c r="BK53" s="66">
        <v>1</v>
      </c>
      <c r="BL53" s="66">
        <v>1</v>
      </c>
      <c r="BM53" s="61">
        <v>0</v>
      </c>
      <c r="BN53" s="61">
        <v>0</v>
      </c>
      <c r="BO53" s="61">
        <v>0</v>
      </c>
      <c r="BP53" s="61">
        <v>0</v>
      </c>
      <c r="BQ53" s="61">
        <v>0</v>
      </c>
      <c r="BR53" s="61">
        <v>0</v>
      </c>
      <c r="BS53" s="61">
        <v>0</v>
      </c>
      <c r="BT53" s="61">
        <v>0</v>
      </c>
      <c r="BU53" s="61">
        <v>0</v>
      </c>
      <c r="BV53" s="61">
        <v>0</v>
      </c>
      <c r="BW53" s="61">
        <v>0</v>
      </c>
      <c r="BX53" s="66">
        <v>1</v>
      </c>
      <c r="BY53" s="61">
        <v>0</v>
      </c>
      <c r="BZ53" s="61">
        <v>0</v>
      </c>
      <c r="CA53" s="61">
        <v>0</v>
      </c>
      <c r="CB53" s="61">
        <v>0</v>
      </c>
      <c r="CC53" s="61">
        <v>0</v>
      </c>
      <c r="CD53" s="61">
        <v>0</v>
      </c>
      <c r="CE53" s="66">
        <v>1</v>
      </c>
      <c r="CF53" s="66">
        <v>1</v>
      </c>
      <c r="CG53" s="66">
        <v>1</v>
      </c>
      <c r="CH53" s="66">
        <v>1</v>
      </c>
      <c r="CI53" s="66">
        <v>1</v>
      </c>
      <c r="CJ53" s="66">
        <v>1</v>
      </c>
      <c r="CK53" s="66">
        <v>1</v>
      </c>
      <c r="CL53" s="66">
        <v>1</v>
      </c>
      <c r="CM53" s="66">
        <v>1</v>
      </c>
      <c r="CN53" s="66">
        <v>1</v>
      </c>
      <c r="CO53" s="66">
        <v>1</v>
      </c>
      <c r="CP53" s="66">
        <v>1</v>
      </c>
      <c r="CQ53" s="66">
        <v>1</v>
      </c>
      <c r="CR53" s="66">
        <v>1</v>
      </c>
      <c r="CS53" s="66">
        <v>1</v>
      </c>
      <c r="CT53" s="66">
        <v>1</v>
      </c>
      <c r="CU53" s="66">
        <v>1</v>
      </c>
      <c r="CV53" s="61">
        <v>0</v>
      </c>
      <c r="CW53" s="61">
        <v>0</v>
      </c>
      <c r="CX53" s="61">
        <v>0</v>
      </c>
      <c r="CY53" s="66">
        <v>1</v>
      </c>
      <c r="CZ53" s="66">
        <v>1</v>
      </c>
      <c r="DA53" s="66">
        <v>1</v>
      </c>
      <c r="DB53" s="66">
        <v>1</v>
      </c>
      <c r="DC53" s="66">
        <v>1</v>
      </c>
      <c r="DD53" s="61">
        <v>0</v>
      </c>
      <c r="DE53" s="61">
        <v>0</v>
      </c>
      <c r="DF53" s="61">
        <v>0</v>
      </c>
      <c r="DG53" s="61">
        <v>0</v>
      </c>
      <c r="DH53" s="61">
        <v>0</v>
      </c>
      <c r="DI53" s="61">
        <v>0</v>
      </c>
      <c r="DJ53" s="61">
        <v>0</v>
      </c>
      <c r="DK53" s="61">
        <v>0</v>
      </c>
      <c r="DL53" s="61">
        <v>0</v>
      </c>
      <c r="DM53" s="61">
        <v>0</v>
      </c>
      <c r="DN53" s="61">
        <v>0</v>
      </c>
      <c r="DO53" s="61">
        <v>0</v>
      </c>
      <c r="DP53" s="61">
        <v>0</v>
      </c>
      <c r="DQ53" s="61">
        <v>0</v>
      </c>
      <c r="DR53" s="61">
        <v>0</v>
      </c>
      <c r="DS53" s="61">
        <v>0</v>
      </c>
      <c r="DT53" s="61">
        <v>0</v>
      </c>
      <c r="DU53" s="61">
        <v>0</v>
      </c>
      <c r="DV53" s="61">
        <v>0</v>
      </c>
      <c r="DW53" s="61">
        <v>0</v>
      </c>
      <c r="DX53" s="61">
        <v>0</v>
      </c>
      <c r="DY53" s="61">
        <v>0</v>
      </c>
      <c r="DZ53" s="61">
        <v>0</v>
      </c>
      <c r="EA53" s="61">
        <v>0</v>
      </c>
      <c r="EB53" s="61">
        <v>0</v>
      </c>
      <c r="EC53" s="61">
        <v>0</v>
      </c>
      <c r="ED53" s="61">
        <v>0</v>
      </c>
      <c r="EE53" s="66">
        <v>1</v>
      </c>
      <c r="EF53" s="66">
        <v>1</v>
      </c>
      <c r="EG53" s="66">
        <v>1</v>
      </c>
      <c r="EH53" s="66">
        <v>1</v>
      </c>
      <c r="EI53" s="66">
        <v>1</v>
      </c>
      <c r="EJ53" s="66">
        <v>1</v>
      </c>
      <c r="EK53" s="66">
        <v>1</v>
      </c>
      <c r="EL53" s="66">
        <v>1</v>
      </c>
      <c r="EM53" s="66">
        <v>1</v>
      </c>
      <c r="EN53" s="66">
        <v>1</v>
      </c>
      <c r="EO53" s="66">
        <v>1</v>
      </c>
      <c r="EP53" s="66">
        <v>1</v>
      </c>
      <c r="EQ53" s="66">
        <v>1</v>
      </c>
      <c r="ER53" s="61">
        <v>0</v>
      </c>
      <c r="ES53" s="61">
        <v>0</v>
      </c>
      <c r="ET53" s="61">
        <v>0</v>
      </c>
      <c r="EU53" s="61">
        <v>0</v>
      </c>
      <c r="EV53" s="61">
        <v>0</v>
      </c>
      <c r="EW53" s="61">
        <v>0</v>
      </c>
      <c r="EX53" s="61">
        <v>0</v>
      </c>
      <c r="EY53" s="61">
        <v>0</v>
      </c>
      <c r="EZ53" s="61">
        <v>0</v>
      </c>
      <c r="FA53" s="61">
        <v>0</v>
      </c>
      <c r="FB53" s="61">
        <v>0</v>
      </c>
      <c r="FC53" s="61">
        <v>0</v>
      </c>
      <c r="FD53" s="61">
        <v>0</v>
      </c>
      <c r="FE53" s="61">
        <v>0</v>
      </c>
      <c r="FF53" s="61">
        <v>0</v>
      </c>
      <c r="FG53" s="61">
        <v>0</v>
      </c>
      <c r="FH53" s="61">
        <v>0</v>
      </c>
      <c r="FI53" s="61">
        <v>0</v>
      </c>
      <c r="FJ53" s="61">
        <v>0</v>
      </c>
      <c r="FK53" s="61">
        <v>0</v>
      </c>
      <c r="FL53" s="61">
        <v>0</v>
      </c>
      <c r="FM53" s="61">
        <v>0</v>
      </c>
      <c r="FN53" s="61">
        <v>0</v>
      </c>
      <c r="FO53" s="61">
        <v>0</v>
      </c>
      <c r="FP53" s="61">
        <v>0</v>
      </c>
      <c r="FQ53" s="61">
        <v>0</v>
      </c>
      <c r="FR53" s="61">
        <v>0</v>
      </c>
      <c r="FS53" s="61">
        <v>0</v>
      </c>
      <c r="FT53" s="61">
        <v>0</v>
      </c>
      <c r="FU53" s="61">
        <v>0</v>
      </c>
      <c r="FV53" s="63">
        <v>0</v>
      </c>
      <c r="FW53" s="63">
        <v>0</v>
      </c>
      <c r="FX53" s="63">
        <v>0</v>
      </c>
      <c r="FY53" s="63">
        <v>0</v>
      </c>
      <c r="FZ53" s="63">
        <v>0</v>
      </c>
      <c r="GA53" s="63">
        <v>0</v>
      </c>
      <c r="GB53" s="63">
        <v>0</v>
      </c>
      <c r="GC53" s="63">
        <v>0</v>
      </c>
      <c r="GD53" s="63">
        <v>0</v>
      </c>
      <c r="GE53" s="63">
        <v>0</v>
      </c>
      <c r="GF53" s="63">
        <v>0</v>
      </c>
      <c r="GG53" s="63">
        <v>0</v>
      </c>
      <c r="GH53" s="63">
        <v>0</v>
      </c>
      <c r="GI53" s="63">
        <v>0</v>
      </c>
      <c r="GJ53" s="63">
        <v>0</v>
      </c>
      <c r="GK53" s="63">
        <v>0</v>
      </c>
      <c r="GL53" s="63">
        <v>0</v>
      </c>
      <c r="GM53" s="63">
        <v>0</v>
      </c>
      <c r="GN53" s="63">
        <v>0</v>
      </c>
      <c r="GO53" s="63">
        <v>0</v>
      </c>
      <c r="GP53" s="63">
        <v>0</v>
      </c>
      <c r="GQ53" s="63">
        <v>0</v>
      </c>
      <c r="GR53" s="63">
        <v>0</v>
      </c>
      <c r="GS53" s="63">
        <v>0</v>
      </c>
      <c r="GT53" s="63">
        <v>0</v>
      </c>
      <c r="GU53" s="63">
        <v>0</v>
      </c>
      <c r="GV53" s="63">
        <v>0</v>
      </c>
      <c r="GW53" s="63">
        <v>0</v>
      </c>
      <c r="GX53" s="63">
        <v>0</v>
      </c>
      <c r="GY53" s="63">
        <v>0</v>
      </c>
      <c r="GZ53" s="63">
        <v>0</v>
      </c>
      <c r="HA53" s="63">
        <v>0</v>
      </c>
      <c r="HB53" s="63">
        <v>0</v>
      </c>
      <c r="HC53" s="63">
        <v>0</v>
      </c>
      <c r="HD53" s="63">
        <v>0</v>
      </c>
      <c r="HE53" s="63">
        <v>0</v>
      </c>
      <c r="HF53" s="63">
        <v>0</v>
      </c>
      <c r="HG53" s="63">
        <v>0</v>
      </c>
      <c r="HH53" s="63">
        <v>0</v>
      </c>
      <c r="HI53" s="63">
        <v>0</v>
      </c>
      <c r="HJ53" s="63">
        <v>1819</v>
      </c>
      <c r="HK53" s="63">
        <f>SUM(V$4:HI$4)</f>
        <v>196</v>
      </c>
      <c r="HL53" s="61">
        <f>SUM(V53:HI53)</f>
        <v>68</v>
      </c>
      <c r="HM53" s="67">
        <f t="shared" si="1"/>
        <v>34.693877551020407</v>
      </c>
      <c r="HN53" s="67"/>
      <c r="HO53" s="68">
        <v>0.23</v>
      </c>
      <c r="HP53" s="68">
        <v>0.59</v>
      </c>
      <c r="HQ53" s="61">
        <v>0.54</v>
      </c>
    </row>
    <row r="54" spans="1:238" x14ac:dyDescent="0.3">
      <c r="B54" s="63" t="s">
        <v>7287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  <c r="W54" s="61">
        <v>0</v>
      </c>
      <c r="X54" s="65">
        <v>0</v>
      </c>
      <c r="Y54" s="61">
        <v>0</v>
      </c>
      <c r="Z54" s="61">
        <v>0</v>
      </c>
      <c r="AA54" s="61">
        <v>0</v>
      </c>
      <c r="AB54" s="61">
        <v>0</v>
      </c>
      <c r="AC54" s="61">
        <v>0</v>
      </c>
      <c r="AD54" s="61">
        <v>0</v>
      </c>
      <c r="AE54" s="66">
        <v>1</v>
      </c>
      <c r="AF54" s="66">
        <v>1</v>
      </c>
      <c r="AG54" s="66">
        <v>1</v>
      </c>
      <c r="AH54" s="66">
        <v>1</v>
      </c>
      <c r="AI54" s="66">
        <v>1</v>
      </c>
      <c r="AJ54" s="66">
        <v>1</v>
      </c>
      <c r="AK54" s="66">
        <v>1</v>
      </c>
      <c r="AL54" s="66">
        <v>1</v>
      </c>
      <c r="AM54" s="66">
        <v>1</v>
      </c>
      <c r="AN54" s="66">
        <v>1</v>
      </c>
      <c r="AO54" s="66">
        <v>1</v>
      </c>
      <c r="AP54" s="66">
        <v>1</v>
      </c>
      <c r="AQ54" s="66">
        <v>1</v>
      </c>
      <c r="AR54" s="61">
        <v>0</v>
      </c>
      <c r="AS54" s="61">
        <v>0</v>
      </c>
      <c r="AT54" s="61">
        <v>0</v>
      </c>
      <c r="AU54" s="61">
        <v>0</v>
      </c>
      <c r="AV54" s="61">
        <v>0</v>
      </c>
      <c r="AW54" s="61">
        <v>0</v>
      </c>
      <c r="AX54" s="61">
        <v>0</v>
      </c>
      <c r="AY54" s="61">
        <v>0</v>
      </c>
      <c r="AZ54" s="61">
        <v>0</v>
      </c>
      <c r="BA54" s="61">
        <v>0</v>
      </c>
      <c r="BB54" s="61">
        <v>0</v>
      </c>
      <c r="BC54" s="61">
        <v>0</v>
      </c>
      <c r="BD54" s="61">
        <v>0</v>
      </c>
      <c r="BE54" s="61">
        <v>0</v>
      </c>
      <c r="BF54" s="61">
        <v>0</v>
      </c>
      <c r="BG54" s="61">
        <v>0</v>
      </c>
      <c r="BH54" s="61">
        <v>0</v>
      </c>
      <c r="BI54" s="61">
        <v>0</v>
      </c>
      <c r="BJ54" s="61">
        <v>0</v>
      </c>
      <c r="BK54" s="61">
        <v>0</v>
      </c>
      <c r="BL54" s="61">
        <v>0</v>
      </c>
      <c r="BM54" s="61">
        <v>0</v>
      </c>
      <c r="BN54" s="61">
        <v>0</v>
      </c>
      <c r="BO54" s="61">
        <v>0</v>
      </c>
      <c r="BP54" s="61">
        <v>0</v>
      </c>
      <c r="BQ54" s="61">
        <v>0</v>
      </c>
      <c r="BR54" s="61">
        <v>0</v>
      </c>
      <c r="BS54" s="61">
        <v>0</v>
      </c>
      <c r="BT54" s="61">
        <v>0</v>
      </c>
      <c r="BU54" s="61">
        <v>0</v>
      </c>
      <c r="BV54" s="61">
        <v>0</v>
      </c>
      <c r="BW54" s="61">
        <v>0</v>
      </c>
      <c r="BX54" s="61">
        <v>0</v>
      </c>
      <c r="BY54" s="66">
        <v>1</v>
      </c>
      <c r="BZ54" s="66">
        <v>1</v>
      </c>
      <c r="CA54" s="66">
        <v>1</v>
      </c>
      <c r="CB54" s="66">
        <v>1</v>
      </c>
      <c r="CC54" s="66">
        <v>1</v>
      </c>
      <c r="CD54" s="66">
        <v>1</v>
      </c>
      <c r="CE54" s="66">
        <v>1</v>
      </c>
      <c r="CF54" s="66">
        <v>1</v>
      </c>
      <c r="CG54" s="66">
        <v>1</v>
      </c>
      <c r="CH54" s="66">
        <v>1</v>
      </c>
      <c r="CI54" s="66">
        <v>1</v>
      </c>
      <c r="CJ54" s="66">
        <v>1</v>
      </c>
      <c r="CK54" s="61">
        <v>0</v>
      </c>
      <c r="CL54" s="61">
        <v>0</v>
      </c>
      <c r="CM54" s="61">
        <v>0</v>
      </c>
      <c r="CN54" s="61">
        <v>0</v>
      </c>
      <c r="CO54" s="61">
        <v>0</v>
      </c>
      <c r="CP54" s="61">
        <v>0</v>
      </c>
      <c r="CQ54" s="61">
        <v>0</v>
      </c>
      <c r="CR54" s="61">
        <v>0</v>
      </c>
      <c r="CS54" s="61">
        <v>0</v>
      </c>
      <c r="CT54" s="66">
        <v>1</v>
      </c>
      <c r="CU54" s="66">
        <v>1</v>
      </c>
      <c r="CV54" s="66">
        <v>1</v>
      </c>
      <c r="CW54" s="61">
        <v>0</v>
      </c>
      <c r="CX54" s="61">
        <v>0</v>
      </c>
      <c r="CY54" s="61">
        <v>0</v>
      </c>
      <c r="CZ54" s="66">
        <v>1</v>
      </c>
      <c r="DA54" s="66">
        <v>1</v>
      </c>
      <c r="DB54" s="66">
        <v>1</v>
      </c>
      <c r="DC54" s="66">
        <v>1</v>
      </c>
      <c r="DD54" s="66">
        <v>1</v>
      </c>
      <c r="DE54" s="66">
        <v>1</v>
      </c>
      <c r="DF54" s="66">
        <v>1</v>
      </c>
      <c r="DG54" s="66">
        <v>1</v>
      </c>
      <c r="DH54" s="66">
        <v>1</v>
      </c>
      <c r="DI54" s="66">
        <v>1</v>
      </c>
      <c r="DJ54" s="66">
        <v>1</v>
      </c>
      <c r="DK54" s="61">
        <v>0</v>
      </c>
      <c r="DL54" s="61">
        <v>0</v>
      </c>
      <c r="DM54" s="61">
        <v>0</v>
      </c>
      <c r="DN54" s="61">
        <v>0</v>
      </c>
      <c r="DO54" s="61">
        <v>0</v>
      </c>
      <c r="DP54" s="61">
        <v>0</v>
      </c>
      <c r="DQ54" s="61">
        <v>0</v>
      </c>
      <c r="DR54" s="61">
        <v>0</v>
      </c>
      <c r="DS54" s="61">
        <v>0</v>
      </c>
      <c r="DT54" s="61">
        <v>0</v>
      </c>
      <c r="DU54" s="61">
        <v>0</v>
      </c>
      <c r="DV54" s="61">
        <v>0</v>
      </c>
      <c r="DW54" s="61">
        <v>0</v>
      </c>
      <c r="DX54" s="61">
        <v>0</v>
      </c>
      <c r="DY54" s="61">
        <v>0</v>
      </c>
      <c r="DZ54" s="61">
        <v>0</v>
      </c>
      <c r="EA54" s="61">
        <v>0</v>
      </c>
      <c r="EB54" s="61">
        <v>0</v>
      </c>
      <c r="EC54" s="61">
        <v>0</v>
      </c>
      <c r="ED54" s="61">
        <v>0</v>
      </c>
      <c r="EE54" s="66">
        <v>1</v>
      </c>
      <c r="EF54" s="66">
        <v>1</v>
      </c>
      <c r="EG54" s="66">
        <v>1</v>
      </c>
      <c r="EH54" s="66">
        <v>1</v>
      </c>
      <c r="EI54" s="66">
        <v>1</v>
      </c>
      <c r="EJ54" s="66">
        <v>1</v>
      </c>
      <c r="EK54" s="66">
        <v>1</v>
      </c>
      <c r="EL54" s="66">
        <v>1</v>
      </c>
      <c r="EM54" s="66">
        <v>1</v>
      </c>
      <c r="EN54" s="66">
        <v>1</v>
      </c>
      <c r="EO54" s="66">
        <v>1</v>
      </c>
      <c r="EP54" s="66">
        <v>1</v>
      </c>
      <c r="EQ54" s="66">
        <v>1</v>
      </c>
      <c r="ER54" s="66">
        <v>1</v>
      </c>
      <c r="ES54" s="66">
        <v>1</v>
      </c>
      <c r="ET54" s="66">
        <v>1</v>
      </c>
      <c r="EU54" s="66">
        <v>1</v>
      </c>
      <c r="EV54" s="66">
        <v>1</v>
      </c>
      <c r="EW54" s="66">
        <v>1</v>
      </c>
      <c r="EX54" s="66">
        <v>1</v>
      </c>
      <c r="EY54" s="66">
        <v>1</v>
      </c>
      <c r="EZ54" s="61">
        <v>0</v>
      </c>
      <c r="FA54" s="61">
        <v>0</v>
      </c>
      <c r="FB54" s="61">
        <v>0</v>
      </c>
      <c r="FC54" s="61">
        <v>0</v>
      </c>
      <c r="FD54" s="61">
        <v>0</v>
      </c>
      <c r="FE54" s="61">
        <v>0</v>
      </c>
      <c r="FF54" s="61">
        <v>0</v>
      </c>
      <c r="FG54" s="61">
        <v>0</v>
      </c>
      <c r="FH54" s="61">
        <v>0</v>
      </c>
      <c r="FI54" s="66">
        <v>1</v>
      </c>
      <c r="FJ54" s="61">
        <v>0</v>
      </c>
      <c r="FK54" s="61">
        <v>0</v>
      </c>
      <c r="FL54" s="61">
        <v>0</v>
      </c>
      <c r="FM54" s="61">
        <v>0</v>
      </c>
      <c r="FN54" s="61">
        <v>0</v>
      </c>
      <c r="FO54" s="61">
        <v>0</v>
      </c>
      <c r="FP54" s="61">
        <v>0</v>
      </c>
      <c r="FQ54" s="61">
        <v>0</v>
      </c>
      <c r="FR54" s="61">
        <v>0</v>
      </c>
      <c r="FS54" s="61">
        <v>0</v>
      </c>
      <c r="FT54" s="61">
        <v>0</v>
      </c>
      <c r="FU54" s="61">
        <v>0</v>
      </c>
      <c r="FV54" s="63">
        <v>0</v>
      </c>
      <c r="FW54" s="63">
        <v>0</v>
      </c>
      <c r="FX54" s="63">
        <v>0</v>
      </c>
      <c r="FY54" s="63">
        <v>0</v>
      </c>
      <c r="FZ54" s="63">
        <v>0</v>
      </c>
      <c r="GA54" s="63">
        <v>0</v>
      </c>
      <c r="GB54" s="66">
        <v>1</v>
      </c>
      <c r="GC54" s="66">
        <v>1</v>
      </c>
      <c r="GD54" s="66">
        <v>1</v>
      </c>
      <c r="GE54" s="66">
        <v>1</v>
      </c>
      <c r="GF54" s="66">
        <v>1</v>
      </c>
      <c r="GG54" s="66">
        <v>1</v>
      </c>
      <c r="GH54" s="66">
        <v>1</v>
      </c>
      <c r="GI54" s="66">
        <v>1</v>
      </c>
      <c r="GJ54" s="66">
        <v>1</v>
      </c>
      <c r="GK54" s="66">
        <v>1</v>
      </c>
      <c r="GL54" s="63">
        <v>0</v>
      </c>
      <c r="GM54" s="63">
        <v>0</v>
      </c>
      <c r="GN54" s="63">
        <v>0</v>
      </c>
      <c r="GO54" s="63">
        <v>0</v>
      </c>
      <c r="GP54" s="63">
        <v>0</v>
      </c>
      <c r="GQ54" s="63">
        <v>0</v>
      </c>
      <c r="GR54" s="63">
        <v>0</v>
      </c>
      <c r="GS54" s="63">
        <v>0</v>
      </c>
      <c r="GT54" s="63">
        <v>0</v>
      </c>
      <c r="GU54" s="63">
        <v>0</v>
      </c>
      <c r="GV54" s="63">
        <v>0</v>
      </c>
      <c r="GW54" s="63">
        <v>0</v>
      </c>
      <c r="GX54" s="63">
        <v>0</v>
      </c>
      <c r="GY54" s="63">
        <v>0</v>
      </c>
      <c r="GZ54" s="63">
        <v>0</v>
      </c>
      <c r="HA54" s="63">
        <v>0</v>
      </c>
      <c r="HB54" s="63">
        <v>0</v>
      </c>
      <c r="HC54" s="63">
        <v>0</v>
      </c>
      <c r="HD54" s="63">
        <v>0</v>
      </c>
      <c r="HE54" s="63">
        <v>0</v>
      </c>
      <c r="HF54" s="63">
        <v>0</v>
      </c>
      <c r="HG54" s="63">
        <v>0</v>
      </c>
      <c r="HH54" s="63">
        <v>0</v>
      </c>
      <c r="HI54" s="63">
        <v>0</v>
      </c>
      <c r="HJ54" s="63">
        <v>1821</v>
      </c>
      <c r="HK54" s="63">
        <f>SUM(X$4:HI$4)</f>
        <v>194</v>
      </c>
      <c r="HL54" s="61">
        <f>SUM(X54:HI54)</f>
        <v>71</v>
      </c>
      <c r="HM54" s="67">
        <f t="shared" si="1"/>
        <v>36.597938144329895</v>
      </c>
      <c r="HN54" s="67"/>
      <c r="HO54" s="68">
        <v>0</v>
      </c>
      <c r="HP54" s="68">
        <v>0.05</v>
      </c>
      <c r="HQ54" s="61">
        <v>0.06</v>
      </c>
    </row>
    <row r="55" spans="1:238" x14ac:dyDescent="0.3">
      <c r="B55" s="63" t="s">
        <v>7288</v>
      </c>
      <c r="C55" s="61">
        <v>0</v>
      </c>
      <c r="D55" s="61">
        <v>0</v>
      </c>
      <c r="E55" s="61">
        <v>0</v>
      </c>
      <c r="F55" s="61">
        <v>0</v>
      </c>
      <c r="G55" s="61">
        <v>0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0</v>
      </c>
      <c r="U55" s="61">
        <v>0</v>
      </c>
      <c r="V55" s="61">
        <v>0</v>
      </c>
      <c r="W55" s="61">
        <v>0</v>
      </c>
      <c r="X55" s="61">
        <v>0</v>
      </c>
      <c r="Y55" s="61">
        <v>0</v>
      </c>
      <c r="Z55" s="61">
        <v>0</v>
      </c>
      <c r="AA55" s="61">
        <v>0</v>
      </c>
      <c r="AB55" s="61">
        <v>0</v>
      </c>
      <c r="AC55" s="61">
        <v>0</v>
      </c>
      <c r="AD55" s="61">
        <v>0</v>
      </c>
      <c r="AE55" s="61">
        <v>0</v>
      </c>
      <c r="AF55" s="61">
        <v>0</v>
      </c>
      <c r="AG55" s="61">
        <v>0</v>
      </c>
      <c r="AH55" s="61">
        <v>0</v>
      </c>
      <c r="AI55" s="61">
        <v>0</v>
      </c>
      <c r="AJ55" s="61">
        <v>0</v>
      </c>
      <c r="AK55" s="61">
        <v>0</v>
      </c>
      <c r="AL55" s="61">
        <v>0</v>
      </c>
      <c r="AM55" s="61">
        <v>0</v>
      </c>
      <c r="AN55" s="61">
        <v>0</v>
      </c>
      <c r="AO55" s="61">
        <v>0</v>
      </c>
      <c r="AP55" s="61">
        <v>0</v>
      </c>
      <c r="AQ55" s="61">
        <v>0</v>
      </c>
      <c r="AR55" s="61">
        <v>0</v>
      </c>
      <c r="AS55" s="61">
        <v>0</v>
      </c>
      <c r="AT55" s="61">
        <v>0</v>
      </c>
      <c r="AU55" s="61">
        <v>0</v>
      </c>
      <c r="AV55" s="65">
        <v>0</v>
      </c>
      <c r="AW55" s="61">
        <v>0</v>
      </c>
      <c r="AX55" s="61">
        <v>0</v>
      </c>
      <c r="AY55" s="61">
        <v>0</v>
      </c>
      <c r="AZ55" s="61">
        <v>0</v>
      </c>
      <c r="BA55" s="61">
        <v>0</v>
      </c>
      <c r="BB55" s="61">
        <v>0</v>
      </c>
      <c r="BC55" s="61">
        <v>0</v>
      </c>
      <c r="BD55" s="61">
        <v>0</v>
      </c>
      <c r="BE55" s="61">
        <v>0</v>
      </c>
      <c r="BF55" s="61">
        <v>0</v>
      </c>
      <c r="BG55" s="61">
        <v>0</v>
      </c>
      <c r="BH55" s="61">
        <v>0</v>
      </c>
      <c r="BI55" s="61">
        <v>0</v>
      </c>
      <c r="BJ55" s="61">
        <v>0</v>
      </c>
      <c r="BK55" s="61">
        <v>0</v>
      </c>
      <c r="BL55" s="61">
        <v>0</v>
      </c>
      <c r="BM55" s="61">
        <v>0</v>
      </c>
      <c r="BN55" s="61">
        <v>0</v>
      </c>
      <c r="BO55" s="61">
        <v>0</v>
      </c>
      <c r="BP55" s="61">
        <v>0</v>
      </c>
      <c r="BQ55" s="61">
        <v>0</v>
      </c>
      <c r="BR55" s="61">
        <v>0</v>
      </c>
      <c r="BS55" s="61">
        <v>0</v>
      </c>
      <c r="BT55" s="61">
        <v>0</v>
      </c>
      <c r="BU55" s="61">
        <v>0</v>
      </c>
      <c r="BV55" s="61">
        <v>0</v>
      </c>
      <c r="BW55" s="66">
        <v>1</v>
      </c>
      <c r="BX55" s="66">
        <v>1</v>
      </c>
      <c r="BY55" s="66">
        <v>1</v>
      </c>
      <c r="BZ55" s="66">
        <v>1</v>
      </c>
      <c r="CA55" s="66">
        <v>1</v>
      </c>
      <c r="CB55" s="66">
        <v>1</v>
      </c>
      <c r="CC55" s="66">
        <v>1</v>
      </c>
      <c r="CD55" s="66">
        <v>1</v>
      </c>
      <c r="CE55" s="66">
        <v>1</v>
      </c>
      <c r="CF55" s="66">
        <v>1</v>
      </c>
      <c r="CG55" s="66">
        <v>1</v>
      </c>
      <c r="CH55" s="66">
        <v>1</v>
      </c>
      <c r="CI55" s="66">
        <v>1</v>
      </c>
      <c r="CJ55" s="66">
        <v>1</v>
      </c>
      <c r="CK55" s="66">
        <v>1</v>
      </c>
      <c r="CL55" s="66">
        <v>1</v>
      </c>
      <c r="CM55" s="66">
        <v>1</v>
      </c>
      <c r="CN55" s="61">
        <v>0</v>
      </c>
      <c r="CO55" s="61">
        <v>0</v>
      </c>
      <c r="CP55" s="61">
        <v>0</v>
      </c>
      <c r="CQ55" s="66">
        <v>1</v>
      </c>
      <c r="CR55" s="66">
        <v>1</v>
      </c>
      <c r="CS55" s="61">
        <v>0</v>
      </c>
      <c r="CT55" s="61">
        <v>0</v>
      </c>
      <c r="CU55" s="61">
        <v>0</v>
      </c>
      <c r="CV55" s="66">
        <v>1</v>
      </c>
      <c r="CW55" s="61">
        <v>0</v>
      </c>
      <c r="CX55" s="66">
        <v>1</v>
      </c>
      <c r="CY55" s="66">
        <v>1</v>
      </c>
      <c r="CZ55" s="66">
        <v>1</v>
      </c>
      <c r="DA55" s="66">
        <v>1</v>
      </c>
      <c r="DB55" s="66">
        <v>1</v>
      </c>
      <c r="DC55" s="66">
        <v>1</v>
      </c>
      <c r="DD55" s="66">
        <v>1</v>
      </c>
      <c r="DE55" s="66">
        <v>1</v>
      </c>
      <c r="DF55" s="66">
        <v>1</v>
      </c>
      <c r="DG55" s="61">
        <v>0</v>
      </c>
      <c r="DH55" s="61">
        <v>0</v>
      </c>
      <c r="DI55" s="61">
        <v>0</v>
      </c>
      <c r="DJ55" s="61">
        <v>0</v>
      </c>
      <c r="DK55" s="61">
        <v>0</v>
      </c>
      <c r="DL55" s="61">
        <v>0</v>
      </c>
      <c r="DM55" s="61">
        <v>0</v>
      </c>
      <c r="DN55" s="61">
        <v>0</v>
      </c>
      <c r="DO55" s="61">
        <v>0</v>
      </c>
      <c r="DP55" s="61">
        <v>0</v>
      </c>
      <c r="DQ55" s="61">
        <v>0</v>
      </c>
      <c r="DR55" s="61">
        <v>0</v>
      </c>
      <c r="DS55" s="61">
        <v>0</v>
      </c>
      <c r="DT55" s="61">
        <v>0</v>
      </c>
      <c r="DU55" s="61">
        <v>0</v>
      </c>
      <c r="DV55" s="61">
        <v>0</v>
      </c>
      <c r="DW55" s="61">
        <v>0</v>
      </c>
      <c r="DX55" s="61">
        <v>0</v>
      </c>
      <c r="DY55" s="61">
        <v>0</v>
      </c>
      <c r="DZ55" s="61">
        <v>0</v>
      </c>
      <c r="EA55" s="61">
        <v>0</v>
      </c>
      <c r="EB55" s="61">
        <v>0</v>
      </c>
      <c r="EC55" s="61">
        <v>0</v>
      </c>
      <c r="ED55" s="66">
        <v>1</v>
      </c>
      <c r="EE55" s="66">
        <v>1</v>
      </c>
      <c r="EF55" s="66">
        <v>1</v>
      </c>
      <c r="EG55" s="66">
        <v>1</v>
      </c>
      <c r="EH55" s="61">
        <v>0</v>
      </c>
      <c r="EI55" s="61">
        <v>0</v>
      </c>
      <c r="EJ55" s="61">
        <v>0</v>
      </c>
      <c r="EK55" s="61">
        <v>0</v>
      </c>
      <c r="EL55" s="61">
        <v>0</v>
      </c>
      <c r="EM55" s="61">
        <v>0</v>
      </c>
      <c r="EN55" s="61">
        <v>0</v>
      </c>
      <c r="EO55" s="61">
        <v>0</v>
      </c>
      <c r="EP55" s="61">
        <v>0</v>
      </c>
      <c r="EQ55" s="61">
        <v>0</v>
      </c>
      <c r="ER55" s="61">
        <v>0</v>
      </c>
      <c r="ES55" s="61">
        <v>0</v>
      </c>
      <c r="ET55" s="61">
        <v>0</v>
      </c>
      <c r="EU55" s="61">
        <v>0</v>
      </c>
      <c r="EV55" s="61">
        <v>0</v>
      </c>
      <c r="EW55" s="61">
        <v>0</v>
      </c>
      <c r="EX55" s="61">
        <v>0</v>
      </c>
      <c r="EY55" s="61">
        <v>0</v>
      </c>
      <c r="EZ55" s="61">
        <v>0</v>
      </c>
      <c r="FA55" s="61">
        <v>0</v>
      </c>
      <c r="FB55" s="61">
        <v>0</v>
      </c>
      <c r="FC55" s="61">
        <v>0</v>
      </c>
      <c r="FD55" s="61">
        <v>0</v>
      </c>
      <c r="FE55" s="61">
        <v>0</v>
      </c>
      <c r="FF55" s="61">
        <v>0</v>
      </c>
      <c r="FG55" s="61">
        <v>0</v>
      </c>
      <c r="FH55" s="61">
        <v>0</v>
      </c>
      <c r="FI55" s="61">
        <v>0</v>
      </c>
      <c r="FJ55" s="61">
        <v>0</v>
      </c>
      <c r="FK55" s="61">
        <v>0</v>
      </c>
      <c r="FL55" s="61">
        <v>0</v>
      </c>
      <c r="FM55" s="61">
        <v>0</v>
      </c>
      <c r="FN55" s="61">
        <v>0</v>
      </c>
      <c r="FO55" s="61">
        <v>0</v>
      </c>
      <c r="FP55" s="61">
        <v>0</v>
      </c>
      <c r="FQ55" s="61">
        <v>0</v>
      </c>
      <c r="FR55" s="61">
        <v>0</v>
      </c>
      <c r="FS55" s="61">
        <v>0</v>
      </c>
      <c r="FT55" s="61">
        <v>0</v>
      </c>
      <c r="FU55" s="61">
        <v>0</v>
      </c>
      <c r="FV55" s="63">
        <v>0</v>
      </c>
      <c r="FW55" s="63">
        <v>0</v>
      </c>
      <c r="FX55" s="63">
        <v>0</v>
      </c>
      <c r="FY55" s="63">
        <v>0</v>
      </c>
      <c r="FZ55" s="63">
        <v>0</v>
      </c>
      <c r="GA55" s="63">
        <v>0</v>
      </c>
      <c r="GB55" s="63">
        <v>0</v>
      </c>
      <c r="GC55" s="66">
        <v>1</v>
      </c>
      <c r="GD55" s="66">
        <v>1</v>
      </c>
      <c r="GE55" s="66">
        <v>1</v>
      </c>
      <c r="GF55" s="66">
        <v>1</v>
      </c>
      <c r="GG55" s="66">
        <v>1</v>
      </c>
      <c r="GH55" s="66">
        <v>1</v>
      </c>
      <c r="GI55" s="66">
        <v>1</v>
      </c>
      <c r="GJ55" s="66">
        <v>1</v>
      </c>
      <c r="GK55" s="66">
        <v>1</v>
      </c>
      <c r="GL55" s="66">
        <v>1</v>
      </c>
      <c r="GM55" s="66">
        <v>1</v>
      </c>
      <c r="GN55" s="66">
        <v>1</v>
      </c>
      <c r="GO55" s="66">
        <v>1</v>
      </c>
      <c r="GP55" s="63">
        <v>0</v>
      </c>
      <c r="GQ55" s="63">
        <v>0</v>
      </c>
      <c r="GR55" s="63">
        <v>0</v>
      </c>
      <c r="GS55" s="63">
        <v>0</v>
      </c>
      <c r="GT55" s="63">
        <v>0</v>
      </c>
      <c r="GU55" s="63">
        <v>0</v>
      </c>
      <c r="GV55" s="63">
        <v>0</v>
      </c>
      <c r="GW55" s="63">
        <v>0</v>
      </c>
      <c r="GX55" s="63">
        <v>0</v>
      </c>
      <c r="GY55" s="63">
        <v>0</v>
      </c>
      <c r="GZ55" s="66">
        <v>1</v>
      </c>
      <c r="HA55" s="63">
        <v>0</v>
      </c>
      <c r="HB55" s="63">
        <v>0</v>
      </c>
      <c r="HC55" s="63">
        <v>0</v>
      </c>
      <c r="HD55" s="63">
        <v>0</v>
      </c>
      <c r="HE55" s="63">
        <v>0</v>
      </c>
      <c r="HF55" s="63">
        <v>0</v>
      </c>
      <c r="HG55" s="63">
        <v>0</v>
      </c>
      <c r="HH55" s="63">
        <v>0</v>
      </c>
      <c r="HI55" s="63">
        <v>0</v>
      </c>
      <c r="HJ55" s="63">
        <v>1845</v>
      </c>
      <c r="HK55" s="63">
        <f>SUM(AV$4:HI$4)</f>
        <v>170</v>
      </c>
      <c r="HL55" s="61">
        <f>SUM(AV55:HI55)</f>
        <v>47</v>
      </c>
      <c r="HM55" s="67">
        <f t="shared" si="1"/>
        <v>27.647058823529413</v>
      </c>
      <c r="HN55" s="67"/>
      <c r="HO55" s="68">
        <v>0</v>
      </c>
      <c r="HP55" s="68">
        <v>0.06</v>
      </c>
      <c r="HQ55" s="61">
        <v>0.08</v>
      </c>
    </row>
    <row r="56" spans="1:238" x14ac:dyDescent="0.3">
      <c r="B56" s="63" t="s">
        <v>7289</v>
      </c>
      <c r="C56" s="61">
        <v>0</v>
      </c>
      <c r="D56" s="61">
        <v>0</v>
      </c>
      <c r="E56" s="61">
        <v>0</v>
      </c>
      <c r="F56" s="61">
        <v>0</v>
      </c>
      <c r="G56" s="61">
        <v>0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3">
        <v>0</v>
      </c>
      <c r="W56" s="61">
        <v>0</v>
      </c>
      <c r="X56" s="61">
        <v>0</v>
      </c>
      <c r="Y56" s="61">
        <v>0</v>
      </c>
      <c r="Z56" s="61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5">
        <v>1</v>
      </c>
      <c r="AH56" s="66">
        <v>1</v>
      </c>
      <c r="AI56" s="66">
        <v>1</v>
      </c>
      <c r="AJ56" s="66">
        <v>1</v>
      </c>
      <c r="AK56" s="66">
        <v>1</v>
      </c>
      <c r="AL56" s="66">
        <v>1</v>
      </c>
      <c r="AM56" s="66">
        <v>1</v>
      </c>
      <c r="AN56" s="66">
        <v>1</v>
      </c>
      <c r="AO56" s="66">
        <v>1</v>
      </c>
      <c r="AP56" s="66">
        <v>1</v>
      </c>
      <c r="AQ56" s="66">
        <v>1</v>
      </c>
      <c r="AR56" s="66">
        <v>1</v>
      </c>
      <c r="AS56" s="66">
        <v>1</v>
      </c>
      <c r="AT56" s="66">
        <v>1</v>
      </c>
      <c r="AU56" s="66">
        <v>1</v>
      </c>
      <c r="AV56" s="66">
        <v>1</v>
      </c>
      <c r="AW56" s="61">
        <v>0</v>
      </c>
      <c r="AX56" s="61">
        <v>0</v>
      </c>
      <c r="AY56" s="61">
        <v>0</v>
      </c>
      <c r="AZ56" s="61">
        <v>0</v>
      </c>
      <c r="BA56" s="61">
        <v>0</v>
      </c>
      <c r="BB56" s="61">
        <v>0</v>
      </c>
      <c r="BC56" s="61">
        <v>0</v>
      </c>
      <c r="BD56" s="61">
        <v>0</v>
      </c>
      <c r="BE56" s="61">
        <v>0</v>
      </c>
      <c r="BF56" s="61">
        <v>0</v>
      </c>
      <c r="BG56" s="61">
        <v>0</v>
      </c>
      <c r="BH56" s="61">
        <v>0</v>
      </c>
      <c r="BI56" s="61">
        <v>0</v>
      </c>
      <c r="BJ56" s="61">
        <v>0</v>
      </c>
      <c r="BK56" s="61">
        <v>0</v>
      </c>
      <c r="BL56" s="61">
        <v>0</v>
      </c>
      <c r="BM56" s="61">
        <v>0</v>
      </c>
      <c r="BN56" s="61">
        <v>0</v>
      </c>
      <c r="BO56" s="61">
        <v>0</v>
      </c>
      <c r="BP56" s="61">
        <v>0</v>
      </c>
      <c r="BQ56" s="61">
        <v>0</v>
      </c>
      <c r="BR56" s="61">
        <v>0</v>
      </c>
      <c r="BS56" s="66">
        <v>1</v>
      </c>
      <c r="BT56" s="66">
        <v>1</v>
      </c>
      <c r="BU56" s="66">
        <v>1</v>
      </c>
      <c r="BV56" s="66">
        <v>1</v>
      </c>
      <c r="BW56" s="66">
        <v>1</v>
      </c>
      <c r="BX56" s="66">
        <v>1</v>
      </c>
      <c r="BY56" s="66">
        <v>1</v>
      </c>
      <c r="BZ56" s="66">
        <v>1</v>
      </c>
      <c r="CA56" s="66">
        <v>1</v>
      </c>
      <c r="CB56" s="66">
        <v>1</v>
      </c>
      <c r="CC56" s="66">
        <v>1</v>
      </c>
      <c r="CD56" s="66">
        <v>1</v>
      </c>
      <c r="CE56" s="66">
        <v>1</v>
      </c>
      <c r="CF56" s="66">
        <v>1</v>
      </c>
      <c r="CG56" s="66">
        <v>1</v>
      </c>
      <c r="CH56" s="66">
        <v>1</v>
      </c>
      <c r="CI56" s="66">
        <v>1</v>
      </c>
      <c r="CJ56" s="66">
        <v>1</v>
      </c>
      <c r="CK56" s="66">
        <v>1</v>
      </c>
      <c r="CL56" s="66">
        <v>1</v>
      </c>
      <c r="CM56" s="66">
        <v>1</v>
      </c>
      <c r="CN56" s="66">
        <v>1</v>
      </c>
      <c r="CO56" s="66">
        <v>1</v>
      </c>
      <c r="CP56" s="61">
        <v>0</v>
      </c>
      <c r="CQ56" s="61">
        <v>0</v>
      </c>
      <c r="CR56" s="61">
        <v>0</v>
      </c>
      <c r="CS56" s="66">
        <v>1</v>
      </c>
      <c r="CT56" s="66">
        <v>1</v>
      </c>
      <c r="CU56" s="66">
        <v>1</v>
      </c>
      <c r="CV56" s="66">
        <v>1</v>
      </c>
      <c r="CW56" s="66">
        <v>1</v>
      </c>
      <c r="CX56" s="61">
        <v>0</v>
      </c>
      <c r="CY56" s="61">
        <v>0</v>
      </c>
      <c r="CZ56" s="61">
        <v>0</v>
      </c>
      <c r="DA56" s="61">
        <v>0</v>
      </c>
      <c r="DB56" s="61">
        <v>0</v>
      </c>
      <c r="DC56" s="61">
        <v>0</v>
      </c>
      <c r="DD56" s="61">
        <v>0</v>
      </c>
      <c r="DE56" s="66">
        <v>1</v>
      </c>
      <c r="DF56" s="66">
        <v>1</v>
      </c>
      <c r="DG56" s="66">
        <v>1</v>
      </c>
      <c r="DH56" s="66">
        <v>1</v>
      </c>
      <c r="DI56" s="66">
        <v>1</v>
      </c>
      <c r="DJ56" s="66">
        <v>1</v>
      </c>
      <c r="DK56" s="63">
        <v>0</v>
      </c>
      <c r="DL56" s="63">
        <v>0</v>
      </c>
      <c r="DM56" s="66">
        <v>1</v>
      </c>
      <c r="DN56" s="66">
        <v>1</v>
      </c>
      <c r="DO56" s="66">
        <v>1</v>
      </c>
      <c r="DP56" s="66">
        <v>1</v>
      </c>
      <c r="DQ56" s="66">
        <v>1</v>
      </c>
      <c r="DR56" s="66">
        <v>1</v>
      </c>
      <c r="DS56" s="66">
        <v>1</v>
      </c>
      <c r="DT56" s="66">
        <v>1</v>
      </c>
      <c r="DU56" s="66">
        <v>1</v>
      </c>
      <c r="DV56" s="66">
        <v>1</v>
      </c>
      <c r="DW56" s="66">
        <v>1</v>
      </c>
      <c r="DX56" s="63">
        <v>0</v>
      </c>
      <c r="DY56" s="63">
        <v>0</v>
      </c>
      <c r="DZ56" s="63">
        <v>0</v>
      </c>
      <c r="EA56" s="63">
        <v>0</v>
      </c>
      <c r="EB56" s="66">
        <v>1</v>
      </c>
      <c r="EC56" s="66">
        <v>1</v>
      </c>
      <c r="ED56" s="66">
        <v>1</v>
      </c>
      <c r="EE56" s="66">
        <v>1</v>
      </c>
      <c r="EF56" s="66">
        <v>1</v>
      </c>
      <c r="EG56" s="66">
        <v>1</v>
      </c>
      <c r="EH56" s="66">
        <v>1</v>
      </c>
      <c r="EI56" s="66">
        <v>1</v>
      </c>
      <c r="EJ56" s="66">
        <v>1</v>
      </c>
      <c r="EK56" s="66">
        <v>1</v>
      </c>
      <c r="EL56" s="66">
        <v>1</v>
      </c>
      <c r="EM56" s="66">
        <v>1</v>
      </c>
      <c r="EN56" s="66">
        <v>1</v>
      </c>
      <c r="EO56" s="66">
        <v>1</v>
      </c>
      <c r="EP56" s="66">
        <v>1</v>
      </c>
      <c r="EQ56" s="66">
        <v>1</v>
      </c>
      <c r="ER56" s="66">
        <v>1</v>
      </c>
      <c r="ES56" s="66">
        <v>1</v>
      </c>
      <c r="ET56" s="66">
        <v>1</v>
      </c>
      <c r="EU56" s="66">
        <v>1</v>
      </c>
      <c r="EV56" s="66">
        <v>1</v>
      </c>
      <c r="EW56" s="66">
        <v>1</v>
      </c>
      <c r="EX56" s="66">
        <v>1</v>
      </c>
      <c r="EY56" s="66">
        <v>1</v>
      </c>
      <c r="EZ56" s="66">
        <v>1</v>
      </c>
      <c r="FA56" s="66">
        <v>1</v>
      </c>
      <c r="FB56" s="61">
        <v>0</v>
      </c>
      <c r="FC56" s="61">
        <v>0</v>
      </c>
      <c r="FD56" s="61">
        <v>0</v>
      </c>
      <c r="FE56" s="61">
        <v>0</v>
      </c>
      <c r="FF56" s="61">
        <v>0</v>
      </c>
      <c r="FG56" s="61">
        <v>0</v>
      </c>
      <c r="FH56" s="61">
        <v>0</v>
      </c>
      <c r="FI56" s="61">
        <v>0</v>
      </c>
      <c r="FJ56" s="61">
        <v>0</v>
      </c>
      <c r="FK56" s="61">
        <v>0</v>
      </c>
      <c r="FL56" s="61">
        <v>0</v>
      </c>
      <c r="FM56" s="61">
        <v>0</v>
      </c>
      <c r="FN56" s="61">
        <v>0</v>
      </c>
      <c r="FO56" s="61">
        <v>0</v>
      </c>
      <c r="FP56" s="61">
        <v>0</v>
      </c>
      <c r="FQ56" s="61">
        <v>0</v>
      </c>
      <c r="FR56" s="61">
        <v>0</v>
      </c>
      <c r="FS56" s="61">
        <v>0</v>
      </c>
      <c r="FT56" s="61">
        <v>0</v>
      </c>
      <c r="FU56" s="61">
        <v>0</v>
      </c>
      <c r="FV56" s="63">
        <v>0</v>
      </c>
      <c r="FW56" s="63">
        <v>0</v>
      </c>
      <c r="FX56" s="63">
        <v>0</v>
      </c>
      <c r="FY56" s="63">
        <v>0</v>
      </c>
      <c r="FZ56" s="63">
        <v>0</v>
      </c>
      <c r="GA56" s="63">
        <v>0</v>
      </c>
      <c r="GB56" s="63">
        <v>0</v>
      </c>
      <c r="GC56" s="66">
        <v>1</v>
      </c>
      <c r="GD56" s="66">
        <v>1</v>
      </c>
      <c r="GE56" s="66">
        <v>1</v>
      </c>
      <c r="GF56" s="66">
        <v>1</v>
      </c>
      <c r="GG56" s="66">
        <v>1</v>
      </c>
      <c r="GH56" s="66">
        <v>1</v>
      </c>
      <c r="GI56" s="66">
        <v>1</v>
      </c>
      <c r="GJ56" s="66">
        <v>1</v>
      </c>
      <c r="GK56" s="66">
        <v>1</v>
      </c>
      <c r="GL56" s="66">
        <v>1</v>
      </c>
      <c r="GM56" s="66">
        <v>1</v>
      </c>
      <c r="GN56" s="66">
        <v>1</v>
      </c>
      <c r="GO56" s="66">
        <v>1</v>
      </c>
      <c r="GP56" s="66">
        <v>1</v>
      </c>
      <c r="GQ56" s="63">
        <v>0</v>
      </c>
      <c r="GR56" s="63">
        <v>0</v>
      </c>
      <c r="GS56" s="63">
        <v>0</v>
      </c>
      <c r="GT56" s="66">
        <v>1</v>
      </c>
      <c r="GU56" s="66">
        <v>1</v>
      </c>
      <c r="GV56" s="63">
        <v>0</v>
      </c>
      <c r="GW56" s="63">
        <v>0</v>
      </c>
      <c r="GX56" s="63">
        <v>0</v>
      </c>
      <c r="GY56" s="63">
        <v>0</v>
      </c>
      <c r="GZ56" s="63">
        <v>0</v>
      </c>
      <c r="HA56" s="63">
        <v>0</v>
      </c>
      <c r="HB56" s="63">
        <v>0</v>
      </c>
      <c r="HC56" s="66">
        <v>1</v>
      </c>
      <c r="HD56" s="66">
        <v>1</v>
      </c>
      <c r="HE56" s="63">
        <v>0</v>
      </c>
      <c r="HF56" s="63">
        <v>0</v>
      </c>
      <c r="HG56" s="63">
        <v>0</v>
      </c>
      <c r="HH56" s="63">
        <v>0</v>
      </c>
      <c r="HI56" s="63">
        <v>0</v>
      </c>
      <c r="HJ56" s="63">
        <v>1830</v>
      </c>
      <c r="HK56" s="63">
        <f>SUM(AG$4:HI$4)</f>
        <v>185</v>
      </c>
      <c r="HL56" s="61">
        <f>SUM(AG56:HI56)</f>
        <v>105</v>
      </c>
      <c r="HM56" s="67">
        <f t="shared" si="1"/>
        <v>56.756756756756758</v>
      </c>
      <c r="HN56" s="67"/>
      <c r="HO56" s="68">
        <v>0</v>
      </c>
      <c r="HP56" s="68">
        <v>0.15</v>
      </c>
      <c r="HQ56" s="63">
        <v>0.11</v>
      </c>
      <c r="HR56" s="63"/>
      <c r="HS56" s="61" t="s">
        <v>7290</v>
      </c>
    </row>
    <row r="57" spans="1:238" x14ac:dyDescent="0.3">
      <c r="B57" s="63" t="s">
        <v>7291</v>
      </c>
      <c r="C57" s="61">
        <v>0</v>
      </c>
      <c r="D57" s="61">
        <v>0</v>
      </c>
      <c r="E57" s="61">
        <v>0</v>
      </c>
      <c r="F57" s="61">
        <v>0</v>
      </c>
      <c r="G57" s="61">
        <v>0</v>
      </c>
      <c r="H57" s="61">
        <v>0</v>
      </c>
      <c r="I57" s="61">
        <v>0</v>
      </c>
      <c r="J57" s="61">
        <v>0</v>
      </c>
      <c r="K57" s="61">
        <v>0</v>
      </c>
      <c r="L57" s="61">
        <v>0</v>
      </c>
      <c r="M57" s="61">
        <v>0</v>
      </c>
      <c r="N57" s="61">
        <v>0</v>
      </c>
      <c r="O57" s="61">
        <v>0</v>
      </c>
      <c r="P57" s="61">
        <v>0</v>
      </c>
      <c r="Q57" s="61">
        <v>0</v>
      </c>
      <c r="R57" s="61">
        <v>0</v>
      </c>
      <c r="S57" s="61">
        <v>0</v>
      </c>
      <c r="T57" s="61">
        <v>0</v>
      </c>
      <c r="U57" s="61">
        <v>0</v>
      </c>
      <c r="V57" s="61">
        <v>0</v>
      </c>
      <c r="W57" s="61">
        <v>0</v>
      </c>
      <c r="X57" s="65">
        <v>0</v>
      </c>
      <c r="Y57" s="61">
        <v>0</v>
      </c>
      <c r="Z57" s="61">
        <v>0</v>
      </c>
      <c r="AA57" s="61">
        <v>0</v>
      </c>
      <c r="AB57" s="61">
        <v>0</v>
      </c>
      <c r="AC57" s="61">
        <v>0</v>
      </c>
      <c r="AD57" s="61">
        <v>0</v>
      </c>
      <c r="AE57" s="66">
        <v>1</v>
      </c>
      <c r="AF57" s="66">
        <v>1</v>
      </c>
      <c r="AG57" s="66">
        <v>1</v>
      </c>
      <c r="AH57" s="66">
        <v>1</v>
      </c>
      <c r="AI57" s="66">
        <v>1</v>
      </c>
      <c r="AJ57" s="66">
        <v>1</v>
      </c>
      <c r="AK57" s="66">
        <v>1</v>
      </c>
      <c r="AL57" s="66">
        <v>1</v>
      </c>
      <c r="AM57" s="66">
        <v>1</v>
      </c>
      <c r="AN57" s="66">
        <v>1</v>
      </c>
      <c r="AO57" s="66">
        <v>1</v>
      </c>
      <c r="AP57" s="66">
        <v>1</v>
      </c>
      <c r="AQ57" s="66">
        <v>1</v>
      </c>
      <c r="AR57" s="66">
        <v>1</v>
      </c>
      <c r="AS57" s="66">
        <v>1</v>
      </c>
      <c r="AT57" s="66">
        <v>1</v>
      </c>
      <c r="AU57" s="66">
        <v>1</v>
      </c>
      <c r="AV57" s="66">
        <v>1</v>
      </c>
      <c r="AW57" s="66">
        <v>1</v>
      </c>
      <c r="AX57" s="66">
        <v>1</v>
      </c>
      <c r="AY57" s="66">
        <v>1</v>
      </c>
      <c r="AZ57" s="66">
        <v>1</v>
      </c>
      <c r="BA57" s="66">
        <v>1</v>
      </c>
      <c r="BB57" s="66">
        <v>1</v>
      </c>
      <c r="BC57" s="66">
        <v>1</v>
      </c>
      <c r="BD57" s="66">
        <v>1</v>
      </c>
      <c r="BE57" s="66">
        <v>1</v>
      </c>
      <c r="BF57" s="66">
        <v>1</v>
      </c>
      <c r="BG57" s="66">
        <v>1</v>
      </c>
      <c r="BH57" s="66">
        <v>1</v>
      </c>
      <c r="BI57" s="66">
        <v>1</v>
      </c>
      <c r="BJ57" s="66">
        <v>1</v>
      </c>
      <c r="BK57" s="66">
        <v>1</v>
      </c>
      <c r="BL57" s="61">
        <v>0</v>
      </c>
      <c r="BM57" s="61">
        <v>0</v>
      </c>
      <c r="BN57" s="61">
        <v>0</v>
      </c>
      <c r="BO57" s="61">
        <v>0</v>
      </c>
      <c r="BP57" s="61">
        <v>0</v>
      </c>
      <c r="BQ57" s="61">
        <v>0</v>
      </c>
      <c r="BR57" s="61">
        <v>0</v>
      </c>
      <c r="BS57" s="61">
        <v>0</v>
      </c>
      <c r="BT57" s="61">
        <v>0</v>
      </c>
      <c r="BU57" s="61">
        <v>0</v>
      </c>
      <c r="BV57" s="61">
        <v>0</v>
      </c>
      <c r="BW57" s="61">
        <v>0</v>
      </c>
      <c r="BX57" s="61">
        <v>0</v>
      </c>
      <c r="BY57" s="61">
        <v>0</v>
      </c>
      <c r="BZ57" s="61">
        <v>0</v>
      </c>
      <c r="CA57" s="61">
        <v>0</v>
      </c>
      <c r="CB57" s="61">
        <v>0</v>
      </c>
      <c r="CC57" s="61">
        <v>0</v>
      </c>
      <c r="CD57" s="61">
        <v>0</v>
      </c>
      <c r="CE57" s="61">
        <v>0</v>
      </c>
      <c r="CF57" s="61">
        <v>0</v>
      </c>
      <c r="CG57" s="61">
        <v>0</v>
      </c>
      <c r="CH57" s="61">
        <v>0</v>
      </c>
      <c r="CI57" s="61">
        <v>0</v>
      </c>
      <c r="CJ57" s="61">
        <v>0</v>
      </c>
      <c r="CK57" s="61">
        <v>0</v>
      </c>
      <c r="CL57" s="61">
        <v>0</v>
      </c>
      <c r="CM57" s="61">
        <v>0</v>
      </c>
      <c r="CN57" s="61">
        <v>0</v>
      </c>
      <c r="CO57" s="61">
        <v>0</v>
      </c>
      <c r="CP57" s="61">
        <v>0</v>
      </c>
      <c r="CQ57" s="61">
        <v>0</v>
      </c>
      <c r="CR57" s="61">
        <v>0</v>
      </c>
      <c r="CS57" s="61">
        <v>0</v>
      </c>
      <c r="CT57" s="61">
        <v>0</v>
      </c>
      <c r="CU57" s="61">
        <v>0</v>
      </c>
      <c r="CV57" s="61">
        <v>0</v>
      </c>
      <c r="CW57" s="61">
        <v>1</v>
      </c>
      <c r="CX57" s="61">
        <v>0</v>
      </c>
      <c r="CY57" s="61">
        <v>0</v>
      </c>
      <c r="CZ57" s="61">
        <v>0</v>
      </c>
      <c r="DA57" s="61">
        <v>0</v>
      </c>
      <c r="DB57" s="61">
        <v>0</v>
      </c>
      <c r="DC57" s="61">
        <v>0</v>
      </c>
      <c r="DD57" s="61">
        <v>0</v>
      </c>
      <c r="DE57" s="61">
        <v>0</v>
      </c>
      <c r="DF57" s="61">
        <v>0</v>
      </c>
      <c r="DG57" s="61">
        <v>0</v>
      </c>
      <c r="DH57" s="61">
        <v>0</v>
      </c>
      <c r="DI57" s="61">
        <v>0</v>
      </c>
      <c r="DJ57" s="61">
        <v>0</v>
      </c>
      <c r="DK57" s="61">
        <v>0</v>
      </c>
      <c r="DL57" s="61">
        <v>0</v>
      </c>
      <c r="DM57" s="61">
        <v>0</v>
      </c>
      <c r="DN57" s="61">
        <v>0</v>
      </c>
      <c r="DO57" s="61">
        <v>0</v>
      </c>
      <c r="DP57" s="61">
        <v>0</v>
      </c>
      <c r="DQ57" s="61">
        <v>0</v>
      </c>
      <c r="DR57" s="61">
        <v>0</v>
      </c>
      <c r="DS57" s="61">
        <v>0</v>
      </c>
      <c r="DT57" s="66">
        <v>1</v>
      </c>
      <c r="DU57" s="66">
        <v>1</v>
      </c>
      <c r="DV57" s="61">
        <v>0</v>
      </c>
      <c r="DW57" s="61">
        <v>0</v>
      </c>
      <c r="DX57" s="61">
        <v>0</v>
      </c>
      <c r="DY57" s="61">
        <v>0</v>
      </c>
      <c r="DZ57" s="61">
        <v>0</v>
      </c>
      <c r="EA57" s="61">
        <v>0</v>
      </c>
      <c r="EB57" s="61">
        <v>0</v>
      </c>
      <c r="EC57" s="61">
        <v>0</v>
      </c>
      <c r="ED57" s="61">
        <v>0</v>
      </c>
      <c r="EE57" s="66">
        <v>1</v>
      </c>
      <c r="EF57" s="66">
        <v>1</v>
      </c>
      <c r="EG57" s="66">
        <v>1</v>
      </c>
      <c r="EH57" s="66">
        <v>1</v>
      </c>
      <c r="EI57" s="61">
        <v>0</v>
      </c>
      <c r="EJ57" s="61">
        <v>0</v>
      </c>
      <c r="EK57" s="66">
        <v>1</v>
      </c>
      <c r="EL57" s="66">
        <v>1</v>
      </c>
      <c r="EM57" s="66">
        <v>1</v>
      </c>
      <c r="EN57" s="66">
        <v>1</v>
      </c>
      <c r="EO57" s="66">
        <v>1</v>
      </c>
      <c r="EP57" s="66">
        <v>1</v>
      </c>
      <c r="EQ57" s="66">
        <v>1</v>
      </c>
      <c r="ER57" s="66">
        <v>1</v>
      </c>
      <c r="ES57" s="66">
        <v>1</v>
      </c>
      <c r="ET57" s="61">
        <v>0</v>
      </c>
      <c r="EU57" s="61">
        <v>0</v>
      </c>
      <c r="EV57" s="61">
        <v>0</v>
      </c>
      <c r="EW57" s="61">
        <v>0</v>
      </c>
      <c r="EX57" s="61">
        <v>0</v>
      </c>
      <c r="EY57" s="61">
        <v>0</v>
      </c>
      <c r="EZ57" s="61">
        <v>0</v>
      </c>
      <c r="FA57" s="61">
        <v>0</v>
      </c>
      <c r="FB57" s="61">
        <v>0</v>
      </c>
      <c r="FC57" s="61">
        <v>0</v>
      </c>
      <c r="FD57" s="61">
        <v>0</v>
      </c>
      <c r="FE57" s="61">
        <v>0</v>
      </c>
      <c r="FF57" s="61">
        <v>0</v>
      </c>
      <c r="FG57" s="61">
        <v>0</v>
      </c>
      <c r="FH57" s="61">
        <v>0</v>
      </c>
      <c r="FI57" s="61">
        <v>0</v>
      </c>
      <c r="FJ57" s="61">
        <v>0</v>
      </c>
      <c r="FK57" s="61">
        <v>0</v>
      </c>
      <c r="FL57" s="61">
        <v>0</v>
      </c>
      <c r="FM57" s="61">
        <v>0</v>
      </c>
      <c r="FN57" s="61">
        <v>0</v>
      </c>
      <c r="FO57" s="61">
        <v>0</v>
      </c>
      <c r="FP57" s="61">
        <v>0</v>
      </c>
      <c r="FQ57" s="61">
        <v>0</v>
      </c>
      <c r="FR57" s="61">
        <v>0</v>
      </c>
      <c r="FS57" s="61">
        <v>0</v>
      </c>
      <c r="FT57" s="61">
        <v>0</v>
      </c>
      <c r="FU57" s="61">
        <v>0</v>
      </c>
      <c r="FV57" s="63">
        <v>0</v>
      </c>
      <c r="FW57" s="63">
        <v>0</v>
      </c>
      <c r="FX57" s="63">
        <v>0</v>
      </c>
      <c r="FY57" s="63">
        <v>0</v>
      </c>
      <c r="FZ57" s="63">
        <v>0</v>
      </c>
      <c r="GA57" s="63">
        <v>0</v>
      </c>
      <c r="GB57" s="63">
        <v>0</v>
      </c>
      <c r="GC57" s="63">
        <v>0</v>
      </c>
      <c r="GD57" s="63">
        <v>0</v>
      </c>
      <c r="GE57" s="63">
        <v>0</v>
      </c>
      <c r="GF57" s="63">
        <v>0</v>
      </c>
      <c r="GG57" s="63">
        <v>0</v>
      </c>
      <c r="GH57" s="63">
        <v>0</v>
      </c>
      <c r="GI57" s="63">
        <v>0</v>
      </c>
      <c r="GJ57" s="63">
        <v>0</v>
      </c>
      <c r="GK57" s="63">
        <v>0</v>
      </c>
      <c r="GL57" s="63">
        <v>0</v>
      </c>
      <c r="GM57" s="63">
        <v>0</v>
      </c>
      <c r="GN57" s="63">
        <v>0</v>
      </c>
      <c r="GO57" s="63">
        <v>0</v>
      </c>
      <c r="GP57" s="63">
        <v>0</v>
      </c>
      <c r="GQ57" s="63">
        <v>0</v>
      </c>
      <c r="GR57" s="63">
        <v>0</v>
      </c>
      <c r="GS57" s="63">
        <v>0</v>
      </c>
      <c r="GT57" s="63">
        <v>0</v>
      </c>
      <c r="GU57" s="63">
        <v>0</v>
      </c>
      <c r="GV57" s="63">
        <v>0</v>
      </c>
      <c r="GW57" s="63">
        <v>0</v>
      </c>
      <c r="GX57" s="63">
        <v>0</v>
      </c>
      <c r="GY57" s="63">
        <v>0</v>
      </c>
      <c r="GZ57" s="63">
        <v>0</v>
      </c>
      <c r="HA57" s="63">
        <v>0</v>
      </c>
      <c r="HB57" s="63">
        <v>0</v>
      </c>
      <c r="HC57" s="63">
        <v>0</v>
      </c>
      <c r="HD57" s="63">
        <v>0</v>
      </c>
      <c r="HE57" s="63">
        <v>0</v>
      </c>
      <c r="HF57" s="63">
        <v>0</v>
      </c>
      <c r="HG57" s="63">
        <v>0</v>
      </c>
      <c r="HH57" s="63">
        <v>0</v>
      </c>
      <c r="HI57" s="63">
        <v>0</v>
      </c>
      <c r="HJ57" s="63">
        <v>1821</v>
      </c>
      <c r="HK57" s="63">
        <f>SUM(X$4:HI$4)</f>
        <v>194</v>
      </c>
      <c r="HL57" s="61">
        <f>SUM(X57:HI57)</f>
        <v>49</v>
      </c>
      <c r="HM57" s="67">
        <f t="shared" si="1"/>
        <v>25.257731958762886</v>
      </c>
      <c r="HN57" s="67"/>
      <c r="HO57" s="68">
        <v>0</v>
      </c>
      <c r="HP57" s="68">
        <v>0.04</v>
      </c>
      <c r="HQ57" s="63">
        <v>0.04</v>
      </c>
    </row>
    <row r="58" spans="1:238" x14ac:dyDescent="0.3">
      <c r="B58" s="63" t="s">
        <v>7292</v>
      </c>
      <c r="C58" s="61">
        <v>0</v>
      </c>
      <c r="D58" s="61">
        <v>0</v>
      </c>
      <c r="E58" s="61">
        <v>0</v>
      </c>
      <c r="F58" s="61">
        <v>0</v>
      </c>
      <c r="G58" s="61">
        <v>0</v>
      </c>
      <c r="H58" s="61">
        <v>0</v>
      </c>
      <c r="I58" s="61">
        <v>0</v>
      </c>
      <c r="J58" s="61">
        <v>0</v>
      </c>
      <c r="K58" s="61">
        <v>0</v>
      </c>
      <c r="L58" s="61">
        <v>0</v>
      </c>
      <c r="M58" s="61">
        <v>0</v>
      </c>
      <c r="N58" s="61">
        <v>0</v>
      </c>
      <c r="O58" s="61">
        <v>0</v>
      </c>
      <c r="P58" s="61">
        <v>0</v>
      </c>
      <c r="Q58" s="61">
        <v>0</v>
      </c>
      <c r="R58" s="61">
        <v>0</v>
      </c>
      <c r="S58" s="61">
        <v>0</v>
      </c>
      <c r="T58" s="61">
        <v>0</v>
      </c>
      <c r="U58" s="61">
        <v>0</v>
      </c>
      <c r="V58" s="61">
        <v>0</v>
      </c>
      <c r="W58" s="61">
        <v>0</v>
      </c>
      <c r="X58" s="65">
        <v>0</v>
      </c>
      <c r="Y58" s="61">
        <v>0</v>
      </c>
      <c r="Z58" s="61">
        <v>0</v>
      </c>
      <c r="AA58" s="63">
        <v>0</v>
      </c>
      <c r="AB58" s="63">
        <v>0</v>
      </c>
      <c r="AC58" s="63">
        <v>0</v>
      </c>
      <c r="AD58" s="63">
        <v>0</v>
      </c>
      <c r="AE58" s="66">
        <v>1</v>
      </c>
      <c r="AF58" s="66">
        <v>1</v>
      </c>
      <c r="AG58" s="66">
        <v>1</v>
      </c>
      <c r="AH58" s="66">
        <v>1</v>
      </c>
      <c r="AI58" s="66">
        <v>1</v>
      </c>
      <c r="AJ58" s="66">
        <v>1</v>
      </c>
      <c r="AK58" s="66">
        <v>1</v>
      </c>
      <c r="AL58" s="66">
        <v>1</v>
      </c>
      <c r="AM58" s="66">
        <v>1</v>
      </c>
      <c r="AN58" s="66">
        <v>1</v>
      </c>
      <c r="AO58" s="66">
        <v>1</v>
      </c>
      <c r="AP58" s="66">
        <v>1</v>
      </c>
      <c r="AQ58" s="66">
        <v>1</v>
      </c>
      <c r="AR58" s="66">
        <v>1</v>
      </c>
      <c r="AS58" s="66">
        <v>1</v>
      </c>
      <c r="AT58" s="66">
        <v>1</v>
      </c>
      <c r="AU58" s="66">
        <v>1</v>
      </c>
      <c r="AV58" s="66">
        <v>1</v>
      </c>
      <c r="AW58" s="66">
        <v>1</v>
      </c>
      <c r="AX58" s="66">
        <v>1</v>
      </c>
      <c r="AY58" s="66">
        <v>1</v>
      </c>
      <c r="AZ58" s="66">
        <v>1</v>
      </c>
      <c r="BA58" s="66">
        <v>1</v>
      </c>
      <c r="BB58" s="66">
        <v>1</v>
      </c>
      <c r="BC58" s="66">
        <v>1</v>
      </c>
      <c r="BD58" s="66">
        <v>1</v>
      </c>
      <c r="BE58" s="66">
        <v>1</v>
      </c>
      <c r="BF58" s="66">
        <v>1</v>
      </c>
      <c r="BG58" s="66">
        <v>1</v>
      </c>
      <c r="BH58" s="61">
        <v>0</v>
      </c>
      <c r="BI58" s="61">
        <v>0</v>
      </c>
      <c r="BJ58" s="61">
        <v>0</v>
      </c>
      <c r="BK58" s="61">
        <v>0</v>
      </c>
      <c r="BL58" s="61">
        <v>0</v>
      </c>
      <c r="BM58" s="61">
        <v>0</v>
      </c>
      <c r="BN58" s="61">
        <v>0</v>
      </c>
      <c r="BO58" s="61">
        <v>0</v>
      </c>
      <c r="BP58" s="61">
        <v>0</v>
      </c>
      <c r="BQ58" s="61">
        <v>0</v>
      </c>
      <c r="BR58" s="61">
        <v>0</v>
      </c>
      <c r="BS58" s="61">
        <v>0</v>
      </c>
      <c r="BT58" s="61">
        <v>0</v>
      </c>
      <c r="BU58" s="61">
        <v>0</v>
      </c>
      <c r="BV58" s="61">
        <v>0</v>
      </c>
      <c r="BW58" s="61">
        <v>0</v>
      </c>
      <c r="BX58" s="61">
        <v>0</v>
      </c>
      <c r="BY58" s="61">
        <v>0</v>
      </c>
      <c r="BZ58" s="61">
        <v>0</v>
      </c>
      <c r="CA58" s="66">
        <v>1</v>
      </c>
      <c r="CB58" s="66">
        <v>1</v>
      </c>
      <c r="CC58" s="66">
        <v>1</v>
      </c>
      <c r="CD58" s="66">
        <v>1</v>
      </c>
      <c r="CE58" s="66">
        <v>1</v>
      </c>
      <c r="CF58" s="66">
        <v>1</v>
      </c>
      <c r="CG58" s="66">
        <v>1</v>
      </c>
      <c r="CH58" s="66">
        <v>1</v>
      </c>
      <c r="CI58" s="66">
        <v>1</v>
      </c>
      <c r="CJ58" s="66">
        <v>1</v>
      </c>
      <c r="CK58" s="66">
        <v>1</v>
      </c>
      <c r="CL58" s="66">
        <v>1</v>
      </c>
      <c r="CM58" s="66">
        <v>1</v>
      </c>
      <c r="CN58" s="61">
        <v>0</v>
      </c>
      <c r="CO58" s="61">
        <v>0</v>
      </c>
      <c r="CP58" s="61">
        <v>0</v>
      </c>
      <c r="CQ58" s="61">
        <v>0</v>
      </c>
      <c r="CR58" s="61">
        <v>0</v>
      </c>
      <c r="CS58" s="66">
        <v>1</v>
      </c>
      <c r="CT58" s="61">
        <v>0</v>
      </c>
      <c r="CU58" s="61">
        <v>0</v>
      </c>
      <c r="CV58" s="61">
        <v>0</v>
      </c>
      <c r="CW58" s="61">
        <v>0</v>
      </c>
      <c r="CX58" s="66">
        <v>1</v>
      </c>
      <c r="CY58" s="66">
        <v>1</v>
      </c>
      <c r="CZ58" s="66">
        <v>1</v>
      </c>
      <c r="DA58" s="66">
        <v>1</v>
      </c>
      <c r="DB58" s="66">
        <v>1</v>
      </c>
      <c r="DC58" s="66">
        <v>1</v>
      </c>
      <c r="DD58" s="66">
        <v>1</v>
      </c>
      <c r="DE58" s="66">
        <v>1</v>
      </c>
      <c r="DF58" s="66">
        <v>1</v>
      </c>
      <c r="DG58" s="66">
        <v>1</v>
      </c>
      <c r="DH58" s="66">
        <v>1</v>
      </c>
      <c r="DI58" s="66">
        <v>1</v>
      </c>
      <c r="DJ58" s="66">
        <v>1</v>
      </c>
      <c r="DK58" s="66">
        <v>1</v>
      </c>
      <c r="DL58" s="66">
        <v>1</v>
      </c>
      <c r="DM58" s="61">
        <v>0</v>
      </c>
      <c r="DN58" s="61">
        <v>0</v>
      </c>
      <c r="DO58" s="61">
        <v>0</v>
      </c>
      <c r="DP58" s="61">
        <v>0</v>
      </c>
      <c r="DQ58" s="61">
        <v>0</v>
      </c>
      <c r="DR58" s="61">
        <v>0</v>
      </c>
      <c r="DS58" s="61">
        <v>0</v>
      </c>
      <c r="DT58" s="61">
        <v>0</v>
      </c>
      <c r="DU58" s="61">
        <v>0</v>
      </c>
      <c r="DV58" s="61">
        <v>0</v>
      </c>
      <c r="DW58" s="61">
        <v>0</v>
      </c>
      <c r="DX58" s="61">
        <v>0</v>
      </c>
      <c r="DY58" s="61">
        <v>0</v>
      </c>
      <c r="DZ58" s="61">
        <v>0</v>
      </c>
      <c r="EA58" s="61">
        <v>0</v>
      </c>
      <c r="EB58" s="61">
        <v>0</v>
      </c>
      <c r="EC58" s="61">
        <v>0</v>
      </c>
      <c r="ED58" s="61">
        <v>0</v>
      </c>
      <c r="EE58" s="61">
        <v>0</v>
      </c>
      <c r="EF58" s="66">
        <v>1</v>
      </c>
      <c r="EG58" s="66">
        <v>1</v>
      </c>
      <c r="EH58" s="66">
        <v>1</v>
      </c>
      <c r="EI58" s="66">
        <v>1</v>
      </c>
      <c r="EJ58" s="63">
        <v>0</v>
      </c>
      <c r="EK58" s="63">
        <v>0</v>
      </c>
      <c r="EL58" s="63">
        <v>0</v>
      </c>
      <c r="EM58" s="63">
        <v>0</v>
      </c>
      <c r="EN58" s="63">
        <v>0</v>
      </c>
      <c r="EO58" s="63">
        <v>0</v>
      </c>
      <c r="EP58" s="63">
        <v>0</v>
      </c>
      <c r="EQ58" s="63">
        <v>0</v>
      </c>
      <c r="ER58" s="63">
        <v>0</v>
      </c>
      <c r="ES58" s="63">
        <v>0</v>
      </c>
      <c r="ET58" s="63">
        <v>0</v>
      </c>
      <c r="EU58" s="63">
        <v>0</v>
      </c>
      <c r="EV58" s="63">
        <v>0</v>
      </c>
      <c r="EW58" s="63">
        <v>0</v>
      </c>
      <c r="EX58" s="63">
        <v>0</v>
      </c>
      <c r="EY58" s="63">
        <v>0</v>
      </c>
      <c r="EZ58" s="63">
        <v>0</v>
      </c>
      <c r="FA58" s="63">
        <v>0</v>
      </c>
      <c r="FB58" s="63">
        <v>0</v>
      </c>
      <c r="FC58" s="63">
        <v>0</v>
      </c>
      <c r="FD58" s="63">
        <v>0</v>
      </c>
      <c r="FE58" s="63">
        <v>0</v>
      </c>
      <c r="FF58" s="63">
        <v>0</v>
      </c>
      <c r="FG58" s="63">
        <v>0</v>
      </c>
      <c r="FH58" s="63">
        <v>0</v>
      </c>
      <c r="FI58" s="63">
        <v>0</v>
      </c>
      <c r="FJ58" s="63">
        <v>0</v>
      </c>
      <c r="FK58" s="63">
        <v>0</v>
      </c>
      <c r="FL58" s="63">
        <v>0</v>
      </c>
      <c r="FM58" s="63">
        <v>0</v>
      </c>
      <c r="FN58" s="63">
        <v>0</v>
      </c>
      <c r="FO58" s="63">
        <v>0</v>
      </c>
      <c r="FP58" s="63">
        <v>0</v>
      </c>
      <c r="FQ58" s="63">
        <v>0</v>
      </c>
      <c r="FR58" s="63">
        <v>0</v>
      </c>
      <c r="FS58" s="63">
        <v>0</v>
      </c>
      <c r="FT58" s="63">
        <v>0</v>
      </c>
      <c r="FU58" s="63">
        <v>0</v>
      </c>
      <c r="FV58" s="63">
        <v>0</v>
      </c>
      <c r="FW58" s="63">
        <v>0</v>
      </c>
      <c r="FX58" s="63">
        <v>0</v>
      </c>
      <c r="FY58" s="63">
        <v>0</v>
      </c>
      <c r="FZ58" s="63">
        <v>0</v>
      </c>
      <c r="GA58" s="63">
        <v>0</v>
      </c>
      <c r="GB58" s="63">
        <v>0</v>
      </c>
      <c r="GC58" s="63">
        <v>0</v>
      </c>
      <c r="GD58" s="63">
        <v>0</v>
      </c>
      <c r="GE58" s="63">
        <v>0</v>
      </c>
      <c r="GF58" s="63">
        <v>0</v>
      </c>
      <c r="GG58" s="66">
        <v>1</v>
      </c>
      <c r="GH58" s="63">
        <v>0</v>
      </c>
      <c r="GI58" s="63">
        <v>0</v>
      </c>
      <c r="GJ58" s="66">
        <v>1</v>
      </c>
      <c r="GK58" s="63">
        <v>0</v>
      </c>
      <c r="GL58" s="63">
        <v>0</v>
      </c>
      <c r="GM58" s="63">
        <v>0</v>
      </c>
      <c r="GN58" s="63">
        <v>0</v>
      </c>
      <c r="GO58" s="63">
        <v>0</v>
      </c>
      <c r="GP58" s="63">
        <v>0</v>
      </c>
      <c r="GQ58" s="63">
        <v>0</v>
      </c>
      <c r="GR58" s="63">
        <v>0</v>
      </c>
      <c r="GS58" s="63">
        <v>0</v>
      </c>
      <c r="GT58" s="63">
        <v>0</v>
      </c>
      <c r="GU58" s="63">
        <v>0</v>
      </c>
      <c r="GV58" s="63">
        <v>0</v>
      </c>
      <c r="GW58" s="63">
        <v>0</v>
      </c>
      <c r="GX58" s="63">
        <v>0</v>
      </c>
      <c r="GY58" s="63">
        <v>0</v>
      </c>
      <c r="GZ58" s="63">
        <v>0</v>
      </c>
      <c r="HA58" s="63">
        <v>0</v>
      </c>
      <c r="HB58" s="63">
        <v>0</v>
      </c>
      <c r="HC58" s="63">
        <v>0</v>
      </c>
      <c r="HD58" s="63">
        <v>0</v>
      </c>
      <c r="HE58" s="63">
        <v>0</v>
      </c>
      <c r="HF58" s="63">
        <v>0</v>
      </c>
      <c r="HG58" s="63">
        <v>0</v>
      </c>
      <c r="HH58" s="63"/>
      <c r="HI58" s="63"/>
      <c r="HJ58" s="63">
        <v>1821</v>
      </c>
      <c r="HK58" s="63">
        <f>SUM(X$4:HI$4)</f>
        <v>194</v>
      </c>
      <c r="HL58" s="61">
        <f>SUM(X58:HI58)</f>
        <v>64</v>
      </c>
      <c r="HM58" s="67">
        <f t="shared" si="1"/>
        <v>32.989690721649481</v>
      </c>
      <c r="HN58" s="67"/>
      <c r="HO58" s="68">
        <v>0</v>
      </c>
      <c r="HP58" s="68">
        <v>0.11</v>
      </c>
      <c r="HQ58" s="63">
        <v>0.11</v>
      </c>
      <c r="HR58" s="63"/>
      <c r="IC58" s="63"/>
      <c r="ID58" s="63"/>
    </row>
    <row r="59" spans="1:238" x14ac:dyDescent="0.3">
      <c r="B59" s="63" t="s">
        <v>7293</v>
      </c>
      <c r="C59" s="61">
        <v>0</v>
      </c>
      <c r="D59" s="61">
        <v>0</v>
      </c>
      <c r="E59" s="61">
        <v>0</v>
      </c>
      <c r="F59" s="61">
        <v>0</v>
      </c>
      <c r="G59" s="61">
        <v>0</v>
      </c>
      <c r="H59" s="61">
        <v>0</v>
      </c>
      <c r="I59" s="61">
        <v>0</v>
      </c>
      <c r="J59" s="61">
        <v>0</v>
      </c>
      <c r="K59" s="61">
        <v>0</v>
      </c>
      <c r="L59" s="61">
        <v>0</v>
      </c>
      <c r="M59" s="61">
        <v>0</v>
      </c>
      <c r="N59" s="61">
        <v>0</v>
      </c>
      <c r="O59" s="61">
        <v>0</v>
      </c>
      <c r="P59" s="61">
        <v>0</v>
      </c>
      <c r="Q59" s="61">
        <v>0</v>
      </c>
      <c r="R59" s="61">
        <v>0</v>
      </c>
      <c r="S59" s="61">
        <v>0</v>
      </c>
      <c r="T59" s="61">
        <v>0</v>
      </c>
      <c r="U59" s="61">
        <v>0</v>
      </c>
      <c r="V59" s="61">
        <v>0</v>
      </c>
      <c r="W59" s="61">
        <v>0</v>
      </c>
      <c r="X59" s="65">
        <v>0</v>
      </c>
      <c r="Y59" s="61">
        <v>0</v>
      </c>
      <c r="Z59" s="61">
        <v>0</v>
      </c>
      <c r="AA59" s="61">
        <v>0</v>
      </c>
      <c r="AB59" s="61">
        <v>0</v>
      </c>
      <c r="AC59" s="61">
        <v>0</v>
      </c>
      <c r="AD59" s="61">
        <v>0</v>
      </c>
      <c r="AE59" s="66">
        <v>1</v>
      </c>
      <c r="AF59" s="66">
        <v>1</v>
      </c>
      <c r="AG59" s="66">
        <v>1</v>
      </c>
      <c r="AH59" s="66">
        <v>1</v>
      </c>
      <c r="AI59" s="66">
        <v>1</v>
      </c>
      <c r="AJ59" s="66">
        <v>1</v>
      </c>
      <c r="AK59" s="66">
        <v>1</v>
      </c>
      <c r="AL59" s="66">
        <v>1</v>
      </c>
      <c r="AM59" s="66">
        <v>1</v>
      </c>
      <c r="AN59" s="66">
        <v>1</v>
      </c>
      <c r="AO59" s="66">
        <v>1</v>
      </c>
      <c r="AP59" s="66">
        <v>1</v>
      </c>
      <c r="AQ59" s="66">
        <v>1</v>
      </c>
      <c r="AR59" s="66">
        <v>1</v>
      </c>
      <c r="AS59" s="66">
        <v>1</v>
      </c>
      <c r="AT59" s="66">
        <v>1</v>
      </c>
      <c r="AU59" s="66">
        <v>1</v>
      </c>
      <c r="AV59" s="66">
        <v>1</v>
      </c>
      <c r="AW59" s="66">
        <v>1</v>
      </c>
      <c r="AX59" s="66">
        <v>1</v>
      </c>
      <c r="AY59" s="66">
        <v>1</v>
      </c>
      <c r="AZ59" s="66">
        <v>1</v>
      </c>
      <c r="BA59" s="66">
        <v>1</v>
      </c>
      <c r="BB59" s="66">
        <v>1</v>
      </c>
      <c r="BC59" s="66">
        <v>1</v>
      </c>
      <c r="BD59" s="66">
        <v>1</v>
      </c>
      <c r="BE59" s="66">
        <v>1</v>
      </c>
      <c r="BF59" s="66">
        <v>1</v>
      </c>
      <c r="BG59" s="66">
        <v>1</v>
      </c>
      <c r="BH59" s="66">
        <v>1</v>
      </c>
      <c r="BI59" s="66">
        <v>1</v>
      </c>
      <c r="BJ59" s="66">
        <v>1</v>
      </c>
      <c r="BK59" s="66">
        <v>1</v>
      </c>
      <c r="BL59" s="66">
        <v>1</v>
      </c>
      <c r="BM59" s="66">
        <v>1</v>
      </c>
      <c r="BN59" s="66">
        <v>1</v>
      </c>
      <c r="BO59" s="66">
        <v>1</v>
      </c>
      <c r="BP59" s="66">
        <v>1</v>
      </c>
      <c r="BQ59" s="66">
        <v>1</v>
      </c>
      <c r="BR59" s="66">
        <v>1</v>
      </c>
      <c r="BS59" s="61">
        <v>0</v>
      </c>
      <c r="BT59" s="61">
        <v>0</v>
      </c>
      <c r="BU59" s="61">
        <v>0</v>
      </c>
      <c r="BV59" s="61">
        <v>0</v>
      </c>
      <c r="BW59" s="61">
        <v>0</v>
      </c>
      <c r="BX59" s="66">
        <v>1</v>
      </c>
      <c r="BY59" s="66">
        <v>1</v>
      </c>
      <c r="BZ59" s="66">
        <v>1</v>
      </c>
      <c r="CA59" s="66">
        <v>1</v>
      </c>
      <c r="CB59" s="66">
        <v>1</v>
      </c>
      <c r="CC59" s="66">
        <v>1</v>
      </c>
      <c r="CD59" s="66">
        <v>1</v>
      </c>
      <c r="CE59" s="66">
        <v>1</v>
      </c>
      <c r="CF59" s="66">
        <v>1</v>
      </c>
      <c r="CG59" s="66">
        <v>1</v>
      </c>
      <c r="CH59" s="66">
        <v>1</v>
      </c>
      <c r="CI59" s="66">
        <v>1</v>
      </c>
      <c r="CJ59" s="66">
        <v>1</v>
      </c>
      <c r="CK59" s="66">
        <v>1</v>
      </c>
      <c r="CL59" s="66">
        <v>1</v>
      </c>
      <c r="CM59" s="66">
        <v>1</v>
      </c>
      <c r="CN59" s="66">
        <v>1</v>
      </c>
      <c r="CO59" s="66">
        <v>1</v>
      </c>
      <c r="CP59" s="66">
        <v>1</v>
      </c>
      <c r="CQ59" s="66">
        <v>1</v>
      </c>
      <c r="CR59" s="66">
        <v>1</v>
      </c>
      <c r="CS59" s="66">
        <v>1</v>
      </c>
      <c r="CT59" s="66">
        <v>1</v>
      </c>
      <c r="CU59" s="66">
        <v>1</v>
      </c>
      <c r="CV59" s="66">
        <v>1</v>
      </c>
      <c r="CW59" s="66">
        <v>1</v>
      </c>
      <c r="CX59" s="66">
        <v>1</v>
      </c>
      <c r="CY59" s="66">
        <v>1</v>
      </c>
      <c r="CZ59" s="66">
        <v>1</v>
      </c>
      <c r="DA59" s="66">
        <v>1</v>
      </c>
      <c r="DB59" s="66">
        <v>1</v>
      </c>
      <c r="DC59" s="66">
        <v>1</v>
      </c>
      <c r="DD59" s="66">
        <v>1</v>
      </c>
      <c r="DE59" s="66">
        <v>1</v>
      </c>
      <c r="DF59" s="66">
        <v>1</v>
      </c>
      <c r="DG59" s="66">
        <v>1</v>
      </c>
      <c r="DH59" s="66">
        <v>1</v>
      </c>
      <c r="DI59" s="66">
        <v>1</v>
      </c>
      <c r="DJ59" s="66">
        <v>1</v>
      </c>
      <c r="DK59" s="66">
        <v>1</v>
      </c>
      <c r="DL59" s="66">
        <v>1</v>
      </c>
      <c r="DM59" s="66">
        <v>1</v>
      </c>
      <c r="DN59" s="66">
        <v>1</v>
      </c>
      <c r="DO59" s="66">
        <v>1</v>
      </c>
      <c r="DP59" s="66">
        <v>1</v>
      </c>
      <c r="DQ59" s="66">
        <v>1</v>
      </c>
      <c r="DR59" s="66">
        <v>1</v>
      </c>
      <c r="DS59" s="66">
        <v>1</v>
      </c>
      <c r="DT59" s="66">
        <v>1</v>
      </c>
      <c r="DU59" s="66">
        <v>1</v>
      </c>
      <c r="DV59" s="66">
        <v>1</v>
      </c>
      <c r="DW59" s="66">
        <v>1</v>
      </c>
      <c r="DX59" s="66">
        <v>1</v>
      </c>
      <c r="DY59" s="61">
        <v>0</v>
      </c>
      <c r="DZ59" s="61">
        <v>0</v>
      </c>
      <c r="EA59" s="61">
        <v>0</v>
      </c>
      <c r="EB59" s="61">
        <v>0</v>
      </c>
      <c r="EC59" s="61">
        <v>0</v>
      </c>
      <c r="ED59" s="61">
        <v>0</v>
      </c>
      <c r="EE59" s="61">
        <v>0</v>
      </c>
      <c r="EF59" s="61">
        <v>0</v>
      </c>
      <c r="EG59" s="61">
        <v>0</v>
      </c>
      <c r="EH59" s="61">
        <v>0</v>
      </c>
      <c r="EI59" s="61">
        <v>0</v>
      </c>
      <c r="EJ59" s="61">
        <v>0</v>
      </c>
      <c r="EK59" s="61">
        <v>0</v>
      </c>
      <c r="EL59" s="61">
        <v>0</v>
      </c>
      <c r="EM59" s="61">
        <v>0</v>
      </c>
      <c r="EN59" s="61">
        <v>0</v>
      </c>
      <c r="EO59" s="61">
        <v>0</v>
      </c>
      <c r="EP59" s="61">
        <v>0</v>
      </c>
      <c r="EQ59" s="61">
        <v>0</v>
      </c>
      <c r="ER59" s="61">
        <v>0</v>
      </c>
      <c r="ES59" s="61">
        <v>0</v>
      </c>
      <c r="ET59" s="61">
        <v>0</v>
      </c>
      <c r="EU59" s="61">
        <v>0</v>
      </c>
      <c r="EV59" s="61">
        <v>0</v>
      </c>
      <c r="EW59" s="61">
        <v>0</v>
      </c>
      <c r="EX59" s="61">
        <v>0</v>
      </c>
      <c r="EY59" s="61">
        <v>0</v>
      </c>
      <c r="EZ59" s="61">
        <v>0</v>
      </c>
      <c r="FA59" s="61">
        <v>0</v>
      </c>
      <c r="FB59" s="61">
        <v>0</v>
      </c>
      <c r="FC59" s="61">
        <v>0</v>
      </c>
      <c r="FD59" s="61">
        <v>0</v>
      </c>
      <c r="FE59" s="61">
        <v>0</v>
      </c>
      <c r="FF59" s="61">
        <v>0</v>
      </c>
      <c r="FG59" s="61">
        <v>0</v>
      </c>
      <c r="FH59" s="61">
        <v>0</v>
      </c>
      <c r="FI59" s="61">
        <v>0</v>
      </c>
      <c r="FJ59" s="61">
        <v>0</v>
      </c>
      <c r="FK59" s="61">
        <v>0</v>
      </c>
      <c r="FL59" s="61">
        <v>0</v>
      </c>
      <c r="FM59" s="61">
        <v>0</v>
      </c>
      <c r="FN59" s="61">
        <v>0</v>
      </c>
      <c r="FO59" s="61">
        <v>0</v>
      </c>
      <c r="FP59" s="61">
        <v>0</v>
      </c>
      <c r="FQ59" s="61">
        <v>0</v>
      </c>
      <c r="FR59" s="61">
        <v>0</v>
      </c>
      <c r="FS59" s="61">
        <v>0</v>
      </c>
      <c r="FT59" s="61">
        <v>0</v>
      </c>
      <c r="FU59" s="61">
        <v>0</v>
      </c>
      <c r="FV59" s="61">
        <v>0</v>
      </c>
      <c r="FW59" s="61">
        <v>0</v>
      </c>
      <c r="FX59" s="61">
        <v>0</v>
      </c>
      <c r="FY59" s="61">
        <v>0</v>
      </c>
      <c r="FZ59" s="61">
        <v>0</v>
      </c>
      <c r="GA59" s="61">
        <v>0</v>
      </c>
      <c r="GB59" s="66">
        <v>1</v>
      </c>
      <c r="GC59" s="66">
        <v>1</v>
      </c>
      <c r="GD59" s="66">
        <v>1</v>
      </c>
      <c r="GE59" s="66">
        <v>1</v>
      </c>
      <c r="GF59" s="66">
        <v>1</v>
      </c>
      <c r="GG59" s="66">
        <v>1</v>
      </c>
      <c r="GH59" s="66">
        <v>1</v>
      </c>
      <c r="GI59" s="66">
        <v>1</v>
      </c>
      <c r="GJ59" s="66">
        <v>1</v>
      </c>
      <c r="GK59" s="66">
        <v>1</v>
      </c>
      <c r="GL59" s="66">
        <v>1</v>
      </c>
      <c r="GM59" s="66">
        <v>1</v>
      </c>
      <c r="GN59" s="66">
        <v>1</v>
      </c>
      <c r="GO59" s="66">
        <v>1</v>
      </c>
      <c r="GP59" s="66">
        <v>1</v>
      </c>
      <c r="GQ59" s="66">
        <v>1</v>
      </c>
      <c r="GR59" s="66">
        <v>1</v>
      </c>
      <c r="GS59" s="66">
        <v>1</v>
      </c>
      <c r="GT59" s="66">
        <v>1</v>
      </c>
      <c r="GU59" s="66">
        <v>1</v>
      </c>
      <c r="GV59" s="66">
        <v>1</v>
      </c>
      <c r="GW59" s="66">
        <v>1</v>
      </c>
      <c r="GX59" s="66">
        <v>1</v>
      </c>
      <c r="GY59" s="66">
        <v>1</v>
      </c>
      <c r="GZ59" s="66">
        <v>1</v>
      </c>
      <c r="HA59" s="63">
        <v>0</v>
      </c>
      <c r="HB59" s="63">
        <v>0</v>
      </c>
      <c r="HC59" s="63">
        <v>0</v>
      </c>
      <c r="HD59" s="63">
        <v>0</v>
      </c>
      <c r="HE59" s="63">
        <v>0</v>
      </c>
      <c r="HF59" s="63">
        <v>0</v>
      </c>
      <c r="HG59" s="63">
        <v>0</v>
      </c>
      <c r="HH59" s="63"/>
      <c r="HI59" s="63"/>
      <c r="HJ59" s="63">
        <v>1821</v>
      </c>
      <c r="HK59" s="63">
        <f>SUM(X$4:HI$4)</f>
        <v>194</v>
      </c>
      <c r="HL59" s="61">
        <f>SUM(X59:HI59)</f>
        <v>118</v>
      </c>
      <c r="HM59" s="67">
        <f t="shared" si="1"/>
        <v>60.824742268041234</v>
      </c>
      <c r="HN59" s="67"/>
      <c r="HO59" s="68">
        <v>0</v>
      </c>
      <c r="HP59" s="68">
        <v>0.03</v>
      </c>
      <c r="HQ59" s="63">
        <v>0.03</v>
      </c>
      <c r="HS59" s="71" t="s">
        <v>7294</v>
      </c>
    </row>
    <row r="60" spans="1:238" s="86" customFormat="1" ht="25.8" x14ac:dyDescent="0.5">
      <c r="B60" s="87" t="s">
        <v>93</v>
      </c>
      <c r="C60" s="86">
        <v>0</v>
      </c>
      <c r="D60" s="86">
        <v>0</v>
      </c>
      <c r="E60" s="86">
        <v>0</v>
      </c>
      <c r="F60" s="86">
        <v>0</v>
      </c>
      <c r="G60" s="86">
        <v>0</v>
      </c>
      <c r="H60" s="86">
        <v>0</v>
      </c>
      <c r="I60" s="86">
        <v>0</v>
      </c>
      <c r="J60" s="86">
        <v>0</v>
      </c>
      <c r="K60" s="86">
        <v>0</v>
      </c>
      <c r="L60" s="86">
        <v>0</v>
      </c>
      <c r="M60" s="86">
        <v>0</v>
      </c>
      <c r="N60" s="86">
        <v>0</v>
      </c>
      <c r="O60" s="86">
        <v>0</v>
      </c>
      <c r="P60" s="86">
        <v>0</v>
      </c>
      <c r="Q60" s="86">
        <v>0</v>
      </c>
      <c r="R60" s="86">
        <v>0</v>
      </c>
      <c r="S60" s="86">
        <v>0</v>
      </c>
      <c r="T60" s="86">
        <v>0</v>
      </c>
      <c r="U60" s="86">
        <v>0</v>
      </c>
      <c r="V60" s="86">
        <v>0</v>
      </c>
      <c r="W60" s="86">
        <v>0</v>
      </c>
      <c r="X60" s="88">
        <v>0</v>
      </c>
      <c r="Y60" s="86">
        <v>0</v>
      </c>
      <c r="Z60" s="86">
        <v>0</v>
      </c>
      <c r="AA60" s="86">
        <v>0</v>
      </c>
      <c r="AB60" s="86">
        <v>0</v>
      </c>
      <c r="AC60" s="86">
        <v>0</v>
      </c>
      <c r="AD60" s="89">
        <v>1</v>
      </c>
      <c r="AE60" s="89">
        <v>1</v>
      </c>
      <c r="AF60" s="89">
        <v>1</v>
      </c>
      <c r="AG60" s="89">
        <v>1</v>
      </c>
      <c r="AH60" s="86">
        <v>0</v>
      </c>
      <c r="AI60" s="86">
        <v>0</v>
      </c>
      <c r="AJ60" s="89">
        <v>1</v>
      </c>
      <c r="AK60" s="89">
        <v>1</v>
      </c>
      <c r="AL60" s="89">
        <v>1</v>
      </c>
      <c r="AM60" s="89">
        <v>1</v>
      </c>
      <c r="AN60" s="89">
        <v>1</v>
      </c>
      <c r="AO60" s="89">
        <v>1</v>
      </c>
      <c r="AP60" s="89">
        <v>1</v>
      </c>
      <c r="AQ60" s="89">
        <v>1</v>
      </c>
      <c r="AR60" s="89">
        <v>1</v>
      </c>
      <c r="AS60" s="86">
        <v>0</v>
      </c>
      <c r="AT60" s="86">
        <v>0</v>
      </c>
      <c r="AU60" s="89">
        <v>1</v>
      </c>
      <c r="AV60" s="89">
        <v>1</v>
      </c>
      <c r="AW60" s="89">
        <v>1</v>
      </c>
      <c r="AX60" s="89">
        <v>1</v>
      </c>
      <c r="AY60" s="89">
        <v>1</v>
      </c>
      <c r="AZ60" s="89">
        <v>1</v>
      </c>
      <c r="BA60" s="89">
        <v>1</v>
      </c>
      <c r="BB60" s="86">
        <v>0</v>
      </c>
      <c r="BC60" s="86">
        <v>0</v>
      </c>
      <c r="BD60" s="86">
        <v>0</v>
      </c>
      <c r="BE60" s="89">
        <v>1</v>
      </c>
      <c r="BF60" s="89">
        <v>1</v>
      </c>
      <c r="BG60" s="89">
        <v>1</v>
      </c>
      <c r="BH60" s="89">
        <v>1</v>
      </c>
      <c r="BI60" s="89">
        <v>1</v>
      </c>
      <c r="BJ60" s="89">
        <v>1</v>
      </c>
      <c r="BK60" s="89">
        <v>1</v>
      </c>
      <c r="BL60" s="89">
        <v>1</v>
      </c>
      <c r="BM60" s="89">
        <v>1</v>
      </c>
      <c r="BN60" s="89">
        <v>1</v>
      </c>
      <c r="BO60" s="89">
        <v>1</v>
      </c>
      <c r="BP60" s="86">
        <v>0</v>
      </c>
      <c r="BQ60" s="89">
        <v>1</v>
      </c>
      <c r="BR60" s="89">
        <v>1</v>
      </c>
      <c r="BS60" s="89">
        <v>1</v>
      </c>
      <c r="BT60" s="89">
        <v>1</v>
      </c>
      <c r="BU60" s="89">
        <v>1</v>
      </c>
      <c r="BV60" s="89">
        <v>1</v>
      </c>
      <c r="BW60" s="89">
        <v>1</v>
      </c>
      <c r="BX60" s="89">
        <v>1</v>
      </c>
      <c r="BY60" s="89">
        <v>1</v>
      </c>
      <c r="BZ60" s="89">
        <v>1</v>
      </c>
      <c r="CA60" s="89">
        <v>1</v>
      </c>
      <c r="CB60" s="89">
        <v>1</v>
      </c>
      <c r="CC60" s="89">
        <v>1</v>
      </c>
      <c r="CD60" s="89">
        <v>1</v>
      </c>
      <c r="CE60" s="89">
        <v>1</v>
      </c>
      <c r="CF60" s="89">
        <v>1</v>
      </c>
      <c r="CG60" s="89">
        <v>1</v>
      </c>
      <c r="CH60" s="89">
        <v>1</v>
      </c>
      <c r="CI60" s="89">
        <v>1</v>
      </c>
      <c r="CJ60" s="89">
        <v>1</v>
      </c>
      <c r="CK60" s="86">
        <v>0</v>
      </c>
      <c r="CL60" s="86">
        <v>0</v>
      </c>
      <c r="CM60" s="86">
        <v>0</v>
      </c>
      <c r="CN60" s="86">
        <v>0</v>
      </c>
      <c r="CO60" s="86">
        <v>0</v>
      </c>
      <c r="CP60" s="86">
        <v>0</v>
      </c>
      <c r="CQ60" s="86">
        <v>0</v>
      </c>
      <c r="CR60" s="86">
        <v>0</v>
      </c>
      <c r="CS60" s="86">
        <v>0</v>
      </c>
      <c r="CT60" s="86">
        <v>0</v>
      </c>
      <c r="CU60" s="86">
        <v>0</v>
      </c>
      <c r="CV60" s="86">
        <v>0</v>
      </c>
      <c r="CW60" s="86">
        <v>0</v>
      </c>
      <c r="CX60" s="86">
        <v>0</v>
      </c>
      <c r="CY60" s="86">
        <v>0</v>
      </c>
      <c r="CZ60" s="86">
        <v>0</v>
      </c>
      <c r="DA60" s="86">
        <v>0</v>
      </c>
      <c r="DB60" s="86">
        <v>0</v>
      </c>
      <c r="DC60" s="86">
        <v>0</v>
      </c>
      <c r="DD60" s="86">
        <v>0</v>
      </c>
      <c r="DE60" s="86">
        <v>0</v>
      </c>
      <c r="DF60" s="86">
        <v>0</v>
      </c>
      <c r="DG60" s="86">
        <v>0</v>
      </c>
      <c r="DH60" s="86">
        <v>0</v>
      </c>
      <c r="DI60" s="86">
        <v>0</v>
      </c>
      <c r="DJ60" s="86">
        <v>0</v>
      </c>
      <c r="DK60" s="86">
        <v>0</v>
      </c>
      <c r="DL60" s="86">
        <v>0</v>
      </c>
      <c r="DM60" s="89">
        <v>1</v>
      </c>
      <c r="DN60" s="89">
        <v>1</v>
      </c>
      <c r="DO60" s="89">
        <v>1</v>
      </c>
      <c r="DP60" s="89">
        <v>1</v>
      </c>
      <c r="DQ60" s="89">
        <v>1</v>
      </c>
      <c r="DR60" s="89">
        <v>1</v>
      </c>
      <c r="DS60" s="89">
        <v>1</v>
      </c>
      <c r="DT60" s="89">
        <v>1</v>
      </c>
      <c r="DU60" s="89">
        <v>1</v>
      </c>
      <c r="DV60" s="86">
        <v>0</v>
      </c>
      <c r="DW60" s="86">
        <v>0</v>
      </c>
      <c r="DX60" s="86">
        <v>0</v>
      </c>
      <c r="DY60" s="86">
        <v>0</v>
      </c>
      <c r="DZ60" s="86">
        <v>0</v>
      </c>
      <c r="EA60" s="89">
        <v>1</v>
      </c>
      <c r="EB60" s="89">
        <v>1</v>
      </c>
      <c r="EC60" s="89">
        <v>1</v>
      </c>
      <c r="ED60" s="89">
        <v>1</v>
      </c>
      <c r="EE60" s="89">
        <v>1</v>
      </c>
      <c r="EF60" s="89">
        <v>1</v>
      </c>
      <c r="EG60" s="89">
        <v>1</v>
      </c>
      <c r="EH60" s="89">
        <v>1</v>
      </c>
      <c r="EI60" s="89">
        <v>1</v>
      </c>
      <c r="EJ60" s="89">
        <v>1</v>
      </c>
      <c r="EK60" s="89">
        <v>1</v>
      </c>
      <c r="EL60" s="89">
        <v>1</v>
      </c>
      <c r="EM60" s="89">
        <v>1</v>
      </c>
      <c r="EN60" s="89">
        <v>1</v>
      </c>
      <c r="EO60" s="89">
        <v>1</v>
      </c>
      <c r="EP60" s="86">
        <v>0</v>
      </c>
      <c r="EQ60" s="86">
        <v>0</v>
      </c>
      <c r="ER60" s="86">
        <v>0</v>
      </c>
      <c r="ES60" s="86">
        <v>0</v>
      </c>
      <c r="ET60" s="86">
        <v>0</v>
      </c>
      <c r="EU60" s="86">
        <v>0</v>
      </c>
      <c r="EV60" s="86">
        <v>0</v>
      </c>
      <c r="EW60" s="86">
        <v>0</v>
      </c>
      <c r="EX60" s="86">
        <v>0</v>
      </c>
      <c r="EY60" s="86">
        <v>0</v>
      </c>
      <c r="EZ60" s="86">
        <v>0</v>
      </c>
      <c r="FA60" s="86">
        <v>0</v>
      </c>
      <c r="FB60" s="86">
        <v>0</v>
      </c>
      <c r="FC60" s="86">
        <v>0</v>
      </c>
      <c r="FD60" s="86">
        <v>0</v>
      </c>
      <c r="FE60" s="86">
        <v>0</v>
      </c>
      <c r="FF60" s="86">
        <v>0</v>
      </c>
      <c r="FG60" s="86">
        <v>0</v>
      </c>
      <c r="FH60" s="86">
        <v>0</v>
      </c>
      <c r="FI60" s="86">
        <v>0</v>
      </c>
      <c r="FJ60" s="86">
        <v>0</v>
      </c>
      <c r="FK60" s="86">
        <v>0</v>
      </c>
      <c r="FL60" s="86">
        <v>0</v>
      </c>
      <c r="FM60" s="86">
        <v>0</v>
      </c>
      <c r="FN60" s="86">
        <v>0</v>
      </c>
      <c r="FO60" s="86">
        <v>0</v>
      </c>
      <c r="FP60" s="86">
        <v>0</v>
      </c>
      <c r="FQ60" s="86">
        <v>0</v>
      </c>
      <c r="FR60" s="86">
        <v>0</v>
      </c>
      <c r="FS60" s="86">
        <v>0</v>
      </c>
      <c r="FT60" s="86">
        <v>0</v>
      </c>
      <c r="FU60" s="86">
        <v>0</v>
      </c>
      <c r="FV60" s="87">
        <v>0</v>
      </c>
      <c r="FW60" s="87">
        <v>0</v>
      </c>
      <c r="FX60" s="87">
        <v>0</v>
      </c>
      <c r="FY60" s="87">
        <v>0</v>
      </c>
      <c r="FZ60" s="87">
        <v>0</v>
      </c>
      <c r="GA60" s="87">
        <v>0</v>
      </c>
      <c r="GB60" s="87">
        <v>0</v>
      </c>
      <c r="GC60" s="89">
        <v>1</v>
      </c>
      <c r="GD60" s="89">
        <v>1</v>
      </c>
      <c r="GE60" s="89">
        <v>1</v>
      </c>
      <c r="GF60" s="89">
        <v>1</v>
      </c>
      <c r="GG60" s="89">
        <v>1</v>
      </c>
      <c r="GH60" s="89">
        <v>1</v>
      </c>
      <c r="GI60" s="89">
        <v>1</v>
      </c>
      <c r="GJ60" s="89">
        <v>1</v>
      </c>
      <c r="GK60" s="89">
        <v>1</v>
      </c>
      <c r="GL60" s="87">
        <v>0</v>
      </c>
      <c r="GM60" s="87">
        <v>0</v>
      </c>
      <c r="GN60" s="87">
        <v>0</v>
      </c>
      <c r="GO60" s="87">
        <v>0</v>
      </c>
      <c r="GP60" s="87">
        <v>0</v>
      </c>
      <c r="GQ60" s="87">
        <v>0</v>
      </c>
      <c r="GR60" s="87">
        <v>0</v>
      </c>
      <c r="GS60" s="87">
        <v>0</v>
      </c>
      <c r="GT60" s="87">
        <v>0</v>
      </c>
      <c r="GU60" s="87">
        <v>0</v>
      </c>
      <c r="GV60" s="87">
        <v>0</v>
      </c>
      <c r="GW60" s="87">
        <v>0</v>
      </c>
      <c r="GX60" s="87">
        <v>0</v>
      </c>
      <c r="GY60" s="87">
        <v>0</v>
      </c>
      <c r="GZ60" s="87">
        <v>0</v>
      </c>
      <c r="HA60" s="87">
        <v>0</v>
      </c>
      <c r="HB60" s="87">
        <v>0</v>
      </c>
      <c r="HC60" s="87">
        <v>0</v>
      </c>
      <c r="HD60" s="87">
        <v>0</v>
      </c>
      <c r="HE60" s="87">
        <v>0</v>
      </c>
      <c r="HF60" s="87">
        <v>0</v>
      </c>
      <c r="HG60" s="87">
        <v>0</v>
      </c>
      <c r="HH60" s="87">
        <v>0</v>
      </c>
      <c r="HI60" s="87">
        <v>0</v>
      </c>
      <c r="HJ60" s="87">
        <v>1821</v>
      </c>
      <c r="HK60" s="87">
        <f>SUM(X$4:HI$4)</f>
        <v>194</v>
      </c>
      <c r="HL60" s="86">
        <f>SUM(X60:HI60)</f>
        <v>84</v>
      </c>
      <c r="HM60" s="90">
        <f>100*HL60/HK60</f>
        <v>43.298969072164951</v>
      </c>
      <c r="HN60" s="90"/>
      <c r="HO60" s="91">
        <v>0.95</v>
      </c>
      <c r="HP60" s="91">
        <v>1.91</v>
      </c>
      <c r="HQ60" s="87">
        <v>1.82</v>
      </c>
    </row>
    <row r="61" spans="1:238" x14ac:dyDescent="0.3">
      <c r="B61" s="63" t="s">
        <v>7295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>
        <v>0</v>
      </c>
      <c r="X61" s="65">
        <v>0</v>
      </c>
      <c r="Y61" s="61">
        <v>0</v>
      </c>
      <c r="Z61" s="61">
        <v>0</v>
      </c>
      <c r="AA61" s="61">
        <v>0</v>
      </c>
      <c r="AB61" s="61">
        <v>0</v>
      </c>
      <c r="AC61" s="61">
        <v>0</v>
      </c>
      <c r="AD61" s="61">
        <v>0</v>
      </c>
      <c r="AE61" s="66">
        <v>1</v>
      </c>
      <c r="AF61" s="66">
        <v>1</v>
      </c>
      <c r="AG61" s="66">
        <v>1</v>
      </c>
      <c r="AH61" s="66">
        <v>1</v>
      </c>
      <c r="AI61" s="66">
        <v>1</v>
      </c>
      <c r="AJ61" s="66">
        <v>1</v>
      </c>
      <c r="AK61" s="66">
        <v>1</v>
      </c>
      <c r="AL61" s="66">
        <v>1</v>
      </c>
      <c r="AM61" s="66">
        <v>1</v>
      </c>
      <c r="AN61" s="66">
        <v>1</v>
      </c>
      <c r="AO61" s="66">
        <v>1</v>
      </c>
      <c r="AP61" s="66">
        <v>1</v>
      </c>
      <c r="AQ61" s="66">
        <v>1</v>
      </c>
      <c r="AR61" s="66">
        <v>1</v>
      </c>
      <c r="AS61" s="66">
        <v>1</v>
      </c>
      <c r="AT61" s="66">
        <v>1</v>
      </c>
      <c r="AU61" s="66">
        <v>1</v>
      </c>
      <c r="AV61" s="66">
        <v>1</v>
      </c>
      <c r="AW61" s="66">
        <v>1</v>
      </c>
      <c r="AX61" s="66">
        <v>1</v>
      </c>
      <c r="AY61" s="66">
        <v>1</v>
      </c>
      <c r="AZ61" s="66">
        <v>1</v>
      </c>
      <c r="BA61" s="66">
        <v>1</v>
      </c>
      <c r="BB61" s="66">
        <v>1</v>
      </c>
      <c r="BC61" s="66">
        <v>1</v>
      </c>
      <c r="BD61" s="66">
        <v>1</v>
      </c>
      <c r="BE61" s="66">
        <v>1</v>
      </c>
      <c r="BF61" s="66">
        <v>1</v>
      </c>
      <c r="BG61" s="66">
        <v>1</v>
      </c>
      <c r="BH61" s="66">
        <v>1</v>
      </c>
      <c r="BI61" s="66">
        <v>1</v>
      </c>
      <c r="BJ61" s="66">
        <v>1</v>
      </c>
      <c r="BK61" s="66">
        <v>1</v>
      </c>
      <c r="BL61" s="66">
        <v>1</v>
      </c>
      <c r="BM61" s="66">
        <v>1</v>
      </c>
      <c r="BN61" s="66">
        <v>1</v>
      </c>
      <c r="BO61" s="66">
        <v>1</v>
      </c>
      <c r="BP61" s="66">
        <v>1</v>
      </c>
      <c r="BQ61" s="66">
        <v>1</v>
      </c>
      <c r="BR61" s="66">
        <v>1</v>
      </c>
      <c r="BS61" s="66">
        <v>1</v>
      </c>
      <c r="BT61" s="66">
        <v>1</v>
      </c>
      <c r="BU61" s="66">
        <v>1</v>
      </c>
      <c r="BV61" s="66">
        <v>1</v>
      </c>
      <c r="BW61" s="66">
        <v>1</v>
      </c>
      <c r="BX61" s="66">
        <v>1</v>
      </c>
      <c r="BY61" s="66">
        <v>1</v>
      </c>
      <c r="BZ61" s="61">
        <v>0</v>
      </c>
      <c r="CA61" s="61">
        <v>0</v>
      </c>
      <c r="CB61" s="61">
        <v>0</v>
      </c>
      <c r="CC61" s="61">
        <v>0</v>
      </c>
      <c r="CD61" s="61">
        <v>0</v>
      </c>
      <c r="CE61" s="61">
        <v>0</v>
      </c>
      <c r="CF61" s="61">
        <v>0</v>
      </c>
      <c r="CG61" s="61">
        <v>0</v>
      </c>
      <c r="CH61" s="61">
        <v>0</v>
      </c>
      <c r="CI61" s="61">
        <v>0</v>
      </c>
      <c r="CJ61" s="61">
        <v>0</v>
      </c>
      <c r="CK61" s="61">
        <v>0</v>
      </c>
      <c r="CL61" s="61">
        <v>0</v>
      </c>
      <c r="CM61" s="61">
        <v>0</v>
      </c>
      <c r="CN61" s="61">
        <v>0</v>
      </c>
      <c r="CO61" s="61">
        <v>0</v>
      </c>
      <c r="CP61" s="61">
        <v>0</v>
      </c>
      <c r="CQ61" s="61">
        <v>0</v>
      </c>
      <c r="CR61" s="61">
        <v>0</v>
      </c>
      <c r="CS61" s="66">
        <v>1</v>
      </c>
      <c r="CT61" s="66">
        <v>1</v>
      </c>
      <c r="CU61" s="61">
        <v>0</v>
      </c>
      <c r="CV61" s="61">
        <v>0</v>
      </c>
      <c r="CW61" s="61">
        <v>0</v>
      </c>
      <c r="CX61" s="61">
        <v>0</v>
      </c>
      <c r="CY61" s="61">
        <v>0</v>
      </c>
      <c r="CZ61" s="61">
        <v>0</v>
      </c>
      <c r="DA61" s="61">
        <v>0</v>
      </c>
      <c r="DB61" s="61">
        <v>0</v>
      </c>
      <c r="DC61" s="61">
        <v>0</v>
      </c>
      <c r="DD61" s="61">
        <v>0</v>
      </c>
      <c r="DE61" s="61">
        <v>0</v>
      </c>
      <c r="DF61" s="61">
        <v>0</v>
      </c>
      <c r="DG61" s="61">
        <v>0</v>
      </c>
      <c r="DH61" s="61">
        <v>0</v>
      </c>
      <c r="DI61" s="61">
        <v>0</v>
      </c>
      <c r="DJ61" s="66">
        <v>1</v>
      </c>
      <c r="DK61" s="66">
        <v>1</v>
      </c>
      <c r="DL61" s="61">
        <v>0</v>
      </c>
      <c r="DM61" s="61">
        <v>0</v>
      </c>
      <c r="DN61" s="66">
        <v>1</v>
      </c>
      <c r="DO61" s="66">
        <v>1</v>
      </c>
      <c r="DP61" s="66">
        <v>1</v>
      </c>
      <c r="DQ61" s="61">
        <v>0</v>
      </c>
      <c r="DR61" s="61">
        <v>0</v>
      </c>
      <c r="DS61" s="61">
        <v>0</v>
      </c>
      <c r="DT61" s="61">
        <v>0</v>
      </c>
      <c r="DU61" s="61">
        <v>0</v>
      </c>
      <c r="DV61" s="61">
        <v>0</v>
      </c>
      <c r="DW61" s="61">
        <v>0</v>
      </c>
      <c r="DX61" s="61">
        <v>0</v>
      </c>
      <c r="DY61" s="61">
        <v>0</v>
      </c>
      <c r="DZ61" s="61">
        <v>0</v>
      </c>
      <c r="EA61" s="61">
        <v>0</v>
      </c>
      <c r="EB61" s="61">
        <v>0</v>
      </c>
      <c r="EC61" s="61">
        <v>0</v>
      </c>
      <c r="ED61" s="61">
        <v>0</v>
      </c>
      <c r="EE61" s="66">
        <v>1</v>
      </c>
      <c r="EF61" s="66">
        <v>1</v>
      </c>
      <c r="EG61" s="66">
        <v>1</v>
      </c>
      <c r="EH61" s="66">
        <v>1</v>
      </c>
      <c r="EI61" s="66">
        <v>1</v>
      </c>
      <c r="EJ61" s="66">
        <v>1</v>
      </c>
      <c r="EK61" s="61">
        <v>0</v>
      </c>
      <c r="EL61" s="61">
        <v>0</v>
      </c>
      <c r="EM61" s="61">
        <v>0</v>
      </c>
      <c r="EN61" s="61">
        <v>0</v>
      </c>
      <c r="EO61" s="61">
        <v>0</v>
      </c>
      <c r="EP61" s="61">
        <v>0</v>
      </c>
      <c r="EQ61" s="61">
        <v>0</v>
      </c>
      <c r="ER61" s="61">
        <v>0</v>
      </c>
      <c r="ES61" s="61">
        <v>0</v>
      </c>
      <c r="ET61" s="61">
        <v>0</v>
      </c>
      <c r="EU61" s="61">
        <v>0</v>
      </c>
      <c r="EV61" s="61">
        <v>0</v>
      </c>
      <c r="EW61" s="61">
        <v>0</v>
      </c>
      <c r="EX61" s="61">
        <v>0</v>
      </c>
      <c r="EY61" s="61">
        <v>0</v>
      </c>
      <c r="EZ61" s="61">
        <v>0</v>
      </c>
      <c r="FA61" s="61">
        <v>0</v>
      </c>
      <c r="FB61" s="61">
        <v>0</v>
      </c>
      <c r="FC61" s="61">
        <v>0</v>
      </c>
      <c r="FD61" s="61">
        <v>0</v>
      </c>
      <c r="FE61" s="61">
        <v>0</v>
      </c>
      <c r="FF61" s="61">
        <v>0</v>
      </c>
      <c r="FG61" s="61">
        <v>0</v>
      </c>
      <c r="FH61" s="61">
        <v>0</v>
      </c>
      <c r="FI61" s="61">
        <v>0</v>
      </c>
      <c r="FJ61" s="61">
        <v>0</v>
      </c>
      <c r="FK61" s="61">
        <v>0</v>
      </c>
      <c r="FL61" s="61">
        <v>0</v>
      </c>
      <c r="FM61" s="61">
        <v>0</v>
      </c>
      <c r="FN61" s="61">
        <v>0</v>
      </c>
      <c r="FO61" s="61">
        <v>0</v>
      </c>
      <c r="FP61" s="61">
        <v>0</v>
      </c>
      <c r="FQ61" s="61">
        <v>0</v>
      </c>
      <c r="FR61" s="61">
        <v>0</v>
      </c>
      <c r="FS61" s="61">
        <v>0</v>
      </c>
      <c r="FT61" s="61">
        <v>0</v>
      </c>
      <c r="FU61" s="61">
        <v>0</v>
      </c>
      <c r="FV61" s="61">
        <v>0</v>
      </c>
      <c r="FW61" s="61">
        <v>0</v>
      </c>
      <c r="FX61" s="61">
        <v>0</v>
      </c>
      <c r="FY61" s="61">
        <v>0</v>
      </c>
      <c r="FZ61" s="66">
        <v>1</v>
      </c>
      <c r="GA61" s="66">
        <v>1</v>
      </c>
      <c r="GB61" s="66">
        <v>1</v>
      </c>
      <c r="GC61" s="66">
        <v>1</v>
      </c>
      <c r="GD61" s="66">
        <v>1</v>
      </c>
      <c r="GE61" s="66">
        <v>1</v>
      </c>
      <c r="GF61" s="66">
        <v>1</v>
      </c>
      <c r="GG61" s="66">
        <v>1</v>
      </c>
      <c r="GH61" s="66">
        <v>1</v>
      </c>
      <c r="GI61" s="66">
        <v>1</v>
      </c>
      <c r="GJ61" s="66">
        <v>1</v>
      </c>
      <c r="GK61" s="66">
        <v>1</v>
      </c>
      <c r="GL61" s="66">
        <v>1</v>
      </c>
      <c r="GM61" s="66">
        <v>1</v>
      </c>
      <c r="GN61" s="66">
        <v>1</v>
      </c>
      <c r="GO61" s="66">
        <v>1</v>
      </c>
      <c r="GP61" s="66">
        <v>1</v>
      </c>
      <c r="GQ61" s="66">
        <v>1</v>
      </c>
      <c r="GR61" s="66">
        <v>1</v>
      </c>
      <c r="GS61" s="66">
        <v>1</v>
      </c>
      <c r="GT61" s="66">
        <v>1</v>
      </c>
      <c r="GU61" s="66">
        <v>1</v>
      </c>
      <c r="GV61" s="66">
        <v>1</v>
      </c>
      <c r="GW61" s="66">
        <v>1</v>
      </c>
      <c r="GX61" s="66">
        <v>1</v>
      </c>
      <c r="GY61" s="66">
        <v>1</v>
      </c>
      <c r="GZ61" s="66">
        <v>1</v>
      </c>
      <c r="HA61" s="66">
        <v>1</v>
      </c>
      <c r="HB61" s="66">
        <v>1</v>
      </c>
      <c r="HC61" s="66">
        <v>1</v>
      </c>
      <c r="HD61" s="66">
        <v>1</v>
      </c>
      <c r="HE61" s="66">
        <v>1</v>
      </c>
      <c r="HF61" s="66">
        <v>1</v>
      </c>
      <c r="HG61" s="66">
        <v>1</v>
      </c>
      <c r="HH61" s="66"/>
      <c r="HI61" s="66"/>
      <c r="HJ61" s="63">
        <v>1821</v>
      </c>
      <c r="HK61" s="63">
        <f>SUM(X$4:HI$4)</f>
        <v>194</v>
      </c>
      <c r="HL61" s="61">
        <f>SUM(X61:HI61)</f>
        <v>94</v>
      </c>
      <c r="HM61" s="67">
        <f t="shared" si="1"/>
        <v>48.453608247422679</v>
      </c>
      <c r="HN61" s="67"/>
      <c r="HO61" s="68">
        <v>0</v>
      </c>
      <c r="HP61" s="68">
        <v>0.02</v>
      </c>
      <c r="HQ61" s="63">
        <v>0.02</v>
      </c>
      <c r="HS61" s="68" t="s">
        <v>7296</v>
      </c>
    </row>
    <row r="62" spans="1:238" x14ac:dyDescent="0.3">
      <c r="B62" s="63" t="s">
        <v>7297</v>
      </c>
      <c r="C62" s="61">
        <v>0</v>
      </c>
      <c r="D62" s="61">
        <v>0</v>
      </c>
      <c r="E62" s="61">
        <v>0</v>
      </c>
      <c r="F62" s="61">
        <v>0</v>
      </c>
      <c r="G62" s="61">
        <v>0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>
        <v>0</v>
      </c>
      <c r="Y62" s="61">
        <v>0</v>
      </c>
      <c r="Z62" s="61">
        <v>0</v>
      </c>
      <c r="AA62" s="61">
        <v>0</v>
      </c>
      <c r="AB62" s="61">
        <v>0</v>
      </c>
      <c r="AC62" s="61">
        <v>0</v>
      </c>
      <c r="AD62" s="61">
        <v>0</v>
      </c>
      <c r="AE62" s="61">
        <v>0</v>
      </c>
      <c r="AF62" s="61">
        <v>0</v>
      </c>
      <c r="AG62" s="61">
        <v>0</v>
      </c>
      <c r="AH62" s="61">
        <v>0</v>
      </c>
      <c r="AI62" s="61">
        <v>0</v>
      </c>
      <c r="AJ62" s="61">
        <v>0</v>
      </c>
      <c r="AK62" s="61">
        <v>0</v>
      </c>
      <c r="AL62" s="61">
        <v>0</v>
      </c>
      <c r="AM62" s="61">
        <v>0</v>
      </c>
      <c r="AN62" s="61">
        <v>0</v>
      </c>
      <c r="AO62" s="61">
        <v>0</v>
      </c>
      <c r="AP62" s="61">
        <v>0</v>
      </c>
      <c r="AQ62" s="61">
        <v>0</v>
      </c>
      <c r="AR62" s="61">
        <v>0</v>
      </c>
      <c r="AS62" s="61">
        <v>0</v>
      </c>
      <c r="AT62" s="61">
        <v>0</v>
      </c>
      <c r="AU62" s="61">
        <v>0</v>
      </c>
      <c r="AV62" s="61">
        <v>0</v>
      </c>
      <c r="AW62" s="61">
        <v>0</v>
      </c>
      <c r="AX62" s="61">
        <v>0</v>
      </c>
      <c r="AY62" s="61">
        <v>0</v>
      </c>
      <c r="AZ62" s="61">
        <v>0</v>
      </c>
      <c r="BA62" s="61">
        <v>0</v>
      </c>
      <c r="BB62" s="61">
        <v>0</v>
      </c>
      <c r="BC62" s="61">
        <v>0</v>
      </c>
      <c r="BD62" s="61">
        <v>0</v>
      </c>
      <c r="BE62" s="61">
        <v>0</v>
      </c>
      <c r="BF62" s="61">
        <v>0</v>
      </c>
      <c r="BG62" s="61">
        <v>0</v>
      </c>
      <c r="BH62" s="61">
        <v>0</v>
      </c>
      <c r="BI62" s="61">
        <v>0</v>
      </c>
      <c r="BJ62" s="61">
        <v>0</v>
      </c>
      <c r="BK62" s="61">
        <v>0</v>
      </c>
      <c r="BL62" s="61">
        <v>0</v>
      </c>
      <c r="BM62" s="61">
        <v>0</v>
      </c>
      <c r="BN62" s="61">
        <v>0</v>
      </c>
      <c r="BO62" s="61">
        <v>0</v>
      </c>
      <c r="BP62" s="61">
        <v>0</v>
      </c>
      <c r="BQ62" s="61">
        <v>0</v>
      </c>
      <c r="BR62" s="61">
        <v>0</v>
      </c>
      <c r="BS62" s="61">
        <v>0</v>
      </c>
      <c r="BT62" s="61">
        <v>0</v>
      </c>
      <c r="BU62" s="61">
        <v>0</v>
      </c>
      <c r="BV62" s="61">
        <v>0</v>
      </c>
      <c r="BW62" s="61">
        <v>0</v>
      </c>
      <c r="BX62" s="61">
        <v>0</v>
      </c>
      <c r="BY62" s="61">
        <v>0</v>
      </c>
      <c r="BZ62" s="61">
        <v>0</v>
      </c>
      <c r="CA62" s="61">
        <v>0</v>
      </c>
      <c r="CB62" s="61">
        <v>0</v>
      </c>
      <c r="CC62" s="61">
        <v>0</v>
      </c>
      <c r="CD62" s="61">
        <v>0</v>
      </c>
      <c r="CE62" s="61">
        <v>0</v>
      </c>
      <c r="CF62" s="61">
        <v>0</v>
      </c>
      <c r="CG62" s="61">
        <v>0</v>
      </c>
      <c r="CH62" s="61">
        <v>0</v>
      </c>
      <c r="CI62" s="61">
        <v>0</v>
      </c>
      <c r="CJ62" s="61">
        <v>0</v>
      </c>
      <c r="CK62" s="61">
        <v>0</v>
      </c>
      <c r="CL62" s="61">
        <v>0</v>
      </c>
      <c r="CM62" s="61">
        <v>0</v>
      </c>
      <c r="CN62" s="61">
        <v>0</v>
      </c>
      <c r="CO62" s="61">
        <v>0</v>
      </c>
      <c r="CP62" s="61">
        <v>0</v>
      </c>
      <c r="CQ62" s="61">
        <v>0</v>
      </c>
      <c r="CR62" s="61">
        <v>0</v>
      </c>
      <c r="CS62" s="61">
        <v>0</v>
      </c>
      <c r="CT62" s="61">
        <v>0</v>
      </c>
      <c r="CU62" s="61">
        <v>0</v>
      </c>
      <c r="CV62" s="61">
        <v>0</v>
      </c>
      <c r="CW62" s="61">
        <v>0</v>
      </c>
      <c r="CX62" s="61">
        <v>0</v>
      </c>
      <c r="CY62" s="61">
        <v>0</v>
      </c>
      <c r="CZ62" s="61">
        <v>0</v>
      </c>
      <c r="DA62" s="61">
        <v>0</v>
      </c>
      <c r="DB62" s="65">
        <v>0</v>
      </c>
      <c r="DC62" s="61">
        <v>0</v>
      </c>
      <c r="DD62" s="61">
        <v>0</v>
      </c>
      <c r="DE62" s="61">
        <v>0</v>
      </c>
      <c r="DF62" s="61">
        <v>0</v>
      </c>
      <c r="DG62" s="61">
        <v>0</v>
      </c>
      <c r="DH62" s="61">
        <v>0</v>
      </c>
      <c r="DI62" s="61">
        <v>0</v>
      </c>
      <c r="DJ62" s="61">
        <v>0</v>
      </c>
      <c r="DK62" s="61">
        <v>0</v>
      </c>
      <c r="DL62" s="61">
        <v>0</v>
      </c>
      <c r="DM62" s="61">
        <v>0</v>
      </c>
      <c r="DN62" s="61">
        <v>0</v>
      </c>
      <c r="DO62" s="61">
        <v>0</v>
      </c>
      <c r="DP62" s="61">
        <v>0</v>
      </c>
      <c r="DQ62" s="61">
        <v>0</v>
      </c>
      <c r="DR62" s="61">
        <v>0</v>
      </c>
      <c r="DS62" s="61">
        <v>0</v>
      </c>
      <c r="DT62" s="61">
        <v>0</v>
      </c>
      <c r="DU62" s="61">
        <v>0</v>
      </c>
      <c r="DV62" s="61">
        <v>0</v>
      </c>
      <c r="DW62" s="61">
        <v>0</v>
      </c>
      <c r="DX62" s="61">
        <v>0</v>
      </c>
      <c r="DY62" s="61">
        <v>0</v>
      </c>
      <c r="DZ62" s="61">
        <v>0</v>
      </c>
      <c r="EA62" s="61">
        <v>0</v>
      </c>
      <c r="EB62" s="61">
        <v>0</v>
      </c>
      <c r="EC62" s="61">
        <v>0</v>
      </c>
      <c r="ED62" s="61">
        <v>0</v>
      </c>
      <c r="EE62" s="66">
        <v>1</v>
      </c>
      <c r="EF62" s="66">
        <v>1</v>
      </c>
      <c r="EG62" s="66">
        <v>1</v>
      </c>
      <c r="EH62" s="66">
        <v>1</v>
      </c>
      <c r="EI62" s="66">
        <v>1</v>
      </c>
      <c r="EJ62" s="66">
        <v>1</v>
      </c>
      <c r="EK62" s="66">
        <v>1</v>
      </c>
      <c r="EL62" s="66">
        <v>1</v>
      </c>
      <c r="EM62" s="66">
        <v>1</v>
      </c>
      <c r="EN62" s="66">
        <v>1</v>
      </c>
      <c r="EO62" s="66">
        <v>1</v>
      </c>
      <c r="EP62" s="66">
        <v>1</v>
      </c>
      <c r="EQ62" s="66">
        <v>1</v>
      </c>
      <c r="ER62" s="66">
        <v>1</v>
      </c>
      <c r="ES62" s="66">
        <v>1</v>
      </c>
      <c r="ET62" s="61">
        <v>0</v>
      </c>
      <c r="EU62" s="61">
        <v>0</v>
      </c>
      <c r="EV62" s="61">
        <v>0</v>
      </c>
      <c r="EW62" s="61">
        <v>0</v>
      </c>
      <c r="EX62" s="61">
        <v>0</v>
      </c>
      <c r="EY62" s="61">
        <v>0</v>
      </c>
      <c r="EZ62" s="61">
        <v>0</v>
      </c>
      <c r="FA62" s="61">
        <v>0</v>
      </c>
      <c r="FB62" s="61">
        <v>0</v>
      </c>
      <c r="FC62" s="61">
        <v>0</v>
      </c>
      <c r="FD62" s="61">
        <v>0</v>
      </c>
      <c r="FE62" s="61">
        <v>0</v>
      </c>
      <c r="FF62" s="61">
        <v>0</v>
      </c>
      <c r="FG62" s="61">
        <v>0</v>
      </c>
      <c r="FH62" s="61">
        <v>0</v>
      </c>
      <c r="FI62" s="61">
        <v>0</v>
      </c>
      <c r="FJ62" s="61">
        <v>0</v>
      </c>
      <c r="FK62" s="61">
        <v>0</v>
      </c>
      <c r="FL62" s="61">
        <v>0</v>
      </c>
      <c r="FM62" s="61">
        <v>0</v>
      </c>
      <c r="FN62" s="61">
        <v>0</v>
      </c>
      <c r="FO62" s="61">
        <v>0</v>
      </c>
      <c r="FP62" s="61">
        <v>0</v>
      </c>
      <c r="FQ62" s="61">
        <v>0</v>
      </c>
      <c r="FR62" s="61">
        <v>0</v>
      </c>
      <c r="FS62" s="61">
        <v>0</v>
      </c>
      <c r="FT62" s="61">
        <v>0</v>
      </c>
      <c r="FU62" s="61">
        <v>0</v>
      </c>
      <c r="FV62" s="63">
        <v>0</v>
      </c>
      <c r="FW62" s="63">
        <v>0</v>
      </c>
      <c r="FX62" s="63">
        <v>0</v>
      </c>
      <c r="FY62" s="63">
        <v>0</v>
      </c>
      <c r="FZ62" s="63">
        <v>0</v>
      </c>
      <c r="GA62" s="63">
        <v>0</v>
      </c>
      <c r="GB62" s="63">
        <v>0</v>
      </c>
      <c r="GC62" s="63">
        <v>0</v>
      </c>
      <c r="GD62" s="66">
        <v>1</v>
      </c>
      <c r="GE62" s="66">
        <v>1</v>
      </c>
      <c r="GF62" s="66">
        <v>1</v>
      </c>
      <c r="GG62" s="66">
        <v>1</v>
      </c>
      <c r="GH62" s="66">
        <v>1</v>
      </c>
      <c r="GI62" s="66">
        <v>1</v>
      </c>
      <c r="GJ62" s="66">
        <v>1</v>
      </c>
      <c r="GK62" s="66">
        <v>1</v>
      </c>
      <c r="GL62" s="66">
        <v>1</v>
      </c>
      <c r="GM62" s="66">
        <v>1</v>
      </c>
      <c r="GN62" s="66">
        <v>1</v>
      </c>
      <c r="GO62" s="66">
        <v>1</v>
      </c>
      <c r="GP62" s="66">
        <v>1</v>
      </c>
      <c r="GQ62" s="66">
        <v>1</v>
      </c>
      <c r="GR62" s="63">
        <v>0</v>
      </c>
      <c r="GS62" s="63">
        <v>0</v>
      </c>
      <c r="GT62" s="63">
        <v>0</v>
      </c>
      <c r="GU62" s="63">
        <v>0</v>
      </c>
      <c r="GV62" s="63">
        <v>0</v>
      </c>
      <c r="GW62" s="63">
        <v>0</v>
      </c>
      <c r="GX62" s="63">
        <v>0</v>
      </c>
      <c r="GY62" s="63">
        <v>0</v>
      </c>
      <c r="GZ62" s="63">
        <v>0</v>
      </c>
      <c r="HA62" s="63">
        <v>0</v>
      </c>
      <c r="HB62" s="63">
        <v>0</v>
      </c>
      <c r="HC62" s="63">
        <v>0</v>
      </c>
      <c r="HD62" s="63">
        <v>0</v>
      </c>
      <c r="HE62" s="63">
        <v>0</v>
      </c>
      <c r="HF62" s="63">
        <v>0</v>
      </c>
      <c r="HG62" s="63">
        <v>0</v>
      </c>
      <c r="HH62" s="63"/>
      <c r="HI62" s="63"/>
      <c r="HJ62" s="63">
        <v>1903</v>
      </c>
      <c r="HK62" s="63">
        <f>SUM(DB$4:HI$4)</f>
        <v>112</v>
      </c>
      <c r="HL62" s="61">
        <f>SUM(DB62:HI62)</f>
        <v>29</v>
      </c>
      <c r="HM62" s="67">
        <f t="shared" si="1"/>
        <v>25.892857142857142</v>
      </c>
      <c r="HN62" s="67"/>
      <c r="HO62" s="68">
        <v>0</v>
      </c>
      <c r="HP62" s="68">
        <v>0.04</v>
      </c>
      <c r="HQ62" s="63">
        <v>0.04</v>
      </c>
    </row>
    <row r="63" spans="1:238" x14ac:dyDescent="0.3">
      <c r="B63" s="63" t="s">
        <v>7298</v>
      </c>
      <c r="C63" s="61">
        <v>0</v>
      </c>
      <c r="D63" s="61">
        <v>0</v>
      </c>
      <c r="E63" s="61">
        <v>0</v>
      </c>
      <c r="F63" s="61">
        <v>0</v>
      </c>
      <c r="G63" s="61">
        <v>0</v>
      </c>
      <c r="H63" s="61">
        <v>0</v>
      </c>
      <c r="I63" s="61">
        <v>0</v>
      </c>
      <c r="J63" s="61">
        <v>0</v>
      </c>
      <c r="K63" s="61">
        <v>0</v>
      </c>
      <c r="L63" s="61">
        <v>0</v>
      </c>
      <c r="M63" s="61">
        <v>0</v>
      </c>
      <c r="N63" s="65">
        <v>0</v>
      </c>
      <c r="O63" s="61">
        <v>0</v>
      </c>
      <c r="P63" s="61">
        <v>0</v>
      </c>
      <c r="Q63" s="61">
        <v>0</v>
      </c>
      <c r="R63" s="61">
        <v>0</v>
      </c>
      <c r="S63" s="61">
        <v>0</v>
      </c>
      <c r="T63" s="61">
        <v>0</v>
      </c>
      <c r="U63" s="61">
        <v>0</v>
      </c>
      <c r="V63" s="61">
        <v>0</v>
      </c>
      <c r="W63" s="61">
        <v>0</v>
      </c>
      <c r="X63" s="61">
        <v>0</v>
      </c>
      <c r="Y63" s="61">
        <v>0</v>
      </c>
      <c r="Z63" s="61">
        <v>0</v>
      </c>
      <c r="AA63" s="61">
        <v>0</v>
      </c>
      <c r="AB63" s="61">
        <v>0</v>
      </c>
      <c r="AC63" s="61">
        <v>0</v>
      </c>
      <c r="AD63" s="61">
        <v>0</v>
      </c>
      <c r="AE63" s="61">
        <v>0</v>
      </c>
      <c r="AF63" s="61">
        <v>0</v>
      </c>
      <c r="AG63" s="61">
        <v>0</v>
      </c>
      <c r="AH63" s="61">
        <v>0</v>
      </c>
      <c r="AI63" s="61">
        <v>0</v>
      </c>
      <c r="AJ63" s="61">
        <v>0</v>
      </c>
      <c r="AK63" s="61">
        <v>0</v>
      </c>
      <c r="AL63" s="61">
        <v>0</v>
      </c>
      <c r="AM63" s="61">
        <v>0</v>
      </c>
      <c r="AN63" s="61">
        <v>0</v>
      </c>
      <c r="AO63" s="61">
        <v>0</v>
      </c>
      <c r="AP63" s="61">
        <v>0</v>
      </c>
      <c r="AQ63" s="61">
        <v>0</v>
      </c>
      <c r="AR63" s="61">
        <v>0</v>
      </c>
      <c r="AS63" s="61">
        <v>0</v>
      </c>
      <c r="AT63" s="61">
        <v>0</v>
      </c>
      <c r="AU63" s="61">
        <v>0</v>
      </c>
      <c r="AV63" s="61">
        <v>0</v>
      </c>
      <c r="AW63" s="61">
        <v>0</v>
      </c>
      <c r="AX63" s="61">
        <v>0</v>
      </c>
      <c r="AY63" s="61">
        <v>0</v>
      </c>
      <c r="AZ63" s="61">
        <v>0</v>
      </c>
      <c r="BA63" s="61">
        <v>0</v>
      </c>
      <c r="BB63" s="61">
        <v>0</v>
      </c>
      <c r="BC63" s="61">
        <v>0</v>
      </c>
      <c r="BD63" s="61">
        <v>0</v>
      </c>
      <c r="BE63" s="61">
        <v>0</v>
      </c>
      <c r="BF63" s="61">
        <v>0</v>
      </c>
      <c r="BG63" s="61">
        <v>0</v>
      </c>
      <c r="BH63" s="61">
        <v>0</v>
      </c>
      <c r="BI63" s="61">
        <v>0</v>
      </c>
      <c r="BJ63" s="61">
        <v>0</v>
      </c>
      <c r="BK63" s="61">
        <v>0</v>
      </c>
      <c r="BL63" s="61">
        <v>0</v>
      </c>
      <c r="BM63" s="61">
        <v>0</v>
      </c>
      <c r="BN63" s="61">
        <v>0</v>
      </c>
      <c r="BO63" s="61">
        <v>0</v>
      </c>
      <c r="BP63" s="61">
        <v>0</v>
      </c>
      <c r="BQ63" s="61">
        <v>0</v>
      </c>
      <c r="BR63" s="61">
        <v>0</v>
      </c>
      <c r="BS63" s="61">
        <v>0</v>
      </c>
      <c r="BT63" s="61">
        <v>0</v>
      </c>
      <c r="BU63" s="61">
        <v>0</v>
      </c>
      <c r="BV63" s="61">
        <v>0</v>
      </c>
      <c r="BW63" s="61">
        <v>0</v>
      </c>
      <c r="BX63" s="61">
        <v>0</v>
      </c>
      <c r="BY63" s="66">
        <v>1</v>
      </c>
      <c r="BZ63" s="66">
        <v>1</v>
      </c>
      <c r="CA63" s="66">
        <v>1</v>
      </c>
      <c r="CB63" s="66">
        <v>1</v>
      </c>
      <c r="CC63" s="66">
        <v>1</v>
      </c>
      <c r="CD63" s="66">
        <v>1</v>
      </c>
      <c r="CE63" s="66">
        <v>1</v>
      </c>
      <c r="CF63" s="66">
        <v>1</v>
      </c>
      <c r="CG63" s="66">
        <v>1</v>
      </c>
      <c r="CH63" s="66">
        <v>1</v>
      </c>
      <c r="CI63" s="66">
        <v>1</v>
      </c>
      <c r="CJ63" s="66">
        <v>1</v>
      </c>
      <c r="CK63" s="61">
        <v>0</v>
      </c>
      <c r="CL63" s="61">
        <v>0</v>
      </c>
      <c r="CM63" s="61">
        <v>0</v>
      </c>
      <c r="CN63" s="61">
        <v>0</v>
      </c>
      <c r="CO63" s="61">
        <v>0</v>
      </c>
      <c r="CP63" s="61">
        <v>0</v>
      </c>
      <c r="CQ63" s="66">
        <v>1</v>
      </c>
      <c r="CR63" s="66">
        <v>1</v>
      </c>
      <c r="CS63" s="66">
        <v>1</v>
      </c>
      <c r="CT63" s="66">
        <v>1</v>
      </c>
      <c r="CU63" s="61">
        <v>0</v>
      </c>
      <c r="CV63" s="61">
        <v>0</v>
      </c>
      <c r="CW63" s="61">
        <v>0</v>
      </c>
      <c r="CX63" s="61">
        <v>0</v>
      </c>
      <c r="CY63" s="61">
        <v>0</v>
      </c>
      <c r="CZ63" s="61">
        <v>0</v>
      </c>
      <c r="DA63" s="61">
        <v>0</v>
      </c>
      <c r="DB63" s="61">
        <v>0</v>
      </c>
      <c r="DC63" s="61">
        <v>0</v>
      </c>
      <c r="DD63" s="61">
        <v>0</v>
      </c>
      <c r="DE63" s="61">
        <v>0</v>
      </c>
      <c r="DF63" s="61">
        <v>0</v>
      </c>
      <c r="DG63" s="61">
        <v>0</v>
      </c>
      <c r="DH63" s="61">
        <v>0</v>
      </c>
      <c r="DI63" s="61">
        <v>0</v>
      </c>
      <c r="DJ63" s="61">
        <v>0</v>
      </c>
      <c r="DK63" s="61">
        <v>0</v>
      </c>
      <c r="DL63" s="61">
        <v>0</v>
      </c>
      <c r="DM63" s="61">
        <v>0</v>
      </c>
      <c r="DN63" s="61">
        <v>0</v>
      </c>
      <c r="DO63" s="61">
        <v>0</v>
      </c>
      <c r="DP63" s="61">
        <v>0</v>
      </c>
      <c r="DQ63" s="61">
        <v>0</v>
      </c>
      <c r="DR63" s="61">
        <v>0</v>
      </c>
      <c r="DS63" s="66">
        <v>1</v>
      </c>
      <c r="DT63" s="66">
        <v>1</v>
      </c>
      <c r="DU63" s="66">
        <v>1</v>
      </c>
      <c r="DV63" s="66">
        <v>1</v>
      </c>
      <c r="DW63" s="66">
        <v>1</v>
      </c>
      <c r="DX63" s="61">
        <v>0</v>
      </c>
      <c r="DY63" s="61">
        <v>0</v>
      </c>
      <c r="DZ63" s="61">
        <v>0</v>
      </c>
      <c r="EA63" s="61">
        <v>0</v>
      </c>
      <c r="EB63" s="61">
        <v>0</v>
      </c>
      <c r="EC63" s="61">
        <v>0</v>
      </c>
      <c r="ED63" s="61">
        <v>0</v>
      </c>
      <c r="EE63" s="66">
        <v>1</v>
      </c>
      <c r="EF63" s="66">
        <v>1</v>
      </c>
      <c r="EG63" s="66">
        <v>1</v>
      </c>
      <c r="EH63" s="66">
        <v>1</v>
      </c>
      <c r="EI63" s="66">
        <v>1</v>
      </c>
      <c r="EJ63" s="66">
        <v>1</v>
      </c>
      <c r="EK63" s="66">
        <v>1</v>
      </c>
      <c r="EL63" s="66">
        <v>1</v>
      </c>
      <c r="EM63" s="66">
        <v>1</v>
      </c>
      <c r="EN63" s="66">
        <v>1</v>
      </c>
      <c r="EO63" s="66">
        <v>1</v>
      </c>
      <c r="EP63" s="66">
        <v>1</v>
      </c>
      <c r="EQ63" s="66">
        <v>1</v>
      </c>
      <c r="ER63" s="61">
        <v>0</v>
      </c>
      <c r="ES63" s="61">
        <v>0</v>
      </c>
      <c r="ET63" s="61">
        <v>0</v>
      </c>
      <c r="EU63" s="61">
        <v>0</v>
      </c>
      <c r="EV63" s="61">
        <v>0</v>
      </c>
      <c r="EW63" s="61">
        <v>0</v>
      </c>
      <c r="EX63" s="61">
        <v>0</v>
      </c>
      <c r="EY63" s="61">
        <v>0</v>
      </c>
      <c r="EZ63" s="61">
        <v>0</v>
      </c>
      <c r="FA63" s="61">
        <v>0</v>
      </c>
      <c r="FB63" s="61">
        <v>0</v>
      </c>
      <c r="FC63" s="61">
        <v>0</v>
      </c>
      <c r="FD63" s="61">
        <v>0</v>
      </c>
      <c r="FE63" s="61">
        <v>0</v>
      </c>
      <c r="FF63" s="61">
        <v>0</v>
      </c>
      <c r="FG63" s="61">
        <v>0</v>
      </c>
      <c r="FH63" s="61">
        <v>0</v>
      </c>
      <c r="FI63" s="61">
        <v>0</v>
      </c>
      <c r="FJ63" s="61">
        <v>0</v>
      </c>
      <c r="FK63" s="61">
        <v>0</v>
      </c>
      <c r="FL63" s="61">
        <v>0</v>
      </c>
      <c r="FM63" s="61">
        <v>0</v>
      </c>
      <c r="FN63" s="61">
        <v>0</v>
      </c>
      <c r="FO63" s="66">
        <v>1</v>
      </c>
      <c r="FP63" s="66">
        <v>1</v>
      </c>
      <c r="FQ63" s="61">
        <v>0</v>
      </c>
      <c r="FR63" s="61">
        <v>0</v>
      </c>
      <c r="FS63" s="61">
        <v>0</v>
      </c>
      <c r="FT63" s="61">
        <v>0</v>
      </c>
      <c r="FU63" s="61">
        <v>0</v>
      </c>
      <c r="FV63" s="63">
        <v>0</v>
      </c>
      <c r="FW63" s="63">
        <v>0</v>
      </c>
      <c r="FX63" s="63">
        <v>0</v>
      </c>
      <c r="FY63" s="63">
        <v>0</v>
      </c>
      <c r="FZ63" s="63">
        <v>0</v>
      </c>
      <c r="GA63" s="63">
        <v>0</v>
      </c>
      <c r="GB63" s="63">
        <v>0</v>
      </c>
      <c r="GC63" s="63">
        <v>0</v>
      </c>
      <c r="GD63" s="63">
        <v>0</v>
      </c>
      <c r="GE63" s="63">
        <v>0</v>
      </c>
      <c r="GF63" s="63">
        <v>0</v>
      </c>
      <c r="GG63" s="66">
        <v>1</v>
      </c>
      <c r="GH63" s="66">
        <v>1</v>
      </c>
      <c r="GI63" s="66">
        <v>1</v>
      </c>
      <c r="GJ63" s="66">
        <v>1</v>
      </c>
      <c r="GK63" s="66">
        <v>1</v>
      </c>
      <c r="GL63" s="66">
        <v>1</v>
      </c>
      <c r="GM63" s="66">
        <v>1</v>
      </c>
      <c r="GN63" s="63">
        <v>0</v>
      </c>
      <c r="GO63" s="63">
        <v>0</v>
      </c>
      <c r="GP63" s="63">
        <v>0</v>
      </c>
      <c r="GQ63" s="63">
        <v>0</v>
      </c>
      <c r="GR63" s="63">
        <v>0</v>
      </c>
      <c r="GS63" s="63">
        <v>0</v>
      </c>
      <c r="GT63" s="63">
        <v>0</v>
      </c>
      <c r="GU63" s="63">
        <v>0</v>
      </c>
      <c r="GV63" s="63">
        <v>0</v>
      </c>
      <c r="GW63" s="63">
        <v>0</v>
      </c>
      <c r="GX63" s="66">
        <v>1</v>
      </c>
      <c r="GY63" s="66">
        <v>1</v>
      </c>
      <c r="GZ63" s="63">
        <v>0</v>
      </c>
      <c r="HA63" s="63">
        <v>0</v>
      </c>
      <c r="HB63" s="63">
        <v>0</v>
      </c>
      <c r="HC63" s="63">
        <v>0</v>
      </c>
      <c r="HD63" s="63">
        <v>0</v>
      </c>
      <c r="HE63" s="63">
        <v>0</v>
      </c>
      <c r="HF63" s="63">
        <v>0</v>
      </c>
      <c r="HG63" s="63">
        <v>0</v>
      </c>
      <c r="HH63" s="63"/>
      <c r="HI63" s="63"/>
      <c r="HJ63" s="63">
        <v>1811</v>
      </c>
      <c r="HK63" s="63">
        <f>SUM(N$4:HI$4)</f>
        <v>204</v>
      </c>
      <c r="HL63" s="61">
        <f>SUM(N63:HI63)</f>
        <v>45</v>
      </c>
      <c r="HM63" s="67">
        <f t="shared" si="1"/>
        <v>22.058823529411764</v>
      </c>
      <c r="HN63" s="67"/>
      <c r="HO63" s="68">
        <v>0</v>
      </c>
      <c r="HP63" s="68">
        <v>0.05</v>
      </c>
      <c r="HQ63" s="63">
        <v>0.04</v>
      </c>
    </row>
    <row r="64" spans="1:238" x14ac:dyDescent="0.3">
      <c r="B64" s="63" t="s">
        <v>7299</v>
      </c>
      <c r="C64" s="61">
        <v>0</v>
      </c>
      <c r="D64" s="61">
        <v>0</v>
      </c>
      <c r="E64" s="61">
        <v>0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61">
        <v>0</v>
      </c>
      <c r="L64" s="61">
        <v>0</v>
      </c>
      <c r="M64" s="61">
        <v>0</v>
      </c>
      <c r="N64" s="61">
        <v>0</v>
      </c>
      <c r="O64" s="61">
        <v>0</v>
      </c>
      <c r="P64" s="61">
        <v>0</v>
      </c>
      <c r="Q64" s="61">
        <v>0</v>
      </c>
      <c r="R64" s="61">
        <v>0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5">
        <v>0</v>
      </c>
      <c r="Y64" s="61">
        <v>0</v>
      </c>
      <c r="Z64" s="61">
        <v>0</v>
      </c>
      <c r="AA64" s="61">
        <v>0</v>
      </c>
      <c r="AB64" s="61">
        <v>0</v>
      </c>
      <c r="AC64" s="66">
        <v>1</v>
      </c>
      <c r="AD64" s="66">
        <v>1</v>
      </c>
      <c r="AE64" s="66">
        <v>1</v>
      </c>
      <c r="AF64" s="66">
        <v>1</v>
      </c>
      <c r="AG64" s="66">
        <v>1</v>
      </c>
      <c r="AH64" s="66">
        <v>1</v>
      </c>
      <c r="AI64" s="66">
        <v>1</v>
      </c>
      <c r="AJ64" s="66">
        <v>1</v>
      </c>
      <c r="AK64" s="66">
        <v>1</v>
      </c>
      <c r="AL64" s="66">
        <v>1</v>
      </c>
      <c r="AM64" s="66">
        <v>1</v>
      </c>
      <c r="AN64" s="66">
        <v>1</v>
      </c>
      <c r="AO64" s="66">
        <v>1</v>
      </c>
      <c r="AP64" s="66">
        <v>1</v>
      </c>
      <c r="AQ64" s="66">
        <v>1</v>
      </c>
      <c r="AR64" s="66">
        <v>1</v>
      </c>
      <c r="AS64" s="66">
        <v>1</v>
      </c>
      <c r="AT64" s="66">
        <v>1</v>
      </c>
      <c r="AU64" s="66">
        <v>1</v>
      </c>
      <c r="AV64" s="66">
        <v>1</v>
      </c>
      <c r="AW64" s="66">
        <v>1</v>
      </c>
      <c r="AX64" s="66">
        <v>1</v>
      </c>
      <c r="AY64" s="61">
        <v>1</v>
      </c>
      <c r="AZ64" s="61">
        <v>0</v>
      </c>
      <c r="BA64" s="61">
        <v>0</v>
      </c>
      <c r="BB64" s="61">
        <v>0</v>
      </c>
      <c r="BC64" s="61">
        <v>0</v>
      </c>
      <c r="BD64" s="61">
        <v>0</v>
      </c>
      <c r="BE64" s="61">
        <v>0</v>
      </c>
      <c r="BF64" s="61">
        <v>0</v>
      </c>
      <c r="BG64" s="61">
        <v>0</v>
      </c>
      <c r="BH64" s="61">
        <v>0</v>
      </c>
      <c r="BI64" s="61">
        <v>0</v>
      </c>
      <c r="BJ64" s="61">
        <v>0</v>
      </c>
      <c r="BK64" s="61">
        <v>0</v>
      </c>
      <c r="BL64" s="61">
        <v>0</v>
      </c>
      <c r="BM64" s="61">
        <v>0</v>
      </c>
      <c r="BN64" s="61">
        <v>0</v>
      </c>
      <c r="BO64" s="61">
        <v>0</v>
      </c>
      <c r="BP64" s="61">
        <v>0</v>
      </c>
      <c r="BQ64" s="61">
        <v>0</v>
      </c>
      <c r="BR64" s="61">
        <v>0</v>
      </c>
      <c r="BS64" s="61">
        <v>0</v>
      </c>
      <c r="BT64" s="61">
        <v>0</v>
      </c>
      <c r="BU64" s="61">
        <v>0</v>
      </c>
      <c r="BV64" s="61">
        <v>0</v>
      </c>
      <c r="BW64" s="61">
        <v>0</v>
      </c>
      <c r="BX64" s="61">
        <v>0</v>
      </c>
      <c r="BY64" s="61">
        <v>0</v>
      </c>
      <c r="BZ64" s="61">
        <v>0</v>
      </c>
      <c r="CA64" s="66">
        <v>1</v>
      </c>
      <c r="CB64" s="66">
        <v>1</v>
      </c>
      <c r="CC64" s="66">
        <v>1</v>
      </c>
      <c r="CD64" s="66">
        <v>1</v>
      </c>
      <c r="CE64" s="66">
        <v>1</v>
      </c>
      <c r="CF64" s="66">
        <v>1</v>
      </c>
      <c r="CG64" s="66">
        <v>1</v>
      </c>
      <c r="CH64" s="66">
        <v>1</v>
      </c>
      <c r="CI64" s="66">
        <v>1</v>
      </c>
      <c r="CJ64" s="66">
        <v>1</v>
      </c>
      <c r="CK64" s="66">
        <v>1</v>
      </c>
      <c r="CL64" s="66">
        <v>1</v>
      </c>
      <c r="CM64" s="66">
        <v>1</v>
      </c>
      <c r="CN64" s="66">
        <v>1</v>
      </c>
      <c r="CO64" s="61">
        <v>0</v>
      </c>
      <c r="CP64" s="61">
        <v>0</v>
      </c>
      <c r="CQ64" s="61">
        <v>0</v>
      </c>
      <c r="CR64" s="61">
        <v>0</v>
      </c>
      <c r="CS64" s="61">
        <v>0</v>
      </c>
      <c r="CT64" s="61">
        <v>0</v>
      </c>
      <c r="CU64" s="61">
        <v>0</v>
      </c>
      <c r="CV64" s="61">
        <v>0</v>
      </c>
      <c r="CW64" s="61">
        <v>0</v>
      </c>
      <c r="CX64" s="61">
        <v>0</v>
      </c>
      <c r="CY64" s="61">
        <v>0</v>
      </c>
      <c r="CZ64" s="61">
        <v>0</v>
      </c>
      <c r="DA64" s="61">
        <v>0</v>
      </c>
      <c r="DB64" s="61">
        <v>0</v>
      </c>
      <c r="DC64" s="61">
        <v>0</v>
      </c>
      <c r="DD64" s="61">
        <v>0</v>
      </c>
      <c r="DE64" s="61">
        <v>0</v>
      </c>
      <c r="DF64" s="61">
        <v>0</v>
      </c>
      <c r="DG64" s="61">
        <v>0</v>
      </c>
      <c r="DH64" s="61">
        <v>0</v>
      </c>
      <c r="DI64" s="61">
        <v>0</v>
      </c>
      <c r="DJ64" s="61">
        <v>0</v>
      </c>
      <c r="DK64" s="61">
        <v>0</v>
      </c>
      <c r="DL64" s="61">
        <v>0</v>
      </c>
      <c r="DM64" s="61">
        <v>0</v>
      </c>
      <c r="DN64" s="61">
        <v>0</v>
      </c>
      <c r="DO64" s="61">
        <v>0</v>
      </c>
      <c r="DP64" s="61">
        <v>0</v>
      </c>
      <c r="DQ64" s="61">
        <v>0</v>
      </c>
      <c r="DR64" s="61">
        <v>0</v>
      </c>
      <c r="DS64" s="61">
        <v>0</v>
      </c>
      <c r="DT64" s="61">
        <v>0</v>
      </c>
      <c r="DU64" s="61">
        <v>0</v>
      </c>
      <c r="DV64" s="61">
        <v>0</v>
      </c>
      <c r="DW64" s="61">
        <v>0</v>
      </c>
      <c r="DX64" s="61">
        <v>0</v>
      </c>
      <c r="DY64" s="61">
        <v>0</v>
      </c>
      <c r="DZ64" s="61">
        <v>0</v>
      </c>
      <c r="EA64" s="61">
        <v>0</v>
      </c>
      <c r="EB64" s="61">
        <v>0</v>
      </c>
      <c r="EC64" s="61">
        <v>0</v>
      </c>
      <c r="ED64" s="66">
        <v>1</v>
      </c>
      <c r="EE64" s="66">
        <v>1</v>
      </c>
      <c r="EF64" s="66">
        <v>1</v>
      </c>
      <c r="EG64" s="66">
        <v>1</v>
      </c>
      <c r="EH64" s="66">
        <v>1</v>
      </c>
      <c r="EI64" s="66">
        <v>1</v>
      </c>
      <c r="EJ64" s="66">
        <v>1</v>
      </c>
      <c r="EK64" s="66">
        <v>1</v>
      </c>
      <c r="EL64" s="66">
        <v>1</v>
      </c>
      <c r="EM64" s="66">
        <v>1</v>
      </c>
      <c r="EN64" s="66">
        <v>1</v>
      </c>
      <c r="EO64" s="66">
        <v>1</v>
      </c>
      <c r="EP64" s="66">
        <v>1</v>
      </c>
      <c r="EQ64" s="66">
        <v>1</v>
      </c>
      <c r="ER64" s="66">
        <v>1</v>
      </c>
      <c r="ES64" s="66">
        <v>1</v>
      </c>
      <c r="ET64" s="66">
        <v>1</v>
      </c>
      <c r="EU64" s="66">
        <v>1</v>
      </c>
      <c r="EV64" s="66">
        <v>1</v>
      </c>
      <c r="EW64" s="66">
        <v>1</v>
      </c>
      <c r="EX64" s="66">
        <v>1</v>
      </c>
      <c r="EY64" s="61">
        <v>0</v>
      </c>
      <c r="EZ64" s="61">
        <v>0</v>
      </c>
      <c r="FA64" s="61">
        <v>0</v>
      </c>
      <c r="FB64" s="61">
        <v>0</v>
      </c>
      <c r="FC64" s="61">
        <v>0</v>
      </c>
      <c r="FD64" s="61">
        <v>0</v>
      </c>
      <c r="FE64" s="61">
        <v>0</v>
      </c>
      <c r="FF64" s="61">
        <v>0</v>
      </c>
      <c r="FG64" s="61">
        <v>0</v>
      </c>
      <c r="FH64" s="61">
        <v>0</v>
      </c>
      <c r="FI64" s="61">
        <v>0</v>
      </c>
      <c r="FJ64" s="61">
        <v>0</v>
      </c>
      <c r="FK64" s="61">
        <v>0</v>
      </c>
      <c r="FL64" s="61">
        <v>0</v>
      </c>
      <c r="FM64" s="61">
        <v>0</v>
      </c>
      <c r="FN64" s="61">
        <v>0</v>
      </c>
      <c r="FO64" s="63">
        <v>0</v>
      </c>
      <c r="FP64" s="66">
        <v>1</v>
      </c>
      <c r="FQ64" s="61">
        <v>0</v>
      </c>
      <c r="FR64" s="61">
        <v>0</v>
      </c>
      <c r="FS64" s="61">
        <v>0</v>
      </c>
      <c r="FT64" s="61">
        <v>0</v>
      </c>
      <c r="FU64" s="61">
        <v>0</v>
      </c>
      <c r="FV64" s="63">
        <v>0</v>
      </c>
      <c r="FW64" s="66">
        <v>1</v>
      </c>
      <c r="FX64" s="63">
        <v>0</v>
      </c>
      <c r="FY64" s="66">
        <v>1</v>
      </c>
      <c r="FZ64" s="63">
        <v>0</v>
      </c>
      <c r="GA64" s="66">
        <v>1</v>
      </c>
      <c r="GB64" s="63">
        <v>0</v>
      </c>
      <c r="GC64" s="63">
        <v>0</v>
      </c>
      <c r="GD64" s="66">
        <v>1</v>
      </c>
      <c r="GE64" s="66">
        <v>1</v>
      </c>
      <c r="GF64" s="66">
        <v>1</v>
      </c>
      <c r="GG64" s="66">
        <v>1</v>
      </c>
      <c r="GH64" s="66">
        <v>1</v>
      </c>
      <c r="GI64" s="66">
        <v>1</v>
      </c>
      <c r="GJ64" s="66">
        <v>1</v>
      </c>
      <c r="GK64" s="66">
        <v>1</v>
      </c>
      <c r="GL64" s="66">
        <v>1</v>
      </c>
      <c r="GM64" s="66">
        <v>1</v>
      </c>
      <c r="GN64" s="66">
        <v>1</v>
      </c>
      <c r="GO64" s="66">
        <v>1</v>
      </c>
      <c r="GP64" s="66">
        <v>1</v>
      </c>
      <c r="GQ64" s="66">
        <v>1</v>
      </c>
      <c r="GR64" s="66">
        <v>1</v>
      </c>
      <c r="GS64" s="63">
        <v>0</v>
      </c>
      <c r="GT64" s="63">
        <v>0</v>
      </c>
      <c r="GU64" s="63">
        <v>0</v>
      </c>
      <c r="GV64" s="63">
        <v>0</v>
      </c>
      <c r="GW64" s="63">
        <v>0</v>
      </c>
      <c r="GX64" s="63">
        <v>0</v>
      </c>
      <c r="GY64" s="63">
        <v>0</v>
      </c>
      <c r="GZ64" s="63">
        <v>0</v>
      </c>
      <c r="HA64" s="63">
        <v>0</v>
      </c>
      <c r="HB64" s="63">
        <v>0</v>
      </c>
      <c r="HC64" s="63">
        <v>0</v>
      </c>
      <c r="HD64" s="63">
        <v>0</v>
      </c>
      <c r="HE64" s="63">
        <v>0</v>
      </c>
      <c r="HF64" s="63">
        <v>0</v>
      </c>
      <c r="HG64" s="63">
        <v>0</v>
      </c>
      <c r="HH64" s="63"/>
      <c r="HI64" s="63"/>
      <c r="HJ64" s="63">
        <v>1821</v>
      </c>
      <c r="HK64" s="63">
        <f>SUM(X$4:HI$4)</f>
        <v>194</v>
      </c>
      <c r="HL64" s="61">
        <f>SUM(X64:HI64)</f>
        <v>77</v>
      </c>
      <c r="HM64" s="67">
        <f t="shared" si="1"/>
        <v>39.690721649484537</v>
      </c>
      <c r="HN64" s="67"/>
      <c r="HO64" s="68">
        <v>0.16</v>
      </c>
      <c r="HP64" s="68">
        <v>0.24</v>
      </c>
      <c r="HQ64" s="63">
        <v>0.26</v>
      </c>
    </row>
    <row r="65" spans="1:247" x14ac:dyDescent="0.3">
      <c r="B65" s="63" t="s">
        <v>7300</v>
      </c>
      <c r="C65" s="61">
        <v>0</v>
      </c>
      <c r="D65" s="61">
        <v>0</v>
      </c>
      <c r="E65" s="61">
        <v>0</v>
      </c>
      <c r="F65" s="61">
        <v>0</v>
      </c>
      <c r="G65" s="61">
        <v>0</v>
      </c>
      <c r="H65" s="61">
        <v>0</v>
      </c>
      <c r="I65" s="61">
        <v>0</v>
      </c>
      <c r="J65" s="61">
        <v>0</v>
      </c>
      <c r="K65" s="61">
        <v>0</v>
      </c>
      <c r="L65" s="61">
        <v>0</v>
      </c>
      <c r="M65" s="61">
        <v>0</v>
      </c>
      <c r="N65" s="65">
        <v>0</v>
      </c>
      <c r="O65" s="61">
        <v>0</v>
      </c>
      <c r="P65" s="61">
        <v>0</v>
      </c>
      <c r="Q65" s="61">
        <v>0</v>
      </c>
      <c r="R65" s="61">
        <v>0</v>
      </c>
      <c r="S65" s="61">
        <v>0</v>
      </c>
      <c r="T65" s="61">
        <v>0</v>
      </c>
      <c r="U65" s="61">
        <v>0</v>
      </c>
      <c r="V65" s="61">
        <v>0</v>
      </c>
      <c r="W65" s="61">
        <v>0</v>
      </c>
      <c r="X65" s="61">
        <v>0</v>
      </c>
      <c r="Y65" s="61">
        <v>0</v>
      </c>
      <c r="Z65" s="61">
        <v>0</v>
      </c>
      <c r="AA65" s="61">
        <v>0</v>
      </c>
      <c r="AB65" s="61">
        <v>0</v>
      </c>
      <c r="AC65" s="61">
        <v>0</v>
      </c>
      <c r="AD65" s="61">
        <v>0</v>
      </c>
      <c r="AE65" s="61">
        <v>0</v>
      </c>
      <c r="AF65" s="61">
        <v>0</v>
      </c>
      <c r="AG65" s="61">
        <v>0</v>
      </c>
      <c r="AH65" s="61">
        <v>0</v>
      </c>
      <c r="AI65" s="61">
        <v>0</v>
      </c>
      <c r="AJ65" s="61">
        <v>0</v>
      </c>
      <c r="AK65" s="61">
        <v>0</v>
      </c>
      <c r="AL65" s="61">
        <v>0</v>
      </c>
      <c r="AM65" s="61">
        <v>0</v>
      </c>
      <c r="AN65" s="61">
        <v>0</v>
      </c>
      <c r="AO65" s="61">
        <v>0</v>
      </c>
      <c r="AP65" s="61">
        <v>0</v>
      </c>
      <c r="AQ65" s="61">
        <v>0</v>
      </c>
      <c r="AR65" s="61">
        <v>0</v>
      </c>
      <c r="AS65" s="61">
        <v>0</v>
      </c>
      <c r="AT65" s="61">
        <v>0</v>
      </c>
      <c r="AU65" s="61">
        <v>0</v>
      </c>
      <c r="AV65" s="61">
        <v>0</v>
      </c>
      <c r="AW65" s="61">
        <v>0</v>
      </c>
      <c r="AX65" s="61">
        <v>0</v>
      </c>
      <c r="AY65" s="61">
        <v>0</v>
      </c>
      <c r="AZ65" s="61">
        <v>0</v>
      </c>
      <c r="BA65" s="61">
        <v>0</v>
      </c>
      <c r="BB65" s="61">
        <v>0</v>
      </c>
      <c r="BC65" s="61">
        <v>0</v>
      </c>
      <c r="BD65" s="61">
        <v>0</v>
      </c>
      <c r="BE65" s="61">
        <v>0</v>
      </c>
      <c r="BF65" s="61">
        <v>0</v>
      </c>
      <c r="BG65" s="61">
        <v>0</v>
      </c>
      <c r="BH65" s="61">
        <v>0</v>
      </c>
      <c r="BI65" s="61">
        <v>0</v>
      </c>
      <c r="BJ65" s="61">
        <v>0</v>
      </c>
      <c r="BK65" s="61">
        <v>0</v>
      </c>
      <c r="BL65" s="61">
        <v>0</v>
      </c>
      <c r="BM65" s="61">
        <v>0</v>
      </c>
      <c r="BN65" s="61">
        <v>0</v>
      </c>
      <c r="BO65" s="61">
        <v>0</v>
      </c>
      <c r="BP65" s="61">
        <v>0</v>
      </c>
      <c r="BQ65" s="61">
        <v>0</v>
      </c>
      <c r="BR65" s="61">
        <v>0</v>
      </c>
      <c r="BS65" s="61">
        <v>0</v>
      </c>
      <c r="BT65" s="61">
        <v>0</v>
      </c>
      <c r="BU65" s="61">
        <v>0</v>
      </c>
      <c r="BV65" s="61">
        <v>0</v>
      </c>
      <c r="BW65" s="61">
        <v>0</v>
      </c>
      <c r="BX65" s="61">
        <v>0</v>
      </c>
      <c r="BY65" s="61">
        <v>0</v>
      </c>
      <c r="BZ65" s="61">
        <v>0</v>
      </c>
      <c r="CA65" s="61">
        <v>1</v>
      </c>
      <c r="CB65" s="61">
        <v>1</v>
      </c>
      <c r="CC65" s="61">
        <v>1</v>
      </c>
      <c r="CD65" s="61">
        <v>0</v>
      </c>
      <c r="CE65" s="61">
        <v>0</v>
      </c>
      <c r="CF65" s="61">
        <v>0</v>
      </c>
      <c r="CG65" s="61">
        <v>0</v>
      </c>
      <c r="CH65" s="61">
        <v>0</v>
      </c>
      <c r="CI65" s="61">
        <v>0</v>
      </c>
      <c r="CJ65" s="61">
        <v>0</v>
      </c>
      <c r="CK65" s="61">
        <v>0</v>
      </c>
      <c r="CL65" s="61">
        <v>0</v>
      </c>
      <c r="CM65" s="61">
        <v>0</v>
      </c>
      <c r="CN65" s="61">
        <v>0</v>
      </c>
      <c r="CO65" s="61">
        <v>0</v>
      </c>
      <c r="CP65" s="66">
        <v>1</v>
      </c>
      <c r="CQ65" s="61">
        <v>0</v>
      </c>
      <c r="CR65" s="61">
        <v>0</v>
      </c>
      <c r="CS65" s="61">
        <v>0</v>
      </c>
      <c r="CT65" s="61">
        <v>0</v>
      </c>
      <c r="CU65" s="61">
        <v>0</v>
      </c>
      <c r="CV65" s="61">
        <v>0</v>
      </c>
      <c r="CW65" s="61">
        <v>0</v>
      </c>
      <c r="CX65" s="61">
        <v>0</v>
      </c>
      <c r="CY65" s="61">
        <v>0</v>
      </c>
      <c r="CZ65" s="61">
        <v>0</v>
      </c>
      <c r="DA65" s="61">
        <v>0</v>
      </c>
      <c r="DB65" s="61">
        <v>0</v>
      </c>
      <c r="DC65" s="61">
        <v>0</v>
      </c>
      <c r="DD65" s="61">
        <v>0</v>
      </c>
      <c r="DE65" s="61">
        <v>0</v>
      </c>
      <c r="DF65" s="61">
        <v>0</v>
      </c>
      <c r="DG65" s="61">
        <v>0</v>
      </c>
      <c r="DH65" s="61">
        <v>0</v>
      </c>
      <c r="DI65" s="61">
        <v>0</v>
      </c>
      <c r="DJ65" s="61">
        <v>0</v>
      </c>
      <c r="DK65" s="61">
        <v>0</v>
      </c>
      <c r="DL65" s="61">
        <v>0</v>
      </c>
      <c r="DM65" s="61">
        <v>0</v>
      </c>
      <c r="DN65" s="66">
        <v>1</v>
      </c>
      <c r="DO65" s="66">
        <v>1</v>
      </c>
      <c r="DP65" s="66">
        <v>1</v>
      </c>
      <c r="DQ65" s="66">
        <v>1</v>
      </c>
      <c r="DR65" s="66">
        <v>1</v>
      </c>
      <c r="DS65" s="66">
        <v>1</v>
      </c>
      <c r="DT65" s="66">
        <v>1</v>
      </c>
      <c r="DU65" s="61">
        <v>0</v>
      </c>
      <c r="DV65" s="61">
        <v>0</v>
      </c>
      <c r="DW65" s="61">
        <v>0</v>
      </c>
      <c r="DX65" s="61">
        <v>0</v>
      </c>
      <c r="DY65" s="61">
        <v>0</v>
      </c>
      <c r="DZ65" s="61">
        <v>0</v>
      </c>
      <c r="EA65" s="61">
        <v>0</v>
      </c>
      <c r="EB65" s="61">
        <v>0</v>
      </c>
      <c r="EC65" s="61">
        <v>0</v>
      </c>
      <c r="ED65" s="61">
        <v>0</v>
      </c>
      <c r="EE65" s="61">
        <v>0</v>
      </c>
      <c r="EF65" s="66">
        <v>1</v>
      </c>
      <c r="EG65" s="66">
        <v>1</v>
      </c>
      <c r="EH65" s="66">
        <v>1</v>
      </c>
      <c r="EI65" s="66">
        <v>1</v>
      </c>
      <c r="EJ65" s="66">
        <v>1</v>
      </c>
      <c r="EK65" s="66">
        <v>1</v>
      </c>
      <c r="EL65" s="61">
        <v>0</v>
      </c>
      <c r="EM65" s="61">
        <v>0</v>
      </c>
      <c r="EN65" s="61">
        <v>0</v>
      </c>
      <c r="EO65" s="61">
        <v>0</v>
      </c>
      <c r="EP65" s="61">
        <v>0</v>
      </c>
      <c r="EQ65" s="61">
        <v>0</v>
      </c>
      <c r="ER65" s="61">
        <v>0</v>
      </c>
      <c r="ES65" s="61">
        <v>0</v>
      </c>
      <c r="ET65" s="61">
        <v>0</v>
      </c>
      <c r="EU65" s="61">
        <v>0</v>
      </c>
      <c r="EV65" s="61">
        <v>0</v>
      </c>
      <c r="EW65" s="61">
        <v>0</v>
      </c>
      <c r="EX65" s="61">
        <v>0</v>
      </c>
      <c r="EY65" s="61">
        <v>0</v>
      </c>
      <c r="EZ65" s="61">
        <v>0</v>
      </c>
      <c r="FA65" s="61">
        <v>0</v>
      </c>
      <c r="FB65" s="61">
        <v>0</v>
      </c>
      <c r="FC65" s="61">
        <v>0</v>
      </c>
      <c r="FD65" s="61">
        <v>0</v>
      </c>
      <c r="FE65" s="61">
        <v>0</v>
      </c>
      <c r="FF65" s="61">
        <v>0</v>
      </c>
      <c r="FG65" s="61">
        <v>0</v>
      </c>
      <c r="FH65" s="61">
        <v>0</v>
      </c>
      <c r="FI65" s="61">
        <v>0</v>
      </c>
      <c r="FJ65" s="61">
        <v>0</v>
      </c>
      <c r="FK65" s="61">
        <v>0</v>
      </c>
      <c r="FL65" s="66">
        <v>1</v>
      </c>
      <c r="FM65" s="61">
        <v>0</v>
      </c>
      <c r="FN65" s="61">
        <v>0</v>
      </c>
      <c r="FO65" s="61">
        <v>0</v>
      </c>
      <c r="FP65" s="61">
        <v>0</v>
      </c>
      <c r="FQ65" s="61">
        <v>0</v>
      </c>
      <c r="FR65" s="61">
        <v>0</v>
      </c>
      <c r="FS65" s="61">
        <v>0</v>
      </c>
      <c r="FT65" s="61">
        <v>0</v>
      </c>
      <c r="FU65" s="61">
        <v>0</v>
      </c>
      <c r="FV65" s="63">
        <v>0</v>
      </c>
      <c r="FW65" s="63">
        <v>0</v>
      </c>
      <c r="FX65" s="63">
        <v>0</v>
      </c>
      <c r="FY65" s="63">
        <v>0</v>
      </c>
      <c r="FZ65" s="63">
        <v>0</v>
      </c>
      <c r="GA65" s="63">
        <v>0</v>
      </c>
      <c r="GB65" s="63">
        <v>0</v>
      </c>
      <c r="GC65" s="63">
        <v>0</v>
      </c>
      <c r="GD65" s="66">
        <v>1</v>
      </c>
      <c r="GE65" s="66">
        <v>1</v>
      </c>
      <c r="GF65" s="66">
        <v>1</v>
      </c>
      <c r="GG65" s="63">
        <v>0</v>
      </c>
      <c r="GH65" s="66">
        <v>1</v>
      </c>
      <c r="GI65" s="63">
        <v>0</v>
      </c>
      <c r="GJ65" s="63">
        <v>0</v>
      </c>
      <c r="GK65" s="66">
        <v>1</v>
      </c>
      <c r="GL65" s="66">
        <v>1</v>
      </c>
      <c r="GM65" s="63">
        <v>0</v>
      </c>
      <c r="GN65" s="63">
        <v>0</v>
      </c>
      <c r="GO65" s="63">
        <v>0</v>
      </c>
      <c r="GP65" s="63">
        <v>0</v>
      </c>
      <c r="GQ65" s="63">
        <v>0</v>
      </c>
      <c r="GR65" s="63">
        <v>0</v>
      </c>
      <c r="GS65" s="63">
        <v>0</v>
      </c>
      <c r="GT65" s="63">
        <v>0</v>
      </c>
      <c r="GU65" s="63">
        <v>0</v>
      </c>
      <c r="GV65" s="63">
        <v>0</v>
      </c>
      <c r="GW65" s="63">
        <v>0</v>
      </c>
      <c r="GX65" s="66">
        <v>1</v>
      </c>
      <c r="GY65" s="63">
        <v>0</v>
      </c>
      <c r="GZ65" s="63">
        <v>0</v>
      </c>
      <c r="HA65" s="63">
        <v>0</v>
      </c>
      <c r="HB65" s="63">
        <v>0</v>
      </c>
      <c r="HC65" s="63">
        <v>0</v>
      </c>
      <c r="HD65" s="63">
        <v>0</v>
      </c>
      <c r="HE65" s="63">
        <v>0</v>
      </c>
      <c r="HF65" s="63">
        <v>0</v>
      </c>
      <c r="HG65" s="63">
        <v>0</v>
      </c>
      <c r="HH65" s="63"/>
      <c r="HI65" s="63"/>
      <c r="HJ65" s="63">
        <v>1811</v>
      </c>
      <c r="HK65" s="63">
        <f>SUM(N$4:HI$4)</f>
        <v>204</v>
      </c>
      <c r="HL65" s="61">
        <f>SUM(N65:HI65)</f>
        <v>25</v>
      </c>
      <c r="HM65" s="67">
        <f t="shared" si="1"/>
        <v>12.254901960784315</v>
      </c>
      <c r="HN65" s="67"/>
      <c r="HO65" s="68">
        <v>0.14000000000000001</v>
      </c>
      <c r="HP65" s="68">
        <v>7.0000000000000007E-2</v>
      </c>
      <c r="HQ65" s="63">
        <v>7.0000000000000007E-2</v>
      </c>
    </row>
    <row r="66" spans="1:247" x14ac:dyDescent="0.3">
      <c r="B66" s="63" t="s">
        <v>7301</v>
      </c>
      <c r="C66" s="61">
        <v>0</v>
      </c>
      <c r="D66" s="61">
        <v>0</v>
      </c>
      <c r="E66" s="61">
        <v>0</v>
      </c>
      <c r="F66" s="61">
        <v>0</v>
      </c>
      <c r="G66" s="61">
        <v>0</v>
      </c>
      <c r="H66" s="61">
        <v>0</v>
      </c>
      <c r="I66" s="61">
        <v>0</v>
      </c>
      <c r="J66" s="61">
        <v>0</v>
      </c>
      <c r="K66" s="61">
        <v>0</v>
      </c>
      <c r="L66" s="61">
        <v>0</v>
      </c>
      <c r="M66" s="61">
        <v>0</v>
      </c>
      <c r="N66" s="65">
        <v>0</v>
      </c>
      <c r="O66" s="61">
        <v>0</v>
      </c>
      <c r="P66" s="61">
        <v>0</v>
      </c>
      <c r="Q66" s="61">
        <v>0</v>
      </c>
      <c r="R66" s="61">
        <v>0</v>
      </c>
      <c r="S66" s="61">
        <v>0</v>
      </c>
      <c r="T66" s="61">
        <v>0</v>
      </c>
      <c r="U66" s="61">
        <v>0</v>
      </c>
      <c r="V66" s="61">
        <v>0</v>
      </c>
      <c r="W66" s="61">
        <v>0</v>
      </c>
      <c r="X66" s="61">
        <v>0</v>
      </c>
      <c r="Y66" s="61">
        <v>0</v>
      </c>
      <c r="Z66" s="61">
        <v>0</v>
      </c>
      <c r="AA66" s="61">
        <v>0</v>
      </c>
      <c r="AB66" s="61">
        <v>0</v>
      </c>
      <c r="AC66" s="66">
        <v>1</v>
      </c>
      <c r="AD66" s="66">
        <v>1</v>
      </c>
      <c r="AE66" s="66">
        <v>1</v>
      </c>
      <c r="AF66" s="66">
        <v>1</v>
      </c>
      <c r="AG66" s="66">
        <v>1</v>
      </c>
      <c r="AH66" s="66">
        <v>1</v>
      </c>
      <c r="AI66" s="66">
        <v>1</v>
      </c>
      <c r="AJ66" s="66">
        <v>1</v>
      </c>
      <c r="AK66" s="66">
        <v>1</v>
      </c>
      <c r="AL66" s="66">
        <v>1</v>
      </c>
      <c r="AM66" s="66">
        <v>1</v>
      </c>
      <c r="AN66" s="66">
        <v>1</v>
      </c>
      <c r="AO66" s="66">
        <v>1</v>
      </c>
      <c r="AP66" s="66">
        <v>1</v>
      </c>
      <c r="AQ66" s="66">
        <v>1</v>
      </c>
      <c r="AR66" s="61">
        <v>0</v>
      </c>
      <c r="AS66" s="61">
        <v>0</v>
      </c>
      <c r="AT66" s="61">
        <v>0</v>
      </c>
      <c r="AU66" s="61">
        <v>0</v>
      </c>
      <c r="AV66" s="61">
        <v>0</v>
      </c>
      <c r="AW66" s="61">
        <v>0</v>
      </c>
      <c r="AX66" s="61">
        <v>0</v>
      </c>
      <c r="AY66" s="66">
        <v>1</v>
      </c>
      <c r="AZ66" s="66">
        <v>1</v>
      </c>
      <c r="BA66" s="66">
        <v>1</v>
      </c>
      <c r="BB66" s="66">
        <v>1</v>
      </c>
      <c r="BC66" s="66">
        <v>1</v>
      </c>
      <c r="BD66" s="66">
        <v>1</v>
      </c>
      <c r="BE66" s="66">
        <v>1</v>
      </c>
      <c r="BF66" s="66">
        <v>1</v>
      </c>
      <c r="BG66" s="66">
        <v>1</v>
      </c>
      <c r="BH66" s="66">
        <v>1</v>
      </c>
      <c r="BI66" s="66">
        <v>1</v>
      </c>
      <c r="BJ66" s="66">
        <v>1</v>
      </c>
      <c r="BK66" s="66">
        <v>1</v>
      </c>
      <c r="BL66" s="66">
        <v>1</v>
      </c>
      <c r="BM66" s="66">
        <v>1</v>
      </c>
      <c r="BN66" s="61">
        <v>0</v>
      </c>
      <c r="BO66" s="61">
        <v>0</v>
      </c>
      <c r="BP66" s="66">
        <v>1</v>
      </c>
      <c r="BQ66" s="66">
        <v>1</v>
      </c>
      <c r="BR66" s="66">
        <v>1</v>
      </c>
      <c r="BS66" s="66">
        <v>1</v>
      </c>
      <c r="BT66" s="66">
        <v>1</v>
      </c>
      <c r="BU66" s="66">
        <v>1</v>
      </c>
      <c r="BV66" s="66">
        <v>1</v>
      </c>
      <c r="BW66" s="66">
        <v>1</v>
      </c>
      <c r="BX66" s="66">
        <v>1</v>
      </c>
      <c r="BY66" s="66">
        <v>1</v>
      </c>
      <c r="BZ66" s="66">
        <v>1</v>
      </c>
      <c r="CA66" s="66">
        <v>1</v>
      </c>
      <c r="CB66" s="66">
        <v>1</v>
      </c>
      <c r="CC66" s="66">
        <v>1</v>
      </c>
      <c r="CD66" s="66">
        <v>1</v>
      </c>
      <c r="CE66" s="66">
        <v>1</v>
      </c>
      <c r="CF66" s="66">
        <v>1</v>
      </c>
      <c r="CG66" s="61">
        <v>0</v>
      </c>
      <c r="CH66" s="61">
        <v>0</v>
      </c>
      <c r="CI66" s="61">
        <v>0</v>
      </c>
      <c r="CJ66" s="61">
        <v>0</v>
      </c>
      <c r="CK66" s="61">
        <v>0</v>
      </c>
      <c r="CL66" s="61">
        <v>0</v>
      </c>
      <c r="CM66" s="61">
        <v>0</v>
      </c>
      <c r="CN66" s="61">
        <v>0</v>
      </c>
      <c r="CO66" s="61">
        <v>0</v>
      </c>
      <c r="CP66" s="61">
        <v>0</v>
      </c>
      <c r="CQ66" s="66">
        <v>1</v>
      </c>
      <c r="CR66" s="61">
        <v>0</v>
      </c>
      <c r="CS66" s="61">
        <v>0</v>
      </c>
      <c r="CT66" s="61">
        <v>0</v>
      </c>
      <c r="CU66" s="61">
        <v>0</v>
      </c>
      <c r="CV66" s="61">
        <v>0</v>
      </c>
      <c r="CW66" s="66">
        <v>1</v>
      </c>
      <c r="CX66" s="66">
        <v>1</v>
      </c>
      <c r="CY66" s="66">
        <v>1</v>
      </c>
      <c r="CZ66" s="66">
        <v>1</v>
      </c>
      <c r="DA66" s="66">
        <v>1</v>
      </c>
      <c r="DB66" s="66">
        <v>1</v>
      </c>
      <c r="DC66" s="66">
        <v>1</v>
      </c>
      <c r="DD66" s="66">
        <v>1</v>
      </c>
      <c r="DE66" s="61">
        <v>0</v>
      </c>
      <c r="DF66" s="61">
        <v>0</v>
      </c>
      <c r="DG66" s="61">
        <v>0</v>
      </c>
      <c r="DH66" s="61">
        <v>0</v>
      </c>
      <c r="DI66" s="61">
        <v>0</v>
      </c>
      <c r="DJ66" s="61">
        <v>0</v>
      </c>
      <c r="DK66" s="61">
        <v>0</v>
      </c>
      <c r="DL66" s="61">
        <v>0</v>
      </c>
      <c r="DM66" s="61">
        <v>0</v>
      </c>
      <c r="DN66" s="61">
        <v>0</v>
      </c>
      <c r="DO66" s="61">
        <v>0</v>
      </c>
      <c r="DP66" s="61">
        <v>0</v>
      </c>
      <c r="DQ66" s="61">
        <v>0</v>
      </c>
      <c r="DR66" s="61">
        <v>0</v>
      </c>
      <c r="DS66" s="61">
        <v>0</v>
      </c>
      <c r="DT66" s="61">
        <v>0</v>
      </c>
      <c r="DU66" s="61">
        <v>0</v>
      </c>
      <c r="DV66" s="61">
        <v>0</v>
      </c>
      <c r="DW66" s="61">
        <v>0</v>
      </c>
      <c r="DX66" s="61">
        <v>0</v>
      </c>
      <c r="DY66" s="61">
        <v>0</v>
      </c>
      <c r="DZ66" s="61">
        <v>0</v>
      </c>
      <c r="EA66" s="61">
        <v>0</v>
      </c>
      <c r="EB66" s="61">
        <v>0</v>
      </c>
      <c r="EC66" s="61">
        <v>0</v>
      </c>
      <c r="ED66" s="61">
        <v>0</v>
      </c>
      <c r="EE66" s="61">
        <v>0</v>
      </c>
      <c r="EF66" s="61">
        <v>0</v>
      </c>
      <c r="EG66" s="61">
        <v>0</v>
      </c>
      <c r="EH66" s="61">
        <v>0</v>
      </c>
      <c r="EI66" s="61">
        <v>0</v>
      </c>
      <c r="EJ66" s="61">
        <v>0</v>
      </c>
      <c r="EK66" s="61">
        <v>0</v>
      </c>
      <c r="EL66" s="61">
        <v>0</v>
      </c>
      <c r="EM66" s="61">
        <v>0</v>
      </c>
      <c r="EN66" s="61">
        <v>0</v>
      </c>
      <c r="EO66" s="61">
        <v>0</v>
      </c>
      <c r="EP66" s="61">
        <v>0</v>
      </c>
      <c r="EQ66" s="61">
        <v>0</v>
      </c>
      <c r="ER66" s="61">
        <v>0</v>
      </c>
      <c r="ES66" s="61">
        <v>0</v>
      </c>
      <c r="ET66" s="61">
        <v>0</v>
      </c>
      <c r="EU66" s="61">
        <v>0</v>
      </c>
      <c r="EV66" s="61">
        <v>0</v>
      </c>
      <c r="EW66" s="61">
        <v>0</v>
      </c>
      <c r="EX66" s="61">
        <v>0</v>
      </c>
      <c r="EY66" s="61">
        <v>0</v>
      </c>
      <c r="EZ66" s="61">
        <v>0</v>
      </c>
      <c r="FA66" s="61">
        <v>0</v>
      </c>
      <c r="FB66" s="61">
        <v>0</v>
      </c>
      <c r="FC66" s="61">
        <v>0</v>
      </c>
      <c r="FD66" s="61">
        <v>0</v>
      </c>
      <c r="FE66" s="61">
        <v>0</v>
      </c>
      <c r="FF66" s="61">
        <v>0</v>
      </c>
      <c r="FG66" s="61">
        <v>0</v>
      </c>
      <c r="FH66" s="61">
        <v>0</v>
      </c>
      <c r="FI66" s="61">
        <v>0</v>
      </c>
      <c r="FJ66" s="61">
        <v>0</v>
      </c>
      <c r="FK66" s="61">
        <v>0</v>
      </c>
      <c r="FL66" s="61">
        <v>0</v>
      </c>
      <c r="FM66" s="61">
        <v>0</v>
      </c>
      <c r="FN66" s="61">
        <v>0</v>
      </c>
      <c r="FO66" s="61">
        <v>0</v>
      </c>
      <c r="FP66" s="61">
        <v>0</v>
      </c>
      <c r="FQ66" s="61">
        <v>0</v>
      </c>
      <c r="FR66" s="61">
        <v>0</v>
      </c>
      <c r="FS66" s="61">
        <v>0</v>
      </c>
      <c r="FT66" s="61">
        <v>0</v>
      </c>
      <c r="FU66" s="61">
        <v>0</v>
      </c>
      <c r="FV66" s="63">
        <v>0</v>
      </c>
      <c r="FW66" s="63">
        <v>0</v>
      </c>
      <c r="FX66" s="63">
        <v>0</v>
      </c>
      <c r="FY66" s="63">
        <v>0</v>
      </c>
      <c r="FZ66" s="63">
        <v>0</v>
      </c>
      <c r="GA66" s="63">
        <v>0</v>
      </c>
      <c r="GB66" s="63">
        <v>0</v>
      </c>
      <c r="GC66" s="63">
        <v>0</v>
      </c>
      <c r="GD66" s="66">
        <v>1</v>
      </c>
      <c r="GE66" s="66">
        <v>1</v>
      </c>
      <c r="GF66" s="66">
        <v>1</v>
      </c>
      <c r="GG66" s="66">
        <v>1</v>
      </c>
      <c r="GH66" s="66">
        <v>1</v>
      </c>
      <c r="GI66" s="66">
        <v>1</v>
      </c>
      <c r="GJ66" s="63">
        <v>0</v>
      </c>
      <c r="GK66" s="66">
        <v>1</v>
      </c>
      <c r="GL66" s="63">
        <v>0</v>
      </c>
      <c r="GM66" s="63">
        <v>0</v>
      </c>
      <c r="GN66" s="63">
        <v>0</v>
      </c>
      <c r="GO66" s="63">
        <v>0</v>
      </c>
      <c r="GP66" s="66">
        <v>1</v>
      </c>
      <c r="GQ66" s="66">
        <v>1</v>
      </c>
      <c r="GR66" s="66">
        <v>1</v>
      </c>
      <c r="GS66" s="63">
        <v>0</v>
      </c>
      <c r="GT66" s="63">
        <v>0</v>
      </c>
      <c r="GU66" s="63">
        <v>0</v>
      </c>
      <c r="GV66" s="63">
        <v>0</v>
      </c>
      <c r="GW66" s="63">
        <v>0</v>
      </c>
      <c r="GX66" s="63">
        <v>0</v>
      </c>
      <c r="GY66" s="66">
        <v>1</v>
      </c>
      <c r="GZ66" s="66">
        <v>1</v>
      </c>
      <c r="HA66" s="63">
        <v>0</v>
      </c>
      <c r="HB66" s="63">
        <v>0</v>
      </c>
      <c r="HC66" s="63">
        <v>0</v>
      </c>
      <c r="HD66" s="63">
        <v>0</v>
      </c>
      <c r="HE66" s="63">
        <v>0</v>
      </c>
      <c r="HF66" s="63">
        <v>0</v>
      </c>
      <c r="HG66" s="63">
        <v>0</v>
      </c>
      <c r="HH66" s="63"/>
      <c r="HI66" s="63"/>
      <c r="HJ66" s="63">
        <v>1830</v>
      </c>
      <c r="HK66" s="63">
        <f>SUM(AG$4:HI$4)</f>
        <v>185</v>
      </c>
      <c r="HL66" s="61">
        <f>SUM(AG66:HI66)</f>
        <v>64</v>
      </c>
      <c r="HM66" s="67">
        <f t="shared" si="1"/>
        <v>34.594594594594597</v>
      </c>
      <c r="HN66" s="67"/>
      <c r="HO66" s="68">
        <v>0.12</v>
      </c>
      <c r="HP66" s="68">
        <v>0.59</v>
      </c>
      <c r="HQ66" s="63">
        <v>0.42</v>
      </c>
    </row>
    <row r="67" spans="1:247" x14ac:dyDescent="0.3">
      <c r="A67" s="61" t="s">
        <v>7302</v>
      </c>
      <c r="B67" s="63" t="s">
        <v>7303</v>
      </c>
      <c r="C67" s="61">
        <v>0</v>
      </c>
      <c r="D67" s="61">
        <v>0</v>
      </c>
      <c r="E67" s="61">
        <v>0</v>
      </c>
      <c r="F67" s="61">
        <v>0</v>
      </c>
      <c r="G67" s="61">
        <v>0</v>
      </c>
      <c r="H67" s="61">
        <v>0</v>
      </c>
      <c r="I67" s="61">
        <v>0</v>
      </c>
      <c r="J67" s="61">
        <v>0</v>
      </c>
      <c r="K67" s="61">
        <v>0</v>
      </c>
      <c r="L67" s="61">
        <v>0</v>
      </c>
      <c r="M67" s="61">
        <v>0</v>
      </c>
      <c r="N67" s="61">
        <v>0</v>
      </c>
      <c r="O67" s="61">
        <v>0</v>
      </c>
      <c r="P67" s="61">
        <v>0</v>
      </c>
      <c r="Q67" s="61">
        <v>0</v>
      </c>
      <c r="R67" s="61">
        <v>0</v>
      </c>
      <c r="S67" s="61">
        <v>0</v>
      </c>
      <c r="T67" s="61">
        <v>0</v>
      </c>
      <c r="U67" s="61">
        <v>0</v>
      </c>
      <c r="V67" s="61">
        <v>0</v>
      </c>
      <c r="W67" s="61">
        <v>0</v>
      </c>
      <c r="X67" s="61">
        <v>0</v>
      </c>
      <c r="Y67" s="61">
        <v>0</v>
      </c>
      <c r="Z67" s="61">
        <v>0</v>
      </c>
      <c r="AA67" s="61">
        <v>0</v>
      </c>
      <c r="AB67" s="61">
        <v>0</v>
      </c>
      <c r="AC67" s="61">
        <v>0</v>
      </c>
      <c r="AD67" s="61">
        <v>0</v>
      </c>
      <c r="AE67" s="61">
        <v>0</v>
      </c>
      <c r="AF67" s="61">
        <v>0</v>
      </c>
      <c r="AG67" s="61">
        <v>0</v>
      </c>
      <c r="AH67" s="61">
        <v>0</v>
      </c>
      <c r="AI67" s="61">
        <v>0</v>
      </c>
      <c r="AJ67" s="61">
        <v>0</v>
      </c>
      <c r="AK67" s="61">
        <v>0</v>
      </c>
      <c r="AL67" s="61">
        <v>0</v>
      </c>
      <c r="AM67" s="61">
        <v>0</v>
      </c>
      <c r="AN67" s="61">
        <v>0</v>
      </c>
      <c r="AO67" s="61">
        <v>0</v>
      </c>
      <c r="AP67" s="61">
        <v>0</v>
      </c>
      <c r="AQ67" s="61">
        <v>0</v>
      </c>
      <c r="AR67" s="61">
        <v>0</v>
      </c>
      <c r="AS67" s="61">
        <v>0</v>
      </c>
      <c r="AT67" s="61">
        <v>0</v>
      </c>
      <c r="AU67" s="61">
        <v>0</v>
      </c>
      <c r="AV67" s="61">
        <v>0</v>
      </c>
      <c r="AW67" s="61">
        <v>0</v>
      </c>
      <c r="AX67" s="61">
        <v>0</v>
      </c>
      <c r="AY67" s="61">
        <v>0</v>
      </c>
      <c r="AZ67" s="61">
        <v>0</v>
      </c>
      <c r="BA67" s="61">
        <v>0</v>
      </c>
      <c r="BB67" s="61">
        <v>0</v>
      </c>
      <c r="BC67" s="61">
        <v>0</v>
      </c>
      <c r="BD67" s="61">
        <v>0</v>
      </c>
      <c r="BE67" s="61">
        <v>0</v>
      </c>
      <c r="BF67" s="61">
        <v>0</v>
      </c>
      <c r="BG67" s="61">
        <v>0</v>
      </c>
      <c r="BH67" s="61">
        <v>0</v>
      </c>
      <c r="BI67" s="61">
        <v>0</v>
      </c>
      <c r="BJ67" s="61">
        <v>0</v>
      </c>
      <c r="BK67" s="61">
        <v>0</v>
      </c>
      <c r="BL67" s="61">
        <v>0</v>
      </c>
      <c r="BM67" s="61">
        <v>0</v>
      </c>
      <c r="BN67" s="61">
        <v>0</v>
      </c>
      <c r="BO67" s="61">
        <v>0</v>
      </c>
      <c r="BP67" s="61">
        <v>0</v>
      </c>
      <c r="BQ67" s="61">
        <v>0</v>
      </c>
      <c r="BR67" s="65">
        <v>0</v>
      </c>
      <c r="BS67" s="61">
        <v>0</v>
      </c>
      <c r="BT67" s="61">
        <v>0</v>
      </c>
      <c r="BU67" s="61">
        <v>0</v>
      </c>
      <c r="BV67" s="61">
        <v>0</v>
      </c>
      <c r="BW67" s="61">
        <v>0</v>
      </c>
      <c r="BX67" s="61">
        <v>0</v>
      </c>
      <c r="BY67" s="61">
        <v>0</v>
      </c>
      <c r="BZ67" s="61">
        <v>0</v>
      </c>
      <c r="CA67" s="61">
        <v>0</v>
      </c>
      <c r="CB67" s="61">
        <v>0</v>
      </c>
      <c r="CC67" s="61">
        <v>0</v>
      </c>
      <c r="CD67" s="61">
        <v>0</v>
      </c>
      <c r="CE67" s="61">
        <v>0</v>
      </c>
      <c r="CF67" s="61">
        <v>0</v>
      </c>
      <c r="CG67" s="61">
        <v>0</v>
      </c>
      <c r="CH67" s="61">
        <v>0</v>
      </c>
      <c r="CI67" s="61">
        <v>0</v>
      </c>
      <c r="CJ67" s="61">
        <v>0</v>
      </c>
      <c r="CK67" s="61">
        <v>0</v>
      </c>
      <c r="CL67" s="61">
        <v>0</v>
      </c>
      <c r="CM67" s="61">
        <v>0</v>
      </c>
      <c r="CN67" s="61">
        <v>0</v>
      </c>
      <c r="CO67" s="61">
        <v>0</v>
      </c>
      <c r="CP67" s="61">
        <v>0</v>
      </c>
      <c r="CQ67" s="61">
        <v>0</v>
      </c>
      <c r="CR67" s="61">
        <v>0</v>
      </c>
      <c r="CS67" s="61">
        <v>0</v>
      </c>
      <c r="CT67" s="61">
        <v>0</v>
      </c>
      <c r="CU67" s="61">
        <v>0</v>
      </c>
      <c r="CV67" s="61">
        <v>0</v>
      </c>
      <c r="CW67" s="61">
        <v>0</v>
      </c>
      <c r="CX67" s="61">
        <v>0</v>
      </c>
      <c r="CY67" s="61">
        <v>0</v>
      </c>
      <c r="CZ67" s="61">
        <v>0</v>
      </c>
      <c r="DA67" s="61">
        <v>0</v>
      </c>
      <c r="DB67" s="61">
        <v>0</v>
      </c>
      <c r="DC67" s="61">
        <v>0</v>
      </c>
      <c r="DD67" s="61">
        <v>0</v>
      </c>
      <c r="DE67" s="61">
        <v>0</v>
      </c>
      <c r="DF67" s="61">
        <v>0</v>
      </c>
      <c r="DG67" s="61">
        <v>0</v>
      </c>
      <c r="DH67" s="61">
        <v>0</v>
      </c>
      <c r="DI67" s="61">
        <v>0</v>
      </c>
      <c r="DJ67" s="61">
        <v>0</v>
      </c>
      <c r="DK67" s="61">
        <v>0</v>
      </c>
      <c r="DL67" s="61">
        <v>0</v>
      </c>
      <c r="DM67" s="61">
        <v>0</v>
      </c>
      <c r="DN67" s="61">
        <v>0</v>
      </c>
      <c r="DO67" s="61">
        <v>0</v>
      </c>
      <c r="DP67" s="61">
        <v>0</v>
      </c>
      <c r="DQ67" s="61">
        <v>0</v>
      </c>
      <c r="DR67" s="61">
        <v>0</v>
      </c>
      <c r="DS67" s="61">
        <v>0</v>
      </c>
      <c r="DT67" s="61">
        <v>0</v>
      </c>
      <c r="DU67" s="61">
        <v>0</v>
      </c>
      <c r="DV67" s="61">
        <v>0</v>
      </c>
      <c r="DW67" s="61">
        <v>0</v>
      </c>
      <c r="DX67" s="61">
        <v>0</v>
      </c>
      <c r="DY67" s="61">
        <v>0</v>
      </c>
      <c r="DZ67" s="61">
        <v>0</v>
      </c>
      <c r="EA67" s="61">
        <v>0</v>
      </c>
      <c r="EB67" s="61">
        <v>0</v>
      </c>
      <c r="EC67" s="61">
        <v>0</v>
      </c>
      <c r="ED67" s="61">
        <v>0</v>
      </c>
      <c r="EE67" s="61">
        <v>0</v>
      </c>
      <c r="EF67" s="61">
        <v>0</v>
      </c>
      <c r="EG67" s="61">
        <v>0</v>
      </c>
      <c r="EH67" s="61">
        <v>0</v>
      </c>
      <c r="EI67" s="61">
        <v>0</v>
      </c>
      <c r="EJ67" s="61">
        <v>0</v>
      </c>
      <c r="EK67" s="61">
        <v>0</v>
      </c>
      <c r="EL67" s="61">
        <v>0</v>
      </c>
      <c r="EM67" s="61">
        <v>0</v>
      </c>
      <c r="EN67" s="61">
        <v>0</v>
      </c>
      <c r="EO67" s="61">
        <v>0</v>
      </c>
      <c r="EP67" s="61">
        <v>0</v>
      </c>
      <c r="EQ67" s="61">
        <v>0</v>
      </c>
      <c r="ER67" s="61">
        <v>0</v>
      </c>
      <c r="ES67" s="61">
        <v>0</v>
      </c>
      <c r="ET67" s="61">
        <v>0</v>
      </c>
      <c r="EU67" s="61">
        <v>0</v>
      </c>
      <c r="EV67" s="61">
        <v>0</v>
      </c>
      <c r="EW67" s="61">
        <v>0</v>
      </c>
      <c r="EX67" s="61">
        <v>0</v>
      </c>
      <c r="EY67" s="61">
        <v>0</v>
      </c>
      <c r="EZ67" s="61">
        <v>0</v>
      </c>
      <c r="FA67" s="61">
        <v>0</v>
      </c>
      <c r="FB67" s="61">
        <v>0</v>
      </c>
      <c r="FC67" s="61">
        <v>0</v>
      </c>
      <c r="FD67" s="61">
        <v>0</v>
      </c>
      <c r="FE67" s="61">
        <v>0</v>
      </c>
      <c r="FF67" s="61">
        <v>0</v>
      </c>
      <c r="FG67" s="61">
        <v>0</v>
      </c>
      <c r="FH67" s="61">
        <v>0</v>
      </c>
      <c r="FI67" s="61">
        <v>0</v>
      </c>
      <c r="FJ67" s="61">
        <v>0</v>
      </c>
      <c r="FK67" s="61">
        <v>0</v>
      </c>
      <c r="FL67" s="61">
        <v>0</v>
      </c>
      <c r="FM67" s="61">
        <v>0</v>
      </c>
      <c r="FN67" s="61">
        <v>0</v>
      </c>
      <c r="FO67" s="61">
        <v>0</v>
      </c>
      <c r="FP67" s="61">
        <v>0</v>
      </c>
      <c r="FQ67" s="61">
        <v>0</v>
      </c>
      <c r="FR67" s="61">
        <v>0</v>
      </c>
      <c r="FS67" s="61">
        <v>0</v>
      </c>
      <c r="FT67" s="61">
        <v>0</v>
      </c>
      <c r="FU67" s="61">
        <v>0</v>
      </c>
      <c r="FV67" s="61">
        <v>0</v>
      </c>
      <c r="FW67" s="61">
        <v>0</v>
      </c>
      <c r="FX67" s="61">
        <v>0</v>
      </c>
      <c r="FY67" s="61">
        <v>0</v>
      </c>
      <c r="FZ67" s="61">
        <v>0</v>
      </c>
      <c r="GA67" s="61">
        <v>0</v>
      </c>
      <c r="GB67" s="61">
        <v>0</v>
      </c>
      <c r="GC67" s="61">
        <v>0</v>
      </c>
      <c r="GD67" s="61">
        <v>0</v>
      </c>
      <c r="GE67" s="61">
        <v>0</v>
      </c>
      <c r="GF67" s="61">
        <v>0</v>
      </c>
      <c r="GG67" s="61">
        <v>0</v>
      </c>
      <c r="GH67" s="61">
        <v>0</v>
      </c>
      <c r="GI67" s="61">
        <v>0</v>
      </c>
      <c r="GJ67" s="61">
        <v>0</v>
      </c>
      <c r="GK67" s="61">
        <v>0</v>
      </c>
      <c r="GL67" s="61">
        <v>0</v>
      </c>
      <c r="GM67" s="61">
        <v>0</v>
      </c>
      <c r="GN67" s="61">
        <v>0</v>
      </c>
      <c r="GO67" s="61">
        <v>0</v>
      </c>
      <c r="GP67" s="61">
        <v>0</v>
      </c>
      <c r="GQ67" s="61">
        <v>0</v>
      </c>
      <c r="GR67" s="61">
        <v>0</v>
      </c>
      <c r="GS67" s="61">
        <v>0</v>
      </c>
      <c r="GT67" s="61">
        <v>0</v>
      </c>
      <c r="GU67" s="63">
        <v>0</v>
      </c>
      <c r="GV67" s="63">
        <v>0</v>
      </c>
      <c r="GW67" s="63">
        <v>0</v>
      </c>
      <c r="GX67" s="63">
        <v>0</v>
      </c>
      <c r="GY67" s="63">
        <v>0</v>
      </c>
      <c r="GZ67" s="63">
        <v>0</v>
      </c>
      <c r="HA67" s="63">
        <v>0</v>
      </c>
      <c r="HB67" s="63">
        <v>0</v>
      </c>
      <c r="HC67" s="63">
        <v>0</v>
      </c>
      <c r="HD67" s="63">
        <v>0</v>
      </c>
      <c r="HE67" s="63">
        <v>0</v>
      </c>
      <c r="HF67" s="63">
        <v>0</v>
      </c>
      <c r="HG67" s="63">
        <v>0</v>
      </c>
      <c r="HH67" s="63"/>
      <c r="HI67" s="63"/>
      <c r="HJ67" s="63">
        <v>1867</v>
      </c>
      <c r="HK67" s="63">
        <f>SUM(BR$4:HI$4)</f>
        <v>148</v>
      </c>
      <c r="HL67" s="61">
        <f>SUM(BR67:HI67)</f>
        <v>0</v>
      </c>
      <c r="HM67" s="67">
        <f t="shared" si="1"/>
        <v>0</v>
      </c>
      <c r="HN67" s="67"/>
      <c r="HO67" s="68">
        <v>1.28</v>
      </c>
      <c r="HP67" s="68">
        <v>1.94</v>
      </c>
      <c r="HQ67" s="63">
        <v>1.84</v>
      </c>
    </row>
    <row r="68" spans="1:247" x14ac:dyDescent="0.3">
      <c r="B68" s="63" t="s">
        <v>7304</v>
      </c>
      <c r="C68" s="61">
        <v>0</v>
      </c>
      <c r="D68" s="61">
        <v>0</v>
      </c>
      <c r="E68" s="61">
        <v>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61">
        <v>0</v>
      </c>
      <c r="M68" s="61">
        <v>0</v>
      </c>
      <c r="N68" s="61">
        <v>0</v>
      </c>
      <c r="O68" s="61">
        <v>0</v>
      </c>
      <c r="P68" s="61">
        <v>0</v>
      </c>
      <c r="Q68" s="61">
        <v>0</v>
      </c>
      <c r="R68" s="61">
        <v>0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0</v>
      </c>
      <c r="AI68" s="61">
        <v>0</v>
      </c>
      <c r="AJ68" s="61">
        <v>0</v>
      </c>
      <c r="AK68" s="61">
        <v>0</v>
      </c>
      <c r="AL68" s="61">
        <v>0</v>
      </c>
      <c r="AM68" s="61">
        <v>0</v>
      </c>
      <c r="AN68" s="61">
        <v>0</v>
      </c>
      <c r="AO68" s="61">
        <v>0</v>
      </c>
      <c r="AP68" s="61">
        <v>0</v>
      </c>
      <c r="AQ68" s="61">
        <v>0</v>
      </c>
      <c r="AR68" s="61">
        <v>0</v>
      </c>
      <c r="AS68" s="61">
        <v>0</v>
      </c>
      <c r="AT68" s="61">
        <v>0</v>
      </c>
      <c r="AU68" s="61">
        <v>0</v>
      </c>
      <c r="AV68" s="61">
        <v>0</v>
      </c>
      <c r="AW68" s="61">
        <v>0</v>
      </c>
      <c r="AX68" s="61">
        <v>0</v>
      </c>
      <c r="AY68" s="61">
        <v>0</v>
      </c>
      <c r="AZ68" s="61">
        <v>0</v>
      </c>
      <c r="BA68" s="61">
        <v>0</v>
      </c>
      <c r="BB68" s="61">
        <v>0</v>
      </c>
      <c r="BC68" s="61">
        <v>0</v>
      </c>
      <c r="BD68" s="61">
        <v>0</v>
      </c>
      <c r="BE68" s="61">
        <v>0</v>
      </c>
      <c r="BF68" s="61">
        <v>0</v>
      </c>
      <c r="BG68" s="61">
        <v>0</v>
      </c>
      <c r="BH68" s="61">
        <v>0</v>
      </c>
      <c r="BI68" s="61">
        <v>0</v>
      </c>
      <c r="BJ68" s="61">
        <v>0</v>
      </c>
      <c r="BK68" s="61">
        <v>0</v>
      </c>
      <c r="BL68" s="61">
        <v>0</v>
      </c>
      <c r="BM68" s="61">
        <v>0</v>
      </c>
      <c r="BN68" s="61">
        <v>0</v>
      </c>
      <c r="BO68" s="61">
        <v>0</v>
      </c>
      <c r="BP68" s="61">
        <v>0</v>
      </c>
      <c r="BQ68" s="61">
        <v>0</v>
      </c>
      <c r="BR68" s="61">
        <v>0</v>
      </c>
      <c r="BS68" s="61">
        <v>0</v>
      </c>
      <c r="BT68" s="61">
        <v>0</v>
      </c>
      <c r="BU68" s="61">
        <v>0</v>
      </c>
      <c r="BV68" s="61">
        <v>0</v>
      </c>
      <c r="BW68" s="61">
        <v>0</v>
      </c>
      <c r="BX68" s="61">
        <v>0</v>
      </c>
      <c r="BY68" s="61">
        <v>0</v>
      </c>
      <c r="BZ68" s="61">
        <v>0</v>
      </c>
      <c r="CA68" s="61">
        <v>0</v>
      </c>
      <c r="CB68" s="61">
        <v>0</v>
      </c>
      <c r="CC68" s="61">
        <v>0</v>
      </c>
      <c r="CD68" s="61">
        <v>0</v>
      </c>
      <c r="CE68" s="61">
        <v>0</v>
      </c>
      <c r="CF68" s="61">
        <v>0</v>
      </c>
      <c r="CG68" s="61">
        <v>0</v>
      </c>
      <c r="CH68" s="61">
        <v>0</v>
      </c>
      <c r="CI68" s="61">
        <v>0</v>
      </c>
      <c r="CJ68" s="61">
        <v>0</v>
      </c>
      <c r="CK68" s="61">
        <v>0</v>
      </c>
      <c r="CL68" s="61">
        <v>0</v>
      </c>
      <c r="CM68" s="61">
        <v>0</v>
      </c>
      <c r="CN68" s="61">
        <v>0</v>
      </c>
      <c r="CO68" s="61">
        <v>0</v>
      </c>
      <c r="CP68" s="61">
        <v>0</v>
      </c>
      <c r="CQ68" s="61">
        <v>0</v>
      </c>
      <c r="CR68" s="61">
        <v>0</v>
      </c>
      <c r="CS68" s="61">
        <v>0</v>
      </c>
      <c r="CT68" s="61">
        <v>0</v>
      </c>
      <c r="CU68" s="61">
        <v>0</v>
      </c>
      <c r="CV68" s="61">
        <v>0</v>
      </c>
      <c r="CW68" s="61">
        <v>0</v>
      </c>
      <c r="CX68" s="61">
        <v>0</v>
      </c>
      <c r="CY68" s="61">
        <v>0</v>
      </c>
      <c r="CZ68" s="61">
        <v>0</v>
      </c>
      <c r="DA68" s="61">
        <v>0</v>
      </c>
      <c r="DB68" s="61">
        <v>0</v>
      </c>
      <c r="DC68" s="61">
        <v>0</v>
      </c>
      <c r="DD68" s="61">
        <v>0</v>
      </c>
      <c r="DE68" s="61">
        <v>0</v>
      </c>
      <c r="DF68" s="61">
        <v>0</v>
      </c>
      <c r="DG68" s="61">
        <v>0</v>
      </c>
      <c r="DH68" s="61">
        <v>0</v>
      </c>
      <c r="DI68" s="61">
        <v>0</v>
      </c>
      <c r="DJ68" s="61">
        <v>0</v>
      </c>
      <c r="DK68" s="61">
        <v>0</v>
      </c>
      <c r="DL68" s="61">
        <v>0</v>
      </c>
      <c r="DM68" s="61">
        <v>0</v>
      </c>
      <c r="DN68" s="61">
        <v>0</v>
      </c>
      <c r="DO68" s="61">
        <v>0</v>
      </c>
      <c r="DP68" s="61">
        <v>0</v>
      </c>
      <c r="DQ68" s="61">
        <v>0</v>
      </c>
      <c r="DR68" s="61">
        <v>0</v>
      </c>
      <c r="DS68" s="61">
        <v>0</v>
      </c>
      <c r="DT68" s="61">
        <v>0</v>
      </c>
      <c r="DU68" s="61">
        <v>0</v>
      </c>
      <c r="DV68" s="61">
        <v>0</v>
      </c>
      <c r="DW68" s="61">
        <v>0</v>
      </c>
      <c r="DX68" s="61">
        <v>0</v>
      </c>
      <c r="DY68" s="61">
        <v>0</v>
      </c>
      <c r="DZ68" s="61">
        <v>0</v>
      </c>
      <c r="EA68" s="61">
        <v>0</v>
      </c>
      <c r="EB68" s="61">
        <v>0</v>
      </c>
      <c r="EC68" s="61">
        <v>0</v>
      </c>
      <c r="ED68" s="61">
        <v>0</v>
      </c>
      <c r="EE68" s="61">
        <v>0</v>
      </c>
      <c r="EF68" s="66">
        <v>1</v>
      </c>
      <c r="EG68" s="61">
        <v>0</v>
      </c>
      <c r="EH68" s="61">
        <v>0</v>
      </c>
      <c r="EI68" s="61">
        <v>0</v>
      </c>
      <c r="EJ68" s="61">
        <v>0</v>
      </c>
      <c r="EK68" s="61">
        <v>0</v>
      </c>
      <c r="EL68" s="61">
        <v>0</v>
      </c>
      <c r="EM68" s="61">
        <v>0</v>
      </c>
      <c r="EN68" s="61">
        <v>0</v>
      </c>
      <c r="EO68" s="61">
        <v>0</v>
      </c>
      <c r="EP68" s="61">
        <v>0</v>
      </c>
      <c r="EQ68" s="61">
        <v>0</v>
      </c>
      <c r="ER68" s="61">
        <v>0</v>
      </c>
      <c r="ES68" s="61">
        <v>0</v>
      </c>
      <c r="ET68" s="61">
        <v>0</v>
      </c>
      <c r="EU68" s="61">
        <v>0</v>
      </c>
      <c r="EV68" s="61">
        <v>0</v>
      </c>
      <c r="EW68" s="61">
        <v>0</v>
      </c>
      <c r="EX68" s="61">
        <v>0</v>
      </c>
      <c r="EY68" s="61">
        <v>0</v>
      </c>
      <c r="EZ68" s="61">
        <v>0</v>
      </c>
      <c r="FA68" s="61">
        <v>0</v>
      </c>
      <c r="FB68" s="61">
        <v>0</v>
      </c>
      <c r="FC68" s="61">
        <v>0</v>
      </c>
      <c r="FD68" s="61">
        <v>0</v>
      </c>
      <c r="FE68" s="61">
        <v>0</v>
      </c>
      <c r="FF68" s="61">
        <v>0</v>
      </c>
      <c r="FG68" s="61">
        <v>0</v>
      </c>
      <c r="FH68" s="61">
        <v>0</v>
      </c>
      <c r="FI68" s="61">
        <v>0</v>
      </c>
      <c r="FJ68" s="61">
        <v>0</v>
      </c>
      <c r="FK68" s="61">
        <v>0</v>
      </c>
      <c r="FL68" s="61">
        <v>0</v>
      </c>
      <c r="FM68" s="61">
        <v>0</v>
      </c>
      <c r="FN68" s="61">
        <v>0</v>
      </c>
      <c r="FO68" s="61">
        <v>0</v>
      </c>
      <c r="FP68" s="61">
        <v>0</v>
      </c>
      <c r="FQ68" s="61">
        <v>0</v>
      </c>
      <c r="FR68" s="61">
        <v>0</v>
      </c>
      <c r="FS68" s="61">
        <v>0</v>
      </c>
      <c r="FT68" s="61">
        <v>0</v>
      </c>
      <c r="FU68" s="61">
        <v>0</v>
      </c>
      <c r="FV68" s="61">
        <v>0</v>
      </c>
      <c r="FW68" s="61">
        <v>0</v>
      </c>
      <c r="FX68" s="61">
        <v>0</v>
      </c>
      <c r="FY68" s="61">
        <v>0</v>
      </c>
      <c r="FZ68" s="61">
        <v>0</v>
      </c>
      <c r="GA68" s="61">
        <v>0</v>
      </c>
      <c r="GB68" s="61">
        <v>0</v>
      </c>
      <c r="GC68" s="61">
        <v>0</v>
      </c>
      <c r="GD68" s="61">
        <v>0</v>
      </c>
      <c r="GE68" s="61">
        <v>0</v>
      </c>
      <c r="GF68" s="61">
        <v>0</v>
      </c>
      <c r="GG68" s="61">
        <v>0</v>
      </c>
      <c r="GH68" s="61">
        <v>0</v>
      </c>
      <c r="GI68" s="61">
        <v>0</v>
      </c>
      <c r="GJ68" s="61">
        <v>0</v>
      </c>
      <c r="GK68" s="61">
        <v>0</v>
      </c>
      <c r="GL68" s="61">
        <v>0</v>
      </c>
      <c r="GM68" s="61">
        <v>0</v>
      </c>
      <c r="GN68" s="61">
        <v>0</v>
      </c>
      <c r="GO68" s="61">
        <v>0</v>
      </c>
      <c r="GP68" s="61">
        <v>0</v>
      </c>
      <c r="GQ68" s="61">
        <v>0</v>
      </c>
      <c r="GR68" s="61">
        <v>0</v>
      </c>
      <c r="GS68" s="61">
        <v>0</v>
      </c>
      <c r="GT68" s="61">
        <v>0</v>
      </c>
      <c r="GU68" s="63">
        <v>0</v>
      </c>
      <c r="GV68" s="63">
        <v>0</v>
      </c>
      <c r="GW68" s="63">
        <v>0</v>
      </c>
      <c r="GX68" s="63">
        <v>0</v>
      </c>
      <c r="GY68" s="63">
        <v>0</v>
      </c>
      <c r="GZ68" s="63">
        <v>0</v>
      </c>
      <c r="HA68" s="63">
        <v>0</v>
      </c>
      <c r="HB68" s="63">
        <v>0</v>
      </c>
      <c r="HC68" s="63">
        <v>0</v>
      </c>
      <c r="HD68" s="63">
        <v>0</v>
      </c>
      <c r="HE68" s="63">
        <v>0</v>
      </c>
      <c r="HF68" s="63">
        <v>0</v>
      </c>
      <c r="HG68" s="63">
        <v>0</v>
      </c>
      <c r="HH68" s="63"/>
      <c r="HI68" s="63"/>
      <c r="HJ68" s="63">
        <v>1776</v>
      </c>
      <c r="HK68" s="63">
        <f>SUM(C$4:HI$4)</f>
        <v>215</v>
      </c>
      <c r="HL68" s="61">
        <f>SUM(C68:HI68)</f>
        <v>1</v>
      </c>
      <c r="HM68" s="67">
        <f t="shared" si="1"/>
        <v>0.46511627906976744</v>
      </c>
      <c r="HN68" s="67"/>
      <c r="HO68" s="68">
        <v>18.93</v>
      </c>
      <c r="HP68" s="68">
        <v>21.41</v>
      </c>
      <c r="HQ68" s="63">
        <v>20.73</v>
      </c>
    </row>
    <row r="69" spans="1:247" x14ac:dyDescent="0.3">
      <c r="A69" s="61" t="s">
        <v>7305</v>
      </c>
      <c r="B69" s="63" t="s">
        <v>7306</v>
      </c>
      <c r="C69" s="61">
        <v>0</v>
      </c>
      <c r="D69" s="61">
        <v>0</v>
      </c>
      <c r="E69" s="61">
        <v>0</v>
      </c>
      <c r="F69" s="61">
        <v>0</v>
      </c>
      <c r="G69" s="61">
        <v>0</v>
      </c>
      <c r="H69" s="61">
        <v>0</v>
      </c>
      <c r="I69" s="61">
        <v>0</v>
      </c>
      <c r="J69" s="61">
        <v>0</v>
      </c>
      <c r="K69" s="61">
        <v>0</v>
      </c>
      <c r="L69" s="61">
        <v>0</v>
      </c>
      <c r="M69" s="61">
        <v>0</v>
      </c>
      <c r="N69" s="61">
        <v>0</v>
      </c>
      <c r="O69" s="61">
        <v>0</v>
      </c>
      <c r="P69" s="61">
        <v>0</v>
      </c>
      <c r="Q69" s="61">
        <v>0</v>
      </c>
      <c r="R69" s="61">
        <v>0</v>
      </c>
      <c r="S69" s="61">
        <v>0</v>
      </c>
      <c r="T69" s="61">
        <v>0</v>
      </c>
      <c r="U69" s="61">
        <v>0</v>
      </c>
      <c r="V69" s="61">
        <v>0</v>
      </c>
      <c r="W69" s="61">
        <v>0</v>
      </c>
      <c r="X69" s="61">
        <v>0</v>
      </c>
      <c r="Y69" s="61">
        <v>0</v>
      </c>
      <c r="Z69" s="61">
        <v>0</v>
      </c>
      <c r="AA69" s="61">
        <v>0</v>
      </c>
      <c r="AB69" s="61">
        <v>0</v>
      </c>
      <c r="AC69" s="61">
        <v>0</v>
      </c>
      <c r="AD69" s="61">
        <v>0</v>
      </c>
      <c r="AE69" s="61">
        <v>0</v>
      </c>
      <c r="AF69" s="61">
        <v>0</v>
      </c>
      <c r="AG69" s="61">
        <v>0</v>
      </c>
      <c r="AH69" s="61">
        <v>0</v>
      </c>
      <c r="AI69" s="61">
        <v>0</v>
      </c>
      <c r="AJ69" s="61">
        <v>0</v>
      </c>
      <c r="AK69" s="61">
        <v>0</v>
      </c>
      <c r="AL69" s="61">
        <v>0</v>
      </c>
      <c r="AM69" s="61">
        <v>0</v>
      </c>
      <c r="AN69" s="61">
        <v>0</v>
      </c>
      <c r="AO69" s="61">
        <v>0</v>
      </c>
      <c r="AP69" s="61">
        <v>0</v>
      </c>
      <c r="AQ69" s="61">
        <v>0</v>
      </c>
      <c r="AR69" s="61">
        <v>0</v>
      </c>
      <c r="AS69" s="61">
        <v>0</v>
      </c>
      <c r="AT69" s="61">
        <v>0</v>
      </c>
      <c r="AU69" s="61">
        <v>0</v>
      </c>
      <c r="AV69" s="61">
        <v>0</v>
      </c>
      <c r="AW69" s="61">
        <v>0</v>
      </c>
      <c r="AX69" s="61">
        <v>0</v>
      </c>
      <c r="AY69" s="61">
        <v>0</v>
      </c>
      <c r="AZ69" s="61">
        <v>0</v>
      </c>
      <c r="BA69" s="61">
        <v>0</v>
      </c>
      <c r="BB69" s="61">
        <v>0</v>
      </c>
      <c r="BC69" s="61">
        <v>0</v>
      </c>
      <c r="BD69" s="61">
        <v>0</v>
      </c>
      <c r="BE69" s="61">
        <v>0</v>
      </c>
      <c r="BF69" s="61">
        <v>0</v>
      </c>
      <c r="BG69" s="61">
        <v>0</v>
      </c>
      <c r="BH69" s="61">
        <v>0</v>
      </c>
      <c r="BI69" s="61">
        <v>0</v>
      </c>
      <c r="BJ69" s="61">
        <v>0</v>
      </c>
      <c r="BK69" s="61">
        <v>0</v>
      </c>
      <c r="BL69" s="61">
        <v>0</v>
      </c>
      <c r="BM69" s="61">
        <v>0</v>
      </c>
      <c r="BN69" s="61">
        <v>0</v>
      </c>
      <c r="BO69" s="61">
        <v>0</v>
      </c>
      <c r="BP69" s="61">
        <v>0</v>
      </c>
      <c r="BQ69" s="61">
        <v>0</v>
      </c>
      <c r="BR69" s="61">
        <v>0</v>
      </c>
      <c r="BS69" s="61">
        <v>0</v>
      </c>
      <c r="BT69" s="61">
        <v>0</v>
      </c>
      <c r="BU69" s="61">
        <v>0</v>
      </c>
      <c r="BV69" s="61">
        <v>0</v>
      </c>
      <c r="BW69" s="61">
        <v>0</v>
      </c>
      <c r="BX69" s="61">
        <v>0</v>
      </c>
      <c r="BY69" s="61">
        <v>0</v>
      </c>
      <c r="BZ69" s="61">
        <v>0</v>
      </c>
      <c r="CA69" s="61">
        <v>0</v>
      </c>
      <c r="CB69" s="61">
        <v>0</v>
      </c>
      <c r="CC69" s="61">
        <v>0</v>
      </c>
      <c r="CD69" s="61">
        <v>0</v>
      </c>
      <c r="CE69" s="61">
        <v>0</v>
      </c>
      <c r="CF69" s="61">
        <v>0</v>
      </c>
      <c r="CG69" s="61">
        <v>0</v>
      </c>
      <c r="CH69" s="61">
        <v>0</v>
      </c>
      <c r="CI69" s="61">
        <v>0</v>
      </c>
      <c r="CJ69" s="61">
        <v>0</v>
      </c>
      <c r="CK69" s="61">
        <v>0</v>
      </c>
      <c r="CL69" s="61">
        <v>0</v>
      </c>
      <c r="CM69" s="61">
        <v>0</v>
      </c>
      <c r="CN69" s="61">
        <v>0</v>
      </c>
      <c r="CO69" s="61">
        <v>0</v>
      </c>
      <c r="CP69" s="61">
        <v>0</v>
      </c>
      <c r="CQ69" s="61">
        <v>0</v>
      </c>
      <c r="CR69" s="61">
        <v>0</v>
      </c>
      <c r="CS69" s="61">
        <v>0</v>
      </c>
      <c r="CT69" s="61">
        <v>0</v>
      </c>
      <c r="CU69" s="61">
        <v>0</v>
      </c>
      <c r="CV69" s="61">
        <v>0</v>
      </c>
      <c r="CW69" s="61">
        <v>0</v>
      </c>
      <c r="CX69" s="61">
        <v>0</v>
      </c>
      <c r="CY69" s="61">
        <v>0</v>
      </c>
      <c r="CZ69" s="65">
        <v>0</v>
      </c>
      <c r="DA69" s="61">
        <v>0</v>
      </c>
      <c r="DB69" s="61">
        <v>0</v>
      </c>
      <c r="DC69" s="61">
        <v>0</v>
      </c>
      <c r="DD69" s="61">
        <v>0</v>
      </c>
      <c r="DE69" s="61">
        <v>0</v>
      </c>
      <c r="DF69" s="61">
        <v>0</v>
      </c>
      <c r="DG69" s="61">
        <v>0</v>
      </c>
      <c r="DH69" s="61">
        <v>0</v>
      </c>
      <c r="DI69" s="61">
        <v>0</v>
      </c>
      <c r="DJ69" s="61">
        <v>0</v>
      </c>
      <c r="DK69" s="61">
        <v>0</v>
      </c>
      <c r="DL69" s="61">
        <v>0</v>
      </c>
      <c r="DM69" s="61">
        <v>0</v>
      </c>
      <c r="DN69" s="61">
        <v>0</v>
      </c>
      <c r="DO69" s="61">
        <v>0</v>
      </c>
      <c r="DP69" s="61">
        <v>0</v>
      </c>
      <c r="DQ69" s="61">
        <v>0</v>
      </c>
      <c r="DR69" s="61">
        <v>0</v>
      </c>
      <c r="DS69" s="61">
        <v>0</v>
      </c>
      <c r="DT69" s="61">
        <v>0</v>
      </c>
      <c r="DU69" s="61">
        <v>0</v>
      </c>
      <c r="DV69" s="61">
        <v>0</v>
      </c>
      <c r="DW69" s="61">
        <v>0</v>
      </c>
      <c r="DX69" s="61">
        <v>0</v>
      </c>
      <c r="DY69" s="61">
        <v>0</v>
      </c>
      <c r="DZ69" s="61">
        <v>0</v>
      </c>
      <c r="EA69" s="61">
        <v>0</v>
      </c>
      <c r="EB69" s="61">
        <v>0</v>
      </c>
      <c r="EC69" s="61">
        <v>0</v>
      </c>
      <c r="ED69" s="61">
        <v>0</v>
      </c>
      <c r="EE69" s="61">
        <v>0</v>
      </c>
      <c r="EF69" s="61">
        <v>0</v>
      </c>
      <c r="EG69" s="61">
        <v>0</v>
      </c>
      <c r="EH69" s="61">
        <v>0</v>
      </c>
      <c r="EI69" s="61">
        <v>0</v>
      </c>
      <c r="EJ69" s="61">
        <v>0</v>
      </c>
      <c r="EK69" s="61">
        <v>0</v>
      </c>
      <c r="EL69" s="61">
        <v>0</v>
      </c>
      <c r="EM69" s="61">
        <v>0</v>
      </c>
      <c r="EN69" s="61">
        <v>0</v>
      </c>
      <c r="EO69" s="61">
        <v>0</v>
      </c>
      <c r="EP69" s="61">
        <v>0</v>
      </c>
      <c r="EQ69" s="61">
        <v>0</v>
      </c>
      <c r="ER69" s="61">
        <v>0</v>
      </c>
      <c r="ES69" s="61">
        <v>0</v>
      </c>
      <c r="ET69" s="61">
        <v>0</v>
      </c>
      <c r="EU69" s="61">
        <v>0</v>
      </c>
      <c r="EV69" s="61">
        <v>0</v>
      </c>
      <c r="EW69" s="61">
        <v>0</v>
      </c>
      <c r="EX69" s="61">
        <v>0</v>
      </c>
      <c r="EY69" s="61">
        <v>0</v>
      </c>
      <c r="EZ69" s="61">
        <v>0</v>
      </c>
      <c r="FA69" s="61">
        <v>0</v>
      </c>
      <c r="FB69" s="61">
        <v>0</v>
      </c>
      <c r="FC69" s="61">
        <v>0</v>
      </c>
      <c r="FD69" s="61">
        <v>0</v>
      </c>
      <c r="FE69" s="61">
        <v>0</v>
      </c>
      <c r="FF69" s="61">
        <v>0</v>
      </c>
      <c r="FG69" s="61">
        <v>0</v>
      </c>
      <c r="FH69" s="61">
        <v>0</v>
      </c>
      <c r="FI69" s="61">
        <v>0</v>
      </c>
      <c r="FJ69" s="61">
        <v>0</v>
      </c>
      <c r="FK69" s="61">
        <v>0</v>
      </c>
      <c r="FL69" s="61">
        <v>0</v>
      </c>
      <c r="FM69" s="61">
        <v>0</v>
      </c>
      <c r="FN69" s="61">
        <v>0</v>
      </c>
      <c r="FO69" s="61">
        <v>0</v>
      </c>
      <c r="FP69" s="61">
        <v>0</v>
      </c>
      <c r="FQ69" s="61">
        <v>0</v>
      </c>
      <c r="FR69" s="61">
        <v>0</v>
      </c>
      <c r="FS69" s="61">
        <v>0</v>
      </c>
      <c r="FT69" s="61">
        <v>0</v>
      </c>
      <c r="FU69" s="61">
        <v>0</v>
      </c>
      <c r="FV69" s="61">
        <v>0</v>
      </c>
      <c r="FW69" s="61">
        <v>0</v>
      </c>
      <c r="FX69" s="61">
        <v>0</v>
      </c>
      <c r="FY69" s="61">
        <v>0</v>
      </c>
      <c r="FZ69" s="61">
        <v>0</v>
      </c>
      <c r="GA69" s="61">
        <v>0</v>
      </c>
      <c r="GB69" s="61">
        <v>0</v>
      </c>
      <c r="GC69" s="61">
        <v>0</v>
      </c>
      <c r="GD69" s="61">
        <v>0</v>
      </c>
      <c r="GE69" s="61">
        <v>0</v>
      </c>
      <c r="GF69" s="61">
        <v>0</v>
      </c>
      <c r="GG69" s="61">
        <v>0</v>
      </c>
      <c r="GH69" s="61">
        <v>0</v>
      </c>
      <c r="GI69" s="61">
        <v>0</v>
      </c>
      <c r="GJ69" s="61">
        <v>0</v>
      </c>
      <c r="GK69" s="61">
        <v>0</v>
      </c>
      <c r="GL69" s="61">
        <v>0</v>
      </c>
      <c r="GM69" s="61">
        <v>0</v>
      </c>
      <c r="GN69" s="61">
        <v>0</v>
      </c>
      <c r="GO69" s="61">
        <v>0</v>
      </c>
      <c r="GP69" s="61">
        <v>0</v>
      </c>
      <c r="GQ69" s="61">
        <v>0</v>
      </c>
      <c r="GR69" s="61">
        <v>0</v>
      </c>
      <c r="GS69" s="61">
        <v>0</v>
      </c>
      <c r="GT69" s="61">
        <v>0</v>
      </c>
      <c r="GU69" s="63">
        <v>0</v>
      </c>
      <c r="GV69" s="63">
        <v>0</v>
      </c>
      <c r="GW69" s="63">
        <v>0</v>
      </c>
      <c r="GX69" s="63">
        <v>0</v>
      </c>
      <c r="GY69" s="63">
        <v>0</v>
      </c>
      <c r="GZ69" s="63">
        <v>0</v>
      </c>
      <c r="HA69" s="63">
        <v>0</v>
      </c>
      <c r="HB69" s="63">
        <v>0</v>
      </c>
      <c r="HC69" s="63">
        <v>0</v>
      </c>
      <c r="HD69" s="63">
        <v>0</v>
      </c>
      <c r="HE69" s="63">
        <v>0</v>
      </c>
      <c r="HF69" s="63">
        <v>0</v>
      </c>
      <c r="HG69" s="63">
        <v>0</v>
      </c>
      <c r="HH69" s="63"/>
      <c r="HI69" s="63"/>
      <c r="HJ69" s="63">
        <v>1901</v>
      </c>
      <c r="HK69" s="63">
        <f>SUM(CZ$4:HI$4)</f>
        <v>114</v>
      </c>
      <c r="HL69" s="61">
        <f>SUM(CZ69:HI69)</f>
        <v>0</v>
      </c>
      <c r="HM69" s="67">
        <f t="shared" ref="HM69:HM70" si="2">100*HL69/HK69</f>
        <v>0</v>
      </c>
      <c r="HN69" s="67"/>
      <c r="HO69" s="68">
        <v>0.91</v>
      </c>
      <c r="HP69" s="68">
        <v>1.07</v>
      </c>
      <c r="HQ69" s="63">
        <v>1.1299999999999999</v>
      </c>
    </row>
    <row r="70" spans="1:247" x14ac:dyDescent="0.3">
      <c r="B70" s="63" t="s">
        <v>7307</v>
      </c>
      <c r="C70" s="61">
        <v>0</v>
      </c>
      <c r="D70" s="61">
        <v>0</v>
      </c>
      <c r="E70" s="61">
        <v>0</v>
      </c>
      <c r="F70" s="61">
        <v>0</v>
      </c>
      <c r="G70" s="61">
        <v>0</v>
      </c>
      <c r="H70" s="61">
        <v>0</v>
      </c>
      <c r="I70" s="61">
        <v>0</v>
      </c>
      <c r="J70" s="61">
        <v>0</v>
      </c>
      <c r="K70" s="61">
        <v>0</v>
      </c>
      <c r="L70" s="61">
        <v>0</v>
      </c>
      <c r="M70" s="61">
        <v>0</v>
      </c>
      <c r="N70" s="61">
        <v>0</v>
      </c>
      <c r="O70" s="61">
        <v>0</v>
      </c>
      <c r="P70" s="61">
        <v>0</v>
      </c>
      <c r="Q70" s="61">
        <v>0</v>
      </c>
      <c r="R70" s="61">
        <v>0</v>
      </c>
      <c r="S70" s="61">
        <v>0</v>
      </c>
      <c r="T70" s="61">
        <v>0</v>
      </c>
      <c r="U70" s="61">
        <v>0</v>
      </c>
      <c r="V70" s="61">
        <v>0</v>
      </c>
      <c r="W70" s="61">
        <v>0</v>
      </c>
      <c r="X70" s="61">
        <v>0</v>
      </c>
      <c r="Y70" s="61">
        <v>0</v>
      </c>
      <c r="Z70" s="61">
        <v>0</v>
      </c>
      <c r="AA70" s="61">
        <v>0</v>
      </c>
      <c r="AB70" s="61">
        <v>0</v>
      </c>
      <c r="AC70" s="61">
        <v>0</v>
      </c>
      <c r="AD70" s="61">
        <v>0</v>
      </c>
      <c r="AE70" s="61">
        <v>0</v>
      </c>
      <c r="AF70" s="61">
        <v>0</v>
      </c>
      <c r="AG70" s="61">
        <v>0</v>
      </c>
      <c r="AH70" s="61">
        <v>0</v>
      </c>
      <c r="AI70" s="61">
        <v>0</v>
      </c>
      <c r="AJ70" s="61">
        <v>0</v>
      </c>
      <c r="AK70" s="61">
        <v>0</v>
      </c>
      <c r="AL70" s="61">
        <v>0</v>
      </c>
      <c r="AM70" s="61">
        <v>0</v>
      </c>
      <c r="AN70" s="61">
        <v>0</v>
      </c>
      <c r="AO70" s="61">
        <v>0</v>
      </c>
      <c r="AP70" s="61">
        <v>0</v>
      </c>
      <c r="AQ70" s="61">
        <v>0</v>
      </c>
      <c r="AR70" s="61">
        <v>0</v>
      </c>
      <c r="AS70" s="61">
        <v>0</v>
      </c>
      <c r="AT70" s="61">
        <v>0</v>
      </c>
      <c r="AU70" s="61">
        <v>0</v>
      </c>
      <c r="AV70" s="61">
        <v>0</v>
      </c>
      <c r="AW70" s="61">
        <v>0</v>
      </c>
      <c r="AX70" s="61">
        <v>0</v>
      </c>
      <c r="AY70" s="61">
        <v>0</v>
      </c>
      <c r="AZ70" s="61">
        <v>0</v>
      </c>
      <c r="BA70" s="61">
        <v>0</v>
      </c>
      <c r="BB70" s="61">
        <v>0</v>
      </c>
      <c r="BC70" s="61">
        <v>0</v>
      </c>
      <c r="BD70" s="61">
        <v>0</v>
      </c>
      <c r="BE70" s="61">
        <v>0</v>
      </c>
      <c r="BF70" s="61">
        <v>0</v>
      </c>
      <c r="BG70" s="61">
        <v>0</v>
      </c>
      <c r="BH70" s="61">
        <v>0</v>
      </c>
      <c r="BI70" s="61">
        <v>0</v>
      </c>
      <c r="BJ70" s="61">
        <v>0</v>
      </c>
      <c r="BK70" s="61">
        <v>0</v>
      </c>
      <c r="BL70" s="61">
        <v>0</v>
      </c>
      <c r="BM70" s="61">
        <v>0</v>
      </c>
      <c r="BN70" s="61">
        <v>0</v>
      </c>
      <c r="BO70" s="61">
        <v>0</v>
      </c>
      <c r="BP70" s="61">
        <v>0</v>
      </c>
      <c r="BQ70" s="61">
        <v>0</v>
      </c>
      <c r="BR70" s="61">
        <v>0</v>
      </c>
      <c r="BS70" s="61">
        <v>0</v>
      </c>
      <c r="BT70" s="61">
        <v>0</v>
      </c>
      <c r="BU70" s="61">
        <v>0</v>
      </c>
      <c r="BV70" s="61">
        <v>0</v>
      </c>
      <c r="BW70" s="61">
        <v>0</v>
      </c>
      <c r="BX70" s="61">
        <v>0</v>
      </c>
      <c r="BY70" s="61">
        <v>0</v>
      </c>
      <c r="BZ70" s="61">
        <v>0</v>
      </c>
      <c r="CA70" s="61">
        <v>0</v>
      </c>
      <c r="CB70" s="61">
        <v>0</v>
      </c>
      <c r="CC70" s="61">
        <v>0</v>
      </c>
      <c r="CD70" s="61">
        <v>0</v>
      </c>
      <c r="CE70" s="61">
        <v>0</v>
      </c>
      <c r="CF70" s="61">
        <v>0</v>
      </c>
      <c r="CG70" s="61">
        <v>0</v>
      </c>
      <c r="CH70" s="61">
        <v>0</v>
      </c>
      <c r="CI70" s="61">
        <v>0</v>
      </c>
      <c r="CJ70" s="61">
        <v>0</v>
      </c>
      <c r="CK70" s="61">
        <v>0</v>
      </c>
      <c r="CL70" s="61">
        <v>0</v>
      </c>
      <c r="CM70" s="61">
        <v>0</v>
      </c>
      <c r="CN70" s="61">
        <v>0</v>
      </c>
      <c r="CO70" s="61">
        <v>0</v>
      </c>
      <c r="CP70" s="61">
        <v>0</v>
      </c>
      <c r="CQ70" s="61">
        <v>0</v>
      </c>
      <c r="CR70" s="61">
        <v>0</v>
      </c>
      <c r="CS70" s="61">
        <v>0</v>
      </c>
      <c r="CT70" s="61">
        <v>0</v>
      </c>
      <c r="CU70" s="61">
        <v>0</v>
      </c>
      <c r="CV70" s="61">
        <v>0</v>
      </c>
      <c r="CW70" s="61">
        <v>0</v>
      </c>
      <c r="CX70" s="61">
        <v>0</v>
      </c>
      <c r="CY70" s="61">
        <v>0</v>
      </c>
      <c r="CZ70" s="61">
        <v>0</v>
      </c>
      <c r="DA70" s="61">
        <v>0</v>
      </c>
      <c r="DB70" s="61">
        <v>0</v>
      </c>
      <c r="DC70" s="61">
        <v>0</v>
      </c>
      <c r="DD70" s="61">
        <v>0</v>
      </c>
      <c r="DE70" s="61">
        <v>0</v>
      </c>
      <c r="DF70" s="65">
        <v>0</v>
      </c>
      <c r="DG70" s="61">
        <v>0</v>
      </c>
      <c r="DH70" s="61">
        <v>0</v>
      </c>
      <c r="DI70" s="61">
        <v>0</v>
      </c>
      <c r="DJ70" s="61">
        <v>0</v>
      </c>
      <c r="DK70" s="61">
        <v>0</v>
      </c>
      <c r="DL70" s="61">
        <v>0</v>
      </c>
      <c r="DM70" s="61">
        <v>0</v>
      </c>
      <c r="DN70" s="61">
        <v>0</v>
      </c>
      <c r="DO70" s="61">
        <v>0</v>
      </c>
      <c r="DP70" s="61">
        <v>0</v>
      </c>
      <c r="DQ70" s="61">
        <v>0</v>
      </c>
      <c r="DR70" s="61">
        <v>0</v>
      </c>
      <c r="DS70" s="61">
        <v>0</v>
      </c>
      <c r="DT70" s="61">
        <v>0</v>
      </c>
      <c r="DU70" s="61">
        <v>0</v>
      </c>
      <c r="DV70" s="61">
        <v>0</v>
      </c>
      <c r="DW70" s="61">
        <v>0</v>
      </c>
      <c r="DX70" s="61">
        <v>0</v>
      </c>
      <c r="DY70" s="61">
        <v>0</v>
      </c>
      <c r="DZ70" s="61">
        <v>0</v>
      </c>
      <c r="EA70" s="61">
        <v>0</v>
      </c>
      <c r="EB70" s="61">
        <v>0</v>
      </c>
      <c r="EC70" s="61">
        <v>0</v>
      </c>
      <c r="ED70" s="61">
        <v>0</v>
      </c>
      <c r="EE70" s="61">
        <v>0</v>
      </c>
      <c r="EF70" s="61">
        <v>0</v>
      </c>
      <c r="EG70" s="61">
        <v>0</v>
      </c>
      <c r="EH70" s="61">
        <v>0</v>
      </c>
      <c r="EI70" s="61">
        <v>0</v>
      </c>
      <c r="EJ70" s="61">
        <v>0</v>
      </c>
      <c r="EK70" s="61">
        <v>0</v>
      </c>
      <c r="EL70" s="61">
        <v>0</v>
      </c>
      <c r="EM70" s="61">
        <v>0</v>
      </c>
      <c r="EN70" s="61">
        <v>0</v>
      </c>
      <c r="EO70" s="61">
        <v>0</v>
      </c>
      <c r="EP70" s="61">
        <v>0</v>
      </c>
      <c r="EQ70" s="61">
        <v>0</v>
      </c>
      <c r="ER70" s="61">
        <v>0</v>
      </c>
      <c r="ES70" s="61">
        <v>0</v>
      </c>
      <c r="ET70" s="61">
        <v>0</v>
      </c>
      <c r="EU70" s="61">
        <v>0</v>
      </c>
      <c r="EV70" s="61">
        <v>0</v>
      </c>
      <c r="EW70" s="61">
        <v>0</v>
      </c>
      <c r="EX70" s="61">
        <v>0</v>
      </c>
      <c r="EY70" s="61">
        <v>0</v>
      </c>
      <c r="EZ70" s="61">
        <v>0</v>
      </c>
      <c r="FA70" s="61">
        <v>0</v>
      </c>
      <c r="FB70" s="61">
        <v>0</v>
      </c>
      <c r="FC70" s="61">
        <v>0</v>
      </c>
      <c r="FD70" s="61">
        <v>0</v>
      </c>
      <c r="FE70" s="61">
        <v>0</v>
      </c>
      <c r="FF70" s="61">
        <v>0</v>
      </c>
      <c r="FG70" s="61">
        <v>0</v>
      </c>
      <c r="FH70" s="61">
        <v>0</v>
      </c>
      <c r="FI70" s="61">
        <v>0</v>
      </c>
      <c r="FJ70" s="61">
        <v>0</v>
      </c>
      <c r="FK70" s="61">
        <v>0</v>
      </c>
      <c r="FL70" s="61">
        <v>0</v>
      </c>
      <c r="FM70" s="61">
        <v>0</v>
      </c>
      <c r="FN70" s="61">
        <v>0</v>
      </c>
      <c r="FO70" s="61">
        <v>0</v>
      </c>
      <c r="FP70" s="61">
        <v>0</v>
      </c>
      <c r="FQ70" s="61">
        <v>0</v>
      </c>
      <c r="FR70" s="61">
        <v>0</v>
      </c>
      <c r="FS70" s="61">
        <v>0</v>
      </c>
      <c r="FT70" s="61">
        <v>0</v>
      </c>
      <c r="FU70" s="61">
        <v>0</v>
      </c>
      <c r="FV70" s="61">
        <v>0</v>
      </c>
      <c r="FW70" s="61">
        <v>0</v>
      </c>
      <c r="FX70" s="61">
        <v>0</v>
      </c>
      <c r="FY70" s="61">
        <v>0</v>
      </c>
      <c r="FZ70" s="61">
        <v>0</v>
      </c>
      <c r="GA70" s="61">
        <v>0</v>
      </c>
      <c r="GB70" s="61">
        <v>0</v>
      </c>
      <c r="GC70" s="61">
        <v>0</v>
      </c>
      <c r="GD70" s="61">
        <v>0</v>
      </c>
      <c r="GE70" s="61">
        <v>0</v>
      </c>
      <c r="GF70" s="61">
        <v>0</v>
      </c>
      <c r="GG70" s="61">
        <v>0</v>
      </c>
      <c r="GH70" s="61">
        <v>0</v>
      </c>
      <c r="GI70" s="61">
        <v>0</v>
      </c>
      <c r="GJ70" s="61">
        <v>0</v>
      </c>
      <c r="GK70" s="61">
        <v>0</v>
      </c>
      <c r="GL70" s="61">
        <v>0</v>
      </c>
      <c r="GM70" s="61">
        <v>0</v>
      </c>
      <c r="GN70" s="61">
        <v>0</v>
      </c>
      <c r="GO70" s="61">
        <v>0</v>
      </c>
      <c r="GP70" s="61">
        <v>0</v>
      </c>
      <c r="GQ70" s="61">
        <v>0</v>
      </c>
      <c r="GR70" s="61">
        <v>0</v>
      </c>
      <c r="GS70" s="61">
        <v>0</v>
      </c>
      <c r="GT70" s="61">
        <v>0</v>
      </c>
      <c r="GU70" s="63">
        <v>0</v>
      </c>
      <c r="GV70" s="63">
        <v>0</v>
      </c>
      <c r="GW70" s="63">
        <v>0</v>
      </c>
      <c r="GX70" s="63">
        <v>0</v>
      </c>
      <c r="GY70" s="63">
        <v>0</v>
      </c>
      <c r="GZ70" s="63">
        <v>0</v>
      </c>
      <c r="HA70" s="63">
        <v>0</v>
      </c>
      <c r="HB70" s="63">
        <v>0</v>
      </c>
      <c r="HC70" s="63">
        <v>0</v>
      </c>
      <c r="HD70" s="63">
        <v>0</v>
      </c>
      <c r="HE70" s="63">
        <v>0</v>
      </c>
      <c r="HF70" s="63">
        <v>0</v>
      </c>
      <c r="HG70" s="63">
        <v>0</v>
      </c>
      <c r="HH70" s="63"/>
      <c r="HI70" s="63"/>
      <c r="HJ70" s="63">
        <v>1907</v>
      </c>
      <c r="HK70" s="63">
        <f>SUM(DF$4:HI$4)</f>
        <v>108</v>
      </c>
      <c r="HL70" s="61">
        <f>SUM(DF70:HI70)</f>
        <v>0</v>
      </c>
      <c r="HM70" s="67">
        <f t="shared" si="2"/>
        <v>0</v>
      </c>
      <c r="HN70" s="67"/>
      <c r="HO70" s="68">
        <v>0.21</v>
      </c>
      <c r="HP70" s="68">
        <v>0.17</v>
      </c>
      <c r="HQ70" s="63">
        <v>0.17</v>
      </c>
    </row>
    <row r="71" spans="1:247" s="72" customFormat="1" ht="13.2" x14ac:dyDescent="0.25">
      <c r="B71" s="62" t="s">
        <v>7308</v>
      </c>
      <c r="C71" s="73">
        <f t="shared" ref="C71:BN71" si="3">SUM(C5:C70)</f>
        <v>0</v>
      </c>
      <c r="D71" s="73">
        <f t="shared" si="3"/>
        <v>0</v>
      </c>
      <c r="E71" s="73">
        <f t="shared" si="3"/>
        <v>2</v>
      </c>
      <c r="F71" s="73">
        <f t="shared" si="3"/>
        <v>2</v>
      </c>
      <c r="G71" s="73">
        <f t="shared" si="3"/>
        <v>2</v>
      </c>
      <c r="H71" s="73">
        <f t="shared" si="3"/>
        <v>2</v>
      </c>
      <c r="I71" s="73">
        <f t="shared" si="3"/>
        <v>2</v>
      </c>
      <c r="J71" s="73">
        <f t="shared" si="3"/>
        <v>3</v>
      </c>
      <c r="K71" s="73">
        <f t="shared" si="3"/>
        <v>2</v>
      </c>
      <c r="L71" s="73">
        <f t="shared" si="3"/>
        <v>2</v>
      </c>
      <c r="M71" s="73">
        <f t="shared" si="3"/>
        <v>2</v>
      </c>
      <c r="N71" s="73">
        <f t="shared" si="3"/>
        <v>2</v>
      </c>
      <c r="O71" s="73">
        <f t="shared" si="3"/>
        <v>5</v>
      </c>
      <c r="P71" s="73">
        <f t="shared" si="3"/>
        <v>3</v>
      </c>
      <c r="Q71" s="73">
        <f t="shared" si="3"/>
        <v>3</v>
      </c>
      <c r="R71" s="73">
        <f t="shared" si="3"/>
        <v>1</v>
      </c>
      <c r="S71" s="73">
        <f t="shared" si="3"/>
        <v>1</v>
      </c>
      <c r="T71" s="73">
        <f t="shared" si="3"/>
        <v>0</v>
      </c>
      <c r="U71" s="73">
        <f t="shared" si="3"/>
        <v>0</v>
      </c>
      <c r="V71" s="73">
        <f t="shared" si="3"/>
        <v>0</v>
      </c>
      <c r="W71" s="73">
        <f t="shared" si="3"/>
        <v>1</v>
      </c>
      <c r="X71" s="73">
        <f t="shared" si="3"/>
        <v>0</v>
      </c>
      <c r="Y71" s="73">
        <f t="shared" si="3"/>
        <v>0</v>
      </c>
      <c r="Z71" s="73">
        <f t="shared" si="3"/>
        <v>0</v>
      </c>
      <c r="AA71" s="73">
        <f t="shared" si="3"/>
        <v>1</v>
      </c>
      <c r="AB71" s="73">
        <f t="shared" si="3"/>
        <v>1</v>
      </c>
      <c r="AC71" s="73">
        <f t="shared" si="3"/>
        <v>6</v>
      </c>
      <c r="AD71" s="73">
        <f t="shared" si="3"/>
        <v>7</v>
      </c>
      <c r="AE71" s="73">
        <f t="shared" si="3"/>
        <v>14</v>
      </c>
      <c r="AF71" s="73">
        <f t="shared" si="3"/>
        <v>13</v>
      </c>
      <c r="AG71" s="73">
        <f t="shared" si="3"/>
        <v>14</v>
      </c>
      <c r="AH71" s="73">
        <f t="shared" si="3"/>
        <v>13</v>
      </c>
      <c r="AI71" s="73">
        <f t="shared" si="3"/>
        <v>13</v>
      </c>
      <c r="AJ71" s="73">
        <f t="shared" si="3"/>
        <v>14</v>
      </c>
      <c r="AK71" s="73">
        <f t="shared" si="3"/>
        <v>14</v>
      </c>
      <c r="AL71" s="73">
        <f t="shared" si="3"/>
        <v>13</v>
      </c>
      <c r="AM71" s="73">
        <f t="shared" si="3"/>
        <v>13</v>
      </c>
      <c r="AN71" s="73">
        <f t="shared" si="3"/>
        <v>15</v>
      </c>
      <c r="AO71" s="73">
        <f t="shared" si="3"/>
        <v>15</v>
      </c>
      <c r="AP71" s="73">
        <f t="shared" si="3"/>
        <v>16</v>
      </c>
      <c r="AQ71" s="73">
        <f t="shared" si="3"/>
        <v>15</v>
      </c>
      <c r="AR71" s="73">
        <f t="shared" si="3"/>
        <v>13</v>
      </c>
      <c r="AS71" s="73">
        <f t="shared" si="3"/>
        <v>11</v>
      </c>
      <c r="AT71" s="73">
        <f t="shared" si="3"/>
        <v>10</v>
      </c>
      <c r="AU71" s="73">
        <f t="shared" si="3"/>
        <v>11</v>
      </c>
      <c r="AV71" s="73">
        <f t="shared" si="3"/>
        <v>11</v>
      </c>
      <c r="AW71" s="73">
        <f t="shared" si="3"/>
        <v>9</v>
      </c>
      <c r="AX71" s="73">
        <f t="shared" si="3"/>
        <v>9</v>
      </c>
      <c r="AY71" s="73">
        <f t="shared" si="3"/>
        <v>10</v>
      </c>
      <c r="AZ71" s="73">
        <f t="shared" si="3"/>
        <v>9</v>
      </c>
      <c r="BA71" s="73">
        <f t="shared" si="3"/>
        <v>12</v>
      </c>
      <c r="BB71" s="73">
        <f t="shared" si="3"/>
        <v>10</v>
      </c>
      <c r="BC71" s="73">
        <f t="shared" si="3"/>
        <v>10</v>
      </c>
      <c r="BD71" s="73">
        <f t="shared" si="3"/>
        <v>10</v>
      </c>
      <c r="BE71" s="73">
        <f t="shared" si="3"/>
        <v>11</v>
      </c>
      <c r="BF71" s="73">
        <f t="shared" si="3"/>
        <v>11</v>
      </c>
      <c r="BG71" s="73">
        <f t="shared" si="3"/>
        <v>11</v>
      </c>
      <c r="BH71" s="73">
        <f t="shared" si="3"/>
        <v>9</v>
      </c>
      <c r="BI71" s="73">
        <f t="shared" si="3"/>
        <v>8</v>
      </c>
      <c r="BJ71" s="73">
        <f t="shared" si="3"/>
        <v>8</v>
      </c>
      <c r="BK71" s="73">
        <f t="shared" si="3"/>
        <v>8</v>
      </c>
      <c r="BL71" s="73">
        <f t="shared" si="3"/>
        <v>7</v>
      </c>
      <c r="BM71" s="73">
        <f t="shared" si="3"/>
        <v>6</v>
      </c>
      <c r="BN71" s="73">
        <f t="shared" si="3"/>
        <v>5</v>
      </c>
      <c r="BO71" s="73">
        <f t="shared" ref="BO71:DZ71" si="4">SUM(BO5:BO70)</f>
        <v>5</v>
      </c>
      <c r="BP71" s="73">
        <f t="shared" si="4"/>
        <v>5</v>
      </c>
      <c r="BQ71" s="73">
        <f t="shared" si="4"/>
        <v>6</v>
      </c>
      <c r="BR71" s="73">
        <f t="shared" si="4"/>
        <v>7</v>
      </c>
      <c r="BS71" s="73">
        <f t="shared" si="4"/>
        <v>7</v>
      </c>
      <c r="BT71" s="73">
        <f t="shared" si="4"/>
        <v>7</v>
      </c>
      <c r="BU71" s="73">
        <f t="shared" si="4"/>
        <v>7</v>
      </c>
      <c r="BV71" s="73">
        <f t="shared" si="4"/>
        <v>5</v>
      </c>
      <c r="BW71" s="73">
        <f t="shared" si="4"/>
        <v>6</v>
      </c>
      <c r="BX71" s="73">
        <f t="shared" si="4"/>
        <v>8</v>
      </c>
      <c r="BY71" s="73">
        <f t="shared" si="4"/>
        <v>9</v>
      </c>
      <c r="BZ71" s="73">
        <f t="shared" si="4"/>
        <v>9</v>
      </c>
      <c r="CA71" s="73">
        <f t="shared" si="4"/>
        <v>14</v>
      </c>
      <c r="CB71" s="73">
        <f t="shared" si="4"/>
        <v>15</v>
      </c>
      <c r="CC71" s="73">
        <f t="shared" si="4"/>
        <v>15</v>
      </c>
      <c r="CD71" s="73">
        <f t="shared" si="4"/>
        <v>13</v>
      </c>
      <c r="CE71" s="73">
        <f t="shared" si="4"/>
        <v>14</v>
      </c>
      <c r="CF71" s="73">
        <f t="shared" si="4"/>
        <v>13</v>
      </c>
      <c r="CG71" s="73">
        <f t="shared" si="4"/>
        <v>11</v>
      </c>
      <c r="CH71" s="73">
        <f t="shared" si="4"/>
        <v>10</v>
      </c>
      <c r="CI71" s="73">
        <f t="shared" si="4"/>
        <v>9</v>
      </c>
      <c r="CJ71" s="73">
        <f t="shared" si="4"/>
        <v>10</v>
      </c>
      <c r="CK71" s="73">
        <f t="shared" si="4"/>
        <v>6</v>
      </c>
      <c r="CL71" s="73">
        <f t="shared" si="4"/>
        <v>6</v>
      </c>
      <c r="CM71" s="73">
        <f t="shared" si="4"/>
        <v>6</v>
      </c>
      <c r="CN71" s="73">
        <f t="shared" si="4"/>
        <v>4</v>
      </c>
      <c r="CO71" s="73">
        <f t="shared" si="4"/>
        <v>4</v>
      </c>
      <c r="CP71" s="73">
        <f t="shared" si="4"/>
        <v>4</v>
      </c>
      <c r="CQ71" s="73">
        <f t="shared" si="4"/>
        <v>7</v>
      </c>
      <c r="CR71" s="73">
        <f t="shared" si="4"/>
        <v>6</v>
      </c>
      <c r="CS71" s="73">
        <f t="shared" si="4"/>
        <v>8</v>
      </c>
      <c r="CT71" s="73">
        <f t="shared" si="4"/>
        <v>8</v>
      </c>
      <c r="CU71" s="73">
        <f t="shared" si="4"/>
        <v>6</v>
      </c>
      <c r="CV71" s="73">
        <f t="shared" si="4"/>
        <v>6</v>
      </c>
      <c r="CW71" s="73">
        <f t="shared" si="4"/>
        <v>6</v>
      </c>
      <c r="CX71" s="73">
        <f t="shared" si="4"/>
        <v>6</v>
      </c>
      <c r="CY71" s="73">
        <f t="shared" si="4"/>
        <v>7</v>
      </c>
      <c r="CZ71" s="73">
        <f t="shared" si="4"/>
        <v>8</v>
      </c>
      <c r="DA71" s="73">
        <f t="shared" si="4"/>
        <v>7</v>
      </c>
      <c r="DB71" s="73">
        <f t="shared" si="4"/>
        <v>8</v>
      </c>
      <c r="DC71" s="73">
        <f t="shared" si="4"/>
        <v>8</v>
      </c>
      <c r="DD71" s="73">
        <f t="shared" si="4"/>
        <v>6</v>
      </c>
      <c r="DE71" s="73">
        <f t="shared" si="4"/>
        <v>6</v>
      </c>
      <c r="DF71" s="73">
        <f t="shared" si="4"/>
        <v>6</v>
      </c>
      <c r="DG71" s="73">
        <f t="shared" si="4"/>
        <v>5</v>
      </c>
      <c r="DH71" s="73">
        <f t="shared" si="4"/>
        <v>5</v>
      </c>
      <c r="DI71" s="73">
        <f t="shared" si="4"/>
        <v>5</v>
      </c>
      <c r="DJ71" s="73">
        <f t="shared" si="4"/>
        <v>5</v>
      </c>
      <c r="DK71" s="73">
        <f t="shared" si="4"/>
        <v>3</v>
      </c>
      <c r="DL71" s="73">
        <f t="shared" si="4"/>
        <v>2</v>
      </c>
      <c r="DM71" s="73">
        <f t="shared" si="4"/>
        <v>5</v>
      </c>
      <c r="DN71" s="73">
        <f t="shared" si="4"/>
        <v>8</v>
      </c>
      <c r="DO71" s="73">
        <f t="shared" si="4"/>
        <v>7</v>
      </c>
      <c r="DP71" s="73">
        <f t="shared" si="4"/>
        <v>7</v>
      </c>
      <c r="DQ71" s="73">
        <f t="shared" si="4"/>
        <v>7</v>
      </c>
      <c r="DR71" s="73">
        <f t="shared" si="4"/>
        <v>7</v>
      </c>
      <c r="DS71" s="73">
        <f t="shared" si="4"/>
        <v>7</v>
      </c>
      <c r="DT71" s="73">
        <f t="shared" si="4"/>
        <v>9</v>
      </c>
      <c r="DU71" s="73">
        <f t="shared" si="4"/>
        <v>8</v>
      </c>
      <c r="DV71" s="73">
        <f t="shared" si="4"/>
        <v>6</v>
      </c>
      <c r="DW71" s="73">
        <f t="shared" si="4"/>
        <v>6</v>
      </c>
      <c r="DX71" s="73">
        <f t="shared" si="4"/>
        <v>4</v>
      </c>
      <c r="DY71" s="73">
        <f t="shared" si="4"/>
        <v>3</v>
      </c>
      <c r="DZ71" s="73">
        <f t="shared" si="4"/>
        <v>3</v>
      </c>
      <c r="EA71" s="73">
        <f t="shared" ref="EA71:GL71" si="5">SUM(EA5:EA70)</f>
        <v>4</v>
      </c>
      <c r="EB71" s="73">
        <f t="shared" si="5"/>
        <v>4</v>
      </c>
      <c r="EC71" s="73">
        <f t="shared" si="5"/>
        <v>4</v>
      </c>
      <c r="ED71" s="73">
        <f t="shared" si="5"/>
        <v>10</v>
      </c>
      <c r="EE71" s="73">
        <f t="shared" si="5"/>
        <v>20</v>
      </c>
      <c r="EF71" s="73">
        <f t="shared" si="5"/>
        <v>23</v>
      </c>
      <c r="EG71" s="73">
        <f t="shared" si="5"/>
        <v>20</v>
      </c>
      <c r="EH71" s="73">
        <f t="shared" si="5"/>
        <v>19</v>
      </c>
      <c r="EI71" s="73">
        <f t="shared" si="5"/>
        <v>20</v>
      </c>
      <c r="EJ71" s="73">
        <f t="shared" si="5"/>
        <v>18</v>
      </c>
      <c r="EK71" s="73">
        <f t="shared" si="5"/>
        <v>17</v>
      </c>
      <c r="EL71" s="73">
        <f t="shared" si="5"/>
        <v>16</v>
      </c>
      <c r="EM71" s="73">
        <f t="shared" si="5"/>
        <v>20</v>
      </c>
      <c r="EN71" s="73">
        <f t="shared" si="5"/>
        <v>21</v>
      </c>
      <c r="EO71" s="73">
        <f t="shared" si="5"/>
        <v>22</v>
      </c>
      <c r="EP71" s="73">
        <f t="shared" si="5"/>
        <v>21</v>
      </c>
      <c r="EQ71" s="73">
        <f t="shared" si="5"/>
        <v>19</v>
      </c>
      <c r="ER71" s="73">
        <f t="shared" si="5"/>
        <v>17</v>
      </c>
      <c r="ES71" s="73">
        <f t="shared" si="5"/>
        <v>17</v>
      </c>
      <c r="ET71" s="73">
        <f t="shared" si="5"/>
        <v>14</v>
      </c>
      <c r="EU71" s="73">
        <f t="shared" si="5"/>
        <v>13</v>
      </c>
      <c r="EV71" s="73">
        <f t="shared" si="5"/>
        <v>12</v>
      </c>
      <c r="EW71" s="73">
        <f t="shared" si="5"/>
        <v>11</v>
      </c>
      <c r="EX71" s="73">
        <f t="shared" si="5"/>
        <v>12</v>
      </c>
      <c r="EY71" s="73">
        <f t="shared" si="5"/>
        <v>10</v>
      </c>
      <c r="EZ71" s="73">
        <f t="shared" si="5"/>
        <v>6</v>
      </c>
      <c r="FA71" s="73">
        <f t="shared" si="5"/>
        <v>5</v>
      </c>
      <c r="FB71" s="73">
        <f t="shared" si="5"/>
        <v>4</v>
      </c>
      <c r="FC71" s="73">
        <f t="shared" si="5"/>
        <v>7</v>
      </c>
      <c r="FD71" s="73">
        <f t="shared" si="5"/>
        <v>5</v>
      </c>
      <c r="FE71" s="73">
        <f t="shared" si="5"/>
        <v>8</v>
      </c>
      <c r="FF71" s="73">
        <f t="shared" si="5"/>
        <v>4</v>
      </c>
      <c r="FG71" s="73">
        <f t="shared" si="5"/>
        <v>4</v>
      </c>
      <c r="FH71" s="73">
        <f t="shared" si="5"/>
        <v>6</v>
      </c>
      <c r="FI71" s="73">
        <f t="shared" si="5"/>
        <v>6</v>
      </c>
      <c r="FJ71" s="73">
        <f t="shared" si="5"/>
        <v>8</v>
      </c>
      <c r="FK71" s="73">
        <f t="shared" si="5"/>
        <v>5</v>
      </c>
      <c r="FL71" s="73">
        <f t="shared" si="5"/>
        <v>6</v>
      </c>
      <c r="FM71" s="73">
        <f t="shared" si="5"/>
        <v>4</v>
      </c>
      <c r="FN71" s="73">
        <f t="shared" si="5"/>
        <v>4</v>
      </c>
      <c r="FO71" s="73">
        <f t="shared" si="5"/>
        <v>4</v>
      </c>
      <c r="FP71" s="73">
        <f t="shared" si="5"/>
        <v>6</v>
      </c>
      <c r="FQ71" s="73">
        <f t="shared" si="5"/>
        <v>4</v>
      </c>
      <c r="FR71" s="73">
        <f t="shared" si="5"/>
        <v>3</v>
      </c>
      <c r="FS71" s="73">
        <f t="shared" si="5"/>
        <v>4</v>
      </c>
      <c r="FT71" s="73">
        <f t="shared" si="5"/>
        <v>4</v>
      </c>
      <c r="FU71" s="73">
        <f t="shared" si="5"/>
        <v>4</v>
      </c>
      <c r="FV71" s="73">
        <f t="shared" si="5"/>
        <v>4</v>
      </c>
      <c r="FW71" s="73">
        <f t="shared" si="5"/>
        <v>4</v>
      </c>
      <c r="FX71" s="73">
        <f t="shared" si="5"/>
        <v>2</v>
      </c>
      <c r="FY71" s="73">
        <f t="shared" si="5"/>
        <v>4</v>
      </c>
      <c r="FZ71" s="73">
        <f t="shared" si="5"/>
        <v>6</v>
      </c>
      <c r="GA71" s="73">
        <f t="shared" si="5"/>
        <v>6</v>
      </c>
      <c r="GB71" s="73">
        <f t="shared" si="5"/>
        <v>10</v>
      </c>
      <c r="GC71" s="73">
        <f t="shared" si="5"/>
        <v>14</v>
      </c>
      <c r="GD71" s="73">
        <f t="shared" si="5"/>
        <v>23</v>
      </c>
      <c r="GE71" s="73">
        <f t="shared" si="5"/>
        <v>21</v>
      </c>
      <c r="GF71" s="73">
        <f t="shared" si="5"/>
        <v>21</v>
      </c>
      <c r="GG71" s="73">
        <f t="shared" si="5"/>
        <v>25</v>
      </c>
      <c r="GH71" s="73">
        <f t="shared" si="5"/>
        <v>24</v>
      </c>
      <c r="GI71" s="73">
        <f t="shared" si="5"/>
        <v>22</v>
      </c>
      <c r="GJ71" s="73">
        <f t="shared" si="5"/>
        <v>23</v>
      </c>
      <c r="GK71" s="73">
        <f t="shared" si="5"/>
        <v>23</v>
      </c>
      <c r="GL71" s="73">
        <f t="shared" si="5"/>
        <v>20</v>
      </c>
      <c r="GM71" s="73">
        <f t="shared" ref="GM71:HI71" si="6">SUM(GM5:GM70)</f>
        <v>19</v>
      </c>
      <c r="GN71" s="73">
        <f t="shared" si="6"/>
        <v>18</v>
      </c>
      <c r="GO71" s="73">
        <f t="shared" si="6"/>
        <v>17</v>
      </c>
      <c r="GP71" s="73">
        <f t="shared" si="6"/>
        <v>13</v>
      </c>
      <c r="GQ71" s="73">
        <f t="shared" si="6"/>
        <v>12</v>
      </c>
      <c r="GR71" s="73">
        <f t="shared" si="6"/>
        <v>11</v>
      </c>
      <c r="GS71" s="73">
        <f t="shared" si="6"/>
        <v>8</v>
      </c>
      <c r="GT71" s="73">
        <f t="shared" si="6"/>
        <v>8</v>
      </c>
      <c r="GU71" s="73">
        <f t="shared" si="6"/>
        <v>11</v>
      </c>
      <c r="GV71" s="73">
        <f t="shared" si="6"/>
        <v>8</v>
      </c>
      <c r="GW71" s="73">
        <f t="shared" si="6"/>
        <v>9</v>
      </c>
      <c r="GX71" s="73">
        <f t="shared" si="6"/>
        <v>10</v>
      </c>
      <c r="GY71" s="73">
        <f t="shared" si="6"/>
        <v>10</v>
      </c>
      <c r="GZ71" s="73">
        <f t="shared" si="6"/>
        <v>10</v>
      </c>
      <c r="HA71" s="73">
        <f t="shared" si="6"/>
        <v>5</v>
      </c>
      <c r="HB71" s="73">
        <f t="shared" si="6"/>
        <v>5</v>
      </c>
      <c r="HC71" s="73">
        <f t="shared" si="6"/>
        <v>6</v>
      </c>
      <c r="HD71" s="73">
        <f t="shared" si="6"/>
        <v>6</v>
      </c>
      <c r="HE71" s="73">
        <f t="shared" si="6"/>
        <v>5</v>
      </c>
      <c r="HF71" s="73">
        <f t="shared" si="6"/>
        <v>4</v>
      </c>
      <c r="HG71" s="73">
        <f t="shared" si="6"/>
        <v>5</v>
      </c>
      <c r="HH71" s="73">
        <f t="shared" si="6"/>
        <v>3</v>
      </c>
      <c r="HI71" s="73">
        <f t="shared" si="6"/>
        <v>3</v>
      </c>
      <c r="HJ71" s="74"/>
      <c r="HK71" s="74"/>
      <c r="HL71" s="74"/>
      <c r="HM71" s="75"/>
      <c r="HN71" s="76"/>
      <c r="HO71" s="77">
        <f>SUM(HO5:HO70)</f>
        <v>93.04</v>
      </c>
      <c r="HP71" s="77">
        <f>SUM(HP5:HP70)</f>
        <v>89.24</v>
      </c>
      <c r="HQ71" s="77">
        <f>SUM(HQ5:HQ70)</f>
        <v>90.84831167914443</v>
      </c>
      <c r="HR71" s="74"/>
      <c r="HS71" s="61"/>
      <c r="HT71" s="61"/>
      <c r="HU71" s="61"/>
      <c r="HV71" s="61"/>
      <c r="HW71" s="61"/>
      <c r="HX71" s="61"/>
      <c r="HY71" s="61"/>
      <c r="HZ71" s="61"/>
      <c r="IA71" s="61"/>
      <c r="IB71" s="61"/>
      <c r="IC71" s="74"/>
      <c r="ID71" s="74"/>
      <c r="IE71" s="74"/>
      <c r="IF71" s="74"/>
      <c r="IG71" s="74"/>
      <c r="IH71" s="74"/>
      <c r="II71" s="74"/>
      <c r="IJ71" s="74"/>
      <c r="IK71" s="74"/>
      <c r="IL71" s="74"/>
      <c r="IM71" s="74"/>
    </row>
    <row r="72" spans="1:247" s="72" customFormat="1" ht="13.2" x14ac:dyDescent="0.25">
      <c r="A72" s="61" t="s">
        <v>7309</v>
      </c>
      <c r="C72" s="73">
        <v>0</v>
      </c>
      <c r="D72" s="73">
        <v>0</v>
      </c>
      <c r="E72" s="76">
        <v>11.764705882352942</v>
      </c>
      <c r="F72" s="76">
        <v>11.764705882352942</v>
      </c>
      <c r="G72" s="76">
        <v>11.764705882352942</v>
      </c>
      <c r="H72" s="76">
        <v>11.764705882352942</v>
      </c>
      <c r="I72" s="76">
        <v>11.764705882352942</v>
      </c>
      <c r="J72" s="76">
        <v>17.647058823529413</v>
      </c>
      <c r="K72" s="76">
        <v>11.764705882352942</v>
      </c>
      <c r="L72" s="76">
        <v>11.764705882352942</v>
      </c>
      <c r="M72" s="76">
        <v>11.764705882352942</v>
      </c>
      <c r="N72" s="76">
        <v>10.526315789473685</v>
      </c>
      <c r="O72" s="76">
        <v>26.315789473684209</v>
      </c>
      <c r="P72" s="76">
        <v>15.789473684210526</v>
      </c>
      <c r="Q72" s="76">
        <v>15.789473684210526</v>
      </c>
      <c r="R72" s="76">
        <v>5.2631578947368425</v>
      </c>
      <c r="S72" s="76">
        <v>5</v>
      </c>
      <c r="T72" s="76">
        <v>0</v>
      </c>
      <c r="U72" s="76">
        <v>0</v>
      </c>
      <c r="V72" s="76">
        <v>0</v>
      </c>
      <c r="W72" s="76">
        <v>4.5454545454545459</v>
      </c>
      <c r="X72" s="76">
        <v>0</v>
      </c>
      <c r="Y72" s="76">
        <v>0</v>
      </c>
      <c r="Z72" s="76">
        <v>0</v>
      </c>
      <c r="AA72" s="76">
        <v>3.3333333333333335</v>
      </c>
      <c r="AB72" s="76">
        <v>3.225806451612903</v>
      </c>
      <c r="AC72" s="76">
        <v>19.35483870967742</v>
      </c>
      <c r="AD72" s="76">
        <v>22.580645161290324</v>
      </c>
      <c r="AE72" s="76">
        <v>45.161290322580648</v>
      </c>
      <c r="AF72" s="76">
        <v>40.625</v>
      </c>
      <c r="AG72" s="76">
        <v>40</v>
      </c>
      <c r="AH72" s="76">
        <v>36.111111111111114</v>
      </c>
      <c r="AI72" s="76">
        <v>36.111111111111114</v>
      </c>
      <c r="AJ72" s="76">
        <v>38.888888888888886</v>
      </c>
      <c r="AK72" s="76">
        <v>38.888888888888886</v>
      </c>
      <c r="AL72" s="76">
        <v>36.111111111111114</v>
      </c>
      <c r="AM72" s="76">
        <v>36.111111111111114</v>
      </c>
      <c r="AN72" s="76">
        <v>41.666666666666664</v>
      </c>
      <c r="AO72" s="76">
        <v>41.666666666666664</v>
      </c>
      <c r="AP72" s="76">
        <v>44.444444444444443</v>
      </c>
      <c r="AQ72" s="76">
        <v>41.666666666666664</v>
      </c>
      <c r="AR72" s="76">
        <v>36.111111111111114</v>
      </c>
      <c r="AS72" s="76">
        <v>30.555555555555557</v>
      </c>
      <c r="AT72" s="76">
        <v>27.777777777777779</v>
      </c>
      <c r="AU72" s="76">
        <v>30.555555555555557</v>
      </c>
      <c r="AV72" s="76">
        <v>29.72972972972973</v>
      </c>
      <c r="AW72" s="76">
        <v>24.324324324324323</v>
      </c>
      <c r="AX72" s="76">
        <v>24.324324324324323</v>
      </c>
      <c r="AY72" s="76">
        <v>27.027027027027028</v>
      </c>
      <c r="AZ72" s="76">
        <v>24.324324324324323</v>
      </c>
      <c r="BA72" s="76">
        <v>32.432432432432435</v>
      </c>
      <c r="BB72" s="76">
        <v>27.027027027027028</v>
      </c>
      <c r="BC72" s="76">
        <v>27.027027027027028</v>
      </c>
      <c r="BD72" s="76">
        <v>27.027027027027028</v>
      </c>
      <c r="BE72" s="76">
        <v>29.72972972972973</v>
      </c>
      <c r="BF72" s="76">
        <v>29.72972972972973</v>
      </c>
      <c r="BG72" s="76">
        <v>29.72972972972973</v>
      </c>
      <c r="BH72" s="76">
        <v>24.324324324324323</v>
      </c>
      <c r="BI72" s="76">
        <v>21.621621621621621</v>
      </c>
      <c r="BJ72" s="76">
        <v>21.621621621621621</v>
      </c>
      <c r="BK72" s="76">
        <v>21.621621621621621</v>
      </c>
      <c r="BL72" s="76">
        <v>18.918918918918919</v>
      </c>
      <c r="BM72" s="76">
        <v>16.216216216216218</v>
      </c>
      <c r="BN72" s="76">
        <v>13.513513513513514</v>
      </c>
      <c r="BO72" s="76">
        <v>13.513513513513514</v>
      </c>
      <c r="BP72" s="76">
        <v>13.513513513513514</v>
      </c>
      <c r="BQ72" s="76">
        <v>16.216216216216218</v>
      </c>
      <c r="BR72" s="76">
        <v>18.421052631578949</v>
      </c>
      <c r="BS72" s="76">
        <v>18.421052631578949</v>
      </c>
      <c r="BT72" s="76">
        <v>18.421052631578949</v>
      </c>
      <c r="BU72" s="76">
        <v>18.421052631578949</v>
      </c>
      <c r="BV72" s="76">
        <v>13.157894736842104</v>
      </c>
      <c r="BW72" s="76">
        <v>15.789473684210526</v>
      </c>
      <c r="BX72" s="76">
        <v>21.05263157894737</v>
      </c>
      <c r="BY72" s="76">
        <v>23.684210526315791</v>
      </c>
      <c r="BZ72" s="76">
        <v>23.684210526315791</v>
      </c>
      <c r="CA72" s="76">
        <v>36.842105263157897</v>
      </c>
      <c r="CB72" s="76">
        <v>39.473684210526315</v>
      </c>
      <c r="CC72" s="76">
        <v>38.46153846153846</v>
      </c>
      <c r="CD72" s="76">
        <v>33.333333333333336</v>
      </c>
      <c r="CE72" s="76">
        <v>35.897435897435898</v>
      </c>
      <c r="CF72" s="76">
        <v>33.333333333333336</v>
      </c>
      <c r="CG72" s="76">
        <v>28.205128205128204</v>
      </c>
      <c r="CH72" s="76">
        <v>25.641025641025642</v>
      </c>
      <c r="CI72" s="76">
        <v>23.076923076923077</v>
      </c>
      <c r="CJ72" s="76">
        <v>25.641025641025642</v>
      </c>
      <c r="CK72" s="76">
        <v>15.384615384615385</v>
      </c>
      <c r="CL72" s="76">
        <v>15.384615384615385</v>
      </c>
      <c r="CM72" s="76">
        <v>15.384615384615385</v>
      </c>
      <c r="CN72" s="76">
        <v>10.256410256410257</v>
      </c>
      <c r="CO72" s="76">
        <v>10.256410256410257</v>
      </c>
      <c r="CP72" s="76">
        <v>10.256410256410257</v>
      </c>
      <c r="CQ72" s="76">
        <v>17.948717948717949</v>
      </c>
      <c r="CR72" s="76">
        <v>15.384615384615385</v>
      </c>
      <c r="CS72" s="76">
        <v>20.512820512820515</v>
      </c>
      <c r="CT72" s="76">
        <v>20.512820512820515</v>
      </c>
      <c r="CU72" s="76">
        <v>15.384615384615385</v>
      </c>
      <c r="CV72" s="76">
        <v>15.384615384615385</v>
      </c>
      <c r="CW72" s="76">
        <v>15.384615384615385</v>
      </c>
      <c r="CX72" s="76">
        <v>15.384615384615385</v>
      </c>
      <c r="CY72" s="76">
        <v>17.948717948717949</v>
      </c>
      <c r="CZ72" s="76">
        <v>20</v>
      </c>
      <c r="DA72" s="76">
        <v>17.5</v>
      </c>
      <c r="DB72" s="76">
        <v>19.512195121951219</v>
      </c>
      <c r="DC72" s="76">
        <v>19.512195121951219</v>
      </c>
      <c r="DD72" s="76">
        <v>14.285714285714286</v>
      </c>
      <c r="DE72" s="76">
        <v>14.285714285714286</v>
      </c>
      <c r="DF72" s="76">
        <v>13.953488372093023</v>
      </c>
      <c r="DG72" s="76">
        <v>11.627906976744185</v>
      </c>
      <c r="DH72" s="76">
        <v>11.627906976744185</v>
      </c>
      <c r="DI72" s="76">
        <v>11.363636363636363</v>
      </c>
      <c r="DJ72" s="76">
        <v>11.363636363636363</v>
      </c>
      <c r="DK72" s="76">
        <v>6.8181818181818183</v>
      </c>
      <c r="DL72" s="76">
        <v>4.5454545454545459</v>
      </c>
      <c r="DM72" s="76">
        <v>11.363636363636363</v>
      </c>
      <c r="DN72" s="76">
        <v>18.181818181818183</v>
      </c>
      <c r="DO72" s="76">
        <v>15.909090909090908</v>
      </c>
      <c r="DP72" s="76">
        <v>15.555555555555555</v>
      </c>
      <c r="DQ72" s="76">
        <v>14.893617021276595</v>
      </c>
      <c r="DR72" s="76">
        <v>14.893617021276595</v>
      </c>
      <c r="DS72" s="76">
        <v>14.893617021276595</v>
      </c>
      <c r="DT72" s="76">
        <v>19.148936170212767</v>
      </c>
      <c r="DU72" s="76">
        <v>17.021276595744681</v>
      </c>
      <c r="DV72" s="76">
        <v>12.76595744680851</v>
      </c>
      <c r="DW72" s="76">
        <v>12.76595744680851</v>
      </c>
      <c r="DX72" s="76">
        <v>8.5106382978723403</v>
      </c>
      <c r="DY72" s="76">
        <v>6.3829787234042552</v>
      </c>
      <c r="DZ72" s="76">
        <v>6.3829787234042552</v>
      </c>
      <c r="EA72" s="76">
        <v>8.5106382978723403</v>
      </c>
      <c r="EB72" s="76">
        <v>8.5106382978723403</v>
      </c>
      <c r="EC72" s="76">
        <v>8.5106382978723403</v>
      </c>
      <c r="ED72" s="76">
        <v>21.276595744680851</v>
      </c>
      <c r="EE72" s="76">
        <v>42.553191489361701</v>
      </c>
      <c r="EF72" s="76">
        <v>48.936170212765958</v>
      </c>
      <c r="EG72" s="76">
        <v>42.553191489361701</v>
      </c>
      <c r="EH72" s="76">
        <v>40.425531914893618</v>
      </c>
      <c r="EI72" s="76">
        <v>42.553191489361701</v>
      </c>
      <c r="EJ72" s="76">
        <v>38.297872340425535</v>
      </c>
      <c r="EK72" s="76">
        <v>36.170212765957444</v>
      </c>
      <c r="EL72" s="76">
        <v>34.042553191489361</v>
      </c>
      <c r="EM72" s="76">
        <v>42.553191489361701</v>
      </c>
      <c r="EN72" s="76">
        <v>44.680851063829785</v>
      </c>
      <c r="EO72" s="76">
        <v>46.808510638297875</v>
      </c>
      <c r="EP72" s="76">
        <v>44.680851063829785</v>
      </c>
      <c r="EQ72" s="76">
        <v>40.425531914893618</v>
      </c>
      <c r="ER72" s="76">
        <v>35.416666666666664</v>
      </c>
      <c r="ES72" s="76">
        <v>34.693877551020407</v>
      </c>
      <c r="ET72" s="76">
        <v>28</v>
      </c>
      <c r="EU72" s="76">
        <v>25</v>
      </c>
      <c r="EV72" s="76">
        <v>22.222222222222221</v>
      </c>
      <c r="EW72" s="76">
        <v>20.37037037037037</v>
      </c>
      <c r="EX72" s="76">
        <v>22.222222222222221</v>
      </c>
      <c r="EY72" s="76">
        <v>18.518518518518519</v>
      </c>
      <c r="EZ72" s="76">
        <v>11.111111111111111</v>
      </c>
      <c r="FA72" s="76">
        <v>9.2592592592592595</v>
      </c>
      <c r="FB72" s="76">
        <v>7.4074074074074074</v>
      </c>
      <c r="FC72" s="76">
        <v>12.727272727272727</v>
      </c>
      <c r="FD72" s="76">
        <v>8.9285714285714288</v>
      </c>
      <c r="FE72" s="76">
        <v>14.285714285714286</v>
      </c>
      <c r="FF72" s="76">
        <v>7.1428571428571432</v>
      </c>
      <c r="FG72" s="76">
        <v>6.7796610169491522</v>
      </c>
      <c r="FH72" s="76">
        <v>10.169491525423728</v>
      </c>
      <c r="FI72" s="76">
        <v>10</v>
      </c>
      <c r="FJ72" s="76">
        <v>13.114754098360656</v>
      </c>
      <c r="FK72" s="76">
        <v>8.064516129032258</v>
      </c>
      <c r="FL72" s="76">
        <v>9.375</v>
      </c>
      <c r="FM72" s="76">
        <v>6.25</v>
      </c>
      <c r="FN72" s="76">
        <v>6.25</v>
      </c>
      <c r="FO72" s="76">
        <v>6.1538461538461542</v>
      </c>
      <c r="FP72" s="76">
        <v>9.2307692307692299</v>
      </c>
      <c r="FQ72" s="76">
        <v>6.1538461538461542</v>
      </c>
      <c r="FR72" s="76">
        <v>4.615384615384615</v>
      </c>
      <c r="FS72" s="76">
        <v>6.1538461538461542</v>
      </c>
      <c r="FT72" s="76">
        <v>6.1538461538461542</v>
      </c>
      <c r="FU72" s="76">
        <v>6.1538461538461542</v>
      </c>
      <c r="FV72" s="76">
        <v>6.0606060606060606</v>
      </c>
      <c r="FW72" s="76">
        <v>6.0606060606060606</v>
      </c>
      <c r="FX72" s="76">
        <v>3.0303030303030303</v>
      </c>
      <c r="FY72" s="76">
        <v>6.0606060606060606</v>
      </c>
      <c r="FZ72" s="76">
        <v>9.0909090909090917</v>
      </c>
      <c r="GA72" s="76">
        <v>9.0909090909090917</v>
      </c>
      <c r="GB72" s="76">
        <v>15.151515151515152</v>
      </c>
      <c r="GC72" s="76">
        <v>21.212121212121211</v>
      </c>
      <c r="GD72" s="76">
        <v>34.848484848484851</v>
      </c>
      <c r="GE72" s="76">
        <v>31.818181818181817</v>
      </c>
      <c r="GF72" s="76">
        <v>31.818181818181817</v>
      </c>
      <c r="GG72" s="76">
        <v>37.878787878787875</v>
      </c>
      <c r="GH72" s="76">
        <v>36.363636363636367</v>
      </c>
      <c r="GI72" s="76">
        <v>33.333333333333336</v>
      </c>
      <c r="GJ72" s="76">
        <v>34.848484848484851</v>
      </c>
      <c r="GK72" s="76">
        <v>34.848484848484851</v>
      </c>
      <c r="GL72" s="76">
        <v>30.303030303030305</v>
      </c>
      <c r="GM72" s="76">
        <v>28.787878787878789</v>
      </c>
      <c r="GN72" s="76">
        <v>27.272727272727273</v>
      </c>
      <c r="GO72" s="76">
        <v>25.757575757575758</v>
      </c>
      <c r="GP72" s="76">
        <v>19.696969696969695</v>
      </c>
      <c r="GQ72" s="76">
        <v>18.181818181818183</v>
      </c>
      <c r="GR72" s="76">
        <v>16.666666666666668</v>
      </c>
      <c r="GS72" s="76">
        <v>12.121212121212121</v>
      </c>
      <c r="GT72" s="76">
        <v>12.121212121212121</v>
      </c>
      <c r="GU72" s="76">
        <v>16.666666666666668</v>
      </c>
      <c r="GV72" s="76">
        <v>12.121212121212121</v>
      </c>
      <c r="GW72" s="76">
        <v>13.636363636363637</v>
      </c>
      <c r="GX72" s="76">
        <v>15.151515151515152</v>
      </c>
      <c r="GY72" s="76">
        <v>15.151515151515152</v>
      </c>
      <c r="GZ72" s="76">
        <v>15.151515151515152</v>
      </c>
      <c r="HA72" s="76">
        <v>7.5757575757575761</v>
      </c>
      <c r="HB72" s="76">
        <v>7.5757575757575761</v>
      </c>
      <c r="HC72" s="76">
        <v>9.0909090909090917</v>
      </c>
      <c r="HD72" s="76">
        <v>9.0909090909090917</v>
      </c>
      <c r="HE72" s="76">
        <v>7.5757575757575761</v>
      </c>
      <c r="HF72" s="76">
        <v>6.0606060606060606</v>
      </c>
      <c r="HG72" s="76">
        <v>7.5757575757575761</v>
      </c>
      <c r="HH72" s="76">
        <v>4.5454545454545459</v>
      </c>
      <c r="HI72" s="76">
        <v>4.5454545454545459</v>
      </c>
      <c r="HJ72" s="74"/>
      <c r="HK72" s="74"/>
      <c r="HL72" s="74"/>
      <c r="HM72" s="75"/>
      <c r="HN72" s="76"/>
      <c r="HO72" s="78"/>
      <c r="HP72" s="78"/>
      <c r="HQ72" s="74"/>
      <c r="HR72" s="74"/>
      <c r="HS72" s="61"/>
      <c r="HT72" s="61"/>
      <c r="HU72" s="61"/>
      <c r="HV72" s="61"/>
      <c r="HW72" s="61"/>
      <c r="HX72" s="61"/>
      <c r="HY72" s="61"/>
      <c r="HZ72" s="61"/>
      <c r="IA72" s="61"/>
      <c r="IB72" s="61"/>
      <c r="IC72" s="74"/>
      <c r="ID72" s="74"/>
      <c r="IE72" s="74"/>
      <c r="IF72" s="74"/>
      <c r="IG72" s="74"/>
      <c r="IH72" s="74"/>
      <c r="II72" s="74"/>
      <c r="IJ72" s="74"/>
      <c r="IK72" s="74"/>
      <c r="IL72" s="74"/>
      <c r="IM72" s="74"/>
    </row>
    <row r="73" spans="1:247" s="72" customFormat="1" ht="13.2" x14ac:dyDescent="0.2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  <c r="EP73" s="61"/>
      <c r="EQ73" s="61"/>
      <c r="ER73" s="61"/>
      <c r="ES73" s="61"/>
      <c r="ET73" s="61"/>
      <c r="EU73" s="61"/>
      <c r="EV73" s="61"/>
      <c r="EW73" s="61"/>
      <c r="EX73" s="61"/>
      <c r="EY73" s="61"/>
      <c r="EZ73" s="61"/>
      <c r="FA73" s="61"/>
      <c r="FB73" s="61"/>
      <c r="FC73" s="61"/>
      <c r="FD73" s="61"/>
      <c r="FE73" s="61"/>
      <c r="FF73" s="61"/>
      <c r="FG73" s="61"/>
      <c r="FH73" s="61"/>
      <c r="FI73" s="61"/>
      <c r="FJ73" s="61"/>
      <c r="FK73" s="61"/>
      <c r="FL73" s="61"/>
      <c r="FM73" s="61"/>
      <c r="FN73" s="61"/>
      <c r="FO73" s="61"/>
      <c r="FP73" s="61"/>
      <c r="FQ73" s="61"/>
      <c r="FR73" s="61"/>
      <c r="FS73" s="61"/>
      <c r="FT73" s="61"/>
      <c r="FU73" s="61"/>
      <c r="FV73" s="61"/>
      <c r="FW73" s="61"/>
      <c r="FX73" s="61"/>
      <c r="FY73" s="61"/>
      <c r="FZ73" s="61"/>
      <c r="GA73" s="61"/>
      <c r="GB73" s="61"/>
      <c r="GC73" s="61"/>
      <c r="GD73" s="61"/>
      <c r="GE73" s="61"/>
      <c r="GF73" s="61"/>
      <c r="GG73" s="61"/>
      <c r="GH73" s="61"/>
      <c r="GI73" s="61"/>
      <c r="GJ73" s="61"/>
      <c r="GK73" s="61"/>
      <c r="GL73" s="61"/>
      <c r="GM73" s="61"/>
      <c r="GN73" s="61"/>
      <c r="GO73" s="61"/>
      <c r="GP73" s="61"/>
      <c r="GQ73" s="61"/>
      <c r="GR73" s="61"/>
      <c r="GS73" s="61"/>
      <c r="GT73" s="61"/>
      <c r="GU73" s="61"/>
      <c r="GV73" s="61"/>
      <c r="GW73" s="61"/>
      <c r="GX73" s="61"/>
      <c r="GY73" s="61"/>
      <c r="GZ73" s="61"/>
      <c r="HA73" s="61"/>
      <c r="HB73" s="61"/>
      <c r="HC73" s="61"/>
      <c r="HD73" s="61"/>
      <c r="HE73" s="61"/>
      <c r="HF73" s="61"/>
      <c r="HG73" s="61"/>
      <c r="HH73" s="61"/>
      <c r="HI73" s="61"/>
      <c r="HJ73" s="61"/>
      <c r="HK73" s="61"/>
      <c r="HL73" s="61"/>
      <c r="HM73" s="61"/>
      <c r="HN73" s="61"/>
      <c r="HO73" s="61"/>
      <c r="HP73" s="61"/>
      <c r="HQ73" s="61"/>
      <c r="HR73" s="61"/>
      <c r="HS73" s="61"/>
      <c r="HT73" s="61"/>
      <c r="HU73" s="61"/>
      <c r="HV73" s="61"/>
      <c r="HW73" s="61"/>
      <c r="HX73" s="61"/>
      <c r="HY73" s="61"/>
      <c r="HZ73" s="61"/>
      <c r="IA73" s="61"/>
      <c r="IB73" s="61"/>
      <c r="IC73" s="74"/>
      <c r="ID73" s="74"/>
      <c r="IE73" s="74"/>
      <c r="IF73" s="74"/>
      <c r="IG73" s="74"/>
      <c r="IH73" s="74"/>
      <c r="II73" s="74"/>
      <c r="IJ73" s="74"/>
      <c r="IK73" s="74"/>
      <c r="IL73" s="74"/>
      <c r="IM73" s="74"/>
    </row>
    <row r="74" spans="1:247" x14ac:dyDescent="0.3">
      <c r="A74" s="62" t="s">
        <v>7310</v>
      </c>
      <c r="GU74" s="63"/>
      <c r="GV74" s="63"/>
      <c r="GW74" s="63"/>
      <c r="GX74" s="63"/>
      <c r="GY74" s="63"/>
      <c r="GZ74" s="63"/>
      <c r="HA74" s="63"/>
      <c r="HB74" s="63"/>
      <c r="HC74" s="63"/>
      <c r="HD74" s="63"/>
      <c r="HE74" s="63"/>
      <c r="HF74" s="63"/>
      <c r="HG74" s="63"/>
      <c r="HH74" s="63"/>
      <c r="HI74" s="63"/>
      <c r="HJ74" s="63"/>
      <c r="HK74" s="63"/>
      <c r="HM74" s="67"/>
      <c r="HN74" s="67"/>
      <c r="HO74" s="68"/>
      <c r="HP74" s="68"/>
    </row>
    <row r="75" spans="1:247" x14ac:dyDescent="0.3">
      <c r="A75" s="62" t="s">
        <v>7227</v>
      </c>
      <c r="B75" s="63" t="s">
        <v>7311</v>
      </c>
      <c r="C75" s="61">
        <v>0</v>
      </c>
      <c r="D75" s="61">
        <v>0</v>
      </c>
      <c r="E75" s="61">
        <v>0</v>
      </c>
      <c r="F75" s="61">
        <v>0</v>
      </c>
      <c r="G75" s="61">
        <v>0</v>
      </c>
      <c r="H75" s="61">
        <v>0</v>
      </c>
      <c r="I75" s="61">
        <v>0</v>
      </c>
      <c r="J75" s="61">
        <v>0</v>
      </c>
      <c r="K75" s="61">
        <v>0</v>
      </c>
      <c r="L75" s="61">
        <v>0</v>
      </c>
      <c r="M75" s="61">
        <v>0</v>
      </c>
      <c r="N75" s="61">
        <v>0</v>
      </c>
      <c r="O75" s="61">
        <v>0</v>
      </c>
      <c r="P75" s="61">
        <v>0</v>
      </c>
      <c r="Q75" s="61">
        <v>0</v>
      </c>
      <c r="R75" s="61">
        <v>0</v>
      </c>
      <c r="S75" s="61">
        <v>0</v>
      </c>
      <c r="T75" s="61">
        <v>0</v>
      </c>
      <c r="U75" s="61">
        <v>0</v>
      </c>
      <c r="V75" s="61">
        <v>0</v>
      </c>
      <c r="W75" s="61">
        <v>0</v>
      </c>
      <c r="X75" s="61">
        <v>0</v>
      </c>
      <c r="Y75" s="61">
        <v>0</v>
      </c>
      <c r="Z75" s="61">
        <v>0</v>
      </c>
      <c r="AA75" s="61">
        <v>0</v>
      </c>
      <c r="AB75" s="61">
        <v>0</v>
      </c>
      <c r="AC75" s="61">
        <v>0</v>
      </c>
      <c r="AD75" s="61">
        <v>0</v>
      </c>
      <c r="AE75" s="61">
        <v>0</v>
      </c>
      <c r="AF75" s="61">
        <v>0</v>
      </c>
      <c r="AG75" s="61">
        <v>0</v>
      </c>
      <c r="AH75" s="61">
        <v>0</v>
      </c>
      <c r="AI75" s="61">
        <v>0</v>
      </c>
      <c r="AJ75" s="61">
        <v>0</v>
      </c>
      <c r="AK75" s="61">
        <v>0</v>
      </c>
      <c r="AL75" s="61">
        <v>0</v>
      </c>
      <c r="AM75" s="61">
        <v>0</v>
      </c>
      <c r="AN75" s="61">
        <v>0</v>
      </c>
      <c r="AO75" s="61">
        <v>0</v>
      </c>
      <c r="AP75" s="61">
        <v>0</v>
      </c>
      <c r="AQ75" s="61">
        <v>0</v>
      </c>
      <c r="AR75" s="61">
        <v>0</v>
      </c>
      <c r="AS75" s="61">
        <v>0</v>
      </c>
      <c r="AT75" s="61">
        <v>0</v>
      </c>
      <c r="AU75" s="61">
        <v>0</v>
      </c>
      <c r="AV75" s="61">
        <v>0</v>
      </c>
      <c r="AW75" s="61">
        <v>0</v>
      </c>
      <c r="AX75" s="61">
        <v>0</v>
      </c>
      <c r="AY75" s="61">
        <v>0</v>
      </c>
      <c r="AZ75" s="61">
        <v>0</v>
      </c>
      <c r="BA75" s="61">
        <v>0</v>
      </c>
      <c r="BB75" s="61">
        <v>0</v>
      </c>
      <c r="BC75" s="61">
        <v>0</v>
      </c>
      <c r="BD75" s="61">
        <v>0</v>
      </c>
      <c r="BE75" s="61">
        <v>0</v>
      </c>
      <c r="BF75" s="61">
        <v>0</v>
      </c>
      <c r="BG75" s="61">
        <v>0</v>
      </c>
      <c r="BH75" s="61">
        <v>0</v>
      </c>
      <c r="BI75" s="61">
        <v>0</v>
      </c>
      <c r="BJ75" s="61">
        <v>0</v>
      </c>
      <c r="BK75" s="61">
        <v>0</v>
      </c>
      <c r="BL75" s="61">
        <v>0</v>
      </c>
      <c r="BM75" s="61">
        <v>0</v>
      </c>
      <c r="BN75" s="61">
        <v>0</v>
      </c>
      <c r="BO75" s="61">
        <v>0</v>
      </c>
      <c r="BP75" s="61">
        <v>0</v>
      </c>
      <c r="BQ75" s="61">
        <v>0</v>
      </c>
      <c r="BR75" s="61">
        <v>0</v>
      </c>
      <c r="BS75" s="61">
        <v>0</v>
      </c>
      <c r="BT75" s="61">
        <v>0</v>
      </c>
      <c r="BU75" s="61">
        <v>0</v>
      </c>
      <c r="BV75" s="61">
        <v>0</v>
      </c>
      <c r="BW75" s="61">
        <v>0</v>
      </c>
      <c r="BX75" s="61">
        <v>0</v>
      </c>
      <c r="BY75" s="61">
        <v>0</v>
      </c>
      <c r="BZ75" s="61">
        <v>0</v>
      </c>
      <c r="CA75" s="61">
        <v>0</v>
      </c>
      <c r="CB75" s="61">
        <v>0</v>
      </c>
      <c r="CC75" s="61">
        <v>0</v>
      </c>
      <c r="CD75" s="61">
        <v>0</v>
      </c>
      <c r="CE75" s="61">
        <v>0</v>
      </c>
      <c r="CF75" s="61">
        <v>0</v>
      </c>
      <c r="CG75" s="61">
        <v>0</v>
      </c>
      <c r="CH75" s="61">
        <v>0</v>
      </c>
      <c r="CI75" s="61">
        <v>0</v>
      </c>
      <c r="CJ75" s="61">
        <v>0</v>
      </c>
      <c r="CK75" s="61">
        <v>0</v>
      </c>
      <c r="CL75" s="61">
        <v>0</v>
      </c>
      <c r="CM75" s="61">
        <v>0</v>
      </c>
      <c r="CN75" s="61">
        <v>0</v>
      </c>
      <c r="CO75" s="61">
        <v>0</v>
      </c>
      <c r="CP75" s="61">
        <v>0</v>
      </c>
      <c r="CQ75" s="61">
        <v>0</v>
      </c>
      <c r="CR75" s="61">
        <v>0</v>
      </c>
      <c r="CS75" s="61">
        <v>0</v>
      </c>
      <c r="CT75" s="61">
        <v>0</v>
      </c>
      <c r="CU75" s="61">
        <v>0</v>
      </c>
      <c r="CV75" s="61">
        <v>0</v>
      </c>
      <c r="CW75" s="61">
        <v>0</v>
      </c>
      <c r="CX75" s="61">
        <v>0</v>
      </c>
      <c r="CY75" s="61">
        <v>0</v>
      </c>
      <c r="CZ75" s="61">
        <v>0</v>
      </c>
      <c r="DA75" s="61">
        <v>0</v>
      </c>
      <c r="DB75" s="61">
        <v>0</v>
      </c>
      <c r="DC75" s="61">
        <v>0</v>
      </c>
      <c r="DD75" s="61">
        <v>0</v>
      </c>
      <c r="DE75" s="61">
        <v>0</v>
      </c>
      <c r="DF75" s="61">
        <v>0</v>
      </c>
      <c r="DG75" s="61">
        <v>0</v>
      </c>
      <c r="DH75" s="61">
        <v>0</v>
      </c>
      <c r="DI75" s="61">
        <v>0</v>
      </c>
      <c r="DJ75" s="61">
        <v>0</v>
      </c>
      <c r="DK75" s="61">
        <v>0</v>
      </c>
      <c r="DL75" s="61">
        <v>0</v>
      </c>
      <c r="DM75" s="61">
        <v>0</v>
      </c>
      <c r="DN75" s="61">
        <v>0</v>
      </c>
      <c r="DO75" s="61">
        <v>0</v>
      </c>
      <c r="DP75" s="61">
        <v>0</v>
      </c>
      <c r="DQ75" s="61">
        <v>0</v>
      </c>
      <c r="DR75" s="61">
        <v>0</v>
      </c>
      <c r="DS75" s="61">
        <v>0</v>
      </c>
      <c r="DT75" s="61">
        <v>0</v>
      </c>
      <c r="DU75" s="61">
        <v>0</v>
      </c>
      <c r="DV75" s="61">
        <v>0</v>
      </c>
      <c r="DW75" s="61">
        <v>0</v>
      </c>
      <c r="DX75" s="61">
        <v>0</v>
      </c>
      <c r="DY75" s="61">
        <v>0</v>
      </c>
      <c r="DZ75" s="61">
        <v>0</v>
      </c>
      <c r="EA75" s="61">
        <v>0</v>
      </c>
      <c r="EB75" s="61">
        <v>0</v>
      </c>
      <c r="EC75" s="61">
        <v>0</v>
      </c>
      <c r="ED75" s="61">
        <v>0</v>
      </c>
      <c r="EE75" s="61">
        <v>0</v>
      </c>
      <c r="EF75" s="61">
        <v>0</v>
      </c>
      <c r="EG75" s="61">
        <v>0</v>
      </c>
      <c r="EH75" s="61">
        <v>0</v>
      </c>
      <c r="EI75" s="61">
        <v>0</v>
      </c>
      <c r="EJ75" s="61">
        <v>0</v>
      </c>
      <c r="EK75" s="61">
        <v>0</v>
      </c>
      <c r="EL75" s="61">
        <v>0</v>
      </c>
      <c r="EM75" s="61">
        <v>0</v>
      </c>
      <c r="EN75" s="61">
        <v>0</v>
      </c>
      <c r="EO75" s="61">
        <v>0</v>
      </c>
      <c r="EP75" s="61">
        <v>0</v>
      </c>
      <c r="EQ75" s="61">
        <v>0</v>
      </c>
      <c r="ER75" s="61">
        <v>0</v>
      </c>
      <c r="ES75" s="61">
        <v>0</v>
      </c>
      <c r="ET75" s="61">
        <v>0</v>
      </c>
      <c r="EU75" s="61">
        <v>0</v>
      </c>
      <c r="EV75" s="61">
        <v>0</v>
      </c>
      <c r="EW75" s="61">
        <v>0</v>
      </c>
      <c r="EX75" s="61">
        <v>0</v>
      </c>
      <c r="EY75" s="61">
        <v>0</v>
      </c>
      <c r="EZ75" s="61">
        <v>0</v>
      </c>
      <c r="FA75" s="61">
        <v>0</v>
      </c>
      <c r="FB75" s="61">
        <v>0</v>
      </c>
      <c r="FC75" s="61">
        <v>0</v>
      </c>
      <c r="FD75" s="61">
        <v>0</v>
      </c>
      <c r="FE75" s="65">
        <v>0</v>
      </c>
      <c r="FF75" s="61">
        <v>0</v>
      </c>
      <c r="FG75" s="61">
        <v>0</v>
      </c>
      <c r="FH75" s="61">
        <v>0</v>
      </c>
      <c r="FI75" s="61">
        <v>0</v>
      </c>
      <c r="FJ75" s="61">
        <v>0</v>
      </c>
      <c r="FK75" s="61">
        <v>0</v>
      </c>
      <c r="FL75" s="61">
        <v>0</v>
      </c>
      <c r="FM75" s="61">
        <v>0</v>
      </c>
      <c r="FN75" s="61">
        <v>0</v>
      </c>
      <c r="FO75" s="61">
        <v>0</v>
      </c>
      <c r="FP75" s="61">
        <v>0</v>
      </c>
      <c r="FQ75" s="61">
        <v>0</v>
      </c>
      <c r="FR75" s="61">
        <v>0</v>
      </c>
      <c r="FS75" s="61">
        <v>0</v>
      </c>
      <c r="FT75" s="61">
        <v>0</v>
      </c>
      <c r="FU75" s="61">
        <v>0</v>
      </c>
      <c r="FV75" s="61">
        <v>0</v>
      </c>
      <c r="FW75" s="61">
        <v>0</v>
      </c>
      <c r="FX75" s="61">
        <v>0</v>
      </c>
      <c r="FY75" s="61">
        <v>0</v>
      </c>
      <c r="FZ75" s="61">
        <v>0</v>
      </c>
      <c r="GA75" s="61">
        <v>0</v>
      </c>
      <c r="GB75" s="61">
        <v>0</v>
      </c>
      <c r="GC75" s="61">
        <v>0</v>
      </c>
      <c r="GD75" s="66">
        <v>1</v>
      </c>
      <c r="GE75" s="66">
        <v>1</v>
      </c>
      <c r="GF75" s="66">
        <v>1</v>
      </c>
      <c r="GG75" s="66">
        <v>1</v>
      </c>
      <c r="GH75" s="66">
        <v>1</v>
      </c>
      <c r="GI75" s="66">
        <v>1</v>
      </c>
      <c r="GJ75" s="66">
        <v>1</v>
      </c>
      <c r="GK75" s="66">
        <v>1</v>
      </c>
      <c r="GL75" s="66">
        <v>1</v>
      </c>
      <c r="GM75" s="66">
        <v>1</v>
      </c>
      <c r="GN75" s="66">
        <v>1</v>
      </c>
      <c r="GO75" s="66">
        <v>1</v>
      </c>
      <c r="GP75" s="66">
        <v>1</v>
      </c>
      <c r="GQ75" s="66">
        <v>1</v>
      </c>
      <c r="GR75" s="61">
        <v>0</v>
      </c>
      <c r="GS75" s="61">
        <v>0</v>
      </c>
      <c r="GT75" s="61">
        <v>0</v>
      </c>
      <c r="GU75" s="63">
        <v>0</v>
      </c>
      <c r="GV75" s="63">
        <v>0</v>
      </c>
      <c r="GW75" s="63">
        <v>0</v>
      </c>
      <c r="GX75" s="63">
        <v>0</v>
      </c>
      <c r="GY75" s="63">
        <v>0</v>
      </c>
      <c r="GZ75" s="63">
        <v>0</v>
      </c>
      <c r="HA75" s="63">
        <v>0</v>
      </c>
      <c r="HB75" s="63">
        <v>0</v>
      </c>
      <c r="HC75" s="63">
        <v>0</v>
      </c>
      <c r="HD75" s="63">
        <v>0</v>
      </c>
      <c r="HE75" s="63">
        <v>0</v>
      </c>
      <c r="HF75" s="63">
        <v>0</v>
      </c>
      <c r="HG75" s="63">
        <v>0</v>
      </c>
      <c r="HH75" s="63"/>
      <c r="HI75" s="63"/>
      <c r="HJ75" s="63">
        <v>1958</v>
      </c>
      <c r="HK75" s="63">
        <f>SUM(FE$4:HI$4)</f>
        <v>57</v>
      </c>
      <c r="HL75" s="61">
        <f>SUM(FE75:HI75)</f>
        <v>14</v>
      </c>
      <c r="HM75" s="67">
        <f t="shared" ref="HM75:HM133" si="7">100*HL75/HK75</f>
        <v>24.561403508771932</v>
      </c>
      <c r="HN75" s="67"/>
      <c r="HO75" s="68"/>
      <c r="HP75" s="68"/>
    </row>
    <row r="76" spans="1:247" x14ac:dyDescent="0.3">
      <c r="B76" s="63" t="s">
        <v>7312</v>
      </c>
      <c r="C76" s="61">
        <v>0</v>
      </c>
      <c r="D76" s="61">
        <v>0</v>
      </c>
      <c r="E76" s="61">
        <v>0</v>
      </c>
      <c r="F76" s="61">
        <v>0</v>
      </c>
      <c r="G76" s="61">
        <v>0</v>
      </c>
      <c r="H76" s="61">
        <v>0</v>
      </c>
      <c r="I76" s="61">
        <v>0</v>
      </c>
      <c r="J76" s="61">
        <v>0</v>
      </c>
      <c r="K76" s="61">
        <v>0</v>
      </c>
      <c r="L76" s="61">
        <v>0</v>
      </c>
      <c r="M76" s="61">
        <v>0</v>
      </c>
      <c r="N76" s="61">
        <v>0</v>
      </c>
      <c r="O76" s="61">
        <v>0</v>
      </c>
      <c r="P76" s="61">
        <v>0</v>
      </c>
      <c r="Q76" s="61">
        <v>0</v>
      </c>
      <c r="R76" s="61">
        <v>0</v>
      </c>
      <c r="S76" s="61">
        <v>0</v>
      </c>
      <c r="T76" s="61">
        <v>0</v>
      </c>
      <c r="U76" s="61">
        <v>0</v>
      </c>
      <c r="V76" s="61">
        <v>0</v>
      </c>
      <c r="W76" s="61">
        <v>0</v>
      </c>
      <c r="X76" s="61">
        <v>0</v>
      </c>
      <c r="Y76" s="61">
        <v>0</v>
      </c>
      <c r="Z76" s="61">
        <v>0</v>
      </c>
      <c r="AA76" s="61">
        <v>0</v>
      </c>
      <c r="AB76" s="61">
        <v>0</v>
      </c>
      <c r="AC76" s="61">
        <v>0</v>
      </c>
      <c r="AD76" s="61">
        <v>0</v>
      </c>
      <c r="AE76" s="61">
        <v>0</v>
      </c>
      <c r="AF76" s="61">
        <v>0</v>
      </c>
      <c r="AG76" s="61">
        <v>0</v>
      </c>
      <c r="AH76" s="61">
        <v>0</v>
      </c>
      <c r="AI76" s="61">
        <v>0</v>
      </c>
      <c r="AJ76" s="61">
        <v>0</v>
      </c>
      <c r="AK76" s="61">
        <v>0</v>
      </c>
      <c r="AL76" s="61">
        <v>0</v>
      </c>
      <c r="AM76" s="61">
        <v>0</v>
      </c>
      <c r="AN76" s="61">
        <v>0</v>
      </c>
      <c r="AO76" s="61">
        <v>0</v>
      </c>
      <c r="AP76" s="61">
        <v>0</v>
      </c>
      <c r="AQ76" s="61">
        <v>0</v>
      </c>
      <c r="AR76" s="61">
        <v>0</v>
      </c>
      <c r="AS76" s="61">
        <v>0</v>
      </c>
      <c r="AT76" s="61">
        <v>0</v>
      </c>
      <c r="AU76" s="61">
        <v>0</v>
      </c>
      <c r="AV76" s="61">
        <v>0</v>
      </c>
      <c r="AW76" s="61">
        <v>0</v>
      </c>
      <c r="AX76" s="61">
        <v>0</v>
      </c>
      <c r="AY76" s="61">
        <v>0</v>
      </c>
      <c r="AZ76" s="61">
        <v>0</v>
      </c>
      <c r="BA76" s="61">
        <v>0</v>
      </c>
      <c r="BB76" s="61">
        <v>0</v>
      </c>
      <c r="BC76" s="61">
        <v>0</v>
      </c>
      <c r="BD76" s="61">
        <v>0</v>
      </c>
      <c r="BE76" s="61">
        <v>0</v>
      </c>
      <c r="BF76" s="61">
        <v>0</v>
      </c>
      <c r="BG76" s="61">
        <v>0</v>
      </c>
      <c r="BH76" s="61">
        <v>0</v>
      </c>
      <c r="BI76" s="61">
        <v>0</v>
      </c>
      <c r="BJ76" s="61">
        <v>0</v>
      </c>
      <c r="BK76" s="61">
        <v>0</v>
      </c>
      <c r="BL76" s="61">
        <v>0</v>
      </c>
      <c r="BM76" s="61">
        <v>0</v>
      </c>
      <c r="BN76" s="61">
        <v>0</v>
      </c>
      <c r="BO76" s="61">
        <v>0</v>
      </c>
      <c r="BP76" s="61">
        <v>0</v>
      </c>
      <c r="BQ76" s="61">
        <v>0</v>
      </c>
      <c r="BR76" s="61">
        <v>0</v>
      </c>
      <c r="BS76" s="61">
        <v>0</v>
      </c>
      <c r="BT76" s="61">
        <v>0</v>
      </c>
      <c r="BU76" s="61">
        <v>0</v>
      </c>
      <c r="BV76" s="61">
        <v>0</v>
      </c>
      <c r="BW76" s="61">
        <v>0</v>
      </c>
      <c r="BX76" s="61">
        <v>0</v>
      </c>
      <c r="BY76" s="61">
        <v>0</v>
      </c>
      <c r="BZ76" s="61">
        <v>0</v>
      </c>
      <c r="CA76" s="61">
        <v>0</v>
      </c>
      <c r="CB76" s="61">
        <v>0</v>
      </c>
      <c r="CC76" s="61">
        <v>0</v>
      </c>
      <c r="CD76" s="61">
        <v>0</v>
      </c>
      <c r="CE76" s="61">
        <v>0</v>
      </c>
      <c r="CF76" s="61">
        <v>0</v>
      </c>
      <c r="CG76" s="61">
        <v>0</v>
      </c>
      <c r="CH76" s="61">
        <v>0</v>
      </c>
      <c r="CI76" s="61">
        <v>0</v>
      </c>
      <c r="CJ76" s="61">
        <v>0</v>
      </c>
      <c r="CK76" s="61">
        <v>0</v>
      </c>
      <c r="CL76" s="61">
        <v>0</v>
      </c>
      <c r="CM76" s="61">
        <v>0</v>
      </c>
      <c r="CN76" s="61">
        <v>0</v>
      </c>
      <c r="CO76" s="61">
        <v>0</v>
      </c>
      <c r="CP76" s="61">
        <v>0</v>
      </c>
      <c r="CQ76" s="61">
        <v>0</v>
      </c>
      <c r="CR76" s="61">
        <v>0</v>
      </c>
      <c r="CS76" s="61">
        <v>0</v>
      </c>
      <c r="CT76" s="61">
        <v>0</v>
      </c>
      <c r="CU76" s="61">
        <v>0</v>
      </c>
      <c r="CV76" s="61">
        <v>0</v>
      </c>
      <c r="CW76" s="61">
        <v>0</v>
      </c>
      <c r="CX76" s="61">
        <v>0</v>
      </c>
      <c r="CY76" s="61">
        <v>0</v>
      </c>
      <c r="CZ76" s="61">
        <v>0</v>
      </c>
      <c r="DA76" s="61">
        <v>0</v>
      </c>
      <c r="DB76" s="61">
        <v>0</v>
      </c>
      <c r="DC76" s="61">
        <v>0</v>
      </c>
      <c r="DD76" s="61">
        <v>0</v>
      </c>
      <c r="DE76" s="61">
        <v>0</v>
      </c>
      <c r="DF76" s="61">
        <v>0</v>
      </c>
      <c r="DG76" s="61">
        <v>0</v>
      </c>
      <c r="DH76" s="61">
        <v>0</v>
      </c>
      <c r="DI76" s="61">
        <v>0</v>
      </c>
      <c r="DJ76" s="61">
        <v>0</v>
      </c>
      <c r="DK76" s="61">
        <v>0</v>
      </c>
      <c r="DL76" s="61">
        <v>0</v>
      </c>
      <c r="DM76" s="61">
        <v>0</v>
      </c>
      <c r="DN76" s="61">
        <v>0</v>
      </c>
      <c r="DO76" s="61">
        <v>0</v>
      </c>
      <c r="DP76" s="61">
        <v>0</v>
      </c>
      <c r="DQ76" s="61">
        <v>0</v>
      </c>
      <c r="DR76" s="61">
        <v>0</v>
      </c>
      <c r="DS76" s="61">
        <v>0</v>
      </c>
      <c r="DT76" s="61">
        <v>0</v>
      </c>
      <c r="DU76" s="61">
        <v>0</v>
      </c>
      <c r="DV76" s="61">
        <v>0</v>
      </c>
      <c r="DW76" s="61">
        <v>0</v>
      </c>
      <c r="DX76" s="61">
        <v>0</v>
      </c>
      <c r="DY76" s="61">
        <v>0</v>
      </c>
      <c r="DZ76" s="61">
        <v>0</v>
      </c>
      <c r="EA76" s="61">
        <v>0</v>
      </c>
      <c r="EB76" s="61">
        <v>0</v>
      </c>
      <c r="EC76" s="61">
        <v>0</v>
      </c>
      <c r="ED76" s="61">
        <v>0</v>
      </c>
      <c r="EE76" s="61">
        <v>0</v>
      </c>
      <c r="EF76" s="61">
        <v>0</v>
      </c>
      <c r="EG76" s="61">
        <v>0</v>
      </c>
      <c r="EH76" s="61">
        <v>0</v>
      </c>
      <c r="EI76" s="61">
        <v>0</v>
      </c>
      <c r="EJ76" s="61">
        <v>0</v>
      </c>
      <c r="EK76" s="61">
        <v>0</v>
      </c>
      <c r="EL76" s="61">
        <v>0</v>
      </c>
      <c r="EM76" s="61">
        <v>0</v>
      </c>
      <c r="EN76" s="61">
        <v>0</v>
      </c>
      <c r="EO76" s="61">
        <v>0</v>
      </c>
      <c r="EP76" s="61">
        <v>0</v>
      </c>
      <c r="EQ76" s="61">
        <v>0</v>
      </c>
      <c r="ER76" s="61">
        <v>0</v>
      </c>
      <c r="ES76" s="61">
        <v>0</v>
      </c>
      <c r="ET76" s="61">
        <v>0</v>
      </c>
      <c r="EU76" s="61">
        <v>0</v>
      </c>
      <c r="EV76" s="61">
        <v>0</v>
      </c>
      <c r="EW76" s="61">
        <v>0</v>
      </c>
      <c r="EX76" s="61">
        <v>0</v>
      </c>
      <c r="EY76" s="61">
        <v>0</v>
      </c>
      <c r="EZ76" s="61">
        <v>0</v>
      </c>
      <c r="FA76" s="61">
        <v>0</v>
      </c>
      <c r="FB76" s="61">
        <v>0</v>
      </c>
      <c r="FC76" s="61">
        <v>0</v>
      </c>
      <c r="FD76" s="61">
        <v>0</v>
      </c>
      <c r="FE76" s="61">
        <v>0</v>
      </c>
      <c r="FF76" s="61">
        <v>0</v>
      </c>
      <c r="FG76" s="65">
        <v>0</v>
      </c>
      <c r="FH76" s="61">
        <v>0</v>
      </c>
      <c r="FI76" s="61">
        <v>0</v>
      </c>
      <c r="FJ76" s="61">
        <v>0</v>
      </c>
      <c r="FK76" s="61">
        <v>0</v>
      </c>
      <c r="FL76" s="61">
        <v>0</v>
      </c>
      <c r="FM76" s="61">
        <v>0</v>
      </c>
      <c r="FN76" s="61">
        <v>0</v>
      </c>
      <c r="FO76" s="61">
        <v>0</v>
      </c>
      <c r="FP76" s="61">
        <v>0</v>
      </c>
      <c r="FQ76" s="61">
        <v>0</v>
      </c>
      <c r="FR76" s="61">
        <v>0</v>
      </c>
      <c r="FS76" s="61">
        <v>0</v>
      </c>
      <c r="FT76" s="61">
        <v>0</v>
      </c>
      <c r="FU76" s="61">
        <v>0</v>
      </c>
      <c r="FV76" s="61">
        <v>0</v>
      </c>
      <c r="FW76" s="61">
        <v>0</v>
      </c>
      <c r="FX76" s="61">
        <v>0</v>
      </c>
      <c r="FY76" s="61">
        <v>0</v>
      </c>
      <c r="FZ76" s="61">
        <v>0</v>
      </c>
      <c r="GA76" s="61">
        <v>0</v>
      </c>
      <c r="GB76" s="61">
        <v>0</v>
      </c>
      <c r="GC76" s="61">
        <v>0</v>
      </c>
      <c r="GD76" s="61">
        <v>0</v>
      </c>
      <c r="GE76" s="61">
        <v>0</v>
      </c>
      <c r="GF76" s="66">
        <v>1</v>
      </c>
      <c r="GG76" s="66">
        <v>1</v>
      </c>
      <c r="GH76" s="66">
        <v>1</v>
      </c>
      <c r="GI76" s="66">
        <v>1</v>
      </c>
      <c r="GJ76" s="66">
        <v>1</v>
      </c>
      <c r="GK76" s="66">
        <v>1</v>
      </c>
      <c r="GL76" s="66">
        <v>1</v>
      </c>
      <c r="GM76" s="66">
        <v>1</v>
      </c>
      <c r="GN76" s="66">
        <v>1</v>
      </c>
      <c r="GO76" s="66">
        <v>1</v>
      </c>
      <c r="GP76" s="66">
        <v>1</v>
      </c>
      <c r="GQ76" s="66">
        <v>1</v>
      </c>
      <c r="GR76" s="66">
        <v>1</v>
      </c>
      <c r="GS76" s="66">
        <v>1</v>
      </c>
      <c r="GT76" s="66">
        <v>1</v>
      </c>
      <c r="GU76" s="66">
        <v>1</v>
      </c>
      <c r="GV76" s="66">
        <v>1</v>
      </c>
      <c r="GW76" s="66">
        <v>1</v>
      </c>
      <c r="GX76" s="66">
        <v>1</v>
      </c>
      <c r="GY76" s="63">
        <v>0</v>
      </c>
      <c r="GZ76" s="63">
        <v>0</v>
      </c>
      <c r="HA76" s="63">
        <v>0</v>
      </c>
      <c r="HB76" s="63">
        <v>0</v>
      </c>
      <c r="HC76" s="63">
        <v>0</v>
      </c>
      <c r="HD76" s="63">
        <v>0</v>
      </c>
      <c r="HE76" s="63">
        <v>0</v>
      </c>
      <c r="HF76" s="63">
        <v>0</v>
      </c>
      <c r="HG76" s="63">
        <v>0</v>
      </c>
      <c r="HH76" s="63"/>
      <c r="HI76" s="63"/>
      <c r="HJ76" s="63">
        <v>1960</v>
      </c>
      <c r="HK76" s="63">
        <f>SUM(FG$4:HI$4)</f>
        <v>55</v>
      </c>
      <c r="HL76" s="61">
        <f>SUM(FG76:HI76)</f>
        <v>19</v>
      </c>
      <c r="HM76" s="67">
        <f t="shared" si="7"/>
        <v>34.545454545454547</v>
      </c>
      <c r="HN76" s="67"/>
      <c r="HO76" s="68"/>
      <c r="HP76" s="68"/>
    </row>
    <row r="77" spans="1:247" x14ac:dyDescent="0.3">
      <c r="B77" s="63" t="s">
        <v>7313</v>
      </c>
      <c r="C77" s="61">
        <v>0</v>
      </c>
      <c r="D77" s="61">
        <v>0</v>
      </c>
      <c r="E77" s="61">
        <v>0</v>
      </c>
      <c r="F77" s="61">
        <v>0</v>
      </c>
      <c r="G77" s="61">
        <v>0</v>
      </c>
      <c r="H77" s="61">
        <v>0</v>
      </c>
      <c r="I77" s="61">
        <v>0</v>
      </c>
      <c r="J77" s="61">
        <v>0</v>
      </c>
      <c r="K77" s="61">
        <v>0</v>
      </c>
      <c r="L77" s="61">
        <v>0</v>
      </c>
      <c r="M77" s="61">
        <v>0</v>
      </c>
      <c r="N77" s="61">
        <v>0</v>
      </c>
      <c r="O77" s="61">
        <v>0</v>
      </c>
      <c r="P77" s="61">
        <v>0</v>
      </c>
      <c r="Q77" s="61">
        <v>0</v>
      </c>
      <c r="R77" s="61">
        <v>0</v>
      </c>
      <c r="S77" s="61">
        <v>0</v>
      </c>
      <c r="T77" s="61">
        <v>0</v>
      </c>
      <c r="U77" s="61">
        <v>0</v>
      </c>
      <c r="V77" s="61">
        <v>0</v>
      </c>
      <c r="W77" s="61">
        <v>0</v>
      </c>
      <c r="X77" s="61">
        <v>0</v>
      </c>
      <c r="Y77" s="61">
        <v>0</v>
      </c>
      <c r="Z77" s="61">
        <v>0</v>
      </c>
      <c r="AA77" s="61">
        <v>0</v>
      </c>
      <c r="AB77" s="61">
        <v>0</v>
      </c>
      <c r="AC77" s="61">
        <v>0</v>
      </c>
      <c r="AD77" s="61">
        <v>0</v>
      </c>
      <c r="AE77" s="61">
        <v>0</v>
      </c>
      <c r="AF77" s="61">
        <v>0</v>
      </c>
      <c r="AG77" s="61">
        <v>0</v>
      </c>
      <c r="AH77" s="61">
        <v>0</v>
      </c>
      <c r="AI77" s="61">
        <v>0</v>
      </c>
      <c r="AJ77" s="61">
        <v>0</v>
      </c>
      <c r="AK77" s="61">
        <v>0</v>
      </c>
      <c r="AL77" s="61">
        <v>0</v>
      </c>
      <c r="AM77" s="61">
        <v>0</v>
      </c>
      <c r="AN77" s="61">
        <v>0</v>
      </c>
      <c r="AO77" s="61">
        <v>0</v>
      </c>
      <c r="AP77" s="61">
        <v>0</v>
      </c>
      <c r="AQ77" s="61">
        <v>0</v>
      </c>
      <c r="AR77" s="61">
        <v>0</v>
      </c>
      <c r="AS77" s="61">
        <v>0</v>
      </c>
      <c r="AT77" s="61">
        <v>0</v>
      </c>
      <c r="AU77" s="61">
        <v>0</v>
      </c>
      <c r="AV77" s="61">
        <v>0</v>
      </c>
      <c r="AW77" s="61">
        <v>0</v>
      </c>
      <c r="AX77" s="61">
        <v>0</v>
      </c>
      <c r="AY77" s="61">
        <v>0</v>
      </c>
      <c r="AZ77" s="61">
        <v>0</v>
      </c>
      <c r="BA77" s="61">
        <v>0</v>
      </c>
      <c r="BB77" s="61">
        <v>0</v>
      </c>
      <c r="BC77" s="61">
        <v>0</v>
      </c>
      <c r="BD77" s="61">
        <v>0</v>
      </c>
      <c r="BE77" s="61">
        <v>0</v>
      </c>
      <c r="BF77" s="61">
        <v>0</v>
      </c>
      <c r="BG77" s="61">
        <v>0</v>
      </c>
      <c r="BH77" s="61">
        <v>0</v>
      </c>
      <c r="BI77" s="61">
        <v>0</v>
      </c>
      <c r="BJ77" s="61">
        <v>0</v>
      </c>
      <c r="BK77" s="61">
        <v>0</v>
      </c>
      <c r="BL77" s="61">
        <v>0</v>
      </c>
      <c r="BM77" s="61">
        <v>0</v>
      </c>
      <c r="BN77" s="61">
        <v>0</v>
      </c>
      <c r="BO77" s="61">
        <v>0</v>
      </c>
      <c r="BP77" s="61">
        <v>0</v>
      </c>
      <c r="BQ77" s="61">
        <v>0</v>
      </c>
      <c r="BR77" s="61">
        <v>0</v>
      </c>
      <c r="BS77" s="61">
        <v>0</v>
      </c>
      <c r="BT77" s="61">
        <v>0</v>
      </c>
      <c r="BU77" s="61">
        <v>0</v>
      </c>
      <c r="BV77" s="61">
        <v>0</v>
      </c>
      <c r="BW77" s="61">
        <v>0</v>
      </c>
      <c r="BX77" s="61">
        <v>0</v>
      </c>
      <c r="BY77" s="61">
        <v>0</v>
      </c>
      <c r="BZ77" s="61">
        <v>0</v>
      </c>
      <c r="CA77" s="61">
        <v>0</v>
      </c>
      <c r="CB77" s="61">
        <v>0</v>
      </c>
      <c r="CC77" s="61">
        <v>0</v>
      </c>
      <c r="CD77" s="61">
        <v>0</v>
      </c>
      <c r="CE77" s="61">
        <v>0</v>
      </c>
      <c r="CF77" s="61">
        <v>0</v>
      </c>
      <c r="CG77" s="61">
        <v>0</v>
      </c>
      <c r="CH77" s="61">
        <v>0</v>
      </c>
      <c r="CI77" s="61">
        <v>0</v>
      </c>
      <c r="CJ77" s="61">
        <v>0</v>
      </c>
      <c r="CK77" s="61">
        <v>0</v>
      </c>
      <c r="CL77" s="61">
        <v>0</v>
      </c>
      <c r="CM77" s="61">
        <v>0</v>
      </c>
      <c r="CN77" s="61">
        <v>0</v>
      </c>
      <c r="CO77" s="61">
        <v>0</v>
      </c>
      <c r="CP77" s="61">
        <v>0</v>
      </c>
      <c r="CQ77" s="61">
        <v>0</v>
      </c>
      <c r="CR77" s="61">
        <v>0</v>
      </c>
      <c r="CS77" s="61">
        <v>0</v>
      </c>
      <c r="CT77" s="61">
        <v>0</v>
      </c>
      <c r="CU77" s="61">
        <v>0</v>
      </c>
      <c r="CV77" s="61">
        <v>0</v>
      </c>
      <c r="CW77" s="61">
        <v>0</v>
      </c>
      <c r="CX77" s="61">
        <v>0</v>
      </c>
      <c r="CY77" s="61">
        <v>0</v>
      </c>
      <c r="CZ77" s="61">
        <v>0</v>
      </c>
      <c r="DA77" s="61">
        <v>0</v>
      </c>
      <c r="DB77" s="61">
        <v>0</v>
      </c>
      <c r="DC77" s="61">
        <v>0</v>
      </c>
      <c r="DD77" s="61">
        <v>0</v>
      </c>
      <c r="DE77" s="61">
        <v>0</v>
      </c>
      <c r="DF77" s="61">
        <v>0</v>
      </c>
      <c r="DG77" s="61">
        <v>0</v>
      </c>
      <c r="DH77" s="61">
        <v>0</v>
      </c>
      <c r="DI77" s="61">
        <v>0</v>
      </c>
      <c r="DJ77" s="61">
        <v>0</v>
      </c>
      <c r="DK77" s="61">
        <v>0</v>
      </c>
      <c r="DL77" s="61">
        <v>0</v>
      </c>
      <c r="DM77" s="61">
        <v>0</v>
      </c>
      <c r="DN77" s="61">
        <v>0</v>
      </c>
      <c r="DO77" s="61">
        <v>0</v>
      </c>
      <c r="DP77" s="61">
        <v>0</v>
      </c>
      <c r="DQ77" s="61">
        <v>0</v>
      </c>
      <c r="DR77" s="61">
        <v>0</v>
      </c>
      <c r="DS77" s="61">
        <v>0</v>
      </c>
      <c r="DT77" s="61">
        <v>0</v>
      </c>
      <c r="DU77" s="61">
        <v>0</v>
      </c>
      <c r="DV77" s="61">
        <v>0</v>
      </c>
      <c r="DW77" s="61">
        <v>0</v>
      </c>
      <c r="DX77" s="61">
        <v>0</v>
      </c>
      <c r="DY77" s="61">
        <v>0</v>
      </c>
      <c r="DZ77" s="61">
        <v>0</v>
      </c>
      <c r="EA77" s="61">
        <v>0</v>
      </c>
      <c r="EB77" s="61">
        <v>0</v>
      </c>
      <c r="EC77" s="61">
        <v>0</v>
      </c>
      <c r="ED77" s="61">
        <v>0</v>
      </c>
      <c r="EE77" s="61">
        <v>0</v>
      </c>
      <c r="EF77" s="61">
        <v>0</v>
      </c>
      <c r="EG77" s="61">
        <v>0</v>
      </c>
      <c r="EH77" s="61">
        <v>0</v>
      </c>
      <c r="EI77" s="61">
        <v>0</v>
      </c>
      <c r="EJ77" s="61">
        <v>0</v>
      </c>
      <c r="EK77" s="61">
        <v>0</v>
      </c>
      <c r="EL77" s="61">
        <v>0</v>
      </c>
      <c r="EM77" s="61">
        <v>0</v>
      </c>
      <c r="EN77" s="61">
        <v>0</v>
      </c>
      <c r="EO77" s="61">
        <v>0</v>
      </c>
      <c r="EP77" s="61">
        <v>0</v>
      </c>
      <c r="EQ77" s="61">
        <v>0</v>
      </c>
      <c r="ER77" s="61">
        <v>0</v>
      </c>
      <c r="ES77" s="61">
        <v>0</v>
      </c>
      <c r="ET77" s="61">
        <v>0</v>
      </c>
      <c r="EU77" s="61">
        <v>0</v>
      </c>
      <c r="EV77" s="61">
        <v>0</v>
      </c>
      <c r="EW77" s="61">
        <v>0</v>
      </c>
      <c r="EX77" s="61">
        <v>0</v>
      </c>
      <c r="EY77" s="61">
        <v>0</v>
      </c>
      <c r="EZ77" s="61">
        <v>0</v>
      </c>
      <c r="FA77" s="61">
        <v>0</v>
      </c>
      <c r="FB77" s="61">
        <v>0</v>
      </c>
      <c r="FC77" s="61">
        <v>0</v>
      </c>
      <c r="FD77" s="61">
        <v>0</v>
      </c>
      <c r="FE77" s="61">
        <v>0</v>
      </c>
      <c r="FF77" s="61">
        <v>0</v>
      </c>
      <c r="FG77" s="61">
        <v>0</v>
      </c>
      <c r="FH77" s="61">
        <v>0</v>
      </c>
      <c r="FI77" s="61">
        <v>0</v>
      </c>
      <c r="FJ77" s="61">
        <v>0</v>
      </c>
      <c r="FK77" s="61">
        <v>0</v>
      </c>
      <c r="FL77" s="61">
        <v>0</v>
      </c>
      <c r="FM77" s="61">
        <v>0</v>
      </c>
      <c r="FN77" s="61">
        <v>0</v>
      </c>
      <c r="FO77" s="61">
        <v>0</v>
      </c>
      <c r="FP77" s="61">
        <v>0</v>
      </c>
      <c r="FQ77" s="61">
        <v>0</v>
      </c>
      <c r="FR77" s="61">
        <v>0</v>
      </c>
      <c r="FS77" s="61">
        <v>0</v>
      </c>
      <c r="FT77" s="61">
        <v>0</v>
      </c>
      <c r="FU77" s="61">
        <v>0</v>
      </c>
      <c r="FV77" s="65">
        <v>0</v>
      </c>
      <c r="FW77" s="61">
        <v>0</v>
      </c>
      <c r="FX77" s="61">
        <v>0</v>
      </c>
      <c r="FY77" s="61">
        <v>0</v>
      </c>
      <c r="FZ77" s="61">
        <v>0</v>
      </c>
      <c r="GA77" s="61">
        <v>0</v>
      </c>
      <c r="GB77" s="66">
        <v>1</v>
      </c>
      <c r="GC77" s="66">
        <v>1</v>
      </c>
      <c r="GD77" s="66">
        <v>1</v>
      </c>
      <c r="GE77" s="66">
        <v>1</v>
      </c>
      <c r="GF77" s="66">
        <v>1</v>
      </c>
      <c r="GG77" s="66">
        <v>1</v>
      </c>
      <c r="GH77" s="66">
        <v>1</v>
      </c>
      <c r="GI77" s="66">
        <v>1</v>
      </c>
      <c r="GJ77" s="66">
        <v>1</v>
      </c>
      <c r="GK77" s="66">
        <v>1</v>
      </c>
      <c r="GL77" s="66">
        <v>1</v>
      </c>
      <c r="GM77" s="66">
        <v>1</v>
      </c>
      <c r="GN77" s="66">
        <v>1</v>
      </c>
      <c r="GO77" s="66">
        <v>1</v>
      </c>
      <c r="GP77" s="66">
        <v>1</v>
      </c>
      <c r="GQ77" s="66">
        <v>1</v>
      </c>
      <c r="GR77" s="61">
        <v>0</v>
      </c>
      <c r="GS77" s="61">
        <v>0</v>
      </c>
      <c r="GT77" s="61">
        <v>0</v>
      </c>
      <c r="GU77" s="63">
        <v>0</v>
      </c>
      <c r="GV77" s="63">
        <v>0</v>
      </c>
      <c r="GW77" s="63">
        <v>0</v>
      </c>
      <c r="GX77" s="63">
        <v>0</v>
      </c>
      <c r="GY77" s="63">
        <v>0</v>
      </c>
      <c r="GZ77" s="63">
        <v>0</v>
      </c>
      <c r="HA77" s="63">
        <v>0</v>
      </c>
      <c r="HB77" s="63">
        <v>0</v>
      </c>
      <c r="HC77" s="63">
        <v>0</v>
      </c>
      <c r="HD77" s="63">
        <v>0</v>
      </c>
      <c r="HE77" s="63">
        <v>0</v>
      </c>
      <c r="HF77" s="63">
        <v>0</v>
      </c>
      <c r="HG77" s="63">
        <v>0</v>
      </c>
      <c r="HH77" s="63"/>
      <c r="HI77" s="63"/>
      <c r="HJ77" s="63">
        <v>1975</v>
      </c>
      <c r="HK77" s="63">
        <f>SUM(FV$4:HI$4)</f>
        <v>40</v>
      </c>
      <c r="HL77" s="61">
        <f>SUM(FV77:HI77)</f>
        <v>16</v>
      </c>
      <c r="HM77" s="67">
        <f t="shared" si="7"/>
        <v>40</v>
      </c>
      <c r="HN77" s="67"/>
      <c r="HO77" s="68"/>
      <c r="HP77" s="68"/>
    </row>
    <row r="78" spans="1:247" x14ac:dyDescent="0.3">
      <c r="B78" s="63" t="s">
        <v>7314</v>
      </c>
      <c r="C78" s="61">
        <v>0</v>
      </c>
      <c r="D78" s="61">
        <v>0</v>
      </c>
      <c r="E78" s="61">
        <v>0</v>
      </c>
      <c r="F78" s="61">
        <v>0</v>
      </c>
      <c r="G78" s="61">
        <v>0</v>
      </c>
      <c r="H78" s="61">
        <v>0</v>
      </c>
      <c r="I78" s="61">
        <v>0</v>
      </c>
      <c r="J78" s="61">
        <v>0</v>
      </c>
      <c r="K78" s="61">
        <v>0</v>
      </c>
      <c r="L78" s="61">
        <v>0</v>
      </c>
      <c r="M78" s="61">
        <v>0</v>
      </c>
      <c r="N78" s="61">
        <v>0</v>
      </c>
      <c r="O78" s="61">
        <v>0</v>
      </c>
      <c r="P78" s="61">
        <v>0</v>
      </c>
      <c r="Q78" s="61">
        <v>0</v>
      </c>
      <c r="R78" s="61">
        <v>0</v>
      </c>
      <c r="S78" s="61">
        <v>0</v>
      </c>
      <c r="T78" s="61">
        <v>0</v>
      </c>
      <c r="U78" s="61">
        <v>0</v>
      </c>
      <c r="V78" s="61">
        <v>0</v>
      </c>
      <c r="W78" s="61">
        <v>0</v>
      </c>
      <c r="X78" s="61">
        <v>0</v>
      </c>
      <c r="Y78" s="61">
        <v>0</v>
      </c>
      <c r="Z78" s="61">
        <v>0</v>
      </c>
      <c r="AA78" s="61">
        <v>0</v>
      </c>
      <c r="AB78" s="61">
        <v>0</v>
      </c>
      <c r="AC78" s="61">
        <v>0</v>
      </c>
      <c r="AD78" s="61">
        <v>0</v>
      </c>
      <c r="AE78" s="61">
        <v>0</v>
      </c>
      <c r="AF78" s="61">
        <v>0</v>
      </c>
      <c r="AG78" s="61">
        <v>0</v>
      </c>
      <c r="AH78" s="61">
        <v>0</v>
      </c>
      <c r="AI78" s="61">
        <v>0</v>
      </c>
      <c r="AJ78" s="61">
        <v>0</v>
      </c>
      <c r="AK78" s="61">
        <v>0</v>
      </c>
      <c r="AL78" s="61">
        <v>0</v>
      </c>
      <c r="AM78" s="61">
        <v>0</v>
      </c>
      <c r="AN78" s="61">
        <v>0</v>
      </c>
      <c r="AO78" s="61">
        <v>0</v>
      </c>
      <c r="AP78" s="61">
        <v>0</v>
      </c>
      <c r="AQ78" s="61">
        <v>0</v>
      </c>
      <c r="AR78" s="61">
        <v>0</v>
      </c>
      <c r="AS78" s="61">
        <v>0</v>
      </c>
      <c r="AT78" s="61">
        <v>0</v>
      </c>
      <c r="AU78" s="61">
        <v>0</v>
      </c>
      <c r="AV78" s="61">
        <v>0</v>
      </c>
      <c r="AW78" s="61">
        <v>0</v>
      </c>
      <c r="AX78" s="61">
        <v>0</v>
      </c>
      <c r="AY78" s="61">
        <v>0</v>
      </c>
      <c r="AZ78" s="61">
        <v>0</v>
      </c>
      <c r="BA78" s="61">
        <v>0</v>
      </c>
      <c r="BB78" s="61">
        <v>0</v>
      </c>
      <c r="BC78" s="61">
        <v>0</v>
      </c>
      <c r="BD78" s="61">
        <v>0</v>
      </c>
      <c r="BE78" s="61">
        <v>0</v>
      </c>
      <c r="BF78" s="61">
        <v>0</v>
      </c>
      <c r="BG78" s="61">
        <v>0</v>
      </c>
      <c r="BH78" s="61">
        <v>0</v>
      </c>
      <c r="BI78" s="61">
        <v>0</v>
      </c>
      <c r="BJ78" s="61">
        <v>0</v>
      </c>
      <c r="BK78" s="61">
        <v>0</v>
      </c>
      <c r="BL78" s="61">
        <v>0</v>
      </c>
      <c r="BM78" s="61">
        <v>0</v>
      </c>
      <c r="BN78" s="61">
        <v>0</v>
      </c>
      <c r="BO78" s="61">
        <v>0</v>
      </c>
      <c r="BP78" s="61">
        <v>0</v>
      </c>
      <c r="BQ78" s="61">
        <v>0</v>
      </c>
      <c r="BR78" s="61">
        <v>0</v>
      </c>
      <c r="BS78" s="61">
        <v>0</v>
      </c>
      <c r="BT78" s="61">
        <v>0</v>
      </c>
      <c r="BU78" s="61">
        <v>0</v>
      </c>
      <c r="BV78" s="61">
        <v>0</v>
      </c>
      <c r="BW78" s="61">
        <v>0</v>
      </c>
      <c r="BX78" s="61">
        <v>0</v>
      </c>
      <c r="BY78" s="61">
        <v>0</v>
      </c>
      <c r="BZ78" s="61">
        <v>0</v>
      </c>
      <c r="CA78" s="61">
        <v>0</v>
      </c>
      <c r="CB78" s="61">
        <v>0</v>
      </c>
      <c r="CC78" s="61">
        <v>0</v>
      </c>
      <c r="CD78" s="61">
        <v>0</v>
      </c>
      <c r="CE78" s="61">
        <v>0</v>
      </c>
      <c r="CF78" s="61">
        <v>0</v>
      </c>
      <c r="CG78" s="61">
        <v>0</v>
      </c>
      <c r="CH78" s="61">
        <v>0</v>
      </c>
      <c r="CI78" s="61">
        <v>0</v>
      </c>
      <c r="CJ78" s="61">
        <v>0</v>
      </c>
      <c r="CK78" s="61">
        <v>0</v>
      </c>
      <c r="CL78" s="61">
        <v>0</v>
      </c>
      <c r="CM78" s="61">
        <v>0</v>
      </c>
      <c r="CN78" s="61">
        <v>0</v>
      </c>
      <c r="CO78" s="61">
        <v>0</v>
      </c>
      <c r="CP78" s="61">
        <v>0</v>
      </c>
      <c r="CQ78" s="61">
        <v>0</v>
      </c>
      <c r="CR78" s="61">
        <v>0</v>
      </c>
      <c r="CS78" s="61">
        <v>0</v>
      </c>
      <c r="CT78" s="61">
        <v>0</v>
      </c>
      <c r="CU78" s="61">
        <v>0</v>
      </c>
      <c r="CV78" s="61">
        <v>0</v>
      </c>
      <c r="CW78" s="61">
        <v>0</v>
      </c>
      <c r="CX78" s="61">
        <v>0</v>
      </c>
      <c r="CY78" s="61">
        <v>0</v>
      </c>
      <c r="CZ78" s="61">
        <v>0</v>
      </c>
      <c r="DA78" s="61">
        <v>0</v>
      </c>
      <c r="DB78" s="61">
        <v>0</v>
      </c>
      <c r="DC78" s="61">
        <v>0</v>
      </c>
      <c r="DD78" s="61">
        <v>0</v>
      </c>
      <c r="DE78" s="61">
        <v>0</v>
      </c>
      <c r="DF78" s="61">
        <v>0</v>
      </c>
      <c r="DG78" s="61">
        <v>0</v>
      </c>
      <c r="DH78" s="61">
        <v>0</v>
      </c>
      <c r="DI78" s="61">
        <v>0</v>
      </c>
      <c r="DJ78" s="61">
        <v>0</v>
      </c>
      <c r="DK78" s="61">
        <v>0</v>
      </c>
      <c r="DL78" s="61">
        <v>0</v>
      </c>
      <c r="DM78" s="61">
        <v>0</v>
      </c>
      <c r="DN78" s="61">
        <v>0</v>
      </c>
      <c r="DO78" s="61">
        <v>0</v>
      </c>
      <c r="DP78" s="61">
        <v>0</v>
      </c>
      <c r="DQ78" s="61">
        <v>0</v>
      </c>
      <c r="DR78" s="61">
        <v>0</v>
      </c>
      <c r="DS78" s="61">
        <v>0</v>
      </c>
      <c r="DT78" s="61">
        <v>0</v>
      </c>
      <c r="DU78" s="61">
        <v>0</v>
      </c>
      <c r="DV78" s="61">
        <v>0</v>
      </c>
      <c r="DW78" s="61">
        <v>0</v>
      </c>
      <c r="DX78" s="61">
        <v>0</v>
      </c>
      <c r="DY78" s="61">
        <v>0</v>
      </c>
      <c r="DZ78" s="61">
        <v>0</v>
      </c>
      <c r="EA78" s="61">
        <v>0</v>
      </c>
      <c r="EB78" s="61">
        <v>0</v>
      </c>
      <c r="EC78" s="61">
        <v>0</v>
      </c>
      <c r="ED78" s="61">
        <v>0</v>
      </c>
      <c r="EE78" s="61">
        <v>0</v>
      </c>
      <c r="EF78" s="61">
        <v>0</v>
      </c>
      <c r="EG78" s="61">
        <v>0</v>
      </c>
      <c r="EH78" s="61">
        <v>0</v>
      </c>
      <c r="EI78" s="61">
        <v>0</v>
      </c>
      <c r="EJ78" s="61">
        <v>0</v>
      </c>
      <c r="EK78" s="61">
        <v>0</v>
      </c>
      <c r="EL78" s="61">
        <v>0</v>
      </c>
      <c r="EM78" s="61">
        <v>0</v>
      </c>
      <c r="EN78" s="61">
        <v>0</v>
      </c>
      <c r="EO78" s="61">
        <v>0</v>
      </c>
      <c r="EP78" s="61">
        <v>0</v>
      </c>
      <c r="EQ78" s="61">
        <v>0</v>
      </c>
      <c r="ER78" s="61">
        <v>0</v>
      </c>
      <c r="ES78" s="61">
        <v>0</v>
      </c>
      <c r="ET78" s="61">
        <v>0</v>
      </c>
      <c r="EU78" s="61">
        <v>0</v>
      </c>
      <c r="EV78" s="61">
        <v>0</v>
      </c>
      <c r="EW78" s="61">
        <v>0</v>
      </c>
      <c r="EX78" s="61">
        <v>0</v>
      </c>
      <c r="EY78" s="61">
        <v>0</v>
      </c>
      <c r="EZ78" s="61">
        <v>0</v>
      </c>
      <c r="FA78" s="61">
        <v>0</v>
      </c>
      <c r="FB78" s="61">
        <v>0</v>
      </c>
      <c r="FC78" s="61">
        <v>0</v>
      </c>
      <c r="FD78" s="61">
        <v>0</v>
      </c>
      <c r="FE78" s="61">
        <v>0</v>
      </c>
      <c r="FF78" s="61">
        <v>0</v>
      </c>
      <c r="FG78" s="65">
        <v>0</v>
      </c>
      <c r="FH78" s="61">
        <v>0</v>
      </c>
      <c r="FI78" s="61">
        <v>0</v>
      </c>
      <c r="FJ78" s="61">
        <v>0</v>
      </c>
      <c r="FK78" s="61">
        <v>0</v>
      </c>
      <c r="FL78" s="61">
        <v>0</v>
      </c>
      <c r="FM78" s="61">
        <v>0</v>
      </c>
      <c r="FN78" s="61">
        <v>0</v>
      </c>
      <c r="FO78" s="61">
        <v>0</v>
      </c>
      <c r="FP78" s="61">
        <v>0</v>
      </c>
      <c r="FQ78" s="61">
        <v>0</v>
      </c>
      <c r="FR78" s="61">
        <v>0</v>
      </c>
      <c r="FS78" s="61">
        <v>0</v>
      </c>
      <c r="FT78" s="61">
        <v>0</v>
      </c>
      <c r="FU78" s="61">
        <v>0</v>
      </c>
      <c r="FV78" s="61">
        <v>0</v>
      </c>
      <c r="FW78" s="61">
        <v>0</v>
      </c>
      <c r="FX78" s="61">
        <v>0</v>
      </c>
      <c r="FY78" s="61">
        <v>0</v>
      </c>
      <c r="FZ78" s="61">
        <v>0</v>
      </c>
      <c r="GA78" s="61">
        <v>0</v>
      </c>
      <c r="GB78" s="61">
        <v>0</v>
      </c>
      <c r="GC78" s="61">
        <v>0</v>
      </c>
      <c r="GD78" s="66">
        <v>1</v>
      </c>
      <c r="GE78" s="66">
        <v>1</v>
      </c>
      <c r="GF78" s="66">
        <v>1</v>
      </c>
      <c r="GG78" s="66">
        <v>1</v>
      </c>
      <c r="GH78" s="66">
        <v>1</v>
      </c>
      <c r="GI78" s="66">
        <v>1</v>
      </c>
      <c r="GJ78" s="66">
        <v>1</v>
      </c>
      <c r="GK78" s="66">
        <v>1</v>
      </c>
      <c r="GL78" s="66">
        <v>1</v>
      </c>
      <c r="GM78" s="66">
        <v>1</v>
      </c>
      <c r="GN78" s="66">
        <v>1</v>
      </c>
      <c r="GO78" s="66">
        <v>1</v>
      </c>
      <c r="GP78" s="66">
        <v>1</v>
      </c>
      <c r="GQ78" s="66">
        <v>1</v>
      </c>
      <c r="GR78" s="66">
        <v>1</v>
      </c>
      <c r="GS78" s="66">
        <v>1</v>
      </c>
      <c r="GT78" s="66">
        <v>1</v>
      </c>
      <c r="GU78" s="66">
        <v>1</v>
      </c>
      <c r="GV78" s="66">
        <v>1</v>
      </c>
      <c r="GW78" s="66">
        <v>1</v>
      </c>
      <c r="GX78" s="66">
        <v>1</v>
      </c>
      <c r="GY78" s="66">
        <v>1</v>
      </c>
      <c r="GZ78" s="66">
        <v>1</v>
      </c>
      <c r="HA78" s="66">
        <v>1</v>
      </c>
      <c r="HB78" s="66">
        <v>1</v>
      </c>
      <c r="HC78" s="63">
        <v>0</v>
      </c>
      <c r="HD78" s="63">
        <v>0</v>
      </c>
      <c r="HE78" s="63">
        <v>0</v>
      </c>
      <c r="HF78" s="63">
        <v>0</v>
      </c>
      <c r="HG78" s="63">
        <v>0</v>
      </c>
      <c r="HH78" s="63"/>
      <c r="HI78" s="63"/>
      <c r="HJ78" s="63">
        <v>1960</v>
      </c>
      <c r="HK78" s="63">
        <f>SUM(FG$4:HI$4)</f>
        <v>55</v>
      </c>
      <c r="HL78" s="61">
        <f>SUM(FG78:HI78)</f>
        <v>25</v>
      </c>
      <c r="HM78" s="67">
        <f t="shared" si="7"/>
        <v>45.454545454545453</v>
      </c>
      <c r="HN78" s="67"/>
      <c r="HS78" s="68" t="s">
        <v>7315</v>
      </c>
      <c r="HT78" s="68"/>
    </row>
    <row r="79" spans="1:247" x14ac:dyDescent="0.3">
      <c r="B79" s="63" t="s">
        <v>7316</v>
      </c>
      <c r="C79" s="61">
        <v>0</v>
      </c>
      <c r="D79" s="61">
        <v>0</v>
      </c>
      <c r="E79" s="61">
        <v>0</v>
      </c>
      <c r="F79" s="61">
        <v>0</v>
      </c>
      <c r="G79" s="61">
        <v>0</v>
      </c>
      <c r="H79" s="61">
        <v>0</v>
      </c>
      <c r="I79" s="61">
        <v>0</v>
      </c>
      <c r="J79" s="61">
        <v>0</v>
      </c>
      <c r="K79" s="61">
        <v>0</v>
      </c>
      <c r="L79" s="61">
        <v>0</v>
      </c>
      <c r="M79" s="61">
        <v>0</v>
      </c>
      <c r="N79" s="61">
        <v>0</v>
      </c>
      <c r="O79" s="61">
        <v>0</v>
      </c>
      <c r="P79" s="61">
        <v>0</v>
      </c>
      <c r="Q79" s="61">
        <v>0</v>
      </c>
      <c r="R79" s="61">
        <v>0</v>
      </c>
      <c r="S79" s="61">
        <v>0</v>
      </c>
      <c r="T79" s="61">
        <v>0</v>
      </c>
      <c r="U79" s="61">
        <v>0</v>
      </c>
      <c r="V79" s="61">
        <v>0</v>
      </c>
      <c r="W79" s="61">
        <v>0</v>
      </c>
      <c r="X79" s="61">
        <v>0</v>
      </c>
      <c r="Y79" s="61">
        <v>0</v>
      </c>
      <c r="Z79" s="61">
        <v>0</v>
      </c>
      <c r="AA79" s="61">
        <v>0</v>
      </c>
      <c r="AB79" s="61">
        <v>0</v>
      </c>
      <c r="AC79" s="61">
        <v>0</v>
      </c>
      <c r="AD79" s="61">
        <v>0</v>
      </c>
      <c r="AE79" s="61">
        <v>0</v>
      </c>
      <c r="AF79" s="61">
        <v>0</v>
      </c>
      <c r="AG79" s="61">
        <v>0</v>
      </c>
      <c r="AH79" s="61">
        <v>0</v>
      </c>
      <c r="AI79" s="61">
        <v>0</v>
      </c>
      <c r="AJ79" s="61">
        <v>0</v>
      </c>
      <c r="AK79" s="61">
        <v>0</v>
      </c>
      <c r="AL79" s="61">
        <v>0</v>
      </c>
      <c r="AM79" s="61">
        <v>0</v>
      </c>
      <c r="AN79" s="61">
        <v>0</v>
      </c>
      <c r="AO79" s="61">
        <v>0</v>
      </c>
      <c r="AP79" s="61">
        <v>0</v>
      </c>
      <c r="AQ79" s="61">
        <v>0</v>
      </c>
      <c r="AR79" s="61">
        <v>0</v>
      </c>
      <c r="AS79" s="61">
        <v>0</v>
      </c>
      <c r="AT79" s="61">
        <v>0</v>
      </c>
      <c r="AU79" s="61">
        <v>0</v>
      </c>
      <c r="AV79" s="61">
        <v>0</v>
      </c>
      <c r="AW79" s="61">
        <v>0</v>
      </c>
      <c r="AX79" s="61">
        <v>0</v>
      </c>
      <c r="AY79" s="61">
        <v>0</v>
      </c>
      <c r="AZ79" s="61">
        <v>0</v>
      </c>
      <c r="BA79" s="61">
        <v>0</v>
      </c>
      <c r="BB79" s="61">
        <v>0</v>
      </c>
      <c r="BC79" s="61">
        <v>0</v>
      </c>
      <c r="BD79" s="61">
        <v>0</v>
      </c>
      <c r="BE79" s="61">
        <v>0</v>
      </c>
      <c r="BF79" s="61">
        <v>0</v>
      </c>
      <c r="BG79" s="61">
        <v>0</v>
      </c>
      <c r="BH79" s="61">
        <v>0</v>
      </c>
      <c r="BI79" s="61">
        <v>0</v>
      </c>
      <c r="BJ79" s="61">
        <v>0</v>
      </c>
      <c r="BK79" s="61">
        <v>0</v>
      </c>
      <c r="BL79" s="61">
        <v>0</v>
      </c>
      <c r="BM79" s="61">
        <v>0</v>
      </c>
      <c r="BN79" s="61">
        <v>0</v>
      </c>
      <c r="BO79" s="61">
        <v>0</v>
      </c>
      <c r="BP79" s="61">
        <v>0</v>
      </c>
      <c r="BQ79" s="61">
        <v>0</v>
      </c>
      <c r="BR79" s="61">
        <v>0</v>
      </c>
      <c r="BS79" s="61">
        <v>0</v>
      </c>
      <c r="BT79" s="61">
        <v>0</v>
      </c>
      <c r="BU79" s="61">
        <v>0</v>
      </c>
      <c r="BV79" s="61">
        <v>0</v>
      </c>
      <c r="BW79" s="61">
        <v>0</v>
      </c>
      <c r="BX79" s="61">
        <v>0</v>
      </c>
      <c r="BY79" s="61">
        <v>0</v>
      </c>
      <c r="BZ79" s="61">
        <v>0</v>
      </c>
      <c r="CA79" s="61">
        <v>0</v>
      </c>
      <c r="CB79" s="61">
        <v>0</v>
      </c>
      <c r="CC79" s="61">
        <v>0</v>
      </c>
      <c r="CD79" s="61">
        <v>0</v>
      </c>
      <c r="CE79" s="61">
        <v>0</v>
      </c>
      <c r="CF79" s="61">
        <v>0</v>
      </c>
      <c r="CG79" s="61">
        <v>0</v>
      </c>
      <c r="CH79" s="61">
        <v>0</v>
      </c>
      <c r="CI79" s="61">
        <v>0</v>
      </c>
      <c r="CJ79" s="61">
        <v>0</v>
      </c>
      <c r="CK79" s="61">
        <v>0</v>
      </c>
      <c r="CL79" s="61">
        <v>0</v>
      </c>
      <c r="CM79" s="61">
        <v>0</v>
      </c>
      <c r="CN79" s="61">
        <v>0</v>
      </c>
      <c r="CO79" s="61">
        <v>0</v>
      </c>
      <c r="CP79" s="61">
        <v>0</v>
      </c>
      <c r="CQ79" s="61">
        <v>0</v>
      </c>
      <c r="CR79" s="61">
        <v>0</v>
      </c>
      <c r="CS79" s="61">
        <v>0</v>
      </c>
      <c r="CT79" s="61">
        <v>0</v>
      </c>
      <c r="CU79" s="61">
        <v>0</v>
      </c>
      <c r="CV79" s="61">
        <v>0</v>
      </c>
      <c r="CW79" s="61">
        <v>0</v>
      </c>
      <c r="CX79" s="61">
        <v>0</v>
      </c>
      <c r="CY79" s="61">
        <v>0</v>
      </c>
      <c r="CZ79" s="61">
        <v>0</v>
      </c>
      <c r="DA79" s="61">
        <v>0</v>
      </c>
      <c r="DB79" s="61">
        <v>0</v>
      </c>
      <c r="DC79" s="61">
        <v>0</v>
      </c>
      <c r="DD79" s="61">
        <v>0</v>
      </c>
      <c r="DE79" s="61">
        <v>0</v>
      </c>
      <c r="DF79" s="61">
        <v>0</v>
      </c>
      <c r="DG79" s="61">
        <v>0</v>
      </c>
      <c r="DH79" s="61">
        <v>0</v>
      </c>
      <c r="DI79" s="61">
        <v>0</v>
      </c>
      <c r="DJ79" s="61">
        <v>0</v>
      </c>
      <c r="DK79" s="61">
        <v>0</v>
      </c>
      <c r="DL79" s="61">
        <v>0</v>
      </c>
      <c r="DM79" s="61">
        <v>0</v>
      </c>
      <c r="DN79" s="61">
        <v>0</v>
      </c>
      <c r="DO79" s="61">
        <v>0</v>
      </c>
      <c r="DP79" s="61">
        <v>0</v>
      </c>
      <c r="DQ79" s="61">
        <v>0</v>
      </c>
      <c r="DR79" s="61">
        <v>0</v>
      </c>
      <c r="DS79" s="61">
        <v>0</v>
      </c>
      <c r="DT79" s="61">
        <v>0</v>
      </c>
      <c r="DU79" s="61">
        <v>0</v>
      </c>
      <c r="DV79" s="61">
        <v>0</v>
      </c>
      <c r="DW79" s="61">
        <v>0</v>
      </c>
      <c r="DX79" s="61">
        <v>0</v>
      </c>
      <c r="DY79" s="61">
        <v>0</v>
      </c>
      <c r="DZ79" s="61">
        <v>0</v>
      </c>
      <c r="EA79" s="61">
        <v>0</v>
      </c>
      <c r="EB79" s="61">
        <v>0</v>
      </c>
      <c r="EC79" s="61">
        <v>0</v>
      </c>
      <c r="ED79" s="61">
        <v>0</v>
      </c>
      <c r="EE79" s="61">
        <v>0</v>
      </c>
      <c r="EF79" s="61">
        <v>0</v>
      </c>
      <c r="EG79" s="61">
        <v>0</v>
      </c>
      <c r="EH79" s="61">
        <v>0</v>
      </c>
      <c r="EI79" s="61">
        <v>0</v>
      </c>
      <c r="EJ79" s="61">
        <v>0</v>
      </c>
      <c r="EK79" s="61">
        <v>0</v>
      </c>
      <c r="EL79" s="61">
        <v>0</v>
      </c>
      <c r="EM79" s="61">
        <v>0</v>
      </c>
      <c r="EN79" s="61">
        <v>0</v>
      </c>
      <c r="EO79" s="61">
        <v>0</v>
      </c>
      <c r="EP79" s="61">
        <v>0</v>
      </c>
      <c r="EQ79" s="61">
        <v>0</v>
      </c>
      <c r="ER79" s="61">
        <v>0</v>
      </c>
      <c r="ES79" s="61">
        <v>0</v>
      </c>
      <c r="ET79" s="61">
        <v>0</v>
      </c>
      <c r="EU79" s="61">
        <v>0</v>
      </c>
      <c r="EV79" s="61">
        <v>0</v>
      </c>
      <c r="EW79" s="61">
        <v>0</v>
      </c>
      <c r="EX79" s="61">
        <v>0</v>
      </c>
      <c r="EY79" s="61">
        <v>0</v>
      </c>
      <c r="EZ79" s="61">
        <v>0</v>
      </c>
      <c r="FA79" s="61">
        <v>0</v>
      </c>
      <c r="FB79" s="61">
        <v>0</v>
      </c>
      <c r="FC79" s="61">
        <v>0</v>
      </c>
      <c r="FD79" s="61">
        <v>0</v>
      </c>
      <c r="FE79" s="61">
        <v>0</v>
      </c>
      <c r="FF79" s="61">
        <v>0</v>
      </c>
      <c r="FG79" s="65">
        <v>0</v>
      </c>
      <c r="FH79" s="61">
        <v>0</v>
      </c>
      <c r="FI79" s="61">
        <v>0</v>
      </c>
      <c r="FJ79" s="61">
        <v>0</v>
      </c>
      <c r="FK79" s="61">
        <v>0</v>
      </c>
      <c r="FL79" s="61">
        <v>0</v>
      </c>
      <c r="FM79" s="61">
        <v>0</v>
      </c>
      <c r="FN79" s="61">
        <v>0</v>
      </c>
      <c r="FO79" s="61">
        <v>0</v>
      </c>
      <c r="FP79" s="61">
        <v>0</v>
      </c>
      <c r="FQ79" s="61">
        <v>0</v>
      </c>
      <c r="FR79" s="61">
        <v>0</v>
      </c>
      <c r="FS79" s="61">
        <v>0</v>
      </c>
      <c r="FT79" s="61">
        <v>0</v>
      </c>
      <c r="FU79" s="61">
        <v>0</v>
      </c>
      <c r="FV79" s="61">
        <v>0</v>
      </c>
      <c r="FW79" s="66">
        <v>1</v>
      </c>
      <c r="FX79" s="66">
        <v>1</v>
      </c>
      <c r="FY79" s="66">
        <v>1</v>
      </c>
      <c r="FZ79" s="66">
        <v>1</v>
      </c>
      <c r="GA79" s="66">
        <v>1</v>
      </c>
      <c r="GB79" s="66">
        <v>1</v>
      </c>
      <c r="GC79" s="66">
        <v>1</v>
      </c>
      <c r="GD79" s="66">
        <v>1</v>
      </c>
      <c r="GE79" s="66">
        <v>1</v>
      </c>
      <c r="GF79" s="66">
        <v>1</v>
      </c>
      <c r="GG79" s="66">
        <v>1</v>
      </c>
      <c r="GH79" s="66">
        <v>1</v>
      </c>
      <c r="GI79" s="66">
        <v>1</v>
      </c>
      <c r="GJ79" s="66">
        <v>1</v>
      </c>
      <c r="GK79" s="66">
        <v>1</v>
      </c>
      <c r="GL79" s="66">
        <v>1</v>
      </c>
      <c r="GM79" s="66">
        <v>1</v>
      </c>
      <c r="GN79" s="66">
        <v>1</v>
      </c>
      <c r="GO79" s="66">
        <v>1</v>
      </c>
      <c r="GP79" s="66">
        <v>1</v>
      </c>
      <c r="GQ79" s="66">
        <v>1</v>
      </c>
      <c r="GR79" s="66">
        <v>1</v>
      </c>
      <c r="GS79" s="66">
        <v>1</v>
      </c>
      <c r="GT79" s="66">
        <v>1</v>
      </c>
      <c r="GU79" s="66">
        <v>1</v>
      </c>
      <c r="GV79" s="66">
        <v>1</v>
      </c>
      <c r="GW79" s="66">
        <v>1</v>
      </c>
      <c r="GX79" s="66">
        <v>1</v>
      </c>
      <c r="GY79" s="66">
        <v>1</v>
      </c>
      <c r="GZ79" s="66">
        <v>1</v>
      </c>
      <c r="HA79" s="66">
        <v>1</v>
      </c>
      <c r="HB79" s="66">
        <v>1</v>
      </c>
      <c r="HC79" s="66">
        <v>1</v>
      </c>
      <c r="HD79" s="66">
        <v>1</v>
      </c>
      <c r="HE79" s="66">
        <v>1</v>
      </c>
      <c r="HF79" s="66">
        <v>1</v>
      </c>
      <c r="HG79" s="66">
        <v>1</v>
      </c>
      <c r="HH79" s="66"/>
      <c r="HI79" s="66"/>
      <c r="HJ79" s="63">
        <v>1960</v>
      </c>
      <c r="HK79" s="63">
        <f>SUM(FG$4:HI$4)</f>
        <v>55</v>
      </c>
      <c r="HL79" s="61">
        <f>SUM(FG79:HI79)</f>
        <v>37</v>
      </c>
      <c r="HM79" s="67">
        <f t="shared" si="7"/>
        <v>67.272727272727266</v>
      </c>
      <c r="HN79" s="67"/>
      <c r="HS79" s="68" t="s">
        <v>7296</v>
      </c>
      <c r="HT79" s="68"/>
    </row>
    <row r="80" spans="1:247" x14ac:dyDescent="0.3">
      <c r="B80" s="61" t="s">
        <v>7317</v>
      </c>
      <c r="C80" s="61">
        <v>0</v>
      </c>
      <c r="D80" s="61">
        <v>0</v>
      </c>
      <c r="E80" s="61">
        <v>0</v>
      </c>
      <c r="F80" s="61">
        <v>0</v>
      </c>
      <c r="G80" s="61">
        <v>0</v>
      </c>
      <c r="H80" s="61">
        <v>0</v>
      </c>
      <c r="I80" s="61">
        <v>0</v>
      </c>
      <c r="J80" s="61">
        <v>0</v>
      </c>
      <c r="K80" s="61">
        <v>0</v>
      </c>
      <c r="L80" s="61">
        <v>0</v>
      </c>
      <c r="M80" s="61">
        <v>0</v>
      </c>
      <c r="N80" s="61">
        <v>0</v>
      </c>
      <c r="O80" s="61">
        <v>0</v>
      </c>
      <c r="P80" s="61">
        <v>0</v>
      </c>
      <c r="Q80" s="61">
        <v>0</v>
      </c>
      <c r="R80" s="61">
        <v>0</v>
      </c>
      <c r="S80" s="61">
        <v>0</v>
      </c>
      <c r="T80" s="61">
        <v>0</v>
      </c>
      <c r="U80" s="61">
        <v>0</v>
      </c>
      <c r="V80" s="61">
        <v>0</v>
      </c>
      <c r="W80" s="61">
        <v>0</v>
      </c>
      <c r="X80" s="61">
        <v>0</v>
      </c>
      <c r="Y80" s="61">
        <v>0</v>
      </c>
      <c r="Z80" s="61">
        <v>0</v>
      </c>
      <c r="AA80" s="61">
        <v>0</v>
      </c>
      <c r="AB80" s="61">
        <v>0</v>
      </c>
      <c r="AC80" s="61">
        <v>0</v>
      </c>
      <c r="AD80" s="61">
        <v>0</v>
      </c>
      <c r="AE80" s="61">
        <v>0</v>
      </c>
      <c r="AF80" s="61">
        <v>0</v>
      </c>
      <c r="AG80" s="61">
        <v>0</v>
      </c>
      <c r="AH80" s="61">
        <v>0</v>
      </c>
      <c r="AI80" s="61">
        <v>0</v>
      </c>
      <c r="AJ80" s="61">
        <v>0</v>
      </c>
      <c r="AK80" s="61">
        <v>0</v>
      </c>
      <c r="AL80" s="61">
        <v>0</v>
      </c>
      <c r="AM80" s="61">
        <v>0</v>
      </c>
      <c r="AN80" s="61">
        <v>0</v>
      </c>
      <c r="AO80" s="61">
        <v>0</v>
      </c>
      <c r="AP80" s="61">
        <v>0</v>
      </c>
      <c r="AQ80" s="61">
        <v>0</v>
      </c>
      <c r="AR80" s="61">
        <v>0</v>
      </c>
      <c r="AS80" s="61">
        <v>0</v>
      </c>
      <c r="AT80" s="61">
        <v>0</v>
      </c>
      <c r="AU80" s="61">
        <v>0</v>
      </c>
      <c r="AV80" s="61">
        <v>0</v>
      </c>
      <c r="AW80" s="61">
        <v>0</v>
      </c>
      <c r="AX80" s="65">
        <v>0</v>
      </c>
      <c r="AY80" s="61">
        <v>0</v>
      </c>
      <c r="AZ80" s="61">
        <v>0</v>
      </c>
      <c r="BA80" s="61">
        <v>0</v>
      </c>
      <c r="BB80" s="61">
        <v>0</v>
      </c>
      <c r="BC80" s="61">
        <v>0</v>
      </c>
      <c r="BD80" s="61">
        <v>0</v>
      </c>
      <c r="BE80" s="61">
        <v>0</v>
      </c>
      <c r="BF80" s="61">
        <v>0</v>
      </c>
      <c r="BG80" s="61">
        <v>0</v>
      </c>
      <c r="BH80" s="61">
        <v>0</v>
      </c>
      <c r="BI80" s="61">
        <v>0</v>
      </c>
      <c r="BJ80" s="61">
        <v>0</v>
      </c>
      <c r="BK80" s="61">
        <v>0</v>
      </c>
      <c r="BL80" s="61">
        <v>0</v>
      </c>
      <c r="BM80" s="61">
        <v>0</v>
      </c>
      <c r="BN80" s="61">
        <v>0</v>
      </c>
      <c r="BO80" s="61">
        <v>0</v>
      </c>
      <c r="BP80" s="61">
        <v>0</v>
      </c>
      <c r="BQ80" s="61">
        <v>0</v>
      </c>
      <c r="BR80" s="61">
        <v>0</v>
      </c>
      <c r="BS80" s="61">
        <v>0</v>
      </c>
      <c r="BT80" s="61">
        <v>0</v>
      </c>
      <c r="BU80" s="61">
        <v>0</v>
      </c>
      <c r="BV80" s="61">
        <v>0</v>
      </c>
      <c r="BW80" s="61">
        <v>0</v>
      </c>
      <c r="BX80" s="61">
        <v>0</v>
      </c>
      <c r="BY80" s="61">
        <v>0</v>
      </c>
      <c r="BZ80" s="61">
        <v>0</v>
      </c>
      <c r="CA80" s="61">
        <v>0</v>
      </c>
      <c r="CB80" s="61">
        <v>0</v>
      </c>
      <c r="CC80" s="61">
        <v>0</v>
      </c>
      <c r="CD80" s="61">
        <v>0</v>
      </c>
      <c r="CE80" s="61">
        <v>0</v>
      </c>
      <c r="CF80" s="61">
        <v>0</v>
      </c>
      <c r="CG80" s="61">
        <v>0</v>
      </c>
      <c r="CH80" s="61">
        <v>0</v>
      </c>
      <c r="CI80" s="61">
        <v>0</v>
      </c>
      <c r="CJ80" s="61">
        <v>0</v>
      </c>
      <c r="CK80" s="61">
        <v>0</v>
      </c>
      <c r="CL80" s="61">
        <v>0</v>
      </c>
      <c r="CM80" s="61">
        <v>0</v>
      </c>
      <c r="CN80" s="61">
        <v>0</v>
      </c>
      <c r="CO80" s="61">
        <v>0</v>
      </c>
      <c r="CP80" s="61">
        <v>0</v>
      </c>
      <c r="CQ80" s="61">
        <v>0</v>
      </c>
      <c r="CR80" s="61">
        <v>0</v>
      </c>
      <c r="CS80" s="61">
        <v>0</v>
      </c>
      <c r="CT80" s="61">
        <v>0</v>
      </c>
      <c r="CU80" s="61">
        <v>0</v>
      </c>
      <c r="CV80" s="61">
        <v>0</v>
      </c>
      <c r="CW80" s="61">
        <v>0</v>
      </c>
      <c r="CX80" s="61">
        <v>0</v>
      </c>
      <c r="CY80" s="61">
        <v>0</v>
      </c>
      <c r="CZ80" s="61">
        <v>0</v>
      </c>
      <c r="DA80" s="61">
        <v>0</v>
      </c>
      <c r="DB80" s="61">
        <v>0</v>
      </c>
      <c r="DC80" s="61">
        <v>0</v>
      </c>
      <c r="DD80" s="61">
        <v>0</v>
      </c>
      <c r="DE80" s="61">
        <v>0</v>
      </c>
      <c r="DF80" s="61">
        <v>0</v>
      </c>
      <c r="DG80" s="61">
        <v>0</v>
      </c>
      <c r="DH80" s="61">
        <v>0</v>
      </c>
      <c r="DI80" s="61">
        <v>0</v>
      </c>
      <c r="DJ80" s="61">
        <v>0</v>
      </c>
      <c r="DK80" s="61">
        <v>0</v>
      </c>
      <c r="DL80" s="61">
        <v>0</v>
      </c>
      <c r="DM80" s="61">
        <v>0</v>
      </c>
      <c r="DN80" s="61">
        <v>0</v>
      </c>
      <c r="DO80" s="61">
        <v>0</v>
      </c>
      <c r="DP80" s="61">
        <v>0</v>
      </c>
      <c r="DQ80" s="61">
        <v>0</v>
      </c>
      <c r="DR80" s="61">
        <v>0</v>
      </c>
      <c r="DS80" s="61">
        <v>0</v>
      </c>
      <c r="DT80" s="61">
        <v>0</v>
      </c>
      <c r="DU80" s="61">
        <v>0</v>
      </c>
      <c r="DV80" s="61">
        <v>0</v>
      </c>
      <c r="DW80" s="61">
        <v>0</v>
      </c>
      <c r="DX80" s="61">
        <v>0</v>
      </c>
      <c r="DY80" s="61">
        <v>0</v>
      </c>
      <c r="DZ80" s="61">
        <v>0</v>
      </c>
      <c r="EA80" s="61">
        <v>0</v>
      </c>
      <c r="EB80" s="61">
        <v>0</v>
      </c>
      <c r="EC80" s="61">
        <v>0</v>
      </c>
      <c r="ED80" s="61">
        <v>0</v>
      </c>
      <c r="EE80" s="61">
        <v>0</v>
      </c>
      <c r="EF80" s="61">
        <v>0</v>
      </c>
      <c r="EG80" s="61">
        <v>0</v>
      </c>
      <c r="EH80" s="61">
        <v>0</v>
      </c>
      <c r="EI80" s="61">
        <v>0</v>
      </c>
      <c r="EJ80" s="61">
        <v>0</v>
      </c>
      <c r="EK80" s="61">
        <v>0</v>
      </c>
      <c r="EL80" s="61">
        <v>0</v>
      </c>
      <c r="EM80" s="61">
        <v>0</v>
      </c>
      <c r="EN80" s="61">
        <v>0</v>
      </c>
      <c r="EO80" s="61">
        <v>0</v>
      </c>
      <c r="EP80" s="61">
        <v>0</v>
      </c>
      <c r="EQ80" s="61">
        <v>0</v>
      </c>
      <c r="ER80" s="61">
        <v>0</v>
      </c>
      <c r="ES80" s="61">
        <v>0</v>
      </c>
      <c r="ET80" s="61">
        <v>0</v>
      </c>
      <c r="EU80" s="61">
        <v>0</v>
      </c>
      <c r="EV80" s="61">
        <v>0</v>
      </c>
      <c r="EW80" s="61">
        <v>0</v>
      </c>
      <c r="EX80" s="61">
        <v>0</v>
      </c>
      <c r="EY80" s="61">
        <v>0</v>
      </c>
      <c r="EZ80" s="61">
        <v>0</v>
      </c>
      <c r="FA80" s="61">
        <v>0</v>
      </c>
      <c r="FB80" s="61">
        <v>0</v>
      </c>
      <c r="FC80" s="61">
        <v>0</v>
      </c>
      <c r="FD80" s="61">
        <v>0</v>
      </c>
      <c r="FE80" s="61">
        <v>0</v>
      </c>
      <c r="FF80" s="61">
        <v>0</v>
      </c>
      <c r="FG80" s="61">
        <v>0</v>
      </c>
      <c r="FH80" s="61">
        <v>0</v>
      </c>
      <c r="FI80" s="61">
        <v>0</v>
      </c>
      <c r="FJ80" s="61">
        <v>0</v>
      </c>
      <c r="FK80" s="61">
        <v>0</v>
      </c>
      <c r="FL80" s="61">
        <v>0</v>
      </c>
      <c r="FM80" s="61">
        <v>0</v>
      </c>
      <c r="FN80" s="61">
        <v>0</v>
      </c>
      <c r="FO80" s="61">
        <v>0</v>
      </c>
      <c r="FP80" s="61">
        <v>0</v>
      </c>
      <c r="FQ80" s="61">
        <v>0</v>
      </c>
      <c r="FR80" s="61">
        <v>0</v>
      </c>
      <c r="FS80" s="61">
        <v>0</v>
      </c>
      <c r="FT80" s="61">
        <v>0</v>
      </c>
      <c r="FU80" s="61">
        <v>0</v>
      </c>
      <c r="FV80" s="61">
        <v>0</v>
      </c>
      <c r="FW80" s="61">
        <v>0</v>
      </c>
      <c r="FX80" s="61">
        <v>0</v>
      </c>
      <c r="FY80" s="61">
        <v>0</v>
      </c>
      <c r="FZ80" s="61">
        <v>0</v>
      </c>
      <c r="GA80" s="61">
        <v>0</v>
      </c>
      <c r="GB80" s="61">
        <v>0</v>
      </c>
      <c r="GC80" s="61">
        <v>0</v>
      </c>
      <c r="GD80" s="61">
        <v>0</v>
      </c>
      <c r="GE80" s="61">
        <v>0</v>
      </c>
      <c r="GF80" s="61">
        <v>0</v>
      </c>
      <c r="GG80" s="61">
        <v>0</v>
      </c>
      <c r="GH80" s="61">
        <v>0</v>
      </c>
      <c r="GI80" s="61">
        <v>0</v>
      </c>
      <c r="GJ80" s="61">
        <v>0</v>
      </c>
      <c r="GK80" s="61">
        <v>0</v>
      </c>
      <c r="GL80" s="66">
        <v>1</v>
      </c>
      <c r="GM80" s="66">
        <v>1</v>
      </c>
      <c r="GN80" s="66">
        <v>1</v>
      </c>
      <c r="GO80" s="66">
        <v>1</v>
      </c>
      <c r="GP80" s="66">
        <v>1</v>
      </c>
      <c r="GQ80" s="66">
        <v>1</v>
      </c>
      <c r="GR80" s="66">
        <v>1</v>
      </c>
      <c r="GS80" s="66">
        <v>1</v>
      </c>
      <c r="GT80" s="66">
        <v>1</v>
      </c>
      <c r="GU80" s="63">
        <v>0</v>
      </c>
      <c r="GV80" s="63">
        <v>0</v>
      </c>
      <c r="GW80" s="63">
        <v>0</v>
      </c>
      <c r="GX80" s="63">
        <v>0</v>
      </c>
      <c r="GY80" s="63">
        <v>0</v>
      </c>
      <c r="GZ80" s="63">
        <v>0</v>
      </c>
      <c r="HA80" s="63">
        <v>0</v>
      </c>
      <c r="HB80" s="63">
        <v>0</v>
      </c>
      <c r="HC80" s="63">
        <v>0</v>
      </c>
      <c r="HD80" s="63">
        <v>0</v>
      </c>
      <c r="HE80" s="63">
        <v>0</v>
      </c>
      <c r="HF80" s="63">
        <v>0</v>
      </c>
      <c r="HG80" s="63">
        <v>0</v>
      </c>
      <c r="HH80" s="63"/>
      <c r="HI80" s="63"/>
      <c r="HJ80" s="63">
        <v>1847</v>
      </c>
      <c r="HK80" s="63">
        <f>SUM(AX$4:HI$4)</f>
        <v>168</v>
      </c>
      <c r="HL80" s="61">
        <f>SUM(AX80:HI80)</f>
        <v>9</v>
      </c>
      <c r="HM80" s="67">
        <f t="shared" si="7"/>
        <v>5.3571428571428568</v>
      </c>
      <c r="HN80" s="67"/>
      <c r="HO80" s="68"/>
      <c r="HP80" s="68"/>
      <c r="HS80" s="61" t="s">
        <v>7318</v>
      </c>
    </row>
    <row r="81" spans="2:242" x14ac:dyDescent="0.3">
      <c r="B81" s="63" t="s">
        <v>7319</v>
      </c>
      <c r="C81" s="61">
        <v>0</v>
      </c>
      <c r="D81" s="61">
        <v>0</v>
      </c>
      <c r="E81" s="61">
        <v>0</v>
      </c>
      <c r="F81" s="61">
        <v>0</v>
      </c>
      <c r="G81" s="61">
        <v>0</v>
      </c>
      <c r="H81" s="61">
        <v>0</v>
      </c>
      <c r="I81" s="61">
        <v>0</v>
      </c>
      <c r="J81" s="61">
        <v>0</v>
      </c>
      <c r="K81" s="61">
        <v>0</v>
      </c>
      <c r="L81" s="61">
        <v>0</v>
      </c>
      <c r="M81" s="61">
        <v>0</v>
      </c>
      <c r="N81" s="61">
        <v>0</v>
      </c>
      <c r="O81" s="61">
        <v>0</v>
      </c>
      <c r="P81" s="61">
        <v>0</v>
      </c>
      <c r="Q81" s="61">
        <v>0</v>
      </c>
      <c r="R81" s="61">
        <v>0</v>
      </c>
      <c r="S81" s="61">
        <v>0</v>
      </c>
      <c r="T81" s="61">
        <v>0</v>
      </c>
      <c r="U81" s="61">
        <v>0</v>
      </c>
      <c r="V81" s="61">
        <v>0</v>
      </c>
      <c r="W81" s="61">
        <v>0</v>
      </c>
      <c r="X81" s="61">
        <v>0</v>
      </c>
      <c r="Y81" s="61">
        <v>0</v>
      </c>
      <c r="Z81" s="61">
        <v>0</v>
      </c>
      <c r="AA81" s="61">
        <v>0</v>
      </c>
      <c r="AB81" s="61">
        <v>0</v>
      </c>
      <c r="AC81" s="61">
        <v>0</v>
      </c>
      <c r="AD81" s="61">
        <v>0</v>
      </c>
      <c r="AE81" s="61">
        <v>0</v>
      </c>
      <c r="AF81" s="61">
        <v>0</v>
      </c>
      <c r="AG81" s="61">
        <v>0</v>
      </c>
      <c r="AH81" s="61">
        <v>0</v>
      </c>
      <c r="AI81" s="61">
        <v>0</v>
      </c>
      <c r="AJ81" s="61">
        <v>0</v>
      </c>
      <c r="AK81" s="61">
        <v>0</v>
      </c>
      <c r="AL81" s="61">
        <v>0</v>
      </c>
      <c r="AM81" s="61">
        <v>0</v>
      </c>
      <c r="AN81" s="61">
        <v>0</v>
      </c>
      <c r="AO81" s="61">
        <v>0</v>
      </c>
      <c r="AP81" s="61">
        <v>0</v>
      </c>
      <c r="AQ81" s="61">
        <v>0</v>
      </c>
      <c r="AR81" s="61">
        <v>0</v>
      </c>
      <c r="AS81" s="61">
        <v>0</v>
      </c>
      <c r="AT81" s="61">
        <v>0</v>
      </c>
      <c r="AU81" s="61">
        <v>0</v>
      </c>
      <c r="AV81" s="61">
        <v>0</v>
      </c>
      <c r="AW81" s="61">
        <v>0</v>
      </c>
      <c r="AX81" s="61">
        <v>0</v>
      </c>
      <c r="AY81" s="61">
        <v>0</v>
      </c>
      <c r="AZ81" s="61">
        <v>0</v>
      </c>
      <c r="BA81" s="61">
        <v>0</v>
      </c>
      <c r="BB81" s="61">
        <v>0</v>
      </c>
      <c r="BC81" s="61">
        <v>0</v>
      </c>
      <c r="BD81" s="61">
        <v>0</v>
      </c>
      <c r="BE81" s="61">
        <v>0</v>
      </c>
      <c r="BF81" s="61">
        <v>0</v>
      </c>
      <c r="BG81" s="61">
        <v>0</v>
      </c>
      <c r="BH81" s="61">
        <v>0</v>
      </c>
      <c r="BI81" s="61">
        <v>0</v>
      </c>
      <c r="BJ81" s="61">
        <v>0</v>
      </c>
      <c r="BK81" s="61">
        <v>0</v>
      </c>
      <c r="BL81" s="61">
        <v>0</v>
      </c>
      <c r="BM81" s="61">
        <v>0</v>
      </c>
      <c r="BN81" s="61">
        <v>0</v>
      </c>
      <c r="BO81" s="61">
        <v>0</v>
      </c>
      <c r="BP81" s="61">
        <v>0</v>
      </c>
      <c r="BQ81" s="61">
        <v>0</v>
      </c>
      <c r="BR81" s="61">
        <v>0</v>
      </c>
      <c r="BS81" s="61">
        <v>0</v>
      </c>
      <c r="BT81" s="61">
        <v>0</v>
      </c>
      <c r="BU81" s="61">
        <v>0</v>
      </c>
      <c r="BV81" s="61">
        <v>0</v>
      </c>
      <c r="BW81" s="61">
        <v>0</v>
      </c>
      <c r="BX81" s="61">
        <v>0</v>
      </c>
      <c r="BY81" s="61">
        <v>0</v>
      </c>
      <c r="BZ81" s="61">
        <v>0</v>
      </c>
      <c r="CA81" s="61">
        <v>0</v>
      </c>
      <c r="CB81" s="61">
        <v>0</v>
      </c>
      <c r="CC81" s="61">
        <v>0</v>
      </c>
      <c r="CD81" s="61">
        <v>0</v>
      </c>
      <c r="CE81" s="61">
        <v>0</v>
      </c>
      <c r="CF81" s="61">
        <v>0</v>
      </c>
      <c r="CG81" s="61">
        <v>0</v>
      </c>
      <c r="CH81" s="61">
        <v>0</v>
      </c>
      <c r="CI81" s="61">
        <v>0</v>
      </c>
      <c r="CJ81" s="61">
        <v>0</v>
      </c>
      <c r="CK81" s="61">
        <v>0</v>
      </c>
      <c r="CL81" s="61">
        <v>0</v>
      </c>
      <c r="CM81" s="61">
        <v>0</v>
      </c>
      <c r="CN81" s="61">
        <v>0</v>
      </c>
      <c r="CO81" s="61">
        <v>0</v>
      </c>
      <c r="CP81" s="61">
        <v>0</v>
      </c>
      <c r="CQ81" s="61">
        <v>0</v>
      </c>
      <c r="CR81" s="61">
        <v>0</v>
      </c>
      <c r="CS81" s="61">
        <v>0</v>
      </c>
      <c r="CT81" s="61">
        <v>0</v>
      </c>
      <c r="CU81" s="61">
        <v>0</v>
      </c>
      <c r="CV81" s="61">
        <v>0</v>
      </c>
      <c r="CW81" s="61">
        <v>0</v>
      </c>
      <c r="CX81" s="61">
        <v>0</v>
      </c>
      <c r="CY81" s="61">
        <v>0</v>
      </c>
      <c r="CZ81" s="61">
        <v>0</v>
      </c>
      <c r="DA81" s="61">
        <v>0</v>
      </c>
      <c r="DB81" s="61">
        <v>0</v>
      </c>
      <c r="DC81" s="61">
        <v>0</v>
      </c>
      <c r="DD81" s="61">
        <v>0</v>
      </c>
      <c r="DE81" s="61">
        <v>0</v>
      </c>
      <c r="DF81" s="61">
        <v>0</v>
      </c>
      <c r="DG81" s="61">
        <v>0</v>
      </c>
      <c r="DH81" s="61">
        <v>0</v>
      </c>
      <c r="DI81" s="61">
        <v>0</v>
      </c>
      <c r="DJ81" s="61">
        <v>0</v>
      </c>
      <c r="DK81" s="61">
        <v>0</v>
      </c>
      <c r="DL81" s="61">
        <v>0</v>
      </c>
      <c r="DM81" s="61">
        <v>0</v>
      </c>
      <c r="DN81" s="61">
        <v>0</v>
      </c>
      <c r="DO81" s="61">
        <v>0</v>
      </c>
      <c r="DP81" s="61">
        <v>0</v>
      </c>
      <c r="DQ81" s="61">
        <v>0</v>
      </c>
      <c r="DR81" s="61">
        <v>0</v>
      </c>
      <c r="DS81" s="61">
        <v>0</v>
      </c>
      <c r="DT81" s="61">
        <v>0</v>
      </c>
      <c r="DU81" s="61">
        <v>0</v>
      </c>
      <c r="DV81" s="61">
        <v>0</v>
      </c>
      <c r="DW81" s="61">
        <v>0</v>
      </c>
      <c r="DX81" s="61">
        <v>0</v>
      </c>
      <c r="DY81" s="61">
        <v>0</v>
      </c>
      <c r="DZ81" s="61">
        <v>0</v>
      </c>
      <c r="EA81" s="61">
        <v>0</v>
      </c>
      <c r="EB81" s="61">
        <v>0</v>
      </c>
      <c r="EC81" s="61">
        <v>0</v>
      </c>
      <c r="ED81" s="61">
        <v>0</v>
      </c>
      <c r="EE81" s="61">
        <v>0</v>
      </c>
      <c r="EF81" s="61">
        <v>0</v>
      </c>
      <c r="EG81" s="61">
        <v>0</v>
      </c>
      <c r="EH81" s="61">
        <v>0</v>
      </c>
      <c r="EI81" s="61">
        <v>0</v>
      </c>
      <c r="EJ81" s="61">
        <v>0</v>
      </c>
      <c r="EK81" s="61">
        <v>0</v>
      </c>
      <c r="EL81" s="61">
        <v>0</v>
      </c>
      <c r="EM81" s="61">
        <v>0</v>
      </c>
      <c r="EN81" s="61">
        <v>0</v>
      </c>
      <c r="EO81" s="61">
        <v>0</v>
      </c>
      <c r="EP81" s="61">
        <v>0</v>
      </c>
      <c r="EQ81" s="61">
        <v>0</v>
      </c>
      <c r="ER81" s="61">
        <v>0</v>
      </c>
      <c r="ES81" s="61">
        <v>0</v>
      </c>
      <c r="ET81" s="61">
        <v>0</v>
      </c>
      <c r="EU81" s="61">
        <v>0</v>
      </c>
      <c r="EV81" s="61">
        <v>0</v>
      </c>
      <c r="EW81" s="61">
        <v>0</v>
      </c>
      <c r="EX81" s="61">
        <v>0</v>
      </c>
      <c r="EY81" s="61">
        <v>0</v>
      </c>
      <c r="EZ81" s="61">
        <v>0</v>
      </c>
      <c r="FA81" s="61">
        <v>0</v>
      </c>
      <c r="FB81" s="61">
        <v>0</v>
      </c>
      <c r="FC81" s="61">
        <v>0</v>
      </c>
      <c r="FD81" s="61">
        <v>0</v>
      </c>
      <c r="FE81" s="61">
        <v>0</v>
      </c>
      <c r="FF81" s="61">
        <v>0</v>
      </c>
      <c r="FG81" s="65">
        <v>0</v>
      </c>
      <c r="FH81" s="61">
        <v>0</v>
      </c>
      <c r="FI81" s="61">
        <v>0</v>
      </c>
      <c r="FJ81" s="61">
        <v>0</v>
      </c>
      <c r="FK81" s="61">
        <v>0</v>
      </c>
      <c r="FL81" s="61">
        <v>0</v>
      </c>
      <c r="FM81" s="61">
        <v>0</v>
      </c>
      <c r="FN81" s="61">
        <v>0</v>
      </c>
      <c r="FO81" s="61">
        <v>0</v>
      </c>
      <c r="FP81" s="61">
        <v>0</v>
      </c>
      <c r="FQ81" s="61">
        <v>0</v>
      </c>
      <c r="FR81" s="61">
        <v>0</v>
      </c>
      <c r="FS81" s="61">
        <v>0</v>
      </c>
      <c r="FT81" s="61">
        <v>0</v>
      </c>
      <c r="FU81" s="61">
        <v>0</v>
      </c>
      <c r="FV81" s="61">
        <v>0</v>
      </c>
      <c r="FW81" s="61">
        <v>0</v>
      </c>
      <c r="FX81" s="61">
        <v>0</v>
      </c>
      <c r="FY81" s="66">
        <v>1</v>
      </c>
      <c r="FZ81" s="61">
        <v>0</v>
      </c>
      <c r="GA81" s="61">
        <v>0</v>
      </c>
      <c r="GB81" s="61">
        <v>0</v>
      </c>
      <c r="GC81" s="61">
        <v>0</v>
      </c>
      <c r="GD81" s="61">
        <v>0</v>
      </c>
      <c r="GE81" s="61">
        <v>0</v>
      </c>
      <c r="GF81" s="61">
        <v>0</v>
      </c>
      <c r="GG81" s="66">
        <v>1</v>
      </c>
      <c r="GH81" s="66">
        <v>1</v>
      </c>
      <c r="GI81" s="66">
        <v>1</v>
      </c>
      <c r="GJ81" s="66">
        <v>1</v>
      </c>
      <c r="GK81" s="66">
        <v>1</v>
      </c>
      <c r="GL81" s="66">
        <v>1</v>
      </c>
      <c r="GM81" s="66">
        <v>1</v>
      </c>
      <c r="GN81" s="66">
        <v>1</v>
      </c>
      <c r="GO81" s="66">
        <v>1</v>
      </c>
      <c r="GP81" s="61">
        <v>0</v>
      </c>
      <c r="GQ81" s="61">
        <v>0</v>
      </c>
      <c r="GR81" s="61">
        <v>0</v>
      </c>
      <c r="GS81" s="61">
        <v>0</v>
      </c>
      <c r="GT81" s="66">
        <v>1</v>
      </c>
      <c r="GU81" s="66">
        <v>1</v>
      </c>
      <c r="GV81" s="66">
        <v>1</v>
      </c>
      <c r="GW81" s="66">
        <v>1</v>
      </c>
      <c r="GX81" s="66">
        <v>1</v>
      </c>
      <c r="GY81" s="66">
        <v>1</v>
      </c>
      <c r="GZ81" s="66">
        <v>1</v>
      </c>
      <c r="HA81" s="63">
        <v>0</v>
      </c>
      <c r="HB81" s="63">
        <v>0</v>
      </c>
      <c r="HC81" s="63">
        <v>0</v>
      </c>
      <c r="HD81" s="63">
        <v>0</v>
      </c>
      <c r="HE81" s="63">
        <v>0</v>
      </c>
      <c r="HF81" s="63">
        <v>0</v>
      </c>
      <c r="HG81" s="63">
        <v>0</v>
      </c>
      <c r="HH81" s="63"/>
      <c r="HI81" s="63"/>
      <c r="HJ81" s="63">
        <v>1960</v>
      </c>
      <c r="HK81" s="63">
        <f>SUM(FG$4:HI$4)</f>
        <v>55</v>
      </c>
      <c r="HL81" s="61">
        <f>SUM(FG81:HI81)</f>
        <v>17</v>
      </c>
      <c r="HM81" s="67">
        <f t="shared" si="7"/>
        <v>30.90909090909091</v>
      </c>
      <c r="HN81" s="67"/>
      <c r="HO81" s="68"/>
      <c r="HP81" s="68"/>
    </row>
    <row r="82" spans="2:242" x14ac:dyDescent="0.3">
      <c r="B82" s="63" t="s">
        <v>7320</v>
      </c>
      <c r="C82" s="61">
        <v>0</v>
      </c>
      <c r="D82" s="61">
        <v>0</v>
      </c>
      <c r="E82" s="61">
        <v>0</v>
      </c>
      <c r="F82" s="61">
        <v>0</v>
      </c>
      <c r="G82" s="61">
        <v>0</v>
      </c>
      <c r="H82" s="61">
        <v>0</v>
      </c>
      <c r="I82" s="61">
        <v>0</v>
      </c>
      <c r="J82" s="61">
        <v>0</v>
      </c>
      <c r="K82" s="61">
        <v>0</v>
      </c>
      <c r="L82" s="61">
        <v>0</v>
      </c>
      <c r="M82" s="61">
        <v>0</v>
      </c>
      <c r="N82" s="61">
        <v>0</v>
      </c>
      <c r="O82" s="61">
        <v>0</v>
      </c>
      <c r="P82" s="61">
        <v>0</v>
      </c>
      <c r="Q82" s="61">
        <v>0</v>
      </c>
      <c r="R82" s="61">
        <v>0</v>
      </c>
      <c r="S82" s="61">
        <v>0</v>
      </c>
      <c r="T82" s="61">
        <v>0</v>
      </c>
      <c r="U82" s="61">
        <v>0</v>
      </c>
      <c r="V82" s="61">
        <v>0</v>
      </c>
      <c r="W82" s="61">
        <v>0</v>
      </c>
      <c r="X82" s="61">
        <v>0</v>
      </c>
      <c r="Y82" s="61">
        <v>0</v>
      </c>
      <c r="Z82" s="61">
        <v>0</v>
      </c>
      <c r="AA82" s="61">
        <v>0</v>
      </c>
      <c r="AB82" s="61">
        <v>0</v>
      </c>
      <c r="AC82" s="61">
        <v>0</v>
      </c>
      <c r="AD82" s="61">
        <v>0</v>
      </c>
      <c r="AE82" s="61">
        <v>0</v>
      </c>
      <c r="AF82" s="61">
        <v>0</v>
      </c>
      <c r="AG82" s="61">
        <v>0</v>
      </c>
      <c r="AH82" s="61">
        <v>0</v>
      </c>
      <c r="AI82" s="61">
        <v>0</v>
      </c>
      <c r="AJ82" s="61">
        <v>0</v>
      </c>
      <c r="AK82" s="61">
        <v>0</v>
      </c>
      <c r="AL82" s="61">
        <v>0</v>
      </c>
      <c r="AM82" s="61">
        <v>0</v>
      </c>
      <c r="AN82" s="61">
        <v>0</v>
      </c>
      <c r="AO82" s="61">
        <v>0</v>
      </c>
      <c r="AP82" s="61">
        <v>0</v>
      </c>
      <c r="AQ82" s="61">
        <v>0</v>
      </c>
      <c r="AR82" s="61">
        <v>0</v>
      </c>
      <c r="AS82" s="61">
        <v>0</v>
      </c>
      <c r="AT82" s="61">
        <v>0</v>
      </c>
      <c r="AU82" s="61">
        <v>0</v>
      </c>
      <c r="AV82" s="61">
        <v>0</v>
      </c>
      <c r="AW82" s="61">
        <v>0</v>
      </c>
      <c r="AX82" s="61">
        <v>0</v>
      </c>
      <c r="AY82" s="61">
        <v>0</v>
      </c>
      <c r="AZ82" s="61">
        <v>0</v>
      </c>
      <c r="BA82" s="61">
        <v>0</v>
      </c>
      <c r="BB82" s="61">
        <v>0</v>
      </c>
      <c r="BC82" s="61">
        <v>0</v>
      </c>
      <c r="BD82" s="61">
        <v>0</v>
      </c>
      <c r="BE82" s="61">
        <v>0</v>
      </c>
      <c r="BF82" s="61">
        <v>0</v>
      </c>
      <c r="BG82" s="61">
        <v>0</v>
      </c>
      <c r="BH82" s="61">
        <v>0</v>
      </c>
      <c r="BI82" s="61">
        <v>0</v>
      </c>
      <c r="BJ82" s="61">
        <v>0</v>
      </c>
      <c r="BK82" s="61">
        <v>0</v>
      </c>
      <c r="BL82" s="61">
        <v>0</v>
      </c>
      <c r="BM82" s="61">
        <v>0</v>
      </c>
      <c r="BN82" s="61">
        <v>0</v>
      </c>
      <c r="BO82" s="61">
        <v>0</v>
      </c>
      <c r="BP82" s="61">
        <v>0</v>
      </c>
      <c r="BQ82" s="61">
        <v>0</v>
      </c>
      <c r="BR82" s="61">
        <v>0</v>
      </c>
      <c r="BS82" s="61">
        <v>0</v>
      </c>
      <c r="BT82" s="61">
        <v>0</v>
      </c>
      <c r="BU82" s="61">
        <v>0</v>
      </c>
      <c r="BV82" s="61">
        <v>0</v>
      </c>
      <c r="BW82" s="61">
        <v>0</v>
      </c>
      <c r="BX82" s="61">
        <v>0</v>
      </c>
      <c r="BY82" s="61">
        <v>0</v>
      </c>
      <c r="BZ82" s="61">
        <v>0</v>
      </c>
      <c r="CA82" s="61">
        <v>0</v>
      </c>
      <c r="CB82" s="61">
        <v>0</v>
      </c>
      <c r="CC82" s="61">
        <v>0</v>
      </c>
      <c r="CD82" s="61">
        <v>0</v>
      </c>
      <c r="CE82" s="61">
        <v>0</v>
      </c>
      <c r="CF82" s="61">
        <v>0</v>
      </c>
      <c r="CG82" s="61">
        <v>0</v>
      </c>
      <c r="CH82" s="61">
        <v>0</v>
      </c>
      <c r="CI82" s="61">
        <v>0</v>
      </c>
      <c r="CJ82" s="61">
        <v>0</v>
      </c>
      <c r="CK82" s="61">
        <v>0</v>
      </c>
      <c r="CL82" s="61">
        <v>0</v>
      </c>
      <c r="CM82" s="61">
        <v>0</v>
      </c>
      <c r="CN82" s="61">
        <v>0</v>
      </c>
      <c r="CO82" s="61">
        <v>0</v>
      </c>
      <c r="CP82" s="61">
        <v>0</v>
      </c>
      <c r="CQ82" s="61">
        <v>0</v>
      </c>
      <c r="CR82" s="61">
        <v>0</v>
      </c>
      <c r="CS82" s="61">
        <v>0</v>
      </c>
      <c r="CT82" s="61">
        <v>0</v>
      </c>
      <c r="CU82" s="61">
        <v>0</v>
      </c>
      <c r="CV82" s="61">
        <v>0</v>
      </c>
      <c r="CW82" s="61">
        <v>0</v>
      </c>
      <c r="CX82" s="61">
        <v>0</v>
      </c>
      <c r="CY82" s="61">
        <v>0</v>
      </c>
      <c r="CZ82" s="61">
        <v>0</v>
      </c>
      <c r="DA82" s="61">
        <v>0</v>
      </c>
      <c r="DB82" s="61">
        <v>0</v>
      </c>
      <c r="DC82" s="61">
        <v>0</v>
      </c>
      <c r="DD82" s="61">
        <v>0</v>
      </c>
      <c r="DE82" s="61">
        <v>0</v>
      </c>
      <c r="DF82" s="61">
        <v>0</v>
      </c>
      <c r="DG82" s="61">
        <v>0</v>
      </c>
      <c r="DH82" s="61">
        <v>0</v>
      </c>
      <c r="DI82" s="61">
        <v>0</v>
      </c>
      <c r="DJ82" s="61">
        <v>0</v>
      </c>
      <c r="DK82" s="61">
        <v>0</v>
      </c>
      <c r="DL82" s="61">
        <v>0</v>
      </c>
      <c r="DM82" s="61">
        <v>0</v>
      </c>
      <c r="DN82" s="61">
        <v>0</v>
      </c>
      <c r="DO82" s="61">
        <v>0</v>
      </c>
      <c r="DP82" s="61">
        <v>0</v>
      </c>
      <c r="DQ82" s="61">
        <v>0</v>
      </c>
      <c r="DR82" s="61">
        <v>0</v>
      </c>
      <c r="DS82" s="61">
        <v>0</v>
      </c>
      <c r="DT82" s="61">
        <v>0</v>
      </c>
      <c r="DU82" s="61">
        <v>0</v>
      </c>
      <c r="DV82" s="61">
        <v>0</v>
      </c>
      <c r="DW82" s="61">
        <v>0</v>
      </c>
      <c r="DX82" s="61">
        <v>0</v>
      </c>
      <c r="DY82" s="61">
        <v>0</v>
      </c>
      <c r="DZ82" s="61">
        <v>0</v>
      </c>
      <c r="EA82" s="61">
        <v>0</v>
      </c>
      <c r="EB82" s="61">
        <v>0</v>
      </c>
      <c r="EC82" s="61">
        <v>0</v>
      </c>
      <c r="ED82" s="61">
        <v>0</v>
      </c>
      <c r="EE82" s="61">
        <v>0</v>
      </c>
      <c r="EF82" s="61">
        <v>0</v>
      </c>
      <c r="EG82" s="61">
        <v>0</v>
      </c>
      <c r="EH82" s="61">
        <v>0</v>
      </c>
      <c r="EI82" s="61">
        <v>0</v>
      </c>
      <c r="EJ82" s="61">
        <v>0</v>
      </c>
      <c r="EK82" s="61">
        <v>0</v>
      </c>
      <c r="EL82" s="61">
        <v>0</v>
      </c>
      <c r="EM82" s="61">
        <v>0</v>
      </c>
      <c r="EN82" s="61">
        <v>0</v>
      </c>
      <c r="EO82" s="61">
        <v>0</v>
      </c>
      <c r="EP82" s="61">
        <v>0</v>
      </c>
      <c r="EQ82" s="61">
        <v>0</v>
      </c>
      <c r="ER82" s="61">
        <v>0</v>
      </c>
      <c r="ES82" s="61">
        <v>0</v>
      </c>
      <c r="ET82" s="61">
        <v>0</v>
      </c>
      <c r="EU82" s="61">
        <v>0</v>
      </c>
      <c r="EV82" s="61">
        <v>0</v>
      </c>
      <c r="EW82" s="61">
        <v>0</v>
      </c>
      <c r="EX82" s="61">
        <v>0</v>
      </c>
      <c r="EY82" s="61">
        <v>0</v>
      </c>
      <c r="EZ82" s="61">
        <v>0</v>
      </c>
      <c r="FA82" s="61">
        <v>0</v>
      </c>
      <c r="FB82" s="61">
        <v>0</v>
      </c>
      <c r="FC82" s="61">
        <v>0</v>
      </c>
      <c r="FD82" s="61">
        <v>0</v>
      </c>
      <c r="FE82" s="61">
        <v>0</v>
      </c>
      <c r="FF82" s="61">
        <v>0</v>
      </c>
      <c r="FG82" s="61">
        <v>0</v>
      </c>
      <c r="FH82" s="61">
        <v>0</v>
      </c>
      <c r="FI82" s="61">
        <v>0</v>
      </c>
      <c r="FJ82" s="61">
        <v>0</v>
      </c>
      <c r="FK82" s="61">
        <v>0</v>
      </c>
      <c r="FL82" s="65">
        <v>0</v>
      </c>
      <c r="FM82" s="61">
        <v>0</v>
      </c>
      <c r="FN82" s="61">
        <v>0</v>
      </c>
      <c r="FO82" s="61">
        <v>0</v>
      </c>
      <c r="FP82" s="61">
        <v>0</v>
      </c>
      <c r="FQ82" s="61">
        <v>0</v>
      </c>
      <c r="FR82" s="61">
        <v>0</v>
      </c>
      <c r="FS82" s="61">
        <v>0</v>
      </c>
      <c r="FT82" s="61">
        <v>0</v>
      </c>
      <c r="FU82" s="61">
        <v>0</v>
      </c>
      <c r="FV82" s="61">
        <v>0</v>
      </c>
      <c r="FW82" s="61">
        <v>0</v>
      </c>
      <c r="FX82" s="61">
        <v>0</v>
      </c>
      <c r="FY82" s="61">
        <v>0</v>
      </c>
      <c r="FZ82" s="61">
        <v>0</v>
      </c>
      <c r="GA82" s="61">
        <v>0</v>
      </c>
      <c r="GB82" s="61">
        <v>0</v>
      </c>
      <c r="GC82" s="61">
        <v>0</v>
      </c>
      <c r="GD82" s="61">
        <v>0</v>
      </c>
      <c r="GE82" s="61">
        <v>0</v>
      </c>
      <c r="GF82" s="61">
        <v>0</v>
      </c>
      <c r="GG82" s="66">
        <v>1</v>
      </c>
      <c r="GH82" s="66">
        <v>1</v>
      </c>
      <c r="GI82" s="66">
        <v>1</v>
      </c>
      <c r="GJ82" s="66">
        <v>1</v>
      </c>
      <c r="GK82" s="66">
        <v>1</v>
      </c>
      <c r="GL82" s="61">
        <v>0</v>
      </c>
      <c r="GM82" s="61">
        <v>0</v>
      </c>
      <c r="GN82" s="61">
        <v>0</v>
      </c>
      <c r="GO82" s="61">
        <v>0</v>
      </c>
      <c r="GP82" s="61">
        <v>0</v>
      </c>
      <c r="GQ82" s="61">
        <v>0</v>
      </c>
      <c r="GR82" s="61">
        <v>0</v>
      </c>
      <c r="GS82" s="61">
        <v>0</v>
      </c>
      <c r="GT82" s="61">
        <v>0</v>
      </c>
      <c r="GU82" s="63">
        <v>0</v>
      </c>
      <c r="GV82" s="63">
        <v>0</v>
      </c>
      <c r="GW82" s="63">
        <v>0</v>
      </c>
      <c r="GX82" s="63">
        <v>0</v>
      </c>
      <c r="GY82" s="63">
        <v>0</v>
      </c>
      <c r="GZ82" s="63">
        <v>0</v>
      </c>
      <c r="HA82" s="63">
        <v>0</v>
      </c>
      <c r="HB82" s="63">
        <v>0</v>
      </c>
      <c r="HC82" s="63">
        <v>0</v>
      </c>
      <c r="HD82" s="63">
        <v>0</v>
      </c>
      <c r="HE82" s="63">
        <v>0</v>
      </c>
      <c r="HF82" s="63">
        <v>0</v>
      </c>
      <c r="HG82" s="63">
        <v>0</v>
      </c>
      <c r="HH82" s="63"/>
      <c r="HI82" s="63"/>
      <c r="HJ82" s="63">
        <v>1965</v>
      </c>
      <c r="HK82" s="63">
        <f>SUM(FL$4:HI$4)</f>
        <v>50</v>
      </c>
      <c r="HL82" s="61">
        <f>SUM(FL82:HI82)</f>
        <v>5</v>
      </c>
      <c r="HM82" s="67">
        <f t="shared" si="7"/>
        <v>10</v>
      </c>
      <c r="HN82" s="67"/>
      <c r="HO82" s="68"/>
      <c r="HP82" s="68"/>
    </row>
    <row r="83" spans="2:242" x14ac:dyDescent="0.3">
      <c r="B83" s="63" t="s">
        <v>7321</v>
      </c>
      <c r="C83" s="61">
        <v>0</v>
      </c>
      <c r="D83" s="61">
        <v>0</v>
      </c>
      <c r="E83" s="61">
        <v>0</v>
      </c>
      <c r="F83" s="61">
        <v>0</v>
      </c>
      <c r="G83" s="61">
        <v>0</v>
      </c>
      <c r="H83" s="61">
        <v>0</v>
      </c>
      <c r="I83" s="61">
        <v>0</v>
      </c>
      <c r="J83" s="61">
        <v>0</v>
      </c>
      <c r="K83" s="61">
        <v>0</v>
      </c>
      <c r="L83" s="61">
        <v>0</v>
      </c>
      <c r="M83" s="61">
        <v>0</v>
      </c>
      <c r="N83" s="61">
        <v>0</v>
      </c>
      <c r="O83" s="61">
        <v>0</v>
      </c>
      <c r="P83" s="61">
        <v>0</v>
      </c>
      <c r="Q83" s="61">
        <v>0</v>
      </c>
      <c r="R83" s="61">
        <v>0</v>
      </c>
      <c r="S83" s="61">
        <v>0</v>
      </c>
      <c r="T83" s="61">
        <v>0</v>
      </c>
      <c r="U83" s="61">
        <v>0</v>
      </c>
      <c r="V83" s="61">
        <v>0</v>
      </c>
      <c r="W83" s="61">
        <v>0</v>
      </c>
      <c r="X83" s="61">
        <v>0</v>
      </c>
      <c r="Y83" s="61">
        <v>0</v>
      </c>
      <c r="Z83" s="61">
        <v>0</v>
      </c>
      <c r="AA83" s="63">
        <v>0</v>
      </c>
      <c r="AB83" s="63">
        <v>0</v>
      </c>
      <c r="AC83" s="63">
        <v>0</v>
      </c>
      <c r="AD83" s="63">
        <v>0</v>
      </c>
      <c r="AE83" s="63">
        <v>0</v>
      </c>
      <c r="AF83" s="63">
        <v>0</v>
      </c>
      <c r="AG83" s="63">
        <v>0</v>
      </c>
      <c r="AH83" s="63">
        <v>0</v>
      </c>
      <c r="AI83" s="63">
        <v>0</v>
      </c>
      <c r="AJ83" s="63">
        <v>0</v>
      </c>
      <c r="AK83" s="63">
        <v>0</v>
      </c>
      <c r="AL83" s="63">
        <v>0</v>
      </c>
      <c r="AM83" s="63">
        <v>0</v>
      </c>
      <c r="AN83" s="63">
        <v>0</v>
      </c>
      <c r="AO83" s="63">
        <v>0</v>
      </c>
      <c r="AP83" s="63">
        <v>0</v>
      </c>
      <c r="AQ83" s="63">
        <v>0</v>
      </c>
      <c r="AR83" s="63">
        <v>0</v>
      </c>
      <c r="AS83" s="63">
        <v>0</v>
      </c>
      <c r="AT83" s="63">
        <v>0</v>
      </c>
      <c r="AU83" s="63">
        <v>0</v>
      </c>
      <c r="AV83" s="63">
        <v>0</v>
      </c>
      <c r="AW83" s="63">
        <v>0</v>
      </c>
      <c r="AX83" s="63">
        <v>0</v>
      </c>
      <c r="AY83" s="63">
        <v>0</v>
      </c>
      <c r="AZ83" s="63">
        <v>0</v>
      </c>
      <c r="BA83" s="63">
        <v>0</v>
      </c>
      <c r="BB83" s="63">
        <v>0</v>
      </c>
      <c r="BC83" s="63">
        <v>0</v>
      </c>
      <c r="BD83" s="63">
        <v>0</v>
      </c>
      <c r="BE83" s="63">
        <v>0</v>
      </c>
      <c r="BF83" s="63">
        <v>0</v>
      </c>
      <c r="BG83" s="63">
        <v>0</v>
      </c>
      <c r="BH83" s="63">
        <v>0</v>
      </c>
      <c r="BI83" s="63">
        <v>0</v>
      </c>
      <c r="BJ83" s="63">
        <v>0</v>
      </c>
      <c r="BK83" s="63">
        <v>0</v>
      </c>
      <c r="BL83" s="63">
        <v>0</v>
      </c>
      <c r="BM83" s="63">
        <v>0</v>
      </c>
      <c r="BN83" s="63">
        <v>0</v>
      </c>
      <c r="BO83" s="63">
        <v>0</v>
      </c>
      <c r="BP83" s="63">
        <v>0</v>
      </c>
      <c r="BQ83" s="63">
        <v>0</v>
      </c>
      <c r="BR83" s="63">
        <v>0</v>
      </c>
      <c r="BS83" s="63">
        <v>0</v>
      </c>
      <c r="BT83" s="63">
        <v>0</v>
      </c>
      <c r="BU83" s="63">
        <v>0</v>
      </c>
      <c r="BV83" s="63">
        <v>0</v>
      </c>
      <c r="BW83" s="63">
        <v>0</v>
      </c>
      <c r="BX83" s="63">
        <v>0</v>
      </c>
      <c r="BY83" s="63">
        <v>0</v>
      </c>
      <c r="BZ83" s="63">
        <v>0</v>
      </c>
      <c r="CA83" s="63">
        <v>0</v>
      </c>
      <c r="CB83" s="63">
        <v>0</v>
      </c>
      <c r="CC83" s="63">
        <v>0</v>
      </c>
      <c r="CD83" s="63">
        <v>0</v>
      </c>
      <c r="CE83" s="63">
        <v>0</v>
      </c>
      <c r="CF83" s="63">
        <v>0</v>
      </c>
      <c r="CG83" s="63">
        <v>0</v>
      </c>
      <c r="CH83" s="63">
        <v>0</v>
      </c>
      <c r="CI83" s="63">
        <v>0</v>
      </c>
      <c r="CJ83" s="63">
        <v>0</v>
      </c>
      <c r="CK83" s="63">
        <v>0</v>
      </c>
      <c r="CL83" s="63">
        <v>0</v>
      </c>
      <c r="CM83" s="63">
        <v>0</v>
      </c>
      <c r="CN83" s="63">
        <v>0</v>
      </c>
      <c r="CO83" s="63">
        <v>0</v>
      </c>
      <c r="CP83" s="63">
        <v>0</v>
      </c>
      <c r="CQ83" s="63">
        <v>0</v>
      </c>
      <c r="CR83" s="63">
        <v>0</v>
      </c>
      <c r="CS83" s="63">
        <v>0</v>
      </c>
      <c r="CT83" s="63">
        <v>0</v>
      </c>
      <c r="CU83" s="63">
        <v>0</v>
      </c>
      <c r="CV83" s="63">
        <v>0</v>
      </c>
      <c r="CW83" s="63">
        <v>0</v>
      </c>
      <c r="CX83" s="63">
        <v>0</v>
      </c>
      <c r="CY83" s="63">
        <v>0</v>
      </c>
      <c r="CZ83" s="63">
        <v>0</v>
      </c>
      <c r="DA83" s="63">
        <v>0</v>
      </c>
      <c r="DB83" s="63">
        <v>0</v>
      </c>
      <c r="DC83" s="63">
        <v>0</v>
      </c>
      <c r="DD83" s="63">
        <v>0</v>
      </c>
      <c r="DE83" s="63">
        <v>0</v>
      </c>
      <c r="DF83" s="63">
        <v>0</v>
      </c>
      <c r="DG83" s="63">
        <v>0</v>
      </c>
      <c r="DH83" s="63">
        <v>0</v>
      </c>
      <c r="DI83" s="63">
        <v>0</v>
      </c>
      <c r="DJ83" s="63">
        <v>0</v>
      </c>
      <c r="DK83" s="63">
        <v>0</v>
      </c>
      <c r="DL83" s="63">
        <v>0</v>
      </c>
      <c r="DM83" s="63">
        <v>0</v>
      </c>
      <c r="DN83" s="63">
        <v>0</v>
      </c>
      <c r="DO83" s="63">
        <v>0</v>
      </c>
      <c r="DP83" s="63">
        <v>0</v>
      </c>
      <c r="DQ83" s="63">
        <v>0</v>
      </c>
      <c r="DR83" s="63">
        <v>0</v>
      </c>
      <c r="DS83" s="63">
        <v>0</v>
      </c>
      <c r="DT83" s="63">
        <v>0</v>
      </c>
      <c r="DU83" s="63">
        <v>0</v>
      </c>
      <c r="DV83" s="63">
        <v>0</v>
      </c>
      <c r="DW83" s="63">
        <v>0</v>
      </c>
      <c r="DX83" s="63">
        <v>0</v>
      </c>
      <c r="DY83" s="63">
        <v>0</v>
      </c>
      <c r="DZ83" s="63">
        <v>0</v>
      </c>
      <c r="EA83" s="63">
        <v>0</v>
      </c>
      <c r="EB83" s="63">
        <v>0</v>
      </c>
      <c r="EC83" s="63">
        <v>0</v>
      </c>
      <c r="ED83" s="63">
        <v>0</v>
      </c>
      <c r="EE83" s="63">
        <v>0</v>
      </c>
      <c r="EF83" s="63">
        <v>0</v>
      </c>
      <c r="EG83" s="63">
        <v>0</v>
      </c>
      <c r="EH83" s="63">
        <v>0</v>
      </c>
      <c r="EI83" s="63">
        <v>0</v>
      </c>
      <c r="EJ83" s="63">
        <v>0</v>
      </c>
      <c r="EK83" s="63">
        <v>0</v>
      </c>
      <c r="EL83" s="63">
        <v>0</v>
      </c>
      <c r="EM83" s="63">
        <v>0</v>
      </c>
      <c r="EN83" s="63">
        <v>0</v>
      </c>
      <c r="EO83" s="63">
        <v>0</v>
      </c>
      <c r="EP83" s="63">
        <v>0</v>
      </c>
      <c r="EQ83" s="63">
        <v>0</v>
      </c>
      <c r="ER83" s="63">
        <v>0</v>
      </c>
      <c r="ES83" s="63">
        <v>0</v>
      </c>
      <c r="ET83" s="63">
        <v>0</v>
      </c>
      <c r="EU83" s="63">
        <v>0</v>
      </c>
      <c r="EV83" s="63">
        <v>0</v>
      </c>
      <c r="EW83" s="63">
        <v>0</v>
      </c>
      <c r="EX83" s="63">
        <v>0</v>
      </c>
      <c r="EY83" s="63">
        <v>0</v>
      </c>
      <c r="EZ83" s="63">
        <v>0</v>
      </c>
      <c r="FA83" s="63">
        <v>0</v>
      </c>
      <c r="FB83" s="63">
        <v>0</v>
      </c>
      <c r="FC83" s="63">
        <v>0</v>
      </c>
      <c r="FD83" s="65">
        <v>0</v>
      </c>
      <c r="FE83" s="63">
        <v>0</v>
      </c>
      <c r="FF83" s="63">
        <v>0</v>
      </c>
      <c r="FG83" s="63">
        <v>0</v>
      </c>
      <c r="FH83" s="63">
        <v>0</v>
      </c>
      <c r="FI83" s="63">
        <v>0</v>
      </c>
      <c r="FJ83" s="63">
        <v>0</v>
      </c>
      <c r="FK83" s="63">
        <v>0</v>
      </c>
      <c r="FL83" s="63">
        <v>0</v>
      </c>
      <c r="FM83" s="66">
        <v>1</v>
      </c>
      <c r="FN83" s="66">
        <v>1</v>
      </c>
      <c r="FO83" s="66">
        <v>1</v>
      </c>
      <c r="FP83" s="66">
        <v>1</v>
      </c>
      <c r="FQ83" s="66">
        <v>1</v>
      </c>
      <c r="FR83" s="66">
        <v>1</v>
      </c>
      <c r="FS83" s="66">
        <v>1</v>
      </c>
      <c r="FT83" s="66">
        <v>1</v>
      </c>
      <c r="FU83" s="66">
        <v>1</v>
      </c>
      <c r="FV83" s="63">
        <v>0</v>
      </c>
      <c r="FW83" s="63">
        <v>0</v>
      </c>
      <c r="FX83" s="63">
        <v>0</v>
      </c>
      <c r="FY83" s="63">
        <v>0</v>
      </c>
      <c r="FZ83" s="63">
        <v>0</v>
      </c>
      <c r="GA83" s="63">
        <v>0</v>
      </c>
      <c r="GB83" s="63">
        <v>0</v>
      </c>
      <c r="GC83" s="63">
        <v>0</v>
      </c>
      <c r="GD83" s="63">
        <v>0</v>
      </c>
      <c r="GE83" s="63">
        <v>0</v>
      </c>
      <c r="GF83" s="63">
        <v>0</v>
      </c>
      <c r="GG83" s="63">
        <v>0</v>
      </c>
      <c r="GH83" s="66">
        <v>1</v>
      </c>
      <c r="GI83" s="63">
        <v>0</v>
      </c>
      <c r="GJ83" s="63">
        <v>0</v>
      </c>
      <c r="GK83" s="63">
        <v>0</v>
      </c>
      <c r="GL83" s="63">
        <v>0</v>
      </c>
      <c r="GM83" s="63">
        <v>0</v>
      </c>
      <c r="GN83" s="63">
        <v>0</v>
      </c>
      <c r="GO83" s="63">
        <v>0</v>
      </c>
      <c r="GP83" s="63">
        <v>0</v>
      </c>
      <c r="GQ83" s="63">
        <v>0</v>
      </c>
      <c r="GR83" s="63">
        <v>0</v>
      </c>
      <c r="GS83" s="63">
        <v>0</v>
      </c>
      <c r="GT83" s="63">
        <v>0</v>
      </c>
      <c r="GU83" s="63">
        <v>0</v>
      </c>
      <c r="GV83" s="63">
        <v>0</v>
      </c>
      <c r="GW83" s="63">
        <v>0</v>
      </c>
      <c r="GX83" s="63">
        <v>0</v>
      </c>
      <c r="GY83" s="63">
        <v>0</v>
      </c>
      <c r="GZ83" s="63">
        <v>0</v>
      </c>
      <c r="HA83" s="63">
        <v>0</v>
      </c>
      <c r="HB83" s="63">
        <v>0</v>
      </c>
      <c r="HC83" s="63">
        <v>0</v>
      </c>
      <c r="HD83" s="63">
        <v>0</v>
      </c>
      <c r="HE83" s="63">
        <v>0</v>
      </c>
      <c r="HF83" s="63">
        <v>0</v>
      </c>
      <c r="HG83" s="63">
        <v>0</v>
      </c>
      <c r="HH83" s="63"/>
      <c r="HI83" s="63"/>
      <c r="HJ83" s="63">
        <v>1957</v>
      </c>
      <c r="HK83" s="63">
        <f>SUM(FD$4:HI$4)</f>
        <v>58</v>
      </c>
      <c r="HL83" s="61">
        <f>SUM(FD83:HI83)</f>
        <v>10</v>
      </c>
      <c r="HM83" s="67">
        <f t="shared" si="7"/>
        <v>17.241379310344829</v>
      </c>
      <c r="HN83" s="67"/>
      <c r="HO83" s="68"/>
      <c r="HP83" s="68"/>
      <c r="HQ83" s="63"/>
      <c r="HR83" s="63"/>
      <c r="IC83" s="63"/>
      <c r="ID83" s="63"/>
      <c r="IE83" s="63"/>
      <c r="IF83" s="63"/>
      <c r="IG83" s="63"/>
      <c r="IH83" s="63"/>
    </row>
    <row r="84" spans="2:242" x14ac:dyDescent="0.3">
      <c r="B84" s="63" t="s">
        <v>7322</v>
      </c>
      <c r="C84" s="61">
        <v>0</v>
      </c>
      <c r="D84" s="61">
        <v>0</v>
      </c>
      <c r="E84" s="61">
        <v>0</v>
      </c>
      <c r="F84" s="61">
        <v>0</v>
      </c>
      <c r="G84" s="61">
        <v>0</v>
      </c>
      <c r="H84" s="61">
        <v>0</v>
      </c>
      <c r="I84" s="61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  <c r="P84" s="61">
        <v>0</v>
      </c>
      <c r="Q84" s="61">
        <v>0</v>
      </c>
      <c r="R84" s="61">
        <v>0</v>
      </c>
      <c r="S84" s="61">
        <v>0</v>
      </c>
      <c r="T84" s="61">
        <v>0</v>
      </c>
      <c r="U84" s="61">
        <v>0</v>
      </c>
      <c r="V84" s="61">
        <v>0</v>
      </c>
      <c r="W84" s="61">
        <v>0</v>
      </c>
      <c r="X84" s="61">
        <v>0</v>
      </c>
      <c r="Y84" s="61">
        <v>0</v>
      </c>
      <c r="Z84" s="61">
        <v>0</v>
      </c>
      <c r="AA84" s="61">
        <v>0</v>
      </c>
      <c r="AB84" s="61">
        <v>0</v>
      </c>
      <c r="AC84" s="61">
        <v>0</v>
      </c>
      <c r="AD84" s="61">
        <v>0</v>
      </c>
      <c r="AE84" s="61">
        <v>0</v>
      </c>
      <c r="AF84" s="61">
        <v>0</v>
      </c>
      <c r="AG84" s="61">
        <v>0</v>
      </c>
      <c r="AH84" s="61">
        <v>0</v>
      </c>
      <c r="AI84" s="61">
        <v>0</v>
      </c>
      <c r="AJ84" s="61">
        <v>0</v>
      </c>
      <c r="AK84" s="61">
        <v>0</v>
      </c>
      <c r="AL84" s="61">
        <v>0</v>
      </c>
      <c r="AM84" s="61">
        <v>0</v>
      </c>
      <c r="AN84" s="61">
        <v>0</v>
      </c>
      <c r="AO84" s="61">
        <v>0</v>
      </c>
      <c r="AP84" s="61">
        <v>0</v>
      </c>
      <c r="AQ84" s="61">
        <v>0</v>
      </c>
      <c r="AR84" s="61">
        <v>0</v>
      </c>
      <c r="AS84" s="61">
        <v>0</v>
      </c>
      <c r="AT84" s="61">
        <v>0</v>
      </c>
      <c r="AU84" s="61">
        <v>0</v>
      </c>
      <c r="AV84" s="61">
        <v>0</v>
      </c>
      <c r="AW84" s="61">
        <v>0</v>
      </c>
      <c r="AX84" s="61">
        <v>0</v>
      </c>
      <c r="AY84" s="61">
        <v>0</v>
      </c>
      <c r="AZ84" s="61">
        <v>0</v>
      </c>
      <c r="BA84" s="61">
        <v>0</v>
      </c>
      <c r="BB84" s="61">
        <v>0</v>
      </c>
      <c r="BC84" s="61">
        <v>0</v>
      </c>
      <c r="BD84" s="61">
        <v>0</v>
      </c>
      <c r="BE84" s="61">
        <v>0</v>
      </c>
      <c r="BF84" s="61">
        <v>0</v>
      </c>
      <c r="BG84" s="61">
        <v>0</v>
      </c>
      <c r="BH84" s="61">
        <v>0</v>
      </c>
      <c r="BI84" s="61">
        <v>0</v>
      </c>
      <c r="BJ84" s="61">
        <v>0</v>
      </c>
      <c r="BK84" s="61">
        <v>0</v>
      </c>
      <c r="BL84" s="61">
        <v>0</v>
      </c>
      <c r="BM84" s="61">
        <v>0</v>
      </c>
      <c r="BN84" s="61">
        <v>0</v>
      </c>
      <c r="BO84" s="61">
        <v>0</v>
      </c>
      <c r="BP84" s="61">
        <v>0</v>
      </c>
      <c r="BQ84" s="61">
        <v>0</v>
      </c>
      <c r="BR84" s="61">
        <v>0</v>
      </c>
      <c r="BS84" s="61">
        <v>0</v>
      </c>
      <c r="BT84" s="61">
        <v>0</v>
      </c>
      <c r="BU84" s="61">
        <v>0</v>
      </c>
      <c r="BV84" s="61">
        <v>0</v>
      </c>
      <c r="BW84" s="61">
        <v>0</v>
      </c>
      <c r="BX84" s="61">
        <v>0</v>
      </c>
      <c r="BY84" s="61">
        <v>0</v>
      </c>
      <c r="BZ84" s="61">
        <v>0</v>
      </c>
      <c r="CA84" s="61">
        <v>0</v>
      </c>
      <c r="CB84" s="61">
        <v>0</v>
      </c>
      <c r="CC84" s="61">
        <v>0</v>
      </c>
      <c r="CD84" s="61">
        <v>0</v>
      </c>
      <c r="CE84" s="61">
        <v>0</v>
      </c>
      <c r="CF84" s="61">
        <v>0</v>
      </c>
      <c r="CG84" s="61">
        <v>0</v>
      </c>
      <c r="CH84" s="61">
        <v>0</v>
      </c>
      <c r="CI84" s="61">
        <v>0</v>
      </c>
      <c r="CJ84" s="61">
        <v>0</v>
      </c>
      <c r="CK84" s="61">
        <v>0</v>
      </c>
      <c r="CL84" s="61">
        <v>0</v>
      </c>
      <c r="CM84" s="61">
        <v>0</v>
      </c>
      <c r="CN84" s="61">
        <v>0</v>
      </c>
      <c r="CO84" s="61">
        <v>0</v>
      </c>
      <c r="CP84" s="61">
        <v>0</v>
      </c>
      <c r="CQ84" s="61">
        <v>0</v>
      </c>
      <c r="CR84" s="61">
        <v>0</v>
      </c>
      <c r="CS84" s="61">
        <v>0</v>
      </c>
      <c r="CT84" s="61">
        <v>0</v>
      </c>
      <c r="CU84" s="61">
        <v>0</v>
      </c>
      <c r="CV84" s="61">
        <v>0</v>
      </c>
      <c r="CW84" s="61">
        <v>0</v>
      </c>
      <c r="CX84" s="61">
        <v>0</v>
      </c>
      <c r="CY84" s="61">
        <v>0</v>
      </c>
      <c r="CZ84" s="61">
        <v>0</v>
      </c>
      <c r="DA84" s="61">
        <v>0</v>
      </c>
      <c r="DB84" s="61">
        <v>0</v>
      </c>
      <c r="DC84" s="61">
        <v>0</v>
      </c>
      <c r="DD84" s="61">
        <v>0</v>
      </c>
      <c r="DE84" s="61">
        <v>0</v>
      </c>
      <c r="DF84" s="61">
        <v>0</v>
      </c>
      <c r="DG84" s="61">
        <v>0</v>
      </c>
      <c r="DH84" s="61">
        <v>0</v>
      </c>
      <c r="DI84" s="61">
        <v>0</v>
      </c>
      <c r="DJ84" s="61">
        <v>0</v>
      </c>
      <c r="DK84" s="61">
        <v>0</v>
      </c>
      <c r="DL84" s="61">
        <v>0</v>
      </c>
      <c r="DM84" s="61">
        <v>0</v>
      </c>
      <c r="DN84" s="61">
        <v>0</v>
      </c>
      <c r="DO84" s="61">
        <v>0</v>
      </c>
      <c r="DP84" s="61">
        <v>0</v>
      </c>
      <c r="DQ84" s="61">
        <v>0</v>
      </c>
      <c r="DR84" s="61">
        <v>0</v>
      </c>
      <c r="DS84" s="61">
        <v>0</v>
      </c>
      <c r="DT84" s="61">
        <v>0</v>
      </c>
      <c r="DU84" s="61">
        <v>0</v>
      </c>
      <c r="DV84" s="61">
        <v>0</v>
      </c>
      <c r="DW84" s="61">
        <v>0</v>
      </c>
      <c r="DX84" s="61">
        <v>0</v>
      </c>
      <c r="DY84" s="61">
        <v>0</v>
      </c>
      <c r="DZ84" s="61">
        <v>0</v>
      </c>
      <c r="EA84" s="61">
        <v>0</v>
      </c>
      <c r="EB84" s="61">
        <v>0</v>
      </c>
      <c r="EC84" s="61">
        <v>0</v>
      </c>
      <c r="ED84" s="61">
        <v>0</v>
      </c>
      <c r="EE84" s="61">
        <v>0</v>
      </c>
      <c r="EF84" s="61">
        <v>0</v>
      </c>
      <c r="EG84" s="61">
        <v>0</v>
      </c>
      <c r="EH84" s="61">
        <v>0</v>
      </c>
      <c r="EI84" s="61">
        <v>0</v>
      </c>
      <c r="EJ84" s="61">
        <v>0</v>
      </c>
      <c r="EK84" s="61">
        <v>0</v>
      </c>
      <c r="EL84" s="61">
        <v>0</v>
      </c>
      <c r="EM84" s="61">
        <v>0</v>
      </c>
      <c r="EN84" s="61">
        <v>0</v>
      </c>
      <c r="EO84" s="61">
        <v>0</v>
      </c>
      <c r="EP84" s="61">
        <v>0</v>
      </c>
      <c r="EQ84" s="61">
        <v>0</v>
      </c>
      <c r="ER84" s="61">
        <v>0</v>
      </c>
      <c r="ES84" s="61">
        <v>0</v>
      </c>
      <c r="ET84" s="61">
        <v>0</v>
      </c>
      <c r="EU84" s="61">
        <v>0</v>
      </c>
      <c r="EV84" s="61">
        <v>0</v>
      </c>
      <c r="EW84" s="61">
        <v>0</v>
      </c>
      <c r="EX84" s="61">
        <v>0</v>
      </c>
      <c r="EY84" s="61">
        <v>0</v>
      </c>
      <c r="EZ84" s="61">
        <v>0</v>
      </c>
      <c r="FA84" s="61">
        <v>0</v>
      </c>
      <c r="FB84" s="61">
        <v>0</v>
      </c>
      <c r="FC84" s="61">
        <v>0</v>
      </c>
      <c r="FD84" s="63">
        <v>0</v>
      </c>
      <c r="FE84" s="65">
        <v>0</v>
      </c>
      <c r="FF84" s="61">
        <v>0</v>
      </c>
      <c r="FG84" s="61">
        <v>0</v>
      </c>
      <c r="FH84" s="61">
        <v>0</v>
      </c>
      <c r="FI84" s="61">
        <v>0</v>
      </c>
      <c r="FJ84" s="61">
        <v>0</v>
      </c>
      <c r="FK84" s="61">
        <v>0</v>
      </c>
      <c r="FL84" s="61">
        <v>0</v>
      </c>
      <c r="FM84" s="61">
        <v>0</v>
      </c>
      <c r="FN84" s="61">
        <v>0</v>
      </c>
      <c r="FO84" s="61">
        <v>0</v>
      </c>
      <c r="FP84" s="61">
        <v>0</v>
      </c>
      <c r="FQ84" s="61">
        <v>0</v>
      </c>
      <c r="FR84" s="61">
        <v>0</v>
      </c>
      <c r="FS84" s="61">
        <v>0</v>
      </c>
      <c r="FT84" s="61">
        <v>0</v>
      </c>
      <c r="FU84" s="61">
        <v>0</v>
      </c>
      <c r="FV84" s="61">
        <v>0</v>
      </c>
      <c r="FW84" s="61">
        <v>0</v>
      </c>
      <c r="FX84" s="61">
        <v>0</v>
      </c>
      <c r="FY84" s="61">
        <v>0</v>
      </c>
      <c r="FZ84" s="61">
        <v>0</v>
      </c>
      <c r="GA84" s="61">
        <v>0</v>
      </c>
      <c r="GB84" s="61">
        <v>0</v>
      </c>
      <c r="GC84" s="61">
        <v>0</v>
      </c>
      <c r="GD84" s="61">
        <v>0</v>
      </c>
      <c r="GE84" s="61">
        <v>0</v>
      </c>
      <c r="GF84" s="61">
        <v>0</v>
      </c>
      <c r="GG84" s="66">
        <v>1</v>
      </c>
      <c r="GH84" s="66">
        <v>1</v>
      </c>
      <c r="GI84" s="66">
        <v>1</v>
      </c>
      <c r="GJ84" s="61">
        <v>0</v>
      </c>
      <c r="GK84" s="61">
        <v>0</v>
      </c>
      <c r="GL84" s="66">
        <v>1</v>
      </c>
      <c r="GM84" s="66">
        <v>1</v>
      </c>
      <c r="GN84" s="66">
        <v>1</v>
      </c>
      <c r="GO84" s="66">
        <v>1</v>
      </c>
      <c r="GP84" s="66">
        <v>1</v>
      </c>
      <c r="GQ84" s="66">
        <v>1</v>
      </c>
      <c r="GR84" s="66">
        <v>1</v>
      </c>
      <c r="GS84" s="66">
        <v>1</v>
      </c>
      <c r="GT84" s="61">
        <v>0</v>
      </c>
      <c r="GU84" s="63">
        <v>0</v>
      </c>
      <c r="GV84" s="63">
        <v>0</v>
      </c>
      <c r="GW84" s="63">
        <v>0</v>
      </c>
      <c r="GX84" s="63">
        <v>0</v>
      </c>
      <c r="GY84" s="63">
        <v>0</v>
      </c>
      <c r="GZ84" s="63">
        <v>0</v>
      </c>
      <c r="HA84" s="63">
        <v>0</v>
      </c>
      <c r="HB84" s="61">
        <v>0</v>
      </c>
      <c r="HC84" s="61">
        <v>0</v>
      </c>
      <c r="HD84" s="61">
        <v>0</v>
      </c>
      <c r="HE84" s="61">
        <v>0</v>
      </c>
      <c r="HF84" s="61">
        <v>0</v>
      </c>
      <c r="HG84" s="61">
        <v>0</v>
      </c>
      <c r="HH84" s="61"/>
      <c r="HI84" s="61"/>
      <c r="HJ84" s="63">
        <v>1958</v>
      </c>
      <c r="HK84" s="63">
        <f>SUM(FE$4:HA$4)</f>
        <v>49</v>
      </c>
      <c r="HL84" s="61">
        <f>SUM(C84:HA84)</f>
        <v>11</v>
      </c>
      <c r="HM84" s="67">
        <f t="shared" si="7"/>
        <v>22.448979591836736</v>
      </c>
      <c r="HN84" s="67"/>
      <c r="HO84" s="68"/>
      <c r="HP84" s="68"/>
    </row>
    <row r="85" spans="2:242" x14ac:dyDescent="0.3">
      <c r="B85" s="63" t="s">
        <v>7323</v>
      </c>
      <c r="C85" s="61">
        <v>0</v>
      </c>
      <c r="D85" s="61">
        <v>0</v>
      </c>
      <c r="E85" s="61">
        <v>0</v>
      </c>
      <c r="F85" s="61">
        <v>0</v>
      </c>
      <c r="G85" s="61">
        <v>0</v>
      </c>
      <c r="H85" s="61">
        <v>0</v>
      </c>
      <c r="I85" s="61">
        <v>0</v>
      </c>
      <c r="J85" s="61">
        <v>0</v>
      </c>
      <c r="K85" s="61">
        <v>0</v>
      </c>
      <c r="L85" s="61">
        <v>0</v>
      </c>
      <c r="M85" s="61">
        <v>0</v>
      </c>
      <c r="N85" s="61">
        <v>0</v>
      </c>
      <c r="O85" s="61">
        <v>0</v>
      </c>
      <c r="P85" s="61">
        <v>0</v>
      </c>
      <c r="Q85" s="61">
        <v>0</v>
      </c>
      <c r="R85" s="61">
        <v>0</v>
      </c>
      <c r="S85" s="61">
        <v>0</v>
      </c>
      <c r="T85" s="61">
        <v>0</v>
      </c>
      <c r="U85" s="61">
        <v>0</v>
      </c>
      <c r="V85" s="61">
        <v>0</v>
      </c>
      <c r="W85" s="61">
        <v>0</v>
      </c>
      <c r="X85" s="61">
        <v>0</v>
      </c>
      <c r="Y85" s="61">
        <v>0</v>
      </c>
      <c r="Z85" s="61">
        <v>0</v>
      </c>
      <c r="AA85" s="61">
        <v>0</v>
      </c>
      <c r="AB85" s="61">
        <v>0</v>
      </c>
      <c r="AC85" s="61">
        <v>0</v>
      </c>
      <c r="AD85" s="61">
        <v>0</v>
      </c>
      <c r="AE85" s="61">
        <v>0</v>
      </c>
      <c r="AF85" s="61">
        <v>0</v>
      </c>
      <c r="AG85" s="61">
        <v>0</v>
      </c>
      <c r="AH85" s="61">
        <v>0</v>
      </c>
      <c r="AI85" s="61">
        <v>0</v>
      </c>
      <c r="AJ85" s="61">
        <v>0</v>
      </c>
      <c r="AK85" s="61">
        <v>0</v>
      </c>
      <c r="AL85" s="61">
        <v>0</v>
      </c>
      <c r="AM85" s="61">
        <v>0</v>
      </c>
      <c r="AN85" s="61">
        <v>0</v>
      </c>
      <c r="AO85" s="61">
        <v>0</v>
      </c>
      <c r="AP85" s="61">
        <v>0</v>
      </c>
      <c r="AQ85" s="61">
        <v>0</v>
      </c>
      <c r="AR85" s="61">
        <v>0</v>
      </c>
      <c r="AS85" s="61">
        <v>0</v>
      </c>
      <c r="AT85" s="61">
        <v>0</v>
      </c>
      <c r="AU85" s="61">
        <v>0</v>
      </c>
      <c r="AV85" s="61">
        <v>0</v>
      </c>
      <c r="AW85" s="61">
        <v>0</v>
      </c>
      <c r="AX85" s="61">
        <v>0</v>
      </c>
      <c r="AY85" s="61">
        <v>0</v>
      </c>
      <c r="AZ85" s="61">
        <v>0</v>
      </c>
      <c r="BA85" s="61">
        <v>0</v>
      </c>
      <c r="BB85" s="61">
        <v>0</v>
      </c>
      <c r="BC85" s="61">
        <v>0</v>
      </c>
      <c r="BD85" s="61">
        <v>0</v>
      </c>
      <c r="BE85" s="61">
        <v>0</v>
      </c>
      <c r="BF85" s="61">
        <v>0</v>
      </c>
      <c r="BG85" s="61">
        <v>0</v>
      </c>
      <c r="BH85" s="61">
        <v>0</v>
      </c>
      <c r="BI85" s="61">
        <v>0</v>
      </c>
      <c r="BJ85" s="61">
        <v>0</v>
      </c>
      <c r="BK85" s="61">
        <v>0</v>
      </c>
      <c r="BL85" s="61">
        <v>0</v>
      </c>
      <c r="BM85" s="61">
        <v>0</v>
      </c>
      <c r="BN85" s="61">
        <v>0</v>
      </c>
      <c r="BO85" s="61">
        <v>0</v>
      </c>
      <c r="BP85" s="61">
        <v>0</v>
      </c>
      <c r="BQ85" s="61">
        <v>0</v>
      </c>
      <c r="BR85" s="61">
        <v>0</v>
      </c>
      <c r="BS85" s="61">
        <v>0</v>
      </c>
      <c r="BT85" s="61">
        <v>0</v>
      </c>
      <c r="BU85" s="61">
        <v>0</v>
      </c>
      <c r="BV85" s="61">
        <v>0</v>
      </c>
      <c r="BW85" s="61">
        <v>0</v>
      </c>
      <c r="BX85" s="61">
        <v>0</v>
      </c>
      <c r="BY85" s="61">
        <v>0</v>
      </c>
      <c r="BZ85" s="61">
        <v>0</v>
      </c>
      <c r="CA85" s="61">
        <v>0</v>
      </c>
      <c r="CB85" s="61">
        <v>0</v>
      </c>
      <c r="CC85" s="61">
        <v>0</v>
      </c>
      <c r="CD85" s="61">
        <v>0</v>
      </c>
      <c r="CE85" s="61">
        <v>0</v>
      </c>
      <c r="CF85" s="61">
        <v>0</v>
      </c>
      <c r="CG85" s="61">
        <v>0</v>
      </c>
      <c r="CH85" s="61">
        <v>0</v>
      </c>
      <c r="CI85" s="61">
        <v>0</v>
      </c>
      <c r="CJ85" s="61">
        <v>0</v>
      </c>
      <c r="CK85" s="61">
        <v>0</v>
      </c>
      <c r="CL85" s="61">
        <v>0</v>
      </c>
      <c r="CM85" s="61">
        <v>0</v>
      </c>
      <c r="CN85" s="61">
        <v>0</v>
      </c>
      <c r="CO85" s="61">
        <v>0</v>
      </c>
      <c r="CP85" s="61">
        <v>0</v>
      </c>
      <c r="CQ85" s="61">
        <v>0</v>
      </c>
      <c r="CR85" s="61">
        <v>0</v>
      </c>
      <c r="CS85" s="61">
        <v>0</v>
      </c>
      <c r="CT85" s="61">
        <v>0</v>
      </c>
      <c r="CU85" s="61">
        <v>0</v>
      </c>
      <c r="CV85" s="61">
        <v>0</v>
      </c>
      <c r="CW85" s="61">
        <v>0</v>
      </c>
      <c r="CX85" s="61">
        <v>0</v>
      </c>
      <c r="CY85" s="61">
        <v>0</v>
      </c>
      <c r="CZ85" s="61">
        <v>0</v>
      </c>
      <c r="DA85" s="61">
        <v>0</v>
      </c>
      <c r="DB85" s="61">
        <v>0</v>
      </c>
      <c r="DC85" s="61">
        <v>0</v>
      </c>
      <c r="DD85" s="61">
        <v>0</v>
      </c>
      <c r="DE85" s="61">
        <v>0</v>
      </c>
      <c r="DF85" s="61">
        <v>0</v>
      </c>
      <c r="DG85" s="61">
        <v>0</v>
      </c>
      <c r="DH85" s="61">
        <v>0</v>
      </c>
      <c r="DI85" s="61">
        <v>0</v>
      </c>
      <c r="DJ85" s="61">
        <v>0</v>
      </c>
      <c r="DK85" s="61">
        <v>0</v>
      </c>
      <c r="DL85" s="61">
        <v>0</v>
      </c>
      <c r="DM85" s="61">
        <v>0</v>
      </c>
      <c r="DN85" s="61">
        <v>0</v>
      </c>
      <c r="DO85" s="61">
        <v>0</v>
      </c>
      <c r="DP85" s="61">
        <v>0</v>
      </c>
      <c r="DQ85" s="61">
        <v>0</v>
      </c>
      <c r="DR85" s="61">
        <v>0</v>
      </c>
      <c r="DS85" s="61">
        <v>0</v>
      </c>
      <c r="DT85" s="61">
        <v>0</v>
      </c>
      <c r="DU85" s="61">
        <v>0</v>
      </c>
      <c r="DV85" s="61">
        <v>0</v>
      </c>
      <c r="DW85" s="61">
        <v>0</v>
      </c>
      <c r="DX85" s="61">
        <v>0</v>
      </c>
      <c r="DY85" s="61">
        <v>0</v>
      </c>
      <c r="DZ85" s="61">
        <v>0</v>
      </c>
      <c r="EA85" s="61">
        <v>0</v>
      </c>
      <c r="EB85" s="61">
        <v>0</v>
      </c>
      <c r="EC85" s="61">
        <v>0</v>
      </c>
      <c r="ED85" s="61">
        <v>0</v>
      </c>
      <c r="EE85" s="61">
        <v>0</v>
      </c>
      <c r="EF85" s="61">
        <v>0</v>
      </c>
      <c r="EG85" s="61">
        <v>0</v>
      </c>
      <c r="EH85" s="61">
        <v>0</v>
      </c>
      <c r="EI85" s="61">
        <v>0</v>
      </c>
      <c r="EJ85" s="61">
        <v>0</v>
      </c>
      <c r="EK85" s="61">
        <v>0</v>
      </c>
      <c r="EL85" s="61">
        <v>0</v>
      </c>
      <c r="EM85" s="61">
        <v>0</v>
      </c>
      <c r="EN85" s="61">
        <v>0</v>
      </c>
      <c r="EO85" s="61">
        <v>0</v>
      </c>
      <c r="EP85" s="61">
        <v>0</v>
      </c>
      <c r="EQ85" s="61">
        <v>0</v>
      </c>
      <c r="ER85" s="61">
        <v>0</v>
      </c>
      <c r="ES85" s="61">
        <v>0</v>
      </c>
      <c r="ET85" s="61">
        <v>0</v>
      </c>
      <c r="EU85" s="61">
        <v>0</v>
      </c>
      <c r="EV85" s="61">
        <v>0</v>
      </c>
      <c r="EW85" s="61">
        <v>0</v>
      </c>
      <c r="EX85" s="61">
        <v>0</v>
      </c>
      <c r="EY85" s="61">
        <v>0</v>
      </c>
      <c r="EZ85" s="61">
        <v>0</v>
      </c>
      <c r="FA85" s="61">
        <v>0</v>
      </c>
      <c r="FB85" s="61">
        <v>0</v>
      </c>
      <c r="FC85" s="61">
        <v>0</v>
      </c>
      <c r="FD85" s="61">
        <v>0</v>
      </c>
      <c r="FE85" s="61">
        <v>0</v>
      </c>
      <c r="FF85" s="61">
        <v>0</v>
      </c>
      <c r="FG85" s="61">
        <v>0</v>
      </c>
      <c r="FH85" s="61">
        <v>0</v>
      </c>
      <c r="FI85" s="61">
        <v>0</v>
      </c>
      <c r="FJ85" s="61">
        <v>0</v>
      </c>
      <c r="FK85" s="61">
        <v>0</v>
      </c>
      <c r="FL85" s="61">
        <v>0</v>
      </c>
      <c r="FM85" s="61">
        <v>0</v>
      </c>
      <c r="FN85" s="61">
        <v>0</v>
      </c>
      <c r="FO85" s="61">
        <v>0</v>
      </c>
      <c r="FP85" s="61">
        <v>0</v>
      </c>
      <c r="FQ85" s="61">
        <v>0</v>
      </c>
      <c r="FR85" s="61">
        <v>0</v>
      </c>
      <c r="FS85" s="61">
        <v>0</v>
      </c>
      <c r="FT85" s="61">
        <v>0</v>
      </c>
      <c r="FU85" s="65">
        <v>0</v>
      </c>
      <c r="FV85" s="61">
        <v>0</v>
      </c>
      <c r="FW85" s="61">
        <v>0</v>
      </c>
      <c r="FX85" s="61">
        <v>0</v>
      </c>
      <c r="FY85" s="61">
        <v>0</v>
      </c>
      <c r="FZ85" s="61">
        <v>0</v>
      </c>
      <c r="GA85" s="61">
        <v>0</v>
      </c>
      <c r="GB85" s="61">
        <v>0</v>
      </c>
      <c r="GC85" s="61">
        <v>0</v>
      </c>
      <c r="GD85" s="66">
        <v>1</v>
      </c>
      <c r="GE85" s="66">
        <v>1</v>
      </c>
      <c r="GF85" s="66">
        <v>1</v>
      </c>
      <c r="GG85" s="66">
        <v>1</v>
      </c>
      <c r="GH85" s="66">
        <v>1</v>
      </c>
      <c r="GI85" s="66">
        <v>1</v>
      </c>
      <c r="GJ85" s="66">
        <v>1</v>
      </c>
      <c r="GK85" s="66">
        <v>1</v>
      </c>
      <c r="GL85" s="66">
        <v>1</v>
      </c>
      <c r="GM85" s="66">
        <v>1</v>
      </c>
      <c r="GN85" s="66">
        <v>1</v>
      </c>
      <c r="GO85" s="66">
        <v>1</v>
      </c>
      <c r="GP85" s="66">
        <v>1</v>
      </c>
      <c r="GQ85" s="66">
        <v>1</v>
      </c>
      <c r="GR85" s="61">
        <v>0</v>
      </c>
      <c r="GS85" s="61">
        <v>0</v>
      </c>
      <c r="GT85" s="61">
        <v>0</v>
      </c>
      <c r="GU85" s="61">
        <v>0</v>
      </c>
      <c r="GV85" s="61">
        <v>0</v>
      </c>
      <c r="GW85" s="61">
        <v>0</v>
      </c>
      <c r="GX85" s="61">
        <v>0</v>
      </c>
      <c r="GY85" s="61">
        <v>0</v>
      </c>
      <c r="GZ85" s="61">
        <v>0</v>
      </c>
      <c r="HA85" s="61">
        <v>0</v>
      </c>
      <c r="HB85" s="61">
        <v>0</v>
      </c>
      <c r="HC85" s="61">
        <v>0</v>
      </c>
      <c r="HD85" s="61">
        <v>0</v>
      </c>
      <c r="HE85" s="61">
        <v>0</v>
      </c>
      <c r="HF85" s="61">
        <v>0</v>
      </c>
      <c r="HG85" s="61">
        <v>0</v>
      </c>
      <c r="HH85" s="61"/>
      <c r="HI85" s="61"/>
      <c r="HJ85" s="63">
        <v>1974</v>
      </c>
      <c r="HK85" s="63">
        <f>SUM(FU$4:HA$4)</f>
        <v>33</v>
      </c>
      <c r="HL85" s="61">
        <f>SUM(C85:HA85)</f>
        <v>14</v>
      </c>
      <c r="HM85" s="67">
        <f t="shared" si="7"/>
        <v>42.424242424242422</v>
      </c>
      <c r="HN85" s="67"/>
      <c r="HO85" s="68"/>
      <c r="HP85" s="68"/>
      <c r="HS85" s="61" t="s">
        <v>7318</v>
      </c>
    </row>
    <row r="86" spans="2:242" x14ac:dyDescent="0.3">
      <c r="B86" s="61" t="s">
        <v>7324</v>
      </c>
      <c r="C86" s="61">
        <v>0</v>
      </c>
      <c r="D86" s="61">
        <v>0</v>
      </c>
      <c r="E86" s="61">
        <v>0</v>
      </c>
      <c r="F86" s="61">
        <v>0</v>
      </c>
      <c r="G86" s="61">
        <v>0</v>
      </c>
      <c r="H86" s="61">
        <v>0</v>
      </c>
      <c r="I86" s="61">
        <v>0</v>
      </c>
      <c r="J86" s="61">
        <v>0</v>
      </c>
      <c r="K86" s="61">
        <v>0</v>
      </c>
      <c r="L86" s="61">
        <v>0</v>
      </c>
      <c r="M86" s="61">
        <v>0</v>
      </c>
      <c r="N86" s="61">
        <v>0</v>
      </c>
      <c r="O86" s="61">
        <v>0</v>
      </c>
      <c r="P86" s="61">
        <v>0</v>
      </c>
      <c r="Q86" s="61">
        <v>0</v>
      </c>
      <c r="R86" s="61">
        <v>0</v>
      </c>
      <c r="S86" s="61">
        <v>0</v>
      </c>
      <c r="T86" s="61">
        <v>0</v>
      </c>
      <c r="U86" s="61">
        <v>0</v>
      </c>
      <c r="V86" s="61">
        <v>0</v>
      </c>
      <c r="W86" s="61">
        <v>0</v>
      </c>
      <c r="X86" s="61">
        <v>0</v>
      </c>
      <c r="Y86" s="61">
        <v>0</v>
      </c>
      <c r="Z86" s="61">
        <v>0</v>
      </c>
      <c r="AA86" s="61">
        <v>0</v>
      </c>
      <c r="AB86" s="61">
        <v>0</v>
      </c>
      <c r="AC86" s="61">
        <v>0</v>
      </c>
      <c r="AD86" s="61">
        <v>0</v>
      </c>
      <c r="AE86" s="61">
        <v>0</v>
      </c>
      <c r="AF86" s="61">
        <v>0</v>
      </c>
      <c r="AG86" s="61">
        <v>0</v>
      </c>
      <c r="AH86" s="61">
        <v>0</v>
      </c>
      <c r="AI86" s="61">
        <v>0</v>
      </c>
      <c r="AJ86" s="61">
        <v>0</v>
      </c>
      <c r="AK86" s="61">
        <v>0</v>
      </c>
      <c r="AL86" s="61">
        <v>0</v>
      </c>
      <c r="AM86" s="61">
        <v>0</v>
      </c>
      <c r="AN86" s="61">
        <v>0</v>
      </c>
      <c r="AO86" s="61">
        <v>0</v>
      </c>
      <c r="AP86" s="61">
        <v>0</v>
      </c>
      <c r="AQ86" s="61">
        <v>0</v>
      </c>
      <c r="AR86" s="61">
        <v>0</v>
      </c>
      <c r="AS86" s="61">
        <v>0</v>
      </c>
      <c r="AT86" s="61">
        <v>0</v>
      </c>
      <c r="AU86" s="61">
        <v>0</v>
      </c>
      <c r="AV86" s="61">
        <v>0</v>
      </c>
      <c r="AW86" s="61">
        <v>0</v>
      </c>
      <c r="AX86" s="65">
        <v>0</v>
      </c>
      <c r="AY86" s="61">
        <v>0</v>
      </c>
      <c r="AZ86" s="61">
        <v>0</v>
      </c>
      <c r="BA86" s="61">
        <v>0</v>
      </c>
      <c r="BB86" s="61">
        <v>0</v>
      </c>
      <c r="BC86" s="61">
        <v>0</v>
      </c>
      <c r="BD86" s="61">
        <v>0</v>
      </c>
      <c r="BE86" s="61">
        <v>0</v>
      </c>
      <c r="BF86" s="61">
        <v>0</v>
      </c>
      <c r="BG86" s="61">
        <v>0</v>
      </c>
      <c r="BH86" s="61">
        <v>0</v>
      </c>
      <c r="BI86" s="61">
        <v>0</v>
      </c>
      <c r="BJ86" s="61">
        <v>0</v>
      </c>
      <c r="BK86" s="61">
        <v>0</v>
      </c>
      <c r="BL86" s="61">
        <v>0</v>
      </c>
      <c r="BM86" s="61">
        <v>0</v>
      </c>
      <c r="BN86" s="61">
        <v>0</v>
      </c>
      <c r="BO86" s="61">
        <v>0</v>
      </c>
      <c r="BP86" s="61">
        <v>0</v>
      </c>
      <c r="BQ86" s="61">
        <v>0</v>
      </c>
      <c r="BR86" s="61">
        <v>0</v>
      </c>
      <c r="BS86" s="61">
        <v>0</v>
      </c>
      <c r="BT86" s="61">
        <v>0</v>
      </c>
      <c r="BU86" s="61">
        <v>0</v>
      </c>
      <c r="BV86" s="61">
        <v>0</v>
      </c>
      <c r="BW86" s="61">
        <v>0</v>
      </c>
      <c r="BX86" s="61">
        <v>0</v>
      </c>
      <c r="BY86" s="61">
        <v>0</v>
      </c>
      <c r="BZ86" s="66">
        <v>1</v>
      </c>
      <c r="CA86" s="66">
        <v>1</v>
      </c>
      <c r="CB86" s="66">
        <v>1</v>
      </c>
      <c r="CC86" s="66">
        <v>1</v>
      </c>
      <c r="CD86" s="66">
        <v>1</v>
      </c>
      <c r="CE86" s="66">
        <v>1</v>
      </c>
      <c r="CF86" s="66">
        <v>1</v>
      </c>
      <c r="CG86" s="66">
        <v>1</v>
      </c>
      <c r="CH86" s="66">
        <v>1</v>
      </c>
      <c r="CI86" s="66">
        <v>1</v>
      </c>
      <c r="CJ86" s="66">
        <v>1</v>
      </c>
      <c r="CK86" s="66">
        <v>1</v>
      </c>
      <c r="CL86" s="66">
        <v>1</v>
      </c>
      <c r="CM86" s="66">
        <v>1</v>
      </c>
      <c r="CN86" s="61">
        <v>0</v>
      </c>
      <c r="CO86" s="61">
        <v>0</v>
      </c>
      <c r="CP86" s="61">
        <v>0</v>
      </c>
      <c r="CQ86" s="61">
        <v>0</v>
      </c>
      <c r="CR86" s="61">
        <v>0</v>
      </c>
      <c r="CS86" s="61">
        <v>0</v>
      </c>
      <c r="CT86" s="61">
        <v>0</v>
      </c>
      <c r="CU86" s="61">
        <v>0</v>
      </c>
      <c r="CV86" s="61">
        <v>0</v>
      </c>
      <c r="CW86" s="61">
        <v>0</v>
      </c>
      <c r="CX86" s="61">
        <v>0</v>
      </c>
      <c r="CY86" s="61">
        <v>0</v>
      </c>
      <c r="CZ86" s="61">
        <v>0</v>
      </c>
      <c r="DA86" s="61">
        <v>0</v>
      </c>
      <c r="DB86" s="61">
        <v>0</v>
      </c>
      <c r="DC86" s="61">
        <v>0</v>
      </c>
      <c r="DD86" s="61">
        <v>0</v>
      </c>
      <c r="DE86" s="61">
        <v>0</v>
      </c>
      <c r="DF86" s="61">
        <v>0</v>
      </c>
      <c r="DG86" s="61">
        <v>0</v>
      </c>
      <c r="DH86" s="61">
        <v>0</v>
      </c>
      <c r="DI86" s="61">
        <v>0</v>
      </c>
      <c r="DJ86" s="61">
        <v>0</v>
      </c>
      <c r="DK86" s="66">
        <v>1</v>
      </c>
      <c r="DL86" s="61">
        <v>0</v>
      </c>
      <c r="DM86" s="66">
        <v>1</v>
      </c>
      <c r="DN86" s="66">
        <v>1</v>
      </c>
      <c r="DO86" s="61">
        <v>0</v>
      </c>
      <c r="DP86" s="66">
        <v>1</v>
      </c>
      <c r="DQ86" s="66">
        <v>1</v>
      </c>
      <c r="DR86" s="66">
        <v>1</v>
      </c>
      <c r="DS86" s="66">
        <v>1</v>
      </c>
      <c r="DT86" s="66">
        <v>1</v>
      </c>
      <c r="DU86" s="66">
        <v>1</v>
      </c>
      <c r="DV86" s="66">
        <v>1</v>
      </c>
      <c r="DW86" s="61">
        <v>0</v>
      </c>
      <c r="DX86" s="61">
        <v>0</v>
      </c>
      <c r="DY86" s="61">
        <v>0</v>
      </c>
      <c r="DZ86" s="61">
        <v>0</v>
      </c>
      <c r="EA86" s="61">
        <v>0</v>
      </c>
      <c r="EB86" s="61">
        <v>0</v>
      </c>
      <c r="EC86" s="61">
        <v>0</v>
      </c>
      <c r="ED86" s="61">
        <v>0</v>
      </c>
      <c r="EE86" s="66">
        <v>1</v>
      </c>
      <c r="EF86" s="66">
        <v>1</v>
      </c>
      <c r="EG86" s="66">
        <v>1</v>
      </c>
      <c r="EH86" s="66">
        <v>1</v>
      </c>
      <c r="EI86" s="61">
        <v>0</v>
      </c>
      <c r="EJ86" s="61">
        <v>0</v>
      </c>
      <c r="EK86" s="61">
        <v>0</v>
      </c>
      <c r="EL86" s="61">
        <v>0</v>
      </c>
      <c r="EM86" s="61">
        <v>0</v>
      </c>
      <c r="EN86" s="61">
        <v>0</v>
      </c>
      <c r="EO86" s="61">
        <v>0</v>
      </c>
      <c r="EP86" s="61">
        <v>0</v>
      </c>
      <c r="EQ86" s="61">
        <v>0</v>
      </c>
      <c r="ER86" s="61">
        <v>0</v>
      </c>
      <c r="ES86" s="61">
        <v>0</v>
      </c>
      <c r="ET86" s="61">
        <v>0</v>
      </c>
      <c r="EU86" s="61">
        <v>0</v>
      </c>
      <c r="EV86" s="61">
        <v>0</v>
      </c>
      <c r="EW86" s="61">
        <v>0</v>
      </c>
      <c r="EX86" s="61">
        <v>0</v>
      </c>
      <c r="EY86" s="61">
        <v>0</v>
      </c>
      <c r="EZ86" s="61">
        <v>0</v>
      </c>
      <c r="FA86" s="61">
        <v>0</v>
      </c>
      <c r="FB86" s="61">
        <v>0</v>
      </c>
      <c r="FC86" s="61">
        <v>0</v>
      </c>
      <c r="FD86" s="61">
        <v>0</v>
      </c>
      <c r="FE86" s="61">
        <v>0</v>
      </c>
      <c r="FF86" s="61">
        <v>0</v>
      </c>
      <c r="FG86" s="61">
        <v>0</v>
      </c>
      <c r="FH86" s="61">
        <v>0</v>
      </c>
      <c r="FI86" s="61">
        <v>0</v>
      </c>
      <c r="FJ86" s="66">
        <v>1</v>
      </c>
      <c r="FK86" s="61">
        <v>0</v>
      </c>
      <c r="FL86" s="61">
        <v>0</v>
      </c>
      <c r="FM86" s="61">
        <v>0</v>
      </c>
      <c r="FN86" s="61">
        <v>0</v>
      </c>
      <c r="FO86" s="66">
        <v>1</v>
      </c>
      <c r="FP86" s="61">
        <v>0</v>
      </c>
      <c r="FQ86" s="61">
        <v>0</v>
      </c>
      <c r="FR86" s="61">
        <v>0</v>
      </c>
      <c r="FS86" s="61">
        <v>0</v>
      </c>
      <c r="FT86" s="61">
        <v>0</v>
      </c>
      <c r="FU86" s="61">
        <v>0</v>
      </c>
      <c r="FV86" s="61">
        <v>0</v>
      </c>
      <c r="FW86" s="61">
        <v>0</v>
      </c>
      <c r="FX86" s="61">
        <v>0</v>
      </c>
      <c r="FY86" s="61">
        <v>0</v>
      </c>
      <c r="FZ86" s="61">
        <v>0</v>
      </c>
      <c r="GA86" s="61">
        <v>0</v>
      </c>
      <c r="GB86" s="66">
        <v>1</v>
      </c>
      <c r="GC86" s="66">
        <v>1</v>
      </c>
      <c r="GD86" s="66">
        <v>1</v>
      </c>
      <c r="GE86" s="66">
        <v>1</v>
      </c>
      <c r="GF86" s="66">
        <v>1</v>
      </c>
      <c r="GG86" s="66">
        <v>1</v>
      </c>
      <c r="GH86" s="66">
        <v>1</v>
      </c>
      <c r="GI86" s="66">
        <v>1</v>
      </c>
      <c r="GJ86" s="66">
        <v>1</v>
      </c>
      <c r="GK86" s="66">
        <v>1</v>
      </c>
      <c r="GL86" s="66">
        <v>1</v>
      </c>
      <c r="GM86" s="66">
        <v>1</v>
      </c>
      <c r="GN86" s="66">
        <v>1</v>
      </c>
      <c r="GO86" s="66">
        <v>1</v>
      </c>
      <c r="GP86" s="66">
        <v>1</v>
      </c>
      <c r="GQ86" s="66">
        <v>1</v>
      </c>
      <c r="GR86" s="66">
        <v>1</v>
      </c>
      <c r="GS86" s="66">
        <v>1</v>
      </c>
      <c r="GT86" s="66">
        <v>1</v>
      </c>
      <c r="GU86" s="66">
        <v>1</v>
      </c>
      <c r="GV86" s="66">
        <v>1</v>
      </c>
      <c r="GW86" s="66">
        <v>1</v>
      </c>
      <c r="GX86" s="66">
        <v>1</v>
      </c>
      <c r="GY86" s="66">
        <v>1</v>
      </c>
      <c r="GZ86" s="66">
        <v>1</v>
      </c>
      <c r="HA86" s="66">
        <v>1</v>
      </c>
      <c r="HB86" s="66">
        <v>1</v>
      </c>
      <c r="HC86" s="66">
        <v>1</v>
      </c>
      <c r="HD86" s="66">
        <v>1</v>
      </c>
      <c r="HE86" s="66">
        <v>1</v>
      </c>
      <c r="HF86" s="66">
        <v>1</v>
      </c>
      <c r="HG86" s="66">
        <v>1</v>
      </c>
      <c r="HH86" s="66"/>
      <c r="HI86" s="66"/>
      <c r="HJ86" s="63">
        <v>1847</v>
      </c>
      <c r="HK86" s="63">
        <f>SUM(AX$4:HI$4)</f>
        <v>168</v>
      </c>
      <c r="HL86" s="61">
        <f>SUM(AX86:HI86)</f>
        <v>62</v>
      </c>
      <c r="HM86" s="67">
        <f t="shared" si="7"/>
        <v>36.904761904761905</v>
      </c>
      <c r="HN86" s="67"/>
      <c r="HO86" s="68"/>
      <c r="HP86" s="68"/>
      <c r="HS86" s="61" t="s">
        <v>7325</v>
      </c>
    </row>
    <row r="87" spans="2:242" x14ac:dyDescent="0.3">
      <c r="B87" s="63" t="s">
        <v>7326</v>
      </c>
      <c r="C87" s="61">
        <v>0</v>
      </c>
      <c r="D87" s="61">
        <v>0</v>
      </c>
      <c r="E87" s="61">
        <v>0</v>
      </c>
      <c r="F87" s="61">
        <v>0</v>
      </c>
      <c r="G87" s="61">
        <v>0</v>
      </c>
      <c r="H87" s="61">
        <v>0</v>
      </c>
      <c r="I87" s="61">
        <v>0</v>
      </c>
      <c r="J87" s="61">
        <v>0</v>
      </c>
      <c r="K87" s="61">
        <v>0</v>
      </c>
      <c r="L87" s="61">
        <v>0</v>
      </c>
      <c r="M87" s="61">
        <v>0</v>
      </c>
      <c r="N87" s="61">
        <v>0</v>
      </c>
      <c r="O87" s="61">
        <v>0</v>
      </c>
      <c r="P87" s="61">
        <v>0</v>
      </c>
      <c r="Q87" s="61">
        <v>0</v>
      </c>
      <c r="R87" s="61">
        <v>0</v>
      </c>
      <c r="S87" s="61">
        <v>0</v>
      </c>
      <c r="T87" s="61">
        <v>0</v>
      </c>
      <c r="U87" s="61">
        <v>0</v>
      </c>
      <c r="V87" s="61">
        <v>0</v>
      </c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0</v>
      </c>
      <c r="AC87" s="61">
        <v>0</v>
      </c>
      <c r="AD87" s="61">
        <v>0</v>
      </c>
      <c r="AE87" s="61">
        <v>0</v>
      </c>
      <c r="AF87" s="61">
        <v>0</v>
      </c>
      <c r="AG87" s="61">
        <v>0</v>
      </c>
      <c r="AH87" s="61">
        <v>0</v>
      </c>
      <c r="AI87" s="61">
        <v>0</v>
      </c>
      <c r="AJ87" s="61">
        <v>0</v>
      </c>
      <c r="AK87" s="61">
        <v>0</v>
      </c>
      <c r="AL87" s="61">
        <v>0</v>
      </c>
      <c r="AM87" s="61">
        <v>0</v>
      </c>
      <c r="AN87" s="61">
        <v>0</v>
      </c>
      <c r="AO87" s="61">
        <v>0</v>
      </c>
      <c r="AP87" s="61">
        <v>0</v>
      </c>
      <c r="AQ87" s="61">
        <v>0</v>
      </c>
      <c r="AR87" s="61">
        <v>0</v>
      </c>
      <c r="AS87" s="61">
        <v>0</v>
      </c>
      <c r="AT87" s="61">
        <v>0</v>
      </c>
      <c r="AU87" s="61">
        <v>0</v>
      </c>
      <c r="AV87" s="61">
        <v>0</v>
      </c>
      <c r="AW87" s="61">
        <v>0</v>
      </c>
      <c r="AX87" s="61">
        <v>0</v>
      </c>
      <c r="AY87" s="61">
        <v>0</v>
      </c>
      <c r="AZ87" s="61">
        <v>0</v>
      </c>
      <c r="BA87" s="61">
        <v>0</v>
      </c>
      <c r="BB87" s="61">
        <v>0</v>
      </c>
      <c r="BC87" s="61">
        <v>0</v>
      </c>
      <c r="BD87" s="61">
        <v>0</v>
      </c>
      <c r="BE87" s="61">
        <v>0</v>
      </c>
      <c r="BF87" s="61">
        <v>0</v>
      </c>
      <c r="BG87" s="61">
        <v>0</v>
      </c>
      <c r="BH87" s="61">
        <v>0</v>
      </c>
      <c r="BI87" s="61">
        <v>0</v>
      </c>
      <c r="BJ87" s="61">
        <v>0</v>
      </c>
      <c r="BK87" s="61">
        <v>0</v>
      </c>
      <c r="BL87" s="61">
        <v>0</v>
      </c>
      <c r="BM87" s="61">
        <v>0</v>
      </c>
      <c r="BN87" s="61">
        <v>0</v>
      </c>
      <c r="BO87" s="61">
        <v>0</v>
      </c>
      <c r="BP87" s="61">
        <v>0</v>
      </c>
      <c r="BQ87" s="61">
        <v>0</v>
      </c>
      <c r="BR87" s="61">
        <v>0</v>
      </c>
      <c r="BS87" s="61">
        <v>0</v>
      </c>
      <c r="BT87" s="61">
        <v>0</v>
      </c>
      <c r="BU87" s="61">
        <v>0</v>
      </c>
      <c r="BV87" s="61">
        <v>0</v>
      </c>
      <c r="BW87" s="61">
        <v>0</v>
      </c>
      <c r="BX87" s="61">
        <v>0</v>
      </c>
      <c r="BY87" s="61">
        <v>0</v>
      </c>
      <c r="BZ87" s="61">
        <v>0</v>
      </c>
      <c r="CA87" s="61">
        <v>0</v>
      </c>
      <c r="CB87" s="61">
        <v>0</v>
      </c>
      <c r="CC87" s="61">
        <v>0</v>
      </c>
      <c r="CD87" s="61">
        <v>0</v>
      </c>
      <c r="CE87" s="61">
        <v>0</v>
      </c>
      <c r="CF87" s="61">
        <v>0</v>
      </c>
      <c r="CG87" s="61">
        <v>0</v>
      </c>
      <c r="CH87" s="61">
        <v>0</v>
      </c>
      <c r="CI87" s="61">
        <v>0</v>
      </c>
      <c r="CJ87" s="61">
        <v>0</v>
      </c>
      <c r="CK87" s="61">
        <v>0</v>
      </c>
      <c r="CL87" s="61">
        <v>0</v>
      </c>
      <c r="CM87" s="61">
        <v>0</v>
      </c>
      <c r="CN87" s="61">
        <v>0</v>
      </c>
      <c r="CO87" s="61">
        <v>0</v>
      </c>
      <c r="CP87" s="61">
        <v>0</v>
      </c>
      <c r="CQ87" s="61">
        <v>0</v>
      </c>
      <c r="CR87" s="61">
        <v>0</v>
      </c>
      <c r="CS87" s="61">
        <v>0</v>
      </c>
      <c r="CT87" s="61">
        <v>0</v>
      </c>
      <c r="CU87" s="61">
        <v>0</v>
      </c>
      <c r="CV87" s="61">
        <v>0</v>
      </c>
      <c r="CW87" s="61">
        <v>0</v>
      </c>
      <c r="CX87" s="61">
        <v>0</v>
      </c>
      <c r="CY87" s="61">
        <v>0</v>
      </c>
      <c r="CZ87" s="61">
        <v>0</v>
      </c>
      <c r="DA87" s="61">
        <v>0</v>
      </c>
      <c r="DB87" s="61">
        <v>0</v>
      </c>
      <c r="DC87" s="61">
        <v>0</v>
      </c>
      <c r="DD87" s="61">
        <v>0</v>
      </c>
      <c r="DE87" s="61">
        <v>0</v>
      </c>
      <c r="DF87" s="61">
        <v>0</v>
      </c>
      <c r="DG87" s="61">
        <v>0</v>
      </c>
      <c r="DH87" s="61">
        <v>0</v>
      </c>
      <c r="DI87" s="61">
        <v>0</v>
      </c>
      <c r="DJ87" s="61">
        <v>0</v>
      </c>
      <c r="DK87" s="61">
        <v>0</v>
      </c>
      <c r="DL87" s="61">
        <v>0</v>
      </c>
      <c r="DM87" s="61">
        <v>0</v>
      </c>
      <c r="DN87" s="61">
        <v>0</v>
      </c>
      <c r="DO87" s="61">
        <v>0</v>
      </c>
      <c r="DP87" s="61">
        <v>0</v>
      </c>
      <c r="DQ87" s="61">
        <v>0</v>
      </c>
      <c r="DR87" s="61">
        <v>0</v>
      </c>
      <c r="DS87" s="61">
        <v>0</v>
      </c>
      <c r="DT87" s="61">
        <v>0</v>
      </c>
      <c r="DU87" s="61">
        <v>0</v>
      </c>
      <c r="DV87" s="61">
        <v>0</v>
      </c>
      <c r="DW87" s="61">
        <v>0</v>
      </c>
      <c r="DX87" s="61">
        <v>0</v>
      </c>
      <c r="DY87" s="61">
        <v>0</v>
      </c>
      <c r="DZ87" s="61">
        <v>0</v>
      </c>
      <c r="EA87" s="61">
        <v>0</v>
      </c>
      <c r="EB87" s="61">
        <v>0</v>
      </c>
      <c r="EC87" s="61">
        <v>0</v>
      </c>
      <c r="ED87" s="61">
        <v>0</v>
      </c>
      <c r="EE87" s="61">
        <v>0</v>
      </c>
      <c r="EF87" s="61">
        <v>0</v>
      </c>
      <c r="EG87" s="61">
        <v>0</v>
      </c>
      <c r="EH87" s="61">
        <v>0</v>
      </c>
      <c r="EI87" s="61">
        <v>0</v>
      </c>
      <c r="EJ87" s="61">
        <v>0</v>
      </c>
      <c r="EK87" s="61">
        <v>0</v>
      </c>
      <c r="EL87" s="61">
        <v>0</v>
      </c>
      <c r="EM87" s="61">
        <v>0</v>
      </c>
      <c r="EN87" s="61">
        <v>0</v>
      </c>
      <c r="EO87" s="61">
        <v>0</v>
      </c>
      <c r="EP87" s="61">
        <v>0</v>
      </c>
      <c r="EQ87" s="61">
        <v>0</v>
      </c>
      <c r="ER87" s="61">
        <v>0</v>
      </c>
      <c r="ES87" s="61">
        <v>0</v>
      </c>
      <c r="ET87" s="61">
        <v>0</v>
      </c>
      <c r="EU87" s="61">
        <v>0</v>
      </c>
      <c r="EV87" s="61">
        <v>0</v>
      </c>
      <c r="EW87" s="61">
        <v>0</v>
      </c>
      <c r="EX87" s="61">
        <v>0</v>
      </c>
      <c r="EY87" s="61">
        <v>0</v>
      </c>
      <c r="EZ87" s="61">
        <v>0</v>
      </c>
      <c r="FA87" s="61">
        <v>0</v>
      </c>
      <c r="FB87" s="61">
        <v>0</v>
      </c>
      <c r="FC87" s="61">
        <v>0</v>
      </c>
      <c r="FD87" s="61">
        <v>0</v>
      </c>
      <c r="FE87" s="61">
        <v>0</v>
      </c>
      <c r="FF87" s="61">
        <v>0</v>
      </c>
      <c r="FG87" s="65">
        <v>0</v>
      </c>
      <c r="FH87" s="61">
        <v>0</v>
      </c>
      <c r="FI87" s="61">
        <v>0</v>
      </c>
      <c r="FJ87" s="61">
        <v>0</v>
      </c>
      <c r="FK87" s="61">
        <v>0</v>
      </c>
      <c r="FL87" s="61">
        <v>0</v>
      </c>
      <c r="FM87" s="61">
        <v>0</v>
      </c>
      <c r="FN87" s="61">
        <v>0</v>
      </c>
      <c r="FO87" s="61">
        <v>0</v>
      </c>
      <c r="FP87" s="61">
        <v>0</v>
      </c>
      <c r="FQ87" s="61">
        <v>0</v>
      </c>
      <c r="FR87" s="61">
        <v>0</v>
      </c>
      <c r="FS87" s="61">
        <v>0</v>
      </c>
      <c r="FT87" s="61">
        <v>0</v>
      </c>
      <c r="FU87" s="61">
        <v>0</v>
      </c>
      <c r="FV87" s="61">
        <v>0</v>
      </c>
      <c r="FW87" s="61">
        <v>0</v>
      </c>
      <c r="FX87" s="61">
        <v>0</v>
      </c>
      <c r="FY87" s="61">
        <v>0</v>
      </c>
      <c r="FZ87" s="61">
        <v>0</v>
      </c>
      <c r="GA87" s="61">
        <v>0</v>
      </c>
      <c r="GB87" s="66">
        <v>1</v>
      </c>
      <c r="GC87" s="66">
        <v>1</v>
      </c>
      <c r="GD87" s="66">
        <v>1</v>
      </c>
      <c r="GE87" s="66">
        <v>1</v>
      </c>
      <c r="GF87" s="66">
        <v>1</v>
      </c>
      <c r="GG87" s="66">
        <v>1</v>
      </c>
      <c r="GH87" s="66">
        <v>1</v>
      </c>
      <c r="GI87" s="66">
        <v>1</v>
      </c>
      <c r="GJ87" s="66">
        <v>1</v>
      </c>
      <c r="GK87" s="66">
        <v>1</v>
      </c>
      <c r="GL87" s="66">
        <v>1</v>
      </c>
      <c r="GM87" s="66">
        <v>1</v>
      </c>
      <c r="GN87" s="66">
        <v>1</v>
      </c>
      <c r="GO87" s="66">
        <v>1</v>
      </c>
      <c r="GP87" s="66">
        <v>1</v>
      </c>
      <c r="GQ87" s="66">
        <v>1</v>
      </c>
      <c r="GR87" s="66">
        <v>1</v>
      </c>
      <c r="GS87" s="66">
        <v>1</v>
      </c>
      <c r="GT87" s="66">
        <v>1</v>
      </c>
      <c r="GU87" s="66">
        <v>1</v>
      </c>
      <c r="GV87" s="66">
        <v>1</v>
      </c>
      <c r="GW87" s="66">
        <v>1</v>
      </c>
      <c r="GX87" s="63">
        <v>0</v>
      </c>
      <c r="GY87" s="63">
        <v>0</v>
      </c>
      <c r="GZ87" s="63">
        <v>0</v>
      </c>
      <c r="HA87" s="63">
        <v>0</v>
      </c>
      <c r="HB87" s="61">
        <v>0</v>
      </c>
      <c r="HC87" s="61">
        <v>0</v>
      </c>
      <c r="HD87" s="61">
        <v>0</v>
      </c>
      <c r="HE87" s="61">
        <v>0</v>
      </c>
      <c r="HF87" s="61">
        <v>0</v>
      </c>
      <c r="HG87" s="61">
        <v>0</v>
      </c>
      <c r="HH87" s="61"/>
      <c r="HI87" s="61"/>
      <c r="HJ87" s="63">
        <v>1960</v>
      </c>
      <c r="HK87" s="63">
        <f>SUM(FG$4:HI$4)</f>
        <v>55</v>
      </c>
      <c r="HL87" s="61">
        <f>SUM(FG87:HI87)</f>
        <v>22</v>
      </c>
      <c r="HM87" s="67">
        <f t="shared" si="7"/>
        <v>40</v>
      </c>
      <c r="HN87" s="67"/>
      <c r="HO87" s="68"/>
      <c r="HP87" s="68"/>
    </row>
    <row r="88" spans="2:242" x14ac:dyDescent="0.3">
      <c r="B88" s="63" t="s">
        <v>7327</v>
      </c>
      <c r="C88" s="61">
        <v>0</v>
      </c>
      <c r="D88" s="61">
        <v>0</v>
      </c>
      <c r="E88" s="61">
        <v>0</v>
      </c>
      <c r="F88" s="61">
        <v>0</v>
      </c>
      <c r="G88" s="61">
        <v>0</v>
      </c>
      <c r="H88" s="61">
        <v>0</v>
      </c>
      <c r="I88" s="61">
        <v>0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0</v>
      </c>
      <c r="R88" s="61">
        <v>0</v>
      </c>
      <c r="S88" s="61">
        <v>0</v>
      </c>
      <c r="T88" s="61">
        <v>0</v>
      </c>
      <c r="U88" s="61">
        <v>0</v>
      </c>
      <c r="V88" s="61">
        <v>0</v>
      </c>
      <c r="W88" s="61">
        <v>0</v>
      </c>
      <c r="X88" s="61">
        <v>0</v>
      </c>
      <c r="Y88" s="61">
        <v>0</v>
      </c>
      <c r="Z88" s="61">
        <v>0</v>
      </c>
      <c r="AA88" s="61">
        <v>0</v>
      </c>
      <c r="AB88" s="61">
        <v>0</v>
      </c>
      <c r="AC88" s="61">
        <v>0</v>
      </c>
      <c r="AD88" s="61">
        <v>0</v>
      </c>
      <c r="AE88" s="61">
        <v>0</v>
      </c>
      <c r="AF88" s="61">
        <v>0</v>
      </c>
      <c r="AG88" s="61">
        <v>0</v>
      </c>
      <c r="AH88" s="61">
        <v>0</v>
      </c>
      <c r="AI88" s="61">
        <v>0</v>
      </c>
      <c r="AJ88" s="61">
        <v>0</v>
      </c>
      <c r="AK88" s="61">
        <v>0</v>
      </c>
      <c r="AL88" s="61">
        <v>0</v>
      </c>
      <c r="AM88" s="61">
        <v>0</v>
      </c>
      <c r="AN88" s="61">
        <v>0</v>
      </c>
      <c r="AO88" s="61">
        <v>0</v>
      </c>
      <c r="AP88" s="61">
        <v>0</v>
      </c>
      <c r="AQ88" s="61">
        <v>0</v>
      </c>
      <c r="AR88" s="61">
        <v>0</v>
      </c>
      <c r="AS88" s="61">
        <v>0</v>
      </c>
      <c r="AT88" s="61">
        <v>0</v>
      </c>
      <c r="AU88" s="61">
        <v>0</v>
      </c>
      <c r="AV88" s="61">
        <v>0</v>
      </c>
      <c r="AW88" s="61">
        <v>0</v>
      </c>
      <c r="AX88" s="61">
        <v>0</v>
      </c>
      <c r="AY88" s="61">
        <v>0</v>
      </c>
      <c r="AZ88" s="61">
        <v>0</v>
      </c>
      <c r="BA88" s="61">
        <v>0</v>
      </c>
      <c r="BB88" s="61">
        <v>0</v>
      </c>
      <c r="BC88" s="61">
        <v>0</v>
      </c>
      <c r="BD88" s="61">
        <v>0</v>
      </c>
      <c r="BE88" s="61">
        <v>0</v>
      </c>
      <c r="BF88" s="61">
        <v>0</v>
      </c>
      <c r="BG88" s="61">
        <v>0</v>
      </c>
      <c r="BH88" s="61">
        <v>0</v>
      </c>
      <c r="BI88" s="61">
        <v>0</v>
      </c>
      <c r="BJ88" s="61">
        <v>0</v>
      </c>
      <c r="BK88" s="61">
        <v>0</v>
      </c>
      <c r="BL88" s="61">
        <v>0</v>
      </c>
      <c r="BM88" s="61">
        <v>0</v>
      </c>
      <c r="BN88" s="61">
        <v>0</v>
      </c>
      <c r="BO88" s="61">
        <v>0</v>
      </c>
      <c r="BP88" s="61">
        <v>0</v>
      </c>
      <c r="BQ88" s="61">
        <v>0</v>
      </c>
      <c r="BR88" s="61">
        <v>0</v>
      </c>
      <c r="BS88" s="61">
        <v>0</v>
      </c>
      <c r="BT88" s="61">
        <v>0</v>
      </c>
      <c r="BU88" s="61">
        <v>0</v>
      </c>
      <c r="BV88" s="61">
        <v>0</v>
      </c>
      <c r="BW88" s="61">
        <v>0</v>
      </c>
      <c r="BX88" s="61">
        <v>0</v>
      </c>
      <c r="BY88" s="61">
        <v>0</v>
      </c>
      <c r="BZ88" s="61">
        <v>0</v>
      </c>
      <c r="CA88" s="61">
        <v>0</v>
      </c>
      <c r="CB88" s="61">
        <v>0</v>
      </c>
      <c r="CC88" s="61">
        <v>0</v>
      </c>
      <c r="CD88" s="61">
        <v>0</v>
      </c>
      <c r="CE88" s="61">
        <v>0</v>
      </c>
      <c r="CF88" s="61">
        <v>0</v>
      </c>
      <c r="CG88" s="61">
        <v>0</v>
      </c>
      <c r="CH88" s="61">
        <v>0</v>
      </c>
      <c r="CI88" s="61">
        <v>0</v>
      </c>
      <c r="CJ88" s="61">
        <v>0</v>
      </c>
      <c r="CK88" s="61">
        <v>0</v>
      </c>
      <c r="CL88" s="61">
        <v>0</v>
      </c>
      <c r="CM88" s="61">
        <v>0</v>
      </c>
      <c r="CN88" s="61">
        <v>0</v>
      </c>
      <c r="CO88" s="61">
        <v>0</v>
      </c>
      <c r="CP88" s="61">
        <v>0</v>
      </c>
      <c r="CQ88" s="61">
        <v>0</v>
      </c>
      <c r="CR88" s="61">
        <v>0</v>
      </c>
      <c r="CS88" s="61">
        <v>0</v>
      </c>
      <c r="CT88" s="61">
        <v>0</v>
      </c>
      <c r="CU88" s="61">
        <v>0</v>
      </c>
      <c r="CV88" s="61">
        <v>0</v>
      </c>
      <c r="CW88" s="61">
        <v>0</v>
      </c>
      <c r="CX88" s="61">
        <v>0</v>
      </c>
      <c r="CY88" s="61">
        <v>0</v>
      </c>
      <c r="CZ88" s="61">
        <v>0</v>
      </c>
      <c r="DA88" s="61">
        <v>0</v>
      </c>
      <c r="DB88" s="61">
        <v>0</v>
      </c>
      <c r="DC88" s="61">
        <v>0</v>
      </c>
      <c r="DD88" s="61">
        <v>0</v>
      </c>
      <c r="DE88" s="61">
        <v>0</v>
      </c>
      <c r="DF88" s="61">
        <v>0</v>
      </c>
      <c r="DG88" s="61">
        <v>0</v>
      </c>
      <c r="DH88" s="61">
        <v>0</v>
      </c>
      <c r="DI88" s="61">
        <v>0</v>
      </c>
      <c r="DJ88" s="61">
        <v>0</v>
      </c>
      <c r="DK88" s="61">
        <v>0</v>
      </c>
      <c r="DL88" s="61">
        <v>0</v>
      </c>
      <c r="DM88" s="61">
        <v>0</v>
      </c>
      <c r="DN88" s="61">
        <v>0</v>
      </c>
      <c r="DO88" s="61">
        <v>0</v>
      </c>
      <c r="DP88" s="61">
        <v>0</v>
      </c>
      <c r="DQ88" s="61">
        <v>0</v>
      </c>
      <c r="DR88" s="61">
        <v>0</v>
      </c>
      <c r="DS88" s="61">
        <v>0</v>
      </c>
      <c r="DT88" s="61">
        <v>0</v>
      </c>
      <c r="DU88" s="61">
        <v>0</v>
      </c>
      <c r="DV88" s="61">
        <v>0</v>
      </c>
      <c r="DW88" s="61">
        <v>0</v>
      </c>
      <c r="DX88" s="61">
        <v>0</v>
      </c>
      <c r="DY88" s="61">
        <v>0</v>
      </c>
      <c r="DZ88" s="61">
        <v>0</v>
      </c>
      <c r="EA88" s="61">
        <v>0</v>
      </c>
      <c r="EB88" s="61">
        <v>0</v>
      </c>
      <c r="EC88" s="61">
        <v>0</v>
      </c>
      <c r="ED88" s="61">
        <v>0</v>
      </c>
      <c r="EE88" s="61">
        <v>0</v>
      </c>
      <c r="EF88" s="61">
        <v>0</v>
      </c>
      <c r="EG88" s="61">
        <v>0</v>
      </c>
      <c r="EH88" s="61">
        <v>0</v>
      </c>
      <c r="EI88" s="61">
        <v>0</v>
      </c>
      <c r="EJ88" s="61">
        <v>0</v>
      </c>
      <c r="EK88" s="61">
        <v>0</v>
      </c>
      <c r="EL88" s="61">
        <v>0</v>
      </c>
      <c r="EM88" s="61">
        <v>0</v>
      </c>
      <c r="EN88" s="61">
        <v>0</v>
      </c>
      <c r="EO88" s="61">
        <v>0</v>
      </c>
      <c r="EP88" s="61">
        <v>0</v>
      </c>
      <c r="EQ88" s="61">
        <v>0</v>
      </c>
      <c r="ER88" s="61">
        <v>0</v>
      </c>
      <c r="ES88" s="61">
        <v>0</v>
      </c>
      <c r="ET88" s="61">
        <v>0</v>
      </c>
      <c r="EU88" s="61">
        <v>0</v>
      </c>
      <c r="EV88" s="61">
        <v>0</v>
      </c>
      <c r="EW88" s="61">
        <v>0</v>
      </c>
      <c r="EX88" s="61">
        <v>0</v>
      </c>
      <c r="EY88" s="61">
        <v>0</v>
      </c>
      <c r="EZ88" s="61">
        <v>0</v>
      </c>
      <c r="FA88" s="61">
        <v>0</v>
      </c>
      <c r="FB88" s="61">
        <v>0</v>
      </c>
      <c r="FC88" s="61">
        <v>0</v>
      </c>
      <c r="FD88" s="61">
        <v>0</v>
      </c>
      <c r="FE88" s="61">
        <v>0</v>
      </c>
      <c r="FF88" s="61">
        <v>0</v>
      </c>
      <c r="FG88" s="61">
        <v>0</v>
      </c>
      <c r="FH88" s="61">
        <v>0</v>
      </c>
      <c r="FI88" s="61">
        <v>0</v>
      </c>
      <c r="FJ88" s="61">
        <v>0</v>
      </c>
      <c r="FK88" s="65">
        <v>0</v>
      </c>
      <c r="FL88" s="61">
        <v>0</v>
      </c>
      <c r="FM88" s="61">
        <v>0</v>
      </c>
      <c r="FN88" s="61">
        <v>0</v>
      </c>
      <c r="FO88" s="61">
        <v>0</v>
      </c>
      <c r="FP88" s="61">
        <v>0</v>
      </c>
      <c r="FQ88" s="61">
        <v>0</v>
      </c>
      <c r="FR88" s="61">
        <v>0</v>
      </c>
      <c r="FS88" s="61">
        <v>0</v>
      </c>
      <c r="FT88" s="61">
        <v>0</v>
      </c>
      <c r="FU88" s="61">
        <v>0</v>
      </c>
      <c r="FV88" s="61">
        <v>0</v>
      </c>
      <c r="FW88" s="61">
        <v>0</v>
      </c>
      <c r="FX88" s="61">
        <v>0</v>
      </c>
      <c r="FY88" s="61">
        <v>0</v>
      </c>
      <c r="FZ88" s="61">
        <v>0</v>
      </c>
      <c r="GA88" s="61">
        <v>0</v>
      </c>
      <c r="GB88" s="61">
        <v>0</v>
      </c>
      <c r="GC88" s="66">
        <v>1</v>
      </c>
      <c r="GD88" s="61">
        <v>0</v>
      </c>
      <c r="GE88" s="61">
        <v>0</v>
      </c>
      <c r="GF88" s="61">
        <v>0</v>
      </c>
      <c r="GG88" s="61">
        <v>0</v>
      </c>
      <c r="GH88" s="61">
        <v>0</v>
      </c>
      <c r="GI88" s="66">
        <v>1</v>
      </c>
      <c r="GJ88" s="61">
        <v>0</v>
      </c>
      <c r="GK88" s="61">
        <v>0</v>
      </c>
      <c r="GL88" s="61">
        <v>0</v>
      </c>
      <c r="GM88" s="63">
        <v>0</v>
      </c>
      <c r="GN88" s="63">
        <v>0</v>
      </c>
      <c r="GO88" s="63">
        <v>0</v>
      </c>
      <c r="GP88" s="63">
        <v>0</v>
      </c>
      <c r="GQ88" s="63">
        <v>0</v>
      </c>
      <c r="GR88" s="61">
        <v>0</v>
      </c>
      <c r="GS88" s="61">
        <v>0</v>
      </c>
      <c r="GT88" s="61">
        <v>0</v>
      </c>
      <c r="GU88" s="63">
        <v>0</v>
      </c>
      <c r="GV88" s="63">
        <v>0</v>
      </c>
      <c r="GW88" s="63">
        <v>0</v>
      </c>
      <c r="GX88" s="63">
        <v>0</v>
      </c>
      <c r="GY88" s="63">
        <v>0</v>
      </c>
      <c r="GZ88" s="63">
        <v>0</v>
      </c>
      <c r="HA88" s="63">
        <v>0</v>
      </c>
      <c r="HB88" s="61">
        <v>0</v>
      </c>
      <c r="HC88" s="61">
        <v>0</v>
      </c>
      <c r="HD88" s="61">
        <v>0</v>
      </c>
      <c r="HE88" s="61">
        <v>0</v>
      </c>
      <c r="HF88" s="61">
        <v>0</v>
      </c>
      <c r="HG88" s="61">
        <v>0</v>
      </c>
      <c r="HH88" s="61"/>
      <c r="HI88" s="61"/>
      <c r="HJ88" s="63">
        <v>1964</v>
      </c>
      <c r="HK88" s="63">
        <f>SUM(FK$4:HI$4)</f>
        <v>51</v>
      </c>
      <c r="HL88" s="61">
        <f>SUM(FK88:HI88)</f>
        <v>2</v>
      </c>
      <c r="HM88" s="67">
        <f t="shared" si="7"/>
        <v>3.9215686274509802</v>
      </c>
      <c r="HN88" s="67"/>
      <c r="HO88" s="68"/>
      <c r="HP88" s="68"/>
    </row>
    <row r="89" spans="2:242" x14ac:dyDescent="0.3">
      <c r="B89" s="60" t="s">
        <v>7328</v>
      </c>
      <c r="C89" s="61">
        <v>0</v>
      </c>
      <c r="D89" s="61">
        <v>0</v>
      </c>
      <c r="E89" s="61">
        <v>0</v>
      </c>
      <c r="F89" s="61">
        <v>0</v>
      </c>
      <c r="G89" s="61">
        <v>0</v>
      </c>
      <c r="H89" s="61">
        <v>0</v>
      </c>
      <c r="I89" s="61">
        <v>0</v>
      </c>
      <c r="J89" s="61">
        <v>0</v>
      </c>
      <c r="K89" s="61">
        <v>0</v>
      </c>
      <c r="L89" s="61">
        <v>0</v>
      </c>
      <c r="M89" s="61">
        <v>0</v>
      </c>
      <c r="N89" s="61">
        <v>0</v>
      </c>
      <c r="O89" s="61">
        <v>0</v>
      </c>
      <c r="P89" s="61">
        <v>0</v>
      </c>
      <c r="Q89" s="61">
        <v>0</v>
      </c>
      <c r="R89" s="61">
        <v>0</v>
      </c>
      <c r="S89" s="61">
        <v>0</v>
      </c>
      <c r="T89" s="61">
        <v>0</v>
      </c>
      <c r="U89" s="61">
        <v>0</v>
      </c>
      <c r="V89" s="61">
        <v>0</v>
      </c>
      <c r="W89" s="61">
        <v>0</v>
      </c>
      <c r="X89" s="61">
        <v>0</v>
      </c>
      <c r="Y89" s="61">
        <v>0</v>
      </c>
      <c r="Z89" s="61">
        <v>0</v>
      </c>
      <c r="AA89" s="61">
        <v>0</v>
      </c>
      <c r="AB89" s="61">
        <v>0</v>
      </c>
      <c r="AC89" s="61">
        <v>0</v>
      </c>
      <c r="AD89" s="61">
        <v>0</v>
      </c>
      <c r="AE89" s="61">
        <v>0</v>
      </c>
      <c r="AF89" s="61">
        <v>0</v>
      </c>
      <c r="AG89" s="61">
        <v>0</v>
      </c>
      <c r="AH89" s="61">
        <v>0</v>
      </c>
      <c r="AI89" s="61">
        <v>0</v>
      </c>
      <c r="AJ89" s="61">
        <v>0</v>
      </c>
      <c r="AK89" s="61">
        <v>0</v>
      </c>
      <c r="AL89" s="61">
        <v>0</v>
      </c>
      <c r="AM89" s="61">
        <v>0</v>
      </c>
      <c r="AN89" s="61">
        <v>0</v>
      </c>
      <c r="AO89" s="61">
        <v>0</v>
      </c>
      <c r="AP89" s="61">
        <v>0</v>
      </c>
      <c r="AQ89" s="61">
        <v>0</v>
      </c>
      <c r="AR89" s="61">
        <v>0</v>
      </c>
      <c r="AS89" s="61">
        <v>0</v>
      </c>
      <c r="AT89" s="61">
        <v>0</v>
      </c>
      <c r="AU89" s="61">
        <v>0</v>
      </c>
      <c r="AV89" s="61">
        <v>0</v>
      </c>
      <c r="AW89" s="61">
        <v>0</v>
      </c>
      <c r="AX89" s="61">
        <v>0</v>
      </c>
      <c r="AY89" s="61">
        <v>0</v>
      </c>
      <c r="AZ89" s="61">
        <v>0</v>
      </c>
      <c r="BA89" s="61">
        <v>0</v>
      </c>
      <c r="BB89" s="61">
        <v>0</v>
      </c>
      <c r="BC89" s="61">
        <v>0</v>
      </c>
      <c r="BD89" s="61">
        <v>0</v>
      </c>
      <c r="BE89" s="61">
        <v>0</v>
      </c>
      <c r="BF89" s="61">
        <v>0</v>
      </c>
      <c r="BG89" s="61">
        <v>0</v>
      </c>
      <c r="BH89" s="61">
        <v>0</v>
      </c>
      <c r="BI89" s="61">
        <v>0</v>
      </c>
      <c r="BJ89" s="61">
        <v>0</v>
      </c>
      <c r="BK89" s="61">
        <v>0</v>
      </c>
      <c r="BL89" s="61">
        <v>0</v>
      </c>
      <c r="BM89" s="61">
        <v>0</v>
      </c>
      <c r="BN89" s="61">
        <v>0</v>
      </c>
      <c r="BO89" s="61">
        <v>0</v>
      </c>
      <c r="BP89" s="61">
        <v>0</v>
      </c>
      <c r="BQ89" s="61">
        <v>0</v>
      </c>
      <c r="BR89" s="61">
        <v>0</v>
      </c>
      <c r="BS89" s="61">
        <v>0</v>
      </c>
      <c r="BT89" s="61">
        <v>0</v>
      </c>
      <c r="BU89" s="61">
        <v>0</v>
      </c>
      <c r="BV89" s="61">
        <v>0</v>
      </c>
      <c r="BW89" s="61">
        <v>0</v>
      </c>
      <c r="BX89" s="61">
        <v>0</v>
      </c>
      <c r="BY89" s="61">
        <v>0</v>
      </c>
      <c r="BZ89" s="61">
        <v>0</v>
      </c>
      <c r="CA89" s="61">
        <v>0</v>
      </c>
      <c r="CB89" s="61">
        <v>0</v>
      </c>
      <c r="CC89" s="61">
        <v>0</v>
      </c>
      <c r="CD89" s="61">
        <v>0</v>
      </c>
      <c r="CE89" s="61">
        <v>0</v>
      </c>
      <c r="CF89" s="61">
        <v>0</v>
      </c>
      <c r="CG89" s="61">
        <v>0</v>
      </c>
      <c r="CH89" s="61">
        <v>0</v>
      </c>
      <c r="CI89" s="61">
        <v>0</v>
      </c>
      <c r="CJ89" s="61">
        <v>0</v>
      </c>
      <c r="CK89" s="61">
        <v>0</v>
      </c>
      <c r="CL89" s="61">
        <v>0</v>
      </c>
      <c r="CM89" s="61">
        <v>0</v>
      </c>
      <c r="CN89" s="61">
        <v>0</v>
      </c>
      <c r="CO89" s="61">
        <v>0</v>
      </c>
      <c r="CP89" s="61">
        <v>0</v>
      </c>
      <c r="CQ89" s="61">
        <v>0</v>
      </c>
      <c r="CR89" s="61">
        <v>0</v>
      </c>
      <c r="CS89" s="61">
        <v>0</v>
      </c>
      <c r="CT89" s="61">
        <v>0</v>
      </c>
      <c r="CU89" s="61">
        <v>0</v>
      </c>
      <c r="CV89" s="61">
        <v>0</v>
      </c>
      <c r="CW89" s="61">
        <v>0</v>
      </c>
      <c r="CX89" s="61">
        <v>0</v>
      </c>
      <c r="CY89" s="61">
        <v>0</v>
      </c>
      <c r="CZ89" s="61">
        <v>0</v>
      </c>
      <c r="DA89" s="61">
        <v>0</v>
      </c>
      <c r="DB89" s="61">
        <v>0</v>
      </c>
      <c r="DC89" s="61">
        <v>0</v>
      </c>
      <c r="DD89" s="61">
        <v>0</v>
      </c>
      <c r="DE89" s="61">
        <v>0</v>
      </c>
      <c r="DF89" s="61">
        <v>0</v>
      </c>
      <c r="DG89" s="61">
        <v>0</v>
      </c>
      <c r="DH89" s="61">
        <v>0</v>
      </c>
      <c r="DI89" s="61">
        <v>0</v>
      </c>
      <c r="DJ89" s="61">
        <v>0</v>
      </c>
      <c r="DK89" s="61">
        <v>0</v>
      </c>
      <c r="DL89" s="61">
        <v>0</v>
      </c>
      <c r="DM89" s="61">
        <v>0</v>
      </c>
      <c r="DN89" s="61">
        <v>0</v>
      </c>
      <c r="DO89" s="61">
        <v>0</v>
      </c>
      <c r="DP89" s="61">
        <v>0</v>
      </c>
      <c r="DQ89" s="61">
        <v>0</v>
      </c>
      <c r="DR89" s="61">
        <v>0</v>
      </c>
      <c r="DS89" s="61">
        <v>0</v>
      </c>
      <c r="DT89" s="61">
        <v>0</v>
      </c>
      <c r="DU89" s="61">
        <v>0</v>
      </c>
      <c r="DV89" s="61">
        <v>0</v>
      </c>
      <c r="DW89" s="61">
        <v>0</v>
      </c>
      <c r="DX89" s="61">
        <v>0</v>
      </c>
      <c r="DY89" s="61">
        <v>0</v>
      </c>
      <c r="DZ89" s="61">
        <v>0</v>
      </c>
      <c r="EA89" s="61">
        <v>0</v>
      </c>
      <c r="EB89" s="61">
        <v>0</v>
      </c>
      <c r="EC89" s="61">
        <v>0</v>
      </c>
      <c r="ED89" s="61">
        <v>0</v>
      </c>
      <c r="EE89" s="61">
        <v>0</v>
      </c>
      <c r="EF89" s="61">
        <v>0</v>
      </c>
      <c r="EG89" s="61">
        <v>0</v>
      </c>
      <c r="EH89" s="61">
        <v>0</v>
      </c>
      <c r="EI89" s="61">
        <v>0</v>
      </c>
      <c r="EJ89" s="61">
        <v>0</v>
      </c>
      <c r="EK89" s="61">
        <v>0</v>
      </c>
      <c r="EL89" s="61">
        <v>0</v>
      </c>
      <c r="EM89" s="61">
        <v>0</v>
      </c>
      <c r="EN89" s="61">
        <v>0</v>
      </c>
      <c r="EO89" s="61">
        <v>0</v>
      </c>
      <c r="EP89" s="61">
        <v>0</v>
      </c>
      <c r="EQ89" s="61">
        <v>0</v>
      </c>
      <c r="ER89" s="61">
        <v>0</v>
      </c>
      <c r="ES89" s="61">
        <v>0</v>
      </c>
      <c r="ET89" s="61">
        <v>0</v>
      </c>
      <c r="EU89" s="61">
        <v>0</v>
      </c>
      <c r="EV89" s="61">
        <v>0</v>
      </c>
      <c r="EW89" s="61">
        <v>0</v>
      </c>
      <c r="EX89" s="61">
        <v>0</v>
      </c>
      <c r="EY89" s="61">
        <v>0</v>
      </c>
      <c r="EZ89" s="61">
        <v>0</v>
      </c>
      <c r="FA89" s="61">
        <v>0</v>
      </c>
      <c r="FB89" s="61">
        <v>0</v>
      </c>
      <c r="FC89" s="61">
        <v>0</v>
      </c>
      <c r="FD89" s="61">
        <v>0</v>
      </c>
      <c r="FE89" s="61">
        <v>0</v>
      </c>
      <c r="FF89" s="61">
        <v>0</v>
      </c>
      <c r="FG89" s="65">
        <v>0</v>
      </c>
      <c r="FH89" s="61">
        <v>0</v>
      </c>
      <c r="FI89" s="61">
        <v>0</v>
      </c>
      <c r="FJ89" s="61">
        <v>0</v>
      </c>
      <c r="FK89" s="61">
        <v>0</v>
      </c>
      <c r="FL89" s="61">
        <v>0</v>
      </c>
      <c r="FM89" s="61">
        <v>0</v>
      </c>
      <c r="FN89" s="66">
        <v>1</v>
      </c>
      <c r="FO89" s="61">
        <v>0</v>
      </c>
      <c r="FP89" s="61">
        <v>0</v>
      </c>
      <c r="FQ89" s="61">
        <v>0</v>
      </c>
      <c r="FR89" s="61">
        <v>0</v>
      </c>
      <c r="FS89" s="61">
        <v>0</v>
      </c>
      <c r="FT89" s="61">
        <v>0</v>
      </c>
      <c r="FU89" s="61">
        <v>0</v>
      </c>
      <c r="FV89" s="61">
        <v>0</v>
      </c>
      <c r="FW89" s="61">
        <v>0</v>
      </c>
      <c r="FX89" s="61">
        <v>0</v>
      </c>
      <c r="FY89" s="61">
        <v>0</v>
      </c>
      <c r="FZ89" s="61">
        <v>0</v>
      </c>
      <c r="GA89" s="61">
        <v>0</v>
      </c>
      <c r="GB89" s="61">
        <v>0</v>
      </c>
      <c r="GC89" s="61">
        <v>0</v>
      </c>
      <c r="GD89" s="61">
        <v>0</v>
      </c>
      <c r="GE89" s="61">
        <v>0</v>
      </c>
      <c r="GF89" s="61">
        <v>0</v>
      </c>
      <c r="GG89" s="61">
        <v>0</v>
      </c>
      <c r="GH89" s="61">
        <v>0</v>
      </c>
      <c r="GI89" s="66">
        <v>1</v>
      </c>
      <c r="GJ89" s="66">
        <v>1</v>
      </c>
      <c r="GK89" s="61">
        <v>0</v>
      </c>
      <c r="GL89" s="61">
        <v>0</v>
      </c>
      <c r="GM89" s="66">
        <v>1</v>
      </c>
      <c r="GN89" s="63">
        <v>0</v>
      </c>
      <c r="GO89" s="63">
        <v>0</v>
      </c>
      <c r="GP89" s="63">
        <v>0</v>
      </c>
      <c r="GQ89" s="63">
        <v>0</v>
      </c>
      <c r="GR89" s="63">
        <v>0</v>
      </c>
      <c r="GS89" s="63">
        <v>0</v>
      </c>
      <c r="GT89" s="63">
        <v>0</v>
      </c>
      <c r="GU89" s="63">
        <v>0</v>
      </c>
      <c r="GV89" s="63">
        <v>0</v>
      </c>
      <c r="GW89" s="63">
        <v>0</v>
      </c>
      <c r="GX89" s="63">
        <v>0</v>
      </c>
      <c r="GY89" s="63">
        <v>0</v>
      </c>
      <c r="GZ89" s="63">
        <v>0</v>
      </c>
      <c r="HA89" s="63">
        <v>0</v>
      </c>
      <c r="HB89" s="63">
        <v>0</v>
      </c>
      <c r="HC89" s="63">
        <v>0</v>
      </c>
      <c r="HD89" s="63">
        <v>0</v>
      </c>
      <c r="HE89" s="63">
        <v>0</v>
      </c>
      <c r="HF89" s="63">
        <v>0</v>
      </c>
      <c r="HG89" s="66">
        <v>1</v>
      </c>
      <c r="HH89" s="66"/>
      <c r="HI89" s="66"/>
      <c r="HJ89" s="63">
        <v>1960</v>
      </c>
      <c r="HK89" s="63">
        <f>SUM(FG$4:HI$4)</f>
        <v>55</v>
      </c>
      <c r="HL89" s="61">
        <f>SUM(FG89:HI89)</f>
        <v>5</v>
      </c>
      <c r="HM89" s="67">
        <f>100*HL89/HK89</f>
        <v>9.0909090909090917</v>
      </c>
      <c r="HN89" s="67"/>
      <c r="HO89" s="68"/>
      <c r="HP89" s="68"/>
    </row>
    <row r="90" spans="2:242" x14ac:dyDescent="0.3">
      <c r="B90" s="63" t="s">
        <v>7329</v>
      </c>
      <c r="C90" s="61">
        <v>0</v>
      </c>
      <c r="D90" s="61">
        <v>0</v>
      </c>
      <c r="E90" s="61">
        <v>0</v>
      </c>
      <c r="F90" s="61">
        <v>0</v>
      </c>
      <c r="G90" s="61">
        <v>0</v>
      </c>
      <c r="H90" s="61">
        <v>0</v>
      </c>
      <c r="I90" s="61">
        <v>0</v>
      </c>
      <c r="J90" s="61">
        <v>0</v>
      </c>
      <c r="K90" s="61">
        <v>0</v>
      </c>
      <c r="L90" s="61">
        <v>0</v>
      </c>
      <c r="M90" s="61">
        <v>0</v>
      </c>
      <c r="N90" s="61">
        <v>0</v>
      </c>
      <c r="O90" s="61">
        <v>0</v>
      </c>
      <c r="P90" s="61">
        <v>0</v>
      </c>
      <c r="Q90" s="61">
        <v>0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61">
        <v>0</v>
      </c>
      <c r="Y90" s="61">
        <v>0</v>
      </c>
      <c r="Z90" s="61">
        <v>0</v>
      </c>
      <c r="AA90" s="61">
        <v>0</v>
      </c>
      <c r="AB90" s="61">
        <v>0</v>
      </c>
      <c r="AC90" s="61">
        <v>0</v>
      </c>
      <c r="AD90" s="61">
        <v>0</v>
      </c>
      <c r="AE90" s="61">
        <v>0</v>
      </c>
      <c r="AF90" s="61">
        <v>0</v>
      </c>
      <c r="AG90" s="61">
        <v>0</v>
      </c>
      <c r="AH90" s="61">
        <v>0</v>
      </c>
      <c r="AI90" s="61">
        <v>0</v>
      </c>
      <c r="AJ90" s="61">
        <v>0</v>
      </c>
      <c r="AK90" s="61">
        <v>0</v>
      </c>
      <c r="AL90" s="61">
        <v>0</v>
      </c>
      <c r="AM90" s="61">
        <v>0</v>
      </c>
      <c r="AN90" s="61">
        <v>0</v>
      </c>
      <c r="AO90" s="61">
        <v>0</v>
      </c>
      <c r="AP90" s="61">
        <v>0</v>
      </c>
      <c r="AQ90" s="61">
        <v>0</v>
      </c>
      <c r="AR90" s="61">
        <v>0</v>
      </c>
      <c r="AS90" s="61">
        <v>0</v>
      </c>
      <c r="AT90" s="61">
        <v>0</v>
      </c>
      <c r="AU90" s="61">
        <v>0</v>
      </c>
      <c r="AV90" s="61">
        <v>0</v>
      </c>
      <c r="AW90" s="61">
        <v>0</v>
      </c>
      <c r="AX90" s="61">
        <v>0</v>
      </c>
      <c r="AY90" s="61">
        <v>0</v>
      </c>
      <c r="AZ90" s="61">
        <v>0</v>
      </c>
      <c r="BA90" s="61">
        <v>0</v>
      </c>
      <c r="BB90" s="61">
        <v>0</v>
      </c>
      <c r="BC90" s="61">
        <v>0</v>
      </c>
      <c r="BD90" s="61">
        <v>0</v>
      </c>
      <c r="BE90" s="61">
        <v>0</v>
      </c>
      <c r="BF90" s="61">
        <v>0</v>
      </c>
      <c r="BG90" s="61">
        <v>0</v>
      </c>
      <c r="BH90" s="61">
        <v>0</v>
      </c>
      <c r="BI90" s="61">
        <v>0</v>
      </c>
      <c r="BJ90" s="61">
        <v>0</v>
      </c>
      <c r="BK90" s="61">
        <v>0</v>
      </c>
      <c r="BL90" s="61">
        <v>0</v>
      </c>
      <c r="BM90" s="61">
        <v>0</v>
      </c>
      <c r="BN90" s="61">
        <v>0</v>
      </c>
      <c r="BO90" s="61">
        <v>0</v>
      </c>
      <c r="BP90" s="61">
        <v>0</v>
      </c>
      <c r="BQ90" s="61">
        <v>0</v>
      </c>
      <c r="BR90" s="61">
        <v>0</v>
      </c>
      <c r="BS90" s="61">
        <v>0</v>
      </c>
      <c r="BT90" s="61">
        <v>0</v>
      </c>
      <c r="BU90" s="61">
        <v>0</v>
      </c>
      <c r="BV90" s="61">
        <v>0</v>
      </c>
      <c r="BW90" s="61">
        <v>0</v>
      </c>
      <c r="BX90" s="61">
        <v>0</v>
      </c>
      <c r="BY90" s="61">
        <v>0</v>
      </c>
      <c r="BZ90" s="61">
        <v>0</v>
      </c>
      <c r="CA90" s="61">
        <v>0</v>
      </c>
      <c r="CB90" s="61">
        <v>0</v>
      </c>
      <c r="CC90" s="61">
        <v>0</v>
      </c>
      <c r="CD90" s="61">
        <v>0</v>
      </c>
      <c r="CE90" s="61">
        <v>0</v>
      </c>
      <c r="CF90" s="61">
        <v>0</v>
      </c>
      <c r="CG90" s="61">
        <v>0</v>
      </c>
      <c r="CH90" s="61">
        <v>0</v>
      </c>
      <c r="CI90" s="61">
        <v>0</v>
      </c>
      <c r="CJ90" s="61">
        <v>0</v>
      </c>
      <c r="CK90" s="61">
        <v>0</v>
      </c>
      <c r="CL90" s="61">
        <v>0</v>
      </c>
      <c r="CM90" s="61">
        <v>0</v>
      </c>
      <c r="CN90" s="61">
        <v>0</v>
      </c>
      <c r="CO90" s="61">
        <v>0</v>
      </c>
      <c r="CP90" s="61">
        <v>0</v>
      </c>
      <c r="CQ90" s="61">
        <v>0</v>
      </c>
      <c r="CR90" s="61">
        <v>0</v>
      </c>
      <c r="CS90" s="61">
        <v>0</v>
      </c>
      <c r="CT90" s="61">
        <v>0</v>
      </c>
      <c r="CU90" s="61">
        <v>0</v>
      </c>
      <c r="CV90" s="61">
        <v>0</v>
      </c>
      <c r="CW90" s="61">
        <v>0</v>
      </c>
      <c r="CX90" s="61">
        <v>0</v>
      </c>
      <c r="CY90" s="61">
        <v>0</v>
      </c>
      <c r="CZ90" s="61">
        <v>0</v>
      </c>
      <c r="DA90" s="61">
        <v>0</v>
      </c>
      <c r="DB90" s="61">
        <v>0</v>
      </c>
      <c r="DC90" s="61">
        <v>0</v>
      </c>
      <c r="DD90" s="61">
        <v>0</v>
      </c>
      <c r="DE90" s="61">
        <v>0</v>
      </c>
      <c r="DF90" s="61">
        <v>0</v>
      </c>
      <c r="DG90" s="61">
        <v>0</v>
      </c>
      <c r="DH90" s="61">
        <v>0</v>
      </c>
      <c r="DI90" s="61">
        <v>0</v>
      </c>
      <c r="DJ90" s="61">
        <v>0</v>
      </c>
      <c r="DK90" s="61">
        <v>0</v>
      </c>
      <c r="DL90" s="61">
        <v>0</v>
      </c>
      <c r="DM90" s="61">
        <v>0</v>
      </c>
      <c r="DN90" s="61">
        <v>0</v>
      </c>
      <c r="DO90" s="61">
        <v>0</v>
      </c>
      <c r="DP90" s="61">
        <v>0</v>
      </c>
      <c r="DQ90" s="61">
        <v>0</v>
      </c>
      <c r="DR90" s="61">
        <v>0</v>
      </c>
      <c r="DS90" s="61">
        <v>0</v>
      </c>
      <c r="DT90" s="61">
        <v>0</v>
      </c>
      <c r="DU90" s="61">
        <v>0</v>
      </c>
      <c r="DV90" s="61">
        <v>0</v>
      </c>
      <c r="DW90" s="61">
        <v>0</v>
      </c>
      <c r="DX90" s="61">
        <v>0</v>
      </c>
      <c r="DY90" s="61">
        <v>0</v>
      </c>
      <c r="DZ90" s="61">
        <v>0</v>
      </c>
      <c r="EA90" s="61">
        <v>0</v>
      </c>
      <c r="EB90" s="61">
        <v>0</v>
      </c>
      <c r="EC90" s="61">
        <v>0</v>
      </c>
      <c r="ED90" s="61">
        <v>0</v>
      </c>
      <c r="EE90" s="61">
        <v>0</v>
      </c>
      <c r="EF90" s="61">
        <v>0</v>
      </c>
      <c r="EG90" s="61">
        <v>0</v>
      </c>
      <c r="EH90" s="61">
        <v>0</v>
      </c>
      <c r="EI90" s="61">
        <v>0</v>
      </c>
      <c r="EJ90" s="61">
        <v>0</v>
      </c>
      <c r="EK90" s="61">
        <v>0</v>
      </c>
      <c r="EL90" s="61">
        <v>0</v>
      </c>
      <c r="EM90" s="61">
        <v>0</v>
      </c>
      <c r="EN90" s="61">
        <v>0</v>
      </c>
      <c r="EO90" s="61">
        <v>0</v>
      </c>
      <c r="EP90" s="61">
        <v>0</v>
      </c>
      <c r="EQ90" s="61">
        <v>0</v>
      </c>
      <c r="ER90" s="61">
        <v>0</v>
      </c>
      <c r="ES90" s="61">
        <v>0</v>
      </c>
      <c r="ET90" s="61">
        <v>0</v>
      </c>
      <c r="EU90" s="61">
        <v>0</v>
      </c>
      <c r="EV90" s="61">
        <v>0</v>
      </c>
      <c r="EW90" s="61">
        <v>0</v>
      </c>
      <c r="EX90" s="61">
        <v>0</v>
      </c>
      <c r="EY90" s="61">
        <v>0</v>
      </c>
      <c r="EZ90" s="61">
        <v>0</v>
      </c>
      <c r="FA90" s="61">
        <v>0</v>
      </c>
      <c r="FB90" s="61">
        <v>0</v>
      </c>
      <c r="FC90" s="61">
        <v>0</v>
      </c>
      <c r="FD90" s="61">
        <v>0</v>
      </c>
      <c r="FE90" s="65">
        <v>0</v>
      </c>
      <c r="FF90" s="61">
        <v>0</v>
      </c>
      <c r="FG90" s="61">
        <v>0</v>
      </c>
      <c r="FH90" s="61">
        <v>0</v>
      </c>
      <c r="FI90" s="61">
        <v>0</v>
      </c>
      <c r="FJ90" s="61">
        <v>0</v>
      </c>
      <c r="FK90" s="61">
        <v>0</v>
      </c>
      <c r="FL90" s="61">
        <v>0</v>
      </c>
      <c r="FM90" s="61">
        <v>0</v>
      </c>
      <c r="FN90" s="61">
        <v>0</v>
      </c>
      <c r="FO90" s="61">
        <v>0</v>
      </c>
      <c r="FP90" s="61">
        <v>0</v>
      </c>
      <c r="FQ90" s="61">
        <v>0</v>
      </c>
      <c r="FR90" s="61">
        <v>0</v>
      </c>
      <c r="FS90" s="61">
        <v>0</v>
      </c>
      <c r="FT90" s="61">
        <v>0</v>
      </c>
      <c r="FU90" s="61">
        <v>0</v>
      </c>
      <c r="FV90" s="61">
        <v>0</v>
      </c>
      <c r="FW90" s="61">
        <v>0</v>
      </c>
      <c r="FX90" s="61">
        <v>0</v>
      </c>
      <c r="FY90" s="61">
        <v>0</v>
      </c>
      <c r="FZ90" s="61">
        <v>0</v>
      </c>
      <c r="GA90" s="61">
        <v>0</v>
      </c>
      <c r="GB90" s="61">
        <v>0</v>
      </c>
      <c r="GC90" s="61">
        <v>0</v>
      </c>
      <c r="GD90" s="61">
        <v>0</v>
      </c>
      <c r="GE90" s="61">
        <v>0</v>
      </c>
      <c r="GF90" s="61">
        <v>0</v>
      </c>
      <c r="GG90" s="61">
        <v>0</v>
      </c>
      <c r="GH90" s="61">
        <v>0</v>
      </c>
      <c r="GI90" s="61">
        <v>0</v>
      </c>
      <c r="GJ90" s="61">
        <v>0</v>
      </c>
      <c r="GK90" s="61">
        <v>0</v>
      </c>
      <c r="GL90" s="61">
        <v>0</v>
      </c>
      <c r="GM90" s="66">
        <v>1</v>
      </c>
      <c r="GN90" s="66">
        <v>1</v>
      </c>
      <c r="GO90" s="66">
        <v>1</v>
      </c>
      <c r="GP90" s="66">
        <v>1</v>
      </c>
      <c r="GQ90" s="66">
        <v>1</v>
      </c>
      <c r="GR90" s="61">
        <v>0</v>
      </c>
      <c r="GS90" s="63">
        <v>0</v>
      </c>
      <c r="GT90" s="63">
        <v>0</v>
      </c>
      <c r="GU90" s="63">
        <v>0</v>
      </c>
      <c r="GV90" s="63">
        <v>0</v>
      </c>
      <c r="GW90" s="63">
        <v>0</v>
      </c>
      <c r="GX90" s="63">
        <v>0</v>
      </c>
      <c r="GY90" s="63">
        <v>0</v>
      </c>
      <c r="GZ90" s="63">
        <v>0</v>
      </c>
      <c r="HA90" s="63">
        <v>0</v>
      </c>
      <c r="HB90" s="61">
        <v>0</v>
      </c>
      <c r="HC90" s="61">
        <v>0</v>
      </c>
      <c r="HD90" s="61">
        <v>0</v>
      </c>
      <c r="HE90" s="61">
        <v>0</v>
      </c>
      <c r="HF90" s="61">
        <v>0</v>
      </c>
      <c r="HG90" s="61">
        <v>0</v>
      </c>
      <c r="HH90" s="61"/>
      <c r="HI90" s="61"/>
      <c r="HJ90" s="63">
        <v>1958</v>
      </c>
      <c r="HK90" s="63">
        <f>SUM(FE$4:HI$4)</f>
        <v>57</v>
      </c>
      <c r="HL90" s="61">
        <f>SUM(FE90:HI90)</f>
        <v>5</v>
      </c>
      <c r="HM90" s="67">
        <f t="shared" si="7"/>
        <v>8.7719298245614041</v>
      </c>
      <c r="HN90" s="67"/>
      <c r="HO90" s="68"/>
      <c r="HP90" s="68"/>
    </row>
    <row r="91" spans="2:242" x14ac:dyDescent="0.3">
      <c r="B91" s="63" t="s">
        <v>7330</v>
      </c>
      <c r="C91" s="61">
        <v>0</v>
      </c>
      <c r="D91" s="61">
        <v>0</v>
      </c>
      <c r="E91" s="61">
        <v>0</v>
      </c>
      <c r="F91" s="61">
        <v>0</v>
      </c>
      <c r="G91" s="61">
        <v>0</v>
      </c>
      <c r="H91" s="61">
        <v>0</v>
      </c>
      <c r="I91" s="61">
        <v>0</v>
      </c>
      <c r="J91" s="61">
        <v>0</v>
      </c>
      <c r="K91" s="61">
        <v>0</v>
      </c>
      <c r="L91" s="61">
        <v>0</v>
      </c>
      <c r="M91" s="61">
        <v>0</v>
      </c>
      <c r="N91" s="61">
        <v>0</v>
      </c>
      <c r="O91" s="61">
        <v>0</v>
      </c>
      <c r="P91" s="61">
        <v>0</v>
      </c>
      <c r="Q91" s="61">
        <v>0</v>
      </c>
      <c r="R91" s="61">
        <v>0</v>
      </c>
      <c r="S91" s="61">
        <v>0</v>
      </c>
      <c r="T91" s="61">
        <v>0</v>
      </c>
      <c r="U91" s="61">
        <v>0</v>
      </c>
      <c r="V91" s="61">
        <v>0</v>
      </c>
      <c r="W91" s="61">
        <v>0</v>
      </c>
      <c r="X91" s="61">
        <v>0</v>
      </c>
      <c r="Y91" s="61">
        <v>0</v>
      </c>
      <c r="Z91" s="61">
        <v>0</v>
      </c>
      <c r="AA91" s="61">
        <v>0</v>
      </c>
      <c r="AB91" s="61">
        <v>0</v>
      </c>
      <c r="AC91" s="61">
        <v>0</v>
      </c>
      <c r="AD91" s="61">
        <v>0</v>
      </c>
      <c r="AE91" s="61">
        <v>0</v>
      </c>
      <c r="AF91" s="61">
        <v>0</v>
      </c>
      <c r="AG91" s="61">
        <v>0</v>
      </c>
      <c r="AH91" s="61">
        <v>0</v>
      </c>
      <c r="AI91" s="61">
        <v>0</v>
      </c>
      <c r="AJ91" s="61">
        <v>0</v>
      </c>
      <c r="AK91" s="61">
        <v>0</v>
      </c>
      <c r="AL91" s="61">
        <v>0</v>
      </c>
      <c r="AM91" s="61">
        <v>0</v>
      </c>
      <c r="AN91" s="61">
        <v>0</v>
      </c>
      <c r="AO91" s="61">
        <v>0</v>
      </c>
      <c r="AP91" s="61">
        <v>0</v>
      </c>
      <c r="AQ91" s="61">
        <v>0</v>
      </c>
      <c r="AR91" s="61">
        <v>0</v>
      </c>
      <c r="AS91" s="61">
        <v>0</v>
      </c>
      <c r="AT91" s="61">
        <v>0</v>
      </c>
      <c r="AU91" s="61">
        <v>0</v>
      </c>
      <c r="AV91" s="61">
        <v>0</v>
      </c>
      <c r="AW91" s="61">
        <v>0</v>
      </c>
      <c r="AX91" s="61">
        <v>0</v>
      </c>
      <c r="AY91" s="61">
        <v>0</v>
      </c>
      <c r="AZ91" s="61">
        <v>0</v>
      </c>
      <c r="BA91" s="61">
        <v>0</v>
      </c>
      <c r="BB91" s="61">
        <v>0</v>
      </c>
      <c r="BC91" s="61">
        <v>0</v>
      </c>
      <c r="BD91" s="61">
        <v>0</v>
      </c>
      <c r="BE91" s="61">
        <v>0</v>
      </c>
      <c r="BF91" s="61">
        <v>0</v>
      </c>
      <c r="BG91" s="61">
        <v>0</v>
      </c>
      <c r="BH91" s="61">
        <v>0</v>
      </c>
      <c r="BI91" s="61">
        <v>0</v>
      </c>
      <c r="BJ91" s="61">
        <v>0</v>
      </c>
      <c r="BK91" s="61">
        <v>0</v>
      </c>
      <c r="BL91" s="61">
        <v>0</v>
      </c>
      <c r="BM91" s="61">
        <v>0</v>
      </c>
      <c r="BN91" s="61">
        <v>0</v>
      </c>
      <c r="BO91" s="61">
        <v>0</v>
      </c>
      <c r="BP91" s="61">
        <v>0</v>
      </c>
      <c r="BQ91" s="61">
        <v>0</v>
      </c>
      <c r="BR91" s="61">
        <v>0</v>
      </c>
      <c r="BS91" s="61">
        <v>0</v>
      </c>
      <c r="BT91" s="61">
        <v>0</v>
      </c>
      <c r="BU91" s="61">
        <v>0</v>
      </c>
      <c r="BV91" s="61">
        <v>0</v>
      </c>
      <c r="BW91" s="61">
        <v>0</v>
      </c>
      <c r="BX91" s="61">
        <v>0</v>
      </c>
      <c r="BY91" s="61">
        <v>0</v>
      </c>
      <c r="BZ91" s="61">
        <v>0</v>
      </c>
      <c r="CA91" s="61">
        <v>0</v>
      </c>
      <c r="CB91" s="61">
        <v>0</v>
      </c>
      <c r="CC91" s="61">
        <v>0</v>
      </c>
      <c r="CD91" s="61">
        <v>0</v>
      </c>
      <c r="CE91" s="61">
        <v>0</v>
      </c>
      <c r="CF91" s="61">
        <v>0</v>
      </c>
      <c r="CG91" s="61">
        <v>0</v>
      </c>
      <c r="CH91" s="61">
        <v>0</v>
      </c>
      <c r="CI91" s="61">
        <v>0</v>
      </c>
      <c r="CJ91" s="61">
        <v>0</v>
      </c>
      <c r="CK91" s="61">
        <v>0</v>
      </c>
      <c r="CL91" s="61">
        <v>0</v>
      </c>
      <c r="CM91" s="61">
        <v>0</v>
      </c>
      <c r="CN91" s="61">
        <v>0</v>
      </c>
      <c r="CO91" s="61">
        <v>0</v>
      </c>
      <c r="CP91" s="61">
        <v>0</v>
      </c>
      <c r="CQ91" s="61">
        <v>0</v>
      </c>
      <c r="CR91" s="61">
        <v>0</v>
      </c>
      <c r="CS91" s="61">
        <v>0</v>
      </c>
      <c r="CT91" s="61">
        <v>0</v>
      </c>
      <c r="CU91" s="61">
        <v>0</v>
      </c>
      <c r="CV91" s="61">
        <v>0</v>
      </c>
      <c r="CW91" s="61">
        <v>0</v>
      </c>
      <c r="CX91" s="61">
        <v>0</v>
      </c>
      <c r="CY91" s="61">
        <v>0</v>
      </c>
      <c r="CZ91" s="61">
        <v>0</v>
      </c>
      <c r="DA91" s="61">
        <v>0</v>
      </c>
      <c r="DB91" s="61">
        <v>0</v>
      </c>
      <c r="DC91" s="61">
        <v>0</v>
      </c>
      <c r="DD91" s="61">
        <v>0</v>
      </c>
      <c r="DE91" s="61">
        <v>0</v>
      </c>
      <c r="DF91" s="61">
        <v>0</v>
      </c>
      <c r="DG91" s="61">
        <v>0</v>
      </c>
      <c r="DH91" s="61">
        <v>0</v>
      </c>
      <c r="DI91" s="61">
        <v>0</v>
      </c>
      <c r="DJ91" s="61">
        <v>0</v>
      </c>
      <c r="DK91" s="61">
        <v>0</v>
      </c>
      <c r="DL91" s="61">
        <v>0</v>
      </c>
      <c r="DM91" s="61">
        <v>0</v>
      </c>
      <c r="DN91" s="61">
        <v>0</v>
      </c>
      <c r="DO91" s="61">
        <v>0</v>
      </c>
      <c r="DP91" s="61">
        <v>0</v>
      </c>
      <c r="DQ91" s="61">
        <v>0</v>
      </c>
      <c r="DR91" s="61">
        <v>0</v>
      </c>
      <c r="DS91" s="61">
        <v>0</v>
      </c>
      <c r="DT91" s="61">
        <v>0</v>
      </c>
      <c r="DU91" s="61">
        <v>0</v>
      </c>
      <c r="DV91" s="61">
        <v>0</v>
      </c>
      <c r="DW91" s="61">
        <v>0</v>
      </c>
      <c r="DX91" s="61">
        <v>0</v>
      </c>
      <c r="DY91" s="61">
        <v>0</v>
      </c>
      <c r="DZ91" s="61">
        <v>0</v>
      </c>
      <c r="EA91" s="61">
        <v>0</v>
      </c>
      <c r="EB91" s="61">
        <v>0</v>
      </c>
      <c r="EC91" s="61">
        <v>0</v>
      </c>
      <c r="ED91" s="61">
        <v>0</v>
      </c>
      <c r="EE91" s="61">
        <v>0</v>
      </c>
      <c r="EF91" s="61">
        <v>0</v>
      </c>
      <c r="EG91" s="61">
        <v>0</v>
      </c>
      <c r="EH91" s="61">
        <v>0</v>
      </c>
      <c r="EI91" s="61">
        <v>0</v>
      </c>
      <c r="EJ91" s="61">
        <v>0</v>
      </c>
      <c r="EK91" s="61">
        <v>0</v>
      </c>
      <c r="EL91" s="61">
        <v>0</v>
      </c>
      <c r="EM91" s="61">
        <v>0</v>
      </c>
      <c r="EN91" s="61">
        <v>0</v>
      </c>
      <c r="EO91" s="61">
        <v>0</v>
      </c>
      <c r="EP91" s="61">
        <v>0</v>
      </c>
      <c r="EQ91" s="61">
        <v>0</v>
      </c>
      <c r="ER91" s="61">
        <v>0</v>
      </c>
      <c r="ES91" s="61">
        <v>0</v>
      </c>
      <c r="ET91" s="61">
        <v>0</v>
      </c>
      <c r="EU91" s="61">
        <v>0</v>
      </c>
      <c r="EV91" s="61">
        <v>0</v>
      </c>
      <c r="EW91" s="61">
        <v>0</v>
      </c>
      <c r="EX91" s="61">
        <v>0</v>
      </c>
      <c r="EY91" s="61">
        <v>0</v>
      </c>
      <c r="EZ91" s="61">
        <v>0</v>
      </c>
      <c r="FA91" s="61">
        <v>0</v>
      </c>
      <c r="FB91" s="61">
        <v>0</v>
      </c>
      <c r="FC91" s="61">
        <v>0</v>
      </c>
      <c r="FD91" s="61">
        <v>0</v>
      </c>
      <c r="FE91" s="61">
        <v>0</v>
      </c>
      <c r="FF91" s="61">
        <v>0</v>
      </c>
      <c r="FG91" s="61">
        <v>0</v>
      </c>
      <c r="FH91" s="61">
        <v>0</v>
      </c>
      <c r="FI91" s="61">
        <v>0</v>
      </c>
      <c r="FJ91" s="61">
        <v>0</v>
      </c>
      <c r="FK91" s="61">
        <v>0</v>
      </c>
      <c r="FL91" s="61">
        <v>0</v>
      </c>
      <c r="FM91" s="61">
        <v>0</v>
      </c>
      <c r="FN91" s="61">
        <v>0</v>
      </c>
      <c r="FO91" s="61">
        <v>0</v>
      </c>
      <c r="FP91" s="61">
        <v>0</v>
      </c>
      <c r="FQ91" s="61">
        <v>0</v>
      </c>
      <c r="FR91" s="61">
        <v>0</v>
      </c>
      <c r="FS91" s="61">
        <v>0</v>
      </c>
      <c r="FT91" s="61">
        <v>0</v>
      </c>
      <c r="FU91" s="61">
        <v>0</v>
      </c>
      <c r="FV91" s="65">
        <v>0</v>
      </c>
      <c r="FW91" s="61">
        <v>0</v>
      </c>
      <c r="FX91" s="61">
        <v>0</v>
      </c>
      <c r="FY91" s="61">
        <v>0</v>
      </c>
      <c r="FZ91" s="61">
        <v>0</v>
      </c>
      <c r="GA91" s="61">
        <v>1</v>
      </c>
      <c r="GB91" s="61">
        <v>0</v>
      </c>
      <c r="GC91" s="61">
        <v>0</v>
      </c>
      <c r="GD91" s="66">
        <v>1</v>
      </c>
      <c r="GE91" s="66">
        <v>1</v>
      </c>
      <c r="GF91" s="66">
        <v>1</v>
      </c>
      <c r="GG91" s="66">
        <v>1</v>
      </c>
      <c r="GH91" s="66">
        <v>1</v>
      </c>
      <c r="GI91" s="66">
        <v>1</v>
      </c>
      <c r="GJ91" s="66">
        <v>1</v>
      </c>
      <c r="GK91" s="66">
        <v>1</v>
      </c>
      <c r="GL91" s="66">
        <v>1</v>
      </c>
      <c r="GM91" s="66">
        <v>1</v>
      </c>
      <c r="GN91" s="61">
        <v>0</v>
      </c>
      <c r="GO91" s="61">
        <v>0</v>
      </c>
      <c r="GP91" s="61">
        <v>0</v>
      </c>
      <c r="GQ91" s="61">
        <v>0</v>
      </c>
      <c r="GR91" s="63">
        <v>0</v>
      </c>
      <c r="GS91" s="63">
        <v>0</v>
      </c>
      <c r="GT91" s="63">
        <v>0</v>
      </c>
      <c r="GU91" s="63">
        <v>0</v>
      </c>
      <c r="GV91" s="63">
        <v>0</v>
      </c>
      <c r="GW91" s="63">
        <v>0</v>
      </c>
      <c r="GX91" s="63">
        <v>0</v>
      </c>
      <c r="GY91" s="63">
        <v>0</v>
      </c>
      <c r="GZ91" s="63">
        <v>0</v>
      </c>
      <c r="HA91" s="63">
        <v>0</v>
      </c>
      <c r="HB91" s="61">
        <v>0</v>
      </c>
      <c r="HC91" s="61">
        <v>0</v>
      </c>
      <c r="HD91" s="61">
        <v>0</v>
      </c>
      <c r="HE91" s="61">
        <v>0</v>
      </c>
      <c r="HF91" s="61">
        <v>0</v>
      </c>
      <c r="HG91" s="61">
        <v>0</v>
      </c>
      <c r="HH91" s="61"/>
      <c r="HI91" s="61"/>
      <c r="HJ91" s="63">
        <v>1975</v>
      </c>
      <c r="HK91" s="63">
        <f>SUM(FV$4:HI$4)</f>
        <v>40</v>
      </c>
      <c r="HL91" s="61">
        <f>SUM(FV91:HI91)</f>
        <v>11</v>
      </c>
      <c r="HM91" s="67">
        <f t="shared" si="7"/>
        <v>27.5</v>
      </c>
      <c r="HN91" s="67"/>
      <c r="HO91" s="68"/>
      <c r="HP91" s="68"/>
    </row>
    <row r="92" spans="2:242" x14ac:dyDescent="0.3">
      <c r="B92" s="63" t="s">
        <v>7331</v>
      </c>
      <c r="C92" s="61">
        <v>0</v>
      </c>
      <c r="D92" s="61">
        <v>0</v>
      </c>
      <c r="E92" s="61">
        <v>0</v>
      </c>
      <c r="F92" s="61">
        <v>0</v>
      </c>
      <c r="G92" s="61">
        <v>0</v>
      </c>
      <c r="H92" s="61">
        <v>0</v>
      </c>
      <c r="I92" s="61">
        <v>0</v>
      </c>
      <c r="J92" s="61">
        <v>0</v>
      </c>
      <c r="K92" s="61">
        <v>0</v>
      </c>
      <c r="L92" s="61">
        <v>0</v>
      </c>
      <c r="M92" s="61">
        <v>0</v>
      </c>
      <c r="N92" s="61">
        <v>0</v>
      </c>
      <c r="O92" s="61">
        <v>0</v>
      </c>
      <c r="P92" s="61">
        <v>0</v>
      </c>
      <c r="Q92" s="61">
        <v>0</v>
      </c>
      <c r="R92" s="61">
        <v>0</v>
      </c>
      <c r="S92" s="61">
        <v>0</v>
      </c>
      <c r="T92" s="61">
        <v>0</v>
      </c>
      <c r="U92" s="61">
        <v>0</v>
      </c>
      <c r="V92" s="61">
        <v>0</v>
      </c>
      <c r="W92" s="61">
        <v>0</v>
      </c>
      <c r="X92" s="61">
        <v>0</v>
      </c>
      <c r="Y92" s="61">
        <v>0</v>
      </c>
      <c r="Z92" s="61">
        <v>0</v>
      </c>
      <c r="AA92" s="61">
        <v>0</v>
      </c>
      <c r="AB92" s="61">
        <v>0</v>
      </c>
      <c r="AC92" s="61">
        <v>0</v>
      </c>
      <c r="AD92" s="61">
        <v>0</v>
      </c>
      <c r="AE92" s="61">
        <v>0</v>
      </c>
      <c r="AF92" s="61">
        <v>0</v>
      </c>
      <c r="AG92" s="61">
        <v>0</v>
      </c>
      <c r="AH92" s="61">
        <v>0</v>
      </c>
      <c r="AI92" s="61">
        <v>0</v>
      </c>
      <c r="AJ92" s="61">
        <v>0</v>
      </c>
      <c r="AK92" s="61">
        <v>0</v>
      </c>
      <c r="AL92" s="61">
        <v>0</v>
      </c>
      <c r="AM92" s="61">
        <v>0</v>
      </c>
      <c r="AN92" s="61">
        <v>0</v>
      </c>
      <c r="AO92" s="61">
        <v>0</v>
      </c>
      <c r="AP92" s="61">
        <v>0</v>
      </c>
      <c r="AQ92" s="61">
        <v>0</v>
      </c>
      <c r="AR92" s="61">
        <v>0</v>
      </c>
      <c r="AS92" s="61">
        <v>0</v>
      </c>
      <c r="AT92" s="61">
        <v>0</v>
      </c>
      <c r="AU92" s="61">
        <v>0</v>
      </c>
      <c r="AV92" s="61">
        <v>0</v>
      </c>
      <c r="AW92" s="61">
        <v>0</v>
      </c>
      <c r="AX92" s="61">
        <v>0</v>
      </c>
      <c r="AY92" s="61">
        <v>0</v>
      </c>
      <c r="AZ92" s="61">
        <v>0</v>
      </c>
      <c r="BA92" s="61">
        <v>0</v>
      </c>
      <c r="BB92" s="61">
        <v>0</v>
      </c>
      <c r="BC92" s="61">
        <v>0</v>
      </c>
      <c r="BD92" s="61">
        <v>0</v>
      </c>
      <c r="BE92" s="61">
        <v>0</v>
      </c>
      <c r="BF92" s="61">
        <v>0</v>
      </c>
      <c r="BG92" s="61">
        <v>0</v>
      </c>
      <c r="BH92" s="61">
        <v>0</v>
      </c>
      <c r="BI92" s="61">
        <v>0</v>
      </c>
      <c r="BJ92" s="61">
        <v>0</v>
      </c>
      <c r="BK92" s="61">
        <v>0</v>
      </c>
      <c r="BL92" s="61">
        <v>0</v>
      </c>
      <c r="BM92" s="61">
        <v>0</v>
      </c>
      <c r="BN92" s="61">
        <v>0</v>
      </c>
      <c r="BO92" s="61">
        <v>0</v>
      </c>
      <c r="BP92" s="61">
        <v>0</v>
      </c>
      <c r="BQ92" s="61">
        <v>0</v>
      </c>
      <c r="BR92" s="61">
        <v>0</v>
      </c>
      <c r="BS92" s="61">
        <v>0</v>
      </c>
      <c r="BT92" s="61">
        <v>0</v>
      </c>
      <c r="BU92" s="61">
        <v>0</v>
      </c>
      <c r="BV92" s="61">
        <v>0</v>
      </c>
      <c r="BW92" s="61">
        <v>0</v>
      </c>
      <c r="BX92" s="61">
        <v>0</v>
      </c>
      <c r="BY92" s="61">
        <v>0</v>
      </c>
      <c r="BZ92" s="61">
        <v>0</v>
      </c>
      <c r="CA92" s="61">
        <v>0</v>
      </c>
      <c r="CB92" s="61">
        <v>0</v>
      </c>
      <c r="CC92" s="61">
        <v>0</v>
      </c>
      <c r="CD92" s="61">
        <v>0</v>
      </c>
      <c r="CE92" s="61">
        <v>0</v>
      </c>
      <c r="CF92" s="61">
        <v>0</v>
      </c>
      <c r="CG92" s="61">
        <v>0</v>
      </c>
      <c r="CH92" s="61">
        <v>0</v>
      </c>
      <c r="CI92" s="61">
        <v>0</v>
      </c>
      <c r="CJ92" s="61">
        <v>0</v>
      </c>
      <c r="CK92" s="61">
        <v>0</v>
      </c>
      <c r="CL92" s="61">
        <v>0</v>
      </c>
      <c r="CM92" s="61">
        <v>0</v>
      </c>
      <c r="CN92" s="61">
        <v>0</v>
      </c>
      <c r="CO92" s="61">
        <v>0</v>
      </c>
      <c r="CP92" s="61">
        <v>0</v>
      </c>
      <c r="CQ92" s="61">
        <v>0</v>
      </c>
      <c r="CR92" s="61">
        <v>0</v>
      </c>
      <c r="CS92" s="61">
        <v>0</v>
      </c>
      <c r="CT92" s="61">
        <v>0</v>
      </c>
      <c r="CU92" s="61">
        <v>0</v>
      </c>
      <c r="CV92" s="61">
        <v>0</v>
      </c>
      <c r="CW92" s="61">
        <v>0</v>
      </c>
      <c r="CX92" s="61">
        <v>0</v>
      </c>
      <c r="CY92" s="61">
        <v>0</v>
      </c>
      <c r="CZ92" s="61">
        <v>0</v>
      </c>
      <c r="DA92" s="61">
        <v>0</v>
      </c>
      <c r="DB92" s="61">
        <v>0</v>
      </c>
      <c r="DC92" s="61">
        <v>0</v>
      </c>
      <c r="DD92" s="61">
        <v>0</v>
      </c>
      <c r="DE92" s="61">
        <v>0</v>
      </c>
      <c r="DF92" s="61">
        <v>0</v>
      </c>
      <c r="DG92" s="61">
        <v>0</v>
      </c>
      <c r="DH92" s="61">
        <v>0</v>
      </c>
      <c r="DI92" s="61">
        <v>0</v>
      </c>
      <c r="DJ92" s="61">
        <v>0</v>
      </c>
      <c r="DK92" s="61">
        <v>0</v>
      </c>
      <c r="DL92" s="61">
        <v>0</v>
      </c>
      <c r="DM92" s="61">
        <v>0</v>
      </c>
      <c r="DN92" s="61">
        <v>0</v>
      </c>
      <c r="DO92" s="61">
        <v>0</v>
      </c>
      <c r="DP92" s="61">
        <v>0</v>
      </c>
      <c r="DQ92" s="61">
        <v>0</v>
      </c>
      <c r="DR92" s="61">
        <v>0</v>
      </c>
      <c r="DS92" s="61">
        <v>0</v>
      </c>
      <c r="DT92" s="61">
        <v>0</v>
      </c>
      <c r="DU92" s="61">
        <v>0</v>
      </c>
      <c r="DV92" s="61">
        <v>0</v>
      </c>
      <c r="DW92" s="61">
        <v>0</v>
      </c>
      <c r="DX92" s="61">
        <v>0</v>
      </c>
      <c r="DY92" s="61">
        <v>0</v>
      </c>
      <c r="DZ92" s="61">
        <v>0</v>
      </c>
      <c r="EA92" s="61">
        <v>0</v>
      </c>
      <c r="EB92" s="61">
        <v>0</v>
      </c>
      <c r="EC92" s="61">
        <v>0</v>
      </c>
      <c r="ED92" s="61">
        <v>0</v>
      </c>
      <c r="EE92" s="61">
        <v>0</v>
      </c>
      <c r="EF92" s="61">
        <v>0</v>
      </c>
      <c r="EG92" s="61">
        <v>0</v>
      </c>
      <c r="EH92" s="61">
        <v>0</v>
      </c>
      <c r="EI92" s="61">
        <v>0</v>
      </c>
      <c r="EJ92" s="61">
        <v>0</v>
      </c>
      <c r="EK92" s="61">
        <v>0</v>
      </c>
      <c r="EL92" s="61">
        <v>0</v>
      </c>
      <c r="EM92" s="61">
        <v>0</v>
      </c>
      <c r="EN92" s="61">
        <v>0</v>
      </c>
      <c r="EO92" s="61">
        <v>0</v>
      </c>
      <c r="EP92" s="61">
        <v>0</v>
      </c>
      <c r="EQ92" s="61">
        <v>0</v>
      </c>
      <c r="ER92" s="61">
        <v>0</v>
      </c>
      <c r="ES92" s="61">
        <v>0</v>
      </c>
      <c r="ET92" s="61">
        <v>0</v>
      </c>
      <c r="EU92" s="61">
        <v>0</v>
      </c>
      <c r="EV92" s="61">
        <v>0</v>
      </c>
      <c r="EW92" s="61">
        <v>0</v>
      </c>
      <c r="EX92" s="61">
        <v>0</v>
      </c>
      <c r="EY92" s="61">
        <v>0</v>
      </c>
      <c r="EZ92" s="61">
        <v>0</v>
      </c>
      <c r="FA92" s="61">
        <v>0</v>
      </c>
      <c r="FB92" s="61">
        <v>0</v>
      </c>
      <c r="FC92" s="61">
        <v>0</v>
      </c>
      <c r="FD92" s="61">
        <v>0</v>
      </c>
      <c r="FE92" s="61">
        <v>0</v>
      </c>
      <c r="FF92" s="61">
        <v>0</v>
      </c>
      <c r="FG92" s="65">
        <v>0</v>
      </c>
      <c r="FH92" s="61">
        <v>0</v>
      </c>
      <c r="FI92" s="61">
        <v>0</v>
      </c>
      <c r="FJ92" s="61">
        <v>0</v>
      </c>
      <c r="FK92" s="61">
        <v>0</v>
      </c>
      <c r="FL92" s="61">
        <v>0</v>
      </c>
      <c r="FM92" s="61">
        <v>0</v>
      </c>
      <c r="FN92" s="61">
        <v>0</v>
      </c>
      <c r="FO92" s="61">
        <v>0</v>
      </c>
      <c r="FP92" s="61">
        <v>0</v>
      </c>
      <c r="FQ92" s="61">
        <v>0</v>
      </c>
      <c r="FR92" s="61">
        <v>0</v>
      </c>
      <c r="FS92" s="61">
        <v>0</v>
      </c>
      <c r="FT92" s="61">
        <v>0</v>
      </c>
      <c r="FU92" s="61">
        <v>0</v>
      </c>
      <c r="FV92" s="61">
        <v>0</v>
      </c>
      <c r="FW92" s="61">
        <v>0</v>
      </c>
      <c r="FX92" s="61">
        <v>0</v>
      </c>
      <c r="FY92" s="61">
        <v>0</v>
      </c>
      <c r="FZ92" s="61">
        <v>0</v>
      </c>
      <c r="GA92" s="61">
        <v>0</v>
      </c>
      <c r="GB92" s="61">
        <v>0</v>
      </c>
      <c r="GC92" s="66">
        <v>1</v>
      </c>
      <c r="GD92" s="66">
        <v>1</v>
      </c>
      <c r="GE92" s="66">
        <v>1</v>
      </c>
      <c r="GF92" s="66">
        <v>1</v>
      </c>
      <c r="GG92" s="66">
        <v>1</v>
      </c>
      <c r="GH92" s="66">
        <v>1</v>
      </c>
      <c r="GI92" s="66">
        <v>1</v>
      </c>
      <c r="GJ92" s="66">
        <v>1</v>
      </c>
      <c r="GK92" s="66">
        <v>1</v>
      </c>
      <c r="GL92" s="66">
        <v>1</v>
      </c>
      <c r="GM92" s="63">
        <v>0</v>
      </c>
      <c r="GN92" s="61">
        <v>0</v>
      </c>
      <c r="GO92" s="61">
        <v>0</v>
      </c>
      <c r="GP92" s="61">
        <v>0</v>
      </c>
      <c r="GQ92" s="61">
        <v>0</v>
      </c>
      <c r="GR92" s="61">
        <v>0</v>
      </c>
      <c r="GS92" s="61">
        <v>0</v>
      </c>
      <c r="GT92" s="61">
        <v>0</v>
      </c>
      <c r="GU92" s="63">
        <v>0</v>
      </c>
      <c r="GV92" s="63">
        <v>0</v>
      </c>
      <c r="GW92" s="63">
        <v>0</v>
      </c>
      <c r="GX92" s="63">
        <v>0</v>
      </c>
      <c r="GY92" s="63">
        <v>0</v>
      </c>
      <c r="GZ92" s="63">
        <v>0</v>
      </c>
      <c r="HA92" s="63">
        <v>0</v>
      </c>
      <c r="HB92" s="61">
        <v>0</v>
      </c>
      <c r="HC92" s="61">
        <v>0</v>
      </c>
      <c r="HD92" s="61">
        <v>0</v>
      </c>
      <c r="HE92" s="61">
        <v>0</v>
      </c>
      <c r="HF92" s="61">
        <v>0</v>
      </c>
      <c r="HG92" s="61">
        <v>0</v>
      </c>
      <c r="HH92" s="61"/>
      <c r="HI92" s="61"/>
      <c r="HJ92" s="63">
        <v>1960</v>
      </c>
      <c r="HK92" s="63">
        <f>SUM(FG$4:HI$4)</f>
        <v>55</v>
      </c>
      <c r="HL92" s="61">
        <f>SUM(FG92:HI92)</f>
        <v>10</v>
      </c>
      <c r="HM92" s="67">
        <f t="shared" si="7"/>
        <v>18.181818181818183</v>
      </c>
      <c r="HN92" s="67"/>
      <c r="HO92" s="68"/>
      <c r="HP92" s="68"/>
    </row>
    <row r="93" spans="2:242" x14ac:dyDescent="0.3">
      <c r="B93" s="60" t="s">
        <v>7332</v>
      </c>
      <c r="C93" s="61">
        <v>0</v>
      </c>
      <c r="D93" s="61">
        <v>0</v>
      </c>
      <c r="E93" s="61">
        <v>0</v>
      </c>
      <c r="F93" s="61">
        <v>0</v>
      </c>
      <c r="G93" s="61">
        <v>0</v>
      </c>
      <c r="H93" s="61">
        <v>0</v>
      </c>
      <c r="I93" s="61">
        <v>0</v>
      </c>
      <c r="J93" s="61">
        <v>0</v>
      </c>
      <c r="K93" s="61">
        <v>0</v>
      </c>
      <c r="L93" s="61">
        <v>0</v>
      </c>
      <c r="M93" s="61">
        <v>0</v>
      </c>
      <c r="N93" s="61">
        <v>0</v>
      </c>
      <c r="O93" s="61">
        <v>0</v>
      </c>
      <c r="P93" s="61">
        <v>0</v>
      </c>
      <c r="Q93" s="61">
        <v>0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0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0</v>
      </c>
      <c r="AI93" s="61">
        <v>0</v>
      </c>
      <c r="AJ93" s="61">
        <v>0</v>
      </c>
      <c r="AK93" s="61">
        <v>0</v>
      </c>
      <c r="AL93" s="61">
        <v>0</v>
      </c>
      <c r="AM93" s="61">
        <v>0</v>
      </c>
      <c r="AN93" s="61">
        <v>0</v>
      </c>
      <c r="AO93" s="61">
        <v>0</v>
      </c>
      <c r="AP93" s="61">
        <v>0</v>
      </c>
      <c r="AQ93" s="61">
        <v>0</v>
      </c>
      <c r="AR93" s="61">
        <v>0</v>
      </c>
      <c r="AS93" s="61">
        <v>0</v>
      </c>
      <c r="AT93" s="61">
        <v>0</v>
      </c>
      <c r="AU93" s="61">
        <v>0</v>
      </c>
      <c r="AV93" s="61">
        <v>0</v>
      </c>
      <c r="AW93" s="61">
        <v>0</v>
      </c>
      <c r="AX93" s="61">
        <v>0</v>
      </c>
      <c r="AY93" s="61">
        <v>0</v>
      </c>
      <c r="AZ93" s="61">
        <v>0</v>
      </c>
      <c r="BA93" s="61">
        <v>0</v>
      </c>
      <c r="BB93" s="61">
        <v>0</v>
      </c>
      <c r="BC93" s="61">
        <v>0</v>
      </c>
      <c r="BD93" s="61">
        <v>0</v>
      </c>
      <c r="BE93" s="61">
        <v>0</v>
      </c>
      <c r="BF93" s="61">
        <v>0</v>
      </c>
      <c r="BG93" s="61">
        <v>0</v>
      </c>
      <c r="BH93" s="61">
        <v>0</v>
      </c>
      <c r="BI93" s="61">
        <v>0</v>
      </c>
      <c r="BJ93" s="61">
        <v>0</v>
      </c>
      <c r="BK93" s="61">
        <v>0</v>
      </c>
      <c r="BL93" s="61">
        <v>0</v>
      </c>
      <c r="BM93" s="61">
        <v>0</v>
      </c>
      <c r="BN93" s="61">
        <v>0</v>
      </c>
      <c r="BO93" s="61">
        <v>0</v>
      </c>
      <c r="BP93" s="61">
        <v>0</v>
      </c>
      <c r="BQ93" s="61">
        <v>0</v>
      </c>
      <c r="BR93" s="61">
        <v>0</v>
      </c>
      <c r="BS93" s="61">
        <v>0</v>
      </c>
      <c r="BT93" s="61">
        <v>0</v>
      </c>
      <c r="BU93" s="61">
        <v>0</v>
      </c>
      <c r="BV93" s="61">
        <v>0</v>
      </c>
      <c r="BW93" s="61">
        <v>0</v>
      </c>
      <c r="BX93" s="61">
        <v>0</v>
      </c>
      <c r="BY93" s="61">
        <v>0</v>
      </c>
      <c r="BZ93" s="61">
        <v>0</v>
      </c>
      <c r="CA93" s="61">
        <v>0</v>
      </c>
      <c r="CB93" s="61">
        <v>0</v>
      </c>
      <c r="CC93" s="61">
        <v>0</v>
      </c>
      <c r="CD93" s="61">
        <v>0</v>
      </c>
      <c r="CE93" s="61">
        <v>0</v>
      </c>
      <c r="CF93" s="61">
        <v>0</v>
      </c>
      <c r="CG93" s="61">
        <v>0</v>
      </c>
      <c r="CH93" s="61">
        <v>0</v>
      </c>
      <c r="CI93" s="61">
        <v>0</v>
      </c>
      <c r="CJ93" s="61">
        <v>0</v>
      </c>
      <c r="CK93" s="61">
        <v>0</v>
      </c>
      <c r="CL93" s="61">
        <v>0</v>
      </c>
      <c r="CM93" s="61">
        <v>0</v>
      </c>
      <c r="CN93" s="61">
        <v>0</v>
      </c>
      <c r="CO93" s="61">
        <v>0</v>
      </c>
      <c r="CP93" s="61">
        <v>0</v>
      </c>
      <c r="CQ93" s="61">
        <v>0</v>
      </c>
      <c r="CR93" s="61">
        <v>0</v>
      </c>
      <c r="CS93" s="61">
        <v>0</v>
      </c>
      <c r="CT93" s="61">
        <v>0</v>
      </c>
      <c r="CU93" s="61">
        <v>0</v>
      </c>
      <c r="CV93" s="61">
        <v>0</v>
      </c>
      <c r="CW93" s="61">
        <v>0</v>
      </c>
      <c r="CX93" s="61">
        <v>0</v>
      </c>
      <c r="CY93" s="61">
        <v>0</v>
      </c>
      <c r="CZ93" s="61">
        <v>0</v>
      </c>
      <c r="DA93" s="61">
        <v>0</v>
      </c>
      <c r="DB93" s="61">
        <v>0</v>
      </c>
      <c r="DC93" s="61">
        <v>0</v>
      </c>
      <c r="DD93" s="61">
        <v>0</v>
      </c>
      <c r="DE93" s="61">
        <v>0</v>
      </c>
      <c r="DF93" s="61">
        <v>0</v>
      </c>
      <c r="DG93" s="61">
        <v>0</v>
      </c>
      <c r="DH93" s="61">
        <v>0</v>
      </c>
      <c r="DI93" s="61">
        <v>0</v>
      </c>
      <c r="DJ93" s="61">
        <v>0</v>
      </c>
      <c r="DK93" s="61">
        <v>0</v>
      </c>
      <c r="DL93" s="61">
        <v>0</v>
      </c>
      <c r="DM93" s="61">
        <v>0</v>
      </c>
      <c r="DN93" s="61">
        <v>0</v>
      </c>
      <c r="DO93" s="61">
        <v>0</v>
      </c>
      <c r="DP93" s="61">
        <v>0</v>
      </c>
      <c r="DQ93" s="61">
        <v>0</v>
      </c>
      <c r="DR93" s="61">
        <v>0</v>
      </c>
      <c r="DS93" s="61">
        <v>0</v>
      </c>
      <c r="DT93" s="61">
        <v>0</v>
      </c>
      <c r="DU93" s="61">
        <v>0</v>
      </c>
      <c r="DV93" s="61">
        <v>0</v>
      </c>
      <c r="DW93" s="61">
        <v>0</v>
      </c>
      <c r="DX93" s="61">
        <v>0</v>
      </c>
      <c r="DY93" s="61">
        <v>0</v>
      </c>
      <c r="DZ93" s="61">
        <v>0</v>
      </c>
      <c r="EA93" s="61">
        <v>0</v>
      </c>
      <c r="EB93" s="61">
        <v>0</v>
      </c>
      <c r="EC93" s="61">
        <v>0</v>
      </c>
      <c r="ED93" s="61">
        <v>0</v>
      </c>
      <c r="EE93" s="61">
        <v>0</v>
      </c>
      <c r="EF93" s="61">
        <v>0</v>
      </c>
      <c r="EG93" s="61">
        <v>0</v>
      </c>
      <c r="EH93" s="61">
        <v>0</v>
      </c>
      <c r="EI93" s="61">
        <v>0</v>
      </c>
      <c r="EJ93" s="61">
        <v>0</v>
      </c>
      <c r="EK93" s="61">
        <v>0</v>
      </c>
      <c r="EL93" s="61">
        <v>0</v>
      </c>
      <c r="EM93" s="61">
        <v>0</v>
      </c>
      <c r="EN93" s="61">
        <v>0</v>
      </c>
      <c r="EO93" s="61">
        <v>0</v>
      </c>
      <c r="EP93" s="61">
        <v>0</v>
      </c>
      <c r="EQ93" s="61">
        <v>0</v>
      </c>
      <c r="ER93" s="61">
        <v>0</v>
      </c>
      <c r="ES93" s="61">
        <v>0</v>
      </c>
      <c r="ET93" s="61">
        <v>0</v>
      </c>
      <c r="EU93" s="61">
        <v>0</v>
      </c>
      <c r="EV93" s="61">
        <v>0</v>
      </c>
      <c r="EW93" s="61">
        <v>0</v>
      </c>
      <c r="EX93" s="61">
        <v>0</v>
      </c>
      <c r="EY93" s="61">
        <v>0</v>
      </c>
      <c r="EZ93" s="61">
        <v>0</v>
      </c>
      <c r="FA93" s="61">
        <v>0</v>
      </c>
      <c r="FB93" s="61">
        <v>0</v>
      </c>
      <c r="FC93" s="61">
        <v>0</v>
      </c>
      <c r="FD93" s="61">
        <v>0</v>
      </c>
      <c r="FE93" s="61">
        <v>0</v>
      </c>
      <c r="FF93" s="61">
        <v>0</v>
      </c>
      <c r="FG93" s="61">
        <v>0</v>
      </c>
      <c r="FH93" s="61">
        <v>0</v>
      </c>
      <c r="FI93" s="61">
        <v>0</v>
      </c>
      <c r="FJ93" s="61">
        <v>0</v>
      </c>
      <c r="FK93" s="61">
        <v>0</v>
      </c>
      <c r="FL93" s="61">
        <v>0</v>
      </c>
      <c r="FM93" s="61">
        <v>0</v>
      </c>
      <c r="FN93" s="61">
        <v>0</v>
      </c>
      <c r="FO93" s="61">
        <v>0</v>
      </c>
      <c r="FP93" s="61">
        <v>0</v>
      </c>
      <c r="FQ93" s="61">
        <v>0</v>
      </c>
      <c r="FR93" s="61">
        <v>0</v>
      </c>
      <c r="FS93" s="61">
        <v>0</v>
      </c>
      <c r="FT93" s="61">
        <v>0</v>
      </c>
      <c r="FU93" s="61">
        <v>0</v>
      </c>
      <c r="FV93" s="61">
        <v>0</v>
      </c>
      <c r="FW93" s="61">
        <v>0</v>
      </c>
      <c r="FX93" s="61">
        <v>0</v>
      </c>
      <c r="FY93" s="61">
        <v>0</v>
      </c>
      <c r="FZ93" s="61">
        <v>0</v>
      </c>
      <c r="GA93" s="61">
        <v>0</v>
      </c>
      <c r="GB93" s="61">
        <v>0</v>
      </c>
      <c r="GC93" s="61">
        <v>0</v>
      </c>
      <c r="GD93" s="61">
        <v>0</v>
      </c>
      <c r="GE93" s="61">
        <v>0</v>
      </c>
      <c r="GF93" s="61">
        <v>0</v>
      </c>
      <c r="GG93" s="61">
        <v>0</v>
      </c>
      <c r="GH93" s="61">
        <v>0</v>
      </c>
      <c r="GI93" s="61">
        <v>0</v>
      </c>
      <c r="GJ93" s="61">
        <v>0</v>
      </c>
      <c r="GK93" s="61">
        <v>0</v>
      </c>
      <c r="GL93" s="61">
        <v>0</v>
      </c>
      <c r="GM93" s="61">
        <v>0</v>
      </c>
      <c r="GN93" s="61">
        <v>0</v>
      </c>
      <c r="GO93" s="61">
        <v>0</v>
      </c>
      <c r="GP93" s="61">
        <v>0</v>
      </c>
      <c r="GQ93" s="61">
        <v>0</v>
      </c>
      <c r="GR93" s="61">
        <v>0</v>
      </c>
      <c r="GS93" s="61">
        <v>0</v>
      </c>
      <c r="GT93" s="61">
        <v>0</v>
      </c>
      <c r="GU93" s="61">
        <v>0</v>
      </c>
      <c r="GV93" s="61">
        <v>0</v>
      </c>
      <c r="GW93" s="61">
        <v>0</v>
      </c>
      <c r="GX93" s="61">
        <v>0</v>
      </c>
      <c r="GY93" s="61">
        <v>0</v>
      </c>
      <c r="GZ93" s="61">
        <v>0</v>
      </c>
      <c r="HA93" s="61">
        <v>0</v>
      </c>
      <c r="HB93" s="61">
        <v>0</v>
      </c>
      <c r="HC93" s="61">
        <v>0</v>
      </c>
      <c r="HD93" s="61">
        <v>0</v>
      </c>
      <c r="HE93" s="61">
        <v>0</v>
      </c>
      <c r="HF93" s="61">
        <v>0</v>
      </c>
      <c r="HG93" s="61">
        <v>0</v>
      </c>
      <c r="HH93" s="61"/>
      <c r="HI93" s="61"/>
      <c r="HJ93" s="79">
        <v>1962</v>
      </c>
      <c r="HK93" s="79">
        <v>53</v>
      </c>
      <c r="HL93" s="79">
        <v>53</v>
      </c>
      <c r="HM93" s="80">
        <f>100*HL93/HK93</f>
        <v>100</v>
      </c>
      <c r="HN93" s="67"/>
      <c r="HO93" s="68"/>
      <c r="HP93" s="68"/>
    </row>
    <row r="94" spans="2:242" x14ac:dyDescent="0.3">
      <c r="B94" s="63" t="s">
        <v>7333</v>
      </c>
      <c r="C94" s="61">
        <v>0</v>
      </c>
      <c r="D94" s="61">
        <v>0</v>
      </c>
      <c r="E94" s="61">
        <v>0</v>
      </c>
      <c r="F94" s="61">
        <v>0</v>
      </c>
      <c r="G94" s="61">
        <v>0</v>
      </c>
      <c r="H94" s="61">
        <v>0</v>
      </c>
      <c r="I94" s="61">
        <v>0</v>
      </c>
      <c r="J94" s="61">
        <v>0</v>
      </c>
      <c r="K94" s="61">
        <v>0</v>
      </c>
      <c r="L94" s="61">
        <v>0</v>
      </c>
      <c r="M94" s="61">
        <v>0</v>
      </c>
      <c r="N94" s="61">
        <v>0</v>
      </c>
      <c r="O94" s="61">
        <v>0</v>
      </c>
      <c r="P94" s="61">
        <v>0</v>
      </c>
      <c r="Q94" s="61">
        <v>0</v>
      </c>
      <c r="R94" s="61">
        <v>0</v>
      </c>
      <c r="S94" s="61">
        <v>0</v>
      </c>
      <c r="T94" s="61">
        <v>0</v>
      </c>
      <c r="U94" s="61">
        <v>0</v>
      </c>
      <c r="V94" s="61">
        <v>0</v>
      </c>
      <c r="W94" s="61">
        <v>0</v>
      </c>
      <c r="X94" s="61">
        <v>0</v>
      </c>
      <c r="Y94" s="61">
        <v>0</v>
      </c>
      <c r="Z94" s="61">
        <v>0</v>
      </c>
      <c r="AA94" s="61">
        <v>0</v>
      </c>
      <c r="AB94" s="61">
        <v>0</v>
      </c>
      <c r="AC94" s="61">
        <v>0</v>
      </c>
      <c r="AD94" s="61">
        <v>0</v>
      </c>
      <c r="AE94" s="61">
        <v>0</v>
      </c>
      <c r="AF94" s="61">
        <v>0</v>
      </c>
      <c r="AG94" s="61">
        <v>0</v>
      </c>
      <c r="AH94" s="61">
        <v>0</v>
      </c>
      <c r="AI94" s="61">
        <v>0</v>
      </c>
      <c r="AJ94" s="61">
        <v>0</v>
      </c>
      <c r="AK94" s="61">
        <v>0</v>
      </c>
      <c r="AL94" s="61">
        <v>0</v>
      </c>
      <c r="AM94" s="61">
        <v>0</v>
      </c>
      <c r="AN94" s="61">
        <v>0</v>
      </c>
      <c r="AO94" s="61">
        <v>0</v>
      </c>
      <c r="AP94" s="61">
        <v>0</v>
      </c>
      <c r="AQ94" s="61">
        <v>0</v>
      </c>
      <c r="AR94" s="61">
        <v>0</v>
      </c>
      <c r="AS94" s="61">
        <v>0</v>
      </c>
      <c r="AT94" s="61">
        <v>0</v>
      </c>
      <c r="AU94" s="61">
        <v>0</v>
      </c>
      <c r="AV94" s="61">
        <v>0</v>
      </c>
      <c r="AW94" s="61">
        <v>0</v>
      </c>
      <c r="AX94" s="61">
        <v>0</v>
      </c>
      <c r="AY94" s="61">
        <v>0</v>
      </c>
      <c r="AZ94" s="61">
        <v>0</v>
      </c>
      <c r="BA94" s="61">
        <v>0</v>
      </c>
      <c r="BB94" s="61">
        <v>0</v>
      </c>
      <c r="BC94" s="61">
        <v>0</v>
      </c>
      <c r="BD94" s="61">
        <v>0</v>
      </c>
      <c r="BE94" s="61">
        <v>0</v>
      </c>
      <c r="BF94" s="61">
        <v>0</v>
      </c>
      <c r="BG94" s="61">
        <v>0</v>
      </c>
      <c r="BH94" s="61">
        <v>0</v>
      </c>
      <c r="BI94" s="61">
        <v>0</v>
      </c>
      <c r="BJ94" s="61">
        <v>0</v>
      </c>
      <c r="BK94" s="61">
        <v>0</v>
      </c>
      <c r="BL94" s="61">
        <v>0</v>
      </c>
      <c r="BM94" s="61">
        <v>0</v>
      </c>
      <c r="BN94" s="61">
        <v>0</v>
      </c>
      <c r="BO94" s="61">
        <v>0</v>
      </c>
      <c r="BP94" s="61">
        <v>0</v>
      </c>
      <c r="BQ94" s="61">
        <v>0</v>
      </c>
      <c r="BR94" s="61">
        <v>0</v>
      </c>
      <c r="BS94" s="61">
        <v>0</v>
      </c>
      <c r="BT94" s="61">
        <v>0</v>
      </c>
      <c r="BU94" s="61">
        <v>0</v>
      </c>
      <c r="BV94" s="61">
        <v>0</v>
      </c>
      <c r="BW94" s="61">
        <v>0</v>
      </c>
      <c r="BX94" s="61">
        <v>0</v>
      </c>
      <c r="BY94" s="61">
        <v>0</v>
      </c>
      <c r="BZ94" s="61">
        <v>0</v>
      </c>
      <c r="CA94" s="61">
        <v>0</v>
      </c>
      <c r="CB94" s="61">
        <v>0</v>
      </c>
      <c r="CC94" s="61">
        <v>0</v>
      </c>
      <c r="CD94" s="61">
        <v>0</v>
      </c>
      <c r="CE94" s="61">
        <v>0</v>
      </c>
      <c r="CF94" s="61">
        <v>0</v>
      </c>
      <c r="CG94" s="61">
        <v>0</v>
      </c>
      <c r="CH94" s="61">
        <v>0</v>
      </c>
      <c r="CI94" s="61">
        <v>0</v>
      </c>
      <c r="CJ94" s="61">
        <v>0</v>
      </c>
      <c r="CK94" s="61">
        <v>0</v>
      </c>
      <c r="CL94" s="61">
        <v>0</v>
      </c>
      <c r="CM94" s="61">
        <v>0</v>
      </c>
      <c r="CN94" s="61">
        <v>0</v>
      </c>
      <c r="CO94" s="61">
        <v>0</v>
      </c>
      <c r="CP94" s="61">
        <v>0</v>
      </c>
      <c r="CQ94" s="61">
        <v>0</v>
      </c>
      <c r="CR94" s="61">
        <v>0</v>
      </c>
      <c r="CS94" s="61">
        <v>0</v>
      </c>
      <c r="CT94" s="61">
        <v>0</v>
      </c>
      <c r="CU94" s="61">
        <v>0</v>
      </c>
      <c r="CV94" s="61">
        <v>0</v>
      </c>
      <c r="CW94" s="61">
        <v>0</v>
      </c>
      <c r="CX94" s="61">
        <v>0</v>
      </c>
      <c r="CY94" s="61">
        <v>0</v>
      </c>
      <c r="CZ94" s="61">
        <v>0</v>
      </c>
      <c r="DA94" s="61">
        <v>0</v>
      </c>
      <c r="DB94" s="61">
        <v>0</v>
      </c>
      <c r="DC94" s="61">
        <v>0</v>
      </c>
      <c r="DD94" s="61">
        <v>0</v>
      </c>
      <c r="DE94" s="61">
        <v>0</v>
      </c>
      <c r="DF94" s="61">
        <v>0</v>
      </c>
      <c r="DG94" s="61">
        <v>0</v>
      </c>
      <c r="DH94" s="61">
        <v>0</v>
      </c>
      <c r="DI94" s="61">
        <v>0</v>
      </c>
      <c r="DJ94" s="61">
        <v>0</v>
      </c>
      <c r="DK94" s="61">
        <v>0</v>
      </c>
      <c r="DL94" s="61">
        <v>0</v>
      </c>
      <c r="DM94" s="61">
        <v>0</v>
      </c>
      <c r="DN94" s="61">
        <v>0</v>
      </c>
      <c r="DO94" s="61">
        <v>0</v>
      </c>
      <c r="DP94" s="61">
        <v>0</v>
      </c>
      <c r="DQ94" s="61">
        <v>0</v>
      </c>
      <c r="DR94" s="61">
        <v>0</v>
      </c>
      <c r="DS94" s="61">
        <v>0</v>
      </c>
      <c r="DT94" s="61">
        <v>0</v>
      </c>
      <c r="DU94" s="61">
        <v>0</v>
      </c>
      <c r="DV94" s="61">
        <v>0</v>
      </c>
      <c r="DW94" s="61">
        <v>0</v>
      </c>
      <c r="DX94" s="61">
        <v>0</v>
      </c>
      <c r="DY94" s="61">
        <v>0</v>
      </c>
      <c r="DZ94" s="61">
        <v>0</v>
      </c>
      <c r="EA94" s="61">
        <v>0</v>
      </c>
      <c r="EB94" s="61">
        <v>0</v>
      </c>
      <c r="EC94" s="61">
        <v>0</v>
      </c>
      <c r="ED94" s="61">
        <v>0</v>
      </c>
      <c r="EE94" s="61">
        <v>0</v>
      </c>
      <c r="EF94" s="61">
        <v>0</v>
      </c>
      <c r="EG94" s="61">
        <v>0</v>
      </c>
      <c r="EH94" s="61">
        <v>0</v>
      </c>
      <c r="EI94" s="61">
        <v>0</v>
      </c>
      <c r="EJ94" s="61">
        <v>0</v>
      </c>
      <c r="EK94" s="61">
        <v>0</v>
      </c>
      <c r="EL94" s="61">
        <v>0</v>
      </c>
      <c r="EM94" s="61">
        <v>0</v>
      </c>
      <c r="EN94" s="61">
        <v>0</v>
      </c>
      <c r="EO94" s="61">
        <v>0</v>
      </c>
      <c r="EP94" s="61">
        <v>0</v>
      </c>
      <c r="EQ94" s="61">
        <v>0</v>
      </c>
      <c r="ER94" s="61">
        <v>0</v>
      </c>
      <c r="ES94" s="61">
        <v>0</v>
      </c>
      <c r="ET94" s="61">
        <v>0</v>
      </c>
      <c r="EU94" s="61">
        <v>0</v>
      </c>
      <c r="EV94" s="61">
        <v>0</v>
      </c>
      <c r="EW94" s="61">
        <v>0</v>
      </c>
      <c r="EX94" s="61">
        <v>0</v>
      </c>
      <c r="EY94" s="61">
        <v>0</v>
      </c>
      <c r="EZ94" s="61">
        <v>0</v>
      </c>
      <c r="FA94" s="61">
        <v>0</v>
      </c>
      <c r="FB94" s="61">
        <v>0</v>
      </c>
      <c r="FC94" s="61">
        <v>0</v>
      </c>
      <c r="FD94" s="61">
        <v>0</v>
      </c>
      <c r="FE94" s="61">
        <v>0</v>
      </c>
      <c r="FF94" s="61">
        <v>0</v>
      </c>
      <c r="FG94" s="61">
        <v>0</v>
      </c>
      <c r="FH94" s="61">
        <v>0</v>
      </c>
      <c r="FI94" s="61">
        <v>0</v>
      </c>
      <c r="FJ94" s="61">
        <v>0</v>
      </c>
      <c r="FK94" s="61">
        <v>0</v>
      </c>
      <c r="FL94" s="61">
        <v>0</v>
      </c>
      <c r="FM94" s="61">
        <v>0</v>
      </c>
      <c r="FN94" s="61">
        <v>0</v>
      </c>
      <c r="FO94" s="61">
        <v>0</v>
      </c>
      <c r="FP94" s="61">
        <v>0</v>
      </c>
      <c r="FQ94" s="61">
        <v>0</v>
      </c>
      <c r="FR94" s="61">
        <v>0</v>
      </c>
      <c r="FS94" s="61">
        <v>0</v>
      </c>
      <c r="FT94" s="61">
        <v>0</v>
      </c>
      <c r="FU94" s="61">
        <v>0</v>
      </c>
      <c r="FV94" s="65">
        <v>0</v>
      </c>
      <c r="FW94" s="61">
        <v>0</v>
      </c>
      <c r="FX94" s="61">
        <v>0</v>
      </c>
      <c r="FY94" s="61">
        <v>0</v>
      </c>
      <c r="FZ94" s="61">
        <v>0</v>
      </c>
      <c r="GA94" s="61">
        <v>0</v>
      </c>
      <c r="GB94" s="61">
        <v>0</v>
      </c>
      <c r="GC94" s="61">
        <v>0</v>
      </c>
      <c r="GD94" s="61">
        <v>0</v>
      </c>
      <c r="GE94" s="61">
        <v>0</v>
      </c>
      <c r="GF94" s="61">
        <v>0</v>
      </c>
      <c r="GG94" s="61">
        <v>0</v>
      </c>
      <c r="GH94" s="66">
        <v>1</v>
      </c>
      <c r="GI94" s="66">
        <v>1</v>
      </c>
      <c r="GJ94" s="66">
        <v>1</v>
      </c>
      <c r="GK94" s="66">
        <v>1</v>
      </c>
      <c r="GL94" s="66">
        <v>1</v>
      </c>
      <c r="GM94" s="66">
        <v>1</v>
      </c>
      <c r="GN94" s="66">
        <v>1</v>
      </c>
      <c r="GO94" s="66">
        <v>1</v>
      </c>
      <c r="GP94" s="63">
        <v>0</v>
      </c>
      <c r="GQ94" s="63">
        <v>0</v>
      </c>
      <c r="GR94" s="63">
        <v>0</v>
      </c>
      <c r="GS94" s="63">
        <v>0</v>
      </c>
      <c r="GT94" s="63">
        <v>0</v>
      </c>
      <c r="GU94" s="63">
        <v>0</v>
      </c>
      <c r="GV94" s="63">
        <v>0</v>
      </c>
      <c r="GW94" s="63">
        <v>0</v>
      </c>
      <c r="GX94" s="63">
        <v>0</v>
      </c>
      <c r="GY94" s="63">
        <v>0</v>
      </c>
      <c r="GZ94" s="63">
        <v>0</v>
      </c>
      <c r="HA94" s="63">
        <v>0</v>
      </c>
      <c r="HB94" s="61">
        <v>0</v>
      </c>
      <c r="HC94" s="61">
        <v>0</v>
      </c>
      <c r="HD94" s="61">
        <v>0</v>
      </c>
      <c r="HE94" s="61">
        <v>0</v>
      </c>
      <c r="HF94" s="61">
        <v>0</v>
      </c>
      <c r="HG94" s="61">
        <v>0</v>
      </c>
      <c r="HH94" s="61"/>
      <c r="HI94" s="61"/>
      <c r="HJ94" s="63">
        <v>1975</v>
      </c>
      <c r="HK94" s="63">
        <f>SUM(FV$4:HI$4)</f>
        <v>40</v>
      </c>
      <c r="HL94" s="61">
        <f>SUM(FV94:HI94)</f>
        <v>8</v>
      </c>
      <c r="HM94" s="67">
        <f t="shared" si="7"/>
        <v>20</v>
      </c>
      <c r="HN94" s="67"/>
      <c r="HO94" s="68"/>
      <c r="HP94" s="68"/>
    </row>
    <row r="95" spans="2:242" x14ac:dyDescent="0.3">
      <c r="B95" s="63" t="s">
        <v>7334</v>
      </c>
      <c r="C95" s="61">
        <v>0</v>
      </c>
      <c r="D95" s="61">
        <v>0</v>
      </c>
      <c r="E95" s="61">
        <v>0</v>
      </c>
      <c r="F95" s="61">
        <v>0</v>
      </c>
      <c r="G95" s="61">
        <v>0</v>
      </c>
      <c r="H95" s="61">
        <v>0</v>
      </c>
      <c r="I95" s="61">
        <v>0</v>
      </c>
      <c r="J95" s="61">
        <v>0</v>
      </c>
      <c r="K95" s="61">
        <v>0</v>
      </c>
      <c r="L95" s="61">
        <v>0</v>
      </c>
      <c r="M95" s="61">
        <v>0</v>
      </c>
      <c r="N95" s="61">
        <v>0</v>
      </c>
      <c r="O95" s="61">
        <v>0</v>
      </c>
      <c r="P95" s="61">
        <v>0</v>
      </c>
      <c r="Q95" s="61">
        <v>0</v>
      </c>
      <c r="R95" s="61">
        <v>0</v>
      </c>
      <c r="S95" s="61">
        <v>0</v>
      </c>
      <c r="T95" s="61">
        <v>0</v>
      </c>
      <c r="U95" s="61">
        <v>0</v>
      </c>
      <c r="V95" s="61">
        <v>0</v>
      </c>
      <c r="W95" s="61">
        <v>0</v>
      </c>
      <c r="X95" s="61">
        <v>0</v>
      </c>
      <c r="Y95" s="61">
        <v>0</v>
      </c>
      <c r="Z95" s="61">
        <v>0</v>
      </c>
      <c r="AA95" s="61">
        <v>0</v>
      </c>
      <c r="AB95" s="61">
        <v>0</v>
      </c>
      <c r="AC95" s="61">
        <v>0</v>
      </c>
      <c r="AD95" s="61">
        <v>0</v>
      </c>
      <c r="AE95" s="61">
        <v>0</v>
      </c>
      <c r="AF95" s="61">
        <v>0</v>
      </c>
      <c r="AG95" s="61">
        <v>0</v>
      </c>
      <c r="AH95" s="61">
        <v>0</v>
      </c>
      <c r="AI95" s="61">
        <v>0</v>
      </c>
      <c r="AJ95" s="61">
        <v>0</v>
      </c>
      <c r="AK95" s="61">
        <v>0</v>
      </c>
      <c r="AL95" s="61">
        <v>0</v>
      </c>
      <c r="AM95" s="61">
        <v>0</v>
      </c>
      <c r="AN95" s="61">
        <v>0</v>
      </c>
      <c r="AO95" s="61">
        <v>0</v>
      </c>
      <c r="AP95" s="61">
        <v>0</v>
      </c>
      <c r="AQ95" s="61">
        <v>0</v>
      </c>
      <c r="AR95" s="61">
        <v>0</v>
      </c>
      <c r="AS95" s="61">
        <v>0</v>
      </c>
      <c r="AT95" s="61">
        <v>0</v>
      </c>
      <c r="AU95" s="61">
        <v>0</v>
      </c>
      <c r="AV95" s="61">
        <v>0</v>
      </c>
      <c r="AW95" s="61">
        <v>0</v>
      </c>
      <c r="AX95" s="61">
        <v>0</v>
      </c>
      <c r="AY95" s="61">
        <v>0</v>
      </c>
      <c r="AZ95" s="61">
        <v>0</v>
      </c>
      <c r="BA95" s="61">
        <v>0</v>
      </c>
      <c r="BB95" s="61">
        <v>0</v>
      </c>
      <c r="BC95" s="61">
        <v>0</v>
      </c>
      <c r="BD95" s="61">
        <v>0</v>
      </c>
      <c r="BE95" s="61">
        <v>0</v>
      </c>
      <c r="BF95" s="61">
        <v>0</v>
      </c>
      <c r="BG95" s="61">
        <v>0</v>
      </c>
      <c r="BH95" s="61">
        <v>0</v>
      </c>
      <c r="BI95" s="61">
        <v>0</v>
      </c>
      <c r="BJ95" s="61">
        <v>0</v>
      </c>
      <c r="BK95" s="61">
        <v>0</v>
      </c>
      <c r="BL95" s="61">
        <v>0</v>
      </c>
      <c r="BM95" s="61">
        <v>0</v>
      </c>
      <c r="BN95" s="61">
        <v>0</v>
      </c>
      <c r="BO95" s="61">
        <v>0</v>
      </c>
      <c r="BP95" s="61">
        <v>0</v>
      </c>
      <c r="BQ95" s="61">
        <v>0</v>
      </c>
      <c r="BR95" s="61">
        <v>0</v>
      </c>
      <c r="BS95" s="61">
        <v>0</v>
      </c>
      <c r="BT95" s="61">
        <v>0</v>
      </c>
      <c r="BU95" s="61">
        <v>0</v>
      </c>
      <c r="BV95" s="61">
        <v>0</v>
      </c>
      <c r="BW95" s="61">
        <v>0</v>
      </c>
      <c r="BX95" s="61">
        <v>0</v>
      </c>
      <c r="BY95" s="61">
        <v>0</v>
      </c>
      <c r="BZ95" s="61">
        <v>0</v>
      </c>
      <c r="CA95" s="61">
        <v>0</v>
      </c>
      <c r="CB95" s="61">
        <v>0</v>
      </c>
      <c r="CC95" s="61">
        <v>0</v>
      </c>
      <c r="CD95" s="61">
        <v>0</v>
      </c>
      <c r="CE95" s="61">
        <v>0</v>
      </c>
      <c r="CF95" s="61">
        <v>0</v>
      </c>
      <c r="CG95" s="61">
        <v>0</v>
      </c>
      <c r="CH95" s="61">
        <v>0</v>
      </c>
      <c r="CI95" s="61">
        <v>0</v>
      </c>
      <c r="CJ95" s="61">
        <v>0</v>
      </c>
      <c r="CK95" s="61">
        <v>0</v>
      </c>
      <c r="CL95" s="61">
        <v>0</v>
      </c>
      <c r="CM95" s="61">
        <v>0</v>
      </c>
      <c r="CN95" s="61">
        <v>0</v>
      </c>
      <c r="CO95" s="61">
        <v>0</v>
      </c>
      <c r="CP95" s="61">
        <v>0</v>
      </c>
      <c r="CQ95" s="61">
        <v>0</v>
      </c>
      <c r="CR95" s="61">
        <v>0</v>
      </c>
      <c r="CS95" s="61">
        <v>0</v>
      </c>
      <c r="CT95" s="61">
        <v>0</v>
      </c>
      <c r="CU95" s="61">
        <v>0</v>
      </c>
      <c r="CV95" s="61">
        <v>0</v>
      </c>
      <c r="CW95" s="61">
        <v>0</v>
      </c>
      <c r="CX95" s="61">
        <v>0</v>
      </c>
      <c r="CY95" s="61">
        <v>0</v>
      </c>
      <c r="CZ95" s="61">
        <v>0</v>
      </c>
      <c r="DA95" s="61">
        <v>0</v>
      </c>
      <c r="DB95" s="61">
        <v>0</v>
      </c>
      <c r="DC95" s="61">
        <v>0</v>
      </c>
      <c r="DD95" s="61">
        <v>0</v>
      </c>
      <c r="DE95" s="61">
        <v>0</v>
      </c>
      <c r="DF95" s="61">
        <v>0</v>
      </c>
      <c r="DG95" s="61">
        <v>0</v>
      </c>
      <c r="DH95" s="61">
        <v>0</v>
      </c>
      <c r="DI95" s="61">
        <v>0</v>
      </c>
      <c r="DJ95" s="61">
        <v>0</v>
      </c>
      <c r="DK95" s="61">
        <v>0</v>
      </c>
      <c r="DL95" s="61">
        <v>0</v>
      </c>
      <c r="DM95" s="61">
        <v>0</v>
      </c>
      <c r="DN95" s="61">
        <v>0</v>
      </c>
      <c r="DO95" s="61">
        <v>0</v>
      </c>
      <c r="DP95" s="61">
        <v>0</v>
      </c>
      <c r="DQ95" s="61">
        <v>0</v>
      </c>
      <c r="DR95" s="61">
        <v>0</v>
      </c>
      <c r="DS95" s="61">
        <v>0</v>
      </c>
      <c r="DT95" s="61">
        <v>0</v>
      </c>
      <c r="DU95" s="61">
        <v>0</v>
      </c>
      <c r="DV95" s="61">
        <v>0</v>
      </c>
      <c r="DW95" s="61">
        <v>0</v>
      </c>
      <c r="DX95" s="61">
        <v>0</v>
      </c>
      <c r="DY95" s="61">
        <v>0</v>
      </c>
      <c r="DZ95" s="61">
        <v>0</v>
      </c>
      <c r="EA95" s="61">
        <v>0</v>
      </c>
      <c r="EB95" s="61">
        <v>0</v>
      </c>
      <c r="EC95" s="61">
        <v>0</v>
      </c>
      <c r="ED95" s="61">
        <v>0</v>
      </c>
      <c r="EE95" s="61">
        <v>0</v>
      </c>
      <c r="EF95" s="61">
        <v>0</v>
      </c>
      <c r="EG95" s="61">
        <v>0</v>
      </c>
      <c r="EH95" s="61">
        <v>0</v>
      </c>
      <c r="EI95" s="61">
        <v>0</v>
      </c>
      <c r="EJ95" s="61">
        <v>0</v>
      </c>
      <c r="EK95" s="61">
        <v>0</v>
      </c>
      <c r="EL95" s="61">
        <v>0</v>
      </c>
      <c r="EM95" s="61">
        <v>0</v>
      </c>
      <c r="EN95" s="61">
        <v>0</v>
      </c>
      <c r="EO95" s="61">
        <v>0</v>
      </c>
      <c r="EP95" s="61">
        <v>0</v>
      </c>
      <c r="EQ95" s="61">
        <v>0</v>
      </c>
      <c r="ER95" s="61">
        <v>0</v>
      </c>
      <c r="ES95" s="61">
        <v>0</v>
      </c>
      <c r="ET95" s="61">
        <v>0</v>
      </c>
      <c r="EU95" s="61">
        <v>0</v>
      </c>
      <c r="EV95" s="61">
        <v>0</v>
      </c>
      <c r="EW95" s="61">
        <v>0</v>
      </c>
      <c r="EX95" s="61">
        <v>0</v>
      </c>
      <c r="EY95" s="61">
        <v>0</v>
      </c>
      <c r="EZ95" s="61">
        <v>0</v>
      </c>
      <c r="FA95" s="61">
        <v>0</v>
      </c>
      <c r="FB95" s="61">
        <v>0</v>
      </c>
      <c r="FC95" s="61">
        <v>0</v>
      </c>
      <c r="FD95" s="61">
        <v>0</v>
      </c>
      <c r="FE95" s="61">
        <v>0</v>
      </c>
      <c r="FF95" s="61">
        <v>0</v>
      </c>
      <c r="FG95" s="65">
        <v>0</v>
      </c>
      <c r="FH95" s="61">
        <v>0</v>
      </c>
      <c r="FI95" s="61">
        <v>0</v>
      </c>
      <c r="FJ95" s="61">
        <v>0</v>
      </c>
      <c r="FK95" s="61">
        <v>0</v>
      </c>
      <c r="FL95" s="61">
        <v>0</v>
      </c>
      <c r="FM95" s="61">
        <v>0</v>
      </c>
      <c r="FN95" s="61">
        <v>0</v>
      </c>
      <c r="FO95" s="61">
        <v>0</v>
      </c>
      <c r="FP95" s="61">
        <v>0</v>
      </c>
      <c r="FQ95" s="61">
        <v>0</v>
      </c>
      <c r="FR95" s="61">
        <v>0</v>
      </c>
      <c r="FS95" s="61">
        <v>0</v>
      </c>
      <c r="FT95" s="61">
        <v>0</v>
      </c>
      <c r="FU95" s="61">
        <v>0</v>
      </c>
      <c r="FV95" s="63">
        <v>0</v>
      </c>
      <c r="FW95" s="63">
        <v>0</v>
      </c>
      <c r="FX95" s="63">
        <v>0</v>
      </c>
      <c r="FY95" s="63">
        <v>0</v>
      </c>
      <c r="FZ95" s="63">
        <v>0</v>
      </c>
      <c r="GA95" s="63">
        <v>0</v>
      </c>
      <c r="GB95" s="66">
        <v>1</v>
      </c>
      <c r="GC95" s="66">
        <v>1</v>
      </c>
      <c r="GD95" s="66">
        <v>1</v>
      </c>
      <c r="GE95" s="66">
        <v>1</v>
      </c>
      <c r="GF95" s="66">
        <v>1</v>
      </c>
      <c r="GG95" s="63">
        <v>0</v>
      </c>
      <c r="GH95" s="63">
        <v>0</v>
      </c>
      <c r="GI95" s="63">
        <v>0</v>
      </c>
      <c r="GJ95" s="63">
        <v>0</v>
      </c>
      <c r="GK95" s="66">
        <v>1</v>
      </c>
      <c r="GL95" s="63">
        <v>0</v>
      </c>
      <c r="GM95" s="66">
        <v>1</v>
      </c>
      <c r="GN95" s="66">
        <v>1</v>
      </c>
      <c r="GO95" s="66">
        <v>1</v>
      </c>
      <c r="GP95" s="66">
        <v>1</v>
      </c>
      <c r="GQ95" s="66">
        <v>1</v>
      </c>
      <c r="GR95" s="63">
        <v>0</v>
      </c>
      <c r="GS95" s="63">
        <v>0</v>
      </c>
      <c r="GT95" s="63">
        <v>0</v>
      </c>
      <c r="GU95" s="63">
        <v>0</v>
      </c>
      <c r="GV95" s="63">
        <v>0</v>
      </c>
      <c r="GW95" s="63">
        <v>0</v>
      </c>
      <c r="GX95" s="63">
        <v>0</v>
      </c>
      <c r="GY95" s="63">
        <v>0</v>
      </c>
      <c r="GZ95" s="63">
        <v>0</v>
      </c>
      <c r="HA95" s="63">
        <v>0</v>
      </c>
      <c r="HB95" s="61">
        <v>0</v>
      </c>
      <c r="HC95" s="61">
        <v>0</v>
      </c>
      <c r="HD95" s="61">
        <v>0</v>
      </c>
      <c r="HE95" s="61">
        <v>0</v>
      </c>
      <c r="HF95" s="61">
        <v>0</v>
      </c>
      <c r="HG95" s="61">
        <v>0</v>
      </c>
      <c r="HH95" s="61"/>
      <c r="HI95" s="61"/>
      <c r="HJ95" s="63">
        <v>1960</v>
      </c>
      <c r="HK95" s="63">
        <f>SUM(FG$4:HI$4)</f>
        <v>55</v>
      </c>
      <c r="HL95" s="61">
        <f>SUM(FG95:HI95)</f>
        <v>11</v>
      </c>
      <c r="HM95" s="67">
        <f t="shared" si="7"/>
        <v>20</v>
      </c>
      <c r="HN95" s="67"/>
      <c r="HO95" s="68"/>
      <c r="HP95" s="68"/>
      <c r="HQ95" s="63"/>
      <c r="HR95" s="63"/>
    </row>
    <row r="96" spans="2:242" x14ac:dyDescent="0.3">
      <c r="B96" s="63" t="s">
        <v>7335</v>
      </c>
      <c r="C96" s="61">
        <v>0</v>
      </c>
      <c r="D96" s="61">
        <v>0</v>
      </c>
      <c r="E96" s="61">
        <v>0</v>
      </c>
      <c r="F96" s="61">
        <v>0</v>
      </c>
      <c r="G96" s="61">
        <v>0</v>
      </c>
      <c r="H96" s="61">
        <v>0</v>
      </c>
      <c r="I96" s="61">
        <v>0</v>
      </c>
      <c r="J96" s="61">
        <v>0</v>
      </c>
      <c r="K96" s="61">
        <v>0</v>
      </c>
      <c r="L96" s="61">
        <v>0</v>
      </c>
      <c r="M96" s="61">
        <v>0</v>
      </c>
      <c r="N96" s="61">
        <v>0</v>
      </c>
      <c r="O96" s="61">
        <v>0</v>
      </c>
      <c r="P96" s="61">
        <v>0</v>
      </c>
      <c r="Q96" s="61">
        <v>0</v>
      </c>
      <c r="R96" s="61">
        <v>0</v>
      </c>
      <c r="S96" s="61">
        <v>0</v>
      </c>
      <c r="T96" s="61">
        <v>0</v>
      </c>
      <c r="U96" s="61">
        <v>0</v>
      </c>
      <c r="V96" s="61">
        <v>0</v>
      </c>
      <c r="W96" s="61">
        <v>0</v>
      </c>
      <c r="X96" s="61">
        <v>0</v>
      </c>
      <c r="Y96" s="61">
        <v>0</v>
      </c>
      <c r="Z96" s="61">
        <v>0</v>
      </c>
      <c r="AA96" s="61">
        <v>0</v>
      </c>
      <c r="AB96" s="61">
        <v>0</v>
      </c>
      <c r="AC96" s="61">
        <v>0</v>
      </c>
      <c r="AD96" s="61">
        <v>0</v>
      </c>
      <c r="AE96" s="61">
        <v>0</v>
      </c>
      <c r="AF96" s="61">
        <v>0</v>
      </c>
      <c r="AG96" s="61">
        <v>0</v>
      </c>
      <c r="AH96" s="61">
        <v>0</v>
      </c>
      <c r="AI96" s="61">
        <v>0</v>
      </c>
      <c r="AJ96" s="61">
        <v>0</v>
      </c>
      <c r="AK96" s="61">
        <v>0</v>
      </c>
      <c r="AL96" s="61">
        <v>0</v>
      </c>
      <c r="AM96" s="61">
        <v>0</v>
      </c>
      <c r="AN96" s="61">
        <v>0</v>
      </c>
      <c r="AO96" s="61">
        <v>0</v>
      </c>
      <c r="AP96" s="61">
        <v>0</v>
      </c>
      <c r="AQ96" s="61">
        <v>0</v>
      </c>
      <c r="AR96" s="61">
        <v>0</v>
      </c>
      <c r="AS96" s="61">
        <v>0</v>
      </c>
      <c r="AT96" s="61">
        <v>0</v>
      </c>
      <c r="AU96" s="61">
        <v>0</v>
      </c>
      <c r="AV96" s="61">
        <v>0</v>
      </c>
      <c r="AW96" s="61">
        <v>0</v>
      </c>
      <c r="AX96" s="61">
        <v>0</v>
      </c>
      <c r="AY96" s="61">
        <v>0</v>
      </c>
      <c r="AZ96" s="61">
        <v>0</v>
      </c>
      <c r="BA96" s="61">
        <v>0</v>
      </c>
      <c r="BB96" s="61">
        <v>0</v>
      </c>
      <c r="BC96" s="61">
        <v>0</v>
      </c>
      <c r="BD96" s="61">
        <v>0</v>
      </c>
      <c r="BE96" s="61">
        <v>0</v>
      </c>
      <c r="BF96" s="61">
        <v>0</v>
      </c>
      <c r="BG96" s="61">
        <v>0</v>
      </c>
      <c r="BH96" s="61">
        <v>0</v>
      </c>
      <c r="BI96" s="61">
        <v>0</v>
      </c>
      <c r="BJ96" s="61">
        <v>0</v>
      </c>
      <c r="BK96" s="61">
        <v>0</v>
      </c>
      <c r="BL96" s="61">
        <v>0</v>
      </c>
      <c r="BM96" s="61">
        <v>0</v>
      </c>
      <c r="BN96" s="61">
        <v>0</v>
      </c>
      <c r="BO96" s="61">
        <v>0</v>
      </c>
      <c r="BP96" s="61">
        <v>0</v>
      </c>
      <c r="BQ96" s="61">
        <v>0</v>
      </c>
      <c r="BR96" s="61">
        <v>0</v>
      </c>
      <c r="BS96" s="61">
        <v>0</v>
      </c>
      <c r="BT96" s="61">
        <v>0</v>
      </c>
      <c r="BU96" s="61">
        <v>0</v>
      </c>
      <c r="BV96" s="61">
        <v>0</v>
      </c>
      <c r="BW96" s="61">
        <v>0</v>
      </c>
      <c r="BX96" s="61">
        <v>0</v>
      </c>
      <c r="BY96" s="61">
        <v>0</v>
      </c>
      <c r="BZ96" s="61">
        <v>0</v>
      </c>
      <c r="CA96" s="61">
        <v>0</v>
      </c>
      <c r="CB96" s="61">
        <v>0</v>
      </c>
      <c r="CC96" s="61">
        <v>0</v>
      </c>
      <c r="CD96" s="61">
        <v>0</v>
      </c>
      <c r="CE96" s="61">
        <v>0</v>
      </c>
      <c r="CF96" s="61">
        <v>0</v>
      </c>
      <c r="CG96" s="61">
        <v>0</v>
      </c>
      <c r="CH96" s="61">
        <v>0</v>
      </c>
      <c r="CI96" s="61">
        <v>0</v>
      </c>
      <c r="CJ96" s="61">
        <v>0</v>
      </c>
      <c r="CK96" s="61">
        <v>0</v>
      </c>
      <c r="CL96" s="61">
        <v>0</v>
      </c>
      <c r="CM96" s="61">
        <v>0</v>
      </c>
      <c r="CN96" s="61">
        <v>0</v>
      </c>
      <c r="CO96" s="61">
        <v>0</v>
      </c>
      <c r="CP96" s="61">
        <v>0</v>
      </c>
      <c r="CQ96" s="61">
        <v>0</v>
      </c>
      <c r="CR96" s="61">
        <v>0</v>
      </c>
      <c r="CS96" s="61">
        <v>0</v>
      </c>
      <c r="CT96" s="61">
        <v>0</v>
      </c>
      <c r="CU96" s="61">
        <v>0</v>
      </c>
      <c r="CV96" s="61">
        <v>0</v>
      </c>
      <c r="CW96" s="61">
        <v>0</v>
      </c>
      <c r="CX96" s="61">
        <v>0</v>
      </c>
      <c r="CY96" s="61">
        <v>0</v>
      </c>
      <c r="CZ96" s="61">
        <v>0</v>
      </c>
      <c r="DA96" s="61">
        <v>0</v>
      </c>
      <c r="DB96" s="61">
        <v>0</v>
      </c>
      <c r="DC96" s="61">
        <v>0</v>
      </c>
      <c r="DD96" s="61">
        <v>0</v>
      </c>
      <c r="DE96" s="61">
        <v>0</v>
      </c>
      <c r="DF96" s="61">
        <v>0</v>
      </c>
      <c r="DG96" s="61">
        <v>0</v>
      </c>
      <c r="DH96" s="61">
        <v>0</v>
      </c>
      <c r="DI96" s="61">
        <v>0</v>
      </c>
      <c r="DJ96" s="61">
        <v>0</v>
      </c>
      <c r="DK96" s="61">
        <v>0</v>
      </c>
      <c r="DL96" s="61">
        <v>0</v>
      </c>
      <c r="DM96" s="61">
        <v>0</v>
      </c>
      <c r="DN96" s="61">
        <v>0</v>
      </c>
      <c r="DO96" s="61">
        <v>0</v>
      </c>
      <c r="DP96" s="61">
        <v>0</v>
      </c>
      <c r="DQ96" s="61">
        <v>0</v>
      </c>
      <c r="DR96" s="61">
        <v>0</v>
      </c>
      <c r="DS96" s="61">
        <v>0</v>
      </c>
      <c r="DT96" s="61">
        <v>0</v>
      </c>
      <c r="DU96" s="61">
        <v>0</v>
      </c>
      <c r="DV96" s="61">
        <v>0</v>
      </c>
      <c r="DW96" s="61">
        <v>0</v>
      </c>
      <c r="DX96" s="61">
        <v>0</v>
      </c>
      <c r="DY96" s="61">
        <v>0</v>
      </c>
      <c r="DZ96" s="61">
        <v>0</v>
      </c>
      <c r="EA96" s="61">
        <v>0</v>
      </c>
      <c r="EB96" s="61">
        <v>0</v>
      </c>
      <c r="EC96" s="61">
        <v>0</v>
      </c>
      <c r="ED96" s="61">
        <v>0</v>
      </c>
      <c r="EE96" s="61">
        <v>0</v>
      </c>
      <c r="EF96" s="61">
        <v>0</v>
      </c>
      <c r="EG96" s="61">
        <v>0</v>
      </c>
      <c r="EH96" s="61">
        <v>0</v>
      </c>
      <c r="EI96" s="61">
        <v>0</v>
      </c>
      <c r="EJ96" s="61">
        <v>0</v>
      </c>
      <c r="EK96" s="61">
        <v>0</v>
      </c>
      <c r="EL96" s="61">
        <v>0</v>
      </c>
      <c r="EM96" s="61">
        <v>0</v>
      </c>
      <c r="EN96" s="61">
        <v>0</v>
      </c>
      <c r="EO96" s="61">
        <v>0</v>
      </c>
      <c r="EP96" s="61">
        <v>0</v>
      </c>
      <c r="EQ96" s="61">
        <v>0</v>
      </c>
      <c r="ER96" s="61">
        <v>0</v>
      </c>
      <c r="ES96" s="61">
        <v>0</v>
      </c>
      <c r="ET96" s="61">
        <v>0</v>
      </c>
      <c r="EU96" s="61">
        <v>0</v>
      </c>
      <c r="EV96" s="61">
        <v>0</v>
      </c>
      <c r="EW96" s="61">
        <v>0</v>
      </c>
      <c r="EX96" s="61">
        <v>0</v>
      </c>
      <c r="EY96" s="61">
        <v>0</v>
      </c>
      <c r="EZ96" s="61">
        <v>0</v>
      </c>
      <c r="FA96" s="61">
        <v>0</v>
      </c>
      <c r="FB96" s="61">
        <v>0</v>
      </c>
      <c r="FC96" s="61">
        <v>0</v>
      </c>
      <c r="FD96" s="61">
        <v>0</v>
      </c>
      <c r="FE96" s="61">
        <v>0</v>
      </c>
      <c r="FF96" s="61">
        <v>0</v>
      </c>
      <c r="FG96" s="61">
        <v>0</v>
      </c>
      <c r="FH96" s="61">
        <v>0</v>
      </c>
      <c r="FI96" s="61">
        <v>0</v>
      </c>
      <c r="FJ96" s="61">
        <v>0</v>
      </c>
      <c r="FK96" s="61">
        <v>0</v>
      </c>
      <c r="FL96" s="61">
        <v>0</v>
      </c>
      <c r="FM96" s="61">
        <v>0</v>
      </c>
      <c r="FN96" s="61">
        <v>0</v>
      </c>
      <c r="FO96" s="61">
        <v>0</v>
      </c>
      <c r="FP96" s="61">
        <v>0</v>
      </c>
      <c r="FQ96" s="61">
        <v>0</v>
      </c>
      <c r="FR96" s="61">
        <v>0</v>
      </c>
      <c r="FS96" s="61">
        <v>0</v>
      </c>
      <c r="FT96" s="61">
        <v>0</v>
      </c>
      <c r="FU96" s="61">
        <v>0</v>
      </c>
      <c r="FV96" s="61">
        <v>0</v>
      </c>
      <c r="FW96" s="65">
        <v>0</v>
      </c>
      <c r="FX96" s="61">
        <v>0</v>
      </c>
      <c r="FY96" s="61">
        <v>0</v>
      </c>
      <c r="FZ96" s="61">
        <v>0</v>
      </c>
      <c r="GA96" s="61">
        <v>0</v>
      </c>
      <c r="GB96" s="61">
        <v>0</v>
      </c>
      <c r="GC96" s="61">
        <v>0</v>
      </c>
      <c r="GD96" s="63">
        <v>0</v>
      </c>
      <c r="GE96" s="63">
        <v>0</v>
      </c>
      <c r="GF96" s="63">
        <v>0</v>
      </c>
      <c r="GG96" s="63">
        <v>0</v>
      </c>
      <c r="GH96" s="63">
        <v>0</v>
      </c>
      <c r="GI96" s="63">
        <v>0</v>
      </c>
      <c r="GJ96" s="63">
        <v>0</v>
      </c>
      <c r="GK96" s="63">
        <v>0</v>
      </c>
      <c r="GL96" s="63">
        <v>0</v>
      </c>
      <c r="GM96" s="63">
        <v>0</v>
      </c>
      <c r="GN96" s="63">
        <v>0</v>
      </c>
      <c r="GO96" s="63">
        <v>0</v>
      </c>
      <c r="GP96" s="63">
        <v>0</v>
      </c>
      <c r="GQ96" s="61">
        <v>0</v>
      </c>
      <c r="GR96" s="61">
        <v>0</v>
      </c>
      <c r="GS96" s="61">
        <v>0</v>
      </c>
      <c r="GT96" s="61">
        <v>0</v>
      </c>
      <c r="GU96" s="66">
        <v>1</v>
      </c>
      <c r="GV96" s="66">
        <v>1</v>
      </c>
      <c r="GW96" s="66">
        <v>1</v>
      </c>
      <c r="GX96" s="63">
        <v>0</v>
      </c>
      <c r="GY96" s="63">
        <v>0</v>
      </c>
      <c r="GZ96" s="63">
        <v>0</v>
      </c>
      <c r="HA96" s="63">
        <v>0</v>
      </c>
      <c r="HB96" s="61">
        <v>0</v>
      </c>
      <c r="HC96" s="66">
        <v>1</v>
      </c>
      <c r="HD96" s="61">
        <v>0</v>
      </c>
      <c r="HE96" s="61">
        <v>0</v>
      </c>
      <c r="HF96" s="61">
        <v>0</v>
      </c>
      <c r="HG96" s="61">
        <v>0</v>
      </c>
      <c r="HH96" s="61"/>
      <c r="HI96" s="61"/>
      <c r="HJ96" s="63">
        <v>1976</v>
      </c>
      <c r="HK96" s="63">
        <f>SUM(FW$4:HI$4)</f>
        <v>39</v>
      </c>
      <c r="HL96" s="61">
        <f>SUM(FW96:HI96)</f>
        <v>4</v>
      </c>
      <c r="HM96" s="67">
        <f t="shared" si="7"/>
        <v>10.256410256410257</v>
      </c>
      <c r="HN96" s="67"/>
      <c r="HO96" s="68"/>
      <c r="HP96" s="68"/>
    </row>
    <row r="97" spans="1:237" x14ac:dyDescent="0.3">
      <c r="B97" s="63" t="s">
        <v>7336</v>
      </c>
      <c r="C97" s="61">
        <v>0</v>
      </c>
      <c r="D97" s="61">
        <v>0</v>
      </c>
      <c r="E97" s="61">
        <v>0</v>
      </c>
      <c r="F97" s="61">
        <v>0</v>
      </c>
      <c r="G97" s="61">
        <v>0</v>
      </c>
      <c r="H97" s="61">
        <v>0</v>
      </c>
      <c r="I97" s="61">
        <v>0</v>
      </c>
      <c r="J97" s="61">
        <v>0</v>
      </c>
      <c r="K97" s="61">
        <v>0</v>
      </c>
      <c r="L97" s="61">
        <v>0</v>
      </c>
      <c r="M97" s="61">
        <v>0</v>
      </c>
      <c r="N97" s="61">
        <v>0</v>
      </c>
      <c r="O97" s="61">
        <v>0</v>
      </c>
      <c r="P97" s="61">
        <v>0</v>
      </c>
      <c r="Q97" s="61">
        <v>0</v>
      </c>
      <c r="R97" s="61">
        <v>0</v>
      </c>
      <c r="S97" s="61">
        <v>0</v>
      </c>
      <c r="T97" s="61">
        <v>0</v>
      </c>
      <c r="U97" s="61">
        <v>0</v>
      </c>
      <c r="V97" s="61">
        <v>0</v>
      </c>
      <c r="W97" s="61">
        <v>0</v>
      </c>
      <c r="X97" s="61">
        <v>0</v>
      </c>
      <c r="Y97" s="61">
        <v>0</v>
      </c>
      <c r="Z97" s="61">
        <v>0</v>
      </c>
      <c r="AA97" s="61">
        <v>0</v>
      </c>
      <c r="AB97" s="61">
        <v>0</v>
      </c>
      <c r="AC97" s="61">
        <v>0</v>
      </c>
      <c r="AD97" s="61">
        <v>0</v>
      </c>
      <c r="AE97" s="61">
        <v>0</v>
      </c>
      <c r="AF97" s="61">
        <v>0</v>
      </c>
      <c r="AG97" s="61">
        <v>0</v>
      </c>
      <c r="AH97" s="61">
        <v>0</v>
      </c>
      <c r="AI97" s="61">
        <v>0</v>
      </c>
      <c r="AJ97" s="61">
        <v>0</v>
      </c>
      <c r="AK97" s="61">
        <v>0</v>
      </c>
      <c r="AL97" s="61">
        <v>0</v>
      </c>
      <c r="AM97" s="61">
        <v>0</v>
      </c>
      <c r="AN97" s="61">
        <v>0</v>
      </c>
      <c r="AO97" s="61">
        <v>0</v>
      </c>
      <c r="AP97" s="61">
        <v>0</v>
      </c>
      <c r="AQ97" s="61">
        <v>0</v>
      </c>
      <c r="AR97" s="61">
        <v>0</v>
      </c>
      <c r="AS97" s="61">
        <v>0</v>
      </c>
      <c r="AT97" s="61">
        <v>0</v>
      </c>
      <c r="AU97" s="61">
        <v>0</v>
      </c>
      <c r="AV97" s="61">
        <v>0</v>
      </c>
      <c r="AW97" s="61">
        <v>0</v>
      </c>
      <c r="AX97" s="61">
        <v>0</v>
      </c>
      <c r="AY97" s="61">
        <v>0</v>
      </c>
      <c r="AZ97" s="61">
        <v>0</v>
      </c>
      <c r="BA97" s="61">
        <v>0</v>
      </c>
      <c r="BB97" s="61">
        <v>0</v>
      </c>
      <c r="BC97" s="61">
        <v>0</v>
      </c>
      <c r="BD97" s="61">
        <v>0</v>
      </c>
      <c r="BE97" s="61">
        <v>0</v>
      </c>
      <c r="BF97" s="61">
        <v>0</v>
      </c>
      <c r="BG97" s="61">
        <v>0</v>
      </c>
      <c r="BH97" s="61">
        <v>0</v>
      </c>
      <c r="BI97" s="61">
        <v>0</v>
      </c>
      <c r="BJ97" s="61">
        <v>0</v>
      </c>
      <c r="BK97" s="61">
        <v>0</v>
      </c>
      <c r="BL97" s="61">
        <v>0</v>
      </c>
      <c r="BM97" s="61">
        <v>0</v>
      </c>
      <c r="BN97" s="61">
        <v>0</v>
      </c>
      <c r="BO97" s="61">
        <v>0</v>
      </c>
      <c r="BP97" s="61">
        <v>0</v>
      </c>
      <c r="BQ97" s="61">
        <v>0</v>
      </c>
      <c r="BR97" s="61">
        <v>0</v>
      </c>
      <c r="BS97" s="61">
        <v>0</v>
      </c>
      <c r="BT97" s="61">
        <v>0</v>
      </c>
      <c r="BU97" s="61">
        <v>0</v>
      </c>
      <c r="BV97" s="61">
        <v>0</v>
      </c>
      <c r="BW97" s="61">
        <v>0</v>
      </c>
      <c r="BX97" s="61">
        <v>0</v>
      </c>
      <c r="BY97" s="61">
        <v>0</v>
      </c>
      <c r="BZ97" s="61">
        <v>0</v>
      </c>
      <c r="CA97" s="61">
        <v>0</v>
      </c>
      <c r="CB97" s="61">
        <v>0</v>
      </c>
      <c r="CC97" s="61">
        <v>0</v>
      </c>
      <c r="CD97" s="61">
        <v>0</v>
      </c>
      <c r="CE97" s="61">
        <v>0</v>
      </c>
      <c r="CF97" s="61">
        <v>0</v>
      </c>
      <c r="CG97" s="61">
        <v>0</v>
      </c>
      <c r="CH97" s="61">
        <v>0</v>
      </c>
      <c r="CI97" s="61">
        <v>0</v>
      </c>
      <c r="CJ97" s="61">
        <v>0</v>
      </c>
      <c r="CK97" s="61">
        <v>0</v>
      </c>
      <c r="CL97" s="61">
        <v>0</v>
      </c>
      <c r="CM97" s="61">
        <v>0</v>
      </c>
      <c r="CN97" s="61">
        <v>0</v>
      </c>
      <c r="CO97" s="61">
        <v>0</v>
      </c>
      <c r="CP97" s="61">
        <v>0</v>
      </c>
      <c r="CQ97" s="61">
        <v>0</v>
      </c>
      <c r="CR97" s="61">
        <v>0</v>
      </c>
      <c r="CS97" s="61">
        <v>0</v>
      </c>
      <c r="CT97" s="61">
        <v>0</v>
      </c>
      <c r="CU97" s="61">
        <v>0</v>
      </c>
      <c r="CV97" s="61">
        <v>0</v>
      </c>
      <c r="CW97" s="61">
        <v>0</v>
      </c>
      <c r="CX97" s="61">
        <v>0</v>
      </c>
      <c r="CY97" s="61">
        <v>0</v>
      </c>
      <c r="CZ97" s="61">
        <v>0</v>
      </c>
      <c r="DA97" s="61">
        <v>0</v>
      </c>
      <c r="DB97" s="61">
        <v>0</v>
      </c>
      <c r="DC97" s="61">
        <v>0</v>
      </c>
      <c r="DD97" s="61">
        <v>0</v>
      </c>
      <c r="DE97" s="61">
        <v>0</v>
      </c>
      <c r="DF97" s="61">
        <v>0</v>
      </c>
      <c r="DG97" s="61">
        <v>0</v>
      </c>
      <c r="DH97" s="61">
        <v>0</v>
      </c>
      <c r="DI97" s="61">
        <v>0</v>
      </c>
      <c r="DJ97" s="61">
        <v>0</v>
      </c>
      <c r="DK97" s="61">
        <v>0</v>
      </c>
      <c r="DL97" s="61">
        <v>0</v>
      </c>
      <c r="DM97" s="61">
        <v>0</v>
      </c>
      <c r="DN97" s="61">
        <v>0</v>
      </c>
      <c r="DO97" s="61">
        <v>0</v>
      </c>
      <c r="DP97" s="61">
        <v>0</v>
      </c>
      <c r="DQ97" s="61">
        <v>0</v>
      </c>
      <c r="DR97" s="61">
        <v>0</v>
      </c>
      <c r="DS97" s="61">
        <v>0</v>
      </c>
      <c r="DT97" s="61">
        <v>0</v>
      </c>
      <c r="DU97" s="61">
        <v>0</v>
      </c>
      <c r="DV97" s="61">
        <v>0</v>
      </c>
      <c r="DW97" s="61">
        <v>0</v>
      </c>
      <c r="DX97" s="61">
        <v>0</v>
      </c>
      <c r="DY97" s="61">
        <v>0</v>
      </c>
      <c r="DZ97" s="61">
        <v>0</v>
      </c>
      <c r="EA97" s="61">
        <v>0</v>
      </c>
      <c r="EB97" s="61">
        <v>0</v>
      </c>
      <c r="EC97" s="61">
        <v>0</v>
      </c>
      <c r="ED97" s="61">
        <v>0</v>
      </c>
      <c r="EE97" s="61">
        <v>0</v>
      </c>
      <c r="EF97" s="61">
        <v>0</v>
      </c>
      <c r="EG97" s="61">
        <v>0</v>
      </c>
      <c r="EH97" s="61">
        <v>0</v>
      </c>
      <c r="EI97" s="61">
        <v>0</v>
      </c>
      <c r="EJ97" s="61">
        <v>0</v>
      </c>
      <c r="EK97" s="61">
        <v>0</v>
      </c>
      <c r="EL97" s="61">
        <v>0</v>
      </c>
      <c r="EM97" s="61">
        <v>0</v>
      </c>
      <c r="EN97" s="61">
        <v>0</v>
      </c>
      <c r="EO97" s="61">
        <v>0</v>
      </c>
      <c r="EP97" s="61">
        <v>0</v>
      </c>
      <c r="EQ97" s="61">
        <v>0</v>
      </c>
      <c r="ER97" s="61">
        <v>0</v>
      </c>
      <c r="ES97" s="61">
        <v>0</v>
      </c>
      <c r="ET97" s="61">
        <v>0</v>
      </c>
      <c r="EU97" s="61">
        <v>0</v>
      </c>
      <c r="EV97" s="61">
        <v>0</v>
      </c>
      <c r="EW97" s="61">
        <v>0</v>
      </c>
      <c r="EX97" s="61">
        <v>0</v>
      </c>
      <c r="EY97" s="61">
        <v>0</v>
      </c>
      <c r="EZ97" s="61">
        <v>0</v>
      </c>
      <c r="FA97" s="61">
        <v>0</v>
      </c>
      <c r="FB97" s="61">
        <v>0</v>
      </c>
      <c r="FC97" s="61">
        <v>0</v>
      </c>
      <c r="FD97" s="61">
        <v>0</v>
      </c>
      <c r="FE97" s="61">
        <v>0</v>
      </c>
      <c r="FF97" s="61">
        <v>0</v>
      </c>
      <c r="FG97" s="61">
        <v>0</v>
      </c>
      <c r="FH97" s="65">
        <v>0</v>
      </c>
      <c r="FI97" s="61">
        <v>0</v>
      </c>
      <c r="FJ97" s="61">
        <v>0</v>
      </c>
      <c r="FK97" s="61">
        <v>0</v>
      </c>
      <c r="FL97" s="61">
        <v>0</v>
      </c>
      <c r="FM97" s="61">
        <v>0</v>
      </c>
      <c r="FN97" s="61">
        <v>0</v>
      </c>
      <c r="FO97" s="61">
        <v>0</v>
      </c>
      <c r="FP97" s="61">
        <v>0</v>
      </c>
      <c r="FQ97" s="61">
        <v>0</v>
      </c>
      <c r="FR97" s="61">
        <v>0</v>
      </c>
      <c r="FS97" s="61">
        <v>0</v>
      </c>
      <c r="FT97" s="61">
        <v>0</v>
      </c>
      <c r="FU97" s="61">
        <v>0</v>
      </c>
      <c r="FV97" s="61">
        <v>0</v>
      </c>
      <c r="FW97" s="61">
        <v>0</v>
      </c>
      <c r="FX97" s="63">
        <v>0</v>
      </c>
      <c r="FY97" s="63">
        <v>0</v>
      </c>
      <c r="FZ97" s="63">
        <v>0</v>
      </c>
      <c r="GA97" s="63">
        <v>0</v>
      </c>
      <c r="GB97" s="63">
        <v>0</v>
      </c>
      <c r="GC97" s="63">
        <v>0</v>
      </c>
      <c r="GD97" s="66">
        <v>1</v>
      </c>
      <c r="GE97" s="66">
        <v>1</v>
      </c>
      <c r="GF97" s="63">
        <v>0</v>
      </c>
      <c r="GG97" s="66">
        <v>1</v>
      </c>
      <c r="GH97" s="66">
        <v>1</v>
      </c>
      <c r="GI97" s="66">
        <v>1</v>
      </c>
      <c r="GJ97" s="66">
        <v>1</v>
      </c>
      <c r="GK97" s="66">
        <v>1</v>
      </c>
      <c r="GL97" s="66">
        <v>1</v>
      </c>
      <c r="GM97" s="66">
        <v>1</v>
      </c>
      <c r="GN97" s="66">
        <v>1</v>
      </c>
      <c r="GO97" s="66">
        <v>1</v>
      </c>
      <c r="GP97" s="66">
        <v>1</v>
      </c>
      <c r="GQ97" s="63">
        <v>0</v>
      </c>
      <c r="GR97" s="63">
        <v>0</v>
      </c>
      <c r="GS97" s="63">
        <v>0</v>
      </c>
      <c r="GT97" s="63">
        <v>0</v>
      </c>
      <c r="GU97" s="63">
        <v>0</v>
      </c>
      <c r="GV97" s="63">
        <v>0</v>
      </c>
      <c r="GW97" s="63">
        <v>0</v>
      </c>
      <c r="GX97" s="63">
        <v>0</v>
      </c>
      <c r="GY97" s="63">
        <v>0</v>
      </c>
      <c r="GZ97" s="63">
        <v>0</v>
      </c>
      <c r="HA97" s="63">
        <v>0</v>
      </c>
      <c r="HB97" s="61">
        <v>0</v>
      </c>
      <c r="HC97" s="61">
        <v>0</v>
      </c>
      <c r="HD97" s="61">
        <v>0</v>
      </c>
      <c r="HE97" s="61">
        <v>0</v>
      </c>
      <c r="HF97" s="61">
        <v>0</v>
      </c>
      <c r="HG97" s="61">
        <v>0</v>
      </c>
      <c r="HH97" s="61"/>
      <c r="HI97" s="61"/>
      <c r="HJ97" s="63">
        <v>1961</v>
      </c>
      <c r="HK97" s="63">
        <f>SUM(FH$4:HI$4)</f>
        <v>54</v>
      </c>
      <c r="HL97" s="61">
        <f>SUM(FH97:HI97)</f>
        <v>12</v>
      </c>
      <c r="HM97" s="67">
        <f t="shared" si="7"/>
        <v>22.222222222222221</v>
      </c>
      <c r="HN97" s="67"/>
      <c r="HO97" s="68"/>
      <c r="HP97" s="68"/>
    </row>
    <row r="98" spans="1:237" x14ac:dyDescent="0.3">
      <c r="B98" s="63" t="s">
        <v>7337</v>
      </c>
      <c r="C98" s="61">
        <v>0</v>
      </c>
      <c r="D98" s="61">
        <v>0</v>
      </c>
      <c r="E98" s="61">
        <v>0</v>
      </c>
      <c r="F98" s="61">
        <v>0</v>
      </c>
      <c r="G98" s="61">
        <v>0</v>
      </c>
      <c r="H98" s="61">
        <v>0</v>
      </c>
      <c r="I98" s="61">
        <v>0</v>
      </c>
      <c r="J98" s="61">
        <v>0</v>
      </c>
      <c r="K98" s="61">
        <v>0</v>
      </c>
      <c r="L98" s="61">
        <v>0</v>
      </c>
      <c r="M98" s="61">
        <v>0</v>
      </c>
      <c r="N98" s="61">
        <v>0</v>
      </c>
      <c r="O98" s="61">
        <v>0</v>
      </c>
      <c r="P98" s="61">
        <v>0</v>
      </c>
      <c r="Q98" s="61">
        <v>0</v>
      </c>
      <c r="R98" s="61">
        <v>0</v>
      </c>
      <c r="S98" s="61">
        <v>0</v>
      </c>
      <c r="T98" s="61">
        <v>0</v>
      </c>
      <c r="U98" s="61">
        <v>0</v>
      </c>
      <c r="V98" s="61">
        <v>0</v>
      </c>
      <c r="W98" s="61">
        <v>0</v>
      </c>
      <c r="X98" s="61">
        <v>0</v>
      </c>
      <c r="Y98" s="61">
        <v>0</v>
      </c>
      <c r="Z98" s="61">
        <v>0</v>
      </c>
      <c r="AA98" s="61">
        <v>0</v>
      </c>
      <c r="AB98" s="61">
        <v>0</v>
      </c>
      <c r="AC98" s="61">
        <v>0</v>
      </c>
      <c r="AD98" s="61">
        <v>0</v>
      </c>
      <c r="AE98" s="61">
        <v>0</v>
      </c>
      <c r="AF98" s="61">
        <v>0</v>
      </c>
      <c r="AG98" s="61">
        <v>0</v>
      </c>
      <c r="AH98" s="61">
        <v>0</v>
      </c>
      <c r="AI98" s="61">
        <v>0</v>
      </c>
      <c r="AJ98" s="61">
        <v>0</v>
      </c>
      <c r="AK98" s="61">
        <v>0</v>
      </c>
      <c r="AL98" s="61">
        <v>0</v>
      </c>
      <c r="AM98" s="61">
        <v>0</v>
      </c>
      <c r="AN98" s="61">
        <v>0</v>
      </c>
      <c r="AO98" s="61">
        <v>0</v>
      </c>
      <c r="AP98" s="61">
        <v>0</v>
      </c>
      <c r="AQ98" s="61">
        <v>0</v>
      </c>
      <c r="AR98" s="61">
        <v>0</v>
      </c>
      <c r="AS98" s="61">
        <v>0</v>
      </c>
      <c r="AT98" s="61">
        <v>0</v>
      </c>
      <c r="AU98" s="61">
        <v>0</v>
      </c>
      <c r="AV98" s="61">
        <v>0</v>
      </c>
      <c r="AW98" s="61">
        <v>0</v>
      </c>
      <c r="AX98" s="61">
        <v>0</v>
      </c>
      <c r="AY98" s="61">
        <v>0</v>
      </c>
      <c r="AZ98" s="61">
        <v>0</v>
      </c>
      <c r="BA98" s="61">
        <v>0</v>
      </c>
      <c r="BB98" s="61">
        <v>0</v>
      </c>
      <c r="BC98" s="61">
        <v>0</v>
      </c>
      <c r="BD98" s="61">
        <v>0</v>
      </c>
      <c r="BE98" s="61">
        <v>0</v>
      </c>
      <c r="BF98" s="61">
        <v>0</v>
      </c>
      <c r="BG98" s="61">
        <v>0</v>
      </c>
      <c r="BH98" s="61">
        <v>0</v>
      </c>
      <c r="BI98" s="61">
        <v>0</v>
      </c>
      <c r="BJ98" s="61">
        <v>0</v>
      </c>
      <c r="BK98" s="61">
        <v>0</v>
      </c>
      <c r="BL98" s="61">
        <v>0</v>
      </c>
      <c r="BM98" s="61">
        <v>0</v>
      </c>
      <c r="BN98" s="61">
        <v>0</v>
      </c>
      <c r="BO98" s="61">
        <v>0</v>
      </c>
      <c r="BP98" s="61">
        <v>0</v>
      </c>
      <c r="BQ98" s="61">
        <v>0</v>
      </c>
      <c r="BR98" s="61">
        <v>0</v>
      </c>
      <c r="BS98" s="61">
        <v>0</v>
      </c>
      <c r="BT98" s="61">
        <v>0</v>
      </c>
      <c r="BU98" s="61">
        <v>0</v>
      </c>
      <c r="BV98" s="61">
        <v>0</v>
      </c>
      <c r="BW98" s="61">
        <v>0</v>
      </c>
      <c r="BX98" s="61">
        <v>0</v>
      </c>
      <c r="BY98" s="61">
        <v>0</v>
      </c>
      <c r="BZ98" s="61">
        <v>0</v>
      </c>
      <c r="CA98" s="61">
        <v>0</v>
      </c>
      <c r="CB98" s="61">
        <v>0</v>
      </c>
      <c r="CC98" s="61">
        <v>0</v>
      </c>
      <c r="CD98" s="61">
        <v>0</v>
      </c>
      <c r="CE98" s="61">
        <v>0</v>
      </c>
      <c r="CF98" s="61">
        <v>0</v>
      </c>
      <c r="CG98" s="61">
        <v>0</v>
      </c>
      <c r="CH98" s="61">
        <v>0</v>
      </c>
      <c r="CI98" s="61">
        <v>0</v>
      </c>
      <c r="CJ98" s="61">
        <v>0</v>
      </c>
      <c r="CK98" s="61">
        <v>0</v>
      </c>
      <c r="CL98" s="61">
        <v>0</v>
      </c>
      <c r="CM98" s="61">
        <v>0</v>
      </c>
      <c r="CN98" s="61">
        <v>0</v>
      </c>
      <c r="CO98" s="61">
        <v>0</v>
      </c>
      <c r="CP98" s="61">
        <v>0</v>
      </c>
      <c r="CQ98" s="61">
        <v>0</v>
      </c>
      <c r="CR98" s="61">
        <v>0</v>
      </c>
      <c r="CS98" s="61">
        <v>0</v>
      </c>
      <c r="CT98" s="61">
        <v>0</v>
      </c>
      <c r="CU98" s="61">
        <v>0</v>
      </c>
      <c r="CV98" s="61">
        <v>0</v>
      </c>
      <c r="CW98" s="61">
        <v>0</v>
      </c>
      <c r="CX98" s="61">
        <v>0</v>
      </c>
      <c r="CY98" s="61">
        <v>0</v>
      </c>
      <c r="CZ98" s="61">
        <v>0</v>
      </c>
      <c r="DA98" s="61">
        <v>0</v>
      </c>
      <c r="DB98" s="61">
        <v>0</v>
      </c>
      <c r="DC98" s="61">
        <v>0</v>
      </c>
      <c r="DD98" s="61">
        <v>0</v>
      </c>
      <c r="DE98" s="61">
        <v>0</v>
      </c>
      <c r="DF98" s="61">
        <v>0</v>
      </c>
      <c r="DG98" s="61">
        <v>0</v>
      </c>
      <c r="DH98" s="61">
        <v>0</v>
      </c>
      <c r="DI98" s="61">
        <v>0</v>
      </c>
      <c r="DJ98" s="61">
        <v>0</v>
      </c>
      <c r="DK98" s="61">
        <v>0</v>
      </c>
      <c r="DL98" s="61">
        <v>0</v>
      </c>
      <c r="DM98" s="61">
        <v>0</v>
      </c>
      <c r="DN98" s="61">
        <v>0</v>
      </c>
      <c r="DO98" s="61">
        <v>0</v>
      </c>
      <c r="DP98" s="61">
        <v>0</v>
      </c>
      <c r="DQ98" s="61">
        <v>0</v>
      </c>
      <c r="DR98" s="61">
        <v>0</v>
      </c>
      <c r="DS98" s="61">
        <v>0</v>
      </c>
      <c r="DT98" s="61">
        <v>0</v>
      </c>
      <c r="DU98" s="61">
        <v>0</v>
      </c>
      <c r="DV98" s="61">
        <v>0</v>
      </c>
      <c r="DW98" s="61">
        <v>0</v>
      </c>
      <c r="DX98" s="61">
        <v>0</v>
      </c>
      <c r="DY98" s="61">
        <v>0</v>
      </c>
      <c r="DZ98" s="61">
        <v>0</v>
      </c>
      <c r="EA98" s="61">
        <v>0</v>
      </c>
      <c r="EB98" s="61">
        <v>0</v>
      </c>
      <c r="EC98" s="61">
        <v>0</v>
      </c>
      <c r="ED98" s="61">
        <v>0</v>
      </c>
      <c r="EE98" s="61">
        <v>0</v>
      </c>
      <c r="EF98" s="61">
        <v>0</v>
      </c>
      <c r="EG98" s="61">
        <v>0</v>
      </c>
      <c r="EH98" s="61">
        <v>0</v>
      </c>
      <c r="EI98" s="61">
        <v>0</v>
      </c>
      <c r="EJ98" s="61">
        <v>0</v>
      </c>
      <c r="EK98" s="61">
        <v>0</v>
      </c>
      <c r="EL98" s="61">
        <v>0</v>
      </c>
      <c r="EM98" s="61">
        <v>0</v>
      </c>
      <c r="EN98" s="61">
        <v>0</v>
      </c>
      <c r="EO98" s="61">
        <v>0</v>
      </c>
      <c r="EP98" s="61">
        <v>0</v>
      </c>
      <c r="EQ98" s="61">
        <v>0</v>
      </c>
      <c r="ER98" s="61">
        <v>0</v>
      </c>
      <c r="ES98" s="61">
        <v>0</v>
      </c>
      <c r="ET98" s="61">
        <v>0</v>
      </c>
      <c r="EU98" s="61">
        <v>0</v>
      </c>
      <c r="EV98" s="61">
        <v>0</v>
      </c>
      <c r="EW98" s="61">
        <v>0</v>
      </c>
      <c r="EX98" s="61">
        <v>0</v>
      </c>
      <c r="EY98" s="61">
        <v>0</v>
      </c>
      <c r="EZ98" s="61">
        <v>0</v>
      </c>
      <c r="FA98" s="61">
        <v>0</v>
      </c>
      <c r="FB98" s="65">
        <v>0</v>
      </c>
      <c r="FC98" s="61">
        <v>0</v>
      </c>
      <c r="FD98" s="61">
        <v>0</v>
      </c>
      <c r="FE98" s="61">
        <v>0</v>
      </c>
      <c r="FF98" s="61">
        <v>0</v>
      </c>
      <c r="FG98" s="61">
        <v>0</v>
      </c>
      <c r="FH98" s="61">
        <v>0</v>
      </c>
      <c r="FI98" s="61">
        <v>0</v>
      </c>
      <c r="FJ98" s="61">
        <v>0</v>
      </c>
      <c r="FK98" s="61">
        <v>0</v>
      </c>
      <c r="FL98" s="61">
        <v>0</v>
      </c>
      <c r="FM98" s="61">
        <v>0</v>
      </c>
      <c r="FN98" s="61">
        <v>0</v>
      </c>
      <c r="FO98" s="61">
        <v>0</v>
      </c>
      <c r="FP98" s="61">
        <v>0</v>
      </c>
      <c r="FQ98" s="61">
        <v>0</v>
      </c>
      <c r="FR98" s="61">
        <v>0</v>
      </c>
      <c r="FS98" s="61">
        <v>0</v>
      </c>
      <c r="FT98" s="61">
        <v>0</v>
      </c>
      <c r="FU98" s="61">
        <v>0</v>
      </c>
      <c r="FV98" s="61">
        <v>0</v>
      </c>
      <c r="FW98" s="61">
        <v>0</v>
      </c>
      <c r="FX98" s="61">
        <v>0</v>
      </c>
      <c r="FY98" s="61">
        <v>0</v>
      </c>
      <c r="FZ98" s="66">
        <v>1</v>
      </c>
      <c r="GA98" s="66">
        <v>1</v>
      </c>
      <c r="GB98" s="66">
        <v>1</v>
      </c>
      <c r="GC98" s="66">
        <v>1</v>
      </c>
      <c r="GD98" s="66">
        <v>1</v>
      </c>
      <c r="GE98" s="66">
        <v>1</v>
      </c>
      <c r="GF98" s="66">
        <v>1</v>
      </c>
      <c r="GG98" s="66">
        <v>1</v>
      </c>
      <c r="GH98" s="66">
        <v>1</v>
      </c>
      <c r="GI98" s="66">
        <v>1</v>
      </c>
      <c r="GJ98" s="66">
        <v>1</v>
      </c>
      <c r="GK98" s="66">
        <v>1</v>
      </c>
      <c r="GL98" s="66">
        <v>1</v>
      </c>
      <c r="GM98" s="66">
        <v>1</v>
      </c>
      <c r="GN98" s="66">
        <v>1</v>
      </c>
      <c r="GO98" s="66">
        <v>1</v>
      </c>
      <c r="GP98" s="66">
        <v>1</v>
      </c>
      <c r="GQ98" s="66">
        <v>1</v>
      </c>
      <c r="GR98" s="66">
        <v>1</v>
      </c>
      <c r="GS98" s="66">
        <v>1</v>
      </c>
      <c r="GT98" s="66">
        <v>1</v>
      </c>
      <c r="GU98" s="66">
        <v>1</v>
      </c>
      <c r="GV98" s="66">
        <v>1</v>
      </c>
      <c r="GW98" s="66">
        <v>1</v>
      </c>
      <c r="GX98" s="66">
        <v>1</v>
      </c>
      <c r="GY98" s="66">
        <v>1</v>
      </c>
      <c r="GZ98" s="66">
        <v>1</v>
      </c>
      <c r="HA98" s="66">
        <v>1</v>
      </c>
      <c r="HB98" s="66">
        <v>1</v>
      </c>
      <c r="HC98" s="66">
        <v>1</v>
      </c>
      <c r="HD98" s="66">
        <v>1</v>
      </c>
      <c r="HE98" s="66">
        <v>1</v>
      </c>
      <c r="HF98" s="66">
        <v>1</v>
      </c>
      <c r="HG98" s="66">
        <v>1</v>
      </c>
      <c r="HH98" s="66"/>
      <c r="HI98" s="66"/>
      <c r="HJ98" s="63">
        <v>1955</v>
      </c>
      <c r="HK98" s="63">
        <f>SUM(FB$4:HI$4)</f>
        <v>60</v>
      </c>
      <c r="HL98" s="61">
        <f>SUM(FB98:HI98)</f>
        <v>34</v>
      </c>
      <c r="HM98" s="67">
        <f t="shared" si="7"/>
        <v>56.666666666666664</v>
      </c>
      <c r="HN98" s="67"/>
      <c r="HO98" s="68"/>
      <c r="HP98" s="68"/>
      <c r="HS98" s="61" t="s">
        <v>7231</v>
      </c>
    </row>
    <row r="99" spans="1:237" x14ac:dyDescent="0.3">
      <c r="B99" s="63" t="s">
        <v>7338</v>
      </c>
      <c r="C99" s="61">
        <v>0</v>
      </c>
      <c r="D99" s="61">
        <v>0</v>
      </c>
      <c r="E99" s="61">
        <v>0</v>
      </c>
      <c r="F99" s="61">
        <v>0</v>
      </c>
      <c r="G99" s="61">
        <v>0</v>
      </c>
      <c r="H99" s="61">
        <v>0</v>
      </c>
      <c r="I99" s="61">
        <v>0</v>
      </c>
      <c r="J99" s="61">
        <v>0</v>
      </c>
      <c r="K99" s="61">
        <v>0</v>
      </c>
      <c r="L99" s="61">
        <v>0</v>
      </c>
      <c r="M99" s="61">
        <v>0</v>
      </c>
      <c r="N99" s="61">
        <v>0</v>
      </c>
      <c r="O99" s="61">
        <v>0</v>
      </c>
      <c r="P99" s="61">
        <v>0</v>
      </c>
      <c r="Q99" s="61">
        <v>0</v>
      </c>
      <c r="R99" s="61">
        <v>0</v>
      </c>
      <c r="S99" s="61">
        <v>0</v>
      </c>
      <c r="T99" s="61">
        <v>0</v>
      </c>
      <c r="U99" s="61">
        <v>0</v>
      </c>
      <c r="V99" s="61">
        <v>0</v>
      </c>
      <c r="W99" s="61">
        <v>0</v>
      </c>
      <c r="X99" s="61">
        <v>0</v>
      </c>
      <c r="Y99" s="61">
        <v>0</v>
      </c>
      <c r="Z99" s="61">
        <v>0</v>
      </c>
      <c r="AA99" s="61">
        <v>0</v>
      </c>
      <c r="AB99" s="61">
        <v>0</v>
      </c>
      <c r="AC99" s="61">
        <v>0</v>
      </c>
      <c r="AD99" s="61">
        <v>0</v>
      </c>
      <c r="AE99" s="61">
        <v>0</v>
      </c>
      <c r="AF99" s="61">
        <v>0</v>
      </c>
      <c r="AG99" s="61">
        <v>0</v>
      </c>
      <c r="AH99" s="61">
        <v>0</v>
      </c>
      <c r="AI99" s="61">
        <v>0</v>
      </c>
      <c r="AJ99" s="61">
        <v>0</v>
      </c>
      <c r="AK99" s="61">
        <v>0</v>
      </c>
      <c r="AL99" s="61">
        <v>0</v>
      </c>
      <c r="AM99" s="61">
        <v>0</v>
      </c>
      <c r="AN99" s="61">
        <v>0</v>
      </c>
      <c r="AO99" s="61">
        <v>0</v>
      </c>
      <c r="AP99" s="61">
        <v>0</v>
      </c>
      <c r="AQ99" s="61">
        <v>0</v>
      </c>
      <c r="AR99" s="61">
        <v>0</v>
      </c>
      <c r="AS99" s="61">
        <v>0</v>
      </c>
      <c r="AT99" s="61">
        <v>0</v>
      </c>
      <c r="AU99" s="61">
        <v>0</v>
      </c>
      <c r="AV99" s="61">
        <v>0</v>
      </c>
      <c r="AW99" s="61">
        <v>0</v>
      </c>
      <c r="AX99" s="61">
        <v>0</v>
      </c>
      <c r="AY99" s="61">
        <v>0</v>
      </c>
      <c r="AZ99" s="61">
        <v>0</v>
      </c>
      <c r="BA99" s="61">
        <v>0</v>
      </c>
      <c r="BB99" s="61">
        <v>0</v>
      </c>
      <c r="BC99" s="61">
        <v>0</v>
      </c>
      <c r="BD99" s="61">
        <v>0</v>
      </c>
      <c r="BE99" s="61">
        <v>0</v>
      </c>
      <c r="BF99" s="61">
        <v>0</v>
      </c>
      <c r="BG99" s="61">
        <v>0</v>
      </c>
      <c r="BH99" s="61">
        <v>0</v>
      </c>
      <c r="BI99" s="61">
        <v>0</v>
      </c>
      <c r="BJ99" s="61">
        <v>0</v>
      </c>
      <c r="BK99" s="61">
        <v>0</v>
      </c>
      <c r="BL99" s="61">
        <v>0</v>
      </c>
      <c r="BM99" s="61">
        <v>0</v>
      </c>
      <c r="BN99" s="61">
        <v>0</v>
      </c>
      <c r="BO99" s="61">
        <v>0</v>
      </c>
      <c r="BP99" s="61">
        <v>0</v>
      </c>
      <c r="BQ99" s="61">
        <v>0</v>
      </c>
      <c r="BR99" s="61">
        <v>0</v>
      </c>
      <c r="BS99" s="61">
        <v>0</v>
      </c>
      <c r="BT99" s="61">
        <v>0</v>
      </c>
      <c r="BU99" s="61">
        <v>0</v>
      </c>
      <c r="BV99" s="61">
        <v>0</v>
      </c>
      <c r="BW99" s="61">
        <v>0</v>
      </c>
      <c r="BX99" s="61">
        <v>0</v>
      </c>
      <c r="BY99" s="61">
        <v>0</v>
      </c>
      <c r="BZ99" s="61">
        <v>0</v>
      </c>
      <c r="CA99" s="61">
        <v>0</v>
      </c>
      <c r="CB99" s="61">
        <v>0</v>
      </c>
      <c r="CC99" s="61">
        <v>0</v>
      </c>
      <c r="CD99" s="61">
        <v>0</v>
      </c>
      <c r="CE99" s="61">
        <v>0</v>
      </c>
      <c r="CF99" s="61">
        <v>0</v>
      </c>
      <c r="CG99" s="61">
        <v>0</v>
      </c>
      <c r="CH99" s="61">
        <v>0</v>
      </c>
      <c r="CI99" s="61">
        <v>0</v>
      </c>
      <c r="CJ99" s="61">
        <v>0</v>
      </c>
      <c r="CK99" s="61">
        <v>0</v>
      </c>
      <c r="CL99" s="61">
        <v>0</v>
      </c>
      <c r="CM99" s="61">
        <v>0</v>
      </c>
      <c r="CN99" s="61">
        <v>0</v>
      </c>
      <c r="CO99" s="61">
        <v>0</v>
      </c>
      <c r="CP99" s="61">
        <v>0</v>
      </c>
      <c r="CQ99" s="61">
        <v>0</v>
      </c>
      <c r="CR99" s="61">
        <v>0</v>
      </c>
      <c r="CS99" s="61">
        <v>0</v>
      </c>
      <c r="CT99" s="61">
        <v>0</v>
      </c>
      <c r="CU99" s="61">
        <v>0</v>
      </c>
      <c r="CV99" s="61">
        <v>0</v>
      </c>
      <c r="CW99" s="61">
        <v>0</v>
      </c>
      <c r="CX99" s="61">
        <v>0</v>
      </c>
      <c r="CY99" s="61">
        <v>0</v>
      </c>
      <c r="CZ99" s="61">
        <v>0</v>
      </c>
      <c r="DA99" s="61">
        <v>0</v>
      </c>
      <c r="DB99" s="61">
        <v>0</v>
      </c>
      <c r="DC99" s="61">
        <v>0</v>
      </c>
      <c r="DD99" s="61">
        <v>0</v>
      </c>
      <c r="DE99" s="61">
        <v>0</v>
      </c>
      <c r="DF99" s="61">
        <v>0</v>
      </c>
      <c r="DG99" s="61">
        <v>0</v>
      </c>
      <c r="DH99" s="61">
        <v>0</v>
      </c>
      <c r="DI99" s="61">
        <v>0</v>
      </c>
      <c r="DJ99" s="61">
        <v>0</v>
      </c>
      <c r="DK99" s="61">
        <v>0</v>
      </c>
      <c r="DL99" s="61">
        <v>0</v>
      </c>
      <c r="DM99" s="61">
        <v>0</v>
      </c>
      <c r="DN99" s="61">
        <v>0</v>
      </c>
      <c r="DO99" s="61">
        <v>0</v>
      </c>
      <c r="DP99" s="61">
        <v>0</v>
      </c>
      <c r="DQ99" s="61">
        <v>0</v>
      </c>
      <c r="DR99" s="61">
        <v>0</v>
      </c>
      <c r="DS99" s="61">
        <v>0</v>
      </c>
      <c r="DT99" s="61">
        <v>0</v>
      </c>
      <c r="DU99" s="61">
        <v>0</v>
      </c>
      <c r="DV99" s="61">
        <v>0</v>
      </c>
      <c r="DW99" s="61">
        <v>0</v>
      </c>
      <c r="DX99" s="61">
        <v>0</v>
      </c>
      <c r="DY99" s="61">
        <v>0</v>
      </c>
      <c r="DZ99" s="61">
        <v>0</v>
      </c>
      <c r="EA99" s="61">
        <v>0</v>
      </c>
      <c r="EB99" s="61">
        <v>0</v>
      </c>
      <c r="EC99" s="61">
        <v>0</v>
      </c>
      <c r="ED99" s="61">
        <v>0</v>
      </c>
      <c r="EE99" s="61">
        <v>0</v>
      </c>
      <c r="EF99" s="61">
        <v>0</v>
      </c>
      <c r="EG99" s="61">
        <v>0</v>
      </c>
      <c r="EH99" s="61">
        <v>0</v>
      </c>
      <c r="EI99" s="61">
        <v>0</v>
      </c>
      <c r="EJ99" s="61">
        <v>0</v>
      </c>
      <c r="EK99" s="61">
        <v>0</v>
      </c>
      <c r="EL99" s="61">
        <v>0</v>
      </c>
      <c r="EM99" s="61">
        <v>0</v>
      </c>
      <c r="EN99" s="61">
        <v>0</v>
      </c>
      <c r="EO99" s="61">
        <v>0</v>
      </c>
      <c r="EP99" s="61">
        <v>0</v>
      </c>
      <c r="EQ99" s="61">
        <v>0</v>
      </c>
      <c r="ER99" s="61">
        <v>0</v>
      </c>
      <c r="ES99" s="61">
        <v>0</v>
      </c>
      <c r="ET99" s="61">
        <v>0</v>
      </c>
      <c r="EU99" s="61">
        <v>0</v>
      </c>
      <c r="EV99" s="61">
        <v>0</v>
      </c>
      <c r="EW99" s="61">
        <v>0</v>
      </c>
      <c r="EX99" s="61">
        <v>0</v>
      </c>
      <c r="EY99" s="61">
        <v>0</v>
      </c>
      <c r="EZ99" s="61">
        <v>0</v>
      </c>
      <c r="FA99" s="61">
        <v>0</v>
      </c>
      <c r="FB99" s="61">
        <v>0</v>
      </c>
      <c r="FC99" s="61">
        <v>0</v>
      </c>
      <c r="FD99" s="61">
        <v>0</v>
      </c>
      <c r="FE99" s="61">
        <v>0</v>
      </c>
      <c r="FF99" s="61">
        <v>0</v>
      </c>
      <c r="FG99" s="61">
        <v>0</v>
      </c>
      <c r="FH99" s="61">
        <v>0</v>
      </c>
      <c r="FI99" s="65">
        <v>0</v>
      </c>
      <c r="FJ99" s="61">
        <v>0</v>
      </c>
      <c r="FK99" s="61">
        <v>0</v>
      </c>
      <c r="FL99" s="61">
        <v>0</v>
      </c>
      <c r="FM99" s="61">
        <v>0</v>
      </c>
      <c r="FN99" s="61">
        <v>0</v>
      </c>
      <c r="FO99" s="61">
        <v>0</v>
      </c>
      <c r="FP99" s="61">
        <v>0</v>
      </c>
      <c r="FQ99" s="61">
        <v>0</v>
      </c>
      <c r="FR99" s="61">
        <v>0</v>
      </c>
      <c r="FS99" s="61">
        <v>0</v>
      </c>
      <c r="FT99" s="61">
        <v>0</v>
      </c>
      <c r="FU99" s="61">
        <v>0</v>
      </c>
      <c r="FV99" s="61">
        <v>0</v>
      </c>
      <c r="FW99" s="61">
        <v>0</v>
      </c>
      <c r="FX99" s="61">
        <v>0</v>
      </c>
      <c r="FY99" s="61">
        <v>0</v>
      </c>
      <c r="FZ99" s="61">
        <v>0</v>
      </c>
      <c r="GA99" s="61">
        <v>0</v>
      </c>
      <c r="GB99" s="61">
        <v>0</v>
      </c>
      <c r="GC99" s="61">
        <v>0</v>
      </c>
      <c r="GD99" s="61">
        <v>0</v>
      </c>
      <c r="GE99" s="66">
        <v>1</v>
      </c>
      <c r="GF99" s="66">
        <v>1</v>
      </c>
      <c r="GG99" s="66">
        <v>1</v>
      </c>
      <c r="GH99" s="66">
        <v>1</v>
      </c>
      <c r="GI99" s="66">
        <v>1</v>
      </c>
      <c r="GJ99" s="66">
        <v>1</v>
      </c>
      <c r="GK99" s="66">
        <v>1</v>
      </c>
      <c r="GL99" s="66">
        <v>1</v>
      </c>
      <c r="GM99" s="66">
        <v>1</v>
      </c>
      <c r="GN99" s="66">
        <v>1</v>
      </c>
      <c r="GO99" s="66">
        <v>1</v>
      </c>
      <c r="GP99" s="66">
        <v>1</v>
      </c>
      <c r="GQ99" s="66">
        <v>1</v>
      </c>
      <c r="GR99" s="66">
        <v>1</v>
      </c>
      <c r="GS99" s="66">
        <v>1</v>
      </c>
      <c r="GT99" s="66">
        <v>1</v>
      </c>
      <c r="GU99" s="66">
        <v>1</v>
      </c>
      <c r="GV99" s="66">
        <v>1</v>
      </c>
      <c r="GW99" s="66">
        <v>1</v>
      </c>
      <c r="GX99" s="66">
        <v>1</v>
      </c>
      <c r="GY99" s="66">
        <v>1</v>
      </c>
      <c r="GZ99" s="63">
        <v>0</v>
      </c>
      <c r="HA99" s="63">
        <v>0</v>
      </c>
      <c r="HB99" s="61">
        <v>0</v>
      </c>
      <c r="HC99" s="61">
        <v>0</v>
      </c>
      <c r="HD99" s="61">
        <v>0</v>
      </c>
      <c r="HE99" s="61">
        <v>0</v>
      </c>
      <c r="HF99" s="61">
        <v>0</v>
      </c>
      <c r="HG99" s="61">
        <v>0</v>
      </c>
      <c r="HH99" s="61"/>
      <c r="HI99" s="61"/>
      <c r="HJ99" s="63">
        <v>1961</v>
      </c>
      <c r="HK99" s="63">
        <f>SUM(FH$4:HI$4)</f>
        <v>54</v>
      </c>
      <c r="HL99" s="61">
        <f>SUM(FH99:HI99)</f>
        <v>21</v>
      </c>
      <c r="HM99" s="67">
        <f t="shared" si="7"/>
        <v>38.888888888888886</v>
      </c>
      <c r="HN99" s="67"/>
      <c r="HO99" s="68"/>
      <c r="HP99" s="68"/>
    </row>
    <row r="100" spans="1:237" x14ac:dyDescent="0.3">
      <c r="B100" s="63" t="s">
        <v>7339</v>
      </c>
      <c r="C100" s="61">
        <v>0</v>
      </c>
      <c r="D100" s="61">
        <v>0</v>
      </c>
      <c r="E100" s="61">
        <v>0</v>
      </c>
      <c r="F100" s="61">
        <v>0</v>
      </c>
      <c r="G100" s="61">
        <v>0</v>
      </c>
      <c r="H100" s="61">
        <v>0</v>
      </c>
      <c r="I100" s="61">
        <v>0</v>
      </c>
      <c r="J100" s="61">
        <v>0</v>
      </c>
      <c r="K100" s="61">
        <v>0</v>
      </c>
      <c r="L100" s="61">
        <v>0</v>
      </c>
      <c r="M100" s="61">
        <v>0</v>
      </c>
      <c r="N100" s="61">
        <v>0</v>
      </c>
      <c r="O100" s="61">
        <v>0</v>
      </c>
      <c r="P100" s="61">
        <v>0</v>
      </c>
      <c r="Q100" s="61">
        <v>0</v>
      </c>
      <c r="R100" s="61">
        <v>0</v>
      </c>
      <c r="S100" s="61">
        <v>0</v>
      </c>
      <c r="T100" s="61">
        <v>0</v>
      </c>
      <c r="U100" s="61">
        <v>0</v>
      </c>
      <c r="V100" s="61">
        <v>0</v>
      </c>
      <c r="W100" s="61">
        <v>0</v>
      </c>
      <c r="X100" s="61">
        <v>0</v>
      </c>
      <c r="Y100" s="61">
        <v>0</v>
      </c>
      <c r="Z100" s="61">
        <v>0</v>
      </c>
      <c r="AA100" s="61">
        <v>0</v>
      </c>
      <c r="AB100" s="61">
        <v>0</v>
      </c>
      <c r="AC100" s="61">
        <v>0</v>
      </c>
      <c r="AD100" s="61">
        <v>0</v>
      </c>
      <c r="AE100" s="61">
        <v>0</v>
      </c>
      <c r="AF100" s="61">
        <v>0</v>
      </c>
      <c r="AG100" s="61">
        <v>0</v>
      </c>
      <c r="AH100" s="61">
        <v>0</v>
      </c>
      <c r="AI100" s="61">
        <v>0</v>
      </c>
      <c r="AJ100" s="61">
        <v>0</v>
      </c>
      <c r="AK100" s="61">
        <v>0</v>
      </c>
      <c r="AL100" s="61">
        <v>0</v>
      </c>
      <c r="AM100" s="61">
        <v>0</v>
      </c>
      <c r="AN100" s="61">
        <v>0</v>
      </c>
      <c r="AO100" s="61">
        <v>0</v>
      </c>
      <c r="AP100" s="61">
        <v>0</v>
      </c>
      <c r="AQ100" s="61">
        <v>0</v>
      </c>
      <c r="AR100" s="61">
        <v>0</v>
      </c>
      <c r="AS100" s="61">
        <v>0</v>
      </c>
      <c r="AT100" s="61">
        <v>0</v>
      </c>
      <c r="AU100" s="61">
        <v>0</v>
      </c>
      <c r="AV100" s="61">
        <v>0</v>
      </c>
      <c r="AW100" s="61">
        <v>0</v>
      </c>
      <c r="AX100" s="61">
        <v>0</v>
      </c>
      <c r="AY100" s="61">
        <v>0</v>
      </c>
      <c r="AZ100" s="61">
        <v>0</v>
      </c>
      <c r="BA100" s="61">
        <v>0</v>
      </c>
      <c r="BB100" s="61">
        <v>0</v>
      </c>
      <c r="BC100" s="61">
        <v>0</v>
      </c>
      <c r="BD100" s="61">
        <v>0</v>
      </c>
      <c r="BE100" s="61">
        <v>0</v>
      </c>
      <c r="BF100" s="61">
        <v>0</v>
      </c>
      <c r="BG100" s="61">
        <v>0</v>
      </c>
      <c r="BH100" s="61">
        <v>0</v>
      </c>
      <c r="BI100" s="61">
        <v>0</v>
      </c>
      <c r="BJ100" s="61">
        <v>0</v>
      </c>
      <c r="BK100" s="61">
        <v>0</v>
      </c>
      <c r="BL100" s="61">
        <v>0</v>
      </c>
      <c r="BM100" s="61">
        <v>0</v>
      </c>
      <c r="BN100" s="61">
        <v>0</v>
      </c>
      <c r="BO100" s="61">
        <v>0</v>
      </c>
      <c r="BP100" s="61">
        <v>0</v>
      </c>
      <c r="BQ100" s="61">
        <v>0</v>
      </c>
      <c r="BR100" s="61">
        <v>0</v>
      </c>
      <c r="BS100" s="61">
        <v>0</v>
      </c>
      <c r="BT100" s="61">
        <v>0</v>
      </c>
      <c r="BU100" s="61">
        <v>0</v>
      </c>
      <c r="BV100" s="61">
        <v>0</v>
      </c>
      <c r="BW100" s="61">
        <v>0</v>
      </c>
      <c r="BX100" s="61">
        <v>0</v>
      </c>
      <c r="BY100" s="61">
        <v>0</v>
      </c>
      <c r="BZ100" s="61">
        <v>0</v>
      </c>
      <c r="CA100" s="61">
        <v>0</v>
      </c>
      <c r="CB100" s="61">
        <v>0</v>
      </c>
      <c r="CC100" s="61">
        <v>0</v>
      </c>
      <c r="CD100" s="61">
        <v>0</v>
      </c>
      <c r="CE100" s="61">
        <v>0</v>
      </c>
      <c r="CF100" s="61">
        <v>0</v>
      </c>
      <c r="CG100" s="61">
        <v>0</v>
      </c>
      <c r="CH100" s="61">
        <v>0</v>
      </c>
      <c r="CI100" s="61">
        <v>0</v>
      </c>
      <c r="CJ100" s="61">
        <v>0</v>
      </c>
      <c r="CK100" s="61">
        <v>0</v>
      </c>
      <c r="CL100" s="61">
        <v>0</v>
      </c>
      <c r="CM100" s="61">
        <v>0</v>
      </c>
      <c r="CN100" s="61">
        <v>0</v>
      </c>
      <c r="CO100" s="61">
        <v>0</v>
      </c>
      <c r="CP100" s="61">
        <v>0</v>
      </c>
      <c r="CQ100" s="61">
        <v>0</v>
      </c>
      <c r="CR100" s="61">
        <v>0</v>
      </c>
      <c r="CS100" s="61">
        <v>0</v>
      </c>
      <c r="CT100" s="61">
        <v>0</v>
      </c>
      <c r="CU100" s="61">
        <v>0</v>
      </c>
      <c r="CV100" s="61">
        <v>0</v>
      </c>
      <c r="CW100" s="61">
        <v>0</v>
      </c>
      <c r="CX100" s="61">
        <v>0</v>
      </c>
      <c r="CY100" s="61">
        <v>0</v>
      </c>
      <c r="CZ100" s="61">
        <v>0</v>
      </c>
      <c r="DA100" s="61">
        <v>0</v>
      </c>
      <c r="DB100" s="61">
        <v>0</v>
      </c>
      <c r="DC100" s="61">
        <v>0</v>
      </c>
      <c r="DD100" s="61">
        <v>0</v>
      </c>
      <c r="DE100" s="61">
        <v>0</v>
      </c>
      <c r="DF100" s="61">
        <v>0</v>
      </c>
      <c r="DG100" s="61">
        <v>0</v>
      </c>
      <c r="DH100" s="61">
        <v>0</v>
      </c>
      <c r="DI100" s="61">
        <v>0</v>
      </c>
      <c r="DJ100" s="61">
        <v>0</v>
      </c>
      <c r="DK100" s="61">
        <v>0</v>
      </c>
      <c r="DL100" s="61">
        <v>0</v>
      </c>
      <c r="DM100" s="61">
        <v>0</v>
      </c>
      <c r="DN100" s="61">
        <v>0</v>
      </c>
      <c r="DO100" s="61">
        <v>0</v>
      </c>
      <c r="DP100" s="61">
        <v>0</v>
      </c>
      <c r="DQ100" s="61">
        <v>0</v>
      </c>
      <c r="DR100" s="61">
        <v>0</v>
      </c>
      <c r="DS100" s="61">
        <v>0</v>
      </c>
      <c r="DT100" s="61">
        <v>0</v>
      </c>
      <c r="DU100" s="61">
        <v>0</v>
      </c>
      <c r="DV100" s="61">
        <v>0</v>
      </c>
      <c r="DW100" s="61">
        <v>0</v>
      </c>
      <c r="DX100" s="61">
        <v>0</v>
      </c>
      <c r="DY100" s="61">
        <v>0</v>
      </c>
      <c r="DZ100" s="61">
        <v>0</v>
      </c>
      <c r="EA100" s="61">
        <v>0</v>
      </c>
      <c r="EB100" s="61">
        <v>0</v>
      </c>
      <c r="EC100" s="61">
        <v>0</v>
      </c>
      <c r="ED100" s="61">
        <v>0</v>
      </c>
      <c r="EE100" s="61">
        <v>0</v>
      </c>
      <c r="EF100" s="61">
        <v>0</v>
      </c>
      <c r="EG100" s="61">
        <v>0</v>
      </c>
      <c r="EH100" s="61">
        <v>0</v>
      </c>
      <c r="EI100" s="61">
        <v>0</v>
      </c>
      <c r="EJ100" s="61">
        <v>0</v>
      </c>
      <c r="EK100" s="61">
        <v>0</v>
      </c>
      <c r="EL100" s="61">
        <v>0</v>
      </c>
      <c r="EM100" s="61">
        <v>0</v>
      </c>
      <c r="EN100" s="61">
        <v>0</v>
      </c>
      <c r="EO100" s="61">
        <v>0</v>
      </c>
      <c r="EP100" s="61">
        <v>0</v>
      </c>
      <c r="EQ100" s="61">
        <v>0</v>
      </c>
      <c r="ER100" s="61">
        <v>0</v>
      </c>
      <c r="ES100" s="61">
        <v>0</v>
      </c>
      <c r="ET100" s="61">
        <v>0</v>
      </c>
      <c r="EU100" s="61">
        <v>0</v>
      </c>
      <c r="EV100" s="61">
        <v>0</v>
      </c>
      <c r="EW100" s="61">
        <v>0</v>
      </c>
      <c r="EX100" s="61">
        <v>0</v>
      </c>
      <c r="EY100" s="61">
        <v>0</v>
      </c>
      <c r="EZ100" s="61">
        <v>0</v>
      </c>
      <c r="FA100" s="61">
        <v>0</v>
      </c>
      <c r="FB100" s="61">
        <v>0</v>
      </c>
      <c r="FC100" s="61">
        <v>0</v>
      </c>
      <c r="FD100" s="61">
        <v>0</v>
      </c>
      <c r="FE100" s="61">
        <v>0</v>
      </c>
      <c r="FF100" s="61">
        <v>0</v>
      </c>
      <c r="FG100" s="65">
        <v>0</v>
      </c>
      <c r="FH100" s="63">
        <v>0</v>
      </c>
      <c r="FI100" s="61">
        <v>0</v>
      </c>
      <c r="FJ100" s="61">
        <v>0</v>
      </c>
      <c r="FK100" s="61">
        <v>0</v>
      </c>
      <c r="FL100" s="61">
        <v>0</v>
      </c>
      <c r="FM100" s="61">
        <v>0</v>
      </c>
      <c r="FN100" s="61">
        <v>0</v>
      </c>
      <c r="FO100" s="61">
        <v>0</v>
      </c>
      <c r="FP100" s="61">
        <v>0</v>
      </c>
      <c r="FQ100" s="61">
        <v>0</v>
      </c>
      <c r="FR100" s="61">
        <v>0</v>
      </c>
      <c r="FS100" s="61">
        <v>0</v>
      </c>
      <c r="FT100" s="61">
        <v>0</v>
      </c>
      <c r="FU100" s="61">
        <v>0</v>
      </c>
      <c r="FV100" s="61">
        <v>0</v>
      </c>
      <c r="FW100" s="61">
        <v>0</v>
      </c>
      <c r="FX100" s="61">
        <v>0</v>
      </c>
      <c r="FY100" s="61">
        <v>0</v>
      </c>
      <c r="FZ100" s="66">
        <v>1</v>
      </c>
      <c r="GA100" s="66">
        <v>1</v>
      </c>
      <c r="GB100" s="61">
        <v>0</v>
      </c>
      <c r="GC100" s="66">
        <v>1</v>
      </c>
      <c r="GD100" s="66">
        <v>1</v>
      </c>
      <c r="GE100" s="66">
        <v>1</v>
      </c>
      <c r="GF100" s="61">
        <v>0</v>
      </c>
      <c r="GG100" s="61">
        <v>0</v>
      </c>
      <c r="GH100" s="61">
        <v>0</v>
      </c>
      <c r="GI100" s="66">
        <v>1</v>
      </c>
      <c r="GJ100" s="61">
        <v>0</v>
      </c>
      <c r="GK100" s="61">
        <v>0</v>
      </c>
      <c r="GL100" s="66">
        <v>1</v>
      </c>
      <c r="GM100" s="66">
        <v>1</v>
      </c>
      <c r="GN100" s="66">
        <v>1</v>
      </c>
      <c r="GO100" s="66">
        <v>1</v>
      </c>
      <c r="GP100" s="66">
        <v>1</v>
      </c>
      <c r="GQ100" s="66">
        <v>1</v>
      </c>
      <c r="GR100" s="66">
        <v>1</v>
      </c>
      <c r="GS100" s="61">
        <v>0</v>
      </c>
      <c r="GT100" s="61">
        <v>0</v>
      </c>
      <c r="GU100" s="63">
        <v>0</v>
      </c>
      <c r="GV100" s="63">
        <v>0</v>
      </c>
      <c r="GW100" s="63">
        <v>0</v>
      </c>
      <c r="GX100" s="63">
        <v>0</v>
      </c>
      <c r="GY100" s="63">
        <v>0</v>
      </c>
      <c r="GZ100" s="63">
        <v>0</v>
      </c>
      <c r="HA100" s="63">
        <v>0</v>
      </c>
      <c r="HB100" s="61">
        <v>0</v>
      </c>
      <c r="HC100" s="61">
        <v>0</v>
      </c>
      <c r="HD100" s="61">
        <v>0</v>
      </c>
      <c r="HE100" s="61">
        <v>0</v>
      </c>
      <c r="HF100" s="61">
        <v>0</v>
      </c>
      <c r="HG100" s="61">
        <v>0</v>
      </c>
      <c r="HH100" s="61"/>
      <c r="HI100" s="61"/>
      <c r="HJ100" s="63">
        <v>1960</v>
      </c>
      <c r="HK100" s="63">
        <f>SUM(FG$4:HI$4)</f>
        <v>55</v>
      </c>
      <c r="HL100" s="61">
        <f>SUM(FG100:HI100)</f>
        <v>13</v>
      </c>
      <c r="HM100" s="67">
        <f t="shared" si="7"/>
        <v>23.636363636363637</v>
      </c>
      <c r="HN100" s="67"/>
      <c r="HO100" s="68"/>
      <c r="HP100" s="68"/>
    </row>
    <row r="101" spans="1:237" x14ac:dyDescent="0.3">
      <c r="B101" s="63" t="s">
        <v>7340</v>
      </c>
      <c r="C101" s="61">
        <v>0</v>
      </c>
      <c r="D101" s="61">
        <v>0</v>
      </c>
      <c r="E101" s="61">
        <v>0</v>
      </c>
      <c r="F101" s="61">
        <v>0</v>
      </c>
      <c r="G101" s="61">
        <v>0</v>
      </c>
      <c r="H101" s="61">
        <v>0</v>
      </c>
      <c r="I101" s="61">
        <v>0</v>
      </c>
      <c r="J101" s="61">
        <v>0</v>
      </c>
      <c r="K101" s="61">
        <v>0</v>
      </c>
      <c r="L101" s="61">
        <v>0</v>
      </c>
      <c r="M101" s="61">
        <v>0</v>
      </c>
      <c r="N101" s="61">
        <v>0</v>
      </c>
      <c r="O101" s="61">
        <v>0</v>
      </c>
      <c r="P101" s="61">
        <v>0</v>
      </c>
      <c r="Q101" s="61">
        <v>0</v>
      </c>
      <c r="R101" s="61">
        <v>0</v>
      </c>
      <c r="S101" s="61">
        <v>0</v>
      </c>
      <c r="T101" s="61">
        <v>0</v>
      </c>
      <c r="U101" s="61">
        <v>0</v>
      </c>
      <c r="V101" s="61">
        <v>0</v>
      </c>
      <c r="W101" s="61">
        <v>0</v>
      </c>
      <c r="X101" s="61">
        <v>0</v>
      </c>
      <c r="Y101" s="61">
        <v>0</v>
      </c>
      <c r="Z101" s="61">
        <v>0</v>
      </c>
      <c r="AA101" s="61">
        <v>0</v>
      </c>
      <c r="AB101" s="61">
        <v>0</v>
      </c>
      <c r="AC101" s="61">
        <v>0</v>
      </c>
      <c r="AD101" s="61">
        <v>0</v>
      </c>
      <c r="AE101" s="61">
        <v>0</v>
      </c>
      <c r="AF101" s="61">
        <v>0</v>
      </c>
      <c r="AG101" s="61">
        <v>0</v>
      </c>
      <c r="AH101" s="61">
        <v>0</v>
      </c>
      <c r="AI101" s="61">
        <v>0</v>
      </c>
      <c r="AJ101" s="61">
        <v>0</v>
      </c>
      <c r="AK101" s="61">
        <v>0</v>
      </c>
      <c r="AL101" s="61">
        <v>0</v>
      </c>
      <c r="AM101" s="61">
        <v>0</v>
      </c>
      <c r="AN101" s="61">
        <v>0</v>
      </c>
      <c r="AO101" s="61">
        <v>0</v>
      </c>
      <c r="AP101" s="61">
        <v>0</v>
      </c>
      <c r="AQ101" s="61">
        <v>0</v>
      </c>
      <c r="AR101" s="61">
        <v>0</v>
      </c>
      <c r="AS101" s="61">
        <v>0</v>
      </c>
      <c r="AT101" s="61">
        <v>0</v>
      </c>
      <c r="AU101" s="61">
        <v>0</v>
      </c>
      <c r="AV101" s="61">
        <v>0</v>
      </c>
      <c r="AW101" s="61">
        <v>0</v>
      </c>
      <c r="AX101" s="61">
        <v>0</v>
      </c>
      <c r="AY101" s="61">
        <v>0</v>
      </c>
      <c r="AZ101" s="61">
        <v>0</v>
      </c>
      <c r="BA101" s="61">
        <v>0</v>
      </c>
      <c r="BB101" s="61">
        <v>0</v>
      </c>
      <c r="BC101" s="61">
        <v>0</v>
      </c>
      <c r="BD101" s="61">
        <v>0</v>
      </c>
      <c r="BE101" s="61">
        <v>0</v>
      </c>
      <c r="BF101" s="61">
        <v>0</v>
      </c>
      <c r="BG101" s="61">
        <v>0</v>
      </c>
      <c r="BH101" s="61">
        <v>0</v>
      </c>
      <c r="BI101" s="61">
        <v>0</v>
      </c>
      <c r="BJ101" s="61">
        <v>0</v>
      </c>
      <c r="BK101" s="61">
        <v>0</v>
      </c>
      <c r="BL101" s="61">
        <v>0</v>
      </c>
      <c r="BM101" s="61">
        <v>0</v>
      </c>
      <c r="BN101" s="61">
        <v>0</v>
      </c>
      <c r="BO101" s="61">
        <v>0</v>
      </c>
      <c r="BP101" s="61">
        <v>0</v>
      </c>
      <c r="BQ101" s="61">
        <v>0</v>
      </c>
      <c r="BR101" s="61">
        <v>0</v>
      </c>
      <c r="BS101" s="61">
        <v>0</v>
      </c>
      <c r="BT101" s="61">
        <v>0</v>
      </c>
      <c r="BU101" s="61">
        <v>0</v>
      </c>
      <c r="BV101" s="61">
        <v>0</v>
      </c>
      <c r="BW101" s="61">
        <v>0</v>
      </c>
      <c r="BX101" s="61">
        <v>0</v>
      </c>
      <c r="BY101" s="61">
        <v>0</v>
      </c>
      <c r="BZ101" s="61">
        <v>0</v>
      </c>
      <c r="CA101" s="61">
        <v>0</v>
      </c>
      <c r="CB101" s="61">
        <v>0</v>
      </c>
      <c r="CC101" s="61">
        <v>0</v>
      </c>
      <c r="CD101" s="61">
        <v>0</v>
      </c>
      <c r="CE101" s="61">
        <v>0</v>
      </c>
      <c r="CF101" s="61">
        <v>0</v>
      </c>
      <c r="CG101" s="61">
        <v>0</v>
      </c>
      <c r="CH101" s="61">
        <v>0</v>
      </c>
      <c r="CI101" s="61">
        <v>0</v>
      </c>
      <c r="CJ101" s="61">
        <v>0</v>
      </c>
      <c r="CK101" s="61">
        <v>0</v>
      </c>
      <c r="CL101" s="61">
        <v>0</v>
      </c>
      <c r="CM101" s="61">
        <v>0</v>
      </c>
      <c r="CN101" s="61">
        <v>0</v>
      </c>
      <c r="CO101" s="61">
        <v>0</v>
      </c>
      <c r="CP101" s="61">
        <v>0</v>
      </c>
      <c r="CQ101" s="61">
        <v>0</v>
      </c>
      <c r="CR101" s="61">
        <v>0</v>
      </c>
      <c r="CS101" s="61">
        <v>0</v>
      </c>
      <c r="CT101" s="61">
        <v>0</v>
      </c>
      <c r="CU101" s="61">
        <v>0</v>
      </c>
      <c r="CV101" s="61">
        <v>0</v>
      </c>
      <c r="CW101" s="61">
        <v>0</v>
      </c>
      <c r="CX101" s="61">
        <v>0</v>
      </c>
      <c r="CY101" s="61">
        <v>0</v>
      </c>
      <c r="CZ101" s="61">
        <v>0</v>
      </c>
      <c r="DA101" s="61">
        <v>0</v>
      </c>
      <c r="DB101" s="61">
        <v>0</v>
      </c>
      <c r="DC101" s="61">
        <v>0</v>
      </c>
      <c r="DD101" s="61">
        <v>0</v>
      </c>
      <c r="DE101" s="61">
        <v>0</v>
      </c>
      <c r="DF101" s="61">
        <v>0</v>
      </c>
      <c r="DG101" s="61">
        <v>0</v>
      </c>
      <c r="DH101" s="61">
        <v>0</v>
      </c>
      <c r="DI101" s="61">
        <v>0</v>
      </c>
      <c r="DJ101" s="61">
        <v>0</v>
      </c>
      <c r="DK101" s="61">
        <v>0</v>
      </c>
      <c r="DL101" s="61">
        <v>0</v>
      </c>
      <c r="DM101" s="61">
        <v>0</v>
      </c>
      <c r="DN101" s="61">
        <v>0</v>
      </c>
      <c r="DO101" s="61">
        <v>0</v>
      </c>
      <c r="DP101" s="61">
        <v>0</v>
      </c>
      <c r="DQ101" s="61">
        <v>0</v>
      </c>
      <c r="DR101" s="61">
        <v>0</v>
      </c>
      <c r="DS101" s="61">
        <v>0</v>
      </c>
      <c r="DT101" s="61">
        <v>0</v>
      </c>
      <c r="DU101" s="61">
        <v>0</v>
      </c>
      <c r="DV101" s="61">
        <v>0</v>
      </c>
      <c r="DW101" s="61">
        <v>0</v>
      </c>
      <c r="DX101" s="61">
        <v>0</v>
      </c>
      <c r="DY101" s="61">
        <v>0</v>
      </c>
      <c r="DZ101" s="61">
        <v>0</v>
      </c>
      <c r="EA101" s="61">
        <v>0</v>
      </c>
      <c r="EB101" s="61">
        <v>0</v>
      </c>
      <c r="EC101" s="61">
        <v>0</v>
      </c>
      <c r="ED101" s="61">
        <v>0</v>
      </c>
      <c r="EE101" s="61">
        <v>0</v>
      </c>
      <c r="EF101" s="61">
        <v>0</v>
      </c>
      <c r="EG101" s="61">
        <v>0</v>
      </c>
      <c r="EH101" s="61">
        <v>0</v>
      </c>
      <c r="EI101" s="61">
        <v>0</v>
      </c>
      <c r="EJ101" s="61">
        <v>0</v>
      </c>
      <c r="EK101" s="61">
        <v>0</v>
      </c>
      <c r="EL101" s="61">
        <v>0</v>
      </c>
      <c r="EM101" s="61">
        <v>0</v>
      </c>
      <c r="EN101" s="61">
        <v>0</v>
      </c>
      <c r="EO101" s="61">
        <v>0</v>
      </c>
      <c r="EP101" s="61">
        <v>0</v>
      </c>
      <c r="EQ101" s="61">
        <v>0</v>
      </c>
      <c r="ER101" s="61">
        <v>0</v>
      </c>
      <c r="ES101" s="61">
        <v>0</v>
      </c>
      <c r="ET101" s="61">
        <v>0</v>
      </c>
      <c r="EU101" s="61">
        <v>0</v>
      </c>
      <c r="EV101" s="61">
        <v>0</v>
      </c>
      <c r="EW101" s="61">
        <v>0</v>
      </c>
      <c r="EX101" s="61">
        <v>0</v>
      </c>
      <c r="EY101" s="61">
        <v>0</v>
      </c>
      <c r="EZ101" s="61">
        <v>0</v>
      </c>
      <c r="FA101" s="61">
        <v>0</v>
      </c>
      <c r="FB101" s="61">
        <v>0</v>
      </c>
      <c r="FC101" s="61">
        <v>0</v>
      </c>
      <c r="FD101" s="61">
        <v>0</v>
      </c>
      <c r="FE101" s="61">
        <v>0</v>
      </c>
      <c r="FF101" s="61">
        <v>0</v>
      </c>
      <c r="FG101" s="61">
        <v>0</v>
      </c>
      <c r="FH101" s="61">
        <v>0</v>
      </c>
      <c r="FI101" s="65">
        <v>0</v>
      </c>
      <c r="FJ101" s="61">
        <v>0</v>
      </c>
      <c r="FK101" s="61">
        <v>0</v>
      </c>
      <c r="FL101" s="61">
        <v>0</v>
      </c>
      <c r="FM101" s="61">
        <v>0</v>
      </c>
      <c r="FN101" s="61">
        <v>0</v>
      </c>
      <c r="FO101" s="61">
        <v>0</v>
      </c>
      <c r="FP101" s="61">
        <v>0</v>
      </c>
      <c r="FQ101" s="61">
        <v>0</v>
      </c>
      <c r="FR101" s="61">
        <v>0</v>
      </c>
      <c r="FS101" s="61">
        <v>0</v>
      </c>
      <c r="FT101" s="61">
        <v>0</v>
      </c>
      <c r="FU101" s="61">
        <v>0</v>
      </c>
      <c r="FV101" s="61">
        <v>0</v>
      </c>
      <c r="FW101" s="61">
        <v>0</v>
      </c>
      <c r="FX101" s="61">
        <v>0</v>
      </c>
      <c r="FY101" s="61">
        <v>0</v>
      </c>
      <c r="FZ101" s="61">
        <v>0</v>
      </c>
      <c r="GA101" s="66">
        <v>1</v>
      </c>
      <c r="GB101" s="66">
        <v>1</v>
      </c>
      <c r="GC101" s="66">
        <v>1</v>
      </c>
      <c r="GD101" s="66">
        <v>1</v>
      </c>
      <c r="GE101" s="66">
        <v>1</v>
      </c>
      <c r="GF101" s="66">
        <v>1</v>
      </c>
      <c r="GG101" s="66">
        <v>1</v>
      </c>
      <c r="GH101" s="66">
        <v>1</v>
      </c>
      <c r="GI101" s="66">
        <v>1</v>
      </c>
      <c r="GJ101" s="66">
        <v>1</v>
      </c>
      <c r="GK101" s="66">
        <v>1</v>
      </c>
      <c r="GL101" s="66">
        <v>1</v>
      </c>
      <c r="GM101" s="66">
        <v>1</v>
      </c>
      <c r="GN101" s="66">
        <v>1</v>
      </c>
      <c r="GO101" s="63">
        <v>0</v>
      </c>
      <c r="GP101" s="63">
        <v>0</v>
      </c>
      <c r="GQ101" s="63">
        <v>0</v>
      </c>
      <c r="GR101" s="63">
        <v>0</v>
      </c>
      <c r="GS101" s="63">
        <v>0</v>
      </c>
      <c r="GT101" s="63">
        <v>0</v>
      </c>
      <c r="GU101" s="63">
        <v>0</v>
      </c>
      <c r="GV101" s="63">
        <v>0</v>
      </c>
      <c r="GW101" s="63">
        <v>0</v>
      </c>
      <c r="GX101" s="63">
        <v>0</v>
      </c>
      <c r="GY101" s="63">
        <v>0</v>
      </c>
      <c r="GZ101" s="63">
        <v>0</v>
      </c>
      <c r="HA101" s="63">
        <v>0</v>
      </c>
      <c r="HB101" s="61">
        <v>0</v>
      </c>
      <c r="HC101" s="61">
        <v>0</v>
      </c>
      <c r="HD101" s="61">
        <v>0</v>
      </c>
      <c r="HE101" s="61">
        <v>0</v>
      </c>
      <c r="HF101" s="61">
        <v>0</v>
      </c>
      <c r="HG101" s="61">
        <v>0</v>
      </c>
      <c r="HH101" s="61"/>
      <c r="HI101" s="61"/>
      <c r="HJ101" s="63">
        <v>1962</v>
      </c>
      <c r="HK101" s="63">
        <f>SUM(FI$4:HI$4)</f>
        <v>53</v>
      </c>
      <c r="HL101" s="61">
        <f>SUM(FI101:HI101)</f>
        <v>14</v>
      </c>
      <c r="HM101" s="67">
        <f t="shared" si="7"/>
        <v>26.415094339622641</v>
      </c>
      <c r="HN101" s="67"/>
      <c r="HO101" s="68"/>
      <c r="HP101" s="68"/>
    </row>
    <row r="102" spans="1:237" x14ac:dyDescent="0.3">
      <c r="A102" s="61" t="s">
        <v>7245</v>
      </c>
      <c r="B102" s="63" t="s">
        <v>7341</v>
      </c>
      <c r="C102" s="61">
        <v>0</v>
      </c>
      <c r="D102" s="61">
        <v>0</v>
      </c>
      <c r="E102" s="61">
        <v>0</v>
      </c>
      <c r="F102" s="61">
        <v>0</v>
      </c>
      <c r="G102" s="61">
        <v>0</v>
      </c>
      <c r="H102" s="61">
        <v>0</v>
      </c>
      <c r="I102" s="61">
        <v>0</v>
      </c>
      <c r="J102" s="61">
        <v>0</v>
      </c>
      <c r="K102" s="61">
        <v>0</v>
      </c>
      <c r="L102" s="61">
        <v>0</v>
      </c>
      <c r="M102" s="61">
        <v>0</v>
      </c>
      <c r="N102" s="61">
        <v>0</v>
      </c>
      <c r="O102" s="61">
        <v>0</v>
      </c>
      <c r="P102" s="61">
        <v>0</v>
      </c>
      <c r="Q102" s="61">
        <v>0</v>
      </c>
      <c r="R102" s="61">
        <v>0</v>
      </c>
      <c r="S102" s="61">
        <v>0</v>
      </c>
      <c r="T102" s="61">
        <v>0</v>
      </c>
      <c r="U102" s="61">
        <v>0</v>
      </c>
      <c r="V102" s="61">
        <v>0</v>
      </c>
      <c r="W102" s="61">
        <v>0</v>
      </c>
      <c r="X102" s="61">
        <v>0</v>
      </c>
      <c r="Y102" s="61">
        <v>0</v>
      </c>
      <c r="Z102" s="61">
        <v>0</v>
      </c>
      <c r="AA102" s="61">
        <v>0</v>
      </c>
      <c r="AB102" s="61">
        <v>0</v>
      </c>
      <c r="AC102" s="61">
        <v>0</v>
      </c>
      <c r="AD102" s="61">
        <v>0</v>
      </c>
      <c r="AE102" s="61">
        <v>0</v>
      </c>
      <c r="AF102" s="61">
        <v>0</v>
      </c>
      <c r="AG102" s="61">
        <v>0</v>
      </c>
      <c r="AH102" s="61">
        <v>0</v>
      </c>
      <c r="AI102" s="61">
        <v>0</v>
      </c>
      <c r="AJ102" s="61">
        <v>0</v>
      </c>
      <c r="AK102" s="61">
        <v>0</v>
      </c>
      <c r="AL102" s="61">
        <v>0</v>
      </c>
      <c r="AM102" s="61">
        <v>0</v>
      </c>
      <c r="AN102" s="61">
        <v>0</v>
      </c>
      <c r="AO102" s="61">
        <v>0</v>
      </c>
      <c r="AP102" s="61">
        <v>0</v>
      </c>
      <c r="AQ102" s="61">
        <v>0</v>
      </c>
      <c r="AR102" s="61">
        <v>0</v>
      </c>
      <c r="AS102" s="61">
        <v>0</v>
      </c>
      <c r="AT102" s="61">
        <v>0</v>
      </c>
      <c r="AU102" s="61">
        <v>0</v>
      </c>
      <c r="AV102" s="61">
        <v>0</v>
      </c>
      <c r="AW102" s="61">
        <v>0</v>
      </c>
      <c r="AX102" s="61">
        <v>0</v>
      </c>
      <c r="AY102" s="61">
        <v>0</v>
      </c>
      <c r="AZ102" s="61">
        <v>0</v>
      </c>
      <c r="BA102" s="61">
        <v>0</v>
      </c>
      <c r="BB102" s="61">
        <v>0</v>
      </c>
      <c r="BC102" s="61">
        <v>0</v>
      </c>
      <c r="BD102" s="61">
        <v>0</v>
      </c>
      <c r="BE102" s="61">
        <v>0</v>
      </c>
      <c r="BF102" s="61">
        <v>0</v>
      </c>
      <c r="BG102" s="61">
        <v>0</v>
      </c>
      <c r="BH102" s="61">
        <v>0</v>
      </c>
      <c r="BI102" s="61">
        <v>0</v>
      </c>
      <c r="BJ102" s="61">
        <v>0</v>
      </c>
      <c r="BK102" s="61">
        <v>0</v>
      </c>
      <c r="BL102" s="61">
        <v>0</v>
      </c>
      <c r="BM102" s="61">
        <v>0</v>
      </c>
      <c r="BN102" s="61">
        <v>0</v>
      </c>
      <c r="BO102" s="61">
        <v>0</v>
      </c>
      <c r="BP102" s="61">
        <v>0</v>
      </c>
      <c r="BQ102" s="61">
        <v>0</v>
      </c>
      <c r="BR102" s="61">
        <v>0</v>
      </c>
      <c r="BS102" s="61">
        <v>0</v>
      </c>
      <c r="BT102" s="61">
        <v>0</v>
      </c>
      <c r="BU102" s="61">
        <v>0</v>
      </c>
      <c r="BV102" s="61">
        <v>0</v>
      </c>
      <c r="BW102" s="61">
        <v>0</v>
      </c>
      <c r="BX102" s="61">
        <v>0</v>
      </c>
      <c r="BY102" s="61">
        <v>0</v>
      </c>
      <c r="BZ102" s="61">
        <v>0</v>
      </c>
      <c r="CA102" s="61">
        <v>0</v>
      </c>
      <c r="CB102" s="61">
        <v>0</v>
      </c>
      <c r="CC102" s="61">
        <v>0</v>
      </c>
      <c r="CD102" s="61">
        <v>0</v>
      </c>
      <c r="CE102" s="61">
        <v>0</v>
      </c>
      <c r="CF102" s="61">
        <v>0</v>
      </c>
      <c r="CG102" s="61">
        <v>0</v>
      </c>
      <c r="CH102" s="61">
        <v>0</v>
      </c>
      <c r="CI102" s="61">
        <v>0</v>
      </c>
      <c r="CJ102" s="61">
        <v>0</v>
      </c>
      <c r="CK102" s="61">
        <v>0</v>
      </c>
      <c r="CL102" s="61">
        <v>0</v>
      </c>
      <c r="CM102" s="61">
        <v>0</v>
      </c>
      <c r="CN102" s="61">
        <v>0</v>
      </c>
      <c r="CO102" s="61">
        <v>0</v>
      </c>
      <c r="CP102" s="61">
        <v>0</v>
      </c>
      <c r="CQ102" s="61">
        <v>0</v>
      </c>
      <c r="CR102" s="61">
        <v>0</v>
      </c>
      <c r="CS102" s="61">
        <v>0</v>
      </c>
      <c r="CT102" s="61">
        <v>0</v>
      </c>
      <c r="CU102" s="61">
        <v>0</v>
      </c>
      <c r="CV102" s="61">
        <v>0</v>
      </c>
      <c r="CW102" s="61">
        <v>0</v>
      </c>
      <c r="CX102" s="61">
        <v>0</v>
      </c>
      <c r="CY102" s="61">
        <v>0</v>
      </c>
      <c r="CZ102" s="61">
        <v>0</v>
      </c>
      <c r="DA102" s="61">
        <v>0</v>
      </c>
      <c r="DB102" s="61">
        <v>0</v>
      </c>
      <c r="DC102" s="61">
        <v>0</v>
      </c>
      <c r="DD102" s="61">
        <v>0</v>
      </c>
      <c r="DE102" s="61">
        <v>0</v>
      </c>
      <c r="DF102" s="61">
        <v>0</v>
      </c>
      <c r="DG102" s="61">
        <v>0</v>
      </c>
      <c r="DH102" s="61">
        <v>0</v>
      </c>
      <c r="DI102" s="61">
        <v>0</v>
      </c>
      <c r="DJ102" s="61">
        <v>0</v>
      </c>
      <c r="DK102" s="61">
        <v>0</v>
      </c>
      <c r="DL102" s="61">
        <v>0</v>
      </c>
      <c r="DM102" s="61">
        <v>0</v>
      </c>
      <c r="DN102" s="61">
        <v>0</v>
      </c>
      <c r="DO102" s="61">
        <v>0</v>
      </c>
      <c r="DP102" s="61">
        <v>0</v>
      </c>
      <c r="DQ102" s="61">
        <v>0</v>
      </c>
      <c r="DR102" s="61">
        <v>0</v>
      </c>
      <c r="DS102" s="61">
        <v>0</v>
      </c>
      <c r="DT102" s="61">
        <v>0</v>
      </c>
      <c r="DU102" s="61">
        <v>0</v>
      </c>
      <c r="DV102" s="61">
        <v>0</v>
      </c>
      <c r="DW102" s="61">
        <v>0</v>
      </c>
      <c r="DX102" s="61">
        <v>0</v>
      </c>
      <c r="DY102" s="61">
        <v>0</v>
      </c>
      <c r="DZ102" s="61">
        <v>0</v>
      </c>
      <c r="EA102" s="61">
        <v>0</v>
      </c>
      <c r="EB102" s="61">
        <v>0</v>
      </c>
      <c r="EC102" s="61">
        <v>0</v>
      </c>
      <c r="ED102" s="61">
        <v>0</v>
      </c>
      <c r="EE102" s="61">
        <v>0</v>
      </c>
      <c r="EF102" s="61">
        <v>0</v>
      </c>
      <c r="EG102" s="61">
        <v>0</v>
      </c>
      <c r="EH102" s="61">
        <v>0</v>
      </c>
      <c r="EI102" s="61">
        <v>0</v>
      </c>
      <c r="EJ102" s="61">
        <v>0</v>
      </c>
      <c r="EK102" s="61">
        <v>0</v>
      </c>
      <c r="EL102" s="61">
        <v>0</v>
      </c>
      <c r="EM102" s="61">
        <v>0</v>
      </c>
      <c r="EN102" s="61">
        <v>0</v>
      </c>
      <c r="EO102" s="61">
        <v>0</v>
      </c>
      <c r="EP102" s="61">
        <v>0</v>
      </c>
      <c r="EQ102" s="61">
        <v>0</v>
      </c>
      <c r="ER102" s="61">
        <v>0</v>
      </c>
      <c r="ES102" s="61">
        <v>0</v>
      </c>
      <c r="ET102" s="61">
        <v>0</v>
      </c>
      <c r="EU102" s="61">
        <v>0</v>
      </c>
      <c r="EV102" s="61">
        <v>0</v>
      </c>
      <c r="EW102" s="61">
        <v>0</v>
      </c>
      <c r="EX102" s="61">
        <v>0</v>
      </c>
      <c r="EY102" s="61">
        <v>0</v>
      </c>
      <c r="EZ102" s="61">
        <v>0</v>
      </c>
      <c r="FA102" s="61">
        <v>0</v>
      </c>
      <c r="FB102" s="61">
        <v>0</v>
      </c>
      <c r="FC102" s="61">
        <v>0</v>
      </c>
      <c r="FD102" s="61">
        <v>0</v>
      </c>
      <c r="FE102" s="61">
        <v>0</v>
      </c>
      <c r="FF102" s="61">
        <v>0</v>
      </c>
      <c r="FG102" s="61">
        <v>0</v>
      </c>
      <c r="FH102" s="61">
        <v>0</v>
      </c>
      <c r="FI102" s="61">
        <v>0</v>
      </c>
      <c r="FJ102" s="61">
        <v>0</v>
      </c>
      <c r="FK102" s="61">
        <v>0</v>
      </c>
      <c r="FL102" s="61">
        <v>0</v>
      </c>
      <c r="FM102" s="61">
        <v>0</v>
      </c>
      <c r="FN102" s="61">
        <v>0</v>
      </c>
      <c r="FO102" s="63">
        <v>0</v>
      </c>
      <c r="FP102" s="61">
        <v>0</v>
      </c>
      <c r="FQ102" s="61">
        <v>0</v>
      </c>
      <c r="FR102" s="65">
        <v>0</v>
      </c>
      <c r="FS102" s="61">
        <v>0</v>
      </c>
      <c r="FT102" s="61">
        <v>0</v>
      </c>
      <c r="FU102" s="66">
        <v>1</v>
      </c>
      <c r="FV102" s="61">
        <v>0</v>
      </c>
      <c r="FW102" s="61">
        <v>0</v>
      </c>
      <c r="FX102" s="61">
        <v>0</v>
      </c>
      <c r="FY102" s="61">
        <v>0</v>
      </c>
      <c r="FZ102" s="63">
        <v>0</v>
      </c>
      <c r="GA102" s="63">
        <v>0</v>
      </c>
      <c r="GB102" s="63">
        <v>0</v>
      </c>
      <c r="GC102" s="63">
        <v>0</v>
      </c>
      <c r="GD102" s="63">
        <v>0</v>
      </c>
      <c r="GE102" s="63">
        <v>0</v>
      </c>
      <c r="GF102" s="63">
        <v>0</v>
      </c>
      <c r="GG102" s="63">
        <v>0</v>
      </c>
      <c r="GH102" s="63">
        <v>0</v>
      </c>
      <c r="GI102" s="63">
        <v>0</v>
      </c>
      <c r="GJ102" s="63">
        <v>0</v>
      </c>
      <c r="GK102" s="63">
        <v>0</v>
      </c>
      <c r="GL102" s="63">
        <v>0</v>
      </c>
      <c r="GM102" s="63">
        <v>0</v>
      </c>
      <c r="GN102" s="63">
        <v>0</v>
      </c>
      <c r="GO102" s="63">
        <v>0</v>
      </c>
      <c r="GP102" s="63">
        <v>0</v>
      </c>
      <c r="GQ102" s="63">
        <v>0</v>
      </c>
      <c r="GR102" s="63">
        <v>0</v>
      </c>
      <c r="GS102" s="63">
        <v>0</v>
      </c>
      <c r="GT102" s="63">
        <v>0</v>
      </c>
      <c r="GU102" s="63">
        <v>0</v>
      </c>
      <c r="GV102" s="63">
        <v>0</v>
      </c>
      <c r="GW102" s="63">
        <v>0</v>
      </c>
      <c r="GX102" s="63">
        <v>0</v>
      </c>
      <c r="GY102" s="63">
        <v>0</v>
      </c>
      <c r="GZ102" s="63">
        <v>0</v>
      </c>
      <c r="HA102" s="63">
        <v>0</v>
      </c>
      <c r="HB102" s="61">
        <v>0</v>
      </c>
      <c r="HC102" s="61">
        <v>0</v>
      </c>
      <c r="HD102" s="61">
        <v>0</v>
      </c>
      <c r="HE102" s="61">
        <v>0</v>
      </c>
      <c r="HF102" s="61">
        <v>0</v>
      </c>
      <c r="HG102" s="61">
        <v>0</v>
      </c>
      <c r="HH102" s="61"/>
      <c r="HI102" s="61"/>
      <c r="HJ102" s="63">
        <v>1971</v>
      </c>
      <c r="HK102" s="63">
        <f>SUM(FR$4:HI$4)</f>
        <v>44</v>
      </c>
      <c r="HL102" s="61">
        <f>SUM(FR102:HI102)</f>
        <v>1</v>
      </c>
      <c r="HM102" s="67">
        <f t="shared" si="7"/>
        <v>2.2727272727272729</v>
      </c>
      <c r="HN102" s="67"/>
      <c r="HO102" s="68"/>
      <c r="HP102" s="68"/>
    </row>
    <row r="103" spans="1:237" x14ac:dyDescent="0.3">
      <c r="B103" s="60" t="s">
        <v>7342</v>
      </c>
      <c r="C103" s="61">
        <v>0</v>
      </c>
      <c r="D103" s="61">
        <v>0</v>
      </c>
      <c r="E103" s="61">
        <v>0</v>
      </c>
      <c r="F103" s="61">
        <v>0</v>
      </c>
      <c r="G103" s="61">
        <v>0</v>
      </c>
      <c r="H103" s="61">
        <v>0</v>
      </c>
      <c r="I103" s="61">
        <v>0</v>
      </c>
      <c r="J103" s="61">
        <v>0</v>
      </c>
      <c r="K103" s="61">
        <v>0</v>
      </c>
      <c r="L103" s="61">
        <v>0</v>
      </c>
      <c r="M103" s="61">
        <v>0</v>
      </c>
      <c r="N103" s="61">
        <v>0</v>
      </c>
      <c r="O103" s="61">
        <v>0</v>
      </c>
      <c r="P103" s="61">
        <v>0</v>
      </c>
      <c r="Q103" s="61">
        <v>0</v>
      </c>
      <c r="R103" s="61">
        <v>0</v>
      </c>
      <c r="S103" s="61">
        <v>0</v>
      </c>
      <c r="T103" s="61">
        <v>0</v>
      </c>
      <c r="U103" s="61">
        <v>0</v>
      </c>
      <c r="V103" s="61">
        <v>0</v>
      </c>
      <c r="W103" s="61">
        <v>0</v>
      </c>
      <c r="X103" s="61">
        <v>0</v>
      </c>
      <c r="Y103" s="61">
        <v>0</v>
      </c>
      <c r="Z103" s="61">
        <v>0</v>
      </c>
      <c r="AA103" s="61">
        <v>0</v>
      </c>
      <c r="AB103" s="61">
        <v>0</v>
      </c>
      <c r="AC103" s="61">
        <v>0</v>
      </c>
      <c r="AD103" s="61">
        <v>0</v>
      </c>
      <c r="AE103" s="61">
        <v>0</v>
      </c>
      <c r="AF103" s="61">
        <v>0</v>
      </c>
      <c r="AG103" s="61">
        <v>0</v>
      </c>
      <c r="AH103" s="61">
        <v>0</v>
      </c>
      <c r="AI103" s="61">
        <v>0</v>
      </c>
      <c r="AJ103" s="61">
        <v>0</v>
      </c>
      <c r="AK103" s="61">
        <v>0</v>
      </c>
      <c r="AL103" s="61">
        <v>0</v>
      </c>
      <c r="AM103" s="61">
        <v>0</v>
      </c>
      <c r="AN103" s="61">
        <v>0</v>
      </c>
      <c r="AO103" s="61">
        <v>0</v>
      </c>
      <c r="AP103" s="61">
        <v>0</v>
      </c>
      <c r="AQ103" s="61">
        <v>0</v>
      </c>
      <c r="AR103" s="61">
        <v>0</v>
      </c>
      <c r="AS103" s="61">
        <v>0</v>
      </c>
      <c r="AT103" s="61">
        <v>0</v>
      </c>
      <c r="AU103" s="61">
        <v>0</v>
      </c>
      <c r="AV103" s="61">
        <v>0</v>
      </c>
      <c r="AW103" s="61">
        <v>0</v>
      </c>
      <c r="AX103" s="61">
        <v>0</v>
      </c>
      <c r="AY103" s="61">
        <v>0</v>
      </c>
      <c r="AZ103" s="61">
        <v>0</v>
      </c>
      <c r="BA103" s="61">
        <v>0</v>
      </c>
      <c r="BB103" s="61">
        <v>0</v>
      </c>
      <c r="BC103" s="61">
        <v>0</v>
      </c>
      <c r="BD103" s="61">
        <v>0</v>
      </c>
      <c r="BE103" s="61">
        <v>0</v>
      </c>
      <c r="BF103" s="61">
        <v>0</v>
      </c>
      <c r="BG103" s="61">
        <v>0</v>
      </c>
      <c r="BH103" s="61">
        <v>0</v>
      </c>
      <c r="BI103" s="61">
        <v>0</v>
      </c>
      <c r="BJ103" s="61">
        <v>0</v>
      </c>
      <c r="BK103" s="61">
        <v>0</v>
      </c>
      <c r="BL103" s="61">
        <v>0</v>
      </c>
      <c r="BM103" s="61">
        <v>0</v>
      </c>
      <c r="BN103" s="61">
        <v>0</v>
      </c>
      <c r="BO103" s="61">
        <v>0</v>
      </c>
      <c r="BP103" s="61">
        <v>0</v>
      </c>
      <c r="BQ103" s="61">
        <v>0</v>
      </c>
      <c r="BR103" s="61">
        <v>0</v>
      </c>
      <c r="BS103" s="61">
        <v>0</v>
      </c>
      <c r="BT103" s="61">
        <v>0</v>
      </c>
      <c r="BU103" s="61">
        <v>0</v>
      </c>
      <c r="BV103" s="61">
        <v>0</v>
      </c>
      <c r="BW103" s="61">
        <v>0</v>
      </c>
      <c r="BX103" s="61">
        <v>0</v>
      </c>
      <c r="BY103" s="61">
        <v>0</v>
      </c>
      <c r="BZ103" s="61">
        <v>0</v>
      </c>
      <c r="CA103" s="61">
        <v>0</v>
      </c>
      <c r="CB103" s="61">
        <v>0</v>
      </c>
      <c r="CC103" s="61">
        <v>0</v>
      </c>
      <c r="CD103" s="61">
        <v>0</v>
      </c>
      <c r="CE103" s="61">
        <v>0</v>
      </c>
      <c r="CF103" s="61">
        <v>0</v>
      </c>
      <c r="CG103" s="61">
        <v>0</v>
      </c>
      <c r="CH103" s="61">
        <v>0</v>
      </c>
      <c r="CI103" s="61">
        <v>0</v>
      </c>
      <c r="CJ103" s="61">
        <v>0</v>
      </c>
      <c r="CK103" s="61">
        <v>0</v>
      </c>
      <c r="CL103" s="61">
        <v>0</v>
      </c>
      <c r="CM103" s="61">
        <v>0</v>
      </c>
      <c r="CN103" s="61">
        <v>0</v>
      </c>
      <c r="CO103" s="61">
        <v>0</v>
      </c>
      <c r="CP103" s="61">
        <v>0</v>
      </c>
      <c r="CQ103" s="61">
        <v>0</v>
      </c>
      <c r="CR103" s="61">
        <v>0</v>
      </c>
      <c r="CS103" s="61">
        <v>0</v>
      </c>
      <c r="CT103" s="61">
        <v>0</v>
      </c>
      <c r="CU103" s="61">
        <v>0</v>
      </c>
      <c r="CV103" s="61">
        <v>0</v>
      </c>
      <c r="CW103" s="61">
        <v>0</v>
      </c>
      <c r="CX103" s="61">
        <v>0</v>
      </c>
      <c r="CY103" s="61">
        <v>0</v>
      </c>
      <c r="CZ103" s="61">
        <v>0</v>
      </c>
      <c r="DA103" s="61">
        <v>0</v>
      </c>
      <c r="DB103" s="61">
        <v>0</v>
      </c>
      <c r="DC103" s="61">
        <v>0</v>
      </c>
      <c r="DD103" s="61">
        <v>0</v>
      </c>
      <c r="DE103" s="61">
        <v>0</v>
      </c>
      <c r="DF103" s="61">
        <v>0</v>
      </c>
      <c r="DG103" s="61">
        <v>0</v>
      </c>
      <c r="DH103" s="61">
        <v>0</v>
      </c>
      <c r="DI103" s="61">
        <v>0</v>
      </c>
      <c r="DJ103" s="61">
        <v>0</v>
      </c>
      <c r="DK103" s="61">
        <v>0</v>
      </c>
      <c r="DL103" s="61">
        <v>0</v>
      </c>
      <c r="DM103" s="61">
        <v>0</v>
      </c>
      <c r="DN103" s="61">
        <v>0</v>
      </c>
      <c r="DO103" s="61">
        <v>0</v>
      </c>
      <c r="DP103" s="61">
        <v>0</v>
      </c>
      <c r="DQ103" s="61">
        <v>0</v>
      </c>
      <c r="DR103" s="61">
        <v>0</v>
      </c>
      <c r="DS103" s="61">
        <v>0</v>
      </c>
      <c r="DT103" s="61">
        <v>0</v>
      </c>
      <c r="DU103" s="61">
        <v>0</v>
      </c>
      <c r="DV103" s="61">
        <v>0</v>
      </c>
      <c r="DW103" s="61">
        <v>0</v>
      </c>
      <c r="DX103" s="61">
        <v>0</v>
      </c>
      <c r="DY103" s="61">
        <v>0</v>
      </c>
      <c r="DZ103" s="61">
        <v>0</v>
      </c>
      <c r="EA103" s="61">
        <v>0</v>
      </c>
      <c r="EB103" s="61">
        <v>0</v>
      </c>
      <c r="EC103" s="61">
        <v>0</v>
      </c>
      <c r="ED103" s="61">
        <v>0</v>
      </c>
      <c r="EE103" s="61">
        <v>0</v>
      </c>
      <c r="EF103" s="61">
        <v>0</v>
      </c>
      <c r="EG103" s="61">
        <v>0</v>
      </c>
      <c r="EH103" s="61">
        <v>0</v>
      </c>
      <c r="EI103" s="61">
        <v>0</v>
      </c>
      <c r="EJ103" s="61">
        <v>0</v>
      </c>
      <c r="EK103" s="61">
        <v>0</v>
      </c>
      <c r="EL103" s="61">
        <v>0</v>
      </c>
      <c r="EM103" s="61">
        <v>0</v>
      </c>
      <c r="EN103" s="61">
        <v>0</v>
      </c>
      <c r="EO103" s="61">
        <v>0</v>
      </c>
      <c r="EP103" s="61">
        <v>0</v>
      </c>
      <c r="EQ103" s="61">
        <v>0</v>
      </c>
      <c r="ER103" s="61">
        <v>0</v>
      </c>
      <c r="ES103" s="61">
        <v>0</v>
      </c>
      <c r="ET103" s="61">
        <v>0</v>
      </c>
      <c r="EU103" s="61">
        <v>0</v>
      </c>
      <c r="EV103" s="61">
        <v>0</v>
      </c>
      <c r="EW103" s="61">
        <v>0</v>
      </c>
      <c r="EX103" s="61">
        <v>0</v>
      </c>
      <c r="EY103" s="61">
        <v>0</v>
      </c>
      <c r="EZ103" s="61">
        <v>0</v>
      </c>
      <c r="FA103" s="61">
        <v>0</v>
      </c>
      <c r="FB103" s="61">
        <v>0</v>
      </c>
      <c r="FC103" s="61">
        <v>0</v>
      </c>
      <c r="FD103" s="61">
        <v>0</v>
      </c>
      <c r="FE103" s="61">
        <v>0</v>
      </c>
      <c r="FF103" s="61">
        <v>0</v>
      </c>
      <c r="FG103" s="61">
        <v>0</v>
      </c>
      <c r="FH103" s="61">
        <v>0</v>
      </c>
      <c r="FI103" s="61">
        <v>0</v>
      </c>
      <c r="FJ103" s="61">
        <v>0</v>
      </c>
      <c r="FK103" s="61">
        <v>0</v>
      </c>
      <c r="FL103" s="61">
        <v>0</v>
      </c>
      <c r="FM103" s="61">
        <v>0</v>
      </c>
      <c r="FN103" s="61">
        <v>0</v>
      </c>
      <c r="FO103" s="61">
        <v>0</v>
      </c>
      <c r="FP103" s="61">
        <v>0</v>
      </c>
      <c r="FQ103" s="61">
        <v>0</v>
      </c>
      <c r="FR103" s="61">
        <v>0</v>
      </c>
      <c r="FS103" s="61">
        <v>0</v>
      </c>
      <c r="FT103" s="61">
        <v>0</v>
      </c>
      <c r="FU103" s="61">
        <v>0</v>
      </c>
      <c r="FV103" s="61">
        <v>0</v>
      </c>
      <c r="FW103" s="61">
        <v>0</v>
      </c>
      <c r="FX103" s="61">
        <v>0</v>
      </c>
      <c r="FY103" s="61">
        <v>0</v>
      </c>
      <c r="FZ103" s="61">
        <v>0</v>
      </c>
      <c r="GA103" s="61">
        <v>0</v>
      </c>
      <c r="GB103" s="61">
        <v>0</v>
      </c>
      <c r="GC103" s="61">
        <v>0</v>
      </c>
      <c r="GD103" s="61">
        <v>0</v>
      </c>
      <c r="GE103" s="61">
        <v>0</v>
      </c>
      <c r="GF103" s="61">
        <v>0</v>
      </c>
      <c r="GG103" s="61">
        <v>0</v>
      </c>
      <c r="GH103" s="61">
        <v>0</v>
      </c>
      <c r="GI103" s="61">
        <v>0</v>
      </c>
      <c r="GJ103" s="61">
        <v>0</v>
      </c>
      <c r="GK103" s="61">
        <v>0</v>
      </c>
      <c r="GL103" s="61">
        <v>0</v>
      </c>
      <c r="GM103" s="61">
        <v>0</v>
      </c>
      <c r="GN103" s="61">
        <v>0</v>
      </c>
      <c r="GO103" s="61">
        <v>0</v>
      </c>
      <c r="GP103" s="61">
        <v>0</v>
      </c>
      <c r="GQ103" s="61">
        <v>0</v>
      </c>
      <c r="GR103" s="61">
        <v>0</v>
      </c>
      <c r="GS103" s="61">
        <v>0</v>
      </c>
      <c r="GT103" s="61">
        <v>0</v>
      </c>
      <c r="GU103" s="61">
        <v>0</v>
      </c>
      <c r="GV103" s="61">
        <v>0</v>
      </c>
      <c r="GW103" s="61">
        <v>0</v>
      </c>
      <c r="GX103" s="61">
        <v>0</v>
      </c>
      <c r="GY103" s="61">
        <v>0</v>
      </c>
      <c r="GZ103" s="61">
        <v>0</v>
      </c>
      <c r="HA103" s="61">
        <v>0</v>
      </c>
      <c r="HB103" s="61">
        <v>0</v>
      </c>
      <c r="HC103" s="61">
        <v>0</v>
      </c>
      <c r="HD103" s="61">
        <v>0</v>
      </c>
      <c r="HE103" s="61">
        <v>0</v>
      </c>
      <c r="HF103" s="61">
        <v>0</v>
      </c>
      <c r="HG103" s="61">
        <v>0</v>
      </c>
      <c r="HH103" s="61"/>
      <c r="HI103" s="61"/>
      <c r="HJ103" s="79">
        <v>1911</v>
      </c>
      <c r="HK103" s="79">
        <f>SUM(DJ$4:HI$4)</f>
        <v>104</v>
      </c>
      <c r="HL103" s="79">
        <f>SUM(DJ103:HI103)</f>
        <v>0</v>
      </c>
      <c r="HM103" s="80">
        <f t="shared" si="7"/>
        <v>0</v>
      </c>
      <c r="HN103" s="67"/>
      <c r="HO103" s="68"/>
      <c r="HP103" s="68"/>
    </row>
    <row r="104" spans="1:237" x14ac:dyDescent="0.3">
      <c r="A104" s="61" t="s">
        <v>7343</v>
      </c>
      <c r="B104" s="61" t="s">
        <v>7344</v>
      </c>
      <c r="C104" s="61">
        <v>0</v>
      </c>
      <c r="D104" s="61">
        <v>0</v>
      </c>
      <c r="E104" s="61">
        <v>0</v>
      </c>
      <c r="F104" s="61">
        <v>0</v>
      </c>
      <c r="G104" s="61">
        <v>0</v>
      </c>
      <c r="H104" s="61">
        <v>0</v>
      </c>
      <c r="I104" s="61">
        <v>0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>
        <v>0</v>
      </c>
      <c r="W104" s="61">
        <v>0</v>
      </c>
      <c r="X104" s="61">
        <v>0</v>
      </c>
      <c r="Y104" s="61">
        <v>0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61">
        <v>0</v>
      </c>
      <c r="AG104" s="61">
        <v>0</v>
      </c>
      <c r="AH104" s="61">
        <v>0</v>
      </c>
      <c r="AI104" s="61">
        <v>0</v>
      </c>
      <c r="AJ104" s="61">
        <v>0</v>
      </c>
      <c r="AK104" s="61">
        <v>0</v>
      </c>
      <c r="AL104" s="61">
        <v>0</v>
      </c>
      <c r="AM104" s="61">
        <v>0</v>
      </c>
      <c r="AN104" s="61">
        <v>0</v>
      </c>
      <c r="AO104" s="61">
        <v>0</v>
      </c>
      <c r="AP104" s="61">
        <v>0</v>
      </c>
      <c r="AQ104" s="61">
        <v>0</v>
      </c>
      <c r="AR104" s="61">
        <v>0</v>
      </c>
      <c r="AS104" s="61">
        <v>0</v>
      </c>
      <c r="AT104" s="61">
        <v>0</v>
      </c>
      <c r="AU104" s="61">
        <v>0</v>
      </c>
      <c r="AV104" s="61">
        <v>0</v>
      </c>
      <c r="AW104" s="61">
        <v>0</v>
      </c>
      <c r="AX104" s="61">
        <v>0</v>
      </c>
      <c r="AY104" s="61">
        <v>0</v>
      </c>
      <c r="AZ104" s="61">
        <v>0</v>
      </c>
      <c r="BA104" s="61">
        <v>0</v>
      </c>
      <c r="BB104" s="61">
        <v>0</v>
      </c>
      <c r="BC104" s="61">
        <v>0</v>
      </c>
      <c r="BD104" s="61">
        <v>0</v>
      </c>
      <c r="BE104" s="61">
        <v>0</v>
      </c>
      <c r="BF104" s="61">
        <v>0</v>
      </c>
      <c r="BG104" s="61">
        <v>0</v>
      </c>
      <c r="BH104" s="61">
        <v>0</v>
      </c>
      <c r="BI104" s="61">
        <v>0</v>
      </c>
      <c r="BJ104" s="61">
        <v>0</v>
      </c>
      <c r="BK104" s="61">
        <v>0</v>
      </c>
      <c r="BL104" s="61">
        <v>0</v>
      </c>
      <c r="BM104" s="61">
        <v>0</v>
      </c>
      <c r="BN104" s="61">
        <v>0</v>
      </c>
      <c r="BO104" s="61">
        <v>0</v>
      </c>
      <c r="BP104" s="61">
        <v>0</v>
      </c>
      <c r="BQ104" s="61">
        <v>0</v>
      </c>
      <c r="BR104" s="61">
        <v>0</v>
      </c>
      <c r="BS104" s="61">
        <v>0</v>
      </c>
      <c r="BT104" s="61">
        <v>0</v>
      </c>
      <c r="BU104" s="61">
        <v>0</v>
      </c>
      <c r="BV104" s="61">
        <v>0</v>
      </c>
      <c r="BW104" s="61">
        <v>0</v>
      </c>
      <c r="BX104" s="61">
        <v>0</v>
      </c>
      <c r="BY104" s="61">
        <v>0</v>
      </c>
      <c r="BZ104" s="61">
        <v>0</v>
      </c>
      <c r="CA104" s="61">
        <v>0</v>
      </c>
      <c r="CB104" s="61">
        <v>0</v>
      </c>
      <c r="CC104" s="61">
        <v>0</v>
      </c>
      <c r="CD104" s="61">
        <v>0</v>
      </c>
      <c r="CE104" s="61">
        <v>0</v>
      </c>
      <c r="CF104" s="61">
        <v>0</v>
      </c>
      <c r="CG104" s="61">
        <v>0</v>
      </c>
      <c r="CH104" s="61">
        <v>0</v>
      </c>
      <c r="CI104" s="61">
        <v>0</v>
      </c>
      <c r="CJ104" s="61">
        <v>0</v>
      </c>
      <c r="CK104" s="61">
        <v>0</v>
      </c>
      <c r="CL104" s="61">
        <v>0</v>
      </c>
      <c r="CM104" s="61">
        <v>0</v>
      </c>
      <c r="CN104" s="61">
        <v>0</v>
      </c>
      <c r="CO104" s="61">
        <v>0</v>
      </c>
      <c r="CP104" s="61">
        <v>0</v>
      </c>
      <c r="CQ104" s="61">
        <v>0</v>
      </c>
      <c r="CR104" s="61">
        <v>0</v>
      </c>
      <c r="CS104" s="61">
        <v>0</v>
      </c>
      <c r="CT104" s="61">
        <v>0</v>
      </c>
      <c r="CU104" s="61">
        <v>0</v>
      </c>
      <c r="CV104" s="61">
        <v>0</v>
      </c>
      <c r="CW104" s="61">
        <v>0</v>
      </c>
      <c r="CX104" s="61">
        <v>0</v>
      </c>
      <c r="CY104" s="61">
        <v>0</v>
      </c>
      <c r="CZ104" s="61">
        <v>0</v>
      </c>
      <c r="DA104" s="61">
        <v>0</v>
      </c>
      <c r="DB104" s="61">
        <v>0</v>
      </c>
      <c r="DC104" s="61">
        <v>0</v>
      </c>
      <c r="DD104" s="61">
        <v>0</v>
      </c>
      <c r="DE104" s="61">
        <v>0</v>
      </c>
      <c r="DF104" s="61">
        <v>0</v>
      </c>
      <c r="DG104" s="61">
        <v>0</v>
      </c>
      <c r="DH104" s="61">
        <v>0</v>
      </c>
      <c r="DI104" s="61">
        <v>0</v>
      </c>
      <c r="DJ104" s="61">
        <v>0</v>
      </c>
      <c r="DK104" s="61">
        <v>0</v>
      </c>
      <c r="DL104" s="61">
        <v>0</v>
      </c>
      <c r="DM104" s="61">
        <v>0</v>
      </c>
      <c r="DN104" s="61">
        <v>0</v>
      </c>
      <c r="DO104" s="61">
        <v>0</v>
      </c>
      <c r="DP104" s="61">
        <v>0</v>
      </c>
      <c r="DQ104" s="61">
        <v>0</v>
      </c>
      <c r="DR104" s="61">
        <v>0</v>
      </c>
      <c r="DS104" s="61">
        <v>0</v>
      </c>
      <c r="DT104" s="61">
        <v>0</v>
      </c>
      <c r="DU104" s="61">
        <v>0</v>
      </c>
      <c r="DV104" s="61">
        <v>0</v>
      </c>
      <c r="DW104" s="61">
        <v>0</v>
      </c>
      <c r="DX104" s="61">
        <v>0</v>
      </c>
      <c r="DY104" s="61">
        <v>0</v>
      </c>
      <c r="DZ104" s="61">
        <v>0</v>
      </c>
      <c r="EA104" s="61">
        <v>0</v>
      </c>
      <c r="EB104" s="61">
        <v>0</v>
      </c>
      <c r="EC104" s="61">
        <v>0</v>
      </c>
      <c r="ED104" s="61">
        <v>0</v>
      </c>
      <c r="EE104" s="61">
        <v>0</v>
      </c>
      <c r="EF104" s="61">
        <v>0</v>
      </c>
      <c r="EG104" s="61">
        <v>0</v>
      </c>
      <c r="EH104" s="61">
        <v>0</v>
      </c>
      <c r="EI104" s="61">
        <v>0</v>
      </c>
      <c r="EJ104" s="61">
        <v>0</v>
      </c>
      <c r="EK104" s="61">
        <v>0</v>
      </c>
      <c r="EL104" s="61">
        <v>0</v>
      </c>
      <c r="EM104" s="61">
        <v>0</v>
      </c>
      <c r="EN104" s="61">
        <v>0</v>
      </c>
      <c r="EO104" s="61">
        <v>0</v>
      </c>
      <c r="EP104" s="61">
        <v>0</v>
      </c>
      <c r="EQ104" s="61">
        <v>0</v>
      </c>
      <c r="ER104" s="61">
        <v>0</v>
      </c>
      <c r="ES104" s="61">
        <v>0</v>
      </c>
      <c r="ET104" s="61">
        <v>0</v>
      </c>
      <c r="EU104" s="61">
        <v>0</v>
      </c>
      <c r="EV104" s="61">
        <v>0</v>
      </c>
      <c r="EW104" s="61">
        <v>0</v>
      </c>
      <c r="EX104" s="61">
        <v>0</v>
      </c>
      <c r="EY104" s="61">
        <v>0</v>
      </c>
      <c r="EZ104" s="61">
        <v>0</v>
      </c>
      <c r="FA104" s="61">
        <v>0</v>
      </c>
      <c r="FB104" s="61">
        <v>0</v>
      </c>
      <c r="FC104" s="61">
        <v>0</v>
      </c>
      <c r="FD104" s="61">
        <v>0</v>
      </c>
      <c r="FE104" s="61">
        <v>0</v>
      </c>
      <c r="FF104" s="61">
        <v>0</v>
      </c>
      <c r="FG104" s="61">
        <v>0</v>
      </c>
      <c r="FH104" s="61">
        <v>0</v>
      </c>
      <c r="FI104" s="61">
        <v>0</v>
      </c>
      <c r="FJ104" s="61">
        <v>0</v>
      </c>
      <c r="FK104" s="61">
        <v>0</v>
      </c>
      <c r="FL104" s="61">
        <v>0</v>
      </c>
      <c r="FM104" s="61">
        <v>0</v>
      </c>
      <c r="FN104" s="61">
        <v>0</v>
      </c>
      <c r="FO104" s="61">
        <v>0</v>
      </c>
      <c r="FP104" s="61">
        <v>0</v>
      </c>
      <c r="FQ104" s="61">
        <v>0</v>
      </c>
      <c r="FR104" s="61">
        <v>0</v>
      </c>
      <c r="FS104" s="61">
        <v>0</v>
      </c>
      <c r="FT104" s="61">
        <v>0</v>
      </c>
      <c r="FU104" s="66">
        <v>1</v>
      </c>
      <c r="FV104" s="66">
        <v>1</v>
      </c>
      <c r="FW104" s="66">
        <v>1</v>
      </c>
      <c r="FX104" s="66">
        <v>1</v>
      </c>
      <c r="FY104" s="66">
        <v>1</v>
      </c>
      <c r="FZ104" s="66">
        <v>1</v>
      </c>
      <c r="GA104" s="66">
        <v>1</v>
      </c>
      <c r="GB104" s="66">
        <v>1</v>
      </c>
      <c r="GC104" s="66">
        <v>1</v>
      </c>
      <c r="GD104" s="66">
        <v>1</v>
      </c>
      <c r="GE104" s="66">
        <v>1</v>
      </c>
      <c r="GF104" s="66">
        <v>1</v>
      </c>
      <c r="GG104" s="66">
        <v>1</v>
      </c>
      <c r="GH104" s="66">
        <v>1</v>
      </c>
      <c r="GI104" s="66">
        <v>1</v>
      </c>
      <c r="GJ104" s="66">
        <v>1</v>
      </c>
      <c r="GK104" s="66">
        <v>1</v>
      </c>
      <c r="GL104" s="66">
        <v>1</v>
      </c>
      <c r="GM104" s="66">
        <v>1</v>
      </c>
      <c r="GN104" s="66">
        <v>1</v>
      </c>
      <c r="GO104" s="66">
        <v>1</v>
      </c>
      <c r="GP104" s="66">
        <v>1</v>
      </c>
      <c r="GQ104" s="66">
        <v>1</v>
      </c>
      <c r="GR104" s="66">
        <v>1</v>
      </c>
      <c r="GS104" s="66">
        <v>1</v>
      </c>
      <c r="GT104" s="66">
        <v>1</v>
      </c>
      <c r="GU104" s="66">
        <v>1</v>
      </c>
      <c r="GV104" s="66">
        <v>1</v>
      </c>
      <c r="GW104" s="66">
        <v>1</v>
      </c>
      <c r="GX104" s="66">
        <v>1</v>
      </c>
      <c r="GY104" s="66">
        <v>1</v>
      </c>
      <c r="GZ104" s="66">
        <v>1</v>
      </c>
      <c r="HA104" s="66">
        <v>1</v>
      </c>
      <c r="HB104" s="66">
        <v>1</v>
      </c>
      <c r="HC104" s="66">
        <v>1</v>
      </c>
      <c r="HD104" s="66">
        <v>1</v>
      </c>
      <c r="HE104" s="66">
        <v>1</v>
      </c>
      <c r="HF104" s="66">
        <v>1</v>
      </c>
      <c r="HG104" s="66">
        <v>1</v>
      </c>
      <c r="HH104" s="66"/>
      <c r="HI104" s="66"/>
      <c r="HJ104" s="63">
        <v>1948</v>
      </c>
      <c r="HK104" s="63">
        <f>SUM(EU$4:HI$4)</f>
        <v>67</v>
      </c>
      <c r="HL104" s="61">
        <f>SUM(EU104:HI104)</f>
        <v>39</v>
      </c>
      <c r="HM104" s="67">
        <f t="shared" si="7"/>
        <v>58.208955223880594</v>
      </c>
      <c r="HN104" s="67"/>
      <c r="HO104" s="68"/>
      <c r="HP104" s="68"/>
      <c r="HS104" s="61" t="s">
        <v>7231</v>
      </c>
    </row>
    <row r="105" spans="1:237" x14ac:dyDescent="0.3">
      <c r="B105" s="81" t="s">
        <v>7345</v>
      </c>
      <c r="C105" s="61">
        <v>0</v>
      </c>
      <c r="D105" s="61">
        <v>0</v>
      </c>
      <c r="E105" s="61">
        <v>0</v>
      </c>
      <c r="F105" s="61">
        <v>0</v>
      </c>
      <c r="G105" s="61">
        <v>0</v>
      </c>
      <c r="H105" s="61">
        <v>0</v>
      </c>
      <c r="I105" s="61">
        <v>0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>
        <v>0</v>
      </c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61">
        <v>0</v>
      </c>
      <c r="AG105" s="61">
        <v>0</v>
      </c>
      <c r="AH105" s="61">
        <v>0</v>
      </c>
      <c r="AI105" s="61">
        <v>0</v>
      </c>
      <c r="AJ105" s="61">
        <v>0</v>
      </c>
      <c r="AK105" s="61">
        <v>0</v>
      </c>
      <c r="AL105" s="61">
        <v>0</v>
      </c>
      <c r="AM105" s="61">
        <v>0</v>
      </c>
      <c r="AN105" s="61">
        <v>0</v>
      </c>
      <c r="AO105" s="61">
        <v>0</v>
      </c>
      <c r="AP105" s="61">
        <v>0</v>
      </c>
      <c r="AQ105" s="61">
        <v>0</v>
      </c>
      <c r="AR105" s="61">
        <v>0</v>
      </c>
      <c r="AS105" s="61">
        <v>0</v>
      </c>
      <c r="AT105" s="61">
        <v>0</v>
      </c>
      <c r="AU105" s="61">
        <v>0</v>
      </c>
      <c r="AV105" s="61">
        <v>0</v>
      </c>
      <c r="AW105" s="61">
        <v>0</v>
      </c>
      <c r="AX105" s="61">
        <v>0</v>
      </c>
      <c r="AY105" s="61">
        <v>0</v>
      </c>
      <c r="AZ105" s="61">
        <v>0</v>
      </c>
      <c r="BA105" s="61">
        <v>0</v>
      </c>
      <c r="BB105" s="61">
        <v>0</v>
      </c>
      <c r="BC105" s="61">
        <v>0</v>
      </c>
      <c r="BD105" s="61">
        <v>0</v>
      </c>
      <c r="BE105" s="61">
        <v>0</v>
      </c>
      <c r="BF105" s="61">
        <v>0</v>
      </c>
      <c r="BG105" s="61">
        <v>0</v>
      </c>
      <c r="BH105" s="61">
        <v>0</v>
      </c>
      <c r="BI105" s="61">
        <v>0</v>
      </c>
      <c r="BJ105" s="61">
        <v>0</v>
      </c>
      <c r="BK105" s="61">
        <v>0</v>
      </c>
      <c r="BL105" s="61">
        <v>0</v>
      </c>
      <c r="BM105" s="61">
        <v>0</v>
      </c>
      <c r="BN105" s="61">
        <v>0</v>
      </c>
      <c r="BO105" s="61">
        <v>0</v>
      </c>
      <c r="BP105" s="61">
        <v>0</v>
      </c>
      <c r="BQ105" s="61">
        <v>0</v>
      </c>
      <c r="BR105" s="61">
        <v>0</v>
      </c>
      <c r="BS105" s="61">
        <v>0</v>
      </c>
      <c r="BT105" s="61">
        <v>0</v>
      </c>
      <c r="BU105" s="61">
        <v>0</v>
      </c>
      <c r="BV105" s="61">
        <v>0</v>
      </c>
      <c r="BW105" s="61">
        <v>0</v>
      </c>
      <c r="BX105" s="61">
        <v>0</v>
      </c>
      <c r="BY105" s="61">
        <v>0</v>
      </c>
      <c r="BZ105" s="61">
        <v>0</v>
      </c>
      <c r="CA105" s="61">
        <v>0</v>
      </c>
      <c r="CB105" s="61">
        <v>0</v>
      </c>
      <c r="CC105" s="61">
        <v>0</v>
      </c>
      <c r="CD105" s="61">
        <v>0</v>
      </c>
      <c r="CE105" s="61">
        <v>0</v>
      </c>
      <c r="CF105" s="61">
        <v>0</v>
      </c>
      <c r="CG105" s="61">
        <v>0</v>
      </c>
      <c r="CH105" s="61">
        <v>0</v>
      </c>
      <c r="CI105" s="61">
        <v>0</v>
      </c>
      <c r="CJ105" s="61">
        <v>0</v>
      </c>
      <c r="CK105" s="61">
        <v>0</v>
      </c>
      <c r="CL105" s="61">
        <v>0</v>
      </c>
      <c r="CM105" s="61">
        <v>0</v>
      </c>
      <c r="CN105" s="61">
        <v>0</v>
      </c>
      <c r="CO105" s="61">
        <v>0</v>
      </c>
      <c r="CP105" s="61">
        <v>0</v>
      </c>
      <c r="CQ105" s="61">
        <v>0</v>
      </c>
      <c r="CR105" s="61">
        <v>0</v>
      </c>
      <c r="CS105" s="61">
        <v>0</v>
      </c>
      <c r="CT105" s="61">
        <v>0</v>
      </c>
      <c r="CU105" s="61">
        <v>0</v>
      </c>
      <c r="CV105" s="61">
        <v>0</v>
      </c>
      <c r="CW105" s="61">
        <v>0</v>
      </c>
      <c r="CX105" s="61">
        <v>0</v>
      </c>
      <c r="CY105" s="61">
        <v>0</v>
      </c>
      <c r="CZ105" s="61">
        <v>0</v>
      </c>
      <c r="DA105" s="61">
        <v>0</v>
      </c>
      <c r="DB105" s="61">
        <v>0</v>
      </c>
      <c r="DC105" s="61">
        <v>0</v>
      </c>
      <c r="DD105" s="61">
        <v>0</v>
      </c>
      <c r="DE105" s="61">
        <v>0</v>
      </c>
      <c r="DF105" s="61">
        <v>0</v>
      </c>
      <c r="DG105" s="61">
        <v>0</v>
      </c>
      <c r="DH105" s="61">
        <v>0</v>
      </c>
      <c r="DI105" s="61">
        <v>0</v>
      </c>
      <c r="DJ105" s="61">
        <v>0</v>
      </c>
      <c r="DK105" s="61">
        <v>0</v>
      </c>
      <c r="DL105" s="61">
        <v>0</v>
      </c>
      <c r="DM105" s="61">
        <v>0</v>
      </c>
      <c r="DN105" s="61">
        <v>0</v>
      </c>
      <c r="DO105" s="61">
        <v>0</v>
      </c>
      <c r="DP105" s="61">
        <v>0</v>
      </c>
      <c r="DQ105" s="61">
        <v>0</v>
      </c>
      <c r="DR105" s="61">
        <v>0</v>
      </c>
      <c r="DS105" s="61">
        <v>0</v>
      </c>
      <c r="DT105" s="61">
        <v>0</v>
      </c>
      <c r="DU105" s="61">
        <v>0</v>
      </c>
      <c r="DV105" s="61">
        <v>0</v>
      </c>
      <c r="DW105" s="61">
        <v>0</v>
      </c>
      <c r="DX105" s="61">
        <v>0</v>
      </c>
      <c r="DY105" s="61">
        <v>0</v>
      </c>
      <c r="DZ105" s="61">
        <v>0</v>
      </c>
      <c r="EA105" s="61">
        <v>0</v>
      </c>
      <c r="EB105" s="61">
        <v>0</v>
      </c>
      <c r="EC105" s="61">
        <v>0</v>
      </c>
      <c r="ED105" s="61">
        <v>0</v>
      </c>
      <c r="EE105" s="61">
        <v>0</v>
      </c>
      <c r="EF105" s="61">
        <v>0</v>
      </c>
      <c r="EG105" s="61">
        <v>0</v>
      </c>
      <c r="EH105" s="61">
        <v>0</v>
      </c>
      <c r="EI105" s="61">
        <v>0</v>
      </c>
      <c r="EJ105" s="61">
        <v>0</v>
      </c>
      <c r="EK105" s="61">
        <v>0</v>
      </c>
      <c r="EL105" s="61">
        <v>0</v>
      </c>
      <c r="EM105" s="61">
        <v>0</v>
      </c>
      <c r="EN105" s="61">
        <v>0</v>
      </c>
      <c r="EO105" s="61">
        <v>0</v>
      </c>
      <c r="EP105" s="61">
        <v>0</v>
      </c>
      <c r="EQ105" s="61">
        <v>0</v>
      </c>
      <c r="ER105" s="65">
        <v>0</v>
      </c>
      <c r="ES105" s="61">
        <v>0</v>
      </c>
      <c r="ET105" s="61">
        <v>0</v>
      </c>
      <c r="EU105" s="61">
        <v>0</v>
      </c>
      <c r="EV105" s="61">
        <v>0</v>
      </c>
      <c r="EW105" s="61">
        <v>0</v>
      </c>
      <c r="EX105" s="61">
        <v>0</v>
      </c>
      <c r="EY105" s="61">
        <v>0</v>
      </c>
      <c r="EZ105" s="61">
        <v>0</v>
      </c>
      <c r="FA105" s="61">
        <v>0</v>
      </c>
      <c r="FB105" s="61">
        <v>0</v>
      </c>
      <c r="FC105" s="61">
        <v>0</v>
      </c>
      <c r="FD105" s="61">
        <v>0</v>
      </c>
      <c r="FE105" s="61">
        <v>0</v>
      </c>
      <c r="FF105" s="61">
        <v>0</v>
      </c>
      <c r="FG105" s="61">
        <v>0</v>
      </c>
      <c r="FH105" s="61">
        <v>0</v>
      </c>
      <c r="FI105" s="61">
        <v>0</v>
      </c>
      <c r="FJ105" s="61">
        <v>0</v>
      </c>
      <c r="FK105" s="61">
        <v>0</v>
      </c>
      <c r="FL105" s="61">
        <v>0</v>
      </c>
      <c r="FM105" s="61">
        <v>0</v>
      </c>
      <c r="FN105" s="61">
        <v>0</v>
      </c>
      <c r="FO105" s="61">
        <v>0</v>
      </c>
      <c r="FP105" s="61">
        <v>0</v>
      </c>
      <c r="FQ105" s="61">
        <v>0</v>
      </c>
      <c r="FR105" s="61">
        <v>0</v>
      </c>
      <c r="FS105" s="61">
        <v>0</v>
      </c>
      <c r="FT105" s="61">
        <v>0</v>
      </c>
      <c r="FU105" s="63">
        <v>0</v>
      </c>
      <c r="FV105" s="63">
        <v>0</v>
      </c>
      <c r="FW105" s="63">
        <v>0</v>
      </c>
      <c r="FX105" s="63">
        <v>0</v>
      </c>
      <c r="FY105" s="63">
        <v>0</v>
      </c>
      <c r="FZ105" s="63">
        <v>0</v>
      </c>
      <c r="GA105" s="63">
        <v>0</v>
      </c>
      <c r="GB105" s="63">
        <v>0</v>
      </c>
      <c r="GC105" s="63">
        <v>0</v>
      </c>
      <c r="GD105" s="63">
        <v>0</v>
      </c>
      <c r="GE105" s="63">
        <v>0</v>
      </c>
      <c r="GF105" s="66">
        <v>1</v>
      </c>
      <c r="GG105" s="66">
        <v>1</v>
      </c>
      <c r="GH105" s="66">
        <v>1</v>
      </c>
      <c r="GI105" s="66">
        <v>1</v>
      </c>
      <c r="GJ105" s="66">
        <v>1</v>
      </c>
      <c r="GK105" s="66">
        <v>1</v>
      </c>
      <c r="GL105" s="66">
        <v>1</v>
      </c>
      <c r="GM105" s="66">
        <v>1</v>
      </c>
      <c r="GN105" s="66">
        <v>1</v>
      </c>
      <c r="GO105" s="66">
        <v>1</v>
      </c>
      <c r="GP105" s="66">
        <v>1</v>
      </c>
      <c r="GQ105" s="66">
        <v>1</v>
      </c>
      <c r="GR105" s="66">
        <v>1</v>
      </c>
      <c r="GS105" s="66">
        <v>1</v>
      </c>
      <c r="GT105" s="63">
        <v>0</v>
      </c>
      <c r="GU105" s="63">
        <v>0</v>
      </c>
      <c r="GV105" s="63">
        <v>0</v>
      </c>
      <c r="GW105" s="63">
        <v>0</v>
      </c>
      <c r="GX105" s="63">
        <v>0</v>
      </c>
      <c r="GY105" s="63">
        <v>0</v>
      </c>
      <c r="GZ105" s="63">
        <v>0</v>
      </c>
      <c r="HA105" s="63">
        <v>0</v>
      </c>
      <c r="HB105" s="63">
        <v>0</v>
      </c>
      <c r="HC105" s="63">
        <v>0</v>
      </c>
      <c r="HD105" s="63">
        <v>0</v>
      </c>
      <c r="HE105" s="63">
        <v>0</v>
      </c>
      <c r="HF105" s="63">
        <v>0</v>
      </c>
      <c r="HG105" s="63">
        <v>0</v>
      </c>
      <c r="HH105" s="63"/>
      <c r="HI105" s="63"/>
      <c r="HJ105" s="63">
        <v>1945</v>
      </c>
      <c r="HK105" s="63">
        <f>SUM(ER$4:HI$4)</f>
        <v>70</v>
      </c>
      <c r="HL105" s="61">
        <f>SUM(ER105:HI105)</f>
        <v>14</v>
      </c>
      <c r="HM105" s="67">
        <f t="shared" si="7"/>
        <v>20</v>
      </c>
      <c r="HN105" s="67"/>
      <c r="HO105" s="68"/>
      <c r="HP105" s="68"/>
      <c r="HQ105" s="63"/>
      <c r="HR105" s="63"/>
      <c r="IC105" s="63"/>
    </row>
    <row r="106" spans="1:237" x14ac:dyDescent="0.3">
      <c r="A106" s="61" t="s">
        <v>7260</v>
      </c>
      <c r="B106" s="63" t="s">
        <v>7346</v>
      </c>
      <c r="C106" s="61">
        <v>0</v>
      </c>
      <c r="D106" s="61">
        <v>0</v>
      </c>
      <c r="E106" s="61">
        <v>0</v>
      </c>
      <c r="F106" s="61">
        <v>0</v>
      </c>
      <c r="G106" s="61">
        <v>0</v>
      </c>
      <c r="H106" s="61">
        <v>0</v>
      </c>
      <c r="I106" s="61">
        <v>0</v>
      </c>
      <c r="J106" s="61">
        <v>0</v>
      </c>
      <c r="K106" s="61">
        <v>0</v>
      </c>
      <c r="L106" s="61">
        <v>0</v>
      </c>
      <c r="M106" s="61">
        <v>0</v>
      </c>
      <c r="N106" s="61">
        <v>0</v>
      </c>
      <c r="O106" s="61">
        <v>0</v>
      </c>
      <c r="P106" s="61">
        <v>0</v>
      </c>
      <c r="Q106" s="61">
        <v>0</v>
      </c>
      <c r="R106" s="61">
        <v>0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61">
        <v>0</v>
      </c>
      <c r="AE106" s="61">
        <v>0</v>
      </c>
      <c r="AF106" s="61">
        <v>0</v>
      </c>
      <c r="AG106" s="61">
        <v>0</v>
      </c>
      <c r="AH106" s="61">
        <v>0</v>
      </c>
      <c r="AI106" s="61">
        <v>0</v>
      </c>
      <c r="AJ106" s="61">
        <v>0</v>
      </c>
      <c r="AK106" s="61">
        <v>0</v>
      </c>
      <c r="AL106" s="61">
        <v>0</v>
      </c>
      <c r="AM106" s="61">
        <v>0</v>
      </c>
      <c r="AN106" s="61">
        <v>0</v>
      </c>
      <c r="AO106" s="61">
        <v>0</v>
      </c>
      <c r="AP106" s="61">
        <v>0</v>
      </c>
      <c r="AQ106" s="61">
        <v>0</v>
      </c>
      <c r="AR106" s="61">
        <v>0</v>
      </c>
      <c r="AS106" s="61">
        <v>0</v>
      </c>
      <c r="AT106" s="61">
        <v>0</v>
      </c>
      <c r="AU106" s="61">
        <v>0</v>
      </c>
      <c r="AV106" s="61">
        <v>0</v>
      </c>
      <c r="AW106" s="61">
        <v>0</v>
      </c>
      <c r="AX106" s="61">
        <v>0</v>
      </c>
      <c r="AY106" s="61">
        <v>0</v>
      </c>
      <c r="AZ106" s="61">
        <v>0</v>
      </c>
      <c r="BA106" s="61">
        <v>0</v>
      </c>
      <c r="BB106" s="61">
        <v>0</v>
      </c>
      <c r="BC106" s="61">
        <v>0</v>
      </c>
      <c r="BD106" s="61">
        <v>0</v>
      </c>
      <c r="BE106" s="61">
        <v>0</v>
      </c>
      <c r="BF106" s="61">
        <v>0</v>
      </c>
      <c r="BG106" s="61">
        <v>0</v>
      </c>
      <c r="BH106" s="61">
        <v>0</v>
      </c>
      <c r="BI106" s="61">
        <v>0</v>
      </c>
      <c r="BJ106" s="61">
        <v>0</v>
      </c>
      <c r="BK106" s="61">
        <v>0</v>
      </c>
      <c r="BL106" s="61">
        <v>0</v>
      </c>
      <c r="BM106" s="61">
        <v>0</v>
      </c>
      <c r="BN106" s="61">
        <v>0</v>
      </c>
      <c r="BO106" s="61">
        <v>0</v>
      </c>
      <c r="BP106" s="61">
        <v>0</v>
      </c>
      <c r="BQ106" s="61">
        <v>0</v>
      </c>
      <c r="BR106" s="61">
        <v>0</v>
      </c>
      <c r="BS106" s="61">
        <v>0</v>
      </c>
      <c r="BT106" s="61">
        <v>0</v>
      </c>
      <c r="BU106" s="61">
        <v>0</v>
      </c>
      <c r="BV106" s="61">
        <v>0</v>
      </c>
      <c r="BW106" s="61">
        <v>0</v>
      </c>
      <c r="BX106" s="61">
        <v>0</v>
      </c>
      <c r="BY106" s="61">
        <v>0</v>
      </c>
      <c r="BZ106" s="61">
        <v>0</v>
      </c>
      <c r="CA106" s="61">
        <v>0</v>
      </c>
      <c r="CB106" s="61">
        <v>0</v>
      </c>
      <c r="CC106" s="61">
        <v>0</v>
      </c>
      <c r="CD106" s="61">
        <v>0</v>
      </c>
      <c r="CE106" s="61">
        <v>0</v>
      </c>
      <c r="CF106" s="61">
        <v>0</v>
      </c>
      <c r="CG106" s="61">
        <v>0</v>
      </c>
      <c r="CH106" s="61">
        <v>0</v>
      </c>
      <c r="CI106" s="61">
        <v>0</v>
      </c>
      <c r="CJ106" s="61">
        <v>0</v>
      </c>
      <c r="CK106" s="61">
        <v>0</v>
      </c>
      <c r="CL106" s="61">
        <v>0</v>
      </c>
      <c r="CM106" s="61">
        <v>0</v>
      </c>
      <c r="CN106" s="61">
        <v>0</v>
      </c>
      <c r="CO106" s="61">
        <v>0</v>
      </c>
      <c r="CP106" s="61">
        <v>0</v>
      </c>
      <c r="CQ106" s="61">
        <v>0</v>
      </c>
      <c r="CR106" s="61">
        <v>0</v>
      </c>
      <c r="CS106" s="61">
        <v>0</v>
      </c>
      <c r="CT106" s="61">
        <v>0</v>
      </c>
      <c r="CU106" s="61">
        <v>0</v>
      </c>
      <c r="CV106" s="61">
        <v>0</v>
      </c>
      <c r="CW106" s="61">
        <v>0</v>
      </c>
      <c r="CX106" s="61">
        <v>0</v>
      </c>
      <c r="CY106" s="61">
        <v>0</v>
      </c>
      <c r="CZ106" s="61">
        <v>0</v>
      </c>
      <c r="DA106" s="61">
        <v>0</v>
      </c>
      <c r="DB106" s="61">
        <v>0</v>
      </c>
      <c r="DC106" s="61">
        <v>0</v>
      </c>
      <c r="DD106" s="61">
        <v>0</v>
      </c>
      <c r="DE106" s="61">
        <v>0</v>
      </c>
      <c r="DF106" s="61">
        <v>0</v>
      </c>
      <c r="DG106" s="61">
        <v>0</v>
      </c>
      <c r="DH106" s="61">
        <v>0</v>
      </c>
      <c r="DI106" s="61">
        <v>0</v>
      </c>
      <c r="DJ106" s="61">
        <v>0</v>
      </c>
      <c r="DK106" s="82">
        <v>0</v>
      </c>
      <c r="DL106" s="61">
        <v>0</v>
      </c>
      <c r="DM106" s="61">
        <v>0</v>
      </c>
      <c r="DN106" s="61">
        <v>0</v>
      </c>
      <c r="DO106" s="61">
        <v>0</v>
      </c>
      <c r="DP106" s="61">
        <v>0</v>
      </c>
      <c r="DQ106" s="61">
        <v>0</v>
      </c>
      <c r="DR106" s="61">
        <v>0</v>
      </c>
      <c r="DS106" s="61">
        <v>0</v>
      </c>
      <c r="DT106" s="61">
        <v>0</v>
      </c>
      <c r="DU106" s="61">
        <v>0</v>
      </c>
      <c r="DV106" s="61">
        <v>0</v>
      </c>
      <c r="DW106" s="61">
        <v>0</v>
      </c>
      <c r="DX106" s="61">
        <v>0</v>
      </c>
      <c r="DY106" s="61">
        <v>0</v>
      </c>
      <c r="DZ106" s="61">
        <v>0</v>
      </c>
      <c r="EA106" s="61">
        <v>0</v>
      </c>
      <c r="EB106" s="61">
        <v>0</v>
      </c>
      <c r="EC106" s="61">
        <v>0</v>
      </c>
      <c r="ED106" s="61">
        <v>0</v>
      </c>
      <c r="EE106" s="61">
        <v>0</v>
      </c>
      <c r="EF106" s="61">
        <v>0</v>
      </c>
      <c r="EG106" s="61">
        <v>0</v>
      </c>
      <c r="EH106" s="61">
        <v>0</v>
      </c>
      <c r="EI106" s="61">
        <v>0</v>
      </c>
      <c r="EJ106" s="61">
        <v>0</v>
      </c>
      <c r="EK106" s="61">
        <v>0</v>
      </c>
      <c r="EL106" s="61">
        <v>0</v>
      </c>
      <c r="EM106" s="61">
        <v>0</v>
      </c>
      <c r="EN106" s="61">
        <v>0</v>
      </c>
      <c r="EO106" s="61">
        <v>0</v>
      </c>
      <c r="EP106" s="61">
        <v>0</v>
      </c>
      <c r="EQ106" s="61">
        <v>0</v>
      </c>
      <c r="ER106" s="61">
        <v>0</v>
      </c>
      <c r="ES106" s="61">
        <v>0</v>
      </c>
      <c r="ET106" s="61">
        <v>0</v>
      </c>
      <c r="EU106" s="61">
        <v>0</v>
      </c>
      <c r="EV106" s="61">
        <v>0</v>
      </c>
      <c r="EW106" s="61">
        <v>0</v>
      </c>
      <c r="EX106" s="61">
        <v>0</v>
      </c>
      <c r="EY106" s="61">
        <v>0</v>
      </c>
      <c r="EZ106" s="61">
        <v>0</v>
      </c>
      <c r="FA106" s="61">
        <v>0</v>
      </c>
      <c r="FB106" s="61">
        <v>0</v>
      </c>
      <c r="FC106" s="61">
        <v>0</v>
      </c>
      <c r="FD106" s="61">
        <v>0</v>
      </c>
      <c r="FE106" s="61">
        <v>0</v>
      </c>
      <c r="FF106" s="61">
        <v>0</v>
      </c>
      <c r="FG106" s="61">
        <v>0</v>
      </c>
      <c r="FH106" s="61">
        <v>0</v>
      </c>
      <c r="FI106" s="61">
        <v>0</v>
      </c>
      <c r="FJ106" s="61">
        <v>0</v>
      </c>
      <c r="FK106" s="61">
        <v>0</v>
      </c>
      <c r="FL106" s="61">
        <v>0</v>
      </c>
      <c r="FM106" s="61">
        <v>0</v>
      </c>
      <c r="FN106" s="61">
        <v>0</v>
      </c>
      <c r="FO106" s="61">
        <v>0</v>
      </c>
      <c r="FP106" s="61">
        <v>0</v>
      </c>
      <c r="FQ106" s="61">
        <v>0</v>
      </c>
      <c r="FR106" s="61">
        <v>0</v>
      </c>
      <c r="FS106" s="61">
        <v>0</v>
      </c>
      <c r="FT106" s="61">
        <v>0</v>
      </c>
      <c r="FU106" s="61">
        <v>0</v>
      </c>
      <c r="FV106" s="61">
        <v>0</v>
      </c>
      <c r="FW106" s="61">
        <v>0</v>
      </c>
      <c r="FX106" s="61">
        <v>0</v>
      </c>
      <c r="FY106" s="61">
        <v>0</v>
      </c>
      <c r="FZ106" s="61">
        <v>0</v>
      </c>
      <c r="GA106" s="61">
        <v>0</v>
      </c>
      <c r="GB106" s="61">
        <v>0</v>
      </c>
      <c r="GC106" s="61">
        <v>0</v>
      </c>
      <c r="GD106" s="61">
        <v>0</v>
      </c>
      <c r="GE106" s="61">
        <v>0</v>
      </c>
      <c r="GF106" s="61">
        <v>0</v>
      </c>
      <c r="GG106" s="61">
        <v>0</v>
      </c>
      <c r="GH106" s="61">
        <v>0</v>
      </c>
      <c r="GI106" s="61">
        <v>0</v>
      </c>
      <c r="GJ106" s="61">
        <v>0</v>
      </c>
      <c r="GK106" s="61">
        <v>0</v>
      </c>
      <c r="GL106" s="66">
        <v>1</v>
      </c>
      <c r="GM106" s="66">
        <v>1</v>
      </c>
      <c r="GN106" s="66">
        <v>1</v>
      </c>
      <c r="GO106" s="66">
        <v>1</v>
      </c>
      <c r="GP106" s="66">
        <v>1</v>
      </c>
      <c r="GQ106" s="61">
        <v>0</v>
      </c>
      <c r="GR106" s="61">
        <v>0</v>
      </c>
      <c r="GS106" s="61">
        <v>0</v>
      </c>
      <c r="GT106" s="61">
        <v>0</v>
      </c>
      <c r="GU106" s="63">
        <v>0</v>
      </c>
      <c r="GV106" s="63">
        <v>0</v>
      </c>
      <c r="GW106" s="63">
        <v>0</v>
      </c>
      <c r="GX106" s="63">
        <v>0</v>
      </c>
      <c r="GY106" s="63">
        <v>0</v>
      </c>
      <c r="GZ106" s="63">
        <v>0</v>
      </c>
      <c r="HA106" s="63">
        <v>0</v>
      </c>
      <c r="HB106" s="63">
        <v>0</v>
      </c>
      <c r="HC106" s="63">
        <v>0</v>
      </c>
      <c r="HD106" s="63">
        <v>0</v>
      </c>
      <c r="HE106" s="63">
        <v>0</v>
      </c>
      <c r="HF106" s="63">
        <v>0</v>
      </c>
      <c r="HG106" s="63">
        <v>0</v>
      </c>
      <c r="HH106" s="63"/>
      <c r="HI106" s="63"/>
      <c r="HJ106" s="63">
        <v>1912</v>
      </c>
      <c r="HK106" s="63">
        <f>SUM(DK$4:HI$4)</f>
        <v>103</v>
      </c>
      <c r="HL106" s="61">
        <f>SUM(DK106:HI106)</f>
        <v>5</v>
      </c>
      <c r="HM106" s="67">
        <f t="shared" si="7"/>
        <v>4.8543689320388346</v>
      </c>
      <c r="HN106" s="67"/>
      <c r="HO106" s="68"/>
      <c r="HP106" s="68"/>
    </row>
    <row r="107" spans="1:237" x14ac:dyDescent="0.3">
      <c r="B107" s="61" t="s">
        <v>7347</v>
      </c>
      <c r="C107" s="61">
        <v>0</v>
      </c>
      <c r="D107" s="61">
        <v>0</v>
      </c>
      <c r="E107" s="61">
        <v>0</v>
      </c>
      <c r="F107" s="61">
        <v>0</v>
      </c>
      <c r="G107" s="61">
        <v>0</v>
      </c>
      <c r="H107" s="61">
        <v>0</v>
      </c>
      <c r="I107" s="61">
        <v>0</v>
      </c>
      <c r="J107" s="61">
        <v>0</v>
      </c>
      <c r="K107" s="61">
        <v>0</v>
      </c>
      <c r="L107" s="61">
        <v>0</v>
      </c>
      <c r="M107" s="61">
        <v>0</v>
      </c>
      <c r="N107" s="61">
        <v>0</v>
      </c>
      <c r="O107" s="61">
        <v>0</v>
      </c>
      <c r="P107" s="61">
        <v>0</v>
      </c>
      <c r="Q107" s="61">
        <v>0</v>
      </c>
      <c r="R107" s="61">
        <v>0</v>
      </c>
      <c r="S107" s="61">
        <v>0</v>
      </c>
      <c r="T107" s="61">
        <v>0</v>
      </c>
      <c r="U107" s="61">
        <v>0</v>
      </c>
      <c r="V107" s="61">
        <v>0</v>
      </c>
      <c r="W107" s="61">
        <v>0</v>
      </c>
      <c r="X107" s="61">
        <v>0</v>
      </c>
      <c r="Y107" s="61">
        <v>0</v>
      </c>
      <c r="Z107" s="61">
        <v>0</v>
      </c>
      <c r="AA107" s="61">
        <v>0</v>
      </c>
      <c r="AB107" s="61">
        <v>0</v>
      </c>
      <c r="AC107" s="61">
        <v>0</v>
      </c>
      <c r="AD107" s="61">
        <v>0</v>
      </c>
      <c r="AE107" s="61">
        <v>0</v>
      </c>
      <c r="AF107" s="61">
        <v>0</v>
      </c>
      <c r="AG107" s="61">
        <v>0</v>
      </c>
      <c r="AH107" s="61">
        <v>0</v>
      </c>
      <c r="AI107" s="61">
        <v>0</v>
      </c>
      <c r="AJ107" s="61">
        <v>0</v>
      </c>
      <c r="AK107" s="61">
        <v>0</v>
      </c>
      <c r="AL107" s="61">
        <v>0</v>
      </c>
      <c r="AM107" s="61">
        <v>0</v>
      </c>
      <c r="AN107" s="61">
        <v>0</v>
      </c>
      <c r="AO107" s="61">
        <v>0</v>
      </c>
      <c r="AP107" s="61">
        <v>0</v>
      </c>
      <c r="AQ107" s="61">
        <v>0</v>
      </c>
      <c r="AR107" s="61">
        <v>0</v>
      </c>
      <c r="AS107" s="61">
        <v>0</v>
      </c>
      <c r="AT107" s="61">
        <v>0</v>
      </c>
      <c r="AU107" s="61">
        <v>0</v>
      </c>
      <c r="AV107" s="61">
        <v>0</v>
      </c>
      <c r="AW107" s="61">
        <v>0</v>
      </c>
      <c r="AX107" s="61">
        <v>0</v>
      </c>
      <c r="AY107" s="61">
        <v>0</v>
      </c>
      <c r="AZ107" s="61">
        <v>0</v>
      </c>
      <c r="BA107" s="61">
        <v>0</v>
      </c>
      <c r="BB107" s="61">
        <v>0</v>
      </c>
      <c r="BC107" s="61">
        <v>0</v>
      </c>
      <c r="BD107" s="61">
        <v>0</v>
      </c>
      <c r="BE107" s="61">
        <v>0</v>
      </c>
      <c r="BF107" s="61">
        <v>0</v>
      </c>
      <c r="BG107" s="61">
        <v>0</v>
      </c>
      <c r="BH107" s="61">
        <v>0</v>
      </c>
      <c r="BI107" s="61">
        <v>0</v>
      </c>
      <c r="BJ107" s="61">
        <v>0</v>
      </c>
      <c r="BK107" s="61">
        <v>0</v>
      </c>
      <c r="BL107" s="61">
        <v>0</v>
      </c>
      <c r="BM107" s="61">
        <v>0</v>
      </c>
      <c r="BN107" s="61">
        <v>0</v>
      </c>
      <c r="BO107" s="61">
        <v>0</v>
      </c>
      <c r="BP107" s="61">
        <v>0</v>
      </c>
      <c r="BQ107" s="61">
        <v>0</v>
      </c>
      <c r="BR107" s="61">
        <v>0</v>
      </c>
      <c r="BS107" s="61">
        <v>0</v>
      </c>
      <c r="BT107" s="61">
        <v>0</v>
      </c>
      <c r="BU107" s="61">
        <v>0</v>
      </c>
      <c r="BV107" s="61">
        <v>0</v>
      </c>
      <c r="BW107" s="61">
        <v>0</v>
      </c>
      <c r="BX107" s="61">
        <v>0</v>
      </c>
      <c r="BY107" s="61">
        <v>0</v>
      </c>
      <c r="BZ107" s="61">
        <v>0</v>
      </c>
      <c r="CA107" s="61">
        <v>0</v>
      </c>
      <c r="CB107" s="61">
        <v>0</v>
      </c>
      <c r="CC107" s="61">
        <v>0</v>
      </c>
      <c r="CD107" s="61">
        <v>0</v>
      </c>
      <c r="CE107" s="61">
        <v>0</v>
      </c>
      <c r="CF107" s="61">
        <v>0</v>
      </c>
      <c r="CG107" s="61">
        <v>0</v>
      </c>
      <c r="CH107" s="61">
        <v>0</v>
      </c>
      <c r="CI107" s="61">
        <v>0</v>
      </c>
      <c r="CJ107" s="61">
        <v>0</v>
      </c>
      <c r="CK107" s="61">
        <v>0</v>
      </c>
      <c r="CL107" s="61">
        <v>0</v>
      </c>
      <c r="CM107" s="61">
        <v>0</v>
      </c>
      <c r="CN107" s="61">
        <v>0</v>
      </c>
      <c r="CO107" s="61">
        <v>0</v>
      </c>
      <c r="CP107" s="61">
        <v>0</v>
      </c>
      <c r="CQ107" s="61">
        <v>0</v>
      </c>
      <c r="CR107" s="61">
        <v>0</v>
      </c>
      <c r="CS107" s="61">
        <v>0</v>
      </c>
      <c r="CT107" s="61">
        <v>0</v>
      </c>
      <c r="CU107" s="61">
        <v>0</v>
      </c>
      <c r="CV107" s="61">
        <v>0</v>
      </c>
      <c r="CW107" s="61">
        <v>0</v>
      </c>
      <c r="CX107" s="61">
        <v>0</v>
      </c>
      <c r="CY107" s="61">
        <v>0</v>
      </c>
      <c r="CZ107" s="61">
        <v>0</v>
      </c>
      <c r="DA107" s="61">
        <v>0</v>
      </c>
      <c r="DB107" s="61">
        <v>0</v>
      </c>
      <c r="DC107" s="61">
        <v>0</v>
      </c>
      <c r="DD107" s="61">
        <v>0</v>
      </c>
      <c r="DE107" s="61">
        <v>0</v>
      </c>
      <c r="DF107" s="61">
        <v>0</v>
      </c>
      <c r="DG107" s="61">
        <v>0</v>
      </c>
      <c r="DH107" s="61">
        <v>0</v>
      </c>
      <c r="DI107" s="61">
        <v>0</v>
      </c>
      <c r="DJ107" s="61">
        <v>0</v>
      </c>
      <c r="DK107" s="61">
        <v>0</v>
      </c>
      <c r="DL107" s="61">
        <v>0</v>
      </c>
      <c r="DM107" s="61">
        <v>0</v>
      </c>
      <c r="DN107" s="61">
        <v>0</v>
      </c>
      <c r="DO107" s="61">
        <v>0</v>
      </c>
      <c r="DP107" s="61">
        <v>0</v>
      </c>
      <c r="DQ107" s="61">
        <v>0</v>
      </c>
      <c r="DR107" s="61">
        <v>0</v>
      </c>
      <c r="DS107" s="61">
        <v>0</v>
      </c>
      <c r="DT107" s="61">
        <v>0</v>
      </c>
      <c r="DU107" s="61">
        <v>0</v>
      </c>
      <c r="DV107" s="61">
        <v>0</v>
      </c>
      <c r="DW107" s="61">
        <v>0</v>
      </c>
      <c r="DX107" s="61">
        <v>0</v>
      </c>
      <c r="DY107" s="61">
        <v>0</v>
      </c>
      <c r="DZ107" s="61">
        <v>0</v>
      </c>
      <c r="EA107" s="61">
        <v>0</v>
      </c>
      <c r="EB107" s="61">
        <v>0</v>
      </c>
      <c r="EC107" s="61">
        <v>0</v>
      </c>
      <c r="ED107" s="61">
        <v>0</v>
      </c>
      <c r="EE107" s="61">
        <v>0</v>
      </c>
      <c r="EF107" s="61">
        <v>0</v>
      </c>
      <c r="EG107" s="61">
        <v>0</v>
      </c>
      <c r="EH107" s="61">
        <v>0</v>
      </c>
      <c r="EI107" s="61">
        <v>0</v>
      </c>
      <c r="EJ107" s="61">
        <v>0</v>
      </c>
      <c r="EK107" s="61">
        <v>0</v>
      </c>
      <c r="EL107" s="61">
        <v>0</v>
      </c>
      <c r="EM107" s="61">
        <v>0</v>
      </c>
      <c r="EN107" s="61">
        <v>0</v>
      </c>
      <c r="EO107" s="61">
        <v>0</v>
      </c>
      <c r="EP107" s="61">
        <v>0</v>
      </c>
      <c r="EQ107" s="61">
        <v>0</v>
      </c>
      <c r="ER107" s="61">
        <v>0</v>
      </c>
      <c r="ES107" s="61">
        <v>0</v>
      </c>
      <c r="ET107" s="61">
        <v>0</v>
      </c>
      <c r="EU107" s="61">
        <v>0</v>
      </c>
      <c r="EV107" s="61">
        <v>0</v>
      </c>
      <c r="EW107" s="61">
        <v>0</v>
      </c>
      <c r="EX107" s="61">
        <v>0</v>
      </c>
      <c r="EY107" s="61">
        <v>0</v>
      </c>
      <c r="EZ107" s="61">
        <v>0</v>
      </c>
      <c r="FA107" s="61">
        <v>0</v>
      </c>
      <c r="FB107" s="61">
        <v>0</v>
      </c>
      <c r="FC107" s="61">
        <v>0</v>
      </c>
      <c r="FD107" s="61">
        <v>0</v>
      </c>
      <c r="FE107" s="61">
        <v>0</v>
      </c>
      <c r="FF107" s="61">
        <v>0</v>
      </c>
      <c r="FG107" s="61">
        <v>0</v>
      </c>
      <c r="FH107" s="61">
        <v>0</v>
      </c>
      <c r="FI107" s="61">
        <v>0</v>
      </c>
      <c r="FJ107" s="61">
        <v>0</v>
      </c>
      <c r="FK107" s="61">
        <v>0</v>
      </c>
      <c r="FL107" s="61">
        <v>0</v>
      </c>
      <c r="FM107" s="61">
        <v>0</v>
      </c>
      <c r="FN107" s="61">
        <v>0</v>
      </c>
      <c r="FO107" s="61">
        <v>0</v>
      </c>
      <c r="FP107" s="61">
        <v>0</v>
      </c>
      <c r="FQ107" s="61">
        <v>0</v>
      </c>
      <c r="FR107" s="61">
        <v>0</v>
      </c>
      <c r="FS107" s="61">
        <v>0</v>
      </c>
      <c r="FT107" s="61">
        <v>0</v>
      </c>
      <c r="FU107" s="61">
        <v>0</v>
      </c>
      <c r="FV107" s="61">
        <v>0</v>
      </c>
      <c r="FW107" s="61">
        <v>0</v>
      </c>
      <c r="FX107" s="61">
        <v>0</v>
      </c>
      <c r="FY107" s="61">
        <v>0</v>
      </c>
      <c r="FZ107" s="61">
        <v>0</v>
      </c>
      <c r="GA107" s="61">
        <v>0</v>
      </c>
      <c r="GB107" s="61">
        <v>0</v>
      </c>
      <c r="GC107" s="61">
        <v>0</v>
      </c>
      <c r="GD107" s="61">
        <v>0</v>
      </c>
      <c r="GE107" s="61">
        <v>0</v>
      </c>
      <c r="GF107" s="61">
        <v>0</v>
      </c>
      <c r="GG107" s="61">
        <v>0</v>
      </c>
      <c r="GH107" s="61">
        <v>0</v>
      </c>
      <c r="GI107" s="61">
        <v>0</v>
      </c>
      <c r="GJ107" s="61">
        <v>0</v>
      </c>
      <c r="GK107" s="61">
        <v>0</v>
      </c>
      <c r="GL107" s="82">
        <v>0</v>
      </c>
      <c r="GM107" s="66">
        <v>1</v>
      </c>
      <c r="GN107" s="66">
        <v>1</v>
      </c>
      <c r="GO107" s="66">
        <v>1</v>
      </c>
      <c r="GP107" s="66">
        <v>1</v>
      </c>
      <c r="GQ107" s="66">
        <v>1</v>
      </c>
      <c r="GR107" s="66">
        <v>1</v>
      </c>
      <c r="GS107" s="61">
        <v>0</v>
      </c>
      <c r="GT107" s="61">
        <v>0</v>
      </c>
      <c r="GU107" s="63">
        <v>0</v>
      </c>
      <c r="GV107" s="63">
        <v>0</v>
      </c>
      <c r="GW107" s="63">
        <v>0</v>
      </c>
      <c r="GX107" s="63">
        <v>0</v>
      </c>
      <c r="GY107" s="63">
        <v>0</v>
      </c>
      <c r="GZ107" s="63">
        <v>0</v>
      </c>
      <c r="HA107" s="63">
        <v>0</v>
      </c>
      <c r="HB107" s="63">
        <v>0</v>
      </c>
      <c r="HC107" s="63">
        <v>0</v>
      </c>
      <c r="HD107" s="63">
        <v>0</v>
      </c>
      <c r="HE107" s="63">
        <v>0</v>
      </c>
      <c r="HF107" s="63">
        <v>0</v>
      </c>
      <c r="HG107" s="63">
        <v>0</v>
      </c>
      <c r="HH107" s="63"/>
      <c r="HI107" s="63"/>
      <c r="HJ107" s="63">
        <v>1991</v>
      </c>
      <c r="HK107" s="63">
        <f>SUM(GL$4:HI$4)</f>
        <v>24</v>
      </c>
      <c r="HL107" s="61">
        <f>SUM(GL107:HI107)</f>
        <v>6</v>
      </c>
      <c r="HM107" s="67">
        <f t="shared" si="7"/>
        <v>25</v>
      </c>
      <c r="HN107" s="67"/>
      <c r="HO107" s="68"/>
      <c r="HP107" s="68"/>
    </row>
    <row r="108" spans="1:237" x14ac:dyDescent="0.3">
      <c r="B108" s="63" t="s">
        <v>7348</v>
      </c>
      <c r="C108" s="61">
        <v>0</v>
      </c>
      <c r="D108" s="61">
        <v>0</v>
      </c>
      <c r="E108" s="61">
        <v>0</v>
      </c>
      <c r="F108" s="61">
        <v>0</v>
      </c>
      <c r="G108" s="61">
        <v>0</v>
      </c>
      <c r="H108" s="61">
        <v>0</v>
      </c>
      <c r="I108" s="61">
        <v>0</v>
      </c>
      <c r="J108" s="61">
        <v>0</v>
      </c>
      <c r="K108" s="61">
        <v>0</v>
      </c>
      <c r="L108" s="61">
        <v>0</v>
      </c>
      <c r="M108" s="61">
        <v>0</v>
      </c>
      <c r="N108" s="61">
        <v>0</v>
      </c>
      <c r="O108" s="61">
        <v>0</v>
      </c>
      <c r="P108" s="61">
        <v>0</v>
      </c>
      <c r="Q108" s="61">
        <v>0</v>
      </c>
      <c r="R108" s="61">
        <v>0</v>
      </c>
      <c r="S108" s="61">
        <v>0</v>
      </c>
      <c r="T108" s="61">
        <v>0</v>
      </c>
      <c r="U108" s="61">
        <v>0</v>
      </c>
      <c r="V108" s="61">
        <v>0</v>
      </c>
      <c r="W108" s="61">
        <v>0</v>
      </c>
      <c r="X108" s="61">
        <v>0</v>
      </c>
      <c r="Y108" s="61">
        <v>0</v>
      </c>
      <c r="Z108" s="61">
        <v>0</v>
      </c>
      <c r="AA108" s="61">
        <v>0</v>
      </c>
      <c r="AB108" s="61">
        <v>0</v>
      </c>
      <c r="AC108" s="61">
        <v>0</v>
      </c>
      <c r="AD108" s="61">
        <v>0</v>
      </c>
      <c r="AE108" s="61">
        <v>0</v>
      </c>
      <c r="AF108" s="61">
        <v>0</v>
      </c>
      <c r="AG108" s="61">
        <v>0</v>
      </c>
      <c r="AH108" s="61">
        <v>0</v>
      </c>
      <c r="AI108" s="61">
        <v>0</v>
      </c>
      <c r="AJ108" s="61">
        <v>0</v>
      </c>
      <c r="AK108" s="61">
        <v>0</v>
      </c>
      <c r="AL108" s="61">
        <v>0</v>
      </c>
      <c r="AM108" s="61">
        <v>0</v>
      </c>
      <c r="AN108" s="61">
        <v>0</v>
      </c>
      <c r="AO108" s="61">
        <v>0</v>
      </c>
      <c r="AP108" s="61">
        <v>0</v>
      </c>
      <c r="AQ108" s="61">
        <v>0</v>
      </c>
      <c r="AR108" s="61">
        <v>0</v>
      </c>
      <c r="AS108" s="61">
        <v>0</v>
      </c>
      <c r="AT108" s="61">
        <v>0</v>
      </c>
      <c r="AU108" s="61">
        <v>0</v>
      </c>
      <c r="AV108" s="61">
        <v>0</v>
      </c>
      <c r="AW108" s="61">
        <v>0</v>
      </c>
      <c r="AX108" s="61">
        <v>0</v>
      </c>
      <c r="AY108" s="61">
        <v>0</v>
      </c>
      <c r="AZ108" s="61">
        <v>0</v>
      </c>
      <c r="BA108" s="61">
        <v>0</v>
      </c>
      <c r="BB108" s="61">
        <v>0</v>
      </c>
      <c r="BC108" s="61">
        <v>0</v>
      </c>
      <c r="BD108" s="61">
        <v>0</v>
      </c>
      <c r="BE108" s="61">
        <v>0</v>
      </c>
      <c r="BF108" s="61">
        <v>0</v>
      </c>
      <c r="BG108" s="61">
        <v>0</v>
      </c>
      <c r="BH108" s="61">
        <v>0</v>
      </c>
      <c r="BI108" s="61">
        <v>0</v>
      </c>
      <c r="BJ108" s="61">
        <v>0</v>
      </c>
      <c r="BK108" s="61">
        <v>0</v>
      </c>
      <c r="BL108" s="61">
        <v>0</v>
      </c>
      <c r="BM108" s="61">
        <v>0</v>
      </c>
      <c r="BN108" s="61">
        <v>0</v>
      </c>
      <c r="BO108" s="61">
        <v>0</v>
      </c>
      <c r="BP108" s="61">
        <v>0</v>
      </c>
      <c r="BQ108" s="61">
        <v>0</v>
      </c>
      <c r="BR108" s="61">
        <v>0</v>
      </c>
      <c r="BS108" s="61">
        <v>0</v>
      </c>
      <c r="BT108" s="61">
        <v>0</v>
      </c>
      <c r="BU108" s="61">
        <v>0</v>
      </c>
      <c r="BV108" s="61">
        <v>0</v>
      </c>
      <c r="BW108" s="61">
        <v>0</v>
      </c>
      <c r="BX108" s="61">
        <v>0</v>
      </c>
      <c r="BY108" s="61">
        <v>0</v>
      </c>
      <c r="BZ108" s="61">
        <v>0</v>
      </c>
      <c r="CA108" s="61">
        <v>0</v>
      </c>
      <c r="CB108" s="61">
        <v>0</v>
      </c>
      <c r="CC108" s="61">
        <v>0</v>
      </c>
      <c r="CD108" s="61">
        <v>0</v>
      </c>
      <c r="CE108" s="61">
        <v>0</v>
      </c>
      <c r="CF108" s="61">
        <v>0</v>
      </c>
      <c r="CG108" s="61">
        <v>0</v>
      </c>
      <c r="CH108" s="61">
        <v>0</v>
      </c>
      <c r="CI108" s="61">
        <v>0</v>
      </c>
      <c r="CJ108" s="61">
        <v>0</v>
      </c>
      <c r="CK108" s="61">
        <v>0</v>
      </c>
      <c r="CL108" s="61">
        <v>0</v>
      </c>
      <c r="CM108" s="61">
        <v>0</v>
      </c>
      <c r="CN108" s="61">
        <v>0</v>
      </c>
      <c r="CO108" s="61">
        <v>0</v>
      </c>
      <c r="CP108" s="61">
        <v>0</v>
      </c>
      <c r="CQ108" s="61">
        <v>0</v>
      </c>
      <c r="CR108" s="61">
        <v>0</v>
      </c>
      <c r="CS108" s="61">
        <v>0</v>
      </c>
      <c r="CT108" s="61">
        <v>0</v>
      </c>
      <c r="CU108" s="61">
        <v>0</v>
      </c>
      <c r="CV108" s="61">
        <v>0</v>
      </c>
      <c r="CW108" s="61">
        <v>0</v>
      </c>
      <c r="CX108" s="61">
        <v>0</v>
      </c>
      <c r="CY108" s="61">
        <v>0</v>
      </c>
      <c r="CZ108" s="61">
        <v>0</v>
      </c>
      <c r="DA108" s="61">
        <v>0</v>
      </c>
      <c r="DB108" s="61">
        <v>0</v>
      </c>
      <c r="DC108" s="61">
        <v>0</v>
      </c>
      <c r="DD108" s="61">
        <v>0</v>
      </c>
      <c r="DE108" s="61">
        <v>0</v>
      </c>
      <c r="DF108" s="61">
        <v>0</v>
      </c>
      <c r="DG108" s="61">
        <v>0</v>
      </c>
      <c r="DH108" s="61">
        <v>0</v>
      </c>
      <c r="DI108" s="61">
        <v>0</v>
      </c>
      <c r="DJ108" s="61">
        <v>0</v>
      </c>
      <c r="DK108" s="61">
        <v>0</v>
      </c>
      <c r="DL108" s="61">
        <v>0</v>
      </c>
      <c r="DM108" s="61">
        <v>0</v>
      </c>
      <c r="DN108" s="61">
        <v>0</v>
      </c>
      <c r="DO108" s="66">
        <v>1</v>
      </c>
      <c r="DP108" s="66">
        <v>1</v>
      </c>
      <c r="DQ108" s="66">
        <v>1</v>
      </c>
      <c r="DR108" s="66">
        <v>1</v>
      </c>
      <c r="DS108" s="66">
        <v>1</v>
      </c>
      <c r="DT108" s="61">
        <v>0</v>
      </c>
      <c r="DU108" s="61">
        <v>0</v>
      </c>
      <c r="DV108" s="61">
        <v>0</v>
      </c>
      <c r="DW108" s="61">
        <v>0</v>
      </c>
      <c r="DX108" s="61">
        <v>0</v>
      </c>
      <c r="DY108" s="61">
        <v>0</v>
      </c>
      <c r="DZ108" s="61">
        <v>0</v>
      </c>
      <c r="EA108" s="61">
        <v>0</v>
      </c>
      <c r="EB108" s="61">
        <v>0</v>
      </c>
      <c r="EC108" s="61">
        <v>0</v>
      </c>
      <c r="ED108" s="61">
        <v>0</v>
      </c>
      <c r="EE108" s="66">
        <v>1</v>
      </c>
      <c r="EF108" s="61">
        <v>0</v>
      </c>
      <c r="EG108" s="61">
        <v>0</v>
      </c>
      <c r="EH108" s="61">
        <v>0</v>
      </c>
      <c r="EI108" s="61">
        <v>0</v>
      </c>
      <c r="EJ108" s="61">
        <v>0</v>
      </c>
      <c r="EK108" s="61">
        <v>0</v>
      </c>
      <c r="EL108" s="61">
        <v>0</v>
      </c>
      <c r="EM108" s="61">
        <v>0</v>
      </c>
      <c r="EN108" s="61">
        <v>0</v>
      </c>
      <c r="EO108" s="61">
        <v>0</v>
      </c>
      <c r="EP108" s="61">
        <v>0</v>
      </c>
      <c r="EQ108" s="61">
        <v>0</v>
      </c>
      <c r="ER108" s="61">
        <v>0</v>
      </c>
      <c r="ES108" s="61">
        <v>0</v>
      </c>
      <c r="ET108" s="61">
        <v>0</v>
      </c>
      <c r="EU108" s="61">
        <v>0</v>
      </c>
      <c r="EV108" s="61">
        <v>0</v>
      </c>
      <c r="EW108" s="61">
        <v>0</v>
      </c>
      <c r="EX108" s="61">
        <v>0</v>
      </c>
      <c r="EY108" s="61">
        <v>0</v>
      </c>
      <c r="EZ108" s="61">
        <v>0</v>
      </c>
      <c r="FA108" s="61">
        <v>0</v>
      </c>
      <c r="FB108" s="61">
        <v>0</v>
      </c>
      <c r="FC108" s="61">
        <v>0</v>
      </c>
      <c r="FD108" s="61">
        <v>0</v>
      </c>
      <c r="FE108" s="61">
        <v>0</v>
      </c>
      <c r="FF108" s="61">
        <v>0</v>
      </c>
      <c r="FG108" s="61">
        <v>0</v>
      </c>
      <c r="FH108" s="61">
        <v>0</v>
      </c>
      <c r="FI108" s="61">
        <v>0</v>
      </c>
      <c r="FJ108" s="61">
        <v>0</v>
      </c>
      <c r="FK108" s="61">
        <v>0</v>
      </c>
      <c r="FL108" s="61">
        <v>0</v>
      </c>
      <c r="FM108" s="61">
        <v>0</v>
      </c>
      <c r="FN108" s="61">
        <v>0</v>
      </c>
      <c r="FO108" s="61">
        <v>0</v>
      </c>
      <c r="FP108" s="61">
        <v>0</v>
      </c>
      <c r="FQ108" s="61">
        <v>0</v>
      </c>
      <c r="FR108" s="61">
        <v>0</v>
      </c>
      <c r="FS108" s="61">
        <v>0</v>
      </c>
      <c r="FT108" s="61">
        <v>0</v>
      </c>
      <c r="FU108" s="61">
        <v>0</v>
      </c>
      <c r="FV108" s="63">
        <v>0</v>
      </c>
      <c r="FW108" s="63">
        <v>0</v>
      </c>
      <c r="FX108" s="63">
        <v>0</v>
      </c>
      <c r="FY108" s="63">
        <v>0</v>
      </c>
      <c r="FZ108" s="63">
        <v>0</v>
      </c>
      <c r="GA108" s="63">
        <v>0</v>
      </c>
      <c r="GB108" s="63">
        <v>0</v>
      </c>
      <c r="GC108" s="63">
        <v>0</v>
      </c>
      <c r="GD108" s="63">
        <v>0</v>
      </c>
      <c r="GE108" s="63">
        <v>0</v>
      </c>
      <c r="GF108" s="63">
        <v>0</v>
      </c>
      <c r="GG108" s="63">
        <v>0</v>
      </c>
      <c r="GH108" s="63">
        <v>0</v>
      </c>
      <c r="GI108" s="63">
        <v>0</v>
      </c>
      <c r="GJ108" s="63">
        <v>0</v>
      </c>
      <c r="GK108" s="66">
        <v>1</v>
      </c>
      <c r="GL108" s="66">
        <v>1</v>
      </c>
      <c r="GM108" s="66">
        <v>1</v>
      </c>
      <c r="GN108" s="66">
        <v>1</v>
      </c>
      <c r="GO108" s="66">
        <v>1</v>
      </c>
      <c r="GP108" s="63">
        <v>0</v>
      </c>
      <c r="GQ108" s="63">
        <v>0</v>
      </c>
      <c r="GR108" s="63">
        <v>0</v>
      </c>
      <c r="GS108" s="63">
        <v>0</v>
      </c>
      <c r="GT108" s="63">
        <v>0</v>
      </c>
      <c r="GU108" s="63">
        <v>0</v>
      </c>
      <c r="GV108" s="63">
        <v>0</v>
      </c>
      <c r="GW108" s="63">
        <v>0</v>
      </c>
      <c r="GX108" s="63">
        <v>0</v>
      </c>
      <c r="GY108" s="63">
        <v>0</v>
      </c>
      <c r="GZ108" s="63">
        <v>0</v>
      </c>
      <c r="HA108" s="63">
        <v>0</v>
      </c>
      <c r="HB108" s="63">
        <v>0</v>
      </c>
      <c r="HC108" s="63">
        <v>0</v>
      </c>
      <c r="HD108" s="63">
        <v>0</v>
      </c>
      <c r="HE108" s="63">
        <v>0</v>
      </c>
      <c r="HF108" s="63">
        <v>0</v>
      </c>
      <c r="HG108" s="63">
        <v>0</v>
      </c>
      <c r="HH108" s="63"/>
      <c r="HI108" s="63"/>
      <c r="HJ108" s="63">
        <v>1878</v>
      </c>
      <c r="HK108" s="63">
        <f>SUM(CC$4:HI$4)</f>
        <v>137</v>
      </c>
      <c r="HL108" s="61">
        <f>SUM(CC108:HI108)</f>
        <v>11</v>
      </c>
      <c r="HM108" s="67">
        <f t="shared" si="7"/>
        <v>8.0291970802919703</v>
      </c>
      <c r="HN108" s="67"/>
      <c r="HO108" s="68"/>
      <c r="HP108" s="68"/>
    </row>
    <row r="109" spans="1:237" x14ac:dyDescent="0.3">
      <c r="B109" s="61" t="s">
        <v>7349</v>
      </c>
      <c r="C109" s="61">
        <v>0</v>
      </c>
      <c r="D109" s="61">
        <v>0</v>
      </c>
      <c r="E109" s="61">
        <v>0</v>
      </c>
      <c r="F109" s="61">
        <v>0</v>
      </c>
      <c r="G109" s="61">
        <v>0</v>
      </c>
      <c r="H109" s="61">
        <v>0</v>
      </c>
      <c r="I109" s="61">
        <v>0</v>
      </c>
      <c r="J109" s="61">
        <v>0</v>
      </c>
      <c r="K109" s="61">
        <v>0</v>
      </c>
      <c r="L109" s="61">
        <v>0</v>
      </c>
      <c r="M109" s="61">
        <v>0</v>
      </c>
      <c r="N109" s="61">
        <v>0</v>
      </c>
      <c r="O109" s="61">
        <v>0</v>
      </c>
      <c r="P109" s="61">
        <v>0</v>
      </c>
      <c r="Q109" s="61">
        <v>0</v>
      </c>
      <c r="R109" s="61">
        <v>0</v>
      </c>
      <c r="S109" s="61">
        <v>0</v>
      </c>
      <c r="T109" s="61">
        <v>0</v>
      </c>
      <c r="U109" s="61">
        <v>0</v>
      </c>
      <c r="V109" s="61">
        <v>0</v>
      </c>
      <c r="W109" s="61">
        <v>0</v>
      </c>
      <c r="X109" s="61">
        <v>0</v>
      </c>
      <c r="Y109" s="61">
        <v>0</v>
      </c>
      <c r="Z109" s="61">
        <v>0</v>
      </c>
      <c r="AA109" s="61">
        <v>0</v>
      </c>
      <c r="AB109" s="61">
        <v>0</v>
      </c>
      <c r="AC109" s="61">
        <v>0</v>
      </c>
      <c r="AD109" s="61">
        <v>0</v>
      </c>
      <c r="AE109" s="61">
        <v>0</v>
      </c>
      <c r="AF109" s="61">
        <v>0</v>
      </c>
      <c r="AG109" s="61">
        <v>0</v>
      </c>
      <c r="AH109" s="61">
        <v>0</v>
      </c>
      <c r="AI109" s="61">
        <v>0</v>
      </c>
      <c r="AJ109" s="61">
        <v>0</v>
      </c>
      <c r="AK109" s="61">
        <v>0</v>
      </c>
      <c r="AL109" s="61">
        <v>0</v>
      </c>
      <c r="AM109" s="61">
        <v>0</v>
      </c>
      <c r="AN109" s="61">
        <v>0</v>
      </c>
      <c r="AO109" s="61">
        <v>0</v>
      </c>
      <c r="AP109" s="61">
        <v>0</v>
      </c>
      <c r="AQ109" s="61">
        <v>0</v>
      </c>
      <c r="AR109" s="61">
        <v>0</v>
      </c>
      <c r="AS109" s="61">
        <v>0</v>
      </c>
      <c r="AT109" s="61">
        <v>0</v>
      </c>
      <c r="AU109" s="61">
        <v>0</v>
      </c>
      <c r="AV109" s="61">
        <v>0</v>
      </c>
      <c r="AW109" s="61">
        <v>0</v>
      </c>
      <c r="AX109" s="61">
        <v>0</v>
      </c>
      <c r="AY109" s="61">
        <v>0</v>
      </c>
      <c r="AZ109" s="61">
        <v>0</v>
      </c>
      <c r="BA109" s="61">
        <v>0</v>
      </c>
      <c r="BB109" s="61">
        <v>0</v>
      </c>
      <c r="BC109" s="61">
        <v>0</v>
      </c>
      <c r="BD109" s="61">
        <v>0</v>
      </c>
      <c r="BE109" s="61">
        <v>0</v>
      </c>
      <c r="BF109" s="61">
        <v>0</v>
      </c>
      <c r="BG109" s="61">
        <v>0</v>
      </c>
      <c r="BH109" s="61">
        <v>0</v>
      </c>
      <c r="BI109" s="61">
        <v>0</v>
      </c>
      <c r="BJ109" s="61">
        <v>0</v>
      </c>
      <c r="BK109" s="61">
        <v>0</v>
      </c>
      <c r="BL109" s="61">
        <v>0</v>
      </c>
      <c r="BM109" s="61">
        <v>0</v>
      </c>
      <c r="BN109" s="61">
        <v>0</v>
      </c>
      <c r="BO109" s="61">
        <v>0</v>
      </c>
      <c r="BP109" s="61">
        <v>0</v>
      </c>
      <c r="BQ109" s="61">
        <v>0</v>
      </c>
      <c r="BR109" s="61">
        <v>0</v>
      </c>
      <c r="BS109" s="61">
        <v>0</v>
      </c>
      <c r="BT109" s="61">
        <v>0</v>
      </c>
      <c r="BU109" s="61">
        <v>0</v>
      </c>
      <c r="BV109" s="61">
        <v>0</v>
      </c>
      <c r="BW109" s="61">
        <v>0</v>
      </c>
      <c r="BX109" s="61">
        <v>0</v>
      </c>
      <c r="BY109" s="61">
        <v>0</v>
      </c>
      <c r="BZ109" s="61">
        <v>0</v>
      </c>
      <c r="CA109" s="61">
        <v>0</v>
      </c>
      <c r="CB109" s="61">
        <v>0</v>
      </c>
      <c r="CC109" s="61">
        <v>0</v>
      </c>
      <c r="CD109" s="61">
        <v>0</v>
      </c>
      <c r="CE109" s="61">
        <v>0</v>
      </c>
      <c r="CF109" s="61">
        <v>0</v>
      </c>
      <c r="CG109" s="61">
        <v>0</v>
      </c>
      <c r="CH109" s="61">
        <v>0</v>
      </c>
      <c r="CI109" s="61">
        <v>0</v>
      </c>
      <c r="CJ109" s="61">
        <v>0</v>
      </c>
      <c r="CK109" s="61">
        <v>0</v>
      </c>
      <c r="CL109" s="61">
        <v>0</v>
      </c>
      <c r="CM109" s="61">
        <v>0</v>
      </c>
      <c r="CN109" s="61">
        <v>0</v>
      </c>
      <c r="CO109" s="61">
        <v>0</v>
      </c>
      <c r="CP109" s="61">
        <v>0</v>
      </c>
      <c r="CQ109" s="61">
        <v>0</v>
      </c>
      <c r="CR109" s="61">
        <v>0</v>
      </c>
      <c r="CS109" s="61">
        <v>0</v>
      </c>
      <c r="CT109" s="61">
        <v>0</v>
      </c>
      <c r="CU109" s="61">
        <v>0</v>
      </c>
      <c r="CV109" s="61">
        <v>0</v>
      </c>
      <c r="CW109" s="61">
        <v>0</v>
      </c>
      <c r="CX109" s="61">
        <v>0</v>
      </c>
      <c r="CY109" s="61">
        <v>0</v>
      </c>
      <c r="CZ109" s="61">
        <v>0</v>
      </c>
      <c r="DA109" s="61">
        <v>0</v>
      </c>
      <c r="DB109" s="61">
        <v>0</v>
      </c>
      <c r="DC109" s="61">
        <v>0</v>
      </c>
      <c r="DD109" s="61">
        <v>0</v>
      </c>
      <c r="DE109" s="61">
        <v>0</v>
      </c>
      <c r="DF109" s="61">
        <v>0</v>
      </c>
      <c r="DG109" s="61">
        <v>0</v>
      </c>
      <c r="DH109" s="61">
        <v>0</v>
      </c>
      <c r="DI109" s="61">
        <v>0</v>
      </c>
      <c r="DJ109" s="61">
        <v>0</v>
      </c>
      <c r="DK109" s="61">
        <v>0</v>
      </c>
      <c r="DL109" s="61">
        <v>0</v>
      </c>
      <c r="DM109" s="61">
        <v>0</v>
      </c>
      <c r="DN109" s="61">
        <v>0</v>
      </c>
      <c r="DO109" s="61">
        <v>0</v>
      </c>
      <c r="DP109" s="61">
        <v>0</v>
      </c>
      <c r="DQ109" s="61">
        <v>0</v>
      </c>
      <c r="DR109" s="61">
        <v>0</v>
      </c>
      <c r="DS109" s="61">
        <v>0</v>
      </c>
      <c r="DT109" s="61">
        <v>0</v>
      </c>
      <c r="DU109" s="61">
        <v>0</v>
      </c>
      <c r="DV109" s="61">
        <v>0</v>
      </c>
      <c r="DW109" s="61">
        <v>0</v>
      </c>
      <c r="DX109" s="61">
        <v>0</v>
      </c>
      <c r="DY109" s="61">
        <v>0</v>
      </c>
      <c r="DZ109" s="61">
        <v>0</v>
      </c>
      <c r="EA109" s="61">
        <v>0</v>
      </c>
      <c r="EB109" s="61">
        <v>0</v>
      </c>
      <c r="EC109" s="61">
        <v>0</v>
      </c>
      <c r="ED109" s="61">
        <v>0</v>
      </c>
      <c r="EE109" s="61">
        <v>0</v>
      </c>
      <c r="EF109" s="61">
        <v>0</v>
      </c>
      <c r="EG109" s="61">
        <v>0</v>
      </c>
      <c r="EH109" s="61">
        <v>0</v>
      </c>
      <c r="EI109" s="61">
        <v>0</v>
      </c>
      <c r="EJ109" s="61">
        <v>0</v>
      </c>
      <c r="EK109" s="61">
        <v>0</v>
      </c>
      <c r="EL109" s="61">
        <v>0</v>
      </c>
      <c r="EM109" s="61">
        <v>0</v>
      </c>
      <c r="EN109" s="61">
        <v>0</v>
      </c>
      <c r="EO109" s="61">
        <v>0</v>
      </c>
      <c r="EP109" s="61">
        <v>0</v>
      </c>
      <c r="EQ109" s="61">
        <v>0</v>
      </c>
      <c r="ER109" s="61">
        <v>0</v>
      </c>
      <c r="ES109" s="61">
        <v>0</v>
      </c>
      <c r="ET109" s="61">
        <v>0</v>
      </c>
      <c r="EU109" s="61">
        <v>0</v>
      </c>
      <c r="EV109" s="61">
        <v>0</v>
      </c>
      <c r="EW109" s="61">
        <v>0</v>
      </c>
      <c r="EX109" s="61">
        <v>0</v>
      </c>
      <c r="EY109" s="61">
        <v>0</v>
      </c>
      <c r="EZ109" s="61">
        <v>0</v>
      </c>
      <c r="FA109" s="61">
        <v>0</v>
      </c>
      <c r="FB109" s="61">
        <v>0</v>
      </c>
      <c r="FC109" s="61">
        <v>0</v>
      </c>
      <c r="FD109" s="61">
        <v>0</v>
      </c>
      <c r="FE109" s="61">
        <v>0</v>
      </c>
      <c r="FF109" s="61">
        <v>0</v>
      </c>
      <c r="FG109" s="61">
        <v>0</v>
      </c>
      <c r="FH109" s="61">
        <v>0</v>
      </c>
      <c r="FI109" s="61">
        <v>0</v>
      </c>
      <c r="FJ109" s="61">
        <v>0</v>
      </c>
      <c r="FK109" s="61">
        <v>0</v>
      </c>
      <c r="FL109" s="61">
        <v>0</v>
      </c>
      <c r="FM109" s="61">
        <v>0</v>
      </c>
      <c r="FN109" s="61">
        <v>0</v>
      </c>
      <c r="FO109" s="61">
        <v>0</v>
      </c>
      <c r="FP109" s="61">
        <v>0</v>
      </c>
      <c r="FQ109" s="61">
        <v>0</v>
      </c>
      <c r="FR109" s="61">
        <v>0</v>
      </c>
      <c r="FS109" s="61">
        <v>0</v>
      </c>
      <c r="FT109" s="61">
        <v>0</v>
      </c>
      <c r="FU109" s="61">
        <v>0</v>
      </c>
      <c r="FV109" s="63">
        <v>0</v>
      </c>
      <c r="FW109" s="63">
        <v>0</v>
      </c>
      <c r="FX109" s="63">
        <v>0</v>
      </c>
      <c r="FY109" s="63">
        <v>0</v>
      </c>
      <c r="FZ109" s="63">
        <v>0</v>
      </c>
      <c r="GA109" s="63">
        <v>0</v>
      </c>
      <c r="GB109" s="63">
        <v>0</v>
      </c>
      <c r="GC109" s="63">
        <v>0</v>
      </c>
      <c r="GD109" s="63">
        <v>0</v>
      </c>
      <c r="GE109" s="63">
        <v>0</v>
      </c>
      <c r="GF109" s="63">
        <v>0</v>
      </c>
      <c r="GG109" s="63">
        <v>0</v>
      </c>
      <c r="GH109" s="63">
        <v>0</v>
      </c>
      <c r="GI109" s="63">
        <v>0</v>
      </c>
      <c r="GJ109" s="63">
        <v>0</v>
      </c>
      <c r="GK109" s="63">
        <v>0</v>
      </c>
      <c r="GL109" s="63">
        <v>0</v>
      </c>
      <c r="GM109" s="83">
        <v>1</v>
      </c>
      <c r="GN109" s="66">
        <v>1</v>
      </c>
      <c r="GO109" s="66">
        <v>1</v>
      </c>
      <c r="GP109" s="66">
        <v>1</v>
      </c>
      <c r="GQ109" s="66">
        <v>1</v>
      </c>
      <c r="GR109" s="63">
        <v>0</v>
      </c>
      <c r="GS109" s="63">
        <v>0</v>
      </c>
      <c r="GT109" s="63">
        <v>0</v>
      </c>
      <c r="GU109" s="63">
        <v>0</v>
      </c>
      <c r="GV109" s="63">
        <v>0</v>
      </c>
      <c r="GW109" s="63">
        <v>0</v>
      </c>
      <c r="GX109" s="63">
        <v>0</v>
      </c>
      <c r="GY109" s="63">
        <v>0</v>
      </c>
      <c r="GZ109" s="63">
        <v>0</v>
      </c>
      <c r="HA109" s="63">
        <v>0</v>
      </c>
      <c r="HB109" s="63">
        <v>0</v>
      </c>
      <c r="HC109" s="63">
        <v>0</v>
      </c>
      <c r="HD109" s="63">
        <v>0</v>
      </c>
      <c r="HE109" s="63">
        <v>0</v>
      </c>
      <c r="HF109" s="63">
        <v>0</v>
      </c>
      <c r="HG109" s="63">
        <v>0</v>
      </c>
      <c r="HH109" s="63"/>
      <c r="HI109" s="63"/>
      <c r="HJ109" s="63">
        <v>1992</v>
      </c>
      <c r="HK109" s="63">
        <f>SUM(GM$4:HI$4)</f>
        <v>23</v>
      </c>
      <c r="HL109" s="61">
        <f>SUM(GM109:HI109)</f>
        <v>5</v>
      </c>
      <c r="HM109" s="67">
        <f t="shared" si="7"/>
        <v>21.739130434782609</v>
      </c>
      <c r="HN109" s="67"/>
      <c r="HO109" s="68"/>
      <c r="HP109" s="68"/>
    </row>
    <row r="110" spans="1:237" x14ac:dyDescent="0.3">
      <c r="B110" s="84" t="s">
        <v>7350</v>
      </c>
      <c r="C110" s="61">
        <v>0</v>
      </c>
      <c r="D110" s="61">
        <v>0</v>
      </c>
      <c r="E110" s="61">
        <v>0</v>
      </c>
      <c r="F110" s="61">
        <v>0</v>
      </c>
      <c r="G110" s="61">
        <v>0</v>
      </c>
      <c r="H110" s="61">
        <v>0</v>
      </c>
      <c r="I110" s="61">
        <v>0</v>
      </c>
      <c r="J110" s="61">
        <v>0</v>
      </c>
      <c r="K110" s="61">
        <v>0</v>
      </c>
      <c r="L110" s="61">
        <v>0</v>
      </c>
      <c r="M110" s="61">
        <v>0</v>
      </c>
      <c r="N110" s="61">
        <v>0</v>
      </c>
      <c r="O110" s="61">
        <v>0</v>
      </c>
      <c r="P110" s="61">
        <v>0</v>
      </c>
      <c r="Q110" s="61">
        <v>0</v>
      </c>
      <c r="R110" s="61">
        <v>0</v>
      </c>
      <c r="S110" s="61">
        <v>0</v>
      </c>
      <c r="T110" s="61">
        <v>0</v>
      </c>
      <c r="U110" s="61">
        <v>0</v>
      </c>
      <c r="V110" s="61">
        <v>0</v>
      </c>
      <c r="W110" s="61">
        <v>0</v>
      </c>
      <c r="X110" s="61">
        <v>0</v>
      </c>
      <c r="Y110" s="61">
        <v>0</v>
      </c>
      <c r="Z110" s="61">
        <v>0</v>
      </c>
      <c r="AA110" s="61">
        <v>0</v>
      </c>
      <c r="AB110" s="61">
        <v>0</v>
      </c>
      <c r="AC110" s="61">
        <v>0</v>
      </c>
      <c r="AD110" s="61">
        <v>0</v>
      </c>
      <c r="AE110" s="61">
        <v>0</v>
      </c>
      <c r="AF110" s="61">
        <v>0</v>
      </c>
      <c r="AG110" s="61">
        <v>0</v>
      </c>
      <c r="AH110" s="61">
        <v>0</v>
      </c>
      <c r="AI110" s="61">
        <v>0</v>
      </c>
      <c r="AJ110" s="61">
        <v>0</v>
      </c>
      <c r="AK110" s="61">
        <v>0</v>
      </c>
      <c r="AL110" s="61">
        <v>0</v>
      </c>
      <c r="AM110" s="61">
        <v>0</v>
      </c>
      <c r="AN110" s="61">
        <v>0</v>
      </c>
      <c r="AO110" s="61">
        <v>0</v>
      </c>
      <c r="AP110" s="61">
        <v>0</v>
      </c>
      <c r="AQ110" s="61">
        <v>0</v>
      </c>
      <c r="AR110" s="61">
        <v>0</v>
      </c>
      <c r="AS110" s="61">
        <v>0</v>
      </c>
      <c r="AT110" s="61">
        <v>0</v>
      </c>
      <c r="AU110" s="61">
        <v>0</v>
      </c>
      <c r="AV110" s="61">
        <v>0</v>
      </c>
      <c r="AW110" s="61">
        <v>0</v>
      </c>
      <c r="AX110" s="61">
        <v>0</v>
      </c>
      <c r="AY110" s="61">
        <v>0</v>
      </c>
      <c r="AZ110" s="61">
        <v>0</v>
      </c>
      <c r="BA110" s="61">
        <v>0</v>
      </c>
      <c r="BB110" s="61">
        <v>0</v>
      </c>
      <c r="BC110" s="61">
        <v>0</v>
      </c>
      <c r="BD110" s="61">
        <v>0</v>
      </c>
      <c r="BE110" s="61">
        <v>0</v>
      </c>
      <c r="BF110" s="61">
        <v>0</v>
      </c>
      <c r="BG110" s="61">
        <v>0</v>
      </c>
      <c r="BH110" s="61">
        <v>0</v>
      </c>
      <c r="BI110" s="61">
        <v>0</v>
      </c>
      <c r="BJ110" s="61">
        <v>0</v>
      </c>
      <c r="BK110" s="61">
        <v>0</v>
      </c>
      <c r="BL110" s="61">
        <v>0</v>
      </c>
      <c r="BM110" s="61">
        <v>0</v>
      </c>
      <c r="BN110" s="61">
        <v>0</v>
      </c>
      <c r="BO110" s="61">
        <v>0</v>
      </c>
      <c r="BP110" s="61">
        <v>0</v>
      </c>
      <c r="BQ110" s="61">
        <v>0</v>
      </c>
      <c r="BR110" s="61">
        <v>0</v>
      </c>
      <c r="BS110" s="61">
        <v>0</v>
      </c>
      <c r="BT110" s="61">
        <v>0</v>
      </c>
      <c r="BU110" s="61">
        <v>0</v>
      </c>
      <c r="BV110" s="61">
        <v>0</v>
      </c>
      <c r="BW110" s="61">
        <v>0</v>
      </c>
      <c r="BX110" s="61">
        <v>0</v>
      </c>
      <c r="BY110" s="61">
        <v>0</v>
      </c>
      <c r="BZ110" s="61">
        <v>0</v>
      </c>
      <c r="CA110" s="61">
        <v>0</v>
      </c>
      <c r="CB110" s="61">
        <v>0</v>
      </c>
      <c r="CC110" s="61">
        <v>0</v>
      </c>
      <c r="CD110" s="61">
        <v>0</v>
      </c>
      <c r="CE110" s="61">
        <v>0</v>
      </c>
      <c r="CF110" s="61">
        <v>0</v>
      </c>
      <c r="CG110" s="61">
        <v>0</v>
      </c>
      <c r="CH110" s="61">
        <v>0</v>
      </c>
      <c r="CI110" s="61">
        <v>0</v>
      </c>
      <c r="CJ110" s="61">
        <v>0</v>
      </c>
      <c r="CK110" s="61">
        <v>0</v>
      </c>
      <c r="CL110" s="61">
        <v>0</v>
      </c>
      <c r="CM110" s="61">
        <v>0</v>
      </c>
      <c r="CN110" s="61">
        <v>0</v>
      </c>
      <c r="CO110" s="61">
        <v>0</v>
      </c>
      <c r="CP110" s="61">
        <v>0</v>
      </c>
      <c r="CQ110" s="61">
        <v>0</v>
      </c>
      <c r="CR110" s="61">
        <v>0</v>
      </c>
      <c r="CS110" s="61">
        <v>0</v>
      </c>
      <c r="CT110" s="61">
        <v>0</v>
      </c>
      <c r="CU110" s="61">
        <v>0</v>
      </c>
      <c r="CV110" s="61">
        <v>0</v>
      </c>
      <c r="CW110" s="61">
        <v>0</v>
      </c>
      <c r="CX110" s="61">
        <v>0</v>
      </c>
      <c r="CY110" s="61">
        <v>0</v>
      </c>
      <c r="CZ110" s="61">
        <v>0</v>
      </c>
      <c r="DA110" s="61">
        <v>0</v>
      </c>
      <c r="DB110" s="61">
        <v>0</v>
      </c>
      <c r="DC110" s="61">
        <v>0</v>
      </c>
      <c r="DD110" s="61">
        <v>0</v>
      </c>
      <c r="DE110" s="61">
        <v>0</v>
      </c>
      <c r="DF110" s="61">
        <v>0</v>
      </c>
      <c r="DG110" s="61">
        <v>0</v>
      </c>
      <c r="DH110" s="61">
        <v>0</v>
      </c>
      <c r="DI110" s="61">
        <v>0</v>
      </c>
      <c r="DJ110" s="61">
        <v>0</v>
      </c>
      <c r="DK110" s="61">
        <v>0</v>
      </c>
      <c r="DL110" s="61">
        <v>0</v>
      </c>
      <c r="DM110" s="61">
        <v>0</v>
      </c>
      <c r="DN110" s="61">
        <v>0</v>
      </c>
      <c r="DO110" s="61">
        <v>0</v>
      </c>
      <c r="DP110" s="61">
        <v>0</v>
      </c>
      <c r="DQ110" s="61">
        <v>0</v>
      </c>
      <c r="DR110" s="61">
        <v>0</v>
      </c>
      <c r="DS110" s="61">
        <v>0</v>
      </c>
      <c r="DT110" s="61">
        <v>0</v>
      </c>
      <c r="DU110" s="61">
        <v>0</v>
      </c>
      <c r="DV110" s="61">
        <v>0</v>
      </c>
      <c r="DW110" s="61">
        <v>0</v>
      </c>
      <c r="DX110" s="61">
        <v>0</v>
      </c>
      <c r="DY110" s="61">
        <v>0</v>
      </c>
      <c r="DZ110" s="61">
        <v>0</v>
      </c>
      <c r="EA110" s="61">
        <v>0</v>
      </c>
      <c r="EB110" s="61">
        <v>0</v>
      </c>
      <c r="EC110" s="61">
        <v>0</v>
      </c>
      <c r="ED110" s="61">
        <v>0</v>
      </c>
      <c r="EE110" s="61">
        <v>0</v>
      </c>
      <c r="EF110" s="61">
        <v>0</v>
      </c>
      <c r="EG110" s="61">
        <v>0</v>
      </c>
      <c r="EH110" s="61">
        <v>0</v>
      </c>
      <c r="EI110" s="61">
        <v>0</v>
      </c>
      <c r="EJ110" s="61">
        <v>0</v>
      </c>
      <c r="EK110" s="66">
        <v>1</v>
      </c>
      <c r="EL110" s="66">
        <v>1</v>
      </c>
      <c r="EM110" s="66">
        <v>1</v>
      </c>
      <c r="EN110" s="66">
        <v>1</v>
      </c>
      <c r="EO110" s="66">
        <v>1</v>
      </c>
      <c r="EP110" s="66">
        <v>1</v>
      </c>
      <c r="EQ110" s="66">
        <v>1</v>
      </c>
      <c r="ER110" s="66">
        <v>1</v>
      </c>
      <c r="ES110" s="66">
        <v>1</v>
      </c>
      <c r="ET110" s="61">
        <v>0</v>
      </c>
      <c r="EU110" s="61">
        <v>0</v>
      </c>
      <c r="EV110" s="61">
        <v>0</v>
      </c>
      <c r="EW110" s="61">
        <v>0</v>
      </c>
      <c r="EX110" s="61">
        <v>0</v>
      </c>
      <c r="EY110" s="61">
        <v>0</v>
      </c>
      <c r="EZ110" s="61">
        <v>0</v>
      </c>
      <c r="FA110" s="61">
        <v>0</v>
      </c>
      <c r="FB110" s="61">
        <v>0</v>
      </c>
      <c r="FC110" s="61">
        <v>0</v>
      </c>
      <c r="FD110" s="61">
        <v>0</v>
      </c>
      <c r="FE110" s="61">
        <v>0</v>
      </c>
      <c r="FF110" s="66">
        <v>1</v>
      </c>
      <c r="FG110" s="66">
        <v>1</v>
      </c>
      <c r="FH110" s="61">
        <v>0</v>
      </c>
      <c r="FI110" s="61">
        <v>0</v>
      </c>
      <c r="FJ110" s="61">
        <v>0</v>
      </c>
      <c r="FK110" s="61">
        <v>0</v>
      </c>
      <c r="FL110" s="61">
        <v>0</v>
      </c>
      <c r="FM110" s="61">
        <v>0</v>
      </c>
      <c r="FN110" s="61">
        <v>0</v>
      </c>
      <c r="FO110" s="61">
        <v>0</v>
      </c>
      <c r="FP110" s="61">
        <v>0</v>
      </c>
      <c r="FQ110" s="61">
        <v>0</v>
      </c>
      <c r="FR110" s="61">
        <v>0</v>
      </c>
      <c r="FS110" s="61">
        <v>0</v>
      </c>
      <c r="FT110" s="61">
        <v>0</v>
      </c>
      <c r="FU110" s="61">
        <v>0</v>
      </c>
      <c r="FV110" s="63">
        <v>0</v>
      </c>
      <c r="FW110" s="63">
        <v>0</v>
      </c>
      <c r="FX110" s="63">
        <v>0</v>
      </c>
      <c r="FY110" s="63">
        <v>0</v>
      </c>
      <c r="FZ110" s="63">
        <v>0</v>
      </c>
      <c r="GA110" s="63">
        <v>0</v>
      </c>
      <c r="GB110" s="63">
        <v>0</v>
      </c>
      <c r="GC110" s="63">
        <v>0</v>
      </c>
      <c r="GD110" s="63">
        <v>0</v>
      </c>
      <c r="GE110" s="63">
        <v>0</v>
      </c>
      <c r="GF110" s="63">
        <v>0</v>
      </c>
      <c r="GG110" s="63">
        <v>0</v>
      </c>
      <c r="GH110" s="63">
        <v>0</v>
      </c>
      <c r="GI110" s="63">
        <v>0</v>
      </c>
      <c r="GJ110" s="63">
        <v>0</v>
      </c>
      <c r="GK110" s="63">
        <v>0</v>
      </c>
      <c r="GL110" s="63">
        <v>0</v>
      </c>
      <c r="GM110" s="63">
        <v>0</v>
      </c>
      <c r="GN110" s="63">
        <v>0</v>
      </c>
      <c r="GO110" s="63">
        <v>0</v>
      </c>
      <c r="GP110" s="63">
        <v>0</v>
      </c>
      <c r="GQ110" s="63">
        <v>0</v>
      </c>
      <c r="GR110" s="63">
        <v>0</v>
      </c>
      <c r="GS110" s="63">
        <v>0</v>
      </c>
      <c r="GT110" s="63">
        <v>0</v>
      </c>
      <c r="GU110" s="63">
        <v>0</v>
      </c>
      <c r="GV110" s="63">
        <v>0</v>
      </c>
      <c r="GW110" s="63">
        <v>0</v>
      </c>
      <c r="GX110" s="63">
        <v>0</v>
      </c>
      <c r="GY110" s="63">
        <v>0</v>
      </c>
      <c r="GZ110" s="63">
        <v>0</v>
      </c>
      <c r="HA110" s="63">
        <v>0</v>
      </c>
      <c r="HB110" s="63">
        <v>0</v>
      </c>
      <c r="HC110" s="63">
        <v>0</v>
      </c>
      <c r="HD110" s="63">
        <v>0</v>
      </c>
      <c r="HE110" s="63">
        <v>0</v>
      </c>
      <c r="HF110" s="63">
        <v>0</v>
      </c>
      <c r="HG110" s="63">
        <v>0</v>
      </c>
      <c r="HH110" s="63"/>
      <c r="HI110" s="63"/>
      <c r="HJ110" s="63" t="s">
        <v>7351</v>
      </c>
      <c r="HK110" s="63">
        <f>SUM($DQ$4:$GM$4)</f>
        <v>75</v>
      </c>
      <c r="HL110" s="63">
        <f>SUM($DQ$110:$GM$110)</f>
        <v>11</v>
      </c>
      <c r="HM110" s="67">
        <f t="shared" si="7"/>
        <v>14.666666666666666</v>
      </c>
      <c r="HN110" s="67"/>
      <c r="HO110" s="68"/>
      <c r="HP110" s="68"/>
    </row>
    <row r="111" spans="1:237" x14ac:dyDescent="0.3">
      <c r="B111" s="61" t="s">
        <v>7352</v>
      </c>
      <c r="C111" s="61">
        <v>0</v>
      </c>
      <c r="D111" s="61">
        <v>0</v>
      </c>
      <c r="E111" s="61">
        <v>0</v>
      </c>
      <c r="F111" s="61">
        <v>0</v>
      </c>
      <c r="G111" s="61">
        <v>0</v>
      </c>
      <c r="H111" s="61">
        <v>0</v>
      </c>
      <c r="I111" s="61">
        <v>0</v>
      </c>
      <c r="J111" s="61">
        <v>0</v>
      </c>
      <c r="K111" s="61">
        <v>0</v>
      </c>
      <c r="L111" s="61">
        <v>0</v>
      </c>
      <c r="M111" s="61">
        <v>0</v>
      </c>
      <c r="N111" s="61">
        <v>0</v>
      </c>
      <c r="O111" s="61">
        <v>0</v>
      </c>
      <c r="P111" s="61">
        <v>0</v>
      </c>
      <c r="Q111" s="61">
        <v>0</v>
      </c>
      <c r="R111" s="61">
        <v>0</v>
      </c>
      <c r="S111" s="61">
        <v>0</v>
      </c>
      <c r="T111" s="61">
        <v>0</v>
      </c>
      <c r="U111" s="61">
        <v>0</v>
      </c>
      <c r="V111" s="61">
        <v>0</v>
      </c>
      <c r="W111" s="61">
        <v>0</v>
      </c>
      <c r="X111" s="61">
        <v>0</v>
      </c>
      <c r="Y111" s="61">
        <v>0</v>
      </c>
      <c r="Z111" s="61">
        <v>0</v>
      </c>
      <c r="AA111" s="61">
        <v>0</v>
      </c>
      <c r="AB111" s="61">
        <v>0</v>
      </c>
      <c r="AC111" s="61">
        <v>0</v>
      </c>
      <c r="AD111" s="61">
        <v>0</v>
      </c>
      <c r="AE111" s="61">
        <v>0</v>
      </c>
      <c r="AF111" s="61">
        <v>0</v>
      </c>
      <c r="AG111" s="61">
        <v>0</v>
      </c>
      <c r="AH111" s="61">
        <v>0</v>
      </c>
      <c r="AI111" s="61">
        <v>0</v>
      </c>
      <c r="AJ111" s="61">
        <v>0</v>
      </c>
      <c r="AK111" s="61">
        <v>0</v>
      </c>
      <c r="AL111" s="61">
        <v>0</v>
      </c>
      <c r="AM111" s="61">
        <v>0</v>
      </c>
      <c r="AN111" s="61">
        <v>0</v>
      </c>
      <c r="AO111" s="61">
        <v>0</v>
      </c>
      <c r="AP111" s="61">
        <v>0</v>
      </c>
      <c r="AQ111" s="61">
        <v>0</v>
      </c>
      <c r="AR111" s="61">
        <v>0</v>
      </c>
      <c r="AS111" s="61">
        <v>0</v>
      </c>
      <c r="AT111" s="61">
        <v>0</v>
      </c>
      <c r="AU111" s="61">
        <v>0</v>
      </c>
      <c r="AV111" s="61">
        <v>0</v>
      </c>
      <c r="AW111" s="61">
        <v>0</v>
      </c>
      <c r="AX111" s="61">
        <v>0</v>
      </c>
      <c r="AY111" s="61">
        <v>0</v>
      </c>
      <c r="AZ111" s="61">
        <v>0</v>
      </c>
      <c r="BA111" s="61">
        <v>0</v>
      </c>
      <c r="BB111" s="61">
        <v>0</v>
      </c>
      <c r="BC111" s="61">
        <v>0</v>
      </c>
      <c r="BD111" s="61">
        <v>0</v>
      </c>
      <c r="BE111" s="61">
        <v>0</v>
      </c>
      <c r="BF111" s="61">
        <v>0</v>
      </c>
      <c r="BG111" s="61">
        <v>0</v>
      </c>
      <c r="BH111" s="61">
        <v>0</v>
      </c>
      <c r="BI111" s="61">
        <v>0</v>
      </c>
      <c r="BJ111" s="61">
        <v>0</v>
      </c>
      <c r="BK111" s="61">
        <v>0</v>
      </c>
      <c r="BL111" s="61">
        <v>0</v>
      </c>
      <c r="BM111" s="61">
        <v>0</v>
      </c>
      <c r="BN111" s="61">
        <v>0</v>
      </c>
      <c r="BO111" s="61">
        <v>0</v>
      </c>
      <c r="BP111" s="61">
        <v>0</v>
      </c>
      <c r="BQ111" s="61">
        <v>0</v>
      </c>
      <c r="BR111" s="61">
        <v>0</v>
      </c>
      <c r="BS111" s="61">
        <v>0</v>
      </c>
      <c r="BT111" s="61">
        <v>0</v>
      </c>
      <c r="BU111" s="61">
        <v>0</v>
      </c>
      <c r="BV111" s="61">
        <v>0</v>
      </c>
      <c r="BW111" s="61">
        <v>0</v>
      </c>
      <c r="BX111" s="61">
        <v>0</v>
      </c>
      <c r="BY111" s="61">
        <v>0</v>
      </c>
      <c r="BZ111" s="61">
        <v>0</v>
      </c>
      <c r="CA111" s="61">
        <v>0</v>
      </c>
      <c r="CB111" s="61">
        <v>0</v>
      </c>
      <c r="CC111" s="61">
        <v>0</v>
      </c>
      <c r="CD111" s="61">
        <v>0</v>
      </c>
      <c r="CE111" s="61">
        <v>0</v>
      </c>
      <c r="CF111" s="61">
        <v>0</v>
      </c>
      <c r="CG111" s="61">
        <v>0</v>
      </c>
      <c r="CH111" s="61">
        <v>0</v>
      </c>
      <c r="CI111" s="61">
        <v>0</v>
      </c>
      <c r="CJ111" s="61">
        <v>0</v>
      </c>
      <c r="CK111" s="61">
        <v>0</v>
      </c>
      <c r="CL111" s="61">
        <v>0</v>
      </c>
      <c r="CM111" s="61">
        <v>0</v>
      </c>
      <c r="CN111" s="61">
        <v>0</v>
      </c>
      <c r="CO111" s="61">
        <v>0</v>
      </c>
      <c r="CP111" s="61">
        <v>0</v>
      </c>
      <c r="CQ111" s="61">
        <v>0</v>
      </c>
      <c r="CR111" s="61">
        <v>0</v>
      </c>
      <c r="CS111" s="61">
        <v>0</v>
      </c>
      <c r="CT111" s="61">
        <v>0</v>
      </c>
      <c r="CU111" s="61">
        <v>0</v>
      </c>
      <c r="CV111" s="61">
        <v>0</v>
      </c>
      <c r="CW111" s="61">
        <v>0</v>
      </c>
      <c r="CX111" s="61">
        <v>0</v>
      </c>
      <c r="CY111" s="61">
        <v>0</v>
      </c>
      <c r="CZ111" s="61">
        <v>0</v>
      </c>
      <c r="DA111" s="61">
        <v>0</v>
      </c>
      <c r="DB111" s="61">
        <v>0</v>
      </c>
      <c r="DC111" s="61">
        <v>0</v>
      </c>
      <c r="DD111" s="61">
        <v>0</v>
      </c>
      <c r="DE111" s="61">
        <v>0</v>
      </c>
      <c r="DF111" s="61">
        <v>0</v>
      </c>
      <c r="DG111" s="61">
        <v>0</v>
      </c>
      <c r="DH111" s="61">
        <v>0</v>
      </c>
      <c r="DI111" s="61">
        <v>0</v>
      </c>
      <c r="DJ111" s="61">
        <v>0</v>
      </c>
      <c r="DK111" s="61">
        <v>0</v>
      </c>
      <c r="DL111" s="61">
        <v>0</v>
      </c>
      <c r="DM111" s="61">
        <v>0</v>
      </c>
      <c r="DN111" s="61">
        <v>0</v>
      </c>
      <c r="DO111" s="61">
        <v>0</v>
      </c>
      <c r="DP111" s="61">
        <v>0</v>
      </c>
      <c r="DQ111" s="61">
        <v>0</v>
      </c>
      <c r="DR111" s="61">
        <v>0</v>
      </c>
      <c r="DS111" s="61">
        <v>0</v>
      </c>
      <c r="DT111" s="61">
        <v>0</v>
      </c>
      <c r="DU111" s="61">
        <v>0</v>
      </c>
      <c r="DV111" s="61">
        <v>0</v>
      </c>
      <c r="DW111" s="61">
        <v>0</v>
      </c>
      <c r="DX111" s="61">
        <v>0</v>
      </c>
      <c r="DY111" s="61">
        <v>0</v>
      </c>
      <c r="DZ111" s="61">
        <v>0</v>
      </c>
      <c r="EA111" s="61">
        <v>0</v>
      </c>
      <c r="EB111" s="61">
        <v>0</v>
      </c>
      <c r="EC111" s="61">
        <v>0</v>
      </c>
      <c r="ED111" s="61">
        <v>0</v>
      </c>
      <c r="EE111" s="61">
        <v>0</v>
      </c>
      <c r="EF111" s="61">
        <v>0</v>
      </c>
      <c r="EG111" s="61">
        <v>0</v>
      </c>
      <c r="EH111" s="61">
        <v>0</v>
      </c>
      <c r="EI111" s="61">
        <v>0</v>
      </c>
      <c r="EJ111" s="61">
        <v>0</v>
      </c>
      <c r="EK111" s="61">
        <v>0</v>
      </c>
      <c r="EL111" s="61">
        <v>0</v>
      </c>
      <c r="EM111" s="61">
        <v>0</v>
      </c>
      <c r="EN111" s="61">
        <v>0</v>
      </c>
      <c r="EO111" s="61">
        <v>0</v>
      </c>
      <c r="EP111" s="61">
        <v>0</v>
      </c>
      <c r="EQ111" s="61">
        <v>0</v>
      </c>
      <c r="ER111" s="61">
        <v>0</v>
      </c>
      <c r="ES111" s="61">
        <v>0</v>
      </c>
      <c r="ET111" s="61">
        <v>0</v>
      </c>
      <c r="EU111" s="61">
        <v>0</v>
      </c>
      <c r="EV111" s="61">
        <v>0</v>
      </c>
      <c r="EW111" s="61">
        <v>0</v>
      </c>
      <c r="EX111" s="61">
        <v>0</v>
      </c>
      <c r="EY111" s="61">
        <v>0</v>
      </c>
      <c r="EZ111" s="61">
        <v>0</v>
      </c>
      <c r="FA111" s="61">
        <v>0</v>
      </c>
      <c r="FB111" s="61">
        <v>0</v>
      </c>
      <c r="FC111" s="61">
        <v>0</v>
      </c>
      <c r="FD111" s="61">
        <v>0</v>
      </c>
      <c r="FE111" s="61">
        <v>0</v>
      </c>
      <c r="FF111" s="61">
        <v>0</v>
      </c>
      <c r="FG111" s="61">
        <v>0</v>
      </c>
      <c r="FH111" s="61">
        <v>0</v>
      </c>
      <c r="FI111" s="61">
        <v>0</v>
      </c>
      <c r="FJ111" s="61">
        <v>0</v>
      </c>
      <c r="FK111" s="61">
        <v>0</v>
      </c>
      <c r="FL111" s="61">
        <v>0</v>
      </c>
      <c r="FM111" s="61">
        <v>0</v>
      </c>
      <c r="FN111" s="61">
        <v>0</v>
      </c>
      <c r="FO111" s="61">
        <v>0</v>
      </c>
      <c r="FP111" s="61">
        <v>0</v>
      </c>
      <c r="FQ111" s="61">
        <v>0</v>
      </c>
      <c r="FR111" s="61">
        <v>0</v>
      </c>
      <c r="FS111" s="61">
        <v>0</v>
      </c>
      <c r="FT111" s="61">
        <v>0</v>
      </c>
      <c r="FU111" s="61">
        <v>0</v>
      </c>
      <c r="FV111" s="63">
        <v>0</v>
      </c>
      <c r="FW111" s="63">
        <v>0</v>
      </c>
      <c r="FX111" s="63">
        <v>0</v>
      </c>
      <c r="FY111" s="63">
        <v>0</v>
      </c>
      <c r="FZ111" s="63">
        <v>0</v>
      </c>
      <c r="GA111" s="63">
        <v>0</v>
      </c>
      <c r="GB111" s="63">
        <v>0</v>
      </c>
      <c r="GC111" s="63">
        <v>0</v>
      </c>
      <c r="GD111" s="63">
        <v>0</v>
      </c>
      <c r="GE111" s="63">
        <v>0</v>
      </c>
      <c r="GF111" s="63">
        <v>0</v>
      </c>
      <c r="GG111" s="63">
        <v>0</v>
      </c>
      <c r="GH111" s="63">
        <v>0</v>
      </c>
      <c r="GI111" s="63">
        <v>0</v>
      </c>
      <c r="GJ111" s="63">
        <v>0</v>
      </c>
      <c r="GK111" s="63">
        <v>0</v>
      </c>
      <c r="GL111" s="63">
        <v>0</v>
      </c>
      <c r="GM111" s="63">
        <v>0</v>
      </c>
      <c r="GN111" s="83">
        <v>0</v>
      </c>
      <c r="GO111" s="63">
        <v>0</v>
      </c>
      <c r="GP111" s="63">
        <v>0</v>
      </c>
      <c r="GQ111" s="63">
        <v>0</v>
      </c>
      <c r="GR111" s="63">
        <v>0</v>
      </c>
      <c r="GS111" s="63">
        <v>0</v>
      </c>
      <c r="GT111" s="63">
        <v>0</v>
      </c>
      <c r="GU111" s="63">
        <v>0</v>
      </c>
      <c r="GV111" s="63">
        <v>0</v>
      </c>
      <c r="GW111" s="63">
        <v>0</v>
      </c>
      <c r="GX111" s="63">
        <v>0</v>
      </c>
      <c r="GY111" s="63">
        <v>0</v>
      </c>
      <c r="GZ111" s="63">
        <v>0</v>
      </c>
      <c r="HA111" s="63">
        <v>0</v>
      </c>
      <c r="HB111" s="63">
        <v>0</v>
      </c>
      <c r="HC111" s="63">
        <v>0</v>
      </c>
      <c r="HD111" s="63">
        <v>0</v>
      </c>
      <c r="HE111" s="63">
        <v>0</v>
      </c>
      <c r="HF111" s="63">
        <v>0</v>
      </c>
      <c r="HG111" s="63">
        <v>0</v>
      </c>
      <c r="HH111" s="63"/>
      <c r="HI111" s="63"/>
      <c r="HJ111" s="63">
        <v>1993</v>
      </c>
      <c r="HK111" s="63">
        <f>SUM(GN$4:HI$4)</f>
        <v>22</v>
      </c>
      <c r="HL111" s="61">
        <f>SUM(GN111:HI111)</f>
        <v>0</v>
      </c>
      <c r="HM111" s="67">
        <f>100*HL111/HK111</f>
        <v>0</v>
      </c>
      <c r="HN111" s="67"/>
      <c r="HO111" s="68"/>
      <c r="HP111" s="68"/>
    </row>
    <row r="112" spans="1:237" x14ac:dyDescent="0.3">
      <c r="B112" s="61" t="s">
        <v>7353</v>
      </c>
      <c r="C112" s="61">
        <v>0</v>
      </c>
      <c r="D112" s="61">
        <v>0</v>
      </c>
      <c r="E112" s="61">
        <v>0</v>
      </c>
      <c r="F112" s="61">
        <v>0</v>
      </c>
      <c r="G112" s="61">
        <v>0</v>
      </c>
      <c r="H112" s="61">
        <v>0</v>
      </c>
      <c r="I112" s="61">
        <v>0</v>
      </c>
      <c r="J112" s="61">
        <v>0</v>
      </c>
      <c r="K112" s="61">
        <v>0</v>
      </c>
      <c r="L112" s="61">
        <v>0</v>
      </c>
      <c r="M112" s="61">
        <v>0</v>
      </c>
      <c r="N112" s="61">
        <v>0</v>
      </c>
      <c r="O112" s="61">
        <v>0</v>
      </c>
      <c r="P112" s="61">
        <v>0</v>
      </c>
      <c r="Q112" s="61">
        <v>0</v>
      </c>
      <c r="R112" s="61">
        <v>0</v>
      </c>
      <c r="S112" s="61">
        <v>0</v>
      </c>
      <c r="T112" s="61">
        <v>0</v>
      </c>
      <c r="U112" s="61">
        <v>0</v>
      </c>
      <c r="V112" s="61">
        <v>0</v>
      </c>
      <c r="W112" s="61">
        <v>0</v>
      </c>
      <c r="X112" s="61">
        <v>0</v>
      </c>
      <c r="Y112" s="61">
        <v>0</v>
      </c>
      <c r="Z112" s="61">
        <v>0</v>
      </c>
      <c r="AA112" s="61">
        <v>0</v>
      </c>
      <c r="AB112" s="61">
        <v>0</v>
      </c>
      <c r="AC112" s="61">
        <v>0</v>
      </c>
      <c r="AD112" s="61">
        <v>0</v>
      </c>
      <c r="AE112" s="61">
        <v>0</v>
      </c>
      <c r="AF112" s="61">
        <v>0</v>
      </c>
      <c r="AG112" s="61">
        <v>0</v>
      </c>
      <c r="AH112" s="61">
        <v>0</v>
      </c>
      <c r="AI112" s="61">
        <v>0</v>
      </c>
      <c r="AJ112" s="61">
        <v>0</v>
      </c>
      <c r="AK112" s="61">
        <v>0</v>
      </c>
      <c r="AL112" s="61">
        <v>0</v>
      </c>
      <c r="AM112" s="61">
        <v>0</v>
      </c>
      <c r="AN112" s="61">
        <v>0</v>
      </c>
      <c r="AO112" s="61">
        <v>0</v>
      </c>
      <c r="AP112" s="61">
        <v>0</v>
      </c>
      <c r="AQ112" s="61">
        <v>0</v>
      </c>
      <c r="AR112" s="61">
        <v>0</v>
      </c>
      <c r="AS112" s="61">
        <v>0</v>
      </c>
      <c r="AT112" s="61">
        <v>0</v>
      </c>
      <c r="AU112" s="61">
        <v>0</v>
      </c>
      <c r="AV112" s="61">
        <v>0</v>
      </c>
      <c r="AW112" s="61">
        <v>0</v>
      </c>
      <c r="AX112" s="61">
        <v>0</v>
      </c>
      <c r="AY112" s="61">
        <v>0</v>
      </c>
      <c r="AZ112" s="61">
        <v>0</v>
      </c>
      <c r="BA112" s="61">
        <v>0</v>
      </c>
      <c r="BB112" s="61">
        <v>0</v>
      </c>
      <c r="BC112" s="61">
        <v>0</v>
      </c>
      <c r="BD112" s="61">
        <v>0</v>
      </c>
      <c r="BE112" s="61">
        <v>0</v>
      </c>
      <c r="BF112" s="61">
        <v>0</v>
      </c>
      <c r="BG112" s="61">
        <v>0</v>
      </c>
      <c r="BH112" s="61">
        <v>0</v>
      </c>
      <c r="BI112" s="61">
        <v>0</v>
      </c>
      <c r="BJ112" s="61">
        <v>0</v>
      </c>
      <c r="BK112" s="61">
        <v>0</v>
      </c>
      <c r="BL112" s="61">
        <v>0</v>
      </c>
      <c r="BM112" s="61">
        <v>0</v>
      </c>
      <c r="BN112" s="61">
        <v>0</v>
      </c>
      <c r="BO112" s="61">
        <v>0</v>
      </c>
      <c r="BP112" s="61">
        <v>0</v>
      </c>
      <c r="BQ112" s="61">
        <v>0</v>
      </c>
      <c r="BR112" s="61">
        <v>0</v>
      </c>
      <c r="BS112" s="61">
        <v>0</v>
      </c>
      <c r="BT112" s="61">
        <v>0</v>
      </c>
      <c r="BU112" s="61">
        <v>0</v>
      </c>
      <c r="BV112" s="61">
        <v>0</v>
      </c>
      <c r="BW112" s="61">
        <v>0</v>
      </c>
      <c r="BX112" s="61">
        <v>0</v>
      </c>
      <c r="BY112" s="61">
        <v>0</v>
      </c>
      <c r="BZ112" s="61">
        <v>0</v>
      </c>
      <c r="CA112" s="61">
        <v>0</v>
      </c>
      <c r="CB112" s="61">
        <v>0</v>
      </c>
      <c r="CC112" s="61">
        <v>0</v>
      </c>
      <c r="CD112" s="61">
        <v>0</v>
      </c>
      <c r="CE112" s="61">
        <v>0</v>
      </c>
      <c r="CF112" s="61">
        <v>0</v>
      </c>
      <c r="CG112" s="61">
        <v>0</v>
      </c>
      <c r="CH112" s="61">
        <v>0</v>
      </c>
      <c r="CI112" s="61">
        <v>0</v>
      </c>
      <c r="CJ112" s="61">
        <v>0</v>
      </c>
      <c r="CK112" s="61">
        <v>0</v>
      </c>
      <c r="CL112" s="61">
        <v>0</v>
      </c>
      <c r="CM112" s="61">
        <v>0</v>
      </c>
      <c r="CN112" s="61">
        <v>0</v>
      </c>
      <c r="CO112" s="61">
        <v>0</v>
      </c>
      <c r="CP112" s="61">
        <v>0</v>
      </c>
      <c r="CQ112" s="61">
        <v>0</v>
      </c>
      <c r="CR112" s="61">
        <v>0</v>
      </c>
      <c r="CS112" s="61">
        <v>0</v>
      </c>
      <c r="CT112" s="61">
        <v>0</v>
      </c>
      <c r="CU112" s="61">
        <v>0</v>
      </c>
      <c r="CV112" s="61">
        <v>0</v>
      </c>
      <c r="CW112" s="61">
        <v>0</v>
      </c>
      <c r="CX112" s="61">
        <v>0</v>
      </c>
      <c r="CY112" s="61">
        <v>0</v>
      </c>
      <c r="CZ112" s="61">
        <v>0</v>
      </c>
      <c r="DA112" s="61">
        <v>0</v>
      </c>
      <c r="DB112" s="61">
        <v>0</v>
      </c>
      <c r="DC112" s="61">
        <v>0</v>
      </c>
      <c r="DD112" s="61">
        <v>0</v>
      </c>
      <c r="DE112" s="61">
        <v>0</v>
      </c>
      <c r="DF112" s="61">
        <v>0</v>
      </c>
      <c r="DG112" s="61">
        <v>0</v>
      </c>
      <c r="DH112" s="61">
        <v>0</v>
      </c>
      <c r="DI112" s="61">
        <v>0</v>
      </c>
      <c r="DJ112" s="61">
        <v>0</v>
      </c>
      <c r="DK112" s="61">
        <v>0</v>
      </c>
      <c r="DL112" s="61">
        <v>0</v>
      </c>
      <c r="DM112" s="61">
        <v>0</v>
      </c>
      <c r="DN112" s="61">
        <v>0</v>
      </c>
      <c r="DO112" s="61">
        <v>0</v>
      </c>
      <c r="DP112" s="61">
        <v>0</v>
      </c>
      <c r="DQ112" s="61">
        <v>0</v>
      </c>
      <c r="DR112" s="61">
        <v>0</v>
      </c>
      <c r="DS112" s="61">
        <v>0</v>
      </c>
      <c r="DT112" s="61">
        <v>0</v>
      </c>
      <c r="DU112" s="61">
        <v>0</v>
      </c>
      <c r="DV112" s="61">
        <v>0</v>
      </c>
      <c r="DW112" s="61">
        <v>0</v>
      </c>
      <c r="DX112" s="61">
        <v>0</v>
      </c>
      <c r="DY112" s="61">
        <v>0</v>
      </c>
      <c r="DZ112" s="61">
        <v>0</v>
      </c>
      <c r="EA112" s="61">
        <v>0</v>
      </c>
      <c r="EB112" s="61">
        <v>0</v>
      </c>
      <c r="EC112" s="61">
        <v>0</v>
      </c>
      <c r="ED112" s="61">
        <v>0</v>
      </c>
      <c r="EE112" s="61">
        <v>0</v>
      </c>
      <c r="EF112" s="61">
        <v>0</v>
      </c>
      <c r="EG112" s="61">
        <v>0</v>
      </c>
      <c r="EH112" s="61">
        <v>0</v>
      </c>
      <c r="EI112" s="61">
        <v>0</v>
      </c>
      <c r="EJ112" s="61">
        <v>0</v>
      </c>
      <c r="EK112" s="61">
        <v>0</v>
      </c>
      <c r="EL112" s="61">
        <v>0</v>
      </c>
      <c r="EM112" s="61">
        <v>0</v>
      </c>
      <c r="EN112" s="61">
        <v>0</v>
      </c>
      <c r="EO112" s="61">
        <v>0</v>
      </c>
      <c r="EP112" s="61">
        <v>0</v>
      </c>
      <c r="EQ112" s="61">
        <v>0</v>
      </c>
      <c r="ER112" s="61">
        <v>0</v>
      </c>
      <c r="ES112" s="61">
        <v>0</v>
      </c>
      <c r="ET112" s="61">
        <v>0</v>
      </c>
      <c r="EU112" s="61">
        <v>0</v>
      </c>
      <c r="EV112" s="61">
        <v>0</v>
      </c>
      <c r="EW112" s="61">
        <v>0</v>
      </c>
      <c r="EX112" s="61">
        <v>0</v>
      </c>
      <c r="EY112" s="61">
        <v>0</v>
      </c>
      <c r="EZ112" s="61">
        <v>0</v>
      </c>
      <c r="FA112" s="61">
        <v>0</v>
      </c>
      <c r="FB112" s="61">
        <v>0</v>
      </c>
      <c r="FC112" s="61">
        <v>0</v>
      </c>
      <c r="FD112" s="61">
        <v>0</v>
      </c>
      <c r="FE112" s="61">
        <v>0</v>
      </c>
      <c r="FF112" s="61">
        <v>0</v>
      </c>
      <c r="FG112" s="61">
        <v>0</v>
      </c>
      <c r="FH112" s="61">
        <v>0</v>
      </c>
      <c r="FI112" s="61">
        <v>0</v>
      </c>
      <c r="FJ112" s="61">
        <v>0</v>
      </c>
      <c r="FK112" s="61">
        <v>0</v>
      </c>
      <c r="FL112" s="61">
        <v>0</v>
      </c>
      <c r="FM112" s="61">
        <v>0</v>
      </c>
      <c r="FN112" s="61">
        <v>0</v>
      </c>
      <c r="FO112" s="61">
        <v>0</v>
      </c>
      <c r="FP112" s="61">
        <v>0</v>
      </c>
      <c r="FQ112" s="61">
        <v>0</v>
      </c>
      <c r="FR112" s="61">
        <v>0</v>
      </c>
      <c r="FS112" s="61">
        <v>0</v>
      </c>
      <c r="FT112" s="61">
        <v>0</v>
      </c>
      <c r="FU112" s="61">
        <v>0</v>
      </c>
      <c r="FV112" s="61">
        <v>0</v>
      </c>
      <c r="FW112" s="61">
        <v>0</v>
      </c>
      <c r="FX112" s="61">
        <v>0</v>
      </c>
      <c r="FY112" s="61">
        <v>0</v>
      </c>
      <c r="FZ112" s="61">
        <v>0</v>
      </c>
      <c r="GA112" s="61">
        <v>0</v>
      </c>
      <c r="GB112" s="63">
        <v>0</v>
      </c>
      <c r="GC112" s="63">
        <v>0</v>
      </c>
      <c r="GD112" s="63">
        <v>0</v>
      </c>
      <c r="GE112" s="63">
        <v>0</v>
      </c>
      <c r="GF112" s="63">
        <v>0</v>
      </c>
      <c r="GG112" s="63">
        <v>0</v>
      </c>
      <c r="GH112" s="63">
        <v>0</v>
      </c>
      <c r="GI112" s="63">
        <v>0</v>
      </c>
      <c r="GJ112" s="63">
        <v>0</v>
      </c>
      <c r="GK112" s="63">
        <v>0</v>
      </c>
      <c r="GL112" s="63">
        <v>0</v>
      </c>
      <c r="GM112" s="83">
        <v>1</v>
      </c>
      <c r="GN112" s="66">
        <v>1</v>
      </c>
      <c r="GO112" s="66">
        <v>1</v>
      </c>
      <c r="GP112" s="66">
        <v>1</v>
      </c>
      <c r="GQ112" s="66">
        <v>1</v>
      </c>
      <c r="GR112" s="66">
        <v>1</v>
      </c>
      <c r="GS112" s="63">
        <v>0</v>
      </c>
      <c r="GT112" s="63">
        <v>0</v>
      </c>
      <c r="GU112" s="63">
        <v>0</v>
      </c>
      <c r="GV112" s="63">
        <v>0</v>
      </c>
      <c r="GW112" s="63">
        <v>0</v>
      </c>
      <c r="GX112" s="63">
        <v>0</v>
      </c>
      <c r="GY112" s="63">
        <v>0</v>
      </c>
      <c r="GZ112" s="63">
        <v>0</v>
      </c>
      <c r="HA112" s="63">
        <v>0</v>
      </c>
      <c r="HB112" s="63">
        <v>0</v>
      </c>
      <c r="HC112" s="63">
        <v>0</v>
      </c>
      <c r="HD112" s="63">
        <v>0</v>
      </c>
      <c r="HE112" s="63">
        <v>0</v>
      </c>
      <c r="HF112" s="63">
        <v>0</v>
      </c>
      <c r="HG112" s="63">
        <v>0</v>
      </c>
      <c r="HH112" s="63"/>
      <c r="HI112" s="63"/>
      <c r="HJ112" s="63">
        <v>1992</v>
      </c>
      <c r="HK112" s="63">
        <f>SUM(GM$4:HI$4)</f>
        <v>23</v>
      </c>
      <c r="HL112" s="61">
        <f>SUM(GM112:HI112)</f>
        <v>6</v>
      </c>
      <c r="HM112" s="67">
        <f t="shared" si="7"/>
        <v>26.086956521739129</v>
      </c>
      <c r="HN112" s="67"/>
      <c r="HO112" s="68"/>
      <c r="HP112" s="68"/>
    </row>
    <row r="113" spans="1:244" x14ac:dyDescent="0.3">
      <c r="B113" s="61" t="s">
        <v>7354</v>
      </c>
      <c r="C113" s="61">
        <v>0</v>
      </c>
      <c r="D113" s="61">
        <v>0</v>
      </c>
      <c r="E113" s="61">
        <v>0</v>
      </c>
      <c r="F113" s="61">
        <v>0</v>
      </c>
      <c r="G113" s="61">
        <v>0</v>
      </c>
      <c r="H113" s="61">
        <v>0</v>
      </c>
      <c r="I113" s="61">
        <v>0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0</v>
      </c>
      <c r="AD113" s="61">
        <v>0</v>
      </c>
      <c r="AE113" s="61">
        <v>0</v>
      </c>
      <c r="AF113" s="61">
        <v>0</v>
      </c>
      <c r="AG113" s="61">
        <v>0</v>
      </c>
      <c r="AH113" s="61">
        <v>0</v>
      </c>
      <c r="AI113" s="61">
        <v>0</v>
      </c>
      <c r="AJ113" s="61">
        <v>0</v>
      </c>
      <c r="AK113" s="61">
        <v>0</v>
      </c>
      <c r="AL113" s="61">
        <v>0</v>
      </c>
      <c r="AM113" s="61">
        <v>0</v>
      </c>
      <c r="AN113" s="61">
        <v>0</v>
      </c>
      <c r="AO113" s="61">
        <v>0</v>
      </c>
      <c r="AP113" s="61">
        <v>0</v>
      </c>
      <c r="AQ113" s="61">
        <v>0</v>
      </c>
      <c r="AR113" s="61">
        <v>0</v>
      </c>
      <c r="AS113" s="61">
        <v>0</v>
      </c>
      <c r="AT113" s="61">
        <v>0</v>
      </c>
      <c r="AU113" s="61">
        <v>0</v>
      </c>
      <c r="AV113" s="61">
        <v>0</v>
      </c>
      <c r="AW113" s="61">
        <v>0</v>
      </c>
      <c r="AX113" s="61">
        <v>0</v>
      </c>
      <c r="AY113" s="61">
        <v>0</v>
      </c>
      <c r="AZ113" s="61">
        <v>0</v>
      </c>
      <c r="BA113" s="61">
        <v>0</v>
      </c>
      <c r="BB113" s="61">
        <v>0</v>
      </c>
      <c r="BC113" s="61">
        <v>0</v>
      </c>
      <c r="BD113" s="61">
        <v>0</v>
      </c>
      <c r="BE113" s="61">
        <v>0</v>
      </c>
      <c r="BF113" s="61">
        <v>0</v>
      </c>
      <c r="BG113" s="61">
        <v>0</v>
      </c>
      <c r="BH113" s="61">
        <v>0</v>
      </c>
      <c r="BI113" s="61">
        <v>0</v>
      </c>
      <c r="BJ113" s="61">
        <v>0</v>
      </c>
      <c r="BK113" s="61">
        <v>0</v>
      </c>
      <c r="BL113" s="61">
        <v>0</v>
      </c>
      <c r="BM113" s="61">
        <v>0</v>
      </c>
      <c r="BN113" s="61">
        <v>0</v>
      </c>
      <c r="BO113" s="61">
        <v>0</v>
      </c>
      <c r="BP113" s="61">
        <v>0</v>
      </c>
      <c r="BQ113" s="61">
        <v>0</v>
      </c>
      <c r="BR113" s="61">
        <v>0</v>
      </c>
      <c r="BS113" s="61">
        <v>0</v>
      </c>
      <c r="BT113" s="61">
        <v>0</v>
      </c>
      <c r="BU113" s="61">
        <v>0</v>
      </c>
      <c r="BV113" s="61">
        <v>0</v>
      </c>
      <c r="BW113" s="61">
        <v>0</v>
      </c>
      <c r="BX113" s="61">
        <v>0</v>
      </c>
      <c r="BY113" s="61">
        <v>0</v>
      </c>
      <c r="BZ113" s="61">
        <v>0</v>
      </c>
      <c r="CA113" s="61">
        <v>0</v>
      </c>
      <c r="CB113" s="61">
        <v>0</v>
      </c>
      <c r="CC113" s="61">
        <v>0</v>
      </c>
      <c r="CD113" s="61">
        <v>0</v>
      </c>
      <c r="CE113" s="61">
        <v>0</v>
      </c>
      <c r="CF113" s="61">
        <v>0</v>
      </c>
      <c r="CG113" s="61">
        <v>0</v>
      </c>
      <c r="CH113" s="61">
        <v>0</v>
      </c>
      <c r="CI113" s="61">
        <v>0</v>
      </c>
      <c r="CJ113" s="61">
        <v>0</v>
      </c>
      <c r="CK113" s="61">
        <v>0</v>
      </c>
      <c r="CL113" s="61">
        <v>0</v>
      </c>
      <c r="CM113" s="61">
        <v>0</v>
      </c>
      <c r="CN113" s="61">
        <v>0</v>
      </c>
      <c r="CO113" s="61">
        <v>0</v>
      </c>
      <c r="CP113" s="61">
        <v>0</v>
      </c>
      <c r="CQ113" s="61">
        <v>0</v>
      </c>
      <c r="CR113" s="61">
        <v>0</v>
      </c>
      <c r="CS113" s="61">
        <v>0</v>
      </c>
      <c r="CT113" s="61">
        <v>0</v>
      </c>
      <c r="CU113" s="61">
        <v>0</v>
      </c>
      <c r="CV113" s="61">
        <v>0</v>
      </c>
      <c r="CW113" s="61">
        <v>0</v>
      </c>
      <c r="CX113" s="61">
        <v>0</v>
      </c>
      <c r="CY113" s="61">
        <v>0</v>
      </c>
      <c r="CZ113" s="61">
        <v>0</v>
      </c>
      <c r="DA113" s="61">
        <v>0</v>
      </c>
      <c r="DB113" s="61">
        <v>0</v>
      </c>
      <c r="DC113" s="61">
        <v>0</v>
      </c>
      <c r="DD113" s="61">
        <v>0</v>
      </c>
      <c r="DE113" s="61">
        <v>0</v>
      </c>
      <c r="DF113" s="61">
        <v>0</v>
      </c>
      <c r="DG113" s="61">
        <v>0</v>
      </c>
      <c r="DH113" s="61">
        <v>0</v>
      </c>
      <c r="DI113" s="61">
        <v>0</v>
      </c>
      <c r="DJ113" s="61">
        <v>0</v>
      </c>
      <c r="DK113" s="61">
        <v>0</v>
      </c>
      <c r="DL113" s="61">
        <v>0</v>
      </c>
      <c r="DM113" s="61">
        <v>0</v>
      </c>
      <c r="DN113" s="61">
        <v>0</v>
      </c>
      <c r="DO113" s="61">
        <v>0</v>
      </c>
      <c r="DP113" s="61">
        <v>0</v>
      </c>
      <c r="DQ113" s="61">
        <v>0</v>
      </c>
      <c r="DR113" s="61">
        <v>0</v>
      </c>
      <c r="DS113" s="61">
        <v>0</v>
      </c>
      <c r="DT113" s="61">
        <v>0</v>
      </c>
      <c r="DU113" s="61">
        <v>0</v>
      </c>
      <c r="DV113" s="61">
        <v>0</v>
      </c>
      <c r="DW113" s="61">
        <v>0</v>
      </c>
      <c r="DX113" s="61">
        <v>0</v>
      </c>
      <c r="DY113" s="61">
        <v>0</v>
      </c>
      <c r="DZ113" s="61">
        <v>0</v>
      </c>
      <c r="EA113" s="61">
        <v>0</v>
      </c>
      <c r="EB113" s="61">
        <v>0</v>
      </c>
      <c r="EC113" s="61">
        <v>0</v>
      </c>
      <c r="ED113" s="61">
        <v>0</v>
      </c>
      <c r="EE113" s="61">
        <v>0</v>
      </c>
      <c r="EF113" s="61">
        <v>0</v>
      </c>
      <c r="EG113" s="61">
        <v>0</v>
      </c>
      <c r="EH113" s="61">
        <v>0</v>
      </c>
      <c r="EI113" s="61">
        <v>0</v>
      </c>
      <c r="EJ113" s="61">
        <v>0</v>
      </c>
      <c r="EK113" s="61">
        <v>0</v>
      </c>
      <c r="EL113" s="61">
        <v>0</v>
      </c>
      <c r="EM113" s="61">
        <v>0</v>
      </c>
      <c r="EN113" s="61">
        <v>0</v>
      </c>
      <c r="EO113" s="61">
        <v>0</v>
      </c>
      <c r="EP113" s="61">
        <v>0</v>
      </c>
      <c r="EQ113" s="61">
        <v>0</v>
      </c>
      <c r="ER113" s="61">
        <v>0</v>
      </c>
      <c r="ES113" s="61">
        <v>0</v>
      </c>
      <c r="ET113" s="61">
        <v>0</v>
      </c>
      <c r="EU113" s="61">
        <v>0</v>
      </c>
      <c r="EV113" s="61">
        <v>0</v>
      </c>
      <c r="EW113" s="61">
        <v>0</v>
      </c>
      <c r="EX113" s="61">
        <v>0</v>
      </c>
      <c r="EY113" s="61">
        <v>0</v>
      </c>
      <c r="EZ113" s="61">
        <v>0</v>
      </c>
      <c r="FA113" s="61">
        <v>0</v>
      </c>
      <c r="FB113" s="61">
        <v>0</v>
      </c>
      <c r="FC113" s="61">
        <v>0</v>
      </c>
      <c r="FD113" s="61">
        <v>0</v>
      </c>
      <c r="FE113" s="61">
        <v>0</v>
      </c>
      <c r="FF113" s="61">
        <v>0</v>
      </c>
      <c r="FG113" s="61">
        <v>0</v>
      </c>
      <c r="FH113" s="61">
        <v>0</v>
      </c>
      <c r="FI113" s="61">
        <v>0</v>
      </c>
      <c r="FJ113" s="61">
        <v>0</v>
      </c>
      <c r="FK113" s="61">
        <v>0</v>
      </c>
      <c r="FL113" s="61">
        <v>0</v>
      </c>
      <c r="FM113" s="61">
        <v>0</v>
      </c>
      <c r="FN113" s="61">
        <v>0</v>
      </c>
      <c r="FO113" s="61">
        <v>0</v>
      </c>
      <c r="FP113" s="61">
        <v>0</v>
      </c>
      <c r="FQ113" s="61">
        <v>0</v>
      </c>
      <c r="FR113" s="61">
        <v>0</v>
      </c>
      <c r="FS113" s="61">
        <v>0</v>
      </c>
      <c r="FT113" s="61">
        <v>0</v>
      </c>
      <c r="FU113" s="61">
        <v>0</v>
      </c>
      <c r="FV113" s="61">
        <v>0</v>
      </c>
      <c r="FW113" s="61">
        <v>0</v>
      </c>
      <c r="FX113" s="61">
        <v>0</v>
      </c>
      <c r="FY113" s="61">
        <v>0</v>
      </c>
      <c r="FZ113" s="61">
        <v>0</v>
      </c>
      <c r="GA113" s="61">
        <v>0</v>
      </c>
      <c r="GB113" s="61">
        <v>0</v>
      </c>
      <c r="GC113" s="61">
        <v>0</v>
      </c>
      <c r="GD113" s="63">
        <v>0</v>
      </c>
      <c r="GE113" s="63">
        <v>0</v>
      </c>
      <c r="GF113" s="63">
        <v>0</v>
      </c>
      <c r="GG113" s="63">
        <v>0</v>
      </c>
      <c r="GH113" s="63">
        <v>0</v>
      </c>
      <c r="GI113" s="63">
        <v>0</v>
      </c>
      <c r="GJ113" s="63">
        <v>0</v>
      </c>
      <c r="GK113" s="63">
        <v>0</v>
      </c>
      <c r="GL113" s="63">
        <v>0</v>
      </c>
      <c r="GM113" s="63">
        <v>0</v>
      </c>
      <c r="GN113" s="61">
        <v>0</v>
      </c>
      <c r="GO113" s="61">
        <v>0</v>
      </c>
      <c r="GP113" s="61">
        <v>0</v>
      </c>
      <c r="GQ113" s="61">
        <v>0</v>
      </c>
      <c r="GR113" s="61">
        <v>0</v>
      </c>
      <c r="GS113" s="66">
        <v>1</v>
      </c>
      <c r="GT113" s="61">
        <v>0</v>
      </c>
      <c r="GU113" s="63">
        <v>0</v>
      </c>
      <c r="GV113" s="63">
        <v>0</v>
      </c>
      <c r="GW113" s="66">
        <v>1</v>
      </c>
      <c r="GX113" s="63">
        <v>0</v>
      </c>
      <c r="GY113" s="63">
        <v>0</v>
      </c>
      <c r="GZ113" s="63">
        <v>0</v>
      </c>
      <c r="HA113" s="63">
        <v>0</v>
      </c>
      <c r="HB113" s="63">
        <v>0</v>
      </c>
      <c r="HC113" s="63">
        <v>0</v>
      </c>
      <c r="HD113" s="63">
        <v>0</v>
      </c>
      <c r="HE113" s="63">
        <v>0</v>
      </c>
      <c r="HF113" s="63">
        <v>0</v>
      </c>
      <c r="HG113" s="63">
        <v>0</v>
      </c>
      <c r="HH113" s="63"/>
      <c r="HI113" s="63"/>
      <c r="HJ113" s="63">
        <v>1991</v>
      </c>
      <c r="HK113" s="63">
        <f>SUM(GL$4:HI$4)</f>
        <v>24</v>
      </c>
      <c r="HL113" s="61">
        <f>SUM(GL113:HI113)</f>
        <v>2</v>
      </c>
      <c r="HM113" s="67">
        <f t="shared" si="7"/>
        <v>8.3333333333333339</v>
      </c>
      <c r="HN113" s="67"/>
      <c r="HO113" s="68"/>
      <c r="HP113" s="68"/>
    </row>
    <row r="114" spans="1:244" x14ac:dyDescent="0.3">
      <c r="B114" s="61" t="s">
        <v>7355</v>
      </c>
      <c r="C114" s="61">
        <v>0</v>
      </c>
      <c r="D114" s="61">
        <v>0</v>
      </c>
      <c r="E114" s="61">
        <v>0</v>
      </c>
      <c r="F114" s="61">
        <v>0</v>
      </c>
      <c r="G114" s="61">
        <v>0</v>
      </c>
      <c r="H114" s="61">
        <v>0</v>
      </c>
      <c r="I114" s="61">
        <v>0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0</v>
      </c>
      <c r="AD114" s="61">
        <v>0</v>
      </c>
      <c r="AE114" s="61">
        <v>0</v>
      </c>
      <c r="AF114" s="61">
        <v>0</v>
      </c>
      <c r="AG114" s="61">
        <v>0</v>
      </c>
      <c r="AH114" s="61">
        <v>0</v>
      </c>
      <c r="AI114" s="61">
        <v>0</v>
      </c>
      <c r="AJ114" s="61">
        <v>0</v>
      </c>
      <c r="AK114" s="61">
        <v>0</v>
      </c>
      <c r="AL114" s="61">
        <v>0</v>
      </c>
      <c r="AM114" s="61">
        <v>0</v>
      </c>
      <c r="AN114" s="61">
        <v>0</v>
      </c>
      <c r="AO114" s="61">
        <v>0</v>
      </c>
      <c r="AP114" s="61">
        <v>0</v>
      </c>
      <c r="AQ114" s="61">
        <v>0</v>
      </c>
      <c r="AR114" s="61">
        <v>0</v>
      </c>
      <c r="AS114" s="61">
        <v>0</v>
      </c>
      <c r="AT114" s="61">
        <v>0</v>
      </c>
      <c r="AU114" s="61">
        <v>0</v>
      </c>
      <c r="AV114" s="61">
        <v>0</v>
      </c>
      <c r="AW114" s="61">
        <v>0</v>
      </c>
      <c r="AX114" s="61">
        <v>0</v>
      </c>
      <c r="AY114" s="61">
        <v>0</v>
      </c>
      <c r="AZ114" s="61">
        <v>0</v>
      </c>
      <c r="BA114" s="61">
        <v>0</v>
      </c>
      <c r="BB114" s="61">
        <v>0</v>
      </c>
      <c r="BC114" s="61">
        <v>0</v>
      </c>
      <c r="BD114" s="61">
        <v>0</v>
      </c>
      <c r="BE114" s="61">
        <v>0</v>
      </c>
      <c r="BF114" s="61">
        <v>0</v>
      </c>
      <c r="BG114" s="61">
        <v>0</v>
      </c>
      <c r="BH114" s="61">
        <v>0</v>
      </c>
      <c r="BI114" s="61">
        <v>0</v>
      </c>
      <c r="BJ114" s="61">
        <v>0</v>
      </c>
      <c r="BK114" s="61">
        <v>0</v>
      </c>
      <c r="BL114" s="61">
        <v>0</v>
      </c>
      <c r="BM114" s="61">
        <v>0</v>
      </c>
      <c r="BN114" s="61">
        <v>0</v>
      </c>
      <c r="BO114" s="61">
        <v>0</v>
      </c>
      <c r="BP114" s="61">
        <v>0</v>
      </c>
      <c r="BQ114" s="61">
        <v>0</v>
      </c>
      <c r="BR114" s="61">
        <v>0</v>
      </c>
      <c r="BS114" s="61">
        <v>0</v>
      </c>
      <c r="BT114" s="61">
        <v>0</v>
      </c>
      <c r="BU114" s="61">
        <v>0</v>
      </c>
      <c r="BV114" s="61">
        <v>0</v>
      </c>
      <c r="BW114" s="61">
        <v>0</v>
      </c>
      <c r="BX114" s="61">
        <v>0</v>
      </c>
      <c r="BY114" s="61">
        <v>0</v>
      </c>
      <c r="BZ114" s="61">
        <v>0</v>
      </c>
      <c r="CA114" s="61">
        <v>0</v>
      </c>
      <c r="CB114" s="61">
        <v>0</v>
      </c>
      <c r="CC114" s="61">
        <v>0</v>
      </c>
      <c r="CD114" s="61">
        <v>0</v>
      </c>
      <c r="CE114" s="61">
        <v>0</v>
      </c>
      <c r="CF114" s="61">
        <v>0</v>
      </c>
      <c r="CG114" s="61">
        <v>0</v>
      </c>
      <c r="CH114" s="61">
        <v>0</v>
      </c>
      <c r="CI114" s="61">
        <v>0</v>
      </c>
      <c r="CJ114" s="61">
        <v>0</v>
      </c>
      <c r="CK114" s="61">
        <v>0</v>
      </c>
      <c r="CL114" s="61">
        <v>0</v>
      </c>
      <c r="CM114" s="61">
        <v>0</v>
      </c>
      <c r="CN114" s="61">
        <v>0</v>
      </c>
      <c r="CO114" s="61">
        <v>0</v>
      </c>
      <c r="CP114" s="61">
        <v>0</v>
      </c>
      <c r="CQ114" s="61">
        <v>0</v>
      </c>
      <c r="CR114" s="61">
        <v>0</v>
      </c>
      <c r="CS114" s="61">
        <v>0</v>
      </c>
      <c r="CT114" s="61">
        <v>0</v>
      </c>
      <c r="CU114" s="61">
        <v>0</v>
      </c>
      <c r="CV114" s="61">
        <v>0</v>
      </c>
      <c r="CW114" s="61">
        <v>0</v>
      </c>
      <c r="CX114" s="61">
        <v>0</v>
      </c>
      <c r="CY114" s="61">
        <v>0</v>
      </c>
      <c r="CZ114" s="61">
        <v>0</v>
      </c>
      <c r="DA114" s="61">
        <v>0</v>
      </c>
      <c r="DB114" s="61">
        <v>0</v>
      </c>
      <c r="DC114" s="61">
        <v>0</v>
      </c>
      <c r="DD114" s="61">
        <v>0</v>
      </c>
      <c r="DE114" s="61">
        <v>0</v>
      </c>
      <c r="DF114" s="61">
        <v>0</v>
      </c>
      <c r="DG114" s="61">
        <v>0</v>
      </c>
      <c r="DH114" s="61">
        <v>0</v>
      </c>
      <c r="DI114" s="61">
        <v>0</v>
      </c>
      <c r="DJ114" s="61">
        <v>0</v>
      </c>
      <c r="DK114" s="61">
        <v>0</v>
      </c>
      <c r="DL114" s="61">
        <v>0</v>
      </c>
      <c r="DM114" s="61">
        <v>0</v>
      </c>
      <c r="DN114" s="61">
        <v>0</v>
      </c>
      <c r="DO114" s="61">
        <v>0</v>
      </c>
      <c r="DP114" s="61">
        <v>0</v>
      </c>
      <c r="DQ114" s="61">
        <v>0</v>
      </c>
      <c r="DR114" s="61">
        <v>0</v>
      </c>
      <c r="DS114" s="61">
        <v>0</v>
      </c>
      <c r="DT114" s="61">
        <v>0</v>
      </c>
      <c r="DU114" s="61">
        <v>0</v>
      </c>
      <c r="DV114" s="61">
        <v>0</v>
      </c>
      <c r="DW114" s="61">
        <v>0</v>
      </c>
      <c r="DX114" s="61">
        <v>0</v>
      </c>
      <c r="DY114" s="61">
        <v>0</v>
      </c>
      <c r="DZ114" s="61">
        <v>0</v>
      </c>
      <c r="EA114" s="61">
        <v>0</v>
      </c>
      <c r="EB114" s="61">
        <v>0</v>
      </c>
      <c r="EC114" s="61">
        <v>0</v>
      </c>
      <c r="ED114" s="61">
        <v>0</v>
      </c>
      <c r="EE114" s="61">
        <v>0</v>
      </c>
      <c r="EF114" s="61">
        <v>0</v>
      </c>
      <c r="EG114" s="61">
        <v>0</v>
      </c>
      <c r="EH114" s="61">
        <v>0</v>
      </c>
      <c r="EI114" s="61">
        <v>0</v>
      </c>
      <c r="EJ114" s="61">
        <v>0</v>
      </c>
      <c r="EK114" s="61">
        <v>0</v>
      </c>
      <c r="EL114" s="61">
        <v>0</v>
      </c>
      <c r="EM114" s="61">
        <v>0</v>
      </c>
      <c r="EN114" s="61">
        <v>0</v>
      </c>
      <c r="EO114" s="61">
        <v>0</v>
      </c>
      <c r="EP114" s="61">
        <v>0</v>
      </c>
      <c r="EQ114" s="61">
        <v>0</v>
      </c>
      <c r="ER114" s="61">
        <v>0</v>
      </c>
      <c r="ES114" s="61">
        <v>0</v>
      </c>
      <c r="ET114" s="61">
        <v>0</v>
      </c>
      <c r="EU114" s="61">
        <v>0</v>
      </c>
      <c r="EV114" s="61">
        <v>0</v>
      </c>
      <c r="EW114" s="61">
        <v>0</v>
      </c>
      <c r="EX114" s="61">
        <v>0</v>
      </c>
      <c r="EY114" s="61">
        <v>0</v>
      </c>
      <c r="EZ114" s="61">
        <v>0</v>
      </c>
      <c r="FA114" s="61">
        <v>0</v>
      </c>
      <c r="FB114" s="61">
        <v>0</v>
      </c>
      <c r="FC114" s="61">
        <v>0</v>
      </c>
      <c r="FD114" s="61">
        <v>0</v>
      </c>
      <c r="FE114" s="61">
        <v>0</v>
      </c>
      <c r="FF114" s="61">
        <v>0</v>
      </c>
      <c r="FG114" s="61">
        <v>0</v>
      </c>
      <c r="FH114" s="61">
        <v>0</v>
      </c>
      <c r="FI114" s="61">
        <v>0</v>
      </c>
      <c r="FJ114" s="61">
        <v>0</v>
      </c>
      <c r="FK114" s="61">
        <v>0</v>
      </c>
      <c r="FL114" s="61">
        <v>0</v>
      </c>
      <c r="FM114" s="61">
        <v>0</v>
      </c>
      <c r="FN114" s="61">
        <v>0</v>
      </c>
      <c r="FO114" s="61">
        <v>0</v>
      </c>
      <c r="FP114" s="61">
        <v>0</v>
      </c>
      <c r="FQ114" s="61">
        <v>0</v>
      </c>
      <c r="FR114" s="61">
        <v>0</v>
      </c>
      <c r="FS114" s="61">
        <v>0</v>
      </c>
      <c r="FT114" s="61">
        <v>0</v>
      </c>
      <c r="FU114" s="61">
        <v>0</v>
      </c>
      <c r="FV114" s="63">
        <v>0</v>
      </c>
      <c r="FW114" s="63">
        <v>0</v>
      </c>
      <c r="FX114" s="63">
        <v>0</v>
      </c>
      <c r="FY114" s="63">
        <v>0</v>
      </c>
      <c r="FZ114" s="63">
        <v>0</v>
      </c>
      <c r="GA114" s="63">
        <v>0</v>
      </c>
      <c r="GB114" s="63">
        <v>0</v>
      </c>
      <c r="GC114" s="63">
        <v>0</v>
      </c>
      <c r="GD114" s="63">
        <v>0</v>
      </c>
      <c r="GE114" s="63">
        <v>0</v>
      </c>
      <c r="GF114" s="63">
        <v>0</v>
      </c>
      <c r="GG114" s="63">
        <v>0</v>
      </c>
      <c r="GH114" s="63">
        <v>0</v>
      </c>
      <c r="GI114" s="63">
        <v>0</v>
      </c>
      <c r="GJ114" s="63">
        <v>0</v>
      </c>
      <c r="GK114" s="63">
        <v>0</v>
      </c>
      <c r="GL114" s="63">
        <v>0</v>
      </c>
      <c r="GM114" s="66">
        <v>1</v>
      </c>
      <c r="GN114" s="66">
        <v>1</v>
      </c>
      <c r="GO114" s="66">
        <v>1</v>
      </c>
      <c r="GP114" s="66">
        <v>1</v>
      </c>
      <c r="GQ114" s="66">
        <v>1</v>
      </c>
      <c r="GR114" s="63">
        <v>0</v>
      </c>
      <c r="GS114" s="63">
        <v>0</v>
      </c>
      <c r="GT114" s="63">
        <v>0</v>
      </c>
      <c r="GU114" s="63">
        <v>0</v>
      </c>
      <c r="GV114" s="63">
        <v>0</v>
      </c>
      <c r="GW114" s="63">
        <v>0</v>
      </c>
      <c r="GX114" s="63">
        <v>0</v>
      </c>
      <c r="GY114" s="63">
        <v>0</v>
      </c>
      <c r="GZ114" s="63">
        <v>0</v>
      </c>
      <c r="HA114" s="63">
        <v>0</v>
      </c>
      <c r="HB114" s="63">
        <v>0</v>
      </c>
      <c r="HC114" s="63">
        <v>0</v>
      </c>
      <c r="HD114" s="63">
        <v>0</v>
      </c>
      <c r="HE114" s="63">
        <v>0</v>
      </c>
      <c r="HF114" s="63">
        <v>0</v>
      </c>
      <c r="HG114" s="63">
        <v>0</v>
      </c>
      <c r="HH114" s="63"/>
      <c r="HI114" s="63"/>
      <c r="HJ114" s="63">
        <v>1992</v>
      </c>
      <c r="HK114" s="63">
        <f>SUM(GM$4:HI$4)</f>
        <v>23</v>
      </c>
      <c r="HL114" s="61">
        <f>SUM(GL114:HI114)</f>
        <v>5</v>
      </c>
      <c r="HM114" s="67">
        <f>100*HL114/HK114</f>
        <v>21.739130434782609</v>
      </c>
      <c r="HN114" s="67"/>
      <c r="HO114" s="68"/>
      <c r="HP114" s="68"/>
    </row>
    <row r="115" spans="1:244" x14ac:dyDescent="0.3">
      <c r="B115" s="61" t="s">
        <v>7356</v>
      </c>
      <c r="C115" s="61">
        <v>0</v>
      </c>
      <c r="D115" s="61">
        <v>0</v>
      </c>
      <c r="E115" s="61">
        <v>0</v>
      </c>
      <c r="F115" s="61">
        <v>0</v>
      </c>
      <c r="G115" s="61">
        <v>0</v>
      </c>
      <c r="H115" s="61">
        <v>0</v>
      </c>
      <c r="I115" s="61">
        <v>0</v>
      </c>
      <c r="J115" s="61">
        <v>0</v>
      </c>
      <c r="K115" s="61">
        <v>0</v>
      </c>
      <c r="L115" s="61">
        <v>0</v>
      </c>
      <c r="M115" s="61">
        <v>0</v>
      </c>
      <c r="N115" s="61">
        <v>0</v>
      </c>
      <c r="O115" s="61">
        <v>0</v>
      </c>
      <c r="P115" s="61">
        <v>0</v>
      </c>
      <c r="Q115" s="61">
        <v>0</v>
      </c>
      <c r="R115" s="61">
        <v>0</v>
      </c>
      <c r="S115" s="61">
        <v>0</v>
      </c>
      <c r="T115" s="61">
        <v>0</v>
      </c>
      <c r="U115" s="61">
        <v>0</v>
      </c>
      <c r="V115" s="61">
        <v>0</v>
      </c>
      <c r="W115" s="61">
        <v>0</v>
      </c>
      <c r="X115" s="61">
        <v>0</v>
      </c>
      <c r="Y115" s="61">
        <v>0</v>
      </c>
      <c r="Z115" s="61">
        <v>0</v>
      </c>
      <c r="AA115" s="61">
        <v>0</v>
      </c>
      <c r="AB115" s="61">
        <v>0</v>
      </c>
      <c r="AC115" s="61">
        <v>0</v>
      </c>
      <c r="AD115" s="61">
        <v>0</v>
      </c>
      <c r="AE115" s="61">
        <v>0</v>
      </c>
      <c r="AF115" s="61">
        <v>0</v>
      </c>
      <c r="AG115" s="61">
        <v>0</v>
      </c>
      <c r="AH115" s="61">
        <v>0</v>
      </c>
      <c r="AI115" s="61">
        <v>0</v>
      </c>
      <c r="AJ115" s="61">
        <v>0</v>
      </c>
      <c r="AK115" s="61">
        <v>0</v>
      </c>
      <c r="AL115" s="61">
        <v>0</v>
      </c>
      <c r="AM115" s="61">
        <v>0</v>
      </c>
      <c r="AN115" s="61">
        <v>0</v>
      </c>
      <c r="AO115" s="61">
        <v>0</v>
      </c>
      <c r="AP115" s="61">
        <v>0</v>
      </c>
      <c r="AQ115" s="61">
        <v>0</v>
      </c>
      <c r="AR115" s="61">
        <v>0</v>
      </c>
      <c r="AS115" s="61">
        <v>0</v>
      </c>
      <c r="AT115" s="61">
        <v>0</v>
      </c>
      <c r="AU115" s="61">
        <v>0</v>
      </c>
      <c r="AV115" s="61">
        <v>0</v>
      </c>
      <c r="AW115" s="61">
        <v>0</v>
      </c>
      <c r="AX115" s="61">
        <v>0</v>
      </c>
      <c r="AY115" s="61">
        <v>0</v>
      </c>
      <c r="AZ115" s="61">
        <v>0</v>
      </c>
      <c r="BA115" s="61">
        <v>0</v>
      </c>
      <c r="BB115" s="61">
        <v>0</v>
      </c>
      <c r="BC115" s="61">
        <v>0</v>
      </c>
      <c r="BD115" s="61">
        <v>0</v>
      </c>
      <c r="BE115" s="61">
        <v>0</v>
      </c>
      <c r="BF115" s="61">
        <v>0</v>
      </c>
      <c r="BG115" s="61">
        <v>0</v>
      </c>
      <c r="BH115" s="61">
        <v>0</v>
      </c>
      <c r="BI115" s="61">
        <v>0</v>
      </c>
      <c r="BJ115" s="61">
        <v>0</v>
      </c>
      <c r="BK115" s="61">
        <v>0</v>
      </c>
      <c r="BL115" s="61">
        <v>0</v>
      </c>
      <c r="BM115" s="61">
        <v>0</v>
      </c>
      <c r="BN115" s="61">
        <v>0</v>
      </c>
      <c r="BO115" s="61">
        <v>0</v>
      </c>
      <c r="BP115" s="61">
        <v>0</v>
      </c>
      <c r="BQ115" s="61">
        <v>0</v>
      </c>
      <c r="BR115" s="61">
        <v>0</v>
      </c>
      <c r="BS115" s="61">
        <v>0</v>
      </c>
      <c r="BT115" s="61">
        <v>0</v>
      </c>
      <c r="BU115" s="61">
        <v>0</v>
      </c>
      <c r="BV115" s="61">
        <v>0</v>
      </c>
      <c r="BW115" s="61">
        <v>0</v>
      </c>
      <c r="BX115" s="61">
        <v>0</v>
      </c>
      <c r="BY115" s="61">
        <v>0</v>
      </c>
      <c r="BZ115" s="61">
        <v>0</v>
      </c>
      <c r="CA115" s="61">
        <v>0</v>
      </c>
      <c r="CB115" s="61">
        <v>0</v>
      </c>
      <c r="CC115" s="61">
        <v>0</v>
      </c>
      <c r="CD115" s="61">
        <v>0</v>
      </c>
      <c r="CE115" s="61">
        <v>0</v>
      </c>
      <c r="CF115" s="61">
        <v>0</v>
      </c>
      <c r="CG115" s="61">
        <v>0</v>
      </c>
      <c r="CH115" s="61">
        <v>0</v>
      </c>
      <c r="CI115" s="61">
        <v>0</v>
      </c>
      <c r="CJ115" s="61">
        <v>0</v>
      </c>
      <c r="CK115" s="61">
        <v>0</v>
      </c>
      <c r="CL115" s="61">
        <v>0</v>
      </c>
      <c r="CM115" s="61">
        <v>0</v>
      </c>
      <c r="CN115" s="61">
        <v>0</v>
      </c>
      <c r="CO115" s="61">
        <v>0</v>
      </c>
      <c r="CP115" s="61">
        <v>0</v>
      </c>
      <c r="CQ115" s="61">
        <v>0</v>
      </c>
      <c r="CR115" s="61">
        <v>0</v>
      </c>
      <c r="CS115" s="61">
        <v>0</v>
      </c>
      <c r="CT115" s="61">
        <v>0</v>
      </c>
      <c r="CU115" s="61">
        <v>0</v>
      </c>
      <c r="CV115" s="61">
        <v>0</v>
      </c>
      <c r="CW115" s="61">
        <v>0</v>
      </c>
      <c r="CX115" s="61">
        <v>0</v>
      </c>
      <c r="CY115" s="61">
        <v>0</v>
      </c>
      <c r="CZ115" s="61">
        <v>0</v>
      </c>
      <c r="DA115" s="61">
        <v>0</v>
      </c>
      <c r="DB115" s="61">
        <v>0</v>
      </c>
      <c r="DC115" s="61">
        <v>0</v>
      </c>
      <c r="DD115" s="61">
        <v>0</v>
      </c>
      <c r="DE115" s="61">
        <v>0</v>
      </c>
      <c r="DF115" s="61">
        <v>0</v>
      </c>
      <c r="DG115" s="61">
        <v>0</v>
      </c>
      <c r="DH115" s="61">
        <v>0</v>
      </c>
      <c r="DI115" s="61">
        <v>0</v>
      </c>
      <c r="DJ115" s="61">
        <v>0</v>
      </c>
      <c r="DK115" s="61">
        <v>0</v>
      </c>
      <c r="DL115" s="61">
        <v>0</v>
      </c>
      <c r="DM115" s="61">
        <v>0</v>
      </c>
      <c r="DN115" s="61">
        <v>0</v>
      </c>
      <c r="DO115" s="61">
        <v>0</v>
      </c>
      <c r="DP115" s="61">
        <v>0</v>
      </c>
      <c r="DQ115" s="61">
        <v>0</v>
      </c>
      <c r="DR115" s="61">
        <v>0</v>
      </c>
      <c r="DS115" s="61">
        <v>0</v>
      </c>
      <c r="DT115" s="61">
        <v>0</v>
      </c>
      <c r="DU115" s="61">
        <v>0</v>
      </c>
      <c r="DV115" s="61">
        <v>0</v>
      </c>
      <c r="DW115" s="61">
        <v>0</v>
      </c>
      <c r="DX115" s="61">
        <v>0</v>
      </c>
      <c r="DY115" s="61">
        <v>0</v>
      </c>
      <c r="DZ115" s="61">
        <v>0</v>
      </c>
      <c r="EA115" s="61">
        <v>0</v>
      </c>
      <c r="EB115" s="61">
        <v>0</v>
      </c>
      <c r="EC115" s="61">
        <v>0</v>
      </c>
      <c r="ED115" s="61">
        <v>0</v>
      </c>
      <c r="EE115" s="61">
        <v>0</v>
      </c>
      <c r="EF115" s="61">
        <v>0</v>
      </c>
      <c r="EG115" s="61">
        <v>0</v>
      </c>
      <c r="EH115" s="61">
        <v>0</v>
      </c>
      <c r="EI115" s="61">
        <v>0</v>
      </c>
      <c r="EJ115" s="61">
        <v>0</v>
      </c>
      <c r="EK115" s="61">
        <v>0</v>
      </c>
      <c r="EL115" s="61">
        <v>0</v>
      </c>
      <c r="EM115" s="61">
        <v>0</v>
      </c>
      <c r="EN115" s="61">
        <v>0</v>
      </c>
      <c r="EO115" s="61">
        <v>0</v>
      </c>
      <c r="EP115" s="61">
        <v>0</v>
      </c>
      <c r="EQ115" s="61">
        <v>0</v>
      </c>
      <c r="ER115" s="61">
        <v>0</v>
      </c>
      <c r="ES115" s="61">
        <v>0</v>
      </c>
      <c r="ET115" s="61">
        <v>0</v>
      </c>
      <c r="EU115" s="61">
        <v>0</v>
      </c>
      <c r="EV115" s="61">
        <v>0</v>
      </c>
      <c r="EW115" s="61">
        <v>0</v>
      </c>
      <c r="EX115" s="61">
        <v>0</v>
      </c>
      <c r="EY115" s="61">
        <v>0</v>
      </c>
      <c r="EZ115" s="61">
        <v>0</v>
      </c>
      <c r="FA115" s="61">
        <v>0</v>
      </c>
      <c r="FB115" s="61">
        <v>0</v>
      </c>
      <c r="FC115" s="61">
        <v>0</v>
      </c>
      <c r="FD115" s="61">
        <v>0</v>
      </c>
      <c r="FE115" s="61">
        <v>0</v>
      </c>
      <c r="FF115" s="61">
        <v>0</v>
      </c>
      <c r="FG115" s="61">
        <v>0</v>
      </c>
      <c r="FH115" s="61">
        <v>0</v>
      </c>
      <c r="FI115" s="61">
        <v>0</v>
      </c>
      <c r="FJ115" s="61">
        <v>0</v>
      </c>
      <c r="FK115" s="61">
        <v>0</v>
      </c>
      <c r="FL115" s="61">
        <v>0</v>
      </c>
      <c r="FM115" s="61">
        <v>0</v>
      </c>
      <c r="FN115" s="61">
        <v>0</v>
      </c>
      <c r="FO115" s="61">
        <v>0</v>
      </c>
      <c r="FP115" s="61">
        <v>0</v>
      </c>
      <c r="FQ115" s="61">
        <v>0</v>
      </c>
      <c r="FR115" s="61">
        <v>0</v>
      </c>
      <c r="FS115" s="61">
        <v>0</v>
      </c>
      <c r="FT115" s="61">
        <v>0</v>
      </c>
      <c r="FU115" s="61">
        <v>0</v>
      </c>
      <c r="FV115" s="61">
        <v>0</v>
      </c>
      <c r="FW115" s="61">
        <v>0</v>
      </c>
      <c r="FX115" s="61">
        <v>0</v>
      </c>
      <c r="FY115" s="61">
        <v>0</v>
      </c>
      <c r="FZ115" s="61">
        <v>0</v>
      </c>
      <c r="GA115" s="61">
        <v>0</v>
      </c>
      <c r="GB115" s="61">
        <v>0</v>
      </c>
      <c r="GC115" s="61">
        <v>0</v>
      </c>
      <c r="GD115" s="61">
        <v>0</v>
      </c>
      <c r="GE115" s="61">
        <v>0</v>
      </c>
      <c r="GF115" s="61">
        <v>0</v>
      </c>
      <c r="GG115" s="61">
        <v>0</v>
      </c>
      <c r="GH115" s="61">
        <v>0</v>
      </c>
      <c r="GI115" s="61">
        <v>0</v>
      </c>
      <c r="GJ115" s="61">
        <v>0</v>
      </c>
      <c r="GK115" s="61">
        <v>0</v>
      </c>
      <c r="GL115" s="61">
        <v>0</v>
      </c>
      <c r="GM115" s="61">
        <v>0</v>
      </c>
      <c r="GN115" s="61">
        <v>0</v>
      </c>
      <c r="GO115" s="61">
        <v>0</v>
      </c>
      <c r="GP115" s="61">
        <v>0</v>
      </c>
      <c r="GQ115" s="61">
        <v>0</v>
      </c>
      <c r="GR115" s="61">
        <v>0</v>
      </c>
      <c r="GS115" s="61">
        <v>0</v>
      </c>
      <c r="GT115" s="61">
        <v>0</v>
      </c>
      <c r="GU115" s="61">
        <v>0</v>
      </c>
      <c r="GV115" s="61">
        <v>0</v>
      </c>
      <c r="GW115" s="61">
        <v>0</v>
      </c>
      <c r="GX115" s="66">
        <v>1</v>
      </c>
      <c r="GY115" s="66">
        <v>1</v>
      </c>
      <c r="GZ115" s="63">
        <v>0</v>
      </c>
      <c r="HA115" s="63">
        <v>0</v>
      </c>
      <c r="HB115" s="63">
        <v>0</v>
      </c>
      <c r="HC115" s="63">
        <v>0</v>
      </c>
      <c r="HD115" s="63">
        <v>0</v>
      </c>
      <c r="HE115" s="63">
        <v>0</v>
      </c>
      <c r="HF115" s="63">
        <v>0</v>
      </c>
      <c r="HG115" s="63">
        <v>0</v>
      </c>
      <c r="HH115" s="63"/>
      <c r="HI115" s="63"/>
      <c r="HJ115" s="60" t="s">
        <v>7357</v>
      </c>
      <c r="HK115" s="63">
        <f>SUM(GX$4:HA$4)</f>
        <v>4</v>
      </c>
      <c r="HL115" s="61">
        <f>SUM(GX115:HA115)</f>
        <v>2</v>
      </c>
      <c r="HM115" s="67">
        <f t="shared" si="7"/>
        <v>50</v>
      </c>
      <c r="HN115" s="67"/>
      <c r="HO115" s="68"/>
      <c r="HP115" s="68"/>
    </row>
    <row r="116" spans="1:244" x14ac:dyDescent="0.3">
      <c r="B116" s="63" t="s">
        <v>7358</v>
      </c>
      <c r="C116" s="61">
        <v>0</v>
      </c>
      <c r="D116" s="61">
        <v>0</v>
      </c>
      <c r="E116" s="61">
        <v>0</v>
      </c>
      <c r="F116" s="61">
        <v>0</v>
      </c>
      <c r="G116" s="61">
        <v>0</v>
      </c>
      <c r="H116" s="61">
        <v>0</v>
      </c>
      <c r="I116" s="61">
        <v>0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>
        <v>0</v>
      </c>
      <c r="S116" s="61">
        <v>0</v>
      </c>
      <c r="T116" s="61">
        <v>0</v>
      </c>
      <c r="U116" s="61">
        <v>0</v>
      </c>
      <c r="V116" s="61">
        <v>0</v>
      </c>
      <c r="W116" s="61">
        <v>0</v>
      </c>
      <c r="X116" s="61">
        <v>0</v>
      </c>
      <c r="Y116" s="61">
        <v>0</v>
      </c>
      <c r="Z116" s="61">
        <v>0</v>
      </c>
      <c r="AA116" s="61">
        <v>0</v>
      </c>
      <c r="AB116" s="61">
        <v>0</v>
      </c>
      <c r="AC116" s="61">
        <v>0</v>
      </c>
      <c r="AD116" s="61">
        <v>0</v>
      </c>
      <c r="AE116" s="61">
        <v>0</v>
      </c>
      <c r="AF116" s="61">
        <v>0</v>
      </c>
      <c r="AG116" s="61">
        <v>0</v>
      </c>
      <c r="AH116" s="61">
        <v>0</v>
      </c>
      <c r="AI116" s="61">
        <v>0</v>
      </c>
      <c r="AJ116" s="61">
        <v>0</v>
      </c>
      <c r="AK116" s="61">
        <v>0</v>
      </c>
      <c r="AL116" s="61">
        <v>0</v>
      </c>
      <c r="AM116" s="61">
        <v>0</v>
      </c>
      <c r="AN116" s="61">
        <v>0</v>
      </c>
      <c r="AO116" s="61">
        <v>0</v>
      </c>
      <c r="AP116" s="61">
        <v>0</v>
      </c>
      <c r="AQ116" s="61">
        <v>0</v>
      </c>
      <c r="AR116" s="61">
        <v>0</v>
      </c>
      <c r="AS116" s="61">
        <v>0</v>
      </c>
      <c r="AT116" s="61">
        <v>0</v>
      </c>
      <c r="AU116" s="61">
        <v>0</v>
      </c>
      <c r="AV116" s="61">
        <v>0</v>
      </c>
      <c r="AW116" s="61">
        <v>0</v>
      </c>
      <c r="AX116" s="61">
        <v>0</v>
      </c>
      <c r="AY116" s="61">
        <v>0</v>
      </c>
      <c r="AZ116" s="61">
        <v>0</v>
      </c>
      <c r="BA116" s="61">
        <v>0</v>
      </c>
      <c r="BB116" s="61">
        <v>0</v>
      </c>
      <c r="BC116" s="61">
        <v>0</v>
      </c>
      <c r="BD116" s="61">
        <v>0</v>
      </c>
      <c r="BE116" s="61">
        <v>0</v>
      </c>
      <c r="BF116" s="61">
        <v>0</v>
      </c>
      <c r="BG116" s="61">
        <v>0</v>
      </c>
      <c r="BH116" s="61">
        <v>0</v>
      </c>
      <c r="BI116" s="61">
        <v>0</v>
      </c>
      <c r="BJ116" s="61">
        <v>0</v>
      </c>
      <c r="BK116" s="61">
        <v>0</v>
      </c>
      <c r="BL116" s="61">
        <v>0</v>
      </c>
      <c r="BM116" s="61">
        <v>0</v>
      </c>
      <c r="BN116" s="61">
        <v>0</v>
      </c>
      <c r="BO116" s="61">
        <v>0</v>
      </c>
      <c r="BP116" s="61">
        <v>0</v>
      </c>
      <c r="BQ116" s="61">
        <v>0</v>
      </c>
      <c r="BR116" s="61">
        <v>0</v>
      </c>
      <c r="BS116" s="61">
        <v>0</v>
      </c>
      <c r="BT116" s="61">
        <v>0</v>
      </c>
      <c r="BU116" s="61">
        <v>0</v>
      </c>
      <c r="BV116" s="61">
        <v>0</v>
      </c>
      <c r="BW116" s="61">
        <v>0</v>
      </c>
      <c r="BX116" s="61">
        <v>0</v>
      </c>
      <c r="BY116" s="61">
        <v>0</v>
      </c>
      <c r="BZ116" s="61">
        <v>0</v>
      </c>
      <c r="CA116" s="61">
        <v>0</v>
      </c>
      <c r="CB116" s="61">
        <v>0</v>
      </c>
      <c r="CC116" s="61">
        <v>0</v>
      </c>
      <c r="CD116" s="61">
        <v>0</v>
      </c>
      <c r="CE116" s="61">
        <v>0</v>
      </c>
      <c r="CF116" s="61">
        <v>0</v>
      </c>
      <c r="CG116" s="61">
        <v>0</v>
      </c>
      <c r="CH116" s="61">
        <v>0</v>
      </c>
      <c r="CI116" s="61">
        <v>0</v>
      </c>
      <c r="CJ116" s="61">
        <v>0</v>
      </c>
      <c r="CK116" s="61">
        <v>0</v>
      </c>
      <c r="CL116" s="61">
        <v>0</v>
      </c>
      <c r="CM116" s="61">
        <v>0</v>
      </c>
      <c r="CN116" s="61">
        <v>0</v>
      </c>
      <c r="CO116" s="61">
        <v>0</v>
      </c>
      <c r="CP116" s="61">
        <v>0</v>
      </c>
      <c r="CQ116" s="61">
        <v>0</v>
      </c>
      <c r="CR116" s="61">
        <v>0</v>
      </c>
      <c r="CS116" s="61">
        <v>0</v>
      </c>
      <c r="CT116" s="61">
        <v>0</v>
      </c>
      <c r="CU116" s="61">
        <v>0</v>
      </c>
      <c r="CV116" s="61">
        <v>0</v>
      </c>
      <c r="CW116" s="61">
        <v>0</v>
      </c>
      <c r="CX116" s="61">
        <v>0</v>
      </c>
      <c r="CY116" s="61">
        <v>0</v>
      </c>
      <c r="CZ116" s="61">
        <v>0</v>
      </c>
      <c r="DA116" s="61">
        <v>0</v>
      </c>
      <c r="DB116" s="61">
        <v>0</v>
      </c>
      <c r="DC116" s="61">
        <v>0</v>
      </c>
      <c r="DD116" s="61">
        <v>0</v>
      </c>
      <c r="DE116" s="61">
        <v>0</v>
      </c>
      <c r="DF116" s="61">
        <v>0</v>
      </c>
      <c r="DG116" s="61">
        <v>0</v>
      </c>
      <c r="DH116" s="61">
        <v>0</v>
      </c>
      <c r="DI116" s="61">
        <v>0</v>
      </c>
      <c r="DJ116" s="61">
        <v>0</v>
      </c>
      <c r="DK116" s="61">
        <v>0</v>
      </c>
      <c r="DL116" s="61">
        <v>0</v>
      </c>
      <c r="DM116" s="61">
        <v>0</v>
      </c>
      <c r="DN116" s="61">
        <v>0</v>
      </c>
      <c r="DO116" s="61">
        <v>0</v>
      </c>
      <c r="DP116" s="61">
        <v>0</v>
      </c>
      <c r="DQ116" s="61">
        <v>0</v>
      </c>
      <c r="DR116" s="61">
        <v>0</v>
      </c>
      <c r="DS116" s="61">
        <v>0</v>
      </c>
      <c r="DT116" s="61">
        <v>0</v>
      </c>
      <c r="DU116" s="61">
        <v>0</v>
      </c>
      <c r="DV116" s="61">
        <v>0</v>
      </c>
      <c r="DW116" s="61">
        <v>0</v>
      </c>
      <c r="DX116" s="61">
        <v>0</v>
      </c>
      <c r="DY116" s="61">
        <v>0</v>
      </c>
      <c r="DZ116" s="61">
        <v>0</v>
      </c>
      <c r="EA116" s="61">
        <v>0</v>
      </c>
      <c r="EB116" s="61">
        <v>0</v>
      </c>
      <c r="EC116" s="61">
        <v>0</v>
      </c>
      <c r="ED116" s="61">
        <v>0</v>
      </c>
      <c r="EE116" s="61">
        <v>0</v>
      </c>
      <c r="EF116" s="61">
        <v>0</v>
      </c>
      <c r="EG116" s="61">
        <v>0</v>
      </c>
      <c r="EH116" s="61">
        <v>0</v>
      </c>
      <c r="EI116" s="61">
        <v>0</v>
      </c>
      <c r="EJ116" s="61">
        <v>0</v>
      </c>
      <c r="EK116" s="61">
        <v>0</v>
      </c>
      <c r="EL116" s="61">
        <v>0</v>
      </c>
      <c r="EM116" s="61">
        <v>0</v>
      </c>
      <c r="EN116" s="61">
        <v>0</v>
      </c>
      <c r="EO116" s="61">
        <v>0</v>
      </c>
      <c r="EP116" s="61">
        <v>0</v>
      </c>
      <c r="EQ116" s="61">
        <v>0</v>
      </c>
      <c r="ER116" s="61">
        <v>0</v>
      </c>
      <c r="ES116" s="61">
        <v>0</v>
      </c>
      <c r="ET116" s="61">
        <v>0</v>
      </c>
      <c r="EU116" s="61">
        <v>0</v>
      </c>
      <c r="EV116" s="61">
        <v>0</v>
      </c>
      <c r="EW116" s="61">
        <v>0</v>
      </c>
      <c r="EX116" s="61">
        <v>0</v>
      </c>
      <c r="EY116" s="61">
        <v>0</v>
      </c>
      <c r="EZ116" s="61">
        <v>0</v>
      </c>
      <c r="FA116" s="61">
        <v>0</v>
      </c>
      <c r="FB116" s="61">
        <v>0</v>
      </c>
      <c r="FC116" s="61">
        <v>0</v>
      </c>
      <c r="FD116" s="61">
        <v>0</v>
      </c>
      <c r="FE116" s="61">
        <v>0</v>
      </c>
      <c r="FF116" s="61">
        <v>0</v>
      </c>
      <c r="FG116" s="61">
        <v>0</v>
      </c>
      <c r="FH116" s="61">
        <v>0</v>
      </c>
      <c r="FI116" s="61">
        <v>0</v>
      </c>
      <c r="FJ116" s="61">
        <v>0</v>
      </c>
      <c r="FK116" s="61">
        <v>0</v>
      </c>
      <c r="FL116" s="61">
        <v>0</v>
      </c>
      <c r="FM116" s="61">
        <v>0</v>
      </c>
      <c r="FN116" s="61">
        <v>0</v>
      </c>
      <c r="FO116" s="61">
        <v>0</v>
      </c>
      <c r="FP116" s="61">
        <v>0</v>
      </c>
      <c r="FQ116" s="61">
        <v>0</v>
      </c>
      <c r="FR116" s="61">
        <v>0</v>
      </c>
      <c r="FS116" s="61">
        <v>0</v>
      </c>
      <c r="FT116" s="61">
        <v>0</v>
      </c>
      <c r="FU116" s="61">
        <v>0</v>
      </c>
      <c r="FV116" s="63">
        <v>0</v>
      </c>
      <c r="FW116" s="63">
        <v>0</v>
      </c>
      <c r="FX116" s="63">
        <v>0</v>
      </c>
      <c r="FY116" s="63">
        <v>0</v>
      </c>
      <c r="FZ116" s="63">
        <v>0</v>
      </c>
      <c r="GA116" s="63">
        <v>0</v>
      </c>
      <c r="GB116" s="63">
        <v>0</v>
      </c>
      <c r="GC116" s="63">
        <v>0</v>
      </c>
      <c r="GD116" s="63">
        <v>0</v>
      </c>
      <c r="GE116" s="63">
        <v>0</v>
      </c>
      <c r="GF116" s="63">
        <v>0</v>
      </c>
      <c r="GG116" s="63">
        <v>0</v>
      </c>
      <c r="GH116" s="63">
        <v>0</v>
      </c>
      <c r="GI116" s="63">
        <v>0</v>
      </c>
      <c r="GJ116" s="63">
        <v>0</v>
      </c>
      <c r="GK116" s="63">
        <v>0</v>
      </c>
      <c r="GL116" s="83">
        <v>0</v>
      </c>
      <c r="GM116" s="63">
        <v>0</v>
      </c>
      <c r="GN116" s="63">
        <v>0</v>
      </c>
      <c r="GO116" s="63">
        <v>0</v>
      </c>
      <c r="GP116" s="63">
        <v>0</v>
      </c>
      <c r="GQ116" s="63">
        <v>0</v>
      </c>
      <c r="GR116" s="63">
        <v>0</v>
      </c>
      <c r="GS116" s="66">
        <v>1</v>
      </c>
      <c r="GT116" s="66">
        <v>1</v>
      </c>
      <c r="GU116" s="66">
        <v>1</v>
      </c>
      <c r="GV116" s="63">
        <v>0</v>
      </c>
      <c r="GW116" s="63">
        <v>0</v>
      </c>
      <c r="GX116" s="63">
        <v>0</v>
      </c>
      <c r="GY116" s="63">
        <v>0</v>
      </c>
      <c r="GZ116" s="63">
        <v>0</v>
      </c>
      <c r="HA116" s="63">
        <v>0</v>
      </c>
      <c r="HB116" s="63">
        <v>0</v>
      </c>
      <c r="HC116" s="63">
        <v>0</v>
      </c>
      <c r="HD116" s="63">
        <v>0</v>
      </c>
      <c r="HE116" s="63">
        <v>0</v>
      </c>
      <c r="HF116" s="63">
        <v>0</v>
      </c>
      <c r="HG116" s="63">
        <v>0</v>
      </c>
      <c r="HH116" s="63"/>
      <c r="HI116" s="63"/>
      <c r="HJ116" s="63">
        <v>1991</v>
      </c>
      <c r="HK116" s="63">
        <f>SUM(GL$4:HI$4)</f>
        <v>24</v>
      </c>
      <c r="HL116" s="61">
        <f>SUM(GL116:HI116)</f>
        <v>3</v>
      </c>
      <c r="HM116" s="67">
        <f t="shared" si="7"/>
        <v>12.5</v>
      </c>
      <c r="HN116" s="67"/>
      <c r="HO116" s="68"/>
      <c r="HP116" s="68"/>
      <c r="HQ116" s="63"/>
      <c r="HR116" s="63"/>
      <c r="IC116" s="63"/>
      <c r="ID116" s="63"/>
      <c r="IE116" s="63"/>
      <c r="IF116" s="63"/>
      <c r="IG116" s="63"/>
      <c r="IH116" s="63"/>
      <c r="II116" s="63"/>
      <c r="IJ116" s="63"/>
    </row>
    <row r="117" spans="1:244" x14ac:dyDescent="0.3">
      <c r="B117" s="61" t="s">
        <v>7359</v>
      </c>
      <c r="C117" s="61">
        <v>0</v>
      </c>
      <c r="D117" s="61">
        <v>0</v>
      </c>
      <c r="E117" s="61">
        <v>0</v>
      </c>
      <c r="F117" s="61">
        <v>0</v>
      </c>
      <c r="G117" s="61">
        <v>0</v>
      </c>
      <c r="H117" s="61">
        <v>0</v>
      </c>
      <c r="I117" s="61">
        <v>0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0</v>
      </c>
      <c r="AE117" s="61">
        <v>0</v>
      </c>
      <c r="AF117" s="61">
        <v>0</v>
      </c>
      <c r="AG117" s="61">
        <v>0</v>
      </c>
      <c r="AH117" s="61">
        <v>0</v>
      </c>
      <c r="AI117" s="61">
        <v>0</v>
      </c>
      <c r="AJ117" s="61">
        <v>0</v>
      </c>
      <c r="AK117" s="61">
        <v>0</v>
      </c>
      <c r="AL117" s="61">
        <v>0</v>
      </c>
      <c r="AM117" s="61">
        <v>0</v>
      </c>
      <c r="AN117" s="61">
        <v>0</v>
      </c>
      <c r="AO117" s="61">
        <v>0</v>
      </c>
      <c r="AP117" s="61">
        <v>0</v>
      </c>
      <c r="AQ117" s="61">
        <v>0</v>
      </c>
      <c r="AR117" s="61">
        <v>0</v>
      </c>
      <c r="AS117" s="61">
        <v>0</v>
      </c>
      <c r="AT117" s="61">
        <v>0</v>
      </c>
      <c r="AU117" s="61">
        <v>0</v>
      </c>
      <c r="AV117" s="61">
        <v>0</v>
      </c>
      <c r="AW117" s="61">
        <v>0</v>
      </c>
      <c r="AX117" s="61">
        <v>0</v>
      </c>
      <c r="AY117" s="61">
        <v>0</v>
      </c>
      <c r="AZ117" s="61">
        <v>0</v>
      </c>
      <c r="BA117" s="61">
        <v>0</v>
      </c>
      <c r="BB117" s="61">
        <v>0</v>
      </c>
      <c r="BC117" s="61">
        <v>0</v>
      </c>
      <c r="BD117" s="61">
        <v>0</v>
      </c>
      <c r="BE117" s="61">
        <v>0</v>
      </c>
      <c r="BF117" s="61">
        <v>0</v>
      </c>
      <c r="BG117" s="61">
        <v>0</v>
      </c>
      <c r="BH117" s="61">
        <v>0</v>
      </c>
      <c r="BI117" s="61">
        <v>0</v>
      </c>
      <c r="BJ117" s="61">
        <v>0</v>
      </c>
      <c r="BK117" s="61">
        <v>0</v>
      </c>
      <c r="BL117" s="61">
        <v>0</v>
      </c>
      <c r="BM117" s="61">
        <v>0</v>
      </c>
      <c r="BN117" s="61">
        <v>0</v>
      </c>
      <c r="BO117" s="61">
        <v>0</v>
      </c>
      <c r="BP117" s="61">
        <v>0</v>
      </c>
      <c r="BQ117" s="61">
        <v>0</v>
      </c>
      <c r="BR117" s="61">
        <v>0</v>
      </c>
      <c r="BS117" s="61">
        <v>0</v>
      </c>
      <c r="BT117" s="61">
        <v>0</v>
      </c>
      <c r="BU117" s="61">
        <v>0</v>
      </c>
      <c r="BV117" s="61">
        <v>0</v>
      </c>
      <c r="BW117" s="61">
        <v>0</v>
      </c>
      <c r="BX117" s="61">
        <v>0</v>
      </c>
      <c r="BY117" s="61">
        <v>0</v>
      </c>
      <c r="BZ117" s="61">
        <v>0</v>
      </c>
      <c r="CA117" s="61">
        <v>0</v>
      </c>
      <c r="CB117" s="61">
        <v>0</v>
      </c>
      <c r="CC117" s="61">
        <v>0</v>
      </c>
      <c r="CD117" s="61">
        <v>0</v>
      </c>
      <c r="CE117" s="61">
        <v>0</v>
      </c>
      <c r="CF117" s="61">
        <v>0</v>
      </c>
      <c r="CG117" s="61">
        <v>0</v>
      </c>
      <c r="CH117" s="61">
        <v>0</v>
      </c>
      <c r="CI117" s="61">
        <v>0</v>
      </c>
      <c r="CJ117" s="61">
        <v>0</v>
      </c>
      <c r="CK117" s="61">
        <v>0</v>
      </c>
      <c r="CL117" s="61">
        <v>0</v>
      </c>
      <c r="CM117" s="61">
        <v>0</v>
      </c>
      <c r="CN117" s="61">
        <v>0</v>
      </c>
      <c r="CO117" s="61">
        <v>0</v>
      </c>
      <c r="CP117" s="61">
        <v>0</v>
      </c>
      <c r="CQ117" s="61">
        <v>0</v>
      </c>
      <c r="CR117" s="61">
        <v>0</v>
      </c>
      <c r="CS117" s="61">
        <v>0</v>
      </c>
      <c r="CT117" s="61">
        <v>1</v>
      </c>
      <c r="CU117" s="61">
        <v>0</v>
      </c>
      <c r="CV117" s="61">
        <v>0</v>
      </c>
      <c r="CW117" s="61">
        <v>0</v>
      </c>
      <c r="CX117" s="61">
        <v>0</v>
      </c>
      <c r="CY117" s="61">
        <v>0</v>
      </c>
      <c r="CZ117" s="61">
        <v>0</v>
      </c>
      <c r="DA117" s="61">
        <v>0</v>
      </c>
      <c r="DB117" s="61">
        <v>0</v>
      </c>
      <c r="DC117" s="61">
        <v>0</v>
      </c>
      <c r="DD117" s="61">
        <v>0</v>
      </c>
      <c r="DE117" s="61">
        <v>0</v>
      </c>
      <c r="DF117" s="61">
        <v>0</v>
      </c>
      <c r="DG117" s="61">
        <v>0</v>
      </c>
      <c r="DH117" s="61">
        <v>0</v>
      </c>
      <c r="DI117" s="61">
        <v>0</v>
      </c>
      <c r="DJ117" s="61">
        <v>0</v>
      </c>
      <c r="DK117" s="61">
        <v>0</v>
      </c>
      <c r="DL117" s="61">
        <v>0</v>
      </c>
      <c r="DM117" s="61">
        <v>0</v>
      </c>
      <c r="DN117" s="61">
        <v>0</v>
      </c>
      <c r="DO117" s="61">
        <v>0</v>
      </c>
      <c r="DP117" s="61">
        <v>0</v>
      </c>
      <c r="DQ117" s="61">
        <v>0</v>
      </c>
      <c r="DR117" s="61">
        <v>0</v>
      </c>
      <c r="DS117" s="61">
        <v>0</v>
      </c>
      <c r="DT117" s="61">
        <v>0</v>
      </c>
      <c r="DU117" s="61">
        <v>0</v>
      </c>
      <c r="DV117" s="61">
        <v>0</v>
      </c>
      <c r="DW117" s="61">
        <v>0</v>
      </c>
      <c r="DX117" s="61">
        <v>0</v>
      </c>
      <c r="DY117" s="61">
        <v>0</v>
      </c>
      <c r="DZ117" s="61">
        <v>0</v>
      </c>
      <c r="EA117" s="61">
        <v>0</v>
      </c>
      <c r="EB117" s="82">
        <v>0</v>
      </c>
      <c r="EC117" s="61">
        <v>0</v>
      </c>
      <c r="ED117" s="61">
        <v>0</v>
      </c>
      <c r="EE117" s="61">
        <v>0</v>
      </c>
      <c r="EF117" s="66">
        <v>1</v>
      </c>
      <c r="EG117" s="66">
        <v>1</v>
      </c>
      <c r="EH117" s="66">
        <v>1</v>
      </c>
      <c r="EI117" s="66">
        <v>1</v>
      </c>
      <c r="EJ117" s="66">
        <v>1</v>
      </c>
      <c r="EK117" s="66">
        <v>1</v>
      </c>
      <c r="EL117" s="66">
        <v>1</v>
      </c>
      <c r="EM117" s="66">
        <v>1</v>
      </c>
      <c r="EN117" s="66">
        <v>1</v>
      </c>
      <c r="EO117" s="66">
        <v>1</v>
      </c>
      <c r="EP117" s="66">
        <v>1</v>
      </c>
      <c r="EQ117" s="66">
        <v>1</v>
      </c>
      <c r="ER117" s="66">
        <v>1</v>
      </c>
      <c r="ES117" s="66">
        <v>1</v>
      </c>
      <c r="ET117" s="66">
        <v>1</v>
      </c>
      <c r="EU117" s="66">
        <v>1</v>
      </c>
      <c r="EV117" s="66">
        <v>1</v>
      </c>
      <c r="EW117" s="66">
        <v>1</v>
      </c>
      <c r="EX117" s="61">
        <v>0</v>
      </c>
      <c r="EY117" s="61">
        <v>0</v>
      </c>
      <c r="EZ117" s="61">
        <v>0</v>
      </c>
      <c r="FA117" s="61">
        <v>0</v>
      </c>
      <c r="FB117" s="61">
        <v>0</v>
      </c>
      <c r="FC117" s="61">
        <v>0</v>
      </c>
      <c r="FD117" s="61">
        <v>0</v>
      </c>
      <c r="FE117" s="61">
        <v>0</v>
      </c>
      <c r="FF117" s="61">
        <v>0</v>
      </c>
      <c r="FG117" s="61">
        <v>0</v>
      </c>
      <c r="FH117" s="61">
        <v>0</v>
      </c>
      <c r="FI117" s="61">
        <v>0</v>
      </c>
      <c r="FJ117" s="61">
        <v>0</v>
      </c>
      <c r="FK117" s="61">
        <v>0</v>
      </c>
      <c r="FL117" s="66">
        <v>1</v>
      </c>
      <c r="FM117" s="66">
        <v>1</v>
      </c>
      <c r="FN117" s="66">
        <v>1</v>
      </c>
      <c r="FO117" s="66">
        <v>1</v>
      </c>
      <c r="FP117" s="66">
        <v>1</v>
      </c>
      <c r="FQ117" s="61">
        <v>0</v>
      </c>
      <c r="FR117" s="61">
        <v>0</v>
      </c>
      <c r="FS117" s="61">
        <v>0</v>
      </c>
      <c r="FT117" s="61">
        <v>0</v>
      </c>
      <c r="FU117" s="61">
        <v>0</v>
      </c>
      <c r="FV117" s="61">
        <v>0</v>
      </c>
      <c r="FW117" s="61">
        <v>0</v>
      </c>
      <c r="FX117" s="61">
        <v>0</v>
      </c>
      <c r="FY117" s="61">
        <v>0</v>
      </c>
      <c r="FZ117" s="61">
        <v>0</v>
      </c>
      <c r="GA117" s="61">
        <v>0</v>
      </c>
      <c r="GB117" s="61">
        <v>0</v>
      </c>
      <c r="GC117" s="61">
        <v>0</v>
      </c>
      <c r="GD117" s="66">
        <v>1</v>
      </c>
      <c r="GE117" s="66">
        <v>1</v>
      </c>
      <c r="GF117" s="66">
        <v>1</v>
      </c>
      <c r="GG117" s="66">
        <v>1</v>
      </c>
      <c r="GH117" s="66">
        <v>1</v>
      </c>
      <c r="GI117" s="66">
        <v>1</v>
      </c>
      <c r="GJ117" s="66">
        <v>1</v>
      </c>
      <c r="GK117" s="66">
        <v>1</v>
      </c>
      <c r="GL117" s="66">
        <v>1</v>
      </c>
      <c r="GM117" s="66">
        <v>1</v>
      </c>
      <c r="GN117" s="66">
        <v>1</v>
      </c>
      <c r="GO117" s="66">
        <v>1</v>
      </c>
      <c r="GP117" s="66">
        <v>1</v>
      </c>
      <c r="GQ117" s="66">
        <v>1</v>
      </c>
      <c r="GR117" s="66">
        <v>1</v>
      </c>
      <c r="GS117" s="66">
        <v>1</v>
      </c>
      <c r="GT117" s="66">
        <v>1</v>
      </c>
      <c r="GU117" s="63">
        <v>0</v>
      </c>
      <c r="GV117" s="63">
        <v>0</v>
      </c>
      <c r="GW117" s="63">
        <v>0</v>
      </c>
      <c r="GX117" s="63">
        <v>0</v>
      </c>
      <c r="GY117" s="63">
        <v>0</v>
      </c>
      <c r="GZ117" s="63">
        <v>0</v>
      </c>
      <c r="HA117" s="63">
        <v>0</v>
      </c>
      <c r="HB117" s="63">
        <v>0</v>
      </c>
      <c r="HC117" s="63">
        <v>0</v>
      </c>
      <c r="HD117" s="63">
        <v>0</v>
      </c>
      <c r="HE117" s="63">
        <v>0</v>
      </c>
      <c r="HF117" s="63">
        <v>0</v>
      </c>
      <c r="HG117" s="63">
        <v>0</v>
      </c>
      <c r="HH117" s="63"/>
      <c r="HI117" s="63"/>
      <c r="HJ117" s="60" t="s">
        <v>7360</v>
      </c>
      <c r="HK117" s="63">
        <f>SUM(EB$4:GW$4)</f>
        <v>74</v>
      </c>
      <c r="HL117" s="61">
        <f>SUM(EB117:GW117)</f>
        <v>40</v>
      </c>
      <c r="HM117" s="67">
        <f t="shared" si="7"/>
        <v>54.054054054054056</v>
      </c>
      <c r="HN117" s="67"/>
      <c r="HO117" s="68"/>
      <c r="HP117" s="68"/>
    </row>
    <row r="118" spans="1:244" x14ac:dyDescent="0.3">
      <c r="A118" s="61" t="s">
        <v>7361</v>
      </c>
      <c r="B118" s="61" t="s">
        <v>7362</v>
      </c>
      <c r="C118" s="61">
        <v>0</v>
      </c>
      <c r="D118" s="61">
        <v>0</v>
      </c>
      <c r="E118" s="61">
        <v>0</v>
      </c>
      <c r="F118" s="61">
        <v>0</v>
      </c>
      <c r="G118" s="61">
        <v>0</v>
      </c>
      <c r="H118" s="61">
        <v>0</v>
      </c>
      <c r="I118" s="61">
        <v>0</v>
      </c>
      <c r="J118" s="61">
        <v>0</v>
      </c>
      <c r="K118" s="61">
        <v>0</v>
      </c>
      <c r="L118" s="61">
        <v>0</v>
      </c>
      <c r="M118" s="61">
        <v>0</v>
      </c>
      <c r="N118" s="61">
        <v>0</v>
      </c>
      <c r="O118" s="61">
        <v>0</v>
      </c>
      <c r="P118" s="61">
        <v>0</v>
      </c>
      <c r="Q118" s="61">
        <v>0</v>
      </c>
      <c r="R118" s="61">
        <v>0</v>
      </c>
      <c r="S118" s="61">
        <v>0</v>
      </c>
      <c r="T118" s="61">
        <v>0</v>
      </c>
      <c r="U118" s="61">
        <v>0</v>
      </c>
      <c r="V118" s="61">
        <v>0</v>
      </c>
      <c r="W118" s="61">
        <v>0</v>
      </c>
      <c r="X118" s="61">
        <v>0</v>
      </c>
      <c r="Y118" s="61">
        <v>0</v>
      </c>
      <c r="Z118" s="61">
        <v>0</v>
      </c>
      <c r="AA118" s="61">
        <v>0</v>
      </c>
      <c r="AB118" s="61">
        <v>0</v>
      </c>
      <c r="AC118" s="61">
        <v>0</v>
      </c>
      <c r="AD118" s="61">
        <v>0</v>
      </c>
      <c r="AE118" s="61">
        <v>0</v>
      </c>
      <c r="AF118" s="61">
        <v>0</v>
      </c>
      <c r="AG118" s="61">
        <v>0</v>
      </c>
      <c r="AH118" s="61">
        <v>0</v>
      </c>
      <c r="AI118" s="61">
        <v>0</v>
      </c>
      <c r="AJ118" s="61">
        <v>0</v>
      </c>
      <c r="AK118" s="61">
        <v>0</v>
      </c>
      <c r="AL118" s="61">
        <v>0</v>
      </c>
      <c r="AM118" s="61">
        <v>0</v>
      </c>
      <c r="AN118" s="61">
        <v>0</v>
      </c>
      <c r="AO118" s="61">
        <v>0</v>
      </c>
      <c r="AP118" s="61">
        <v>0</v>
      </c>
      <c r="AQ118" s="61">
        <v>0</v>
      </c>
      <c r="AR118" s="61">
        <v>0</v>
      </c>
      <c r="AS118" s="61">
        <v>0</v>
      </c>
      <c r="AT118" s="61">
        <v>0</v>
      </c>
      <c r="AU118" s="61">
        <v>0</v>
      </c>
      <c r="AV118" s="61">
        <v>0</v>
      </c>
      <c r="AW118" s="61">
        <v>0</v>
      </c>
      <c r="AX118" s="61">
        <v>0</v>
      </c>
      <c r="AY118" s="61">
        <v>0</v>
      </c>
      <c r="AZ118" s="61">
        <v>0</v>
      </c>
      <c r="BA118" s="61">
        <v>0</v>
      </c>
      <c r="BB118" s="61">
        <v>0</v>
      </c>
      <c r="BC118" s="61">
        <v>0</v>
      </c>
      <c r="BD118" s="61">
        <v>0</v>
      </c>
      <c r="BE118" s="61">
        <v>0</v>
      </c>
      <c r="BF118" s="61">
        <v>0</v>
      </c>
      <c r="BG118" s="61">
        <v>0</v>
      </c>
      <c r="BH118" s="61">
        <v>0</v>
      </c>
      <c r="BI118" s="61">
        <v>0</v>
      </c>
      <c r="BJ118" s="61">
        <v>0</v>
      </c>
      <c r="BK118" s="61">
        <v>0</v>
      </c>
      <c r="BL118" s="61">
        <v>0</v>
      </c>
      <c r="BM118" s="61">
        <v>0</v>
      </c>
      <c r="BN118" s="61">
        <v>0</v>
      </c>
      <c r="BO118" s="61">
        <v>0</v>
      </c>
      <c r="BP118" s="61">
        <v>0</v>
      </c>
      <c r="BQ118" s="61">
        <v>0</v>
      </c>
      <c r="BR118" s="61">
        <v>0</v>
      </c>
      <c r="BS118" s="61">
        <v>0</v>
      </c>
      <c r="BT118" s="61">
        <v>0</v>
      </c>
      <c r="BU118" s="61">
        <v>0</v>
      </c>
      <c r="BV118" s="61">
        <v>0</v>
      </c>
      <c r="BW118" s="61">
        <v>0</v>
      </c>
      <c r="BX118" s="61">
        <v>0</v>
      </c>
      <c r="BY118" s="61">
        <v>0</v>
      </c>
      <c r="BZ118" s="61">
        <v>0</v>
      </c>
      <c r="CA118" s="61">
        <v>0</v>
      </c>
      <c r="CB118" s="61">
        <v>0</v>
      </c>
      <c r="CC118" s="61">
        <v>0</v>
      </c>
      <c r="CD118" s="61">
        <v>0</v>
      </c>
      <c r="CE118" s="61">
        <v>0</v>
      </c>
      <c r="CF118" s="61">
        <v>0</v>
      </c>
      <c r="CG118" s="61">
        <v>0</v>
      </c>
      <c r="CH118" s="61">
        <v>0</v>
      </c>
      <c r="CI118" s="61">
        <v>0</v>
      </c>
      <c r="CJ118" s="61">
        <v>0</v>
      </c>
      <c r="CK118" s="61">
        <v>0</v>
      </c>
      <c r="CL118" s="61">
        <v>0</v>
      </c>
      <c r="CM118" s="61">
        <v>0</v>
      </c>
      <c r="CN118" s="61">
        <v>0</v>
      </c>
      <c r="CO118" s="61">
        <v>0</v>
      </c>
      <c r="CP118" s="61">
        <v>0</v>
      </c>
      <c r="CQ118" s="61">
        <v>0</v>
      </c>
      <c r="CR118" s="61">
        <v>0</v>
      </c>
      <c r="CS118" s="61">
        <v>0</v>
      </c>
      <c r="CT118" s="61">
        <v>0</v>
      </c>
      <c r="CU118" s="61">
        <v>0</v>
      </c>
      <c r="CV118" s="61">
        <v>0</v>
      </c>
      <c r="CW118" s="61">
        <v>0</v>
      </c>
      <c r="CX118" s="61">
        <v>0</v>
      </c>
      <c r="CY118" s="61">
        <v>0</v>
      </c>
      <c r="CZ118" s="61">
        <v>0</v>
      </c>
      <c r="DA118" s="61">
        <v>0</v>
      </c>
      <c r="DB118" s="61">
        <v>0</v>
      </c>
      <c r="DC118" s="61">
        <v>0</v>
      </c>
      <c r="DD118" s="61">
        <v>0</v>
      </c>
      <c r="DE118" s="61">
        <v>0</v>
      </c>
      <c r="DF118" s="61">
        <v>0</v>
      </c>
      <c r="DG118" s="61">
        <v>0</v>
      </c>
      <c r="DH118" s="61">
        <v>0</v>
      </c>
      <c r="DI118" s="61">
        <v>0</v>
      </c>
      <c r="DJ118" s="61">
        <v>0</v>
      </c>
      <c r="DK118" s="61">
        <v>0</v>
      </c>
      <c r="DL118" s="61">
        <v>0</v>
      </c>
      <c r="DM118" s="61">
        <v>0</v>
      </c>
      <c r="DN118" s="61">
        <v>0</v>
      </c>
      <c r="DO118" s="61">
        <v>0</v>
      </c>
      <c r="DP118" s="61">
        <v>0</v>
      </c>
      <c r="DQ118" s="61">
        <v>0</v>
      </c>
      <c r="DR118" s="61">
        <v>0</v>
      </c>
      <c r="DS118" s="61">
        <v>0</v>
      </c>
      <c r="DT118" s="61">
        <v>0</v>
      </c>
      <c r="DU118" s="61">
        <v>0</v>
      </c>
      <c r="DV118" s="61">
        <v>0</v>
      </c>
      <c r="DW118" s="61">
        <v>0</v>
      </c>
      <c r="DX118" s="61">
        <v>0</v>
      </c>
      <c r="DY118" s="61">
        <v>0</v>
      </c>
      <c r="DZ118" s="61">
        <v>0</v>
      </c>
      <c r="EA118" s="61">
        <v>0</v>
      </c>
      <c r="EB118" s="61">
        <v>0</v>
      </c>
      <c r="EC118" s="61">
        <v>0</v>
      </c>
      <c r="ED118" s="61">
        <v>0</v>
      </c>
      <c r="EE118" s="61">
        <v>0</v>
      </c>
      <c r="EF118" s="61">
        <v>0</v>
      </c>
      <c r="EG118" s="61">
        <v>0</v>
      </c>
      <c r="EH118" s="61">
        <v>0</v>
      </c>
      <c r="EI118" s="61">
        <v>0</v>
      </c>
      <c r="EJ118" s="61">
        <v>0</v>
      </c>
      <c r="EK118" s="61">
        <v>0</v>
      </c>
      <c r="EL118" s="61">
        <v>0</v>
      </c>
      <c r="EM118" s="61">
        <v>0</v>
      </c>
      <c r="EN118" s="61">
        <v>0</v>
      </c>
      <c r="EO118" s="61">
        <v>0</v>
      </c>
      <c r="EP118" s="61">
        <v>0</v>
      </c>
      <c r="EQ118" s="61">
        <v>0</v>
      </c>
      <c r="ER118" s="61">
        <v>0</v>
      </c>
      <c r="ES118" s="61">
        <v>0</v>
      </c>
      <c r="ET118" s="61">
        <v>0</v>
      </c>
      <c r="EU118" s="61">
        <v>0</v>
      </c>
      <c r="EV118" s="61">
        <v>0</v>
      </c>
      <c r="EW118" s="61">
        <v>0</v>
      </c>
      <c r="EX118" s="61">
        <v>0</v>
      </c>
      <c r="EY118" s="61">
        <v>0</v>
      </c>
      <c r="EZ118" s="61">
        <v>0</v>
      </c>
      <c r="FA118" s="61">
        <v>0</v>
      </c>
      <c r="FB118" s="61">
        <v>0</v>
      </c>
      <c r="FC118" s="61">
        <v>0</v>
      </c>
      <c r="FD118" s="61">
        <v>0</v>
      </c>
      <c r="FE118" s="61">
        <v>0</v>
      </c>
      <c r="FF118" s="61">
        <v>0</v>
      </c>
      <c r="FG118" s="61">
        <v>0</v>
      </c>
      <c r="FH118" s="61">
        <v>0</v>
      </c>
      <c r="FI118" s="61">
        <v>0</v>
      </c>
      <c r="FJ118" s="61">
        <v>0</v>
      </c>
      <c r="FK118" s="61">
        <v>0</v>
      </c>
      <c r="FL118" s="61">
        <v>0</v>
      </c>
      <c r="FM118" s="61">
        <v>0</v>
      </c>
      <c r="FN118" s="61">
        <v>0</v>
      </c>
      <c r="FO118" s="61">
        <v>0</v>
      </c>
      <c r="FP118" s="61">
        <v>0</v>
      </c>
      <c r="FQ118" s="61">
        <v>0</v>
      </c>
      <c r="FR118" s="61">
        <v>0</v>
      </c>
      <c r="FS118" s="61">
        <v>0</v>
      </c>
      <c r="FT118" s="61">
        <v>0</v>
      </c>
      <c r="FU118" s="61">
        <v>0</v>
      </c>
      <c r="FV118" s="61">
        <v>0</v>
      </c>
      <c r="FW118" s="61">
        <v>0</v>
      </c>
      <c r="FX118" s="61">
        <v>0</v>
      </c>
      <c r="FY118" s="66">
        <v>1</v>
      </c>
      <c r="FZ118" s="66">
        <v>1</v>
      </c>
      <c r="GA118" s="66">
        <v>1</v>
      </c>
      <c r="GB118" s="66">
        <v>1</v>
      </c>
      <c r="GC118" s="66">
        <v>1</v>
      </c>
      <c r="GD118" s="66">
        <v>1</v>
      </c>
      <c r="GE118" s="66">
        <v>1</v>
      </c>
      <c r="GF118" s="66">
        <v>1</v>
      </c>
      <c r="GG118" s="66">
        <v>1</v>
      </c>
      <c r="GH118" s="66">
        <v>1</v>
      </c>
      <c r="GI118" s="66">
        <v>1</v>
      </c>
      <c r="GJ118" s="66">
        <v>1</v>
      </c>
      <c r="GK118" s="66">
        <v>1</v>
      </c>
      <c r="GL118" s="66">
        <v>1</v>
      </c>
      <c r="GM118" s="66">
        <v>1</v>
      </c>
      <c r="GN118" s="66">
        <v>1</v>
      </c>
      <c r="GO118" s="66">
        <v>1</v>
      </c>
      <c r="GP118" s="66">
        <v>1</v>
      </c>
      <c r="GQ118" s="61">
        <v>0</v>
      </c>
      <c r="GR118" s="61">
        <v>0</v>
      </c>
      <c r="GS118" s="61">
        <v>0</v>
      </c>
      <c r="GT118" s="61">
        <v>0</v>
      </c>
      <c r="GU118" s="63">
        <v>0</v>
      </c>
      <c r="GV118" s="63">
        <v>0</v>
      </c>
      <c r="GW118" s="63">
        <v>0</v>
      </c>
      <c r="GX118" s="63">
        <v>0</v>
      </c>
      <c r="GY118" s="63">
        <v>0</v>
      </c>
      <c r="GZ118" s="63">
        <v>0</v>
      </c>
      <c r="HA118" s="63">
        <v>0</v>
      </c>
      <c r="HB118" s="63">
        <v>0</v>
      </c>
      <c r="HC118" s="63">
        <v>0</v>
      </c>
      <c r="HD118" s="63">
        <v>0</v>
      </c>
      <c r="HE118" s="63">
        <v>0</v>
      </c>
      <c r="HF118" s="63">
        <v>0</v>
      </c>
      <c r="HG118" s="63">
        <v>0</v>
      </c>
      <c r="HH118" s="63"/>
      <c r="HI118" s="63"/>
      <c r="HJ118" s="63">
        <v>1945</v>
      </c>
      <c r="HK118" s="63">
        <f>SUM(ER$4:HI$4)</f>
        <v>70</v>
      </c>
      <c r="HL118" s="61">
        <f>SUM(ER118:HI118)</f>
        <v>18</v>
      </c>
      <c r="HM118" s="67">
        <f t="shared" si="7"/>
        <v>25.714285714285715</v>
      </c>
      <c r="HN118" s="67"/>
      <c r="HO118" s="68"/>
      <c r="HP118" s="68"/>
    </row>
    <row r="119" spans="1:244" x14ac:dyDescent="0.3">
      <c r="B119" s="63" t="s">
        <v>7363</v>
      </c>
      <c r="C119" s="61">
        <v>0</v>
      </c>
      <c r="D119" s="61">
        <v>0</v>
      </c>
      <c r="E119" s="61">
        <v>0</v>
      </c>
      <c r="F119" s="61">
        <v>0</v>
      </c>
      <c r="G119" s="61">
        <v>0</v>
      </c>
      <c r="H119" s="61">
        <v>0</v>
      </c>
      <c r="I119" s="61">
        <v>0</v>
      </c>
      <c r="J119" s="61">
        <v>0</v>
      </c>
      <c r="K119" s="61">
        <v>0</v>
      </c>
      <c r="L119" s="61">
        <v>0</v>
      </c>
      <c r="M119" s="61">
        <v>0</v>
      </c>
      <c r="N119" s="61">
        <v>0</v>
      </c>
      <c r="O119" s="61">
        <v>0</v>
      </c>
      <c r="P119" s="61">
        <v>0</v>
      </c>
      <c r="Q119" s="61">
        <v>0</v>
      </c>
      <c r="R119" s="61">
        <v>0</v>
      </c>
      <c r="S119" s="61">
        <v>0</v>
      </c>
      <c r="T119" s="61">
        <v>0</v>
      </c>
      <c r="U119" s="61">
        <v>0</v>
      </c>
      <c r="V119" s="61">
        <v>0</v>
      </c>
      <c r="W119" s="61">
        <v>0</v>
      </c>
      <c r="X119" s="61">
        <v>0</v>
      </c>
      <c r="Y119" s="61">
        <v>0</v>
      </c>
      <c r="Z119" s="61">
        <v>0</v>
      </c>
      <c r="AA119" s="61">
        <v>0</v>
      </c>
      <c r="AB119" s="61">
        <v>0</v>
      </c>
      <c r="AC119" s="61">
        <v>0</v>
      </c>
      <c r="AD119" s="61">
        <v>0</v>
      </c>
      <c r="AE119" s="61">
        <v>0</v>
      </c>
      <c r="AF119" s="61">
        <v>0</v>
      </c>
      <c r="AG119" s="61">
        <v>0</v>
      </c>
      <c r="AH119" s="61">
        <v>0</v>
      </c>
      <c r="AI119" s="61">
        <v>0</v>
      </c>
      <c r="AJ119" s="61">
        <v>0</v>
      </c>
      <c r="AK119" s="61">
        <v>0</v>
      </c>
      <c r="AL119" s="61">
        <v>0</v>
      </c>
      <c r="AM119" s="61">
        <v>0</v>
      </c>
      <c r="AN119" s="61">
        <v>0</v>
      </c>
      <c r="AO119" s="61">
        <v>0</v>
      </c>
      <c r="AP119" s="61">
        <v>0</v>
      </c>
      <c r="AQ119" s="61">
        <v>0</v>
      </c>
      <c r="AR119" s="61">
        <v>0</v>
      </c>
      <c r="AS119" s="61">
        <v>0</v>
      </c>
      <c r="AT119" s="61">
        <v>0</v>
      </c>
      <c r="AU119" s="61">
        <v>0</v>
      </c>
      <c r="AV119" s="61">
        <v>0</v>
      </c>
      <c r="AW119" s="61">
        <v>0</v>
      </c>
      <c r="AX119" s="61">
        <v>0</v>
      </c>
      <c r="AY119" s="61">
        <v>0</v>
      </c>
      <c r="AZ119" s="61">
        <v>0</v>
      </c>
      <c r="BA119" s="61">
        <v>0</v>
      </c>
      <c r="BB119" s="61">
        <v>0</v>
      </c>
      <c r="BC119" s="61">
        <v>0</v>
      </c>
      <c r="BD119" s="61">
        <v>0</v>
      </c>
      <c r="BE119" s="61">
        <v>0</v>
      </c>
      <c r="BF119" s="61">
        <v>0</v>
      </c>
      <c r="BG119" s="61">
        <v>0</v>
      </c>
      <c r="BH119" s="61">
        <v>0</v>
      </c>
      <c r="BI119" s="61">
        <v>0</v>
      </c>
      <c r="BJ119" s="61">
        <v>0</v>
      </c>
      <c r="BK119" s="61">
        <v>0</v>
      </c>
      <c r="BL119" s="61">
        <v>0</v>
      </c>
      <c r="BM119" s="61">
        <v>0</v>
      </c>
      <c r="BN119" s="61">
        <v>0</v>
      </c>
      <c r="BO119" s="61">
        <v>0</v>
      </c>
      <c r="BP119" s="61">
        <v>0</v>
      </c>
      <c r="BQ119" s="61">
        <v>0</v>
      </c>
      <c r="BR119" s="61">
        <v>0</v>
      </c>
      <c r="BS119" s="61">
        <v>0</v>
      </c>
      <c r="BT119" s="61">
        <v>0</v>
      </c>
      <c r="BU119" s="61">
        <v>0</v>
      </c>
      <c r="BV119" s="61">
        <v>0</v>
      </c>
      <c r="BW119" s="61">
        <v>0</v>
      </c>
      <c r="BX119" s="61">
        <v>0</v>
      </c>
      <c r="BY119" s="61">
        <v>0</v>
      </c>
      <c r="BZ119" s="61">
        <v>0</v>
      </c>
      <c r="CA119" s="61">
        <v>0</v>
      </c>
      <c r="CB119" s="61">
        <v>0</v>
      </c>
      <c r="CC119" s="61">
        <v>0</v>
      </c>
      <c r="CD119" s="61">
        <v>0</v>
      </c>
      <c r="CE119" s="61">
        <v>0</v>
      </c>
      <c r="CF119" s="61">
        <v>0</v>
      </c>
      <c r="CG119" s="61">
        <v>0</v>
      </c>
      <c r="CH119" s="61">
        <v>0</v>
      </c>
      <c r="CI119" s="61">
        <v>0</v>
      </c>
      <c r="CJ119" s="61">
        <v>0</v>
      </c>
      <c r="CK119" s="61">
        <v>0</v>
      </c>
      <c r="CL119" s="61">
        <v>0</v>
      </c>
      <c r="CM119" s="61">
        <v>0</v>
      </c>
      <c r="CN119" s="61">
        <v>0</v>
      </c>
      <c r="CO119" s="61">
        <v>0</v>
      </c>
      <c r="CP119" s="61">
        <v>0</v>
      </c>
      <c r="CQ119" s="61">
        <v>0</v>
      </c>
      <c r="CR119" s="61">
        <v>0</v>
      </c>
      <c r="CS119" s="61">
        <v>0</v>
      </c>
      <c r="CT119" s="61">
        <v>0</v>
      </c>
      <c r="CU119" s="61">
        <v>0</v>
      </c>
      <c r="CV119" s="61">
        <v>0</v>
      </c>
      <c r="CW119" s="61">
        <v>0</v>
      </c>
      <c r="CX119" s="61">
        <v>0</v>
      </c>
      <c r="CY119" s="61">
        <v>0</v>
      </c>
      <c r="CZ119" s="61">
        <v>0</v>
      </c>
      <c r="DA119" s="61">
        <v>0</v>
      </c>
      <c r="DB119" s="61">
        <v>0</v>
      </c>
      <c r="DC119" s="61">
        <v>0</v>
      </c>
      <c r="DD119" s="61">
        <v>0</v>
      </c>
      <c r="DE119" s="61">
        <v>0</v>
      </c>
      <c r="DF119" s="61">
        <v>0</v>
      </c>
      <c r="DG119" s="61">
        <v>0</v>
      </c>
      <c r="DH119" s="61">
        <v>0</v>
      </c>
      <c r="DI119" s="61">
        <v>0</v>
      </c>
      <c r="DJ119" s="61">
        <v>0</v>
      </c>
      <c r="DK119" s="61">
        <v>0</v>
      </c>
      <c r="DL119" s="61">
        <v>0</v>
      </c>
      <c r="DM119" s="61">
        <v>0</v>
      </c>
      <c r="DN119" s="61">
        <v>0</v>
      </c>
      <c r="DO119" s="61">
        <v>0</v>
      </c>
      <c r="DP119" s="61">
        <v>0</v>
      </c>
      <c r="DQ119" s="61">
        <v>0</v>
      </c>
      <c r="DR119" s="61">
        <v>0</v>
      </c>
      <c r="DS119" s="61">
        <v>0</v>
      </c>
      <c r="DT119" s="61">
        <v>0</v>
      </c>
      <c r="DU119" s="61">
        <v>0</v>
      </c>
      <c r="DV119" s="61">
        <v>0</v>
      </c>
      <c r="DW119" s="61">
        <v>0</v>
      </c>
      <c r="DX119" s="61">
        <v>0</v>
      </c>
      <c r="DY119" s="61">
        <v>0</v>
      </c>
      <c r="DZ119" s="61">
        <v>0</v>
      </c>
      <c r="EA119" s="61">
        <v>0</v>
      </c>
      <c r="EB119" s="61">
        <v>0</v>
      </c>
      <c r="EC119" s="61">
        <v>0</v>
      </c>
      <c r="ED119" s="61">
        <v>0</v>
      </c>
      <c r="EE119" s="65">
        <v>0</v>
      </c>
      <c r="EF119" s="61">
        <v>0</v>
      </c>
      <c r="EG119" s="61">
        <v>0</v>
      </c>
      <c r="EH119" s="61">
        <v>0</v>
      </c>
      <c r="EI119" s="61">
        <v>0</v>
      </c>
      <c r="EJ119" s="61">
        <v>0</v>
      </c>
      <c r="EK119" s="61">
        <v>0</v>
      </c>
      <c r="EL119" s="61">
        <v>0</v>
      </c>
      <c r="EM119" s="61">
        <v>0</v>
      </c>
      <c r="EN119" s="61">
        <v>0</v>
      </c>
      <c r="EO119" s="61">
        <v>0</v>
      </c>
      <c r="EP119" s="61">
        <v>0</v>
      </c>
      <c r="EQ119" s="61">
        <v>0</v>
      </c>
      <c r="ER119" s="61">
        <v>0</v>
      </c>
      <c r="ES119" s="61">
        <v>0</v>
      </c>
      <c r="ET119" s="61">
        <v>0</v>
      </c>
      <c r="EU119" s="61">
        <v>0</v>
      </c>
      <c r="EV119" s="61">
        <v>0</v>
      </c>
      <c r="EW119" s="61">
        <v>0</v>
      </c>
      <c r="EX119" s="61">
        <v>0</v>
      </c>
      <c r="EY119" s="61">
        <v>0</v>
      </c>
      <c r="EZ119" s="61">
        <v>0</v>
      </c>
      <c r="FA119" s="61">
        <v>0</v>
      </c>
      <c r="FB119" s="61">
        <v>0</v>
      </c>
      <c r="FC119" s="61">
        <v>0</v>
      </c>
      <c r="FD119" s="61">
        <v>0</v>
      </c>
      <c r="FE119" s="61">
        <v>0</v>
      </c>
      <c r="FF119" s="61">
        <v>0</v>
      </c>
      <c r="FG119" s="61">
        <v>0</v>
      </c>
      <c r="FH119" s="61">
        <v>0</v>
      </c>
      <c r="FI119" s="61">
        <v>0</v>
      </c>
      <c r="FJ119" s="61">
        <v>0</v>
      </c>
      <c r="FK119" s="61">
        <v>0</v>
      </c>
      <c r="FL119" s="61">
        <v>0</v>
      </c>
      <c r="FM119" s="61">
        <v>0</v>
      </c>
      <c r="FN119" s="61">
        <v>0</v>
      </c>
      <c r="FO119" s="61">
        <v>0</v>
      </c>
      <c r="FP119" s="61">
        <v>0</v>
      </c>
      <c r="FQ119" s="61">
        <v>0</v>
      </c>
      <c r="FR119" s="61">
        <v>0</v>
      </c>
      <c r="FS119" s="61">
        <v>0</v>
      </c>
      <c r="FT119" s="61">
        <v>0</v>
      </c>
      <c r="FU119" s="61">
        <v>0</v>
      </c>
      <c r="FV119" s="61">
        <v>0</v>
      </c>
      <c r="FW119" s="61">
        <v>0</v>
      </c>
      <c r="FX119" s="61">
        <v>0</v>
      </c>
      <c r="FY119" s="61">
        <v>0</v>
      </c>
      <c r="FZ119" s="61">
        <v>0</v>
      </c>
      <c r="GA119" s="61">
        <v>0</v>
      </c>
      <c r="GB119" s="61">
        <v>0</v>
      </c>
      <c r="GC119" s="61">
        <v>0</v>
      </c>
      <c r="GD119" s="61">
        <v>0</v>
      </c>
      <c r="GE119" s="61">
        <v>0</v>
      </c>
      <c r="GF119" s="61">
        <v>0</v>
      </c>
      <c r="GG119" s="61">
        <v>0</v>
      </c>
      <c r="GH119" s="66">
        <v>1</v>
      </c>
      <c r="GI119" s="66">
        <v>1</v>
      </c>
      <c r="GJ119" s="66">
        <v>1</v>
      </c>
      <c r="GK119" s="66">
        <v>1</v>
      </c>
      <c r="GL119" s="66">
        <v>1</v>
      </c>
      <c r="GM119" s="66">
        <v>1</v>
      </c>
      <c r="GN119" s="66">
        <v>1</v>
      </c>
      <c r="GO119" s="66">
        <v>1</v>
      </c>
      <c r="GP119" s="66">
        <v>1</v>
      </c>
      <c r="GQ119" s="66">
        <v>1</v>
      </c>
      <c r="GR119" s="66">
        <v>1</v>
      </c>
      <c r="GS119" s="66">
        <v>1</v>
      </c>
      <c r="GT119" s="66">
        <v>1</v>
      </c>
      <c r="GU119" s="66">
        <v>1</v>
      </c>
      <c r="GV119" s="66">
        <v>1</v>
      </c>
      <c r="GW119" s="66">
        <v>1</v>
      </c>
      <c r="GX119" s="66">
        <v>1</v>
      </c>
      <c r="GY119" s="66">
        <v>1</v>
      </c>
      <c r="GZ119" s="66">
        <v>1</v>
      </c>
      <c r="HA119" s="66">
        <v>1</v>
      </c>
      <c r="HB119" s="63">
        <v>0</v>
      </c>
      <c r="HC119" s="63">
        <v>0</v>
      </c>
      <c r="HD119" s="63">
        <v>0</v>
      </c>
      <c r="HE119" s="63">
        <v>0</v>
      </c>
      <c r="HF119" s="63">
        <v>0</v>
      </c>
      <c r="HG119" s="63">
        <v>0</v>
      </c>
      <c r="HH119" s="63"/>
      <c r="HI119" s="63"/>
      <c r="HJ119" s="63">
        <v>1932</v>
      </c>
      <c r="HK119" s="63">
        <f>SUM(EE$4:HI$4)</f>
        <v>83</v>
      </c>
      <c r="HL119" s="61">
        <f>SUM(EE119:HI119)</f>
        <v>20</v>
      </c>
      <c r="HM119" s="67">
        <f t="shared" si="7"/>
        <v>24.096385542168676</v>
      </c>
      <c r="HN119" s="67"/>
      <c r="HO119" s="68"/>
      <c r="HP119" s="68"/>
      <c r="HS119" s="71" t="s">
        <v>7364</v>
      </c>
    </row>
    <row r="120" spans="1:244" x14ac:dyDescent="0.3">
      <c r="B120" s="63" t="s">
        <v>7365</v>
      </c>
      <c r="C120" s="61">
        <v>0</v>
      </c>
      <c r="D120" s="61">
        <v>0</v>
      </c>
      <c r="E120" s="61">
        <v>0</v>
      </c>
      <c r="F120" s="61">
        <v>0</v>
      </c>
      <c r="G120" s="61">
        <v>0</v>
      </c>
      <c r="H120" s="61">
        <v>0</v>
      </c>
      <c r="I120" s="61">
        <v>0</v>
      </c>
      <c r="J120" s="61">
        <v>0</v>
      </c>
      <c r="K120" s="61">
        <v>0</v>
      </c>
      <c r="L120" s="61">
        <v>0</v>
      </c>
      <c r="M120" s="61">
        <v>0</v>
      </c>
      <c r="N120" s="61">
        <v>0</v>
      </c>
      <c r="O120" s="61">
        <v>0</v>
      </c>
      <c r="P120" s="61">
        <v>0</v>
      </c>
      <c r="Q120" s="61">
        <v>0</v>
      </c>
      <c r="R120" s="61">
        <v>0</v>
      </c>
      <c r="S120" s="61">
        <v>0</v>
      </c>
      <c r="T120" s="61">
        <v>0</v>
      </c>
      <c r="U120" s="61">
        <v>0</v>
      </c>
      <c r="V120" s="61">
        <v>0</v>
      </c>
      <c r="W120" s="61">
        <v>0</v>
      </c>
      <c r="X120" s="61">
        <v>0</v>
      </c>
      <c r="Y120" s="61">
        <v>0</v>
      </c>
      <c r="Z120" s="61">
        <v>0</v>
      </c>
      <c r="AA120" s="61">
        <v>0</v>
      </c>
      <c r="AB120" s="61">
        <v>0</v>
      </c>
      <c r="AC120" s="61">
        <v>0</v>
      </c>
      <c r="AD120" s="61">
        <v>0</v>
      </c>
      <c r="AE120" s="61">
        <v>0</v>
      </c>
      <c r="AF120" s="61">
        <v>0</v>
      </c>
      <c r="AG120" s="61">
        <v>0</v>
      </c>
      <c r="AH120" s="61">
        <v>0</v>
      </c>
      <c r="AI120" s="61">
        <v>0</v>
      </c>
      <c r="AJ120" s="61">
        <v>0</v>
      </c>
      <c r="AK120" s="61">
        <v>0</v>
      </c>
      <c r="AL120" s="61">
        <v>0</v>
      </c>
      <c r="AM120" s="61">
        <v>0</v>
      </c>
      <c r="AN120" s="61">
        <v>0</v>
      </c>
      <c r="AO120" s="61">
        <v>0</v>
      </c>
      <c r="AP120" s="61">
        <v>0</v>
      </c>
      <c r="AQ120" s="61">
        <v>0</v>
      </c>
      <c r="AR120" s="61">
        <v>0</v>
      </c>
      <c r="AS120" s="61">
        <v>0</v>
      </c>
      <c r="AT120" s="61">
        <v>0</v>
      </c>
      <c r="AU120" s="61">
        <v>0</v>
      </c>
      <c r="AV120" s="61">
        <v>0</v>
      </c>
      <c r="AW120" s="61">
        <v>0</v>
      </c>
      <c r="AX120" s="61">
        <v>0</v>
      </c>
      <c r="AY120" s="61">
        <v>0</v>
      </c>
      <c r="AZ120" s="61">
        <v>0</v>
      </c>
      <c r="BA120" s="61">
        <v>0</v>
      </c>
      <c r="BB120" s="61">
        <v>0</v>
      </c>
      <c r="BC120" s="61">
        <v>0</v>
      </c>
      <c r="BD120" s="61">
        <v>0</v>
      </c>
      <c r="BE120" s="61">
        <v>0</v>
      </c>
      <c r="BF120" s="61">
        <v>0</v>
      </c>
      <c r="BG120" s="61">
        <v>0</v>
      </c>
      <c r="BH120" s="61">
        <v>0</v>
      </c>
      <c r="BI120" s="61">
        <v>0</v>
      </c>
      <c r="BJ120" s="61">
        <v>0</v>
      </c>
      <c r="BK120" s="61">
        <v>0</v>
      </c>
      <c r="BL120" s="61">
        <v>0</v>
      </c>
      <c r="BM120" s="61">
        <v>0</v>
      </c>
      <c r="BN120" s="61">
        <v>0</v>
      </c>
      <c r="BO120" s="61">
        <v>0</v>
      </c>
      <c r="BP120" s="61">
        <v>0</v>
      </c>
      <c r="BQ120" s="61">
        <v>0</v>
      </c>
      <c r="BR120" s="61">
        <v>0</v>
      </c>
      <c r="BS120" s="61">
        <v>0</v>
      </c>
      <c r="BT120" s="61">
        <v>0</v>
      </c>
      <c r="BU120" s="61">
        <v>0</v>
      </c>
      <c r="BV120" s="61">
        <v>0</v>
      </c>
      <c r="BW120" s="61">
        <v>0</v>
      </c>
      <c r="BX120" s="61">
        <v>0</v>
      </c>
      <c r="BY120" s="61">
        <v>0</v>
      </c>
      <c r="BZ120" s="61">
        <v>0</v>
      </c>
      <c r="CA120" s="61">
        <v>0</v>
      </c>
      <c r="CB120" s="61">
        <v>0</v>
      </c>
      <c r="CC120" s="61">
        <v>0</v>
      </c>
      <c r="CD120" s="61">
        <v>0</v>
      </c>
      <c r="CE120" s="61">
        <v>0</v>
      </c>
      <c r="CF120" s="61">
        <v>0</v>
      </c>
      <c r="CG120" s="61">
        <v>0</v>
      </c>
      <c r="CH120" s="61">
        <v>0</v>
      </c>
      <c r="CI120" s="61">
        <v>0</v>
      </c>
      <c r="CJ120" s="61">
        <v>0</v>
      </c>
      <c r="CK120" s="61">
        <v>0</v>
      </c>
      <c r="CL120" s="61">
        <v>0</v>
      </c>
      <c r="CM120" s="61">
        <v>0</v>
      </c>
      <c r="CN120" s="61">
        <v>0</v>
      </c>
      <c r="CO120" s="61">
        <v>0</v>
      </c>
      <c r="CP120" s="61">
        <v>0</v>
      </c>
      <c r="CQ120" s="61">
        <v>0</v>
      </c>
      <c r="CR120" s="61">
        <v>0</v>
      </c>
      <c r="CS120" s="61">
        <v>0</v>
      </c>
      <c r="CT120" s="61">
        <v>0</v>
      </c>
      <c r="CU120" s="61">
        <v>0</v>
      </c>
      <c r="CV120" s="61">
        <v>0</v>
      </c>
      <c r="CW120" s="61">
        <v>0</v>
      </c>
      <c r="CX120" s="61">
        <v>0</v>
      </c>
      <c r="CY120" s="61">
        <v>0</v>
      </c>
      <c r="CZ120" s="61">
        <v>0</v>
      </c>
      <c r="DA120" s="61">
        <v>0</v>
      </c>
      <c r="DB120" s="61">
        <v>0</v>
      </c>
      <c r="DC120" s="61">
        <v>0</v>
      </c>
      <c r="DD120" s="61">
        <v>0</v>
      </c>
      <c r="DE120" s="61">
        <v>0</v>
      </c>
      <c r="DF120" s="61">
        <v>0</v>
      </c>
      <c r="DG120" s="61">
        <v>0</v>
      </c>
      <c r="DH120" s="61">
        <v>0</v>
      </c>
      <c r="DI120" s="61">
        <v>0</v>
      </c>
      <c r="DJ120" s="61">
        <v>0</v>
      </c>
      <c r="DK120" s="61">
        <v>0</v>
      </c>
      <c r="DL120" s="61">
        <v>0</v>
      </c>
      <c r="DM120" s="61">
        <v>0</v>
      </c>
      <c r="DN120" s="61">
        <v>0</v>
      </c>
      <c r="DO120" s="61">
        <v>0</v>
      </c>
      <c r="DP120" s="61">
        <v>0</v>
      </c>
      <c r="DQ120" s="61">
        <v>0</v>
      </c>
      <c r="DR120" s="61">
        <v>0</v>
      </c>
      <c r="DS120" s="61">
        <v>0</v>
      </c>
      <c r="DT120" s="61">
        <v>0</v>
      </c>
      <c r="DU120" s="61">
        <v>0</v>
      </c>
      <c r="DV120" s="61">
        <v>0</v>
      </c>
      <c r="DW120" s="61">
        <v>0</v>
      </c>
      <c r="DX120" s="61">
        <v>0</v>
      </c>
      <c r="DY120" s="61">
        <v>0</v>
      </c>
      <c r="DZ120" s="61">
        <v>0</v>
      </c>
      <c r="EA120" s="61">
        <v>0</v>
      </c>
      <c r="EB120" s="61">
        <v>0</v>
      </c>
      <c r="EC120" s="61">
        <v>0</v>
      </c>
      <c r="ED120" s="61">
        <v>0</v>
      </c>
      <c r="EE120" s="61">
        <v>0</v>
      </c>
      <c r="EF120" s="61">
        <v>0</v>
      </c>
      <c r="EG120" s="61">
        <v>0</v>
      </c>
      <c r="EH120" s="61">
        <v>0</v>
      </c>
      <c r="EI120" s="61">
        <v>0</v>
      </c>
      <c r="EJ120" s="61">
        <v>0</v>
      </c>
      <c r="EK120" s="61">
        <v>0</v>
      </c>
      <c r="EL120" s="61">
        <v>0</v>
      </c>
      <c r="EM120" s="61">
        <v>0</v>
      </c>
      <c r="EN120" s="61">
        <v>0</v>
      </c>
      <c r="EO120" s="61">
        <v>0</v>
      </c>
      <c r="EP120" s="61">
        <v>0</v>
      </c>
      <c r="EQ120" s="61">
        <v>0</v>
      </c>
      <c r="ER120" s="61">
        <v>0</v>
      </c>
      <c r="ES120" s="65">
        <v>0</v>
      </c>
      <c r="ET120" s="61">
        <v>0</v>
      </c>
      <c r="EU120" s="61">
        <v>0</v>
      </c>
      <c r="EV120" s="61">
        <v>0</v>
      </c>
      <c r="EW120" s="61">
        <v>0</v>
      </c>
      <c r="EX120" s="61">
        <v>0</v>
      </c>
      <c r="EY120" s="61">
        <v>0</v>
      </c>
      <c r="EZ120" s="61">
        <v>0</v>
      </c>
      <c r="FA120" s="61">
        <v>0</v>
      </c>
      <c r="FB120" s="61">
        <v>0</v>
      </c>
      <c r="FC120" s="61">
        <v>0</v>
      </c>
      <c r="FD120" s="61">
        <v>0</v>
      </c>
      <c r="FE120" s="61">
        <v>0</v>
      </c>
      <c r="FF120" s="61">
        <v>0</v>
      </c>
      <c r="FG120" s="61">
        <v>0</v>
      </c>
      <c r="FH120" s="61">
        <v>0</v>
      </c>
      <c r="FI120" s="61">
        <v>0</v>
      </c>
      <c r="FJ120" s="61">
        <v>0</v>
      </c>
      <c r="FK120" s="61">
        <v>0</v>
      </c>
      <c r="FL120" s="61">
        <v>0</v>
      </c>
      <c r="FM120" s="61">
        <v>0</v>
      </c>
      <c r="FN120" s="61">
        <v>0</v>
      </c>
      <c r="FO120" s="61">
        <v>0</v>
      </c>
      <c r="FP120" s="61">
        <v>0</v>
      </c>
      <c r="FQ120" s="61">
        <v>0</v>
      </c>
      <c r="FR120" s="61">
        <v>0</v>
      </c>
      <c r="FS120" s="61">
        <v>0</v>
      </c>
      <c r="FT120" s="61">
        <v>0</v>
      </c>
      <c r="FU120" s="61">
        <v>0</v>
      </c>
      <c r="FV120" s="63">
        <v>0</v>
      </c>
      <c r="FW120" s="63">
        <v>0</v>
      </c>
      <c r="FX120" s="63">
        <v>0</v>
      </c>
      <c r="FY120" s="63">
        <v>0</v>
      </c>
      <c r="FZ120" s="63">
        <v>0</v>
      </c>
      <c r="GA120" s="63">
        <v>0</v>
      </c>
      <c r="GB120" s="63">
        <v>0</v>
      </c>
      <c r="GC120" s="63">
        <v>0</v>
      </c>
      <c r="GD120" s="63">
        <v>0</v>
      </c>
      <c r="GE120" s="63">
        <v>0</v>
      </c>
      <c r="GF120" s="63">
        <v>0</v>
      </c>
      <c r="GG120" s="63">
        <v>0</v>
      </c>
      <c r="GH120" s="63">
        <v>0</v>
      </c>
      <c r="GI120" s="63">
        <v>0</v>
      </c>
      <c r="GJ120" s="66">
        <v>1</v>
      </c>
      <c r="GK120" s="66">
        <v>1</v>
      </c>
      <c r="GL120" s="66">
        <v>1</v>
      </c>
      <c r="GM120" s="66">
        <v>1</v>
      </c>
      <c r="GN120" s="66">
        <v>1</v>
      </c>
      <c r="GO120" s="63">
        <v>0</v>
      </c>
      <c r="GP120" s="63">
        <v>0</v>
      </c>
      <c r="GQ120" s="63">
        <v>0</v>
      </c>
      <c r="GR120" s="63">
        <v>0</v>
      </c>
      <c r="GS120" s="63">
        <v>0</v>
      </c>
      <c r="GT120" s="63">
        <v>0</v>
      </c>
      <c r="GU120" s="63">
        <v>0</v>
      </c>
      <c r="GV120" s="63">
        <v>0</v>
      </c>
      <c r="GW120" s="63">
        <v>0</v>
      </c>
      <c r="GX120" s="63">
        <v>0</v>
      </c>
      <c r="GY120" s="63">
        <v>0</v>
      </c>
      <c r="GZ120" s="63">
        <v>0</v>
      </c>
      <c r="HA120" s="63">
        <v>0</v>
      </c>
      <c r="HB120" s="63">
        <v>0</v>
      </c>
      <c r="HC120" s="63">
        <v>0</v>
      </c>
      <c r="HD120" s="63">
        <v>0</v>
      </c>
      <c r="HE120" s="63">
        <v>0</v>
      </c>
      <c r="HF120" s="63">
        <v>0</v>
      </c>
      <c r="HG120" s="63">
        <v>0</v>
      </c>
      <c r="HH120" s="63"/>
      <c r="HI120" s="63"/>
      <c r="HJ120" s="63">
        <v>1946</v>
      </c>
      <c r="HK120" s="63">
        <f>SUM(ES$4:HI$4)</f>
        <v>69</v>
      </c>
      <c r="HL120" s="61">
        <f>SUM(ES120:HI120)</f>
        <v>5</v>
      </c>
      <c r="HM120" s="67">
        <f t="shared" si="7"/>
        <v>7.2463768115942031</v>
      </c>
      <c r="HN120" s="67"/>
      <c r="HO120" s="68"/>
      <c r="HP120" s="68"/>
    </row>
    <row r="121" spans="1:244" x14ac:dyDescent="0.3">
      <c r="B121" s="60" t="s">
        <v>7366</v>
      </c>
      <c r="C121" s="61">
        <v>0</v>
      </c>
      <c r="D121" s="61">
        <v>0</v>
      </c>
      <c r="E121" s="61">
        <v>0</v>
      </c>
      <c r="F121" s="61">
        <v>0</v>
      </c>
      <c r="G121" s="61">
        <v>0</v>
      </c>
      <c r="H121" s="61">
        <v>0</v>
      </c>
      <c r="I121" s="61">
        <v>0</v>
      </c>
      <c r="J121" s="61">
        <v>0</v>
      </c>
      <c r="K121" s="61">
        <v>0</v>
      </c>
      <c r="L121" s="61">
        <v>0</v>
      </c>
      <c r="M121" s="61">
        <v>0</v>
      </c>
      <c r="N121" s="61">
        <v>0</v>
      </c>
      <c r="O121" s="61">
        <v>0</v>
      </c>
      <c r="P121" s="61">
        <v>0</v>
      </c>
      <c r="Q121" s="61">
        <v>0</v>
      </c>
      <c r="R121" s="61">
        <v>0</v>
      </c>
      <c r="S121" s="61">
        <v>0</v>
      </c>
      <c r="T121" s="61">
        <v>0</v>
      </c>
      <c r="U121" s="61">
        <v>0</v>
      </c>
      <c r="V121" s="61">
        <v>0</v>
      </c>
      <c r="W121" s="61">
        <v>0</v>
      </c>
      <c r="X121" s="61">
        <v>0</v>
      </c>
      <c r="Y121" s="61">
        <v>0</v>
      </c>
      <c r="Z121" s="61">
        <v>0</v>
      </c>
      <c r="AA121" s="61">
        <v>0</v>
      </c>
      <c r="AB121" s="61">
        <v>0</v>
      </c>
      <c r="AC121" s="61">
        <v>0</v>
      </c>
      <c r="AD121" s="61">
        <v>0</v>
      </c>
      <c r="AE121" s="61">
        <v>0</v>
      </c>
      <c r="AF121" s="61">
        <v>0</v>
      </c>
      <c r="AG121" s="61">
        <v>0</v>
      </c>
      <c r="AH121" s="61">
        <v>0</v>
      </c>
      <c r="AI121" s="61">
        <v>0</v>
      </c>
      <c r="AJ121" s="61">
        <v>0</v>
      </c>
      <c r="AK121" s="61">
        <v>0</v>
      </c>
      <c r="AL121" s="61">
        <v>0</v>
      </c>
      <c r="AM121" s="61">
        <v>0</v>
      </c>
      <c r="AN121" s="61">
        <v>0</v>
      </c>
      <c r="AO121" s="61">
        <v>0</v>
      </c>
      <c r="AP121" s="61">
        <v>0</v>
      </c>
      <c r="AQ121" s="61">
        <v>0</v>
      </c>
      <c r="AR121" s="61">
        <v>0</v>
      </c>
      <c r="AS121" s="61">
        <v>0</v>
      </c>
      <c r="AT121" s="61">
        <v>0</v>
      </c>
      <c r="AU121" s="61">
        <v>0</v>
      </c>
      <c r="AV121" s="61">
        <v>0</v>
      </c>
      <c r="AW121" s="61">
        <v>0</v>
      </c>
      <c r="AX121" s="61">
        <v>0</v>
      </c>
      <c r="AY121" s="61">
        <v>0</v>
      </c>
      <c r="AZ121" s="61">
        <v>0</v>
      </c>
      <c r="BA121" s="61">
        <v>0</v>
      </c>
      <c r="BB121" s="61">
        <v>0</v>
      </c>
      <c r="BC121" s="61">
        <v>0</v>
      </c>
      <c r="BD121" s="61">
        <v>0</v>
      </c>
      <c r="BE121" s="61">
        <v>0</v>
      </c>
      <c r="BF121" s="61">
        <v>0</v>
      </c>
      <c r="BG121" s="61">
        <v>0</v>
      </c>
      <c r="BH121" s="61">
        <v>0</v>
      </c>
      <c r="BI121" s="61">
        <v>0</v>
      </c>
      <c r="BJ121" s="61">
        <v>0</v>
      </c>
      <c r="BK121" s="61">
        <v>0</v>
      </c>
      <c r="BL121" s="61">
        <v>0</v>
      </c>
      <c r="BM121" s="61">
        <v>0</v>
      </c>
      <c r="BN121" s="61">
        <v>0</v>
      </c>
      <c r="BO121" s="61">
        <v>0</v>
      </c>
      <c r="BP121" s="61">
        <v>0</v>
      </c>
      <c r="BQ121" s="61">
        <v>0</v>
      </c>
      <c r="BR121" s="61">
        <v>0</v>
      </c>
      <c r="BS121" s="61">
        <v>0</v>
      </c>
      <c r="BT121" s="61">
        <v>0</v>
      </c>
      <c r="BU121" s="61">
        <v>0</v>
      </c>
      <c r="BV121" s="61">
        <v>0</v>
      </c>
      <c r="BW121" s="61">
        <v>0</v>
      </c>
      <c r="BX121" s="61">
        <v>0</v>
      </c>
      <c r="BY121" s="61">
        <v>0</v>
      </c>
      <c r="BZ121" s="61">
        <v>0</v>
      </c>
      <c r="CA121" s="61">
        <v>0</v>
      </c>
      <c r="CB121" s="61">
        <v>0</v>
      </c>
      <c r="CC121" s="61">
        <v>0</v>
      </c>
      <c r="CD121" s="61">
        <v>0</v>
      </c>
      <c r="CE121" s="61">
        <v>0</v>
      </c>
      <c r="CF121" s="61">
        <v>0</v>
      </c>
      <c r="CG121" s="61">
        <v>0</v>
      </c>
      <c r="CH121" s="61">
        <v>0</v>
      </c>
      <c r="CI121" s="61">
        <v>0</v>
      </c>
      <c r="CJ121" s="61">
        <v>0</v>
      </c>
      <c r="CK121" s="61">
        <v>0</v>
      </c>
      <c r="CL121" s="61">
        <v>0</v>
      </c>
      <c r="CM121" s="61">
        <v>0</v>
      </c>
      <c r="CN121" s="61">
        <v>0</v>
      </c>
      <c r="CO121" s="61">
        <v>0</v>
      </c>
      <c r="CP121" s="61">
        <v>0</v>
      </c>
      <c r="CQ121" s="61">
        <v>0</v>
      </c>
      <c r="CR121" s="61">
        <v>0</v>
      </c>
      <c r="CS121" s="61">
        <v>0</v>
      </c>
      <c r="CT121" s="61">
        <v>0</v>
      </c>
      <c r="CU121" s="61">
        <v>0</v>
      </c>
      <c r="CV121" s="61">
        <v>0</v>
      </c>
      <c r="CW121" s="61">
        <v>0</v>
      </c>
      <c r="CX121" s="61">
        <v>0</v>
      </c>
      <c r="CY121" s="61">
        <v>0</v>
      </c>
      <c r="CZ121" s="61">
        <v>0</v>
      </c>
      <c r="DA121" s="61">
        <v>0</v>
      </c>
      <c r="DB121" s="61">
        <v>0</v>
      </c>
      <c r="DC121" s="61">
        <v>0</v>
      </c>
      <c r="DD121" s="61">
        <v>0</v>
      </c>
      <c r="DE121" s="61">
        <v>0</v>
      </c>
      <c r="DF121" s="61">
        <v>0</v>
      </c>
      <c r="DG121" s="61">
        <v>0</v>
      </c>
      <c r="DH121" s="61">
        <v>0</v>
      </c>
      <c r="DI121" s="61">
        <v>0</v>
      </c>
      <c r="DJ121" s="61">
        <v>0</v>
      </c>
      <c r="DK121" s="61">
        <v>0</v>
      </c>
      <c r="DL121" s="61">
        <v>0</v>
      </c>
      <c r="DM121" s="61">
        <v>0</v>
      </c>
      <c r="DN121" s="61">
        <v>0</v>
      </c>
      <c r="DO121" s="61">
        <v>0</v>
      </c>
      <c r="DP121" s="61">
        <v>0</v>
      </c>
      <c r="DQ121" s="61">
        <v>0</v>
      </c>
      <c r="DR121" s="61">
        <v>0</v>
      </c>
      <c r="DS121" s="61">
        <v>0</v>
      </c>
      <c r="DT121" s="61">
        <v>0</v>
      </c>
      <c r="DU121" s="61">
        <v>0</v>
      </c>
      <c r="DV121" s="61">
        <v>0</v>
      </c>
      <c r="DW121" s="61">
        <v>0</v>
      </c>
      <c r="DX121" s="61">
        <v>0</v>
      </c>
      <c r="DY121" s="61">
        <v>0</v>
      </c>
      <c r="DZ121" s="61">
        <v>0</v>
      </c>
      <c r="EA121" s="61">
        <v>0</v>
      </c>
      <c r="EB121" s="61">
        <v>0</v>
      </c>
      <c r="EC121" s="61">
        <v>0</v>
      </c>
      <c r="ED121" s="61">
        <v>0</v>
      </c>
      <c r="EE121" s="61">
        <v>0</v>
      </c>
      <c r="EF121" s="61">
        <v>0</v>
      </c>
      <c r="EG121" s="61">
        <v>0</v>
      </c>
      <c r="EH121" s="61">
        <v>0</v>
      </c>
      <c r="EI121" s="61">
        <v>0</v>
      </c>
      <c r="EJ121" s="61">
        <v>0</v>
      </c>
      <c r="EK121" s="61">
        <v>0</v>
      </c>
      <c r="EL121" s="61">
        <v>0</v>
      </c>
      <c r="EM121" s="61">
        <v>0</v>
      </c>
      <c r="EN121" s="61">
        <v>0</v>
      </c>
      <c r="EO121" s="61">
        <v>0</v>
      </c>
      <c r="EP121" s="61">
        <v>0</v>
      </c>
      <c r="EQ121" s="61">
        <v>0</v>
      </c>
      <c r="ER121" s="61">
        <v>0</v>
      </c>
      <c r="ES121" s="61">
        <v>0</v>
      </c>
      <c r="ET121" s="61">
        <v>0</v>
      </c>
      <c r="EU121" s="61">
        <v>0</v>
      </c>
      <c r="EV121" s="61">
        <v>0</v>
      </c>
      <c r="EW121" s="61">
        <v>0</v>
      </c>
      <c r="EX121" s="61">
        <v>0</v>
      </c>
      <c r="EY121" s="61">
        <v>0</v>
      </c>
      <c r="EZ121" s="61">
        <v>0</v>
      </c>
      <c r="FA121" s="61">
        <v>0</v>
      </c>
      <c r="FB121" s="61">
        <v>0</v>
      </c>
      <c r="FC121" s="61">
        <v>0</v>
      </c>
      <c r="FD121" s="61">
        <v>0</v>
      </c>
      <c r="FE121" s="61">
        <v>0</v>
      </c>
      <c r="FF121" s="61">
        <v>0</v>
      </c>
      <c r="FG121" s="61">
        <v>0</v>
      </c>
      <c r="FH121" s="61">
        <v>0</v>
      </c>
      <c r="FI121" s="61">
        <v>0</v>
      </c>
      <c r="FJ121" s="61">
        <v>0</v>
      </c>
      <c r="FK121" s="61">
        <v>0</v>
      </c>
      <c r="FL121" s="61">
        <v>0</v>
      </c>
      <c r="FM121" s="61">
        <v>0</v>
      </c>
      <c r="FN121" s="61">
        <v>0</v>
      </c>
      <c r="FO121" s="61">
        <v>0</v>
      </c>
      <c r="FP121" s="61">
        <v>0</v>
      </c>
      <c r="FQ121" s="61">
        <v>0</v>
      </c>
      <c r="FR121" s="61">
        <v>0</v>
      </c>
      <c r="FS121" s="61">
        <v>0</v>
      </c>
      <c r="FT121" s="61">
        <v>0</v>
      </c>
      <c r="FU121" s="61">
        <v>0</v>
      </c>
      <c r="FV121" s="61">
        <v>0</v>
      </c>
      <c r="FW121" s="61">
        <v>0</v>
      </c>
      <c r="FX121" s="61">
        <v>0</v>
      </c>
      <c r="FY121" s="61">
        <v>0</v>
      </c>
      <c r="FZ121" s="61">
        <v>0</v>
      </c>
      <c r="GA121" s="61">
        <v>0</v>
      </c>
      <c r="GB121" s="61">
        <v>0</v>
      </c>
      <c r="GC121" s="61">
        <v>0</v>
      </c>
      <c r="GD121" s="61">
        <v>0</v>
      </c>
      <c r="GE121" s="61">
        <v>0</v>
      </c>
      <c r="GF121" s="61">
        <v>0</v>
      </c>
      <c r="GG121" s="61">
        <v>0</v>
      </c>
      <c r="GH121" s="61">
        <v>0</v>
      </c>
      <c r="GI121" s="61">
        <v>0</v>
      </c>
      <c r="GJ121" s="61">
        <v>0</v>
      </c>
      <c r="GK121" s="61">
        <v>0</v>
      </c>
      <c r="GL121" s="61">
        <v>0</v>
      </c>
      <c r="GM121" s="61">
        <v>0</v>
      </c>
      <c r="GN121" s="61">
        <v>0</v>
      </c>
      <c r="GO121" s="61">
        <v>0</v>
      </c>
      <c r="GP121" s="61">
        <v>0</v>
      </c>
      <c r="GQ121" s="61">
        <v>0</v>
      </c>
      <c r="GR121" s="61">
        <v>0</v>
      </c>
      <c r="GS121" s="61">
        <v>0</v>
      </c>
      <c r="GT121" s="61">
        <v>0</v>
      </c>
      <c r="GU121" s="61">
        <v>0</v>
      </c>
      <c r="GV121" s="61">
        <v>0</v>
      </c>
      <c r="GW121" s="61">
        <v>0</v>
      </c>
      <c r="GX121" s="61">
        <v>0</v>
      </c>
      <c r="GY121" s="61">
        <v>0</v>
      </c>
      <c r="GZ121" s="61">
        <v>0</v>
      </c>
      <c r="HA121" s="61">
        <v>0</v>
      </c>
      <c r="HB121" s="61">
        <v>0</v>
      </c>
      <c r="HC121" s="61">
        <v>0</v>
      </c>
      <c r="HD121" s="61">
        <v>0</v>
      </c>
      <c r="HE121" s="61">
        <v>0</v>
      </c>
      <c r="HF121" s="61">
        <v>0</v>
      </c>
      <c r="HG121" s="61">
        <v>0</v>
      </c>
      <c r="HH121" s="61"/>
      <c r="HI121" s="61"/>
      <c r="HJ121" s="63">
        <v>1961</v>
      </c>
      <c r="HK121" s="63">
        <f>SUM(FH$4:HI$4)</f>
        <v>54</v>
      </c>
      <c r="HL121" s="61">
        <f>SUM(FH121:HI121)</f>
        <v>0</v>
      </c>
      <c r="HM121" s="67">
        <f t="shared" si="7"/>
        <v>0</v>
      </c>
      <c r="HN121" s="67"/>
      <c r="HO121" s="68"/>
      <c r="HP121" s="68"/>
    </row>
    <row r="122" spans="1:244" x14ac:dyDescent="0.3">
      <c r="B122" s="63" t="s">
        <v>7367</v>
      </c>
      <c r="C122" s="61">
        <v>0</v>
      </c>
      <c r="D122" s="61">
        <v>0</v>
      </c>
      <c r="E122" s="61">
        <v>0</v>
      </c>
      <c r="F122" s="61">
        <v>0</v>
      </c>
      <c r="G122" s="61">
        <v>0</v>
      </c>
      <c r="H122" s="61">
        <v>0</v>
      </c>
      <c r="I122" s="61">
        <v>0</v>
      </c>
      <c r="J122" s="61">
        <v>0</v>
      </c>
      <c r="K122" s="61">
        <v>0</v>
      </c>
      <c r="L122" s="61">
        <v>0</v>
      </c>
      <c r="M122" s="61">
        <v>0</v>
      </c>
      <c r="N122" s="61">
        <v>0</v>
      </c>
      <c r="O122" s="61">
        <v>0</v>
      </c>
      <c r="P122" s="61">
        <v>0</v>
      </c>
      <c r="Q122" s="61">
        <v>0</v>
      </c>
      <c r="R122" s="61">
        <v>0</v>
      </c>
      <c r="S122" s="61">
        <v>0</v>
      </c>
      <c r="T122" s="61">
        <v>0</v>
      </c>
      <c r="U122" s="61">
        <v>0</v>
      </c>
      <c r="V122" s="61">
        <v>0</v>
      </c>
      <c r="W122" s="61">
        <v>0</v>
      </c>
      <c r="X122" s="61">
        <v>0</v>
      </c>
      <c r="Y122" s="61">
        <v>0</v>
      </c>
      <c r="Z122" s="61">
        <v>0</v>
      </c>
      <c r="AA122" s="61">
        <v>0</v>
      </c>
      <c r="AB122" s="61">
        <v>0</v>
      </c>
      <c r="AC122" s="61">
        <v>0</v>
      </c>
      <c r="AD122" s="61">
        <v>0</v>
      </c>
      <c r="AE122" s="61">
        <v>0</v>
      </c>
      <c r="AF122" s="61">
        <v>0</v>
      </c>
      <c r="AG122" s="61">
        <v>0</v>
      </c>
      <c r="AH122" s="61">
        <v>0</v>
      </c>
      <c r="AI122" s="61">
        <v>0</v>
      </c>
      <c r="AJ122" s="61">
        <v>0</v>
      </c>
      <c r="AK122" s="61">
        <v>0</v>
      </c>
      <c r="AL122" s="61">
        <v>0</v>
      </c>
      <c r="AM122" s="61">
        <v>0</v>
      </c>
      <c r="AN122" s="61">
        <v>0</v>
      </c>
      <c r="AO122" s="61">
        <v>0</v>
      </c>
      <c r="AP122" s="61">
        <v>0</v>
      </c>
      <c r="AQ122" s="61">
        <v>0</v>
      </c>
      <c r="AR122" s="61">
        <v>0</v>
      </c>
      <c r="AS122" s="61">
        <v>0</v>
      </c>
      <c r="AT122" s="61">
        <v>0</v>
      </c>
      <c r="AU122" s="61">
        <v>0</v>
      </c>
      <c r="AV122" s="61">
        <v>0</v>
      </c>
      <c r="AW122" s="61">
        <v>0</v>
      </c>
      <c r="AX122" s="61">
        <v>0</v>
      </c>
      <c r="AY122" s="61">
        <v>0</v>
      </c>
      <c r="AZ122" s="61">
        <v>0</v>
      </c>
      <c r="BA122" s="61">
        <v>0</v>
      </c>
      <c r="BB122" s="61">
        <v>0</v>
      </c>
      <c r="BC122" s="61">
        <v>0</v>
      </c>
      <c r="BD122" s="61">
        <v>0</v>
      </c>
      <c r="BE122" s="61">
        <v>0</v>
      </c>
      <c r="BF122" s="61">
        <v>0</v>
      </c>
      <c r="BG122" s="61">
        <v>0</v>
      </c>
      <c r="BH122" s="61">
        <v>0</v>
      </c>
      <c r="BI122" s="61">
        <v>0</v>
      </c>
      <c r="BJ122" s="61">
        <v>0</v>
      </c>
      <c r="BK122" s="61">
        <v>0</v>
      </c>
      <c r="BL122" s="61">
        <v>0</v>
      </c>
      <c r="BM122" s="61">
        <v>0</v>
      </c>
      <c r="BN122" s="61">
        <v>0</v>
      </c>
      <c r="BO122" s="61">
        <v>0</v>
      </c>
      <c r="BP122" s="61">
        <v>0</v>
      </c>
      <c r="BQ122" s="61">
        <v>0</v>
      </c>
      <c r="BR122" s="61">
        <v>0</v>
      </c>
      <c r="BS122" s="61">
        <v>0</v>
      </c>
      <c r="BT122" s="61">
        <v>0</v>
      </c>
      <c r="BU122" s="61">
        <v>0</v>
      </c>
      <c r="BV122" s="61">
        <v>0</v>
      </c>
      <c r="BW122" s="61">
        <v>0</v>
      </c>
      <c r="BX122" s="61">
        <v>0</v>
      </c>
      <c r="BY122" s="61">
        <v>0</v>
      </c>
      <c r="BZ122" s="61">
        <v>0</v>
      </c>
      <c r="CA122" s="61">
        <v>0</v>
      </c>
      <c r="CB122" s="61">
        <v>0</v>
      </c>
      <c r="CC122" s="61">
        <v>0</v>
      </c>
      <c r="CD122" s="61">
        <v>0</v>
      </c>
      <c r="CE122" s="61">
        <v>0</v>
      </c>
      <c r="CF122" s="61">
        <v>0</v>
      </c>
      <c r="CG122" s="61">
        <v>0</v>
      </c>
      <c r="CH122" s="61">
        <v>0</v>
      </c>
      <c r="CI122" s="61">
        <v>0</v>
      </c>
      <c r="CJ122" s="61">
        <v>0</v>
      </c>
      <c r="CK122" s="61">
        <v>0</v>
      </c>
      <c r="CL122" s="61">
        <v>0</v>
      </c>
      <c r="CM122" s="61">
        <v>0</v>
      </c>
      <c r="CN122" s="61">
        <v>0</v>
      </c>
      <c r="CO122" s="61">
        <v>0</v>
      </c>
      <c r="CP122" s="61">
        <v>0</v>
      </c>
      <c r="CQ122" s="61">
        <v>0</v>
      </c>
      <c r="CR122" s="61">
        <v>0</v>
      </c>
      <c r="CS122" s="61">
        <v>0</v>
      </c>
      <c r="CT122" s="61">
        <v>0</v>
      </c>
      <c r="CU122" s="61">
        <v>0</v>
      </c>
      <c r="CV122" s="61">
        <v>0</v>
      </c>
      <c r="CW122" s="61">
        <v>0</v>
      </c>
      <c r="CX122" s="61">
        <v>0</v>
      </c>
      <c r="CY122" s="61">
        <v>0</v>
      </c>
      <c r="CZ122" s="61">
        <v>0</v>
      </c>
      <c r="DA122" s="61">
        <v>0</v>
      </c>
      <c r="DB122" s="61">
        <v>0</v>
      </c>
      <c r="DC122" s="61">
        <v>0</v>
      </c>
      <c r="DD122" s="61">
        <v>0</v>
      </c>
      <c r="DE122" s="61">
        <v>0</v>
      </c>
      <c r="DF122" s="61">
        <v>0</v>
      </c>
      <c r="DG122" s="61">
        <v>0</v>
      </c>
      <c r="DH122" s="61">
        <v>0</v>
      </c>
      <c r="DI122" s="61">
        <v>0</v>
      </c>
      <c r="DJ122" s="61">
        <v>0</v>
      </c>
      <c r="DK122" s="61">
        <v>0</v>
      </c>
      <c r="DL122" s="61">
        <v>0</v>
      </c>
      <c r="DM122" s="61">
        <v>0</v>
      </c>
      <c r="DN122" s="61">
        <v>0</v>
      </c>
      <c r="DO122" s="61">
        <v>0</v>
      </c>
      <c r="DP122" s="61">
        <v>0</v>
      </c>
      <c r="DQ122" s="61">
        <v>0</v>
      </c>
      <c r="DR122" s="61">
        <v>0</v>
      </c>
      <c r="DS122" s="61">
        <v>0</v>
      </c>
      <c r="DT122" s="61">
        <v>0</v>
      </c>
      <c r="DU122" s="61">
        <v>0</v>
      </c>
      <c r="DV122" s="61">
        <v>0</v>
      </c>
      <c r="DW122" s="61">
        <v>0</v>
      </c>
      <c r="DX122" s="61">
        <v>0</v>
      </c>
      <c r="DY122" s="61">
        <v>0</v>
      </c>
      <c r="DZ122" s="61">
        <v>0</v>
      </c>
      <c r="EA122" s="61">
        <v>0</v>
      </c>
      <c r="EB122" s="61">
        <v>0</v>
      </c>
      <c r="EC122" s="61">
        <v>0</v>
      </c>
      <c r="ED122" s="61">
        <v>0</v>
      </c>
      <c r="EE122" s="61">
        <v>0</v>
      </c>
      <c r="EF122" s="61">
        <v>0</v>
      </c>
      <c r="EG122" s="61">
        <v>0</v>
      </c>
      <c r="EH122" s="61">
        <v>0</v>
      </c>
      <c r="EI122" s="61">
        <v>0</v>
      </c>
      <c r="EJ122" s="61">
        <v>0</v>
      </c>
      <c r="EK122" s="61">
        <v>0</v>
      </c>
      <c r="EL122" s="61">
        <v>0</v>
      </c>
      <c r="EM122" s="61">
        <v>0</v>
      </c>
      <c r="EN122" s="61">
        <v>0</v>
      </c>
      <c r="EO122" s="61">
        <v>0</v>
      </c>
      <c r="EP122" s="61">
        <v>0</v>
      </c>
      <c r="EQ122" s="61">
        <v>0</v>
      </c>
      <c r="ER122" s="61">
        <v>0</v>
      </c>
      <c r="ES122" s="61">
        <v>0</v>
      </c>
      <c r="ET122" s="61">
        <v>0</v>
      </c>
      <c r="EU122" s="61">
        <v>0</v>
      </c>
      <c r="EV122" s="61">
        <v>0</v>
      </c>
      <c r="EW122" s="61">
        <v>0</v>
      </c>
      <c r="EX122" s="61">
        <v>0</v>
      </c>
      <c r="EY122" s="61">
        <v>0</v>
      </c>
      <c r="EZ122" s="61">
        <v>0</v>
      </c>
      <c r="FA122" s="61">
        <v>0</v>
      </c>
      <c r="FB122" s="61">
        <v>0</v>
      </c>
      <c r="FC122" s="61">
        <v>0</v>
      </c>
      <c r="FD122" s="61">
        <v>0</v>
      </c>
      <c r="FE122" s="61">
        <v>0</v>
      </c>
      <c r="FF122" s="61">
        <v>0</v>
      </c>
      <c r="FG122" s="61">
        <v>0</v>
      </c>
      <c r="FH122" s="61">
        <v>0</v>
      </c>
      <c r="FI122" s="61">
        <v>0</v>
      </c>
      <c r="FJ122" s="61">
        <v>0</v>
      </c>
      <c r="FK122" s="61">
        <v>0</v>
      </c>
      <c r="FL122" s="61">
        <v>0</v>
      </c>
      <c r="FM122" s="61">
        <v>0</v>
      </c>
      <c r="FN122" s="61">
        <v>0</v>
      </c>
      <c r="FO122" s="61">
        <v>0</v>
      </c>
      <c r="FP122" s="61">
        <v>0</v>
      </c>
      <c r="FQ122" s="61">
        <v>0</v>
      </c>
      <c r="FR122" s="61">
        <v>0</v>
      </c>
      <c r="FS122" s="66">
        <v>1</v>
      </c>
      <c r="FT122" s="66">
        <v>1</v>
      </c>
      <c r="FU122" s="66">
        <v>1</v>
      </c>
      <c r="FV122" s="63">
        <v>0</v>
      </c>
      <c r="FW122" s="63">
        <v>0</v>
      </c>
      <c r="FX122" s="63">
        <v>0</v>
      </c>
      <c r="FY122" s="63">
        <v>0</v>
      </c>
      <c r="FZ122" s="63">
        <v>0</v>
      </c>
      <c r="GA122" s="63">
        <v>0</v>
      </c>
      <c r="GB122" s="66">
        <v>1</v>
      </c>
      <c r="GC122" s="63">
        <v>0</v>
      </c>
      <c r="GD122" s="63">
        <v>0</v>
      </c>
      <c r="GE122" s="63">
        <v>0</v>
      </c>
      <c r="GF122" s="63">
        <v>0</v>
      </c>
      <c r="GG122" s="63">
        <v>0</v>
      </c>
      <c r="GH122" s="63">
        <v>0</v>
      </c>
      <c r="GI122" s="63">
        <v>0</v>
      </c>
      <c r="GJ122" s="63">
        <v>0</v>
      </c>
      <c r="GK122" s="63">
        <v>0</v>
      </c>
      <c r="GL122" s="63">
        <v>0</v>
      </c>
      <c r="GM122" s="63">
        <v>0</v>
      </c>
      <c r="GN122" s="63">
        <v>0</v>
      </c>
      <c r="GO122" s="63">
        <v>0</v>
      </c>
      <c r="GP122" s="63">
        <v>0</v>
      </c>
      <c r="GQ122" s="63">
        <v>0</v>
      </c>
      <c r="GR122" s="63">
        <v>0</v>
      </c>
      <c r="GS122" s="66">
        <v>1</v>
      </c>
      <c r="GT122" s="66">
        <v>1</v>
      </c>
      <c r="GU122" s="63">
        <v>0</v>
      </c>
      <c r="GV122" s="63">
        <v>0</v>
      </c>
      <c r="GW122" s="63">
        <v>0</v>
      </c>
      <c r="GX122" s="63">
        <v>0</v>
      </c>
      <c r="GY122" s="63">
        <v>0</v>
      </c>
      <c r="GZ122" s="63">
        <v>0</v>
      </c>
      <c r="HA122" s="63">
        <v>0</v>
      </c>
      <c r="HB122" s="63">
        <v>0</v>
      </c>
      <c r="HC122" s="63">
        <v>0</v>
      </c>
      <c r="HD122" s="63">
        <v>0</v>
      </c>
      <c r="HE122" s="63">
        <v>0</v>
      </c>
      <c r="HF122" s="63">
        <v>0</v>
      </c>
      <c r="HG122" s="63">
        <v>0</v>
      </c>
      <c r="HH122" s="63"/>
      <c r="HI122" s="63"/>
      <c r="HJ122" s="63">
        <v>1947</v>
      </c>
      <c r="HK122" s="63">
        <f>SUM(ET$4:HI$4)</f>
        <v>68</v>
      </c>
      <c r="HL122" s="61">
        <f>SUM(ET122:HI122)</f>
        <v>6</v>
      </c>
      <c r="HM122" s="67">
        <f t="shared" si="7"/>
        <v>8.8235294117647065</v>
      </c>
      <c r="HN122" s="67"/>
      <c r="HO122" s="68"/>
      <c r="HP122" s="68"/>
    </row>
    <row r="123" spans="1:244" x14ac:dyDescent="0.3">
      <c r="B123" s="63" t="s">
        <v>7368</v>
      </c>
      <c r="C123" s="61">
        <v>0</v>
      </c>
      <c r="D123" s="61">
        <v>0</v>
      </c>
      <c r="E123" s="61">
        <v>0</v>
      </c>
      <c r="F123" s="61">
        <v>0</v>
      </c>
      <c r="G123" s="61">
        <v>0</v>
      </c>
      <c r="H123" s="61">
        <v>0</v>
      </c>
      <c r="I123" s="61">
        <v>0</v>
      </c>
      <c r="J123" s="61">
        <v>0</v>
      </c>
      <c r="K123" s="61">
        <v>0</v>
      </c>
      <c r="L123" s="61">
        <v>0</v>
      </c>
      <c r="M123" s="61">
        <v>0</v>
      </c>
      <c r="N123" s="61">
        <v>0</v>
      </c>
      <c r="O123" s="61">
        <v>0</v>
      </c>
      <c r="P123" s="61">
        <v>0</v>
      </c>
      <c r="Q123" s="61">
        <v>0</v>
      </c>
      <c r="R123" s="61">
        <v>0</v>
      </c>
      <c r="S123" s="61">
        <v>0</v>
      </c>
      <c r="T123" s="61">
        <v>0</v>
      </c>
      <c r="U123" s="61">
        <v>0</v>
      </c>
      <c r="V123" s="61">
        <v>0</v>
      </c>
      <c r="W123" s="61">
        <v>0</v>
      </c>
      <c r="X123" s="61">
        <v>0</v>
      </c>
      <c r="Y123" s="61">
        <v>0</v>
      </c>
      <c r="Z123" s="61">
        <v>0</v>
      </c>
      <c r="AA123" s="61">
        <v>0</v>
      </c>
      <c r="AB123" s="61">
        <v>0</v>
      </c>
      <c r="AC123" s="61">
        <v>0</v>
      </c>
      <c r="AD123" s="61">
        <v>0</v>
      </c>
      <c r="AE123" s="61">
        <v>0</v>
      </c>
      <c r="AF123" s="61">
        <v>0</v>
      </c>
      <c r="AG123" s="61">
        <v>0</v>
      </c>
      <c r="AH123" s="61">
        <v>0</v>
      </c>
      <c r="AI123" s="61">
        <v>0</v>
      </c>
      <c r="AJ123" s="61">
        <v>0</v>
      </c>
      <c r="AK123" s="61">
        <v>0</v>
      </c>
      <c r="AL123" s="61">
        <v>0</v>
      </c>
      <c r="AM123" s="61">
        <v>0</v>
      </c>
      <c r="AN123" s="61">
        <v>0</v>
      </c>
      <c r="AO123" s="61">
        <v>0</v>
      </c>
      <c r="AP123" s="61">
        <v>0</v>
      </c>
      <c r="AQ123" s="61">
        <v>0</v>
      </c>
      <c r="AR123" s="61">
        <v>0</v>
      </c>
      <c r="AS123" s="61">
        <v>0</v>
      </c>
      <c r="AT123" s="61">
        <v>0</v>
      </c>
      <c r="AU123" s="61">
        <v>0</v>
      </c>
      <c r="AV123" s="61">
        <v>0</v>
      </c>
      <c r="AW123" s="61">
        <v>0</v>
      </c>
      <c r="AX123" s="61">
        <v>0</v>
      </c>
      <c r="AY123" s="61">
        <v>0</v>
      </c>
      <c r="AZ123" s="61">
        <v>0</v>
      </c>
      <c r="BA123" s="61">
        <v>0</v>
      </c>
      <c r="BB123" s="61">
        <v>0</v>
      </c>
      <c r="BC123" s="61">
        <v>0</v>
      </c>
      <c r="BD123" s="61">
        <v>0</v>
      </c>
      <c r="BE123" s="61">
        <v>0</v>
      </c>
      <c r="BF123" s="61">
        <v>0</v>
      </c>
      <c r="BG123" s="61">
        <v>0</v>
      </c>
      <c r="BH123" s="61">
        <v>0</v>
      </c>
      <c r="BI123" s="61">
        <v>0</v>
      </c>
      <c r="BJ123" s="61">
        <v>0</v>
      </c>
      <c r="BK123" s="61">
        <v>0</v>
      </c>
      <c r="BL123" s="61">
        <v>0</v>
      </c>
      <c r="BM123" s="61">
        <v>0</v>
      </c>
      <c r="BN123" s="61">
        <v>0</v>
      </c>
      <c r="BO123" s="61">
        <v>0</v>
      </c>
      <c r="BP123" s="61">
        <v>0</v>
      </c>
      <c r="BQ123" s="61">
        <v>0</v>
      </c>
      <c r="BR123" s="61">
        <v>0</v>
      </c>
      <c r="BS123" s="61">
        <v>0</v>
      </c>
      <c r="BT123" s="61">
        <v>0</v>
      </c>
      <c r="BU123" s="61">
        <v>0</v>
      </c>
      <c r="BV123" s="61">
        <v>0</v>
      </c>
      <c r="BW123" s="61">
        <v>0</v>
      </c>
      <c r="BX123" s="61">
        <v>0</v>
      </c>
      <c r="BY123" s="61">
        <v>0</v>
      </c>
      <c r="BZ123" s="61">
        <v>0</v>
      </c>
      <c r="CA123" s="61">
        <v>0</v>
      </c>
      <c r="CB123" s="61">
        <v>0</v>
      </c>
      <c r="CC123" s="61">
        <v>0</v>
      </c>
      <c r="CD123" s="61">
        <v>0</v>
      </c>
      <c r="CE123" s="61">
        <v>0</v>
      </c>
      <c r="CF123" s="61">
        <v>0</v>
      </c>
      <c r="CG123" s="61">
        <v>0</v>
      </c>
      <c r="CH123" s="61">
        <v>0</v>
      </c>
      <c r="CI123" s="61">
        <v>0</v>
      </c>
      <c r="CJ123" s="61">
        <v>0</v>
      </c>
      <c r="CK123" s="61">
        <v>0</v>
      </c>
      <c r="CL123" s="61">
        <v>0</v>
      </c>
      <c r="CM123" s="61">
        <v>0</v>
      </c>
      <c r="CN123" s="61">
        <v>0</v>
      </c>
      <c r="CO123" s="61">
        <v>0</v>
      </c>
      <c r="CP123" s="61">
        <v>0</v>
      </c>
      <c r="CQ123" s="61">
        <v>0</v>
      </c>
      <c r="CR123" s="61">
        <v>0</v>
      </c>
      <c r="CS123" s="61">
        <v>0</v>
      </c>
      <c r="CT123" s="61">
        <v>0</v>
      </c>
      <c r="CU123" s="61">
        <v>0</v>
      </c>
      <c r="CV123" s="61">
        <v>0</v>
      </c>
      <c r="CW123" s="61">
        <v>0</v>
      </c>
      <c r="CX123" s="61">
        <v>0</v>
      </c>
      <c r="CY123" s="61">
        <v>0</v>
      </c>
      <c r="CZ123" s="61">
        <v>0</v>
      </c>
      <c r="DA123" s="61">
        <v>0</v>
      </c>
      <c r="DB123" s="61">
        <v>0</v>
      </c>
      <c r="DC123" s="61">
        <v>0</v>
      </c>
      <c r="DD123" s="61">
        <v>0</v>
      </c>
      <c r="DE123" s="61">
        <v>0</v>
      </c>
      <c r="DF123" s="61">
        <v>0</v>
      </c>
      <c r="DG123" s="61">
        <v>0</v>
      </c>
      <c r="DH123" s="61">
        <v>0</v>
      </c>
      <c r="DI123" s="61">
        <v>0</v>
      </c>
      <c r="DJ123" s="61">
        <v>0</v>
      </c>
      <c r="DK123" s="61">
        <v>0</v>
      </c>
      <c r="DL123" s="61">
        <v>0</v>
      </c>
      <c r="DM123" s="61">
        <v>0</v>
      </c>
      <c r="DN123" s="61">
        <v>0</v>
      </c>
      <c r="DO123" s="61">
        <v>0</v>
      </c>
      <c r="DP123" s="61">
        <v>0</v>
      </c>
      <c r="DQ123" s="61">
        <v>0</v>
      </c>
      <c r="DR123" s="61">
        <v>0</v>
      </c>
      <c r="DS123" s="61">
        <v>0</v>
      </c>
      <c r="DT123" s="61">
        <v>0</v>
      </c>
      <c r="DU123" s="61">
        <v>0</v>
      </c>
      <c r="DV123" s="61">
        <v>0</v>
      </c>
      <c r="DW123" s="61">
        <v>0</v>
      </c>
      <c r="DX123" s="61">
        <v>0</v>
      </c>
      <c r="DY123" s="61">
        <v>0</v>
      </c>
      <c r="DZ123" s="61">
        <v>0</v>
      </c>
      <c r="EA123" s="61">
        <v>0</v>
      </c>
      <c r="EB123" s="61">
        <v>0</v>
      </c>
      <c r="EC123" s="61">
        <v>0</v>
      </c>
      <c r="ED123" s="61">
        <v>0</v>
      </c>
      <c r="EE123" s="61">
        <v>0</v>
      </c>
      <c r="EF123" s="61">
        <v>0</v>
      </c>
      <c r="EG123" s="61">
        <v>0</v>
      </c>
      <c r="EH123" s="61">
        <v>0</v>
      </c>
      <c r="EI123" s="61">
        <v>0</v>
      </c>
      <c r="EJ123" s="61">
        <v>0</v>
      </c>
      <c r="EK123" s="61">
        <v>0</v>
      </c>
      <c r="EL123" s="61">
        <v>0</v>
      </c>
      <c r="EM123" s="61">
        <v>0</v>
      </c>
      <c r="EN123" s="61">
        <v>0</v>
      </c>
      <c r="EO123" s="61">
        <v>0</v>
      </c>
      <c r="EP123" s="61">
        <v>0</v>
      </c>
      <c r="EQ123" s="61">
        <v>0</v>
      </c>
      <c r="ER123" s="61">
        <v>0</v>
      </c>
      <c r="ES123" s="61">
        <v>0</v>
      </c>
      <c r="ET123" s="61">
        <v>0</v>
      </c>
      <c r="EU123" s="61">
        <v>0</v>
      </c>
      <c r="EV123" s="61">
        <v>0</v>
      </c>
      <c r="EW123" s="61">
        <v>0</v>
      </c>
      <c r="EX123" s="61">
        <v>0</v>
      </c>
      <c r="EY123" s="61">
        <v>0</v>
      </c>
      <c r="EZ123" s="61">
        <v>0</v>
      </c>
      <c r="FA123" s="61">
        <v>0</v>
      </c>
      <c r="FB123" s="61">
        <v>0</v>
      </c>
      <c r="FC123" s="61">
        <v>0</v>
      </c>
      <c r="FD123" s="61">
        <v>0</v>
      </c>
      <c r="FE123" s="61">
        <v>0</v>
      </c>
      <c r="FF123" s="61">
        <v>0</v>
      </c>
      <c r="FG123" s="61">
        <v>0</v>
      </c>
      <c r="FH123" s="61">
        <v>0</v>
      </c>
      <c r="FI123" s="61">
        <v>0</v>
      </c>
      <c r="FJ123" s="61">
        <v>0</v>
      </c>
      <c r="FK123" s="61">
        <v>0</v>
      </c>
      <c r="FL123" s="61">
        <v>0</v>
      </c>
      <c r="FM123" s="61">
        <v>0</v>
      </c>
      <c r="FN123" s="65">
        <v>0</v>
      </c>
      <c r="FO123" s="61">
        <v>0</v>
      </c>
      <c r="FP123" s="61">
        <v>0</v>
      </c>
      <c r="FQ123" s="61">
        <v>0</v>
      </c>
      <c r="FR123" s="61">
        <v>0</v>
      </c>
      <c r="FS123" s="61">
        <v>0</v>
      </c>
      <c r="FT123" s="61">
        <v>0</v>
      </c>
      <c r="FU123" s="61">
        <v>0</v>
      </c>
      <c r="FV123" s="61">
        <v>0</v>
      </c>
      <c r="FW123" s="61">
        <v>0</v>
      </c>
      <c r="FX123" s="61">
        <v>0</v>
      </c>
      <c r="FY123" s="61">
        <v>0</v>
      </c>
      <c r="FZ123" s="61">
        <v>0</v>
      </c>
      <c r="GA123" s="61">
        <v>0</v>
      </c>
      <c r="GB123" s="61">
        <v>0</v>
      </c>
      <c r="GC123" s="61">
        <v>0</v>
      </c>
      <c r="GD123" s="61">
        <v>0</v>
      </c>
      <c r="GE123" s="61">
        <v>0</v>
      </c>
      <c r="GF123" s="66">
        <v>1</v>
      </c>
      <c r="GG123" s="66">
        <v>1</v>
      </c>
      <c r="GH123" s="66">
        <v>1</v>
      </c>
      <c r="GI123" s="66">
        <v>1</v>
      </c>
      <c r="GJ123" s="66">
        <v>1</v>
      </c>
      <c r="GK123" s="66">
        <v>1</v>
      </c>
      <c r="GL123" s="66">
        <v>1</v>
      </c>
      <c r="GM123" s="66">
        <v>1</v>
      </c>
      <c r="GN123" s="66">
        <v>1</v>
      </c>
      <c r="GO123" s="66">
        <v>1</v>
      </c>
      <c r="GP123" s="66">
        <v>1</v>
      </c>
      <c r="GQ123" s="66">
        <v>1</v>
      </c>
      <c r="GR123" s="66">
        <v>1</v>
      </c>
      <c r="GS123" s="66">
        <v>1</v>
      </c>
      <c r="GT123" s="66">
        <v>1</v>
      </c>
      <c r="GU123" s="66">
        <v>1</v>
      </c>
      <c r="GV123" s="66">
        <v>1</v>
      </c>
      <c r="GW123" s="63">
        <v>0</v>
      </c>
      <c r="GX123" s="63">
        <v>0</v>
      </c>
      <c r="GY123" s="63">
        <v>0</v>
      </c>
      <c r="GZ123" s="63">
        <v>0</v>
      </c>
      <c r="HA123" s="63">
        <v>0</v>
      </c>
      <c r="HB123" s="63">
        <v>0</v>
      </c>
      <c r="HC123" s="63">
        <v>0</v>
      </c>
      <c r="HD123" s="63">
        <v>0</v>
      </c>
      <c r="HE123" s="63">
        <v>0</v>
      </c>
      <c r="HF123" s="63">
        <v>0</v>
      </c>
      <c r="HG123" s="63">
        <v>0</v>
      </c>
      <c r="HH123" s="63"/>
      <c r="HI123" s="63"/>
      <c r="HJ123" s="63">
        <v>1967</v>
      </c>
      <c r="HK123" s="63">
        <f>SUM(FN$4:HI$4)</f>
        <v>48</v>
      </c>
      <c r="HL123" s="61">
        <f>SUM(FN123:HI123)</f>
        <v>17</v>
      </c>
      <c r="HM123" s="67">
        <f>100*HL123/HK123</f>
        <v>35.416666666666664</v>
      </c>
      <c r="HN123" s="67"/>
      <c r="HO123" s="68"/>
      <c r="HP123" s="68"/>
    </row>
    <row r="124" spans="1:244" x14ac:dyDescent="0.3">
      <c r="A124" s="60" t="s">
        <v>7369</v>
      </c>
      <c r="B124" s="63" t="s">
        <v>7370</v>
      </c>
      <c r="C124" s="61">
        <v>0</v>
      </c>
      <c r="D124" s="61">
        <v>0</v>
      </c>
      <c r="E124" s="61">
        <v>0</v>
      </c>
      <c r="F124" s="61">
        <v>0</v>
      </c>
      <c r="G124" s="61">
        <v>0</v>
      </c>
      <c r="H124" s="61">
        <v>0</v>
      </c>
      <c r="I124" s="61">
        <v>0</v>
      </c>
      <c r="J124" s="61">
        <v>0</v>
      </c>
      <c r="K124" s="61">
        <v>0</v>
      </c>
      <c r="L124" s="61">
        <v>0</v>
      </c>
      <c r="M124" s="61">
        <v>0</v>
      </c>
      <c r="N124" s="61">
        <v>0</v>
      </c>
      <c r="O124" s="61">
        <v>0</v>
      </c>
      <c r="P124" s="61">
        <v>0</v>
      </c>
      <c r="Q124" s="61">
        <v>0</v>
      </c>
      <c r="R124" s="61">
        <v>0</v>
      </c>
      <c r="S124" s="61">
        <v>0</v>
      </c>
      <c r="T124" s="61">
        <v>0</v>
      </c>
      <c r="U124" s="61">
        <v>0</v>
      </c>
      <c r="V124" s="61">
        <v>0</v>
      </c>
      <c r="W124" s="61">
        <v>0</v>
      </c>
      <c r="X124" s="61">
        <v>0</v>
      </c>
      <c r="Y124" s="61">
        <v>0</v>
      </c>
      <c r="Z124" s="61">
        <v>0</v>
      </c>
      <c r="AA124" s="61">
        <v>0</v>
      </c>
      <c r="AB124" s="61">
        <v>0</v>
      </c>
      <c r="AF124" s="61">
        <v>0</v>
      </c>
      <c r="AG124" s="61">
        <v>0</v>
      </c>
      <c r="AH124" s="61">
        <v>0</v>
      </c>
      <c r="AI124" s="61">
        <v>0</v>
      </c>
      <c r="AJ124" s="61">
        <v>0</v>
      </c>
      <c r="AK124" s="61">
        <v>0</v>
      </c>
      <c r="AL124" s="61">
        <v>0</v>
      </c>
      <c r="AM124" s="61">
        <v>0</v>
      </c>
      <c r="AN124" s="61">
        <v>0</v>
      </c>
      <c r="AO124" s="61">
        <v>0</v>
      </c>
      <c r="AP124" s="61">
        <v>0</v>
      </c>
      <c r="AQ124" s="61">
        <v>0</v>
      </c>
      <c r="AR124" s="61">
        <v>0</v>
      </c>
      <c r="AS124" s="61">
        <v>0</v>
      </c>
      <c r="AT124" s="61">
        <v>0</v>
      </c>
      <c r="AU124" s="61">
        <v>0</v>
      </c>
      <c r="AV124" s="61">
        <v>0</v>
      </c>
      <c r="AW124" s="61">
        <v>0</v>
      </c>
      <c r="AX124" s="61">
        <v>0</v>
      </c>
      <c r="AY124" s="61">
        <v>0</v>
      </c>
      <c r="AZ124" s="61">
        <v>0</v>
      </c>
      <c r="BA124" s="61">
        <v>0</v>
      </c>
      <c r="BB124" s="61">
        <v>0</v>
      </c>
      <c r="BC124" s="61">
        <v>0</v>
      </c>
      <c r="BD124" s="61">
        <v>0</v>
      </c>
      <c r="BE124" s="61">
        <v>0</v>
      </c>
      <c r="BF124" s="61">
        <v>0</v>
      </c>
      <c r="BG124" s="61">
        <v>0</v>
      </c>
      <c r="BH124" s="61">
        <v>0</v>
      </c>
      <c r="BI124" s="61">
        <v>0</v>
      </c>
      <c r="BJ124" s="61">
        <v>0</v>
      </c>
      <c r="BK124" s="61">
        <v>0</v>
      </c>
      <c r="BL124" s="61">
        <v>0</v>
      </c>
      <c r="BM124" s="61">
        <v>0</v>
      </c>
      <c r="BN124" s="61">
        <v>0</v>
      </c>
      <c r="BO124" s="61">
        <v>0</v>
      </c>
      <c r="BP124" s="61">
        <v>0</v>
      </c>
      <c r="BQ124" s="61">
        <v>0</v>
      </c>
      <c r="BR124" s="61">
        <v>0</v>
      </c>
      <c r="BS124" s="61">
        <v>0</v>
      </c>
      <c r="BT124" s="61">
        <v>0</v>
      </c>
      <c r="BU124" s="61">
        <v>0</v>
      </c>
      <c r="BV124" s="61">
        <v>0</v>
      </c>
      <c r="BW124" s="61">
        <v>0</v>
      </c>
      <c r="BX124" s="61">
        <v>0</v>
      </c>
      <c r="BY124" s="61">
        <v>0</v>
      </c>
      <c r="BZ124" s="61">
        <v>0</v>
      </c>
      <c r="CA124" s="61">
        <v>0</v>
      </c>
      <c r="CB124" s="61">
        <v>0</v>
      </c>
      <c r="CC124" s="61">
        <v>0</v>
      </c>
      <c r="CD124" s="61">
        <v>0</v>
      </c>
      <c r="CE124" s="61">
        <v>0</v>
      </c>
      <c r="CF124" s="61">
        <v>0</v>
      </c>
      <c r="CG124" s="61">
        <v>0</v>
      </c>
      <c r="CH124" s="61">
        <v>0</v>
      </c>
      <c r="CI124" s="61">
        <v>0</v>
      </c>
      <c r="CJ124" s="61">
        <v>0</v>
      </c>
      <c r="CK124" s="61">
        <v>0</v>
      </c>
      <c r="CL124" s="61">
        <v>0</v>
      </c>
      <c r="CM124" s="61">
        <v>0</v>
      </c>
      <c r="CN124" s="61">
        <v>0</v>
      </c>
      <c r="CO124" s="61">
        <v>0</v>
      </c>
      <c r="CP124" s="61">
        <v>0</v>
      </c>
      <c r="CQ124" s="61">
        <v>0</v>
      </c>
      <c r="CR124" s="61">
        <v>0</v>
      </c>
      <c r="CS124" s="61">
        <v>0</v>
      </c>
      <c r="CT124" s="61">
        <v>0</v>
      </c>
      <c r="CU124" s="61">
        <v>0</v>
      </c>
      <c r="CV124" s="61">
        <v>0</v>
      </c>
      <c r="CW124" s="61">
        <v>0</v>
      </c>
      <c r="CX124" s="61">
        <v>0</v>
      </c>
      <c r="CY124" s="61">
        <v>0</v>
      </c>
      <c r="CZ124" s="61">
        <v>0</v>
      </c>
      <c r="DA124" s="61">
        <v>0</v>
      </c>
      <c r="DB124" s="61">
        <v>0</v>
      </c>
      <c r="DC124" s="61">
        <v>0</v>
      </c>
      <c r="DD124" s="61">
        <v>0</v>
      </c>
      <c r="DE124" s="61">
        <v>0</v>
      </c>
      <c r="DF124" s="61">
        <v>0</v>
      </c>
      <c r="DG124" s="61">
        <v>0</v>
      </c>
      <c r="DH124" s="61">
        <v>0</v>
      </c>
      <c r="DI124" s="61">
        <v>0</v>
      </c>
      <c r="DJ124" s="61">
        <v>0</v>
      </c>
      <c r="DK124" s="61">
        <v>0</v>
      </c>
      <c r="DL124" s="61">
        <v>0</v>
      </c>
      <c r="DM124" s="61">
        <v>0</v>
      </c>
      <c r="DN124" s="61">
        <v>0</v>
      </c>
      <c r="DO124" s="61">
        <v>0</v>
      </c>
      <c r="DP124" s="61">
        <v>0</v>
      </c>
      <c r="DQ124" s="61">
        <v>0</v>
      </c>
      <c r="DR124" s="61">
        <v>0</v>
      </c>
      <c r="DS124" s="61">
        <v>0</v>
      </c>
      <c r="DT124" s="61">
        <v>0</v>
      </c>
      <c r="DU124" s="61">
        <v>0</v>
      </c>
      <c r="DV124" s="61">
        <v>0</v>
      </c>
      <c r="DW124" s="61">
        <v>0</v>
      </c>
      <c r="DX124" s="61">
        <v>0</v>
      </c>
      <c r="DY124" s="61">
        <v>0</v>
      </c>
      <c r="DZ124" s="61">
        <v>0</v>
      </c>
      <c r="EA124" s="61">
        <v>0</v>
      </c>
      <c r="EB124" s="61">
        <v>0</v>
      </c>
      <c r="EC124" s="61">
        <v>0</v>
      </c>
      <c r="ED124" s="61">
        <v>0</v>
      </c>
      <c r="EE124" s="61">
        <v>0</v>
      </c>
      <c r="EF124" s="61">
        <v>0</v>
      </c>
      <c r="EG124" s="61">
        <v>0</v>
      </c>
      <c r="EH124" s="61">
        <v>0</v>
      </c>
      <c r="EI124" s="61">
        <v>0</v>
      </c>
      <c r="EJ124" s="61">
        <v>0</v>
      </c>
      <c r="EK124" s="61">
        <v>0</v>
      </c>
      <c r="EL124" s="61">
        <v>0</v>
      </c>
      <c r="EM124" s="61">
        <v>0</v>
      </c>
      <c r="EN124" s="61">
        <v>0</v>
      </c>
      <c r="EO124" s="61">
        <v>0</v>
      </c>
      <c r="EP124" s="61">
        <v>0</v>
      </c>
      <c r="EQ124" s="61">
        <v>0</v>
      </c>
      <c r="ER124" s="61">
        <v>0</v>
      </c>
      <c r="ES124" s="61">
        <v>0</v>
      </c>
      <c r="ET124" s="61">
        <v>0</v>
      </c>
      <c r="EU124" s="61">
        <v>0</v>
      </c>
      <c r="EV124" s="61">
        <v>0</v>
      </c>
      <c r="EW124" s="61">
        <v>0</v>
      </c>
      <c r="EX124" s="61">
        <v>0</v>
      </c>
      <c r="EY124" s="61">
        <v>0</v>
      </c>
      <c r="EZ124" s="61">
        <v>0</v>
      </c>
      <c r="FA124" s="61">
        <v>0</v>
      </c>
      <c r="FB124" s="61">
        <v>0</v>
      </c>
      <c r="FC124" s="61">
        <v>0</v>
      </c>
      <c r="FD124" s="61">
        <v>0</v>
      </c>
      <c r="FE124" s="61">
        <v>0</v>
      </c>
      <c r="FF124" s="61">
        <v>0</v>
      </c>
      <c r="FG124" s="61">
        <v>0</v>
      </c>
      <c r="FH124" s="61">
        <v>0</v>
      </c>
      <c r="FI124" s="61">
        <v>0</v>
      </c>
      <c r="FJ124" s="61">
        <v>0</v>
      </c>
      <c r="FK124" s="61">
        <v>0</v>
      </c>
      <c r="FL124" s="61">
        <v>0</v>
      </c>
      <c r="FM124" s="61">
        <v>0</v>
      </c>
      <c r="FN124" s="61">
        <v>0</v>
      </c>
      <c r="FO124" s="61">
        <v>0</v>
      </c>
      <c r="FP124" s="61">
        <v>0</v>
      </c>
      <c r="FQ124" s="61">
        <v>0</v>
      </c>
      <c r="FR124" s="61">
        <v>0</v>
      </c>
      <c r="FS124" s="61">
        <v>0</v>
      </c>
      <c r="FT124" s="61">
        <v>0</v>
      </c>
      <c r="FU124" s="61">
        <v>0</v>
      </c>
      <c r="FV124" s="61">
        <v>0</v>
      </c>
      <c r="FW124" s="61">
        <v>0</v>
      </c>
      <c r="FX124" s="61">
        <v>0</v>
      </c>
      <c r="FY124" s="61">
        <v>0</v>
      </c>
      <c r="FZ124" s="61">
        <v>0</v>
      </c>
      <c r="GA124" s="61">
        <v>0</v>
      </c>
      <c r="GB124" s="82">
        <v>0</v>
      </c>
      <c r="GC124" s="61">
        <v>0</v>
      </c>
      <c r="GD124" s="61">
        <v>0</v>
      </c>
      <c r="GE124" s="61">
        <v>0</v>
      </c>
      <c r="GF124" s="61">
        <v>0</v>
      </c>
      <c r="GG124" s="61">
        <v>0</v>
      </c>
      <c r="GH124" s="61">
        <v>0</v>
      </c>
      <c r="GI124" s="61">
        <v>0</v>
      </c>
      <c r="GJ124" s="61">
        <v>0</v>
      </c>
      <c r="GK124" s="61">
        <v>0</v>
      </c>
      <c r="GL124" s="61">
        <v>0</v>
      </c>
      <c r="GM124" s="61">
        <v>0</v>
      </c>
      <c r="GN124" s="61">
        <v>0</v>
      </c>
      <c r="GO124" s="61">
        <v>0</v>
      </c>
      <c r="GP124" s="61">
        <v>0</v>
      </c>
      <c r="GQ124" s="66">
        <v>1</v>
      </c>
      <c r="GR124" s="66">
        <v>1</v>
      </c>
      <c r="GS124" s="66">
        <v>1</v>
      </c>
      <c r="GT124" s="66">
        <v>1</v>
      </c>
      <c r="GU124" s="66">
        <v>1</v>
      </c>
      <c r="GV124" s="66">
        <v>1</v>
      </c>
      <c r="GW124" s="66">
        <v>1</v>
      </c>
      <c r="GX124" s="66">
        <v>1</v>
      </c>
      <c r="GY124" s="66">
        <v>1</v>
      </c>
      <c r="GZ124" s="66">
        <v>1</v>
      </c>
      <c r="HA124" s="66">
        <v>1</v>
      </c>
      <c r="HB124" s="63">
        <v>0</v>
      </c>
      <c r="HC124" s="63">
        <v>0</v>
      </c>
      <c r="HD124" s="63">
        <v>0</v>
      </c>
      <c r="HE124" s="63">
        <v>0</v>
      </c>
      <c r="HF124" s="63">
        <v>0</v>
      </c>
      <c r="HG124" s="63">
        <v>0</v>
      </c>
      <c r="HH124" s="63"/>
      <c r="HI124" s="63"/>
      <c r="HJ124" s="63">
        <v>1981</v>
      </c>
      <c r="HK124" s="63">
        <f>SUM(GB$4:HI$4)</f>
        <v>34</v>
      </c>
      <c r="HL124" s="61">
        <f>SUM(GB124:HI124)</f>
        <v>11</v>
      </c>
      <c r="HM124" s="67">
        <f t="shared" si="7"/>
        <v>32.352941176470587</v>
      </c>
      <c r="HN124" s="67"/>
      <c r="HO124" s="68"/>
      <c r="HP124" s="68"/>
      <c r="HS124" s="68" t="s">
        <v>7296</v>
      </c>
    </row>
    <row r="125" spans="1:244" x14ac:dyDescent="0.3">
      <c r="A125" s="60"/>
      <c r="B125" s="60" t="s">
        <v>7371</v>
      </c>
      <c r="C125" s="63">
        <v>0</v>
      </c>
      <c r="D125" s="63">
        <v>0</v>
      </c>
      <c r="E125" s="63">
        <v>0</v>
      </c>
      <c r="F125" s="63">
        <v>0</v>
      </c>
      <c r="G125" s="63">
        <v>0</v>
      </c>
      <c r="H125" s="63">
        <v>0</v>
      </c>
      <c r="I125" s="63">
        <v>0</v>
      </c>
      <c r="J125" s="63">
        <v>0</v>
      </c>
      <c r="K125" s="63">
        <v>0</v>
      </c>
      <c r="L125" s="63">
        <v>0</v>
      </c>
      <c r="M125" s="63">
        <v>0</v>
      </c>
      <c r="N125" s="63">
        <v>0</v>
      </c>
      <c r="O125" s="63">
        <v>0</v>
      </c>
      <c r="P125" s="63">
        <v>0</v>
      </c>
      <c r="Q125" s="63">
        <v>0</v>
      </c>
      <c r="R125" s="63">
        <v>0</v>
      </c>
      <c r="S125" s="63">
        <v>0</v>
      </c>
      <c r="T125" s="63">
        <v>0</v>
      </c>
      <c r="U125" s="63">
        <v>0</v>
      </c>
      <c r="V125" s="63">
        <v>0</v>
      </c>
      <c r="W125" s="63">
        <v>0</v>
      </c>
      <c r="X125" s="63">
        <v>0</v>
      </c>
      <c r="Y125" s="63">
        <v>0</v>
      </c>
      <c r="Z125" s="63">
        <v>0</v>
      </c>
      <c r="AA125" s="63">
        <v>0</v>
      </c>
      <c r="AB125" s="63">
        <v>0</v>
      </c>
      <c r="AC125" s="63">
        <v>0</v>
      </c>
      <c r="AD125" s="63">
        <v>0</v>
      </c>
      <c r="AE125" s="63">
        <v>0</v>
      </c>
      <c r="AF125" s="63">
        <v>0</v>
      </c>
      <c r="AG125" s="63">
        <v>0</v>
      </c>
      <c r="AH125" s="63">
        <v>0</v>
      </c>
      <c r="AI125" s="63">
        <v>0</v>
      </c>
      <c r="AJ125" s="63">
        <v>0</v>
      </c>
      <c r="AK125" s="63">
        <v>0</v>
      </c>
      <c r="AL125" s="63">
        <v>0</v>
      </c>
      <c r="AM125" s="63">
        <v>0</v>
      </c>
      <c r="AN125" s="63">
        <v>0</v>
      </c>
      <c r="AO125" s="63">
        <v>0</v>
      </c>
      <c r="AP125" s="63">
        <v>0</v>
      </c>
      <c r="AQ125" s="63">
        <v>0</v>
      </c>
      <c r="AR125" s="63">
        <v>0</v>
      </c>
      <c r="AS125" s="63">
        <v>0</v>
      </c>
      <c r="AT125" s="63">
        <v>0</v>
      </c>
      <c r="AU125" s="63">
        <v>0</v>
      </c>
      <c r="AV125" s="63">
        <v>0</v>
      </c>
      <c r="AW125" s="63">
        <v>0</v>
      </c>
      <c r="AX125" s="63">
        <v>0</v>
      </c>
      <c r="AY125" s="63">
        <v>0</v>
      </c>
      <c r="AZ125" s="63">
        <v>0</v>
      </c>
      <c r="BA125" s="63">
        <v>0</v>
      </c>
      <c r="BB125" s="63">
        <v>0</v>
      </c>
      <c r="BC125" s="63">
        <v>0</v>
      </c>
      <c r="BD125" s="63">
        <v>0</v>
      </c>
      <c r="BE125" s="63">
        <v>0</v>
      </c>
      <c r="BF125" s="63">
        <v>0</v>
      </c>
      <c r="BG125" s="63">
        <v>0</v>
      </c>
      <c r="BH125" s="63">
        <v>0</v>
      </c>
      <c r="BI125" s="63">
        <v>0</v>
      </c>
      <c r="BJ125" s="63">
        <v>0</v>
      </c>
      <c r="BK125" s="63">
        <v>0</v>
      </c>
      <c r="BL125" s="63">
        <v>0</v>
      </c>
      <c r="BM125" s="63">
        <v>0</v>
      </c>
      <c r="BN125" s="63">
        <v>0</v>
      </c>
      <c r="BO125" s="63">
        <v>0</v>
      </c>
      <c r="BP125" s="63">
        <v>0</v>
      </c>
      <c r="BQ125" s="63">
        <v>0</v>
      </c>
      <c r="BR125" s="63">
        <v>0</v>
      </c>
      <c r="BS125" s="63">
        <v>0</v>
      </c>
      <c r="BT125" s="63">
        <v>0</v>
      </c>
      <c r="BU125" s="63">
        <v>0</v>
      </c>
      <c r="BV125" s="63">
        <v>0</v>
      </c>
      <c r="BW125" s="63">
        <v>0</v>
      </c>
      <c r="BX125" s="63">
        <v>0</v>
      </c>
      <c r="BY125" s="63">
        <v>0</v>
      </c>
      <c r="BZ125" s="63">
        <v>0</v>
      </c>
      <c r="CA125" s="63">
        <v>0</v>
      </c>
      <c r="CB125" s="63">
        <v>0</v>
      </c>
      <c r="CC125" s="63">
        <v>0</v>
      </c>
      <c r="CD125" s="63">
        <v>0</v>
      </c>
      <c r="CE125" s="63">
        <v>0</v>
      </c>
      <c r="CF125" s="63">
        <v>0</v>
      </c>
      <c r="CG125" s="63">
        <v>0</v>
      </c>
      <c r="CH125" s="63">
        <v>0</v>
      </c>
      <c r="CI125" s="63">
        <v>0</v>
      </c>
      <c r="CJ125" s="63">
        <v>0</v>
      </c>
      <c r="CK125" s="63">
        <v>0</v>
      </c>
      <c r="CL125" s="63">
        <v>0</v>
      </c>
      <c r="CM125" s="63">
        <v>0</v>
      </c>
      <c r="CN125" s="63">
        <v>0</v>
      </c>
      <c r="CO125" s="63">
        <v>0</v>
      </c>
      <c r="CP125" s="63">
        <v>0</v>
      </c>
      <c r="CQ125" s="63">
        <v>0</v>
      </c>
      <c r="CR125" s="63">
        <v>0</v>
      </c>
      <c r="CS125" s="63">
        <v>0</v>
      </c>
      <c r="CT125" s="63">
        <v>0</v>
      </c>
      <c r="CU125" s="63">
        <v>0</v>
      </c>
      <c r="CV125" s="63">
        <v>0</v>
      </c>
      <c r="CW125" s="63">
        <v>0</v>
      </c>
      <c r="CX125" s="63">
        <v>0</v>
      </c>
      <c r="CY125" s="63">
        <v>0</v>
      </c>
      <c r="CZ125" s="63">
        <v>0</v>
      </c>
      <c r="DA125" s="63">
        <v>0</v>
      </c>
      <c r="DB125" s="63">
        <v>0</v>
      </c>
      <c r="DC125" s="63">
        <v>0</v>
      </c>
      <c r="DD125" s="63">
        <v>0</v>
      </c>
      <c r="DE125" s="63">
        <v>0</v>
      </c>
      <c r="DF125" s="63">
        <v>0</v>
      </c>
      <c r="DG125" s="63">
        <v>0</v>
      </c>
      <c r="DH125" s="63">
        <v>0</v>
      </c>
      <c r="DI125" s="63">
        <v>0</v>
      </c>
      <c r="DJ125" s="63">
        <v>0</v>
      </c>
      <c r="DK125" s="63">
        <v>0</v>
      </c>
      <c r="DL125" s="63">
        <v>0</v>
      </c>
      <c r="DM125" s="63">
        <v>0</v>
      </c>
      <c r="DN125" s="63">
        <v>0</v>
      </c>
      <c r="DO125" s="63">
        <v>0</v>
      </c>
      <c r="DP125" s="63">
        <v>0</v>
      </c>
      <c r="DQ125" s="63">
        <v>0</v>
      </c>
      <c r="DR125" s="63">
        <v>0</v>
      </c>
      <c r="DS125" s="63">
        <v>0</v>
      </c>
      <c r="DT125" s="63">
        <v>0</v>
      </c>
      <c r="DU125" s="63">
        <v>0</v>
      </c>
      <c r="DV125" s="63">
        <v>0</v>
      </c>
      <c r="DW125" s="63">
        <v>0</v>
      </c>
      <c r="DX125" s="63">
        <v>0</v>
      </c>
      <c r="DY125" s="63">
        <v>0</v>
      </c>
      <c r="DZ125" s="63">
        <v>0</v>
      </c>
      <c r="EA125" s="63">
        <v>0</v>
      </c>
      <c r="EB125" s="63">
        <v>0</v>
      </c>
      <c r="EC125" s="63">
        <v>0</v>
      </c>
      <c r="ED125" s="63">
        <v>0</v>
      </c>
      <c r="EE125" s="63">
        <v>0</v>
      </c>
      <c r="EF125" s="63">
        <v>0</v>
      </c>
      <c r="EG125" s="63">
        <v>0</v>
      </c>
      <c r="EH125" s="63">
        <v>0</v>
      </c>
      <c r="EI125" s="63">
        <v>0</v>
      </c>
      <c r="EJ125" s="63">
        <v>0</v>
      </c>
      <c r="EK125" s="63">
        <v>0</v>
      </c>
      <c r="EL125" s="63">
        <v>0</v>
      </c>
      <c r="EM125" s="63">
        <v>0</v>
      </c>
      <c r="EN125" s="63">
        <v>0</v>
      </c>
      <c r="EO125" s="63">
        <v>0</v>
      </c>
      <c r="EP125" s="63">
        <v>0</v>
      </c>
      <c r="EQ125" s="63">
        <v>0</v>
      </c>
      <c r="ER125" s="63">
        <v>0</v>
      </c>
      <c r="ES125" s="63">
        <v>0</v>
      </c>
      <c r="ET125" s="63">
        <v>0</v>
      </c>
      <c r="EU125" s="63">
        <v>0</v>
      </c>
      <c r="EV125" s="63">
        <v>0</v>
      </c>
      <c r="EW125" s="63">
        <v>0</v>
      </c>
      <c r="EX125" s="63">
        <v>0</v>
      </c>
      <c r="EY125" s="63">
        <v>0</v>
      </c>
      <c r="EZ125" s="63">
        <v>0</v>
      </c>
      <c r="FA125" s="63">
        <v>0</v>
      </c>
      <c r="FB125" s="63">
        <v>0</v>
      </c>
      <c r="FC125" s="63">
        <v>0</v>
      </c>
      <c r="FD125" s="63">
        <v>0</v>
      </c>
      <c r="FE125" s="63">
        <v>0</v>
      </c>
      <c r="FF125" s="63">
        <v>0</v>
      </c>
      <c r="FG125" s="63">
        <v>0</v>
      </c>
      <c r="FH125" s="63">
        <v>0</v>
      </c>
      <c r="FI125" s="63">
        <v>0</v>
      </c>
      <c r="FJ125" s="63">
        <v>0</v>
      </c>
      <c r="FK125" s="63">
        <v>0</v>
      </c>
      <c r="FL125" s="63">
        <v>0</v>
      </c>
      <c r="FM125" s="63">
        <v>0</v>
      </c>
      <c r="FN125" s="63">
        <v>0</v>
      </c>
      <c r="FO125" s="63">
        <v>0</v>
      </c>
      <c r="FP125" s="63">
        <v>0</v>
      </c>
      <c r="FQ125" s="63">
        <v>0</v>
      </c>
      <c r="FR125" s="63">
        <v>0</v>
      </c>
      <c r="FS125" s="63">
        <v>0</v>
      </c>
      <c r="FT125" s="63">
        <v>0</v>
      </c>
      <c r="FU125" s="63">
        <v>0</v>
      </c>
      <c r="FV125" s="63">
        <v>0</v>
      </c>
      <c r="FW125" s="63">
        <v>0</v>
      </c>
      <c r="FX125" s="63">
        <v>0</v>
      </c>
      <c r="FY125" s="63">
        <v>0</v>
      </c>
      <c r="FZ125" s="63">
        <v>0</v>
      </c>
      <c r="GA125" s="63">
        <v>0</v>
      </c>
      <c r="GB125" s="82">
        <v>0</v>
      </c>
      <c r="GC125" s="63">
        <v>0</v>
      </c>
      <c r="GD125" s="63">
        <v>0</v>
      </c>
      <c r="GE125" s="63">
        <v>0</v>
      </c>
      <c r="GF125" s="63">
        <v>0</v>
      </c>
      <c r="GG125" s="63">
        <v>0</v>
      </c>
      <c r="GH125" s="63">
        <v>0</v>
      </c>
      <c r="GI125" s="63">
        <v>0</v>
      </c>
      <c r="GJ125" s="63">
        <v>0</v>
      </c>
      <c r="GK125" s="63">
        <v>0</v>
      </c>
      <c r="GL125" s="63">
        <v>0</v>
      </c>
      <c r="GM125" s="63">
        <v>0</v>
      </c>
      <c r="GN125" s="63">
        <v>0</v>
      </c>
      <c r="GO125" s="63">
        <v>0</v>
      </c>
      <c r="GP125" s="63">
        <v>0</v>
      </c>
      <c r="GQ125" s="63">
        <v>0</v>
      </c>
      <c r="GR125" s="63">
        <v>0</v>
      </c>
      <c r="GS125" s="63">
        <v>0</v>
      </c>
      <c r="GT125" s="63">
        <v>0</v>
      </c>
      <c r="GU125" s="63">
        <v>0</v>
      </c>
      <c r="GV125" s="63">
        <v>0</v>
      </c>
      <c r="GW125" s="63">
        <v>0</v>
      </c>
      <c r="GX125" s="63">
        <v>0</v>
      </c>
      <c r="GY125" s="63">
        <v>0</v>
      </c>
      <c r="GZ125" s="63">
        <v>0</v>
      </c>
      <c r="HA125" s="66">
        <v>1</v>
      </c>
      <c r="HB125" s="66">
        <v>1</v>
      </c>
      <c r="HC125" s="63">
        <v>0</v>
      </c>
      <c r="HD125" s="63">
        <v>0</v>
      </c>
      <c r="HE125" s="63">
        <v>0</v>
      </c>
      <c r="HF125" s="63">
        <v>0</v>
      </c>
      <c r="HG125" s="66">
        <v>1</v>
      </c>
      <c r="HH125" s="66"/>
      <c r="HI125" s="66"/>
      <c r="HJ125" s="63">
        <v>1981</v>
      </c>
      <c r="HK125" s="63">
        <f>SUM(GB$4:HI$4)</f>
        <v>34</v>
      </c>
      <c r="HL125" s="61">
        <f>SUM(GB125:HI125)</f>
        <v>3</v>
      </c>
      <c r="HM125" s="67">
        <f>100*HL125/HK125</f>
        <v>8.8235294117647065</v>
      </c>
      <c r="HN125" s="67"/>
      <c r="HO125" s="68"/>
      <c r="HP125" s="68"/>
      <c r="HS125" s="68"/>
    </row>
    <row r="126" spans="1:244" x14ac:dyDescent="0.3">
      <c r="B126" s="63" t="s">
        <v>7372</v>
      </c>
      <c r="C126" s="61">
        <v>0</v>
      </c>
      <c r="D126" s="61">
        <v>0</v>
      </c>
      <c r="E126" s="61">
        <v>0</v>
      </c>
      <c r="F126" s="61">
        <v>0</v>
      </c>
      <c r="G126" s="61">
        <v>0</v>
      </c>
      <c r="H126" s="61">
        <v>0</v>
      </c>
      <c r="I126" s="61">
        <v>0</v>
      </c>
      <c r="J126" s="61">
        <v>0</v>
      </c>
      <c r="K126" s="61">
        <v>0</v>
      </c>
      <c r="L126" s="61">
        <v>0</v>
      </c>
      <c r="M126" s="61">
        <v>0</v>
      </c>
      <c r="N126" s="61">
        <v>0</v>
      </c>
      <c r="O126" s="61">
        <v>0</v>
      </c>
      <c r="P126" s="61">
        <v>0</v>
      </c>
      <c r="Q126" s="61">
        <v>0</v>
      </c>
      <c r="R126" s="61">
        <v>0</v>
      </c>
      <c r="S126" s="61">
        <v>0</v>
      </c>
      <c r="T126" s="61">
        <v>0</v>
      </c>
      <c r="U126" s="61">
        <v>0</v>
      </c>
      <c r="V126" s="61">
        <v>0</v>
      </c>
      <c r="W126" s="61">
        <v>0</v>
      </c>
      <c r="X126" s="61">
        <v>0</v>
      </c>
      <c r="Y126" s="61">
        <v>0</v>
      </c>
      <c r="Z126" s="61">
        <v>0</v>
      </c>
      <c r="AA126" s="61">
        <v>0</v>
      </c>
      <c r="AB126" s="61">
        <v>0</v>
      </c>
      <c r="AC126" s="61">
        <v>0</v>
      </c>
      <c r="AD126" s="61">
        <v>0</v>
      </c>
      <c r="AE126" s="61">
        <v>0</v>
      </c>
      <c r="AF126" s="61">
        <v>0</v>
      </c>
      <c r="AG126" s="61">
        <v>0</v>
      </c>
      <c r="AH126" s="61">
        <v>0</v>
      </c>
      <c r="AI126" s="61">
        <v>0</v>
      </c>
      <c r="AJ126" s="61">
        <v>0</v>
      </c>
      <c r="AK126" s="61">
        <v>0</v>
      </c>
      <c r="AL126" s="61">
        <v>0</v>
      </c>
      <c r="AM126" s="61">
        <v>0</v>
      </c>
      <c r="AN126" s="61">
        <v>0</v>
      </c>
      <c r="AO126" s="61">
        <v>0</v>
      </c>
      <c r="AP126" s="61">
        <v>0</v>
      </c>
      <c r="AQ126" s="61">
        <v>0</v>
      </c>
      <c r="AR126" s="61">
        <v>0</v>
      </c>
      <c r="AS126" s="61">
        <v>0</v>
      </c>
      <c r="AT126" s="61">
        <v>0</v>
      </c>
      <c r="AU126" s="61">
        <v>0</v>
      </c>
      <c r="AV126" s="61">
        <v>0</v>
      </c>
      <c r="AW126" s="61">
        <v>0</v>
      </c>
      <c r="AX126" s="61">
        <v>0</v>
      </c>
      <c r="AY126" s="61">
        <v>0</v>
      </c>
      <c r="AZ126" s="61">
        <v>0</v>
      </c>
      <c r="BA126" s="61">
        <v>0</v>
      </c>
      <c r="BB126" s="61">
        <v>0</v>
      </c>
      <c r="BC126" s="61">
        <v>0</v>
      </c>
      <c r="BD126" s="61">
        <v>0</v>
      </c>
      <c r="BE126" s="61">
        <v>0</v>
      </c>
      <c r="BF126" s="61">
        <v>0</v>
      </c>
      <c r="BG126" s="61">
        <v>0</v>
      </c>
      <c r="BH126" s="61">
        <v>0</v>
      </c>
      <c r="BI126" s="61">
        <v>0</v>
      </c>
      <c r="BJ126" s="61">
        <v>0</v>
      </c>
      <c r="BK126" s="61">
        <v>0</v>
      </c>
      <c r="BL126" s="61">
        <v>0</v>
      </c>
      <c r="BM126" s="61">
        <v>0</v>
      </c>
      <c r="BN126" s="61">
        <v>0</v>
      </c>
      <c r="BO126" s="61">
        <v>0</v>
      </c>
      <c r="BP126" s="61">
        <v>0</v>
      </c>
      <c r="BQ126" s="61">
        <v>0</v>
      </c>
      <c r="BR126" s="61">
        <v>0</v>
      </c>
      <c r="BS126" s="61">
        <v>0</v>
      </c>
      <c r="BT126" s="61">
        <v>0</v>
      </c>
      <c r="BU126" s="61">
        <v>0</v>
      </c>
      <c r="BV126" s="61">
        <v>0</v>
      </c>
      <c r="BW126" s="61">
        <v>0</v>
      </c>
      <c r="BX126" s="61">
        <v>0</v>
      </c>
      <c r="BY126" s="61">
        <v>0</v>
      </c>
      <c r="BZ126" s="61">
        <v>0</v>
      </c>
      <c r="CA126" s="61">
        <v>0</v>
      </c>
      <c r="CB126" s="61">
        <v>0</v>
      </c>
      <c r="CC126" s="61">
        <v>0</v>
      </c>
      <c r="CD126" s="61">
        <v>0</v>
      </c>
      <c r="CE126" s="61">
        <v>0</v>
      </c>
      <c r="CF126" s="61">
        <v>0</v>
      </c>
      <c r="CG126" s="61">
        <v>0</v>
      </c>
      <c r="CH126" s="61">
        <v>0</v>
      </c>
      <c r="CI126" s="61">
        <v>0</v>
      </c>
      <c r="CJ126" s="61">
        <v>0</v>
      </c>
      <c r="CK126" s="61">
        <v>0</v>
      </c>
      <c r="CL126" s="61">
        <v>0</v>
      </c>
      <c r="CM126" s="61">
        <v>0</v>
      </c>
      <c r="CN126" s="61">
        <v>0</v>
      </c>
      <c r="CO126" s="61">
        <v>0</v>
      </c>
      <c r="CP126" s="61">
        <v>0</v>
      </c>
      <c r="CQ126" s="61">
        <v>0</v>
      </c>
      <c r="CR126" s="61">
        <v>0</v>
      </c>
      <c r="CS126" s="61">
        <v>0</v>
      </c>
      <c r="CT126" s="61">
        <v>0</v>
      </c>
      <c r="CU126" s="61">
        <v>0</v>
      </c>
      <c r="CV126" s="61">
        <v>0</v>
      </c>
      <c r="CW126" s="61">
        <v>0</v>
      </c>
      <c r="CX126" s="65">
        <v>0</v>
      </c>
      <c r="CY126" s="61">
        <v>0</v>
      </c>
      <c r="CZ126" s="61">
        <v>0</v>
      </c>
      <c r="DA126" s="61">
        <v>0</v>
      </c>
      <c r="DB126" s="61">
        <v>0</v>
      </c>
      <c r="DC126" s="61">
        <v>0</v>
      </c>
      <c r="DD126" s="61">
        <v>0</v>
      </c>
      <c r="DE126" s="61">
        <v>0</v>
      </c>
      <c r="DF126" s="61">
        <v>0</v>
      </c>
      <c r="DG126" s="61">
        <v>0</v>
      </c>
      <c r="DH126" s="61">
        <v>0</v>
      </c>
      <c r="DI126" s="61">
        <v>0</v>
      </c>
      <c r="DJ126" s="61">
        <v>0</v>
      </c>
      <c r="DK126" s="61">
        <v>0</v>
      </c>
      <c r="DL126" s="61">
        <v>0</v>
      </c>
      <c r="DM126" s="61">
        <v>0</v>
      </c>
      <c r="DN126" s="61">
        <v>0</v>
      </c>
      <c r="DO126" s="61">
        <v>0</v>
      </c>
      <c r="DP126" s="61">
        <v>0</v>
      </c>
      <c r="DQ126" s="61">
        <v>0</v>
      </c>
      <c r="DR126" s="61">
        <v>0</v>
      </c>
      <c r="DS126" s="61">
        <v>0</v>
      </c>
      <c r="DT126" s="61">
        <v>0</v>
      </c>
      <c r="DU126" s="61">
        <v>0</v>
      </c>
      <c r="DV126" s="61">
        <v>0</v>
      </c>
      <c r="DW126" s="61">
        <v>0</v>
      </c>
      <c r="DX126" s="61">
        <v>0</v>
      </c>
      <c r="DY126" s="61">
        <v>0</v>
      </c>
      <c r="DZ126" s="61">
        <v>0</v>
      </c>
      <c r="EA126" s="61">
        <v>0</v>
      </c>
      <c r="EB126" s="61">
        <v>0</v>
      </c>
      <c r="EC126" s="61">
        <v>0</v>
      </c>
      <c r="ED126" s="61">
        <v>0</v>
      </c>
      <c r="EE126" s="61">
        <v>0</v>
      </c>
      <c r="EF126" s="66">
        <v>1</v>
      </c>
      <c r="EG126" s="66">
        <v>1</v>
      </c>
      <c r="EH126" s="61">
        <v>0</v>
      </c>
      <c r="EI126" s="61">
        <v>0</v>
      </c>
      <c r="EJ126" s="61">
        <v>0</v>
      </c>
      <c r="EK126" s="61">
        <v>0</v>
      </c>
      <c r="EL126" s="61">
        <v>0</v>
      </c>
      <c r="EM126" s="61">
        <v>0</v>
      </c>
      <c r="EN126" s="61">
        <v>0</v>
      </c>
      <c r="EO126" s="61">
        <v>0</v>
      </c>
      <c r="EP126" s="61">
        <v>0</v>
      </c>
      <c r="EQ126" s="61">
        <v>0</v>
      </c>
      <c r="ER126" s="61">
        <v>0</v>
      </c>
      <c r="ES126" s="61">
        <v>0</v>
      </c>
      <c r="ET126" s="61">
        <v>0</v>
      </c>
      <c r="EU126" s="61">
        <v>0</v>
      </c>
      <c r="EV126" s="61">
        <v>0</v>
      </c>
      <c r="EW126" s="61">
        <v>0</v>
      </c>
      <c r="EX126" s="61">
        <v>0</v>
      </c>
      <c r="EY126" s="61">
        <v>0</v>
      </c>
      <c r="EZ126" s="61">
        <v>0</v>
      </c>
      <c r="FA126" s="61">
        <v>0</v>
      </c>
      <c r="FB126" s="61">
        <v>0</v>
      </c>
      <c r="FC126" s="61">
        <v>0</v>
      </c>
      <c r="FD126" s="61">
        <v>0</v>
      </c>
      <c r="FE126" s="61">
        <v>0</v>
      </c>
      <c r="FF126" s="61">
        <v>0</v>
      </c>
      <c r="FG126" s="66">
        <v>1</v>
      </c>
      <c r="FH126" s="61">
        <v>0</v>
      </c>
      <c r="FI126" s="61">
        <v>0</v>
      </c>
      <c r="FJ126" s="61">
        <v>0</v>
      </c>
      <c r="FK126" s="61">
        <v>0</v>
      </c>
      <c r="FL126" s="61">
        <v>0</v>
      </c>
      <c r="FM126" s="61">
        <v>0</v>
      </c>
      <c r="FN126" s="61">
        <v>0</v>
      </c>
      <c r="FO126" s="61">
        <v>0</v>
      </c>
      <c r="FP126" s="61">
        <v>0</v>
      </c>
      <c r="FQ126" s="61">
        <v>0</v>
      </c>
      <c r="FR126" s="61">
        <v>0</v>
      </c>
      <c r="FS126" s="61">
        <v>0</v>
      </c>
      <c r="FT126" s="61">
        <v>0</v>
      </c>
      <c r="FU126" s="61">
        <v>0</v>
      </c>
      <c r="FV126" s="61">
        <v>0</v>
      </c>
      <c r="FW126" s="61">
        <v>0</v>
      </c>
      <c r="FX126" s="61">
        <v>0</v>
      </c>
      <c r="FY126" s="61">
        <v>0</v>
      </c>
      <c r="FZ126" s="61">
        <v>0</v>
      </c>
      <c r="GA126" s="61">
        <v>0</v>
      </c>
      <c r="GB126" s="61">
        <v>0</v>
      </c>
      <c r="GC126" s="66">
        <v>1</v>
      </c>
      <c r="GD126" s="66">
        <v>1</v>
      </c>
      <c r="GE126" s="66">
        <v>1</v>
      </c>
      <c r="GF126" s="66">
        <v>1</v>
      </c>
      <c r="GG126" s="66">
        <v>1</v>
      </c>
      <c r="GH126" s="66">
        <v>1</v>
      </c>
      <c r="GI126" s="66">
        <v>1</v>
      </c>
      <c r="GJ126" s="66">
        <v>1</v>
      </c>
      <c r="GK126" s="66">
        <v>1</v>
      </c>
      <c r="GL126" s="66">
        <v>1</v>
      </c>
      <c r="GM126" s="66">
        <v>1</v>
      </c>
      <c r="GN126" s="66">
        <v>1</v>
      </c>
      <c r="GO126" s="66">
        <v>1</v>
      </c>
      <c r="GP126" s="66">
        <v>1</v>
      </c>
      <c r="GQ126" s="66">
        <v>1</v>
      </c>
      <c r="GR126" s="66">
        <v>1</v>
      </c>
      <c r="GS126" s="66">
        <v>1</v>
      </c>
      <c r="GT126" s="66">
        <v>1</v>
      </c>
      <c r="GU126" s="66">
        <v>1</v>
      </c>
      <c r="GV126" s="66">
        <v>1</v>
      </c>
      <c r="GW126" s="66">
        <v>1</v>
      </c>
      <c r="GX126" s="66">
        <v>1</v>
      </c>
      <c r="GY126" s="66">
        <v>1</v>
      </c>
      <c r="GZ126" s="66">
        <v>1</v>
      </c>
      <c r="HA126" s="66">
        <v>1</v>
      </c>
      <c r="HB126" s="66">
        <v>1</v>
      </c>
      <c r="HC126" s="66">
        <v>1</v>
      </c>
      <c r="HD126" s="66">
        <v>1</v>
      </c>
      <c r="HE126" s="66">
        <v>1</v>
      </c>
      <c r="HF126" s="66">
        <v>1</v>
      </c>
      <c r="HG126" s="66">
        <v>1</v>
      </c>
      <c r="HH126" s="66"/>
      <c r="HI126" s="66"/>
      <c r="HJ126" s="63">
        <v>1899</v>
      </c>
      <c r="HK126" s="63">
        <f>SUM(CX$4:HI$4)</f>
        <v>116</v>
      </c>
      <c r="HL126" s="61">
        <f>SUM(CX126:HI126)</f>
        <v>34</v>
      </c>
      <c r="HM126" s="67">
        <f t="shared" si="7"/>
        <v>29.310344827586206</v>
      </c>
      <c r="HN126" s="67"/>
      <c r="HO126" s="67"/>
      <c r="HP126" s="68"/>
      <c r="HS126" s="61" t="s">
        <v>7231</v>
      </c>
    </row>
    <row r="127" spans="1:244" x14ac:dyDescent="0.3">
      <c r="B127" s="63" t="s">
        <v>7373</v>
      </c>
      <c r="C127" s="61">
        <v>0</v>
      </c>
      <c r="D127" s="61">
        <v>0</v>
      </c>
      <c r="E127" s="61">
        <v>0</v>
      </c>
      <c r="F127" s="61">
        <v>0</v>
      </c>
      <c r="G127" s="61">
        <v>0</v>
      </c>
      <c r="H127" s="61">
        <v>0</v>
      </c>
      <c r="I127" s="61">
        <v>0</v>
      </c>
      <c r="J127" s="61">
        <v>0</v>
      </c>
      <c r="K127" s="61">
        <v>0</v>
      </c>
      <c r="L127" s="61">
        <v>0</v>
      </c>
      <c r="M127" s="61">
        <v>0</v>
      </c>
      <c r="N127" s="61">
        <v>0</v>
      </c>
      <c r="O127" s="61">
        <v>0</v>
      </c>
      <c r="P127" s="61">
        <v>0</v>
      </c>
      <c r="Q127" s="61">
        <v>0</v>
      </c>
      <c r="R127" s="61">
        <v>0</v>
      </c>
      <c r="S127" s="61">
        <v>0</v>
      </c>
      <c r="T127" s="61">
        <v>0</v>
      </c>
      <c r="U127" s="61">
        <v>0</v>
      </c>
      <c r="V127" s="61">
        <v>0</v>
      </c>
      <c r="W127" s="61">
        <v>0</v>
      </c>
      <c r="X127" s="61">
        <v>0</v>
      </c>
      <c r="Y127" s="61">
        <v>0</v>
      </c>
      <c r="Z127" s="61">
        <v>0</v>
      </c>
      <c r="AF127" s="61">
        <v>0</v>
      </c>
      <c r="AG127" s="61">
        <v>0</v>
      </c>
      <c r="AH127" s="61">
        <v>0</v>
      </c>
      <c r="AI127" s="61">
        <v>0</v>
      </c>
      <c r="AJ127" s="61">
        <v>0</v>
      </c>
      <c r="AK127" s="61">
        <v>0</v>
      </c>
      <c r="AL127" s="61">
        <v>0</v>
      </c>
      <c r="AM127" s="61">
        <v>0</v>
      </c>
      <c r="AN127" s="61">
        <v>0</v>
      </c>
      <c r="AO127" s="61">
        <v>0</v>
      </c>
      <c r="AP127" s="61">
        <v>0</v>
      </c>
      <c r="AQ127" s="61">
        <v>0</v>
      </c>
      <c r="AR127" s="61">
        <v>0</v>
      </c>
      <c r="AS127" s="61">
        <v>0</v>
      </c>
      <c r="AT127" s="61">
        <v>0</v>
      </c>
      <c r="AU127" s="61">
        <v>0</v>
      </c>
      <c r="AV127" s="61">
        <v>0</v>
      </c>
      <c r="AW127" s="61">
        <v>0</v>
      </c>
      <c r="AX127" s="61">
        <v>0</v>
      </c>
      <c r="AY127" s="61">
        <v>0</v>
      </c>
      <c r="AZ127" s="61">
        <v>0</v>
      </c>
      <c r="BA127" s="61">
        <v>0</v>
      </c>
      <c r="BB127" s="61">
        <v>0</v>
      </c>
      <c r="BC127" s="61">
        <v>0</v>
      </c>
      <c r="BD127" s="61">
        <v>0</v>
      </c>
      <c r="BE127" s="61">
        <v>0</v>
      </c>
      <c r="BF127" s="61">
        <v>0</v>
      </c>
      <c r="BG127" s="61">
        <v>0</v>
      </c>
      <c r="BH127" s="61">
        <v>0</v>
      </c>
      <c r="BI127" s="61">
        <v>0</v>
      </c>
      <c r="BJ127" s="61">
        <v>0</v>
      </c>
      <c r="BK127" s="61">
        <v>0</v>
      </c>
      <c r="BL127" s="61">
        <v>0</v>
      </c>
      <c r="BM127" s="61">
        <v>0</v>
      </c>
      <c r="BN127" s="61">
        <v>0</v>
      </c>
      <c r="BO127" s="61">
        <v>0</v>
      </c>
      <c r="BP127" s="61">
        <v>0</v>
      </c>
      <c r="BQ127" s="61">
        <v>0</v>
      </c>
      <c r="BR127" s="61">
        <v>0</v>
      </c>
      <c r="BS127" s="61">
        <v>0</v>
      </c>
      <c r="BT127" s="61">
        <v>0</v>
      </c>
      <c r="BU127" s="61">
        <v>0</v>
      </c>
      <c r="BV127" s="61">
        <v>0</v>
      </c>
      <c r="BW127" s="61">
        <v>0</v>
      </c>
      <c r="BX127" s="61">
        <v>0</v>
      </c>
      <c r="BY127" s="61">
        <v>0</v>
      </c>
      <c r="BZ127" s="61">
        <v>0</v>
      </c>
      <c r="CA127" s="61">
        <v>0</v>
      </c>
      <c r="CB127" s="61">
        <v>0</v>
      </c>
      <c r="CC127" s="61">
        <v>0</v>
      </c>
      <c r="CD127" s="61">
        <v>0</v>
      </c>
      <c r="CE127" s="61">
        <v>0</v>
      </c>
      <c r="CF127" s="61">
        <v>0</v>
      </c>
      <c r="CG127" s="61">
        <v>0</v>
      </c>
      <c r="CH127" s="61">
        <v>0</v>
      </c>
      <c r="CI127" s="61">
        <v>0</v>
      </c>
      <c r="CJ127" s="61">
        <v>0</v>
      </c>
      <c r="CK127" s="61">
        <v>0</v>
      </c>
      <c r="CL127" s="61">
        <v>0</v>
      </c>
      <c r="CM127" s="61">
        <v>0</v>
      </c>
      <c r="CN127" s="61">
        <v>0</v>
      </c>
      <c r="CO127" s="61">
        <v>0</v>
      </c>
      <c r="CP127" s="61">
        <v>0</v>
      </c>
      <c r="CQ127" s="61">
        <v>0</v>
      </c>
      <c r="CR127" s="61">
        <v>0</v>
      </c>
      <c r="CS127" s="61">
        <v>0</v>
      </c>
      <c r="CT127" s="61">
        <v>0</v>
      </c>
      <c r="CU127" s="61">
        <v>0</v>
      </c>
      <c r="CV127" s="61">
        <v>0</v>
      </c>
      <c r="CW127" s="61">
        <v>0</v>
      </c>
      <c r="CX127" s="61">
        <v>0</v>
      </c>
      <c r="CY127" s="61">
        <v>0</v>
      </c>
      <c r="CZ127" s="61">
        <v>0</v>
      </c>
      <c r="DA127" s="61">
        <v>0</v>
      </c>
      <c r="DB127" s="61">
        <v>0</v>
      </c>
      <c r="DC127" s="61">
        <v>0</v>
      </c>
      <c r="DD127" s="61">
        <v>0</v>
      </c>
      <c r="DE127" s="61">
        <v>0</v>
      </c>
      <c r="DF127" s="61">
        <v>0</v>
      </c>
      <c r="DG127" s="61">
        <v>0</v>
      </c>
      <c r="DH127" s="61">
        <v>0</v>
      </c>
      <c r="DI127" s="61">
        <v>0</v>
      </c>
      <c r="DJ127" s="61">
        <v>0</v>
      </c>
      <c r="DK127" s="61">
        <v>0</v>
      </c>
      <c r="DL127" s="61">
        <v>0</v>
      </c>
      <c r="DM127" s="61">
        <v>0</v>
      </c>
      <c r="DN127" s="61">
        <v>0</v>
      </c>
      <c r="DO127" s="61">
        <v>0</v>
      </c>
      <c r="DP127" s="61">
        <v>0</v>
      </c>
      <c r="DQ127" s="61">
        <v>0</v>
      </c>
      <c r="DR127" s="61">
        <v>0</v>
      </c>
      <c r="DS127" s="61">
        <v>0</v>
      </c>
      <c r="DT127" s="61">
        <v>0</v>
      </c>
      <c r="DU127" s="61">
        <v>0</v>
      </c>
      <c r="DV127" s="61">
        <v>0</v>
      </c>
      <c r="DW127" s="61">
        <v>0</v>
      </c>
      <c r="DX127" s="61">
        <v>0</v>
      </c>
      <c r="DY127" s="61">
        <v>0</v>
      </c>
      <c r="DZ127" s="61">
        <v>0</v>
      </c>
      <c r="EA127" s="61">
        <v>0</v>
      </c>
      <c r="EB127" s="61">
        <v>0</v>
      </c>
      <c r="EC127" s="61">
        <v>0</v>
      </c>
      <c r="ED127" s="61">
        <v>0</v>
      </c>
      <c r="EE127" s="61">
        <v>0</v>
      </c>
      <c r="EF127" s="61">
        <v>0</v>
      </c>
      <c r="EG127" s="61">
        <v>0</v>
      </c>
      <c r="EH127" s="61">
        <v>0</v>
      </c>
      <c r="EI127" s="61">
        <v>0</v>
      </c>
      <c r="EJ127" s="61">
        <v>0</v>
      </c>
      <c r="EK127" s="61">
        <v>0</v>
      </c>
      <c r="EL127" s="61">
        <v>0</v>
      </c>
      <c r="EM127" s="61">
        <v>0</v>
      </c>
      <c r="EN127" s="61">
        <v>0</v>
      </c>
      <c r="EO127" s="61">
        <v>0</v>
      </c>
      <c r="EP127" s="61">
        <v>0</v>
      </c>
      <c r="EQ127" s="61">
        <v>0</v>
      </c>
      <c r="ER127" s="61">
        <v>0</v>
      </c>
      <c r="ES127" s="61">
        <v>0</v>
      </c>
      <c r="ET127" s="61">
        <v>0</v>
      </c>
      <c r="EU127" s="61">
        <v>0</v>
      </c>
      <c r="EV127" s="61">
        <v>0</v>
      </c>
      <c r="EW127" s="61">
        <v>0</v>
      </c>
      <c r="EX127" s="61">
        <v>0</v>
      </c>
      <c r="EY127" s="61">
        <v>0</v>
      </c>
      <c r="EZ127" s="61">
        <v>0</v>
      </c>
      <c r="FA127" s="61">
        <v>0</v>
      </c>
      <c r="FB127" s="61">
        <v>0</v>
      </c>
      <c r="FC127" s="61">
        <v>0</v>
      </c>
      <c r="FD127" s="61">
        <v>0</v>
      </c>
      <c r="FE127" s="61">
        <v>0</v>
      </c>
      <c r="FF127" s="61">
        <v>0</v>
      </c>
      <c r="FG127" s="61">
        <v>0</v>
      </c>
      <c r="FH127" s="61">
        <v>0</v>
      </c>
      <c r="FI127" s="61">
        <v>0</v>
      </c>
      <c r="FJ127" s="61">
        <v>0</v>
      </c>
      <c r="FK127" s="61">
        <v>0</v>
      </c>
      <c r="FL127" s="61">
        <v>0</v>
      </c>
      <c r="FM127" s="61">
        <v>0</v>
      </c>
      <c r="FN127" s="61">
        <v>0</v>
      </c>
      <c r="FO127" s="61">
        <v>0</v>
      </c>
      <c r="FP127" s="61">
        <v>0</v>
      </c>
      <c r="FQ127" s="61">
        <v>0</v>
      </c>
      <c r="FR127" s="61">
        <v>0</v>
      </c>
      <c r="FS127" s="61">
        <v>0</v>
      </c>
      <c r="FT127" s="61">
        <v>0</v>
      </c>
      <c r="FU127" s="61">
        <v>0</v>
      </c>
      <c r="FV127" s="61">
        <v>0</v>
      </c>
      <c r="FW127" s="61">
        <v>0</v>
      </c>
      <c r="FX127" s="61">
        <v>0</v>
      </c>
      <c r="FY127" s="65">
        <v>0</v>
      </c>
      <c r="FZ127" s="63">
        <v>0</v>
      </c>
      <c r="GA127" s="61">
        <v>0</v>
      </c>
      <c r="GB127" s="61">
        <v>0</v>
      </c>
      <c r="GC127" s="61">
        <v>0</v>
      </c>
      <c r="GD127" s="61">
        <v>0</v>
      </c>
      <c r="GE127" s="61">
        <v>0</v>
      </c>
      <c r="GF127" s="61">
        <v>0</v>
      </c>
      <c r="GG127" s="61">
        <v>0</v>
      </c>
      <c r="GH127" s="61">
        <v>0</v>
      </c>
      <c r="GI127" s="61">
        <v>0</v>
      </c>
      <c r="GJ127" s="61">
        <v>0</v>
      </c>
      <c r="GK127" s="61">
        <v>0</v>
      </c>
      <c r="GL127" s="61">
        <v>0</v>
      </c>
      <c r="GM127" s="61">
        <v>0</v>
      </c>
      <c r="GN127" s="61">
        <v>0</v>
      </c>
      <c r="GO127" s="61">
        <v>0</v>
      </c>
      <c r="GP127" s="61">
        <v>0</v>
      </c>
      <c r="GQ127" s="61">
        <v>0</v>
      </c>
      <c r="GR127" s="61">
        <v>0</v>
      </c>
      <c r="GS127" s="61">
        <v>0</v>
      </c>
      <c r="GT127" s="61">
        <v>0</v>
      </c>
      <c r="GU127" s="63">
        <v>0</v>
      </c>
      <c r="GV127" s="63">
        <v>0</v>
      </c>
      <c r="GW127" s="63">
        <v>0</v>
      </c>
      <c r="GX127" s="66">
        <v>1</v>
      </c>
      <c r="GY127" s="66">
        <v>1</v>
      </c>
      <c r="GZ127" s="66">
        <v>1</v>
      </c>
      <c r="HA127" s="63">
        <v>0</v>
      </c>
      <c r="HB127" s="63">
        <v>0</v>
      </c>
      <c r="HC127" s="63">
        <v>0</v>
      </c>
      <c r="HD127" s="63">
        <v>0</v>
      </c>
      <c r="HE127" s="63">
        <v>0</v>
      </c>
      <c r="HF127" s="63">
        <v>0</v>
      </c>
      <c r="HG127" s="63">
        <v>0</v>
      </c>
      <c r="HH127" s="63"/>
      <c r="HI127" s="63"/>
      <c r="HJ127" s="63">
        <v>1978</v>
      </c>
      <c r="HK127" s="63">
        <f>SUM(FY$4:HI$4)</f>
        <v>37</v>
      </c>
      <c r="HL127" s="61">
        <f>SUM(FY127:HI127)</f>
        <v>3</v>
      </c>
      <c r="HM127" s="67">
        <f t="shared" si="7"/>
        <v>8.1081081081081088</v>
      </c>
      <c r="HN127" s="67"/>
      <c r="HO127" s="67"/>
      <c r="HP127" s="68"/>
    </row>
    <row r="128" spans="1:244" x14ac:dyDescent="0.3">
      <c r="B128" s="60" t="s">
        <v>7374</v>
      </c>
      <c r="C128" s="63">
        <v>0</v>
      </c>
      <c r="D128" s="63">
        <v>0</v>
      </c>
      <c r="E128" s="63">
        <v>0</v>
      </c>
      <c r="F128" s="63">
        <v>0</v>
      </c>
      <c r="G128" s="63">
        <v>0</v>
      </c>
      <c r="H128" s="63">
        <v>0</v>
      </c>
      <c r="I128" s="63">
        <v>0</v>
      </c>
      <c r="J128" s="63">
        <v>0</v>
      </c>
      <c r="K128" s="63">
        <v>0</v>
      </c>
      <c r="L128" s="63">
        <v>0</v>
      </c>
      <c r="M128" s="63">
        <v>0</v>
      </c>
      <c r="N128" s="63">
        <v>0</v>
      </c>
      <c r="O128" s="63">
        <v>0</v>
      </c>
      <c r="P128" s="63">
        <v>0</v>
      </c>
      <c r="Q128" s="63">
        <v>0</v>
      </c>
      <c r="R128" s="63">
        <v>0</v>
      </c>
      <c r="S128" s="63">
        <v>0</v>
      </c>
      <c r="T128" s="63">
        <v>0</v>
      </c>
      <c r="U128" s="63">
        <v>0</v>
      </c>
      <c r="V128" s="63">
        <v>0</v>
      </c>
      <c r="W128" s="63">
        <v>0</v>
      </c>
      <c r="X128" s="63">
        <v>0</v>
      </c>
      <c r="Y128" s="63">
        <v>0</v>
      </c>
      <c r="Z128" s="63">
        <v>0</v>
      </c>
      <c r="AA128" s="63">
        <v>0</v>
      </c>
      <c r="AB128" s="63">
        <v>0</v>
      </c>
      <c r="AC128" s="63">
        <v>0</v>
      </c>
      <c r="AD128" s="63">
        <v>0</v>
      </c>
      <c r="AE128" s="63">
        <v>0</v>
      </c>
      <c r="AF128" s="63">
        <v>0</v>
      </c>
      <c r="AG128" s="63">
        <v>0</v>
      </c>
      <c r="AH128" s="63">
        <v>0</v>
      </c>
      <c r="AI128" s="63">
        <v>0</v>
      </c>
      <c r="AJ128" s="63">
        <v>0</v>
      </c>
      <c r="AK128" s="63">
        <v>0</v>
      </c>
      <c r="AL128" s="63">
        <v>0</v>
      </c>
      <c r="AM128" s="63">
        <v>0</v>
      </c>
      <c r="AN128" s="63">
        <v>0</v>
      </c>
      <c r="AO128" s="63">
        <v>0</v>
      </c>
      <c r="AP128" s="63">
        <v>0</v>
      </c>
      <c r="AQ128" s="63">
        <v>0</v>
      </c>
      <c r="AR128" s="63">
        <v>0</v>
      </c>
      <c r="AS128" s="63">
        <v>0</v>
      </c>
      <c r="AT128" s="63">
        <v>0</v>
      </c>
      <c r="AU128" s="63">
        <v>0</v>
      </c>
      <c r="AV128" s="63">
        <v>0</v>
      </c>
      <c r="AW128" s="63">
        <v>0</v>
      </c>
      <c r="AX128" s="63">
        <v>0</v>
      </c>
      <c r="AY128" s="63">
        <v>0</v>
      </c>
      <c r="AZ128" s="63">
        <v>0</v>
      </c>
      <c r="BA128" s="63">
        <v>0</v>
      </c>
      <c r="BB128" s="63">
        <v>0</v>
      </c>
      <c r="BC128" s="63">
        <v>0</v>
      </c>
      <c r="BD128" s="63">
        <v>0</v>
      </c>
      <c r="BE128" s="63">
        <v>0</v>
      </c>
      <c r="BF128" s="63">
        <v>0</v>
      </c>
      <c r="BG128" s="63">
        <v>0</v>
      </c>
      <c r="BH128" s="63">
        <v>0</v>
      </c>
      <c r="BI128" s="63">
        <v>0</v>
      </c>
      <c r="BJ128" s="63">
        <v>0</v>
      </c>
      <c r="BK128" s="63">
        <v>0</v>
      </c>
      <c r="BL128" s="63">
        <v>0</v>
      </c>
      <c r="BM128" s="63">
        <v>0</v>
      </c>
      <c r="BN128" s="63">
        <v>0</v>
      </c>
      <c r="BO128" s="63">
        <v>0</v>
      </c>
      <c r="BP128" s="63">
        <v>0</v>
      </c>
      <c r="BQ128" s="63">
        <v>0</v>
      </c>
      <c r="BR128" s="63">
        <v>0</v>
      </c>
      <c r="BS128" s="63">
        <v>0</v>
      </c>
      <c r="BT128" s="63">
        <v>0</v>
      </c>
      <c r="BU128" s="63">
        <v>0</v>
      </c>
      <c r="BV128" s="63">
        <v>0</v>
      </c>
      <c r="BW128" s="63">
        <v>0</v>
      </c>
      <c r="BX128" s="63">
        <v>0</v>
      </c>
      <c r="BY128" s="63">
        <v>0</v>
      </c>
      <c r="BZ128" s="63">
        <v>0</v>
      </c>
      <c r="CA128" s="63">
        <v>0</v>
      </c>
      <c r="CB128" s="63">
        <v>0</v>
      </c>
      <c r="CC128" s="63">
        <v>0</v>
      </c>
      <c r="CD128" s="63">
        <v>0</v>
      </c>
      <c r="CE128" s="63">
        <v>0</v>
      </c>
      <c r="CF128" s="63">
        <v>0</v>
      </c>
      <c r="CG128" s="63">
        <v>0</v>
      </c>
      <c r="CH128" s="63">
        <v>0</v>
      </c>
      <c r="CI128" s="63">
        <v>0</v>
      </c>
      <c r="CJ128" s="63">
        <v>0</v>
      </c>
      <c r="CK128" s="63">
        <v>0</v>
      </c>
      <c r="CL128" s="63">
        <v>0</v>
      </c>
      <c r="CM128" s="63">
        <v>0</v>
      </c>
      <c r="CN128" s="63">
        <v>0</v>
      </c>
      <c r="CO128" s="63">
        <v>0</v>
      </c>
      <c r="CP128" s="63">
        <v>0</v>
      </c>
      <c r="CQ128" s="63">
        <v>0</v>
      </c>
      <c r="CR128" s="63">
        <v>0</v>
      </c>
      <c r="CS128" s="63">
        <v>0</v>
      </c>
      <c r="CT128" s="63">
        <v>0</v>
      </c>
      <c r="CU128" s="63">
        <v>0</v>
      </c>
      <c r="CV128" s="63">
        <v>0</v>
      </c>
      <c r="CW128" s="63">
        <v>0</v>
      </c>
      <c r="CX128" s="63">
        <v>0</v>
      </c>
      <c r="CY128" s="63">
        <v>0</v>
      </c>
      <c r="CZ128" s="63">
        <v>0</v>
      </c>
      <c r="DA128" s="63">
        <v>0</v>
      </c>
      <c r="DB128" s="63">
        <v>0</v>
      </c>
      <c r="DC128" s="63">
        <v>0</v>
      </c>
      <c r="DD128" s="63">
        <v>0</v>
      </c>
      <c r="DE128" s="63">
        <v>0</v>
      </c>
      <c r="DF128" s="63">
        <v>0</v>
      </c>
      <c r="DG128" s="63">
        <v>0</v>
      </c>
      <c r="DH128" s="63">
        <v>0</v>
      </c>
      <c r="DI128" s="63">
        <v>0</v>
      </c>
      <c r="DJ128" s="63">
        <v>0</v>
      </c>
      <c r="DK128" s="63">
        <v>0</v>
      </c>
      <c r="DL128" s="63">
        <v>0</v>
      </c>
      <c r="DM128" s="63">
        <v>0</v>
      </c>
      <c r="DN128" s="63">
        <v>0</v>
      </c>
      <c r="DO128" s="63">
        <v>0</v>
      </c>
      <c r="DP128" s="63">
        <v>0</v>
      </c>
      <c r="DQ128" s="63">
        <v>0</v>
      </c>
      <c r="DR128" s="63">
        <v>0</v>
      </c>
      <c r="DS128" s="63">
        <v>0</v>
      </c>
      <c r="DT128" s="63">
        <v>0</v>
      </c>
      <c r="DU128" s="63">
        <v>0</v>
      </c>
      <c r="DV128" s="63">
        <v>0</v>
      </c>
      <c r="DW128" s="63">
        <v>0</v>
      </c>
      <c r="DX128" s="63">
        <v>0</v>
      </c>
      <c r="DY128" s="63">
        <v>0</v>
      </c>
      <c r="DZ128" s="63">
        <v>0</v>
      </c>
      <c r="EA128" s="63">
        <v>0</v>
      </c>
      <c r="EB128" s="63">
        <v>0</v>
      </c>
      <c r="EC128" s="63">
        <v>0</v>
      </c>
      <c r="ED128" s="63">
        <v>0</v>
      </c>
      <c r="EE128" s="63">
        <v>0</v>
      </c>
      <c r="EF128" s="63">
        <v>0</v>
      </c>
      <c r="EG128" s="63">
        <v>0</v>
      </c>
      <c r="EH128" s="63">
        <v>0</v>
      </c>
      <c r="EI128" s="63">
        <v>0</v>
      </c>
      <c r="EJ128" s="63">
        <v>0</v>
      </c>
      <c r="EK128" s="63">
        <v>0</v>
      </c>
      <c r="EL128" s="63">
        <v>0</v>
      </c>
      <c r="EM128" s="63">
        <v>0</v>
      </c>
      <c r="EN128" s="63">
        <v>0</v>
      </c>
      <c r="EO128" s="63">
        <v>0</v>
      </c>
      <c r="EP128" s="63">
        <v>0</v>
      </c>
      <c r="EQ128" s="63">
        <v>0</v>
      </c>
      <c r="ER128" s="63">
        <v>0</v>
      </c>
      <c r="ES128" s="63">
        <v>0</v>
      </c>
      <c r="ET128" s="63">
        <v>0</v>
      </c>
      <c r="EU128" s="63">
        <v>0</v>
      </c>
      <c r="EV128" s="63">
        <v>0</v>
      </c>
      <c r="EW128" s="63">
        <v>0</v>
      </c>
      <c r="EX128" s="63">
        <v>0</v>
      </c>
      <c r="EY128" s="63">
        <v>0</v>
      </c>
      <c r="EZ128" s="63">
        <v>0</v>
      </c>
      <c r="FA128" s="63">
        <v>0</v>
      </c>
      <c r="FB128" s="63">
        <v>0</v>
      </c>
      <c r="FC128" s="63">
        <v>0</v>
      </c>
      <c r="FD128" s="63">
        <v>0</v>
      </c>
      <c r="FE128" s="63">
        <v>0</v>
      </c>
      <c r="FF128" s="63">
        <v>0</v>
      </c>
      <c r="FG128" s="63">
        <v>0</v>
      </c>
      <c r="FH128" s="63">
        <v>0</v>
      </c>
      <c r="FI128" s="63">
        <v>0</v>
      </c>
      <c r="FJ128" s="63">
        <v>0</v>
      </c>
      <c r="FK128" s="63">
        <v>0</v>
      </c>
      <c r="FL128" s="63">
        <v>0</v>
      </c>
      <c r="FM128" s="63">
        <v>0</v>
      </c>
      <c r="FN128" s="63">
        <v>0</v>
      </c>
      <c r="FO128" s="63">
        <v>0</v>
      </c>
      <c r="FP128" s="63">
        <v>0</v>
      </c>
      <c r="FQ128" s="63">
        <v>0</v>
      </c>
      <c r="FR128" s="63">
        <v>0</v>
      </c>
      <c r="FS128" s="63">
        <v>0</v>
      </c>
      <c r="FT128" s="63">
        <v>0</v>
      </c>
      <c r="FU128" s="83">
        <v>0</v>
      </c>
      <c r="FV128" s="63">
        <v>0</v>
      </c>
      <c r="FW128" s="63">
        <v>0</v>
      </c>
      <c r="FX128" s="63">
        <v>0</v>
      </c>
      <c r="FY128" s="63">
        <v>0</v>
      </c>
      <c r="FZ128" s="63">
        <v>0</v>
      </c>
      <c r="GA128" s="63">
        <v>0</v>
      </c>
      <c r="GB128" s="63">
        <v>0</v>
      </c>
      <c r="GC128" s="63">
        <v>0</v>
      </c>
      <c r="GD128" s="63">
        <v>0</v>
      </c>
      <c r="GE128" s="63">
        <v>0</v>
      </c>
      <c r="GF128" s="63">
        <v>0</v>
      </c>
      <c r="GG128" s="63">
        <v>0</v>
      </c>
      <c r="GH128" s="63">
        <v>0</v>
      </c>
      <c r="GI128" s="63">
        <v>0</v>
      </c>
      <c r="GJ128" s="63">
        <v>0</v>
      </c>
      <c r="GK128" s="63">
        <v>0</v>
      </c>
      <c r="GL128" s="63">
        <v>0</v>
      </c>
      <c r="GM128" s="63">
        <v>0</v>
      </c>
      <c r="GN128" s="63">
        <v>0</v>
      </c>
      <c r="GO128" s="63">
        <v>0</v>
      </c>
      <c r="GP128" s="63">
        <v>0</v>
      </c>
      <c r="GQ128" s="63">
        <v>0</v>
      </c>
      <c r="GR128" s="63">
        <v>0</v>
      </c>
      <c r="GS128" s="63">
        <v>0</v>
      </c>
      <c r="GT128" s="63">
        <v>0</v>
      </c>
      <c r="GU128" s="63">
        <v>0</v>
      </c>
      <c r="GV128" s="63">
        <v>0</v>
      </c>
      <c r="GW128" s="63">
        <v>0</v>
      </c>
      <c r="GX128" s="63">
        <v>0</v>
      </c>
      <c r="GY128" s="66">
        <v>1</v>
      </c>
      <c r="GZ128" s="66">
        <v>1</v>
      </c>
      <c r="HA128" s="63">
        <v>0</v>
      </c>
      <c r="HB128" s="63">
        <v>0</v>
      </c>
      <c r="HC128" s="63">
        <v>0</v>
      </c>
      <c r="HD128" s="63">
        <v>0</v>
      </c>
      <c r="HE128" s="63">
        <v>0</v>
      </c>
      <c r="HF128" s="63">
        <v>0</v>
      </c>
      <c r="HG128" s="66">
        <v>1</v>
      </c>
      <c r="HH128" s="66"/>
      <c r="HI128" s="66"/>
      <c r="HJ128" s="63">
        <v>1974</v>
      </c>
      <c r="HK128" s="63">
        <f>SUM(FU$4:HI$4)</f>
        <v>41</v>
      </c>
      <c r="HL128" s="61">
        <f>SUM(FU128:HI128)</f>
        <v>3</v>
      </c>
      <c r="HM128" s="67">
        <f t="shared" si="7"/>
        <v>7.3170731707317076</v>
      </c>
      <c r="HN128" s="67"/>
      <c r="HO128" s="67"/>
      <c r="HP128" s="68"/>
    </row>
    <row r="129" spans="1:251" x14ac:dyDescent="0.3">
      <c r="B129" s="63" t="s">
        <v>7375</v>
      </c>
      <c r="C129" s="61">
        <v>0</v>
      </c>
      <c r="D129" s="61">
        <v>0</v>
      </c>
      <c r="E129" s="61">
        <v>0</v>
      </c>
      <c r="F129" s="61">
        <v>0</v>
      </c>
      <c r="G129" s="61">
        <v>0</v>
      </c>
      <c r="H129" s="61">
        <v>0</v>
      </c>
      <c r="I129" s="61">
        <v>0</v>
      </c>
      <c r="J129" s="61">
        <v>0</v>
      </c>
      <c r="K129" s="61">
        <v>0</v>
      </c>
      <c r="L129" s="61">
        <v>0</v>
      </c>
      <c r="M129" s="61">
        <v>0</v>
      </c>
      <c r="N129" s="61">
        <v>0</v>
      </c>
      <c r="O129" s="61">
        <v>0</v>
      </c>
      <c r="P129" s="61">
        <v>0</v>
      </c>
      <c r="Q129" s="61">
        <v>0</v>
      </c>
      <c r="R129" s="61">
        <v>0</v>
      </c>
      <c r="S129" s="61">
        <v>0</v>
      </c>
      <c r="T129" s="61">
        <v>0</v>
      </c>
      <c r="U129" s="61">
        <v>0</v>
      </c>
      <c r="V129" s="61">
        <v>0</v>
      </c>
      <c r="W129" s="61">
        <v>0</v>
      </c>
      <c r="X129" s="61">
        <v>0</v>
      </c>
      <c r="Y129" s="61">
        <v>0</v>
      </c>
      <c r="Z129" s="61">
        <v>0</v>
      </c>
      <c r="AA129" s="61">
        <v>0</v>
      </c>
      <c r="AB129" s="61">
        <v>0</v>
      </c>
      <c r="AC129" s="61">
        <v>0</v>
      </c>
      <c r="AD129" s="61">
        <v>0</v>
      </c>
      <c r="AE129" s="61">
        <v>0</v>
      </c>
      <c r="AF129" s="61">
        <v>0</v>
      </c>
      <c r="AG129" s="61">
        <v>0</v>
      </c>
      <c r="AH129" s="61">
        <v>0</v>
      </c>
      <c r="AI129" s="61">
        <v>0</v>
      </c>
      <c r="AJ129" s="61">
        <v>0</v>
      </c>
      <c r="AK129" s="61">
        <v>0</v>
      </c>
      <c r="AL129" s="61">
        <v>0</v>
      </c>
      <c r="AM129" s="61">
        <v>0</v>
      </c>
      <c r="AN129" s="61">
        <v>0</v>
      </c>
      <c r="AO129" s="61">
        <v>0</v>
      </c>
      <c r="AP129" s="61">
        <v>0</v>
      </c>
      <c r="AQ129" s="61">
        <v>0</v>
      </c>
      <c r="AR129" s="61">
        <v>0</v>
      </c>
      <c r="AS129" s="61">
        <v>0</v>
      </c>
      <c r="AT129" s="61">
        <v>0</v>
      </c>
      <c r="AU129" s="61">
        <v>0</v>
      </c>
      <c r="AV129" s="61">
        <v>0</v>
      </c>
      <c r="AW129" s="61">
        <v>0</v>
      </c>
      <c r="AX129" s="61">
        <v>0</v>
      </c>
      <c r="AY129" s="61">
        <v>0</v>
      </c>
      <c r="AZ129" s="61">
        <v>0</v>
      </c>
      <c r="BA129" s="61">
        <v>0</v>
      </c>
      <c r="BB129" s="61">
        <v>0</v>
      </c>
      <c r="BC129" s="61">
        <v>0</v>
      </c>
      <c r="BD129" s="61">
        <v>0</v>
      </c>
      <c r="BE129" s="61">
        <v>0</v>
      </c>
      <c r="BF129" s="61">
        <v>0</v>
      </c>
      <c r="BG129" s="61">
        <v>0</v>
      </c>
      <c r="BH129" s="61">
        <v>0</v>
      </c>
      <c r="BI129" s="61">
        <v>0</v>
      </c>
      <c r="BJ129" s="61">
        <v>0</v>
      </c>
      <c r="BK129" s="61">
        <v>0</v>
      </c>
      <c r="BL129" s="61">
        <v>0</v>
      </c>
      <c r="BM129" s="61">
        <v>0</v>
      </c>
      <c r="BN129" s="61">
        <v>0</v>
      </c>
      <c r="BO129" s="61">
        <v>0</v>
      </c>
      <c r="BP129" s="61">
        <v>0</v>
      </c>
      <c r="BQ129" s="61">
        <v>0</v>
      </c>
      <c r="BR129" s="61">
        <v>0</v>
      </c>
      <c r="BS129" s="61">
        <v>0</v>
      </c>
      <c r="BT129" s="61">
        <v>0</v>
      </c>
      <c r="BU129" s="61">
        <v>0</v>
      </c>
      <c r="BV129" s="61">
        <v>0</v>
      </c>
      <c r="BW129" s="61">
        <v>0</v>
      </c>
      <c r="BX129" s="61">
        <v>0</v>
      </c>
      <c r="BY129" s="61">
        <v>0</v>
      </c>
      <c r="BZ129" s="61">
        <v>0</v>
      </c>
      <c r="CA129" s="61">
        <v>0</v>
      </c>
      <c r="CB129" s="61">
        <v>0</v>
      </c>
      <c r="CC129" s="61">
        <v>0</v>
      </c>
      <c r="CD129" s="61">
        <v>0</v>
      </c>
      <c r="CE129" s="61">
        <v>0</v>
      </c>
      <c r="CF129" s="61">
        <v>0</v>
      </c>
      <c r="CG129" s="61">
        <v>0</v>
      </c>
      <c r="CH129" s="61">
        <v>0</v>
      </c>
      <c r="CI129" s="61">
        <v>0</v>
      </c>
      <c r="CJ129" s="61">
        <v>0</v>
      </c>
      <c r="CK129" s="61">
        <v>0</v>
      </c>
      <c r="CL129" s="61">
        <v>0</v>
      </c>
      <c r="CM129" s="61">
        <v>0</v>
      </c>
      <c r="CN129" s="61">
        <v>0</v>
      </c>
      <c r="CO129" s="61">
        <v>0</v>
      </c>
      <c r="CP129" s="61">
        <v>0</v>
      </c>
      <c r="CQ129" s="61">
        <v>0</v>
      </c>
      <c r="CR129" s="61">
        <v>0</v>
      </c>
      <c r="CS129" s="61">
        <v>0</v>
      </c>
      <c r="CT129" s="61">
        <v>0</v>
      </c>
      <c r="CU129" s="61">
        <v>0</v>
      </c>
      <c r="CV129" s="61">
        <v>0</v>
      </c>
      <c r="CW129" s="61">
        <v>0</v>
      </c>
      <c r="CX129" s="61">
        <v>0</v>
      </c>
      <c r="CY129" s="61">
        <v>0</v>
      </c>
      <c r="CZ129" s="61">
        <v>0</v>
      </c>
      <c r="DA129" s="61">
        <v>0</v>
      </c>
      <c r="DB129" s="61">
        <v>0</v>
      </c>
      <c r="DC129" s="61">
        <v>0</v>
      </c>
      <c r="DD129" s="61">
        <v>0</v>
      </c>
      <c r="DE129" s="61">
        <v>0</v>
      </c>
      <c r="DF129" s="61">
        <v>0</v>
      </c>
      <c r="DG129" s="61">
        <v>0</v>
      </c>
      <c r="DH129" s="61">
        <v>0</v>
      </c>
      <c r="DI129" s="61">
        <v>0</v>
      </c>
      <c r="DJ129" s="61">
        <v>0</v>
      </c>
      <c r="DK129" s="61">
        <v>0</v>
      </c>
      <c r="DL129" s="61">
        <v>0</v>
      </c>
      <c r="DM129" s="61">
        <v>0</v>
      </c>
      <c r="DN129" s="61">
        <v>0</v>
      </c>
      <c r="DO129" s="61">
        <v>0</v>
      </c>
      <c r="DP129" s="61">
        <v>0</v>
      </c>
      <c r="DQ129" s="61">
        <v>0</v>
      </c>
      <c r="DR129" s="61">
        <v>0</v>
      </c>
      <c r="DS129" s="61">
        <v>0</v>
      </c>
      <c r="DT129" s="61">
        <v>0</v>
      </c>
      <c r="DU129" s="61">
        <v>0</v>
      </c>
      <c r="DV129" s="61">
        <v>0</v>
      </c>
      <c r="DW129" s="61">
        <v>0</v>
      </c>
      <c r="DX129" s="61">
        <v>0</v>
      </c>
      <c r="DY129" s="61">
        <v>0</v>
      </c>
      <c r="DZ129" s="61">
        <v>0</v>
      </c>
      <c r="EA129" s="61">
        <v>0</v>
      </c>
      <c r="EB129" s="61">
        <v>0</v>
      </c>
      <c r="EC129" s="61">
        <v>0</v>
      </c>
      <c r="ED129" s="61">
        <v>0</v>
      </c>
      <c r="EE129" s="61">
        <v>0</v>
      </c>
      <c r="EF129" s="61">
        <v>0</v>
      </c>
      <c r="EG129" s="61">
        <v>0</v>
      </c>
      <c r="EH129" s="61">
        <v>0</v>
      </c>
      <c r="EI129" s="61">
        <v>0</v>
      </c>
      <c r="EJ129" s="61">
        <v>0</v>
      </c>
      <c r="EK129" s="61">
        <v>0</v>
      </c>
      <c r="EL129" s="61">
        <v>0</v>
      </c>
      <c r="EM129" s="61">
        <v>0</v>
      </c>
      <c r="EN129" s="61">
        <v>0</v>
      </c>
      <c r="EO129" s="61">
        <v>0</v>
      </c>
      <c r="EP129" s="61">
        <v>0</v>
      </c>
      <c r="EQ129" s="61">
        <v>0</v>
      </c>
      <c r="ER129" s="61">
        <v>0</v>
      </c>
      <c r="ES129" s="61">
        <v>0</v>
      </c>
      <c r="ET129" s="61">
        <v>0</v>
      </c>
      <c r="EU129" s="61">
        <v>0</v>
      </c>
      <c r="EV129" s="61">
        <v>0</v>
      </c>
      <c r="EW129" s="61">
        <v>0</v>
      </c>
      <c r="EX129" s="61">
        <v>0</v>
      </c>
      <c r="EY129" s="61">
        <v>0</v>
      </c>
      <c r="EZ129" s="61">
        <v>0</v>
      </c>
      <c r="FA129" s="61">
        <v>0</v>
      </c>
      <c r="FB129" s="61">
        <v>0</v>
      </c>
      <c r="FC129" s="61">
        <v>0</v>
      </c>
      <c r="FD129" s="61">
        <v>0</v>
      </c>
      <c r="FE129" s="61">
        <v>0</v>
      </c>
      <c r="FF129" s="61">
        <v>0</v>
      </c>
      <c r="FG129" s="61">
        <v>0</v>
      </c>
      <c r="FH129" s="61">
        <v>0</v>
      </c>
      <c r="FI129" s="61">
        <v>0</v>
      </c>
      <c r="FJ129" s="61">
        <v>0</v>
      </c>
      <c r="FK129" s="61">
        <v>0</v>
      </c>
      <c r="FL129" s="61">
        <v>0</v>
      </c>
      <c r="FM129" s="61">
        <v>0</v>
      </c>
      <c r="FN129" s="61">
        <v>0</v>
      </c>
      <c r="FO129" s="61">
        <v>0</v>
      </c>
      <c r="FP129" s="61">
        <v>0</v>
      </c>
      <c r="FQ129" s="61">
        <v>0</v>
      </c>
      <c r="FR129" s="61">
        <v>0</v>
      </c>
      <c r="FS129" s="61">
        <v>0</v>
      </c>
      <c r="FT129" s="61">
        <v>0</v>
      </c>
      <c r="FU129" s="61">
        <v>0</v>
      </c>
      <c r="FV129" s="61">
        <v>0</v>
      </c>
      <c r="FW129" s="61">
        <v>0</v>
      </c>
      <c r="FX129" s="61">
        <v>0</v>
      </c>
      <c r="FY129" s="61">
        <v>0</v>
      </c>
      <c r="FZ129" s="66">
        <v>1</v>
      </c>
      <c r="GA129" s="61">
        <v>0</v>
      </c>
      <c r="GB129" s="61">
        <v>0</v>
      </c>
      <c r="GC129" s="66">
        <v>1</v>
      </c>
      <c r="GD129" s="66">
        <v>1</v>
      </c>
      <c r="GE129" s="66">
        <v>1</v>
      </c>
      <c r="GF129" s="66">
        <v>1</v>
      </c>
      <c r="GG129" s="66">
        <v>1</v>
      </c>
      <c r="GH129" s="66">
        <v>1</v>
      </c>
      <c r="GI129" s="66">
        <v>1</v>
      </c>
      <c r="GJ129" s="66">
        <v>1</v>
      </c>
      <c r="GK129" s="66">
        <v>1</v>
      </c>
      <c r="GL129" s="66">
        <v>1</v>
      </c>
      <c r="GM129" s="66">
        <v>1</v>
      </c>
      <c r="GN129" s="66">
        <v>1</v>
      </c>
      <c r="GO129" s="66">
        <v>1</v>
      </c>
      <c r="GP129" s="66">
        <v>1</v>
      </c>
      <c r="GQ129" s="66">
        <v>1</v>
      </c>
      <c r="GR129" s="66">
        <v>1</v>
      </c>
      <c r="GS129" s="66">
        <v>1</v>
      </c>
      <c r="GT129" s="66">
        <v>1</v>
      </c>
      <c r="GU129" s="66">
        <v>1</v>
      </c>
      <c r="GV129" s="66">
        <v>1</v>
      </c>
      <c r="GW129" s="66">
        <v>1</v>
      </c>
      <c r="GX129" s="66">
        <v>1</v>
      </c>
      <c r="GY129" s="66">
        <v>1</v>
      </c>
      <c r="GZ129" s="66">
        <v>1</v>
      </c>
      <c r="HA129" s="66">
        <v>1</v>
      </c>
      <c r="HB129" s="66">
        <v>1</v>
      </c>
      <c r="HC129" s="66">
        <v>1</v>
      </c>
      <c r="HD129" s="66">
        <v>1</v>
      </c>
      <c r="HE129" s="66">
        <v>1</v>
      </c>
      <c r="HF129" s="66">
        <v>1</v>
      </c>
      <c r="HG129" s="66">
        <v>1</v>
      </c>
      <c r="HH129" s="66"/>
      <c r="HI129" s="66"/>
      <c r="HJ129" s="63">
        <v>1966</v>
      </c>
      <c r="HK129" s="63">
        <f>SUM(FM$4:HI$4)</f>
        <v>49</v>
      </c>
      <c r="HL129" s="61">
        <f>SUM(FM129:HI129)</f>
        <v>32</v>
      </c>
      <c r="HM129" s="67">
        <f t="shared" si="7"/>
        <v>65.306122448979593</v>
      </c>
      <c r="HN129" s="67"/>
      <c r="HO129" s="67"/>
      <c r="HP129" s="68"/>
      <c r="HS129" s="68" t="s">
        <v>7296</v>
      </c>
    </row>
    <row r="130" spans="1:251" x14ac:dyDescent="0.3">
      <c r="B130" s="63" t="s">
        <v>7376</v>
      </c>
      <c r="C130" s="61">
        <v>0</v>
      </c>
      <c r="D130" s="61">
        <v>0</v>
      </c>
      <c r="E130" s="61">
        <v>0</v>
      </c>
      <c r="F130" s="61">
        <v>0</v>
      </c>
      <c r="G130" s="65">
        <v>0</v>
      </c>
      <c r="H130" s="61">
        <v>0</v>
      </c>
      <c r="I130" s="61">
        <v>0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0</v>
      </c>
      <c r="U130" s="61">
        <v>0</v>
      </c>
      <c r="V130" s="61">
        <v>0</v>
      </c>
      <c r="W130" s="61">
        <v>0</v>
      </c>
      <c r="X130" s="61">
        <v>0</v>
      </c>
      <c r="Y130" s="61">
        <v>0</v>
      </c>
      <c r="Z130" s="61">
        <v>0</v>
      </c>
      <c r="AA130" s="61">
        <v>0</v>
      </c>
      <c r="AB130" s="61">
        <v>0</v>
      </c>
      <c r="AC130" s="61">
        <v>0</v>
      </c>
      <c r="AD130" s="61">
        <v>0</v>
      </c>
      <c r="AE130" s="61">
        <v>0</v>
      </c>
      <c r="AF130" s="61">
        <v>0</v>
      </c>
      <c r="AG130" s="61">
        <v>0</v>
      </c>
      <c r="AH130" s="61">
        <v>0</v>
      </c>
      <c r="AI130" s="61">
        <v>0</v>
      </c>
      <c r="AJ130" s="61">
        <v>0</v>
      </c>
      <c r="AK130" s="61">
        <v>0</v>
      </c>
      <c r="AL130" s="61">
        <v>0</v>
      </c>
      <c r="AM130" s="61">
        <v>0</v>
      </c>
      <c r="AN130" s="61">
        <v>0</v>
      </c>
      <c r="AO130" s="61">
        <v>0</v>
      </c>
      <c r="AP130" s="61">
        <v>0</v>
      </c>
      <c r="AQ130" s="61">
        <v>0</v>
      </c>
      <c r="AR130" s="61">
        <v>0</v>
      </c>
      <c r="AS130" s="61">
        <v>0</v>
      </c>
      <c r="AT130" s="61">
        <v>0</v>
      </c>
      <c r="AU130" s="61">
        <v>0</v>
      </c>
      <c r="AV130" s="61">
        <v>0</v>
      </c>
      <c r="AW130" s="61">
        <v>0</v>
      </c>
      <c r="AX130" s="61">
        <v>0</v>
      </c>
      <c r="AY130" s="61">
        <v>0</v>
      </c>
      <c r="AZ130" s="61">
        <v>0</v>
      </c>
      <c r="BA130" s="61">
        <v>0</v>
      </c>
      <c r="BB130" s="61">
        <v>0</v>
      </c>
      <c r="BC130" s="61">
        <v>0</v>
      </c>
      <c r="BD130" s="61">
        <v>0</v>
      </c>
      <c r="BE130" s="61">
        <v>0</v>
      </c>
      <c r="BF130" s="61">
        <v>0</v>
      </c>
      <c r="BG130" s="61">
        <v>0</v>
      </c>
      <c r="BH130" s="61">
        <v>0</v>
      </c>
      <c r="BI130" s="61">
        <v>0</v>
      </c>
      <c r="BJ130" s="61">
        <v>0</v>
      </c>
      <c r="BK130" s="61">
        <v>0</v>
      </c>
      <c r="BL130" s="61">
        <v>0</v>
      </c>
      <c r="BM130" s="61">
        <v>0</v>
      </c>
      <c r="BN130" s="61">
        <v>0</v>
      </c>
      <c r="BO130" s="61">
        <v>0</v>
      </c>
      <c r="BP130" s="61">
        <v>0</v>
      </c>
      <c r="BQ130" s="61">
        <v>0</v>
      </c>
      <c r="BR130" s="61">
        <v>0</v>
      </c>
      <c r="BS130" s="61">
        <v>0</v>
      </c>
      <c r="BT130" s="61">
        <v>0</v>
      </c>
      <c r="BU130" s="61">
        <v>0</v>
      </c>
      <c r="BV130" s="61">
        <v>0</v>
      </c>
      <c r="BW130" s="61">
        <v>0</v>
      </c>
      <c r="BX130" s="61">
        <v>0</v>
      </c>
      <c r="BY130" s="61">
        <v>0</v>
      </c>
      <c r="BZ130" s="61">
        <v>0</v>
      </c>
      <c r="CA130" s="61">
        <v>0</v>
      </c>
      <c r="CB130" s="61">
        <v>0</v>
      </c>
      <c r="CC130" s="61">
        <v>0</v>
      </c>
      <c r="CD130" s="61">
        <v>0</v>
      </c>
      <c r="CE130" s="61">
        <v>0</v>
      </c>
      <c r="CF130" s="61">
        <v>0</v>
      </c>
      <c r="CG130" s="61">
        <v>0</v>
      </c>
      <c r="CH130" s="61">
        <v>0</v>
      </c>
      <c r="CI130" s="61">
        <v>0</v>
      </c>
      <c r="CJ130" s="61">
        <v>0</v>
      </c>
      <c r="CK130" s="61">
        <v>0</v>
      </c>
      <c r="CL130" s="61">
        <v>0</v>
      </c>
      <c r="CM130" s="61">
        <v>0</v>
      </c>
      <c r="CN130" s="61">
        <v>0</v>
      </c>
      <c r="CO130" s="61">
        <v>0</v>
      </c>
      <c r="CP130" s="61">
        <v>0</v>
      </c>
      <c r="CQ130" s="61">
        <v>0</v>
      </c>
      <c r="CR130" s="61">
        <v>0</v>
      </c>
      <c r="CS130" s="61">
        <v>0</v>
      </c>
      <c r="CT130" s="61">
        <v>0</v>
      </c>
      <c r="CU130" s="61">
        <v>0</v>
      </c>
      <c r="CV130" s="61">
        <v>0</v>
      </c>
      <c r="CW130" s="61">
        <v>0</v>
      </c>
      <c r="CX130" s="61">
        <v>0</v>
      </c>
      <c r="CY130" s="61">
        <v>0</v>
      </c>
      <c r="CZ130" s="61">
        <v>0</v>
      </c>
      <c r="DA130" s="61">
        <v>0</v>
      </c>
      <c r="DB130" s="61">
        <v>0</v>
      </c>
      <c r="DC130" s="61">
        <v>0</v>
      </c>
      <c r="DD130" s="61">
        <v>0</v>
      </c>
      <c r="DE130" s="61">
        <v>0</v>
      </c>
      <c r="DF130" s="61">
        <v>0</v>
      </c>
      <c r="DG130" s="61">
        <v>0</v>
      </c>
      <c r="DH130" s="61">
        <v>0</v>
      </c>
      <c r="DI130" s="61">
        <v>0</v>
      </c>
      <c r="DJ130" s="61">
        <v>0</v>
      </c>
      <c r="DK130" s="61">
        <v>0</v>
      </c>
      <c r="DL130" s="61">
        <v>0</v>
      </c>
      <c r="DM130" s="61">
        <v>0</v>
      </c>
      <c r="DN130" s="63">
        <v>0</v>
      </c>
      <c r="DO130" s="61">
        <v>0</v>
      </c>
      <c r="DP130" s="61">
        <v>0</v>
      </c>
      <c r="DQ130" s="61">
        <v>0</v>
      </c>
      <c r="DR130" s="61">
        <v>0</v>
      </c>
      <c r="DS130" s="61">
        <v>0</v>
      </c>
      <c r="DT130" s="61">
        <v>0</v>
      </c>
      <c r="DU130" s="61">
        <v>0</v>
      </c>
      <c r="DV130" s="61">
        <v>0</v>
      </c>
      <c r="DW130" s="61">
        <v>0</v>
      </c>
      <c r="DX130" s="61">
        <v>0</v>
      </c>
      <c r="DY130" s="61">
        <v>0</v>
      </c>
      <c r="DZ130" s="61">
        <v>0</v>
      </c>
      <c r="EA130" s="61">
        <v>0</v>
      </c>
      <c r="EB130" s="61">
        <v>0</v>
      </c>
      <c r="EC130" s="61">
        <v>0</v>
      </c>
      <c r="ED130" s="61">
        <v>0</v>
      </c>
      <c r="EE130" s="61">
        <v>0</v>
      </c>
      <c r="EF130" s="61">
        <v>0</v>
      </c>
      <c r="EG130" s="61">
        <v>0</v>
      </c>
      <c r="EH130" s="61">
        <v>0</v>
      </c>
      <c r="EI130" s="61">
        <v>0</v>
      </c>
      <c r="EJ130" s="61">
        <v>0</v>
      </c>
      <c r="EK130" s="61">
        <v>0</v>
      </c>
      <c r="EL130" s="61">
        <v>0</v>
      </c>
      <c r="EM130" s="61">
        <v>0</v>
      </c>
      <c r="EN130" s="61">
        <v>0</v>
      </c>
      <c r="EO130" s="61">
        <v>0</v>
      </c>
      <c r="EP130" s="61">
        <v>0</v>
      </c>
      <c r="EQ130" s="61">
        <v>0</v>
      </c>
      <c r="ER130" s="61">
        <v>0</v>
      </c>
      <c r="ES130" s="61">
        <v>0</v>
      </c>
      <c r="ET130" s="61">
        <v>0</v>
      </c>
      <c r="EU130" s="61">
        <v>0</v>
      </c>
      <c r="EV130" s="61">
        <v>0</v>
      </c>
      <c r="EW130" s="61">
        <v>0</v>
      </c>
      <c r="EX130" s="61">
        <v>0</v>
      </c>
      <c r="EY130" s="66">
        <v>1</v>
      </c>
      <c r="EZ130" s="61">
        <v>0</v>
      </c>
      <c r="FA130" s="61">
        <v>0</v>
      </c>
      <c r="FB130" s="61">
        <v>0</v>
      </c>
      <c r="FC130" s="61">
        <v>0</v>
      </c>
      <c r="FD130" s="61">
        <v>0</v>
      </c>
      <c r="FE130" s="61">
        <v>0</v>
      </c>
      <c r="FF130" s="61">
        <v>0</v>
      </c>
      <c r="FG130" s="61">
        <v>0</v>
      </c>
      <c r="FH130" s="61">
        <v>0</v>
      </c>
      <c r="FI130" s="61">
        <v>0</v>
      </c>
      <c r="FJ130" s="61">
        <v>0</v>
      </c>
      <c r="FK130" s="61">
        <v>0</v>
      </c>
      <c r="FL130" s="66">
        <v>1</v>
      </c>
      <c r="FM130" s="61">
        <v>0</v>
      </c>
      <c r="FN130" s="61">
        <v>0</v>
      </c>
      <c r="FO130" s="61">
        <v>0</v>
      </c>
      <c r="FP130" s="61">
        <v>0</v>
      </c>
      <c r="FQ130" s="61">
        <v>0</v>
      </c>
      <c r="FR130" s="61">
        <v>0</v>
      </c>
      <c r="FS130" s="61">
        <v>0</v>
      </c>
      <c r="FT130" s="61">
        <v>0</v>
      </c>
      <c r="FU130" s="61">
        <v>0</v>
      </c>
      <c r="FV130" s="61">
        <v>0</v>
      </c>
      <c r="FW130" s="61">
        <v>0</v>
      </c>
      <c r="FX130" s="61">
        <v>0</v>
      </c>
      <c r="FY130" s="61">
        <v>0</v>
      </c>
      <c r="FZ130" s="61">
        <v>0</v>
      </c>
      <c r="GA130" s="61">
        <v>0</v>
      </c>
      <c r="GB130" s="61">
        <v>0</v>
      </c>
      <c r="GC130" s="66">
        <v>1</v>
      </c>
      <c r="GD130" s="66">
        <v>1</v>
      </c>
      <c r="GE130" s="66">
        <v>1</v>
      </c>
      <c r="GF130" s="66">
        <v>1</v>
      </c>
      <c r="GG130" s="66">
        <v>1</v>
      </c>
      <c r="GH130" s="66">
        <v>1</v>
      </c>
      <c r="GI130" s="66">
        <v>1</v>
      </c>
      <c r="GJ130" s="66">
        <v>1</v>
      </c>
      <c r="GK130" s="66">
        <v>1</v>
      </c>
      <c r="GL130" s="66">
        <v>1</v>
      </c>
      <c r="GM130" s="66">
        <v>1</v>
      </c>
      <c r="GN130" s="66">
        <v>1</v>
      </c>
      <c r="GO130" s="66">
        <v>1</v>
      </c>
      <c r="GP130" s="66">
        <v>1</v>
      </c>
      <c r="GQ130" s="66">
        <v>1</v>
      </c>
      <c r="GR130" s="66">
        <v>1</v>
      </c>
      <c r="GS130" s="66">
        <v>1</v>
      </c>
      <c r="GT130" s="66">
        <v>1</v>
      </c>
      <c r="GU130" s="63">
        <v>0</v>
      </c>
      <c r="GV130" s="63">
        <v>0</v>
      </c>
      <c r="GW130" s="63">
        <v>0</v>
      </c>
      <c r="GX130" s="63">
        <v>0</v>
      </c>
      <c r="GY130" s="63">
        <v>0</v>
      </c>
      <c r="GZ130" s="63">
        <v>0</v>
      </c>
      <c r="HA130" s="63">
        <v>0</v>
      </c>
      <c r="HB130" s="63">
        <v>0</v>
      </c>
      <c r="HC130" s="63">
        <v>0</v>
      </c>
      <c r="HD130" s="63">
        <v>0</v>
      </c>
      <c r="HE130" s="63">
        <v>0</v>
      </c>
      <c r="HF130" s="63">
        <v>0</v>
      </c>
      <c r="HG130" s="63">
        <v>0</v>
      </c>
      <c r="HH130" s="63"/>
      <c r="HI130" s="63"/>
      <c r="HJ130" s="63">
        <v>1804</v>
      </c>
      <c r="HK130" s="63">
        <f>SUM(G$4:HI$4)</f>
        <v>211</v>
      </c>
      <c r="HL130" s="61">
        <f>SUM(G130:HI130)</f>
        <v>20</v>
      </c>
      <c r="HM130" s="67">
        <f t="shared" si="7"/>
        <v>9.4786729857819907</v>
      </c>
      <c r="HN130" s="67"/>
      <c r="HO130" s="67"/>
      <c r="HP130" s="68"/>
      <c r="HS130" s="61" t="s">
        <v>7377</v>
      </c>
    </row>
    <row r="131" spans="1:251" x14ac:dyDescent="0.3">
      <c r="B131" s="63" t="s">
        <v>7378</v>
      </c>
      <c r="C131" s="61">
        <v>0</v>
      </c>
      <c r="D131" s="61">
        <v>0</v>
      </c>
      <c r="E131" s="61">
        <v>0</v>
      </c>
      <c r="F131" s="61">
        <v>0</v>
      </c>
      <c r="G131" s="61">
        <v>0</v>
      </c>
      <c r="H131" s="61">
        <v>0</v>
      </c>
      <c r="I131" s="61">
        <v>0</v>
      </c>
      <c r="J131" s="61">
        <v>0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61">
        <v>0</v>
      </c>
      <c r="V131" s="61">
        <v>0</v>
      </c>
      <c r="W131" s="61">
        <v>0</v>
      </c>
      <c r="X131" s="61">
        <v>0</v>
      </c>
      <c r="Y131" s="61">
        <v>0</v>
      </c>
      <c r="Z131" s="61">
        <v>0</v>
      </c>
      <c r="AA131" s="61">
        <v>0</v>
      </c>
      <c r="AB131" s="61">
        <v>0</v>
      </c>
      <c r="AC131" s="61">
        <v>0</v>
      </c>
      <c r="AD131" s="61">
        <v>0</v>
      </c>
      <c r="AE131" s="61">
        <v>0</v>
      </c>
      <c r="AF131" s="61">
        <v>0</v>
      </c>
      <c r="AG131" s="61">
        <v>0</v>
      </c>
      <c r="AH131" s="61">
        <v>0</v>
      </c>
      <c r="AI131" s="61">
        <v>0</v>
      </c>
      <c r="AJ131" s="61">
        <v>0</v>
      </c>
      <c r="AK131" s="61">
        <v>0</v>
      </c>
      <c r="AL131" s="61">
        <v>0</v>
      </c>
      <c r="AM131" s="61">
        <v>0</v>
      </c>
      <c r="AN131" s="61">
        <v>0</v>
      </c>
      <c r="AO131" s="61">
        <v>0</v>
      </c>
      <c r="AP131" s="61">
        <v>0</v>
      </c>
      <c r="AQ131" s="61">
        <v>0</v>
      </c>
      <c r="AR131" s="61">
        <v>0</v>
      </c>
      <c r="AS131" s="61">
        <v>0</v>
      </c>
      <c r="AT131" s="61">
        <v>0</v>
      </c>
      <c r="AU131" s="61">
        <v>0</v>
      </c>
      <c r="AV131" s="61">
        <v>0</v>
      </c>
      <c r="AW131" s="61">
        <v>0</v>
      </c>
      <c r="AX131" s="61">
        <v>0</v>
      </c>
      <c r="AY131" s="61">
        <v>0</v>
      </c>
      <c r="AZ131" s="61">
        <v>0</v>
      </c>
      <c r="BA131" s="61">
        <v>0</v>
      </c>
      <c r="BB131" s="61">
        <v>0</v>
      </c>
      <c r="BC131" s="61">
        <v>0</v>
      </c>
      <c r="BD131" s="61">
        <v>0</v>
      </c>
      <c r="BE131" s="61">
        <v>0</v>
      </c>
      <c r="BF131" s="61">
        <v>0</v>
      </c>
      <c r="BG131" s="61">
        <v>0</v>
      </c>
      <c r="BH131" s="61">
        <v>0</v>
      </c>
      <c r="BI131" s="61">
        <v>0</v>
      </c>
      <c r="BJ131" s="61">
        <v>0</v>
      </c>
      <c r="BK131" s="61">
        <v>0</v>
      </c>
      <c r="BL131" s="61">
        <v>0</v>
      </c>
      <c r="BM131" s="61">
        <v>0</v>
      </c>
      <c r="BN131" s="61">
        <v>0</v>
      </c>
      <c r="BO131" s="61">
        <v>0</v>
      </c>
      <c r="BP131" s="61">
        <v>0</v>
      </c>
      <c r="BQ131" s="61">
        <v>0</v>
      </c>
      <c r="BR131" s="61">
        <v>0</v>
      </c>
      <c r="BS131" s="61">
        <v>0</v>
      </c>
      <c r="BT131" s="61">
        <v>0</v>
      </c>
      <c r="BU131" s="61">
        <v>0</v>
      </c>
      <c r="BV131" s="61">
        <v>0</v>
      </c>
      <c r="BW131" s="61">
        <v>0</v>
      </c>
      <c r="BX131" s="61">
        <v>0</v>
      </c>
      <c r="BY131" s="61">
        <v>0</v>
      </c>
      <c r="BZ131" s="61">
        <v>0</v>
      </c>
      <c r="CA131" s="61">
        <v>0</v>
      </c>
      <c r="CB131" s="61">
        <v>0</v>
      </c>
      <c r="CC131" s="61">
        <v>0</v>
      </c>
      <c r="CD131" s="61">
        <v>0</v>
      </c>
      <c r="CE131" s="61">
        <v>0</v>
      </c>
      <c r="CF131" s="61">
        <v>0</v>
      </c>
      <c r="CG131" s="61">
        <v>0</v>
      </c>
      <c r="CH131" s="61">
        <v>0</v>
      </c>
      <c r="CI131" s="61">
        <v>0</v>
      </c>
      <c r="CJ131" s="61">
        <v>0</v>
      </c>
      <c r="CK131" s="61">
        <v>0</v>
      </c>
      <c r="CL131" s="61">
        <v>0</v>
      </c>
      <c r="CM131" s="61">
        <v>0</v>
      </c>
      <c r="CN131" s="61">
        <v>0</v>
      </c>
      <c r="CO131" s="61">
        <v>0</v>
      </c>
      <c r="CP131" s="61">
        <v>0</v>
      </c>
      <c r="CQ131" s="61">
        <v>0</v>
      </c>
      <c r="CR131" s="61">
        <v>0</v>
      </c>
      <c r="CS131" s="61">
        <v>0</v>
      </c>
      <c r="CT131" s="61">
        <v>0</v>
      </c>
      <c r="CU131" s="61">
        <v>0</v>
      </c>
      <c r="CV131" s="61">
        <v>0</v>
      </c>
      <c r="CW131" s="61">
        <v>0</v>
      </c>
      <c r="CX131" s="61">
        <v>0</v>
      </c>
      <c r="CY131" s="61">
        <v>0</v>
      </c>
      <c r="CZ131" s="61">
        <v>0</v>
      </c>
      <c r="DA131" s="61">
        <v>0</v>
      </c>
      <c r="DB131" s="61">
        <v>0</v>
      </c>
      <c r="DC131" s="61">
        <v>0</v>
      </c>
      <c r="DD131" s="61">
        <v>0</v>
      </c>
      <c r="DE131" s="61">
        <v>0</v>
      </c>
      <c r="DF131" s="61">
        <v>0</v>
      </c>
      <c r="DG131" s="61">
        <v>0</v>
      </c>
      <c r="DH131" s="61">
        <v>0</v>
      </c>
      <c r="DI131" s="61">
        <v>0</v>
      </c>
      <c r="DJ131" s="61">
        <v>0</v>
      </c>
      <c r="DK131" s="61">
        <v>0</v>
      </c>
      <c r="DL131" s="61">
        <v>0</v>
      </c>
      <c r="DM131" s="61">
        <v>0</v>
      </c>
      <c r="DN131" s="61">
        <v>0</v>
      </c>
      <c r="DO131" s="61">
        <v>0</v>
      </c>
      <c r="DP131" s="61">
        <v>0</v>
      </c>
      <c r="DQ131" s="61">
        <v>0</v>
      </c>
      <c r="DR131" s="61">
        <v>0</v>
      </c>
      <c r="DS131" s="61">
        <v>0</v>
      </c>
      <c r="DT131" s="61">
        <v>0</v>
      </c>
      <c r="DU131" s="61">
        <v>0</v>
      </c>
      <c r="DV131" s="61">
        <v>0</v>
      </c>
      <c r="DW131" s="61">
        <v>0</v>
      </c>
      <c r="DX131" s="61">
        <v>0</v>
      </c>
      <c r="DY131" s="61">
        <v>0</v>
      </c>
      <c r="DZ131" s="61">
        <v>0</v>
      </c>
      <c r="EA131" s="61">
        <v>0</v>
      </c>
      <c r="EB131" s="61">
        <v>0</v>
      </c>
      <c r="EC131" s="61">
        <v>0</v>
      </c>
      <c r="ED131" s="61">
        <v>0</v>
      </c>
      <c r="EE131" s="61">
        <v>0</v>
      </c>
      <c r="EF131" s="61">
        <v>0</v>
      </c>
      <c r="EG131" s="61">
        <v>0</v>
      </c>
      <c r="EH131" s="61">
        <v>0</v>
      </c>
      <c r="EI131" s="61">
        <v>0</v>
      </c>
      <c r="EJ131" s="61">
        <v>0</v>
      </c>
      <c r="EK131" s="61">
        <v>0</v>
      </c>
      <c r="EL131" s="61">
        <v>0</v>
      </c>
      <c r="EM131" s="61">
        <v>0</v>
      </c>
      <c r="EN131" s="61">
        <v>0</v>
      </c>
      <c r="EO131" s="61">
        <v>0</v>
      </c>
      <c r="EP131" s="61">
        <v>0</v>
      </c>
      <c r="EQ131" s="61">
        <v>0</v>
      </c>
      <c r="ER131" s="61">
        <v>0</v>
      </c>
      <c r="ES131" s="61">
        <v>0</v>
      </c>
      <c r="ET131" s="61">
        <v>0</v>
      </c>
      <c r="EU131" s="61">
        <v>0</v>
      </c>
      <c r="EV131" s="61">
        <v>0</v>
      </c>
      <c r="EW131" s="61">
        <v>0</v>
      </c>
      <c r="EX131" s="61">
        <v>0</v>
      </c>
      <c r="EY131" s="61">
        <v>0</v>
      </c>
      <c r="EZ131" s="61">
        <v>0</v>
      </c>
      <c r="FA131" s="61">
        <v>0</v>
      </c>
      <c r="FB131" s="61">
        <v>0</v>
      </c>
      <c r="FC131" s="61">
        <v>0</v>
      </c>
      <c r="FD131" s="61">
        <v>0</v>
      </c>
      <c r="FE131" s="61">
        <v>0</v>
      </c>
      <c r="FF131" s="61">
        <v>0</v>
      </c>
      <c r="FG131" s="61">
        <v>0</v>
      </c>
      <c r="FH131" s="61">
        <v>0</v>
      </c>
      <c r="FI131" s="65">
        <v>0</v>
      </c>
      <c r="FJ131" s="61">
        <v>0</v>
      </c>
      <c r="FK131" s="61">
        <v>0</v>
      </c>
      <c r="FL131" s="61">
        <v>0</v>
      </c>
      <c r="FM131" s="61">
        <v>0</v>
      </c>
      <c r="FN131" s="61">
        <v>0</v>
      </c>
      <c r="FO131" s="61">
        <v>0</v>
      </c>
      <c r="FP131" s="61">
        <v>0</v>
      </c>
      <c r="FQ131" s="66">
        <v>1</v>
      </c>
      <c r="FR131" s="61">
        <v>0</v>
      </c>
      <c r="FS131" s="61">
        <v>0</v>
      </c>
      <c r="FT131" s="61">
        <v>0</v>
      </c>
      <c r="FU131" s="61">
        <v>0</v>
      </c>
      <c r="FV131" s="63">
        <v>0</v>
      </c>
      <c r="FW131" s="63">
        <v>0</v>
      </c>
      <c r="FX131" s="63">
        <v>0</v>
      </c>
      <c r="FY131" s="66">
        <v>1</v>
      </c>
      <c r="FZ131" s="66">
        <v>1</v>
      </c>
      <c r="GA131" s="63">
        <v>0</v>
      </c>
      <c r="GB131" s="66">
        <v>1</v>
      </c>
      <c r="GC131" s="66">
        <v>1</v>
      </c>
      <c r="GD131" s="66">
        <v>1</v>
      </c>
      <c r="GE131" s="66">
        <v>1</v>
      </c>
      <c r="GF131" s="66">
        <v>1</v>
      </c>
      <c r="GG131" s="63">
        <v>0</v>
      </c>
      <c r="GH131" s="66">
        <v>1</v>
      </c>
      <c r="GI131" s="66">
        <v>1</v>
      </c>
      <c r="GJ131" s="66">
        <v>1</v>
      </c>
      <c r="GK131" s="66">
        <v>1</v>
      </c>
      <c r="GL131" s="66">
        <v>1</v>
      </c>
      <c r="GM131" s="66">
        <v>1</v>
      </c>
      <c r="GN131" s="66">
        <v>1</v>
      </c>
      <c r="GO131" s="63">
        <v>0</v>
      </c>
      <c r="GP131" s="63">
        <v>0</v>
      </c>
      <c r="GQ131" s="63">
        <v>0</v>
      </c>
      <c r="GR131" s="63">
        <v>0</v>
      </c>
      <c r="GS131" s="63">
        <v>0</v>
      </c>
      <c r="GT131" s="63">
        <v>0</v>
      </c>
      <c r="GU131" s="63">
        <v>0</v>
      </c>
      <c r="GV131" s="63">
        <v>0</v>
      </c>
      <c r="GW131" s="63">
        <v>0</v>
      </c>
      <c r="GX131" s="63">
        <v>0</v>
      </c>
      <c r="GY131" s="63">
        <v>0</v>
      </c>
      <c r="GZ131" s="63">
        <v>0</v>
      </c>
      <c r="HA131" s="63">
        <v>0</v>
      </c>
      <c r="HB131" s="63">
        <v>0</v>
      </c>
      <c r="HC131" s="63">
        <v>0</v>
      </c>
      <c r="HD131" s="63">
        <v>0</v>
      </c>
      <c r="HE131" s="66">
        <v>1</v>
      </c>
      <c r="HF131" s="63">
        <v>0</v>
      </c>
      <c r="HG131" s="63">
        <v>0</v>
      </c>
      <c r="HH131" s="63"/>
      <c r="HI131" s="63"/>
      <c r="HJ131" s="63">
        <v>1962</v>
      </c>
      <c r="HK131" s="63">
        <f>SUM(FI$4:HI$4)</f>
        <v>53</v>
      </c>
      <c r="HL131" s="61">
        <f>SUM(FI131:HI131)</f>
        <v>16</v>
      </c>
      <c r="HM131" s="67">
        <f t="shared" si="7"/>
        <v>30.188679245283019</v>
      </c>
      <c r="HN131" s="67"/>
      <c r="HO131" s="67"/>
      <c r="HP131" s="68"/>
    </row>
    <row r="132" spans="1:251" x14ac:dyDescent="0.3">
      <c r="B132" s="60" t="s">
        <v>7379</v>
      </c>
      <c r="C132" s="63">
        <v>0</v>
      </c>
      <c r="D132" s="63">
        <v>0</v>
      </c>
      <c r="E132" s="63">
        <v>0</v>
      </c>
      <c r="F132" s="63">
        <v>0</v>
      </c>
      <c r="G132" s="63">
        <v>0</v>
      </c>
      <c r="H132" s="63">
        <v>0</v>
      </c>
      <c r="I132" s="63">
        <v>0</v>
      </c>
      <c r="J132" s="63">
        <v>0</v>
      </c>
      <c r="K132" s="63">
        <v>0</v>
      </c>
      <c r="L132" s="63">
        <v>0</v>
      </c>
      <c r="M132" s="63">
        <v>0</v>
      </c>
      <c r="N132" s="63">
        <v>0</v>
      </c>
      <c r="O132" s="63">
        <v>0</v>
      </c>
      <c r="P132" s="63">
        <v>0</v>
      </c>
      <c r="Q132" s="63">
        <v>0</v>
      </c>
      <c r="R132" s="63">
        <v>0</v>
      </c>
      <c r="S132" s="63">
        <v>0</v>
      </c>
      <c r="T132" s="63">
        <v>0</v>
      </c>
      <c r="U132" s="63">
        <v>0</v>
      </c>
      <c r="V132" s="63">
        <v>0</v>
      </c>
      <c r="W132" s="63">
        <v>0</v>
      </c>
      <c r="X132" s="63">
        <v>0</v>
      </c>
      <c r="Y132" s="63">
        <v>0</v>
      </c>
      <c r="Z132" s="63">
        <v>0</v>
      </c>
      <c r="AA132" s="63">
        <v>0</v>
      </c>
      <c r="AB132" s="63">
        <v>0</v>
      </c>
      <c r="AC132" s="63">
        <v>0</v>
      </c>
      <c r="AD132" s="63">
        <v>0</v>
      </c>
      <c r="AE132" s="63">
        <v>0</v>
      </c>
      <c r="AF132" s="63">
        <v>0</v>
      </c>
      <c r="AG132" s="63">
        <v>0</v>
      </c>
      <c r="AH132" s="63">
        <v>0</v>
      </c>
      <c r="AI132" s="63">
        <v>0</v>
      </c>
      <c r="AJ132" s="63">
        <v>0</v>
      </c>
      <c r="AK132" s="63">
        <v>0</v>
      </c>
      <c r="AL132" s="63">
        <v>0</v>
      </c>
      <c r="AM132" s="63">
        <v>0</v>
      </c>
      <c r="AN132" s="63">
        <v>0</v>
      </c>
      <c r="AO132" s="63">
        <v>0</v>
      </c>
      <c r="AP132" s="63">
        <v>0</v>
      </c>
      <c r="AQ132" s="63">
        <v>0</v>
      </c>
      <c r="AR132" s="63">
        <v>0</v>
      </c>
      <c r="AS132" s="63">
        <v>0</v>
      </c>
      <c r="AT132" s="63">
        <v>0</v>
      </c>
      <c r="AU132" s="63">
        <v>0</v>
      </c>
      <c r="AV132" s="63">
        <v>0</v>
      </c>
      <c r="AW132" s="63">
        <v>0</v>
      </c>
      <c r="AX132" s="63">
        <v>0</v>
      </c>
      <c r="AY132" s="63">
        <v>0</v>
      </c>
      <c r="AZ132" s="63">
        <v>0</v>
      </c>
      <c r="BA132" s="63">
        <v>0</v>
      </c>
      <c r="BB132" s="63">
        <v>0</v>
      </c>
      <c r="BC132" s="63">
        <v>0</v>
      </c>
      <c r="BD132" s="63">
        <v>0</v>
      </c>
      <c r="BE132" s="63">
        <v>0</v>
      </c>
      <c r="BF132" s="63">
        <v>0</v>
      </c>
      <c r="BG132" s="63">
        <v>0</v>
      </c>
      <c r="BH132" s="63">
        <v>0</v>
      </c>
      <c r="BI132" s="63">
        <v>0</v>
      </c>
      <c r="BJ132" s="63">
        <v>0</v>
      </c>
      <c r="BK132" s="63">
        <v>0</v>
      </c>
      <c r="BL132" s="63">
        <v>0</v>
      </c>
      <c r="BM132" s="63">
        <v>0</v>
      </c>
      <c r="BN132" s="63">
        <v>0</v>
      </c>
      <c r="BO132" s="63">
        <v>0</v>
      </c>
      <c r="BP132" s="63">
        <v>0</v>
      </c>
      <c r="BQ132" s="63">
        <v>0</v>
      </c>
      <c r="BR132" s="63">
        <v>0</v>
      </c>
      <c r="BS132" s="63">
        <v>0</v>
      </c>
      <c r="BT132" s="63">
        <v>0</v>
      </c>
      <c r="BU132" s="63">
        <v>0</v>
      </c>
      <c r="BV132" s="63">
        <v>0</v>
      </c>
      <c r="BW132" s="63">
        <v>0</v>
      </c>
      <c r="BX132" s="63">
        <v>0</v>
      </c>
      <c r="BY132" s="63">
        <v>0</v>
      </c>
      <c r="BZ132" s="63">
        <v>0</v>
      </c>
      <c r="CA132" s="63">
        <v>0</v>
      </c>
      <c r="CB132" s="63">
        <v>0</v>
      </c>
      <c r="CC132" s="63">
        <v>0</v>
      </c>
      <c r="CD132" s="63">
        <v>0</v>
      </c>
      <c r="CE132" s="63">
        <v>0</v>
      </c>
      <c r="CF132" s="63">
        <v>0</v>
      </c>
      <c r="CG132" s="63">
        <v>0</v>
      </c>
      <c r="CH132" s="63">
        <v>0</v>
      </c>
      <c r="CI132" s="63">
        <v>0</v>
      </c>
      <c r="CJ132" s="63">
        <v>0</v>
      </c>
      <c r="CK132" s="63">
        <v>0</v>
      </c>
      <c r="CL132" s="63">
        <v>0</v>
      </c>
      <c r="CM132" s="63">
        <v>0</v>
      </c>
      <c r="CN132" s="63">
        <v>0</v>
      </c>
      <c r="CO132" s="63">
        <v>0</v>
      </c>
      <c r="CP132" s="63">
        <v>0</v>
      </c>
      <c r="CQ132" s="63">
        <v>0</v>
      </c>
      <c r="CR132" s="63">
        <v>0</v>
      </c>
      <c r="CS132" s="63">
        <v>0</v>
      </c>
      <c r="CT132" s="63">
        <v>0</v>
      </c>
      <c r="CU132" s="63">
        <v>0</v>
      </c>
      <c r="CV132" s="63">
        <v>0</v>
      </c>
      <c r="CW132" s="63">
        <v>0</v>
      </c>
      <c r="CX132" s="63">
        <v>0</v>
      </c>
      <c r="CY132" s="63">
        <v>0</v>
      </c>
      <c r="CZ132" s="63">
        <v>0</v>
      </c>
      <c r="DA132" s="63">
        <v>0</v>
      </c>
      <c r="DB132" s="63">
        <v>0</v>
      </c>
      <c r="DC132" s="63">
        <v>0</v>
      </c>
      <c r="DD132" s="63">
        <v>0</v>
      </c>
      <c r="DE132" s="63">
        <v>0</v>
      </c>
      <c r="DF132" s="63">
        <v>0</v>
      </c>
      <c r="DG132" s="63">
        <v>0</v>
      </c>
      <c r="DH132" s="63">
        <v>0</v>
      </c>
      <c r="DI132" s="63">
        <v>0</v>
      </c>
      <c r="DJ132" s="63">
        <v>0</v>
      </c>
      <c r="DK132" s="63">
        <v>0</v>
      </c>
      <c r="DL132" s="63">
        <v>0</v>
      </c>
      <c r="DM132" s="63">
        <v>0</v>
      </c>
      <c r="DN132" s="63">
        <v>0</v>
      </c>
      <c r="DO132" s="63">
        <v>0</v>
      </c>
      <c r="DP132" s="63">
        <v>0</v>
      </c>
      <c r="DQ132" s="63">
        <v>0</v>
      </c>
      <c r="DR132" s="63">
        <v>0</v>
      </c>
      <c r="DS132" s="63">
        <v>0</v>
      </c>
      <c r="DT132" s="63">
        <v>0</v>
      </c>
      <c r="DU132" s="63">
        <v>0</v>
      </c>
      <c r="DV132" s="63">
        <v>0</v>
      </c>
      <c r="DW132" s="63">
        <v>0</v>
      </c>
      <c r="DX132" s="63">
        <v>0</v>
      </c>
      <c r="DY132" s="63">
        <v>0</v>
      </c>
      <c r="DZ132" s="63">
        <v>0</v>
      </c>
      <c r="EA132" s="63">
        <v>0</v>
      </c>
      <c r="EB132" s="63">
        <v>0</v>
      </c>
      <c r="EC132" s="63">
        <v>0</v>
      </c>
      <c r="ED132" s="63">
        <v>0</v>
      </c>
      <c r="EE132" s="63">
        <v>0</v>
      </c>
      <c r="EF132" s="63">
        <v>0</v>
      </c>
      <c r="EG132" s="63">
        <v>0</v>
      </c>
      <c r="EH132" s="63">
        <v>0</v>
      </c>
      <c r="EI132" s="63">
        <v>0</v>
      </c>
      <c r="EJ132" s="63">
        <v>0</v>
      </c>
      <c r="EK132" s="63">
        <v>0</v>
      </c>
      <c r="EL132" s="63">
        <v>0</v>
      </c>
      <c r="EM132" s="63">
        <v>0</v>
      </c>
      <c r="EN132" s="63">
        <v>0</v>
      </c>
      <c r="EO132" s="63">
        <v>0</v>
      </c>
      <c r="EP132" s="63">
        <v>0</v>
      </c>
      <c r="EQ132" s="63">
        <v>0</v>
      </c>
      <c r="ER132" s="63">
        <v>0</v>
      </c>
      <c r="ES132" s="63">
        <v>0</v>
      </c>
      <c r="ET132" s="63">
        <v>0</v>
      </c>
      <c r="EU132" s="63">
        <v>0</v>
      </c>
      <c r="EV132" s="63">
        <v>0</v>
      </c>
      <c r="EW132" s="63">
        <v>0</v>
      </c>
      <c r="EX132" s="63">
        <v>0</v>
      </c>
      <c r="EY132" s="63">
        <v>0</v>
      </c>
      <c r="EZ132" s="63">
        <v>0</v>
      </c>
      <c r="FA132" s="63">
        <v>0</v>
      </c>
      <c r="FB132" s="63">
        <v>0</v>
      </c>
      <c r="FC132" s="63">
        <v>0</v>
      </c>
      <c r="FD132" s="63">
        <v>0</v>
      </c>
      <c r="FE132" s="63">
        <v>0</v>
      </c>
      <c r="FF132" s="63">
        <v>0</v>
      </c>
      <c r="FG132" s="63">
        <v>0</v>
      </c>
      <c r="FH132" s="63">
        <v>0</v>
      </c>
      <c r="FI132" s="63">
        <v>0</v>
      </c>
      <c r="FJ132" s="63">
        <v>0</v>
      </c>
      <c r="FK132" s="63">
        <v>0</v>
      </c>
      <c r="FL132" s="63">
        <v>0</v>
      </c>
      <c r="FM132" s="63">
        <v>0</v>
      </c>
      <c r="FN132" s="63">
        <v>0</v>
      </c>
      <c r="FO132" s="63">
        <v>0</v>
      </c>
      <c r="FP132" s="63">
        <v>0</v>
      </c>
      <c r="FQ132" s="63">
        <v>0</v>
      </c>
      <c r="FR132" s="63">
        <v>0</v>
      </c>
      <c r="FS132" s="63">
        <v>0</v>
      </c>
      <c r="FT132" s="63">
        <v>0</v>
      </c>
      <c r="FU132" s="63">
        <v>0</v>
      </c>
      <c r="FV132" s="63">
        <v>0</v>
      </c>
      <c r="FW132" s="63">
        <v>0</v>
      </c>
      <c r="FX132" s="63">
        <v>0</v>
      </c>
      <c r="FY132" s="63">
        <v>0</v>
      </c>
      <c r="FZ132" s="63">
        <v>0</v>
      </c>
      <c r="GA132" s="63">
        <v>0</v>
      </c>
      <c r="GB132" s="63">
        <v>0</v>
      </c>
      <c r="GC132" s="63">
        <v>0</v>
      </c>
      <c r="GD132" s="63">
        <v>0</v>
      </c>
      <c r="GE132" s="63">
        <v>0</v>
      </c>
      <c r="GF132" s="63">
        <v>0</v>
      </c>
      <c r="GG132" s="63">
        <v>0</v>
      </c>
      <c r="GH132" s="63">
        <v>0</v>
      </c>
      <c r="GI132" s="63">
        <v>0</v>
      </c>
      <c r="GJ132" s="63">
        <v>0</v>
      </c>
      <c r="GK132" s="63">
        <v>0</v>
      </c>
      <c r="GL132" s="63">
        <v>0</v>
      </c>
      <c r="GM132" s="63">
        <v>0</v>
      </c>
      <c r="GN132" s="63">
        <v>0</v>
      </c>
      <c r="GO132" s="63">
        <v>0</v>
      </c>
      <c r="GP132" s="63">
        <v>0</v>
      </c>
      <c r="GQ132" s="63">
        <v>0</v>
      </c>
      <c r="GR132" s="63">
        <v>0</v>
      </c>
      <c r="GS132" s="63">
        <v>0</v>
      </c>
      <c r="GT132" s="63">
        <v>0</v>
      </c>
      <c r="GU132" s="63">
        <v>0</v>
      </c>
      <c r="GV132" s="63">
        <v>0</v>
      </c>
      <c r="GW132" s="63">
        <v>0</v>
      </c>
      <c r="GX132" s="63">
        <v>0</v>
      </c>
      <c r="GY132" s="63">
        <v>0</v>
      </c>
      <c r="GZ132" s="63">
        <v>0</v>
      </c>
      <c r="HA132" s="63">
        <v>0</v>
      </c>
      <c r="HB132" s="63">
        <v>0</v>
      </c>
      <c r="HC132" s="63">
        <v>0</v>
      </c>
      <c r="HD132" s="63">
        <v>0</v>
      </c>
      <c r="HE132" s="63">
        <v>0</v>
      </c>
      <c r="HF132" s="66">
        <v>1</v>
      </c>
      <c r="HG132" s="66">
        <v>1</v>
      </c>
      <c r="HH132" s="66"/>
      <c r="HI132" s="66"/>
      <c r="HJ132" s="63">
        <v>1983</v>
      </c>
      <c r="HK132" s="63">
        <f>SUM(GD$4:HI$4)</f>
        <v>32</v>
      </c>
      <c r="HL132" s="61">
        <f>SUM(GD132:HI132)</f>
        <v>2</v>
      </c>
      <c r="HM132" s="67">
        <f t="shared" si="7"/>
        <v>6.25</v>
      </c>
      <c r="HN132" s="67"/>
      <c r="HO132" s="67"/>
      <c r="HP132" s="68"/>
    </row>
    <row r="133" spans="1:251" x14ac:dyDescent="0.3">
      <c r="B133" s="63" t="s">
        <v>7380</v>
      </c>
      <c r="C133" s="61">
        <v>0</v>
      </c>
      <c r="D133" s="61">
        <v>0</v>
      </c>
      <c r="E133" s="61">
        <v>0</v>
      </c>
      <c r="F133" s="61">
        <v>0</v>
      </c>
      <c r="G133" s="61">
        <v>0</v>
      </c>
      <c r="H133" s="61">
        <v>0</v>
      </c>
      <c r="I133" s="61">
        <v>0</v>
      </c>
      <c r="J133" s="61">
        <v>0</v>
      </c>
      <c r="K133" s="61">
        <v>0</v>
      </c>
      <c r="L133" s="61">
        <v>0</v>
      </c>
      <c r="M133" s="61">
        <v>0</v>
      </c>
      <c r="N133" s="61">
        <v>0</v>
      </c>
      <c r="O133" s="61">
        <v>0</v>
      </c>
      <c r="P133" s="61">
        <v>0</v>
      </c>
      <c r="Q133" s="61">
        <v>0</v>
      </c>
      <c r="R133" s="61">
        <v>0</v>
      </c>
      <c r="S133" s="61">
        <v>0</v>
      </c>
      <c r="T133" s="61">
        <v>0</v>
      </c>
      <c r="U133" s="61">
        <v>0</v>
      </c>
      <c r="V133" s="61">
        <v>0</v>
      </c>
      <c r="W133" s="61">
        <v>0</v>
      </c>
      <c r="X133" s="61">
        <v>0</v>
      </c>
      <c r="Y133" s="61">
        <v>0</v>
      </c>
      <c r="Z133" s="61">
        <v>0</v>
      </c>
      <c r="AA133" s="61">
        <v>0</v>
      </c>
      <c r="AB133" s="61">
        <v>0</v>
      </c>
      <c r="AC133" s="61">
        <v>0</v>
      </c>
      <c r="AD133" s="61">
        <v>0</v>
      </c>
      <c r="AE133" s="61">
        <v>0</v>
      </c>
      <c r="AF133" s="61">
        <v>0</v>
      </c>
      <c r="AG133" s="61">
        <v>0</v>
      </c>
      <c r="AH133" s="61">
        <v>0</v>
      </c>
      <c r="AI133" s="61">
        <v>0</v>
      </c>
      <c r="AJ133" s="61">
        <v>0</v>
      </c>
      <c r="AK133" s="61">
        <v>0</v>
      </c>
      <c r="AL133" s="61">
        <v>0</v>
      </c>
      <c r="AM133" s="61">
        <v>0</v>
      </c>
      <c r="AN133" s="61">
        <v>0</v>
      </c>
      <c r="AO133" s="61">
        <v>0</v>
      </c>
      <c r="AP133" s="61">
        <v>0</v>
      </c>
      <c r="AQ133" s="61">
        <v>0</v>
      </c>
      <c r="AR133" s="61">
        <v>0</v>
      </c>
      <c r="AS133" s="61">
        <v>0</v>
      </c>
      <c r="AT133" s="61">
        <v>0</v>
      </c>
      <c r="AU133" s="61">
        <v>0</v>
      </c>
      <c r="AV133" s="61">
        <v>0</v>
      </c>
      <c r="AW133" s="61">
        <v>0</v>
      </c>
      <c r="AX133" s="61">
        <v>0</v>
      </c>
      <c r="AY133" s="61">
        <v>0</v>
      </c>
      <c r="AZ133" s="61">
        <v>0</v>
      </c>
      <c r="BA133" s="61">
        <v>0</v>
      </c>
      <c r="BB133" s="61">
        <v>0</v>
      </c>
      <c r="BC133" s="61">
        <v>0</v>
      </c>
      <c r="BD133" s="61">
        <v>0</v>
      </c>
      <c r="BE133" s="61">
        <v>0</v>
      </c>
      <c r="BF133" s="61">
        <v>0</v>
      </c>
      <c r="BG133" s="61">
        <v>0</v>
      </c>
      <c r="BH133" s="61">
        <v>0</v>
      </c>
      <c r="BI133" s="61">
        <v>0</v>
      </c>
      <c r="BJ133" s="61">
        <v>0</v>
      </c>
      <c r="BK133" s="61">
        <v>0</v>
      </c>
      <c r="BL133" s="61">
        <v>0</v>
      </c>
      <c r="BM133" s="61">
        <v>0</v>
      </c>
      <c r="BN133" s="61">
        <v>0</v>
      </c>
      <c r="BO133" s="61">
        <v>0</v>
      </c>
      <c r="BP133" s="61">
        <v>0</v>
      </c>
      <c r="BQ133" s="61">
        <v>0</v>
      </c>
      <c r="BR133" s="61">
        <v>0</v>
      </c>
      <c r="BS133" s="61">
        <v>0</v>
      </c>
      <c r="BT133" s="61">
        <v>0</v>
      </c>
      <c r="BU133" s="61">
        <v>0</v>
      </c>
      <c r="BV133" s="61">
        <v>0</v>
      </c>
      <c r="BW133" s="61">
        <v>0</v>
      </c>
      <c r="BX133" s="61">
        <v>0</v>
      </c>
      <c r="BY133" s="61">
        <v>0</v>
      </c>
      <c r="BZ133" s="61">
        <v>0</v>
      </c>
      <c r="CA133" s="61">
        <v>0</v>
      </c>
      <c r="CB133" s="61">
        <v>0</v>
      </c>
      <c r="CC133" s="61">
        <v>0</v>
      </c>
      <c r="CD133" s="61">
        <v>0</v>
      </c>
      <c r="CE133" s="61">
        <v>0</v>
      </c>
      <c r="CF133" s="61">
        <v>0</v>
      </c>
      <c r="CG133" s="61">
        <v>0</v>
      </c>
      <c r="CH133" s="61">
        <v>0</v>
      </c>
      <c r="CI133" s="61">
        <v>0</v>
      </c>
      <c r="CJ133" s="61">
        <v>0</v>
      </c>
      <c r="CK133" s="61">
        <v>0</v>
      </c>
      <c r="CL133" s="61">
        <v>0</v>
      </c>
      <c r="CM133" s="61">
        <v>0</v>
      </c>
      <c r="CN133" s="61">
        <v>0</v>
      </c>
      <c r="CO133" s="61">
        <v>0</v>
      </c>
      <c r="CP133" s="61">
        <v>0</v>
      </c>
      <c r="CQ133" s="61">
        <v>0</v>
      </c>
      <c r="CR133" s="61">
        <v>0</v>
      </c>
      <c r="CS133" s="61">
        <v>0</v>
      </c>
      <c r="CT133" s="61">
        <v>0</v>
      </c>
      <c r="CU133" s="61">
        <v>0</v>
      </c>
      <c r="CV133" s="61">
        <v>0</v>
      </c>
      <c r="CW133" s="61">
        <v>0</v>
      </c>
      <c r="CX133" s="61">
        <v>0</v>
      </c>
      <c r="CY133" s="61">
        <v>0</v>
      </c>
      <c r="CZ133" s="61">
        <v>0</v>
      </c>
      <c r="DA133" s="61">
        <v>0</v>
      </c>
      <c r="DB133" s="61">
        <v>0</v>
      </c>
      <c r="DC133" s="61">
        <v>0</v>
      </c>
      <c r="DD133" s="61">
        <v>0</v>
      </c>
      <c r="DE133" s="61">
        <v>0</v>
      </c>
      <c r="DF133" s="61">
        <v>0</v>
      </c>
      <c r="DG133" s="61">
        <v>0</v>
      </c>
      <c r="DH133" s="61">
        <v>0</v>
      </c>
      <c r="DI133" s="61">
        <v>0</v>
      </c>
      <c r="DJ133" s="61">
        <v>0</v>
      </c>
      <c r="DK133" s="61">
        <v>0</v>
      </c>
      <c r="DL133" s="61">
        <v>0</v>
      </c>
      <c r="DM133" s="61">
        <v>0</v>
      </c>
      <c r="DN133" s="61">
        <v>0</v>
      </c>
      <c r="DO133" s="61">
        <v>0</v>
      </c>
      <c r="DP133" s="61">
        <v>0</v>
      </c>
      <c r="DQ133" s="61">
        <v>0</v>
      </c>
      <c r="DR133" s="61">
        <v>0</v>
      </c>
      <c r="DS133" s="61">
        <v>0</v>
      </c>
      <c r="DT133" s="61">
        <v>0</v>
      </c>
      <c r="DU133" s="61">
        <v>0</v>
      </c>
      <c r="DV133" s="61">
        <v>0</v>
      </c>
      <c r="DW133" s="61">
        <v>0</v>
      </c>
      <c r="DX133" s="61">
        <v>0</v>
      </c>
      <c r="DY133" s="61">
        <v>0</v>
      </c>
      <c r="DZ133" s="61">
        <v>0</v>
      </c>
      <c r="EA133" s="61">
        <v>0</v>
      </c>
      <c r="EB133" s="61">
        <v>0</v>
      </c>
      <c r="EC133" s="61">
        <v>0</v>
      </c>
      <c r="ED133" s="61">
        <v>0</v>
      </c>
      <c r="EE133" s="61">
        <v>0</v>
      </c>
      <c r="EF133" s="61">
        <v>0</v>
      </c>
      <c r="EG133" s="61">
        <v>0</v>
      </c>
      <c r="EH133" s="61">
        <v>0</v>
      </c>
      <c r="EI133" s="61">
        <v>0</v>
      </c>
      <c r="EJ133" s="61">
        <v>0</v>
      </c>
      <c r="EK133" s="61">
        <v>0</v>
      </c>
      <c r="EL133" s="61">
        <v>0</v>
      </c>
      <c r="EM133" s="61">
        <v>0</v>
      </c>
      <c r="EN133" s="61">
        <v>0</v>
      </c>
      <c r="EO133" s="61">
        <v>0</v>
      </c>
      <c r="EP133" s="61">
        <v>0</v>
      </c>
      <c r="EQ133" s="61">
        <v>0</v>
      </c>
      <c r="ER133" s="61">
        <v>0</v>
      </c>
      <c r="ES133" s="61">
        <v>0</v>
      </c>
      <c r="ET133" s="61">
        <v>0</v>
      </c>
      <c r="EU133" s="61">
        <v>0</v>
      </c>
      <c r="EV133" s="61">
        <v>0</v>
      </c>
      <c r="EW133" s="61">
        <v>0</v>
      </c>
      <c r="EX133" s="61">
        <v>0</v>
      </c>
      <c r="EY133" s="61">
        <v>0</v>
      </c>
      <c r="EZ133" s="61">
        <v>0</v>
      </c>
      <c r="FA133" s="61">
        <v>0</v>
      </c>
      <c r="FB133" s="61">
        <v>0</v>
      </c>
      <c r="FC133" s="61">
        <v>0</v>
      </c>
      <c r="FD133" s="61">
        <v>0</v>
      </c>
      <c r="FE133" s="61">
        <v>0</v>
      </c>
      <c r="FF133" s="61">
        <v>0</v>
      </c>
      <c r="FG133" s="61">
        <v>0</v>
      </c>
      <c r="FH133" s="61">
        <v>0</v>
      </c>
      <c r="FI133" s="65">
        <v>0</v>
      </c>
      <c r="FJ133" s="61">
        <v>0</v>
      </c>
      <c r="FK133" s="61">
        <v>0</v>
      </c>
      <c r="FL133" s="61">
        <v>0</v>
      </c>
      <c r="FM133" s="61">
        <v>0</v>
      </c>
      <c r="FN133" s="61">
        <v>0</v>
      </c>
      <c r="FO133" s="61">
        <v>0</v>
      </c>
      <c r="FP133" s="61">
        <v>0</v>
      </c>
      <c r="FQ133" s="61">
        <v>0</v>
      </c>
      <c r="FR133" s="61">
        <v>0</v>
      </c>
      <c r="FS133" s="61">
        <v>0</v>
      </c>
      <c r="FT133" s="61">
        <v>0</v>
      </c>
      <c r="FU133" s="61">
        <v>0</v>
      </c>
      <c r="FV133" s="63">
        <v>0</v>
      </c>
      <c r="FW133" s="63">
        <v>0</v>
      </c>
      <c r="FX133" s="63">
        <v>0</v>
      </c>
      <c r="FY133" s="63">
        <v>0</v>
      </c>
      <c r="FZ133" s="63">
        <v>0</v>
      </c>
      <c r="GA133" s="63">
        <v>0</v>
      </c>
      <c r="GB133" s="63">
        <v>0</v>
      </c>
      <c r="GC133" s="63">
        <v>0</v>
      </c>
      <c r="GD133" s="63">
        <v>0</v>
      </c>
      <c r="GE133" s="63">
        <v>0</v>
      </c>
      <c r="GF133" s="63">
        <v>0</v>
      </c>
      <c r="GG133" s="63">
        <v>0</v>
      </c>
      <c r="GH133" s="63">
        <v>0</v>
      </c>
      <c r="GI133" s="66">
        <v>1</v>
      </c>
      <c r="GJ133" s="66">
        <v>1</v>
      </c>
      <c r="GK133" s="63">
        <v>0</v>
      </c>
      <c r="GL133" s="63">
        <v>0</v>
      </c>
      <c r="GM133" s="63">
        <v>0</v>
      </c>
      <c r="GN133" s="63">
        <v>0</v>
      </c>
      <c r="GO133" s="63">
        <v>0</v>
      </c>
      <c r="GP133" s="63">
        <v>0</v>
      </c>
      <c r="GQ133" s="63">
        <v>0</v>
      </c>
      <c r="GR133" s="63">
        <v>0</v>
      </c>
      <c r="GS133" s="63">
        <v>0</v>
      </c>
      <c r="GT133" s="63">
        <v>0</v>
      </c>
      <c r="GU133" s="63">
        <v>0</v>
      </c>
      <c r="GV133" s="63">
        <v>0</v>
      </c>
      <c r="GW133" s="63">
        <v>0</v>
      </c>
      <c r="GX133" s="63">
        <v>0</v>
      </c>
      <c r="GY133" s="63">
        <v>0</v>
      </c>
      <c r="GZ133" s="63">
        <v>0</v>
      </c>
      <c r="HA133" s="63">
        <v>0</v>
      </c>
      <c r="HB133" s="63">
        <v>0</v>
      </c>
      <c r="HC133" s="63">
        <v>0</v>
      </c>
      <c r="HD133" s="63">
        <v>0</v>
      </c>
      <c r="HE133" s="63">
        <v>0</v>
      </c>
      <c r="HF133" s="63">
        <v>0</v>
      </c>
      <c r="HG133" s="63">
        <v>0</v>
      </c>
      <c r="HH133" s="63"/>
      <c r="HI133" s="63"/>
      <c r="HJ133" s="63">
        <v>1962</v>
      </c>
      <c r="HK133" s="63">
        <f>SUM(FI$4:HI$4)</f>
        <v>53</v>
      </c>
      <c r="HL133" s="61">
        <f>SUM(FI133:HI133)</f>
        <v>2</v>
      </c>
      <c r="HM133" s="67">
        <f t="shared" si="7"/>
        <v>3.7735849056603774</v>
      </c>
      <c r="HN133" s="67"/>
      <c r="HO133" s="67"/>
      <c r="HP133" s="68"/>
    </row>
    <row r="134" spans="1:251" x14ac:dyDescent="0.3">
      <c r="A134" s="61" t="s">
        <v>7305</v>
      </c>
      <c r="B134" s="63" t="s">
        <v>7381</v>
      </c>
      <c r="C134" s="61">
        <v>0</v>
      </c>
      <c r="D134" s="61">
        <v>0</v>
      </c>
      <c r="E134" s="61">
        <v>0</v>
      </c>
      <c r="F134" s="61">
        <v>0</v>
      </c>
      <c r="G134" s="61">
        <v>0</v>
      </c>
      <c r="H134" s="61">
        <v>0</v>
      </c>
      <c r="I134" s="61">
        <v>0</v>
      </c>
      <c r="J134" s="61">
        <v>0</v>
      </c>
      <c r="K134" s="61">
        <v>0</v>
      </c>
      <c r="L134" s="61">
        <v>0</v>
      </c>
      <c r="M134" s="61">
        <v>0</v>
      </c>
      <c r="N134" s="61">
        <v>0</v>
      </c>
      <c r="O134" s="61">
        <v>0</v>
      </c>
      <c r="P134" s="61">
        <v>0</v>
      </c>
      <c r="Q134" s="61">
        <v>0</v>
      </c>
      <c r="R134" s="61">
        <v>0</v>
      </c>
      <c r="S134" s="61">
        <v>0</v>
      </c>
      <c r="T134" s="61">
        <v>0</v>
      </c>
      <c r="U134" s="61">
        <v>0</v>
      </c>
      <c r="V134" s="61">
        <v>0</v>
      </c>
      <c r="W134" s="61">
        <v>0</v>
      </c>
      <c r="X134" s="61">
        <v>0</v>
      </c>
      <c r="Y134" s="61">
        <v>0</v>
      </c>
      <c r="Z134" s="61">
        <v>0</v>
      </c>
      <c r="AA134" s="61">
        <v>0</v>
      </c>
      <c r="AB134" s="61">
        <v>0</v>
      </c>
      <c r="AC134" s="61">
        <v>0</v>
      </c>
      <c r="AD134" s="61">
        <v>0</v>
      </c>
      <c r="AE134" s="61">
        <v>0</v>
      </c>
      <c r="AF134" s="61">
        <v>0</v>
      </c>
      <c r="AG134" s="61">
        <v>0</v>
      </c>
      <c r="AH134" s="61">
        <v>0</v>
      </c>
      <c r="AI134" s="61">
        <v>0</v>
      </c>
      <c r="AJ134" s="61">
        <v>0</v>
      </c>
      <c r="AK134" s="61">
        <v>0</v>
      </c>
      <c r="AL134" s="61">
        <v>0</v>
      </c>
      <c r="AM134" s="61">
        <v>0</v>
      </c>
      <c r="AN134" s="61">
        <v>0</v>
      </c>
      <c r="AO134" s="61">
        <v>0</v>
      </c>
      <c r="AP134" s="61">
        <v>0</v>
      </c>
      <c r="AQ134" s="61">
        <v>0</v>
      </c>
      <c r="AR134" s="61">
        <v>0</v>
      </c>
      <c r="AS134" s="61">
        <v>0</v>
      </c>
      <c r="AT134" s="61">
        <v>0</v>
      </c>
      <c r="AU134" s="61">
        <v>0</v>
      </c>
      <c r="AV134" s="61">
        <v>0</v>
      </c>
      <c r="AW134" s="61">
        <v>0</v>
      </c>
      <c r="AX134" s="61">
        <v>0</v>
      </c>
      <c r="AY134" s="61">
        <v>0</v>
      </c>
      <c r="AZ134" s="61">
        <v>0</v>
      </c>
      <c r="BA134" s="61">
        <v>0</v>
      </c>
      <c r="BB134" s="61">
        <v>0</v>
      </c>
      <c r="BC134" s="61">
        <v>0</v>
      </c>
      <c r="BD134" s="61">
        <v>0</v>
      </c>
      <c r="BE134" s="61">
        <v>0</v>
      </c>
      <c r="BF134" s="61">
        <v>0</v>
      </c>
      <c r="BG134" s="61">
        <v>0</v>
      </c>
      <c r="BH134" s="61">
        <v>0</v>
      </c>
      <c r="BI134" s="61">
        <v>0</v>
      </c>
      <c r="BJ134" s="61">
        <v>0</v>
      </c>
      <c r="BK134" s="61">
        <v>0</v>
      </c>
      <c r="BL134" s="61">
        <v>0</v>
      </c>
      <c r="BM134" s="61">
        <v>0</v>
      </c>
      <c r="BN134" s="61">
        <v>0</v>
      </c>
      <c r="BO134" s="61">
        <v>0</v>
      </c>
      <c r="BP134" s="61">
        <v>0</v>
      </c>
      <c r="BQ134" s="61">
        <v>0</v>
      </c>
      <c r="BR134" s="61">
        <v>0</v>
      </c>
      <c r="BS134" s="61">
        <v>0</v>
      </c>
      <c r="BT134" s="61">
        <v>0</v>
      </c>
      <c r="BU134" s="61">
        <v>0</v>
      </c>
      <c r="BV134" s="61">
        <v>0</v>
      </c>
      <c r="BW134" s="61">
        <v>0</v>
      </c>
      <c r="BX134" s="61">
        <v>0</v>
      </c>
      <c r="BY134" s="61">
        <v>0</v>
      </c>
      <c r="BZ134" s="61">
        <v>0</v>
      </c>
      <c r="CA134" s="61">
        <v>0</v>
      </c>
      <c r="CB134" s="61">
        <v>0</v>
      </c>
      <c r="CC134" s="61">
        <v>0</v>
      </c>
      <c r="CD134" s="61">
        <v>0</v>
      </c>
      <c r="CE134" s="61">
        <v>0</v>
      </c>
      <c r="CF134" s="61">
        <v>0</v>
      </c>
      <c r="CG134" s="61">
        <v>0</v>
      </c>
      <c r="CH134" s="61">
        <v>0</v>
      </c>
      <c r="CI134" s="61">
        <v>0</v>
      </c>
      <c r="CJ134" s="61">
        <v>0</v>
      </c>
      <c r="CK134" s="61">
        <v>0</v>
      </c>
      <c r="CL134" s="61">
        <v>0</v>
      </c>
      <c r="CM134" s="61">
        <v>0</v>
      </c>
      <c r="CN134" s="61">
        <v>0</v>
      </c>
      <c r="CO134" s="61">
        <v>0</v>
      </c>
      <c r="CP134" s="61">
        <v>0</v>
      </c>
      <c r="CQ134" s="61">
        <v>0</v>
      </c>
      <c r="CR134" s="61">
        <v>0</v>
      </c>
      <c r="CS134" s="61">
        <v>0</v>
      </c>
      <c r="CT134" s="61">
        <v>0</v>
      </c>
      <c r="CU134" s="61">
        <v>0</v>
      </c>
      <c r="CV134" s="61">
        <v>0</v>
      </c>
      <c r="CW134" s="61">
        <v>0</v>
      </c>
      <c r="CX134" s="61">
        <v>0</v>
      </c>
      <c r="CY134" s="61">
        <v>0</v>
      </c>
      <c r="CZ134" s="61">
        <v>0</v>
      </c>
      <c r="DA134" s="61">
        <v>0</v>
      </c>
      <c r="DB134" s="61">
        <v>0</v>
      </c>
      <c r="DC134" s="61">
        <v>0</v>
      </c>
      <c r="DD134" s="61">
        <v>0</v>
      </c>
      <c r="DE134" s="61">
        <v>0</v>
      </c>
      <c r="DF134" s="61">
        <v>0</v>
      </c>
      <c r="DG134" s="61">
        <v>0</v>
      </c>
      <c r="DH134" s="61">
        <v>0</v>
      </c>
      <c r="DI134" s="61">
        <v>0</v>
      </c>
      <c r="DJ134" s="61">
        <v>0</v>
      </c>
      <c r="DK134" s="61">
        <v>0</v>
      </c>
      <c r="DL134" s="61">
        <v>0</v>
      </c>
      <c r="DM134" s="61">
        <v>0</v>
      </c>
      <c r="DN134" s="61">
        <v>0</v>
      </c>
      <c r="DO134" s="61">
        <v>0</v>
      </c>
      <c r="DP134" s="61">
        <v>0</v>
      </c>
      <c r="DQ134" s="61">
        <v>0</v>
      </c>
      <c r="DR134" s="61">
        <v>0</v>
      </c>
      <c r="DS134" s="61">
        <v>0</v>
      </c>
      <c r="DT134" s="61">
        <v>0</v>
      </c>
      <c r="DU134" s="61">
        <v>0</v>
      </c>
      <c r="DV134" s="61">
        <v>0</v>
      </c>
      <c r="DW134" s="61">
        <v>0</v>
      </c>
      <c r="DX134" s="61">
        <v>0</v>
      </c>
      <c r="DY134" s="61">
        <v>0</v>
      </c>
      <c r="DZ134" s="61">
        <v>0</v>
      </c>
      <c r="EA134" s="61">
        <v>0</v>
      </c>
      <c r="EB134" s="61">
        <v>0</v>
      </c>
      <c r="EC134" s="61">
        <v>0</v>
      </c>
      <c r="ED134" s="61">
        <v>0</v>
      </c>
      <c r="EE134" s="61">
        <v>0</v>
      </c>
      <c r="EF134" s="61">
        <v>0</v>
      </c>
      <c r="EG134" s="61">
        <v>0</v>
      </c>
      <c r="EH134" s="61">
        <v>0</v>
      </c>
      <c r="EI134" s="61">
        <v>0</v>
      </c>
      <c r="EJ134" s="61">
        <v>0</v>
      </c>
      <c r="EK134" s="61">
        <v>0</v>
      </c>
      <c r="EL134" s="61">
        <v>0</v>
      </c>
      <c r="EM134" s="61">
        <v>0</v>
      </c>
      <c r="EN134" s="61">
        <v>0</v>
      </c>
      <c r="EO134" s="61">
        <v>0</v>
      </c>
      <c r="EP134" s="61">
        <v>0</v>
      </c>
      <c r="EQ134" s="61">
        <v>0</v>
      </c>
      <c r="ER134" s="61">
        <v>0</v>
      </c>
      <c r="ES134" s="61">
        <v>0</v>
      </c>
      <c r="ET134" s="61">
        <v>0</v>
      </c>
      <c r="EU134" s="61">
        <v>0</v>
      </c>
      <c r="EV134" s="61">
        <v>0</v>
      </c>
      <c r="EW134" s="61">
        <v>0</v>
      </c>
      <c r="EX134" s="61">
        <v>0</v>
      </c>
      <c r="EY134" s="61">
        <v>0</v>
      </c>
      <c r="EZ134" s="61">
        <v>0</v>
      </c>
      <c r="FA134" s="61">
        <v>0</v>
      </c>
      <c r="FB134" s="61">
        <v>0</v>
      </c>
      <c r="FC134" s="61">
        <v>0</v>
      </c>
      <c r="FD134" s="61">
        <v>0</v>
      </c>
      <c r="FE134" s="61">
        <v>0</v>
      </c>
      <c r="FF134" s="61">
        <v>0</v>
      </c>
      <c r="FG134" s="61">
        <v>0</v>
      </c>
      <c r="FH134" s="61">
        <v>0</v>
      </c>
      <c r="FI134" s="61">
        <v>0</v>
      </c>
      <c r="FJ134" s="61">
        <v>0</v>
      </c>
      <c r="FK134" s="61">
        <v>0</v>
      </c>
      <c r="FL134" s="65">
        <v>0</v>
      </c>
      <c r="FM134" s="61">
        <v>0</v>
      </c>
      <c r="FN134" s="61">
        <v>0</v>
      </c>
      <c r="FO134" s="61">
        <v>0</v>
      </c>
      <c r="FP134" s="61">
        <v>0</v>
      </c>
      <c r="FQ134" s="61">
        <v>0</v>
      </c>
      <c r="FR134" s="61">
        <v>0</v>
      </c>
      <c r="FS134" s="61">
        <v>0</v>
      </c>
      <c r="FT134" s="61">
        <v>0</v>
      </c>
      <c r="FU134" s="61">
        <v>0</v>
      </c>
      <c r="FV134" s="63">
        <v>0</v>
      </c>
      <c r="FW134" s="63">
        <v>0</v>
      </c>
      <c r="FX134" s="63">
        <v>0</v>
      </c>
      <c r="FY134" s="63">
        <v>0</v>
      </c>
      <c r="FZ134" s="63">
        <v>0</v>
      </c>
      <c r="GA134" s="63">
        <v>0</v>
      </c>
      <c r="GB134" s="63">
        <v>0</v>
      </c>
      <c r="GC134" s="63">
        <v>0</v>
      </c>
      <c r="GD134" s="63">
        <v>0</v>
      </c>
      <c r="GE134" s="63">
        <v>0</v>
      </c>
      <c r="GF134" s="63">
        <v>0</v>
      </c>
      <c r="GG134" s="63">
        <v>0</v>
      </c>
      <c r="GH134" s="63">
        <v>0</v>
      </c>
      <c r="GI134" s="63">
        <v>0</v>
      </c>
      <c r="GJ134" s="63">
        <v>0</v>
      </c>
      <c r="GK134" s="63">
        <v>0</v>
      </c>
      <c r="GL134" s="63">
        <v>0</v>
      </c>
      <c r="GM134" s="63">
        <v>0</v>
      </c>
      <c r="GN134" s="63">
        <v>0</v>
      </c>
      <c r="GO134" s="63">
        <v>0</v>
      </c>
      <c r="GP134" s="66">
        <v>1</v>
      </c>
      <c r="GQ134" s="66">
        <v>1</v>
      </c>
      <c r="GR134" s="66">
        <v>1</v>
      </c>
      <c r="GS134" s="66">
        <v>1</v>
      </c>
      <c r="GT134" s="63">
        <v>0</v>
      </c>
      <c r="GU134" s="63">
        <v>0</v>
      </c>
      <c r="GV134" s="63">
        <v>0</v>
      </c>
      <c r="GW134" s="63">
        <v>0</v>
      </c>
      <c r="GX134" s="63">
        <v>0</v>
      </c>
      <c r="GY134" s="63">
        <v>0</v>
      </c>
      <c r="GZ134" s="63">
        <v>0</v>
      </c>
      <c r="HA134" s="63">
        <v>0</v>
      </c>
      <c r="HB134" s="63">
        <v>0</v>
      </c>
      <c r="HC134" s="63">
        <v>0</v>
      </c>
      <c r="HD134" s="63">
        <v>0</v>
      </c>
      <c r="HE134" s="63">
        <v>0</v>
      </c>
      <c r="HF134" s="63">
        <v>0</v>
      </c>
      <c r="HG134" s="63">
        <v>0</v>
      </c>
      <c r="HH134" s="63"/>
      <c r="HI134" s="63"/>
      <c r="HJ134" s="63">
        <v>1965</v>
      </c>
      <c r="HK134" s="63">
        <f>SUM(FL$4:HI$4)</f>
        <v>50</v>
      </c>
      <c r="HL134" s="61">
        <f>SUM(FL134:HI134)</f>
        <v>4</v>
      </c>
      <c r="HM134" s="67">
        <f>100*HL134/HK134</f>
        <v>8</v>
      </c>
      <c r="HN134" s="67"/>
      <c r="HO134" s="67"/>
      <c r="HP134" s="68"/>
      <c r="IO134" s="72"/>
      <c r="IP134" s="72"/>
      <c r="IQ134" s="72"/>
    </row>
    <row r="135" spans="1:251" x14ac:dyDescent="0.3">
      <c r="B135" s="63" t="s">
        <v>7382</v>
      </c>
      <c r="C135" s="61">
        <v>0</v>
      </c>
      <c r="D135" s="61">
        <v>0</v>
      </c>
      <c r="E135" s="61">
        <v>0</v>
      </c>
      <c r="F135" s="61">
        <v>0</v>
      </c>
      <c r="G135" s="61">
        <v>0</v>
      </c>
      <c r="H135" s="61">
        <v>0</v>
      </c>
      <c r="I135" s="61">
        <v>0</v>
      </c>
      <c r="J135" s="61">
        <v>0</v>
      </c>
      <c r="K135" s="61">
        <v>0</v>
      </c>
      <c r="L135" s="61">
        <v>0</v>
      </c>
      <c r="M135" s="61">
        <v>0</v>
      </c>
      <c r="N135" s="61">
        <v>0</v>
      </c>
      <c r="O135" s="61">
        <v>0</v>
      </c>
      <c r="P135" s="61">
        <v>0</v>
      </c>
      <c r="Q135" s="61">
        <v>0</v>
      </c>
      <c r="R135" s="61">
        <v>0</v>
      </c>
      <c r="S135" s="61">
        <v>0</v>
      </c>
      <c r="T135" s="61">
        <v>0</v>
      </c>
      <c r="U135" s="61">
        <v>0</v>
      </c>
      <c r="V135" s="61">
        <v>0</v>
      </c>
      <c r="W135" s="61">
        <v>0</v>
      </c>
      <c r="X135" s="61">
        <v>0</v>
      </c>
      <c r="Y135" s="61">
        <v>0</v>
      </c>
      <c r="Z135" s="61">
        <v>0</v>
      </c>
      <c r="AA135" s="61">
        <v>0</v>
      </c>
      <c r="AB135" s="61">
        <v>0</v>
      </c>
      <c r="AC135" s="61">
        <v>0</v>
      </c>
      <c r="AD135" s="61">
        <v>0</v>
      </c>
      <c r="AE135" s="61">
        <v>0</v>
      </c>
      <c r="AF135" s="61">
        <v>0</v>
      </c>
      <c r="AG135" s="61">
        <v>0</v>
      </c>
      <c r="AH135" s="61">
        <v>0</v>
      </c>
      <c r="AI135" s="61">
        <v>0</v>
      </c>
      <c r="AJ135" s="61">
        <v>0</v>
      </c>
      <c r="AK135" s="61">
        <v>0</v>
      </c>
      <c r="AL135" s="61">
        <v>0</v>
      </c>
      <c r="AM135" s="61">
        <v>0</v>
      </c>
      <c r="AN135" s="61">
        <v>0</v>
      </c>
      <c r="AO135" s="61">
        <v>0</v>
      </c>
      <c r="AP135" s="61">
        <v>0</v>
      </c>
      <c r="AQ135" s="61">
        <v>0</v>
      </c>
      <c r="AR135" s="61">
        <v>0</v>
      </c>
      <c r="AS135" s="61">
        <v>0</v>
      </c>
      <c r="AT135" s="61">
        <v>0</v>
      </c>
      <c r="AU135" s="61">
        <v>0</v>
      </c>
      <c r="AV135" s="61">
        <v>0</v>
      </c>
      <c r="AW135" s="61">
        <v>0</v>
      </c>
      <c r="AX135" s="61">
        <v>0</v>
      </c>
      <c r="AY135" s="61">
        <v>0</v>
      </c>
      <c r="AZ135" s="61">
        <v>0</v>
      </c>
      <c r="BA135" s="61">
        <v>0</v>
      </c>
      <c r="BB135" s="61">
        <v>0</v>
      </c>
      <c r="BC135" s="61">
        <v>0</v>
      </c>
      <c r="BD135" s="61">
        <v>0</v>
      </c>
      <c r="BE135" s="61">
        <v>0</v>
      </c>
      <c r="BF135" s="61">
        <v>0</v>
      </c>
      <c r="BG135" s="61">
        <v>0</v>
      </c>
      <c r="BH135" s="61">
        <v>0</v>
      </c>
      <c r="BI135" s="61">
        <v>0</v>
      </c>
      <c r="BJ135" s="61">
        <v>0</v>
      </c>
      <c r="BK135" s="61">
        <v>0</v>
      </c>
      <c r="BL135" s="61">
        <v>0</v>
      </c>
      <c r="BM135" s="61">
        <v>0</v>
      </c>
      <c r="BN135" s="61">
        <v>0</v>
      </c>
      <c r="BO135" s="61">
        <v>0</v>
      </c>
      <c r="BP135" s="61">
        <v>0</v>
      </c>
      <c r="BQ135" s="61">
        <v>0</v>
      </c>
      <c r="BR135" s="61">
        <v>0</v>
      </c>
      <c r="BS135" s="61">
        <v>0</v>
      </c>
      <c r="BT135" s="61">
        <v>0</v>
      </c>
      <c r="BU135" s="61">
        <v>0</v>
      </c>
      <c r="BV135" s="61">
        <v>0</v>
      </c>
      <c r="BW135" s="61">
        <v>0</v>
      </c>
      <c r="BX135" s="61">
        <v>0</v>
      </c>
      <c r="BY135" s="61">
        <v>0</v>
      </c>
      <c r="BZ135" s="61">
        <v>0</v>
      </c>
      <c r="CA135" s="61">
        <v>0</v>
      </c>
      <c r="CB135" s="61">
        <v>0</v>
      </c>
      <c r="CC135" s="61">
        <v>0</v>
      </c>
      <c r="CD135" s="61">
        <v>0</v>
      </c>
      <c r="CE135" s="61">
        <v>0</v>
      </c>
      <c r="CF135" s="61">
        <v>0</v>
      </c>
      <c r="CG135" s="61">
        <v>0</v>
      </c>
      <c r="CH135" s="61">
        <v>0</v>
      </c>
      <c r="CI135" s="61">
        <v>0</v>
      </c>
      <c r="CJ135" s="61">
        <v>0</v>
      </c>
      <c r="CK135" s="61">
        <v>0</v>
      </c>
      <c r="CL135" s="61">
        <v>0</v>
      </c>
      <c r="CM135" s="61">
        <v>0</v>
      </c>
      <c r="CN135" s="61">
        <v>0</v>
      </c>
      <c r="CO135" s="61">
        <v>0</v>
      </c>
      <c r="CP135" s="61">
        <v>0</v>
      </c>
      <c r="CQ135" s="61">
        <v>0</v>
      </c>
      <c r="CR135" s="61">
        <v>0</v>
      </c>
      <c r="CS135" s="61">
        <v>0</v>
      </c>
      <c r="CT135" s="61">
        <v>0</v>
      </c>
      <c r="CU135" s="61">
        <v>0</v>
      </c>
      <c r="CV135" s="61">
        <v>0</v>
      </c>
      <c r="CW135" s="61">
        <v>0</v>
      </c>
      <c r="CX135" s="61">
        <v>0</v>
      </c>
      <c r="CY135" s="61">
        <v>0</v>
      </c>
      <c r="CZ135" s="61">
        <v>0</v>
      </c>
      <c r="DA135" s="61">
        <v>0</v>
      </c>
      <c r="DB135" s="61">
        <v>0</v>
      </c>
      <c r="DC135" s="61">
        <v>0</v>
      </c>
      <c r="DD135" s="61">
        <v>0</v>
      </c>
      <c r="DE135" s="61">
        <v>0</v>
      </c>
      <c r="DF135" s="61">
        <v>0</v>
      </c>
      <c r="DG135" s="61">
        <v>0</v>
      </c>
      <c r="DH135" s="61">
        <v>0</v>
      </c>
      <c r="DI135" s="61">
        <v>0</v>
      </c>
      <c r="DJ135" s="61">
        <v>0</v>
      </c>
      <c r="DK135" s="61">
        <v>0</v>
      </c>
      <c r="DL135" s="61">
        <v>0</v>
      </c>
      <c r="DM135" s="61">
        <v>0</v>
      </c>
      <c r="DN135" s="61">
        <v>0</v>
      </c>
      <c r="DO135" s="61">
        <v>0</v>
      </c>
      <c r="DP135" s="61">
        <v>0</v>
      </c>
      <c r="DQ135" s="61">
        <v>0</v>
      </c>
      <c r="DR135" s="61">
        <v>0</v>
      </c>
      <c r="DS135" s="61">
        <v>0</v>
      </c>
      <c r="DT135" s="61">
        <v>0</v>
      </c>
      <c r="DU135" s="61">
        <v>0</v>
      </c>
      <c r="DV135" s="61">
        <v>0</v>
      </c>
      <c r="DW135" s="61">
        <v>0</v>
      </c>
      <c r="DX135" s="61">
        <v>0</v>
      </c>
      <c r="DY135" s="61">
        <v>0</v>
      </c>
      <c r="DZ135" s="61">
        <v>0</v>
      </c>
      <c r="EA135" s="61">
        <v>0</v>
      </c>
      <c r="EB135" s="61">
        <v>0</v>
      </c>
      <c r="EC135" s="61">
        <v>0</v>
      </c>
      <c r="ED135" s="61">
        <v>0</v>
      </c>
      <c r="EE135" s="61">
        <v>0</v>
      </c>
      <c r="EF135" s="61">
        <v>0</v>
      </c>
      <c r="EG135" s="61">
        <v>0</v>
      </c>
      <c r="EH135" s="61">
        <v>0</v>
      </c>
      <c r="EI135" s="61">
        <v>0</v>
      </c>
      <c r="EJ135" s="61">
        <v>0</v>
      </c>
      <c r="EK135" s="61">
        <v>0</v>
      </c>
      <c r="EL135" s="61">
        <v>0</v>
      </c>
      <c r="EM135" s="61">
        <v>0</v>
      </c>
      <c r="EN135" s="61">
        <v>0</v>
      </c>
      <c r="EO135" s="61">
        <v>0</v>
      </c>
      <c r="EP135" s="61">
        <v>0</v>
      </c>
      <c r="EQ135" s="61">
        <v>0</v>
      </c>
      <c r="ER135" s="61">
        <v>0</v>
      </c>
      <c r="ES135" s="61">
        <v>0</v>
      </c>
      <c r="ET135" s="61">
        <v>0</v>
      </c>
      <c r="EU135" s="61">
        <v>0</v>
      </c>
      <c r="EV135" s="61">
        <v>0</v>
      </c>
      <c r="EW135" s="61">
        <v>0</v>
      </c>
      <c r="EX135" s="61">
        <v>0</v>
      </c>
      <c r="EY135" s="61">
        <v>0</v>
      </c>
      <c r="EZ135" s="61">
        <v>0</v>
      </c>
      <c r="FA135" s="61">
        <v>0</v>
      </c>
      <c r="FB135" s="61">
        <v>0</v>
      </c>
      <c r="FC135" s="61">
        <v>0</v>
      </c>
      <c r="FD135" s="61">
        <v>0</v>
      </c>
      <c r="FE135" s="61">
        <v>0</v>
      </c>
      <c r="FF135" s="61">
        <v>0</v>
      </c>
      <c r="FG135" s="61">
        <v>0</v>
      </c>
      <c r="FH135" s="61">
        <v>0</v>
      </c>
      <c r="FI135" s="61">
        <v>0</v>
      </c>
      <c r="FJ135" s="61">
        <v>0</v>
      </c>
      <c r="FK135" s="61">
        <v>0</v>
      </c>
      <c r="FL135" s="61">
        <v>0</v>
      </c>
      <c r="FM135" s="61">
        <v>0</v>
      </c>
      <c r="FN135" s="61">
        <v>0</v>
      </c>
      <c r="FO135" s="65">
        <v>0</v>
      </c>
      <c r="FP135" s="61">
        <v>0</v>
      </c>
      <c r="FQ135" s="61">
        <v>0</v>
      </c>
      <c r="FR135" s="61">
        <v>0</v>
      </c>
      <c r="FS135" s="61">
        <v>0</v>
      </c>
      <c r="FT135" s="61">
        <v>0</v>
      </c>
      <c r="FU135" s="61">
        <v>0</v>
      </c>
      <c r="FV135" s="61">
        <v>0</v>
      </c>
      <c r="FW135" s="61">
        <v>0</v>
      </c>
      <c r="FX135" s="61">
        <v>0</v>
      </c>
      <c r="FY135" s="61">
        <v>0</v>
      </c>
      <c r="FZ135" s="63">
        <v>0</v>
      </c>
      <c r="GA135" s="63">
        <v>0</v>
      </c>
      <c r="GB135" s="63">
        <v>0</v>
      </c>
      <c r="GC135" s="63">
        <v>0</v>
      </c>
      <c r="GD135" s="63">
        <v>0</v>
      </c>
      <c r="GE135" s="63">
        <v>0</v>
      </c>
      <c r="GF135" s="63">
        <v>0</v>
      </c>
      <c r="GG135" s="63">
        <v>0</v>
      </c>
      <c r="GH135" s="63">
        <v>0</v>
      </c>
      <c r="GI135" s="63">
        <v>0</v>
      </c>
      <c r="GJ135" s="63">
        <v>0</v>
      </c>
      <c r="GK135" s="63">
        <v>0</v>
      </c>
      <c r="GL135" s="63">
        <v>0</v>
      </c>
      <c r="GM135" s="63">
        <v>0</v>
      </c>
      <c r="GN135" s="63">
        <v>0</v>
      </c>
      <c r="GO135" s="63">
        <v>0</v>
      </c>
      <c r="GP135" s="63">
        <v>0</v>
      </c>
      <c r="GQ135" s="63">
        <v>0</v>
      </c>
      <c r="GR135" s="63">
        <v>0</v>
      </c>
      <c r="GS135" s="63">
        <v>0</v>
      </c>
      <c r="GT135" s="63">
        <v>0</v>
      </c>
      <c r="GU135" s="63">
        <v>0</v>
      </c>
      <c r="GV135" s="63">
        <v>0</v>
      </c>
      <c r="GW135" s="66">
        <v>1</v>
      </c>
      <c r="GX135" s="66">
        <v>1</v>
      </c>
      <c r="GY135" s="66">
        <v>1</v>
      </c>
      <c r="GZ135" s="66">
        <v>1</v>
      </c>
      <c r="HA135" s="66">
        <v>1</v>
      </c>
      <c r="HB135" s="66">
        <v>1</v>
      </c>
      <c r="HC135" s="66">
        <v>1</v>
      </c>
      <c r="HD135" s="66">
        <v>1</v>
      </c>
      <c r="HE135" s="66">
        <v>1</v>
      </c>
      <c r="HF135" s="66">
        <v>1</v>
      </c>
      <c r="HG135" s="66">
        <v>1</v>
      </c>
      <c r="HH135" s="66"/>
      <c r="HI135" s="66"/>
      <c r="HJ135" s="63">
        <v>1968</v>
      </c>
      <c r="HK135" s="63">
        <f>SUM(FO$4:HI$4)</f>
        <v>47</v>
      </c>
      <c r="HL135" s="61">
        <f>SUM(FO135:HI135)</f>
        <v>11</v>
      </c>
      <c r="HM135" s="67">
        <f>100*HL135/HK135</f>
        <v>23.404255319148938</v>
      </c>
      <c r="HN135" s="67"/>
      <c r="HO135" s="67"/>
      <c r="HP135" s="68"/>
      <c r="HS135" s="61" t="s">
        <v>7231</v>
      </c>
    </row>
    <row r="136" spans="1:251" x14ac:dyDescent="0.3">
      <c r="B136" s="60" t="s">
        <v>7383</v>
      </c>
      <c r="C136" s="63">
        <v>0</v>
      </c>
      <c r="D136" s="63">
        <v>0</v>
      </c>
      <c r="E136" s="63">
        <v>0</v>
      </c>
      <c r="F136" s="63">
        <v>0</v>
      </c>
      <c r="G136" s="63">
        <v>0</v>
      </c>
      <c r="H136" s="63">
        <v>0</v>
      </c>
      <c r="I136" s="63">
        <v>0</v>
      </c>
      <c r="J136" s="63">
        <v>0</v>
      </c>
      <c r="K136" s="63">
        <v>0</v>
      </c>
      <c r="L136" s="63">
        <v>0</v>
      </c>
      <c r="M136" s="63">
        <v>0</v>
      </c>
      <c r="N136" s="63">
        <v>0</v>
      </c>
      <c r="O136" s="63">
        <v>0</v>
      </c>
      <c r="P136" s="63">
        <v>0</v>
      </c>
      <c r="Q136" s="63">
        <v>0</v>
      </c>
      <c r="R136" s="63">
        <v>0</v>
      </c>
      <c r="S136" s="63">
        <v>0</v>
      </c>
      <c r="T136" s="63">
        <v>0</v>
      </c>
      <c r="U136" s="63">
        <v>0</v>
      </c>
      <c r="V136" s="63">
        <v>0</v>
      </c>
      <c r="W136" s="63">
        <v>0</v>
      </c>
      <c r="X136" s="63">
        <v>0</v>
      </c>
      <c r="Y136" s="63">
        <v>0</v>
      </c>
      <c r="Z136" s="63">
        <v>0</v>
      </c>
      <c r="AA136" s="63">
        <v>0</v>
      </c>
      <c r="AB136" s="63">
        <v>0</v>
      </c>
      <c r="AC136" s="63">
        <v>0</v>
      </c>
      <c r="AD136" s="63">
        <v>0</v>
      </c>
      <c r="AE136" s="63">
        <v>0</v>
      </c>
      <c r="AF136" s="63">
        <v>0</v>
      </c>
      <c r="AG136" s="63">
        <v>0</v>
      </c>
      <c r="AH136" s="63">
        <v>0</v>
      </c>
      <c r="AI136" s="63">
        <v>0</v>
      </c>
      <c r="AJ136" s="63">
        <v>0</v>
      </c>
      <c r="AK136" s="63">
        <v>0</v>
      </c>
      <c r="AL136" s="63">
        <v>0</v>
      </c>
      <c r="AM136" s="63">
        <v>0</v>
      </c>
      <c r="AN136" s="63">
        <v>0</v>
      </c>
      <c r="AO136" s="63">
        <v>0</v>
      </c>
      <c r="AP136" s="63">
        <v>0</v>
      </c>
      <c r="AQ136" s="63">
        <v>0</v>
      </c>
      <c r="AR136" s="63">
        <v>0</v>
      </c>
      <c r="AS136" s="63">
        <v>0</v>
      </c>
      <c r="AT136" s="63">
        <v>0</v>
      </c>
      <c r="AU136" s="63">
        <v>0</v>
      </c>
      <c r="AV136" s="63">
        <v>0</v>
      </c>
      <c r="AW136" s="63">
        <v>0</v>
      </c>
      <c r="AX136" s="63">
        <v>0</v>
      </c>
      <c r="AY136" s="63">
        <v>0</v>
      </c>
      <c r="AZ136" s="63">
        <v>0</v>
      </c>
      <c r="BA136" s="63">
        <v>0</v>
      </c>
      <c r="BB136" s="63">
        <v>0</v>
      </c>
      <c r="BC136" s="63">
        <v>0</v>
      </c>
      <c r="BD136" s="63">
        <v>0</v>
      </c>
      <c r="BE136" s="63">
        <v>0</v>
      </c>
      <c r="BF136" s="63">
        <v>0</v>
      </c>
      <c r="BG136" s="63">
        <v>0</v>
      </c>
      <c r="BH136" s="63">
        <v>0</v>
      </c>
      <c r="BI136" s="63">
        <v>0</v>
      </c>
      <c r="BJ136" s="63">
        <v>0</v>
      </c>
      <c r="BK136" s="63">
        <v>0</v>
      </c>
      <c r="BL136" s="63">
        <v>0</v>
      </c>
      <c r="BM136" s="63">
        <v>0</v>
      </c>
      <c r="BN136" s="63">
        <v>0</v>
      </c>
      <c r="BO136" s="63">
        <v>0</v>
      </c>
      <c r="BP136" s="63">
        <v>0</v>
      </c>
      <c r="BQ136" s="63">
        <v>0</v>
      </c>
      <c r="BR136" s="63">
        <v>0</v>
      </c>
      <c r="BS136" s="63">
        <v>0</v>
      </c>
      <c r="BT136" s="63">
        <v>0</v>
      </c>
      <c r="BU136" s="63">
        <v>0</v>
      </c>
      <c r="BV136" s="63">
        <v>0</v>
      </c>
      <c r="BW136" s="63">
        <v>0</v>
      </c>
      <c r="BX136" s="63">
        <v>0</v>
      </c>
      <c r="BY136" s="63">
        <v>0</v>
      </c>
      <c r="BZ136" s="63">
        <v>0</v>
      </c>
      <c r="CA136" s="63">
        <v>0</v>
      </c>
      <c r="CB136" s="63">
        <v>0</v>
      </c>
      <c r="CC136" s="63">
        <v>0</v>
      </c>
      <c r="CD136" s="63">
        <v>0</v>
      </c>
      <c r="CE136" s="63">
        <v>0</v>
      </c>
      <c r="CF136" s="63">
        <v>0</v>
      </c>
      <c r="CG136" s="63">
        <v>0</v>
      </c>
      <c r="CH136" s="63">
        <v>0</v>
      </c>
      <c r="CI136" s="63">
        <v>0</v>
      </c>
      <c r="CJ136" s="63">
        <v>0</v>
      </c>
      <c r="CK136" s="63">
        <v>0</v>
      </c>
      <c r="CL136" s="63">
        <v>0</v>
      </c>
      <c r="CM136" s="63">
        <v>0</v>
      </c>
      <c r="CN136" s="63">
        <v>0</v>
      </c>
      <c r="CO136" s="63">
        <v>0</v>
      </c>
      <c r="CP136" s="63">
        <v>0</v>
      </c>
      <c r="CQ136" s="63">
        <v>0</v>
      </c>
      <c r="CR136" s="63">
        <v>0</v>
      </c>
      <c r="CS136" s="63">
        <v>0</v>
      </c>
      <c r="CT136" s="63">
        <v>0</v>
      </c>
      <c r="CU136" s="63">
        <v>0</v>
      </c>
      <c r="CV136" s="63">
        <v>0</v>
      </c>
      <c r="CW136" s="63">
        <v>0</v>
      </c>
      <c r="CX136" s="63">
        <v>0</v>
      </c>
      <c r="CY136" s="63">
        <v>0</v>
      </c>
      <c r="CZ136" s="63">
        <v>0</v>
      </c>
      <c r="DA136" s="63">
        <v>0</v>
      </c>
      <c r="DB136" s="63">
        <v>0</v>
      </c>
      <c r="DC136" s="63">
        <v>0</v>
      </c>
      <c r="DD136" s="63">
        <v>0</v>
      </c>
      <c r="DE136" s="63">
        <v>0</v>
      </c>
      <c r="DF136" s="63">
        <v>0</v>
      </c>
      <c r="DG136" s="63">
        <v>0</v>
      </c>
      <c r="DH136" s="63">
        <v>0</v>
      </c>
      <c r="DI136" s="63">
        <v>0</v>
      </c>
      <c r="DJ136" s="63">
        <v>0</v>
      </c>
      <c r="DK136" s="63">
        <v>0</v>
      </c>
      <c r="DL136" s="63">
        <v>0</v>
      </c>
      <c r="DM136" s="63">
        <v>0</v>
      </c>
      <c r="DN136" s="63">
        <v>0</v>
      </c>
      <c r="DO136" s="63">
        <v>0</v>
      </c>
      <c r="DP136" s="63">
        <v>0</v>
      </c>
      <c r="DQ136" s="63">
        <v>0</v>
      </c>
      <c r="DR136" s="63">
        <v>0</v>
      </c>
      <c r="DS136" s="63">
        <v>0</v>
      </c>
      <c r="DT136" s="63">
        <v>0</v>
      </c>
      <c r="DU136" s="63">
        <v>0</v>
      </c>
      <c r="DV136" s="63">
        <v>0</v>
      </c>
      <c r="DW136" s="63">
        <v>0</v>
      </c>
      <c r="DX136" s="63">
        <v>0</v>
      </c>
      <c r="DY136" s="63">
        <v>0</v>
      </c>
      <c r="DZ136" s="63">
        <v>0</v>
      </c>
      <c r="EA136" s="63">
        <v>0</v>
      </c>
      <c r="EB136" s="63">
        <v>0</v>
      </c>
      <c r="EC136" s="63">
        <v>0</v>
      </c>
      <c r="ED136" s="63">
        <v>0</v>
      </c>
      <c r="EE136" s="63">
        <v>0</v>
      </c>
      <c r="EF136" s="63">
        <v>0</v>
      </c>
      <c r="EG136" s="63">
        <v>0</v>
      </c>
      <c r="EH136" s="63">
        <v>0</v>
      </c>
      <c r="EI136" s="63">
        <v>0</v>
      </c>
      <c r="EJ136" s="63">
        <v>0</v>
      </c>
      <c r="EK136" s="63">
        <v>0</v>
      </c>
      <c r="EL136" s="63">
        <v>0</v>
      </c>
      <c r="EM136" s="63">
        <v>0</v>
      </c>
      <c r="EN136" s="63">
        <v>0</v>
      </c>
      <c r="EO136" s="63">
        <v>0</v>
      </c>
      <c r="EP136" s="63">
        <v>0</v>
      </c>
      <c r="EQ136" s="63">
        <v>0</v>
      </c>
      <c r="ER136" s="63">
        <v>0</v>
      </c>
      <c r="ES136" s="63">
        <v>0</v>
      </c>
      <c r="ET136" s="63">
        <v>0</v>
      </c>
      <c r="EU136" s="63">
        <v>0</v>
      </c>
      <c r="EV136" s="63">
        <v>0</v>
      </c>
      <c r="EW136" s="63">
        <v>0</v>
      </c>
      <c r="EX136" s="63">
        <v>0</v>
      </c>
      <c r="EY136" s="63">
        <v>0</v>
      </c>
      <c r="EZ136" s="63">
        <v>0</v>
      </c>
      <c r="FA136" s="63">
        <v>0</v>
      </c>
      <c r="FB136" s="63">
        <v>0</v>
      </c>
      <c r="FC136" s="63">
        <v>0</v>
      </c>
      <c r="FD136" s="63">
        <v>0</v>
      </c>
      <c r="FE136" s="63">
        <v>0</v>
      </c>
      <c r="FF136" s="63">
        <v>0</v>
      </c>
      <c r="FG136" s="63">
        <v>0</v>
      </c>
      <c r="FH136" s="63">
        <v>0</v>
      </c>
      <c r="FI136" s="63">
        <v>0</v>
      </c>
      <c r="FJ136" s="63">
        <v>0</v>
      </c>
      <c r="FK136" s="63">
        <v>0</v>
      </c>
      <c r="FL136" s="63">
        <v>0</v>
      </c>
      <c r="FM136" s="63">
        <v>0</v>
      </c>
      <c r="FN136" s="63">
        <v>0</v>
      </c>
      <c r="FO136" s="63">
        <v>0</v>
      </c>
      <c r="FP136" s="63">
        <v>0</v>
      </c>
      <c r="FQ136" s="63">
        <v>0</v>
      </c>
      <c r="FR136" s="63">
        <v>0</v>
      </c>
      <c r="FS136" s="63">
        <v>0</v>
      </c>
      <c r="FT136" s="63">
        <v>0</v>
      </c>
      <c r="FU136" s="63">
        <v>0</v>
      </c>
      <c r="FV136" s="63">
        <v>0</v>
      </c>
      <c r="FW136" s="63">
        <v>0</v>
      </c>
      <c r="FX136" s="63">
        <v>0</v>
      </c>
      <c r="FY136" s="83">
        <v>0</v>
      </c>
      <c r="FZ136" s="63">
        <v>0</v>
      </c>
      <c r="GA136" s="63">
        <v>0</v>
      </c>
      <c r="GB136" s="63">
        <v>0</v>
      </c>
      <c r="GC136" s="63">
        <v>0</v>
      </c>
      <c r="GD136" s="63">
        <v>0</v>
      </c>
      <c r="GE136" s="63">
        <v>0</v>
      </c>
      <c r="GF136" s="63">
        <v>0</v>
      </c>
      <c r="GG136" s="63">
        <v>0</v>
      </c>
      <c r="GH136" s="63">
        <v>0</v>
      </c>
      <c r="GI136" s="63">
        <v>0</v>
      </c>
      <c r="GJ136" s="63">
        <v>0</v>
      </c>
      <c r="GK136" s="63">
        <v>0</v>
      </c>
      <c r="GL136" s="63">
        <v>0</v>
      </c>
      <c r="GM136" s="63">
        <v>0</v>
      </c>
      <c r="GN136" s="63">
        <v>0</v>
      </c>
      <c r="GO136" s="63">
        <v>0</v>
      </c>
      <c r="GP136" s="63">
        <v>0</v>
      </c>
      <c r="GQ136" s="63">
        <v>0</v>
      </c>
      <c r="GR136" s="63">
        <v>0</v>
      </c>
      <c r="GS136" s="66">
        <v>1</v>
      </c>
      <c r="GT136" s="66">
        <v>1</v>
      </c>
      <c r="GU136" s="66">
        <v>1</v>
      </c>
      <c r="GV136" s="66">
        <v>1</v>
      </c>
      <c r="GW136" s="66">
        <v>1</v>
      </c>
      <c r="GX136" s="66">
        <v>1</v>
      </c>
      <c r="GY136" s="66">
        <v>1</v>
      </c>
      <c r="GZ136" s="66">
        <v>1</v>
      </c>
      <c r="HA136" s="66">
        <v>1</v>
      </c>
      <c r="HB136" s="66">
        <v>1</v>
      </c>
      <c r="HC136" s="66">
        <v>1</v>
      </c>
      <c r="HD136" s="66">
        <v>1</v>
      </c>
      <c r="HE136" s="66">
        <v>1</v>
      </c>
      <c r="HF136" s="66">
        <v>1</v>
      </c>
      <c r="HG136" s="66">
        <v>1</v>
      </c>
      <c r="HH136" s="66"/>
      <c r="HI136" s="66"/>
      <c r="HJ136" s="63">
        <v>1978</v>
      </c>
      <c r="HK136" s="63">
        <f>SUM(FY$4:HI$4)</f>
        <v>37</v>
      </c>
      <c r="HL136" s="61">
        <f>SUM(FY136:HI136)</f>
        <v>15</v>
      </c>
      <c r="HM136" s="67">
        <f>100*HL136/HK136</f>
        <v>40.54054054054054</v>
      </c>
      <c r="HN136" s="67"/>
      <c r="HO136" s="67"/>
      <c r="HP136" s="68"/>
    </row>
    <row r="137" spans="1:251" x14ac:dyDescent="0.3">
      <c r="B137" s="62" t="s">
        <v>7384</v>
      </c>
      <c r="C137" s="62">
        <f>SUM(C75:C136)</f>
        <v>0</v>
      </c>
      <c r="D137" s="62">
        <f t="shared" ref="D137:BO137" si="8">SUM(D75:D136)</f>
        <v>0</v>
      </c>
      <c r="E137" s="62">
        <f t="shared" si="8"/>
        <v>0</v>
      </c>
      <c r="F137" s="62">
        <f t="shared" si="8"/>
        <v>0</v>
      </c>
      <c r="G137" s="62">
        <f t="shared" si="8"/>
        <v>0</v>
      </c>
      <c r="H137" s="62">
        <f t="shared" si="8"/>
        <v>0</v>
      </c>
      <c r="I137" s="62">
        <f t="shared" si="8"/>
        <v>0</v>
      </c>
      <c r="J137" s="62">
        <f t="shared" si="8"/>
        <v>0</v>
      </c>
      <c r="K137" s="62">
        <f t="shared" si="8"/>
        <v>0</v>
      </c>
      <c r="L137" s="62">
        <f t="shared" si="8"/>
        <v>0</v>
      </c>
      <c r="M137" s="62">
        <f t="shared" si="8"/>
        <v>0</v>
      </c>
      <c r="N137" s="62">
        <f t="shared" si="8"/>
        <v>0</v>
      </c>
      <c r="O137" s="62">
        <f t="shared" si="8"/>
        <v>0</v>
      </c>
      <c r="P137" s="62">
        <f t="shared" si="8"/>
        <v>0</v>
      </c>
      <c r="Q137" s="62">
        <f t="shared" si="8"/>
        <v>0</v>
      </c>
      <c r="R137" s="62">
        <f t="shared" si="8"/>
        <v>0</v>
      </c>
      <c r="S137" s="62">
        <f t="shared" si="8"/>
        <v>0</v>
      </c>
      <c r="T137" s="62">
        <f t="shared" si="8"/>
        <v>0</v>
      </c>
      <c r="U137" s="62">
        <f t="shared" si="8"/>
        <v>0</v>
      </c>
      <c r="V137" s="62">
        <f t="shared" si="8"/>
        <v>0</v>
      </c>
      <c r="W137" s="62">
        <f t="shared" si="8"/>
        <v>0</v>
      </c>
      <c r="X137" s="62">
        <f t="shared" si="8"/>
        <v>0</v>
      </c>
      <c r="Y137" s="62">
        <f t="shared" si="8"/>
        <v>0</v>
      </c>
      <c r="Z137" s="62">
        <f t="shared" si="8"/>
        <v>0</v>
      </c>
      <c r="AA137" s="62">
        <f t="shared" si="8"/>
        <v>0</v>
      </c>
      <c r="AB137" s="62">
        <f t="shared" si="8"/>
        <v>0</v>
      </c>
      <c r="AC137" s="62">
        <f t="shared" si="8"/>
        <v>0</v>
      </c>
      <c r="AD137" s="62">
        <f t="shared" si="8"/>
        <v>0</v>
      </c>
      <c r="AE137" s="62">
        <f t="shared" si="8"/>
        <v>0</v>
      </c>
      <c r="AF137" s="62">
        <f t="shared" si="8"/>
        <v>0</v>
      </c>
      <c r="AG137" s="62">
        <f t="shared" si="8"/>
        <v>0</v>
      </c>
      <c r="AH137" s="62">
        <f t="shared" si="8"/>
        <v>0</v>
      </c>
      <c r="AI137" s="62">
        <f t="shared" si="8"/>
        <v>0</v>
      </c>
      <c r="AJ137" s="62">
        <f t="shared" si="8"/>
        <v>0</v>
      </c>
      <c r="AK137" s="62">
        <f t="shared" si="8"/>
        <v>0</v>
      </c>
      <c r="AL137" s="62">
        <f t="shared" si="8"/>
        <v>0</v>
      </c>
      <c r="AM137" s="62">
        <f t="shared" si="8"/>
        <v>0</v>
      </c>
      <c r="AN137" s="62">
        <f t="shared" si="8"/>
        <v>0</v>
      </c>
      <c r="AO137" s="62">
        <f t="shared" si="8"/>
        <v>0</v>
      </c>
      <c r="AP137" s="62">
        <f t="shared" si="8"/>
        <v>0</v>
      </c>
      <c r="AQ137" s="62">
        <f t="shared" si="8"/>
        <v>0</v>
      </c>
      <c r="AR137" s="62">
        <f t="shared" si="8"/>
        <v>0</v>
      </c>
      <c r="AS137" s="62">
        <f t="shared" si="8"/>
        <v>0</v>
      </c>
      <c r="AT137" s="62">
        <f t="shared" si="8"/>
        <v>0</v>
      </c>
      <c r="AU137" s="62">
        <f t="shared" si="8"/>
        <v>0</v>
      </c>
      <c r="AV137" s="62">
        <f t="shared" si="8"/>
        <v>0</v>
      </c>
      <c r="AW137" s="62">
        <f t="shared" si="8"/>
        <v>0</v>
      </c>
      <c r="AX137" s="62">
        <f t="shared" si="8"/>
        <v>0</v>
      </c>
      <c r="AY137" s="62">
        <f t="shared" si="8"/>
        <v>0</v>
      </c>
      <c r="AZ137" s="62">
        <f t="shared" si="8"/>
        <v>0</v>
      </c>
      <c r="BA137" s="62">
        <f t="shared" si="8"/>
        <v>0</v>
      </c>
      <c r="BB137" s="62">
        <f t="shared" si="8"/>
        <v>0</v>
      </c>
      <c r="BC137" s="62">
        <f t="shared" si="8"/>
        <v>0</v>
      </c>
      <c r="BD137" s="62">
        <f t="shared" si="8"/>
        <v>0</v>
      </c>
      <c r="BE137" s="62">
        <f t="shared" si="8"/>
        <v>0</v>
      </c>
      <c r="BF137" s="62">
        <f t="shared" si="8"/>
        <v>0</v>
      </c>
      <c r="BG137" s="62">
        <f t="shared" si="8"/>
        <v>0</v>
      </c>
      <c r="BH137" s="62">
        <f t="shared" si="8"/>
        <v>0</v>
      </c>
      <c r="BI137" s="62">
        <f t="shared" si="8"/>
        <v>0</v>
      </c>
      <c r="BJ137" s="62">
        <f t="shared" si="8"/>
        <v>0</v>
      </c>
      <c r="BK137" s="62">
        <f t="shared" si="8"/>
        <v>0</v>
      </c>
      <c r="BL137" s="62">
        <f t="shared" si="8"/>
        <v>0</v>
      </c>
      <c r="BM137" s="62">
        <f t="shared" si="8"/>
        <v>0</v>
      </c>
      <c r="BN137" s="62">
        <f t="shared" si="8"/>
        <v>0</v>
      </c>
      <c r="BO137" s="62">
        <f t="shared" si="8"/>
        <v>0</v>
      </c>
      <c r="BP137" s="62">
        <f t="shared" ref="BP137:EA137" si="9">SUM(BP75:BP136)</f>
        <v>0</v>
      </c>
      <c r="BQ137" s="62">
        <f t="shared" si="9"/>
        <v>0</v>
      </c>
      <c r="BR137" s="62">
        <f t="shared" si="9"/>
        <v>0</v>
      </c>
      <c r="BS137" s="62">
        <f t="shared" si="9"/>
        <v>0</v>
      </c>
      <c r="BT137" s="62">
        <f t="shared" si="9"/>
        <v>0</v>
      </c>
      <c r="BU137" s="62">
        <f t="shared" si="9"/>
        <v>0</v>
      </c>
      <c r="BV137" s="62">
        <f t="shared" si="9"/>
        <v>0</v>
      </c>
      <c r="BW137" s="62">
        <f t="shared" si="9"/>
        <v>0</v>
      </c>
      <c r="BX137" s="62">
        <f t="shared" si="9"/>
        <v>0</v>
      </c>
      <c r="BY137" s="62">
        <f t="shared" si="9"/>
        <v>0</v>
      </c>
      <c r="BZ137" s="62">
        <f t="shared" si="9"/>
        <v>1</v>
      </c>
      <c r="CA137" s="62">
        <f t="shared" si="9"/>
        <v>1</v>
      </c>
      <c r="CB137" s="62">
        <f t="shared" si="9"/>
        <v>1</v>
      </c>
      <c r="CC137" s="62">
        <f t="shared" si="9"/>
        <v>1</v>
      </c>
      <c r="CD137" s="62">
        <f t="shared" si="9"/>
        <v>1</v>
      </c>
      <c r="CE137" s="62">
        <f t="shared" si="9"/>
        <v>1</v>
      </c>
      <c r="CF137" s="62">
        <f t="shared" si="9"/>
        <v>1</v>
      </c>
      <c r="CG137" s="62">
        <f t="shared" si="9"/>
        <v>1</v>
      </c>
      <c r="CH137" s="62">
        <f t="shared" si="9"/>
        <v>1</v>
      </c>
      <c r="CI137" s="62">
        <f t="shared" si="9"/>
        <v>1</v>
      </c>
      <c r="CJ137" s="62">
        <f t="shared" si="9"/>
        <v>1</v>
      </c>
      <c r="CK137" s="62">
        <f t="shared" si="9"/>
        <v>1</v>
      </c>
      <c r="CL137" s="62">
        <f t="shared" si="9"/>
        <v>1</v>
      </c>
      <c r="CM137" s="62">
        <f t="shared" si="9"/>
        <v>1</v>
      </c>
      <c r="CN137" s="62">
        <f t="shared" si="9"/>
        <v>0</v>
      </c>
      <c r="CO137" s="62">
        <f t="shared" si="9"/>
        <v>0</v>
      </c>
      <c r="CP137" s="62">
        <f t="shared" si="9"/>
        <v>0</v>
      </c>
      <c r="CQ137" s="62">
        <f t="shared" si="9"/>
        <v>0</v>
      </c>
      <c r="CR137" s="62">
        <f t="shared" si="9"/>
        <v>0</v>
      </c>
      <c r="CS137" s="62">
        <f t="shared" si="9"/>
        <v>0</v>
      </c>
      <c r="CT137" s="62">
        <f t="shared" si="9"/>
        <v>1</v>
      </c>
      <c r="CU137" s="62">
        <f t="shared" si="9"/>
        <v>0</v>
      </c>
      <c r="CV137" s="62">
        <f t="shared" si="9"/>
        <v>0</v>
      </c>
      <c r="CW137" s="62">
        <f t="shared" si="9"/>
        <v>0</v>
      </c>
      <c r="CX137" s="62">
        <f t="shared" si="9"/>
        <v>0</v>
      </c>
      <c r="CY137" s="62">
        <f t="shared" si="9"/>
        <v>0</v>
      </c>
      <c r="CZ137" s="62">
        <f t="shared" si="9"/>
        <v>0</v>
      </c>
      <c r="DA137" s="62">
        <f t="shared" si="9"/>
        <v>0</v>
      </c>
      <c r="DB137" s="62">
        <f t="shared" si="9"/>
        <v>0</v>
      </c>
      <c r="DC137" s="62">
        <f t="shared" si="9"/>
        <v>0</v>
      </c>
      <c r="DD137" s="62">
        <f t="shared" si="9"/>
        <v>0</v>
      </c>
      <c r="DE137" s="62">
        <f t="shared" si="9"/>
        <v>0</v>
      </c>
      <c r="DF137" s="62">
        <f t="shared" si="9"/>
        <v>0</v>
      </c>
      <c r="DG137" s="62">
        <f t="shared" si="9"/>
        <v>0</v>
      </c>
      <c r="DH137" s="62">
        <f t="shared" si="9"/>
        <v>0</v>
      </c>
      <c r="DI137" s="62">
        <f t="shared" si="9"/>
        <v>0</v>
      </c>
      <c r="DJ137" s="62">
        <f t="shared" si="9"/>
        <v>0</v>
      </c>
      <c r="DK137" s="62">
        <f t="shared" si="9"/>
        <v>1</v>
      </c>
      <c r="DL137" s="62">
        <f t="shared" si="9"/>
        <v>0</v>
      </c>
      <c r="DM137" s="62">
        <f t="shared" si="9"/>
        <v>1</v>
      </c>
      <c r="DN137" s="62">
        <f t="shared" si="9"/>
        <v>1</v>
      </c>
      <c r="DO137" s="62">
        <f t="shared" si="9"/>
        <v>1</v>
      </c>
      <c r="DP137" s="62">
        <f t="shared" si="9"/>
        <v>2</v>
      </c>
      <c r="DQ137" s="62">
        <f t="shared" si="9"/>
        <v>2</v>
      </c>
      <c r="DR137" s="62">
        <f t="shared" si="9"/>
        <v>2</v>
      </c>
      <c r="DS137" s="62">
        <f t="shared" si="9"/>
        <v>2</v>
      </c>
      <c r="DT137" s="62">
        <f t="shared" si="9"/>
        <v>1</v>
      </c>
      <c r="DU137" s="62">
        <f t="shared" si="9"/>
        <v>1</v>
      </c>
      <c r="DV137" s="62">
        <f t="shared" si="9"/>
        <v>1</v>
      </c>
      <c r="DW137" s="62">
        <f t="shared" si="9"/>
        <v>0</v>
      </c>
      <c r="DX137" s="62">
        <f t="shared" si="9"/>
        <v>0</v>
      </c>
      <c r="DY137" s="62">
        <f t="shared" si="9"/>
        <v>0</v>
      </c>
      <c r="DZ137" s="62">
        <f t="shared" si="9"/>
        <v>0</v>
      </c>
      <c r="EA137" s="62">
        <f t="shared" si="9"/>
        <v>0</v>
      </c>
      <c r="EB137" s="62">
        <f t="shared" ref="EB137:GM137" si="10">SUM(EB75:EB136)</f>
        <v>0</v>
      </c>
      <c r="EC137" s="62">
        <f t="shared" si="10"/>
        <v>0</v>
      </c>
      <c r="ED137" s="62">
        <f t="shared" si="10"/>
        <v>0</v>
      </c>
      <c r="EE137" s="62">
        <f t="shared" si="10"/>
        <v>2</v>
      </c>
      <c r="EF137" s="62">
        <f t="shared" si="10"/>
        <v>3</v>
      </c>
      <c r="EG137" s="62">
        <f t="shared" si="10"/>
        <v>3</v>
      </c>
      <c r="EH137" s="62">
        <f t="shared" si="10"/>
        <v>2</v>
      </c>
      <c r="EI137" s="62">
        <f t="shared" si="10"/>
        <v>1</v>
      </c>
      <c r="EJ137" s="62">
        <f t="shared" si="10"/>
        <v>1</v>
      </c>
      <c r="EK137" s="62">
        <f t="shared" si="10"/>
        <v>2</v>
      </c>
      <c r="EL137" s="62">
        <f t="shared" si="10"/>
        <v>2</v>
      </c>
      <c r="EM137" s="62">
        <f t="shared" si="10"/>
        <v>2</v>
      </c>
      <c r="EN137" s="62">
        <f t="shared" si="10"/>
        <v>2</v>
      </c>
      <c r="EO137" s="62">
        <f t="shared" si="10"/>
        <v>2</v>
      </c>
      <c r="EP137" s="62">
        <f t="shared" si="10"/>
        <v>2</v>
      </c>
      <c r="EQ137" s="62">
        <f t="shared" si="10"/>
        <v>2</v>
      </c>
      <c r="ER137" s="62">
        <f t="shared" si="10"/>
        <v>2</v>
      </c>
      <c r="ES137" s="62">
        <f t="shared" si="10"/>
        <v>2</v>
      </c>
      <c r="ET137" s="62">
        <f t="shared" si="10"/>
        <v>1</v>
      </c>
      <c r="EU137" s="62">
        <f t="shared" si="10"/>
        <v>1</v>
      </c>
      <c r="EV137" s="62">
        <f t="shared" si="10"/>
        <v>1</v>
      </c>
      <c r="EW137" s="62">
        <f t="shared" si="10"/>
        <v>1</v>
      </c>
      <c r="EX137" s="62">
        <f t="shared" si="10"/>
        <v>0</v>
      </c>
      <c r="EY137" s="62">
        <f t="shared" si="10"/>
        <v>1</v>
      </c>
      <c r="EZ137" s="62">
        <f t="shared" si="10"/>
        <v>0</v>
      </c>
      <c r="FA137" s="62">
        <f t="shared" si="10"/>
        <v>0</v>
      </c>
      <c r="FB137" s="62">
        <f t="shared" si="10"/>
        <v>0</v>
      </c>
      <c r="FC137" s="62">
        <f t="shared" si="10"/>
        <v>0</v>
      </c>
      <c r="FD137" s="62">
        <f t="shared" si="10"/>
        <v>0</v>
      </c>
      <c r="FE137" s="62">
        <f t="shared" si="10"/>
        <v>0</v>
      </c>
      <c r="FF137" s="62">
        <f t="shared" si="10"/>
        <v>1</v>
      </c>
      <c r="FG137" s="62">
        <f t="shared" si="10"/>
        <v>2</v>
      </c>
      <c r="FH137" s="62">
        <f t="shared" si="10"/>
        <v>0</v>
      </c>
      <c r="FI137" s="62">
        <f t="shared" si="10"/>
        <v>0</v>
      </c>
      <c r="FJ137" s="62">
        <f t="shared" si="10"/>
        <v>1</v>
      </c>
      <c r="FK137" s="62">
        <f t="shared" si="10"/>
        <v>0</v>
      </c>
      <c r="FL137" s="62">
        <f t="shared" si="10"/>
        <v>2</v>
      </c>
      <c r="FM137" s="62">
        <f t="shared" si="10"/>
        <v>2</v>
      </c>
      <c r="FN137" s="62">
        <f t="shared" si="10"/>
        <v>3</v>
      </c>
      <c r="FO137" s="62">
        <f t="shared" si="10"/>
        <v>3</v>
      </c>
      <c r="FP137" s="62">
        <f t="shared" si="10"/>
        <v>2</v>
      </c>
      <c r="FQ137" s="62">
        <f t="shared" si="10"/>
        <v>2</v>
      </c>
      <c r="FR137" s="62">
        <f t="shared" si="10"/>
        <v>1</v>
      </c>
      <c r="FS137" s="62">
        <f t="shared" si="10"/>
        <v>2</v>
      </c>
      <c r="FT137" s="62">
        <f t="shared" si="10"/>
        <v>2</v>
      </c>
      <c r="FU137" s="62">
        <f t="shared" si="10"/>
        <v>4</v>
      </c>
      <c r="FV137" s="62">
        <f t="shared" si="10"/>
        <v>1</v>
      </c>
      <c r="FW137" s="62">
        <f t="shared" si="10"/>
        <v>2</v>
      </c>
      <c r="FX137" s="62">
        <f t="shared" si="10"/>
        <v>2</v>
      </c>
      <c r="FY137" s="62">
        <f t="shared" si="10"/>
        <v>5</v>
      </c>
      <c r="FZ137" s="62">
        <f t="shared" si="10"/>
        <v>7</v>
      </c>
      <c r="GA137" s="62">
        <f t="shared" si="10"/>
        <v>7</v>
      </c>
      <c r="GB137" s="62">
        <f t="shared" si="10"/>
        <v>11</v>
      </c>
      <c r="GC137" s="62">
        <f t="shared" si="10"/>
        <v>16</v>
      </c>
      <c r="GD137" s="62">
        <f t="shared" si="10"/>
        <v>21</v>
      </c>
      <c r="GE137" s="62">
        <f t="shared" si="10"/>
        <v>22</v>
      </c>
      <c r="GF137" s="62">
        <f t="shared" si="10"/>
        <v>23</v>
      </c>
      <c r="GG137" s="62">
        <f t="shared" si="10"/>
        <v>25</v>
      </c>
      <c r="GH137" s="62">
        <f t="shared" si="10"/>
        <v>29</v>
      </c>
      <c r="GI137" s="62">
        <f t="shared" si="10"/>
        <v>32</v>
      </c>
      <c r="GJ137" s="62">
        <f t="shared" si="10"/>
        <v>30</v>
      </c>
      <c r="GK137" s="62">
        <f t="shared" si="10"/>
        <v>30</v>
      </c>
      <c r="GL137" s="62">
        <f t="shared" si="10"/>
        <v>32</v>
      </c>
      <c r="GM137" s="62">
        <f t="shared" si="10"/>
        <v>38</v>
      </c>
      <c r="GN137" s="62">
        <f t="shared" ref="GN137:HI137" si="11">SUM(GN75:GN136)</f>
        <v>36</v>
      </c>
      <c r="GO137" s="62">
        <f t="shared" si="11"/>
        <v>33</v>
      </c>
      <c r="GP137" s="62">
        <f t="shared" si="11"/>
        <v>31</v>
      </c>
      <c r="GQ137" s="62">
        <f t="shared" si="11"/>
        <v>29</v>
      </c>
      <c r="GR137" s="62">
        <f t="shared" si="11"/>
        <v>22</v>
      </c>
      <c r="GS137" s="62">
        <f t="shared" si="11"/>
        <v>23</v>
      </c>
      <c r="GT137" s="62">
        <f t="shared" si="11"/>
        <v>20</v>
      </c>
      <c r="GU137" s="62">
        <f t="shared" si="11"/>
        <v>17</v>
      </c>
      <c r="GV137" s="62">
        <f t="shared" si="11"/>
        <v>16</v>
      </c>
      <c r="GW137" s="62">
        <f t="shared" si="11"/>
        <v>17</v>
      </c>
      <c r="GX137" s="62">
        <f t="shared" si="11"/>
        <v>16</v>
      </c>
      <c r="GY137" s="62">
        <f t="shared" si="11"/>
        <v>16</v>
      </c>
      <c r="GZ137" s="62">
        <f t="shared" si="11"/>
        <v>14</v>
      </c>
      <c r="HA137" s="62">
        <f t="shared" si="11"/>
        <v>12</v>
      </c>
      <c r="HB137" s="62">
        <f t="shared" si="11"/>
        <v>10</v>
      </c>
      <c r="HC137" s="62">
        <f t="shared" si="11"/>
        <v>9</v>
      </c>
      <c r="HD137" s="62">
        <f t="shared" si="11"/>
        <v>8</v>
      </c>
      <c r="HE137" s="62">
        <f t="shared" si="11"/>
        <v>9</v>
      </c>
      <c r="HF137" s="62">
        <f t="shared" si="11"/>
        <v>9</v>
      </c>
      <c r="HG137" s="62">
        <f t="shared" si="11"/>
        <v>12</v>
      </c>
      <c r="HH137" s="62">
        <f t="shared" si="11"/>
        <v>0</v>
      </c>
      <c r="HI137" s="62">
        <f t="shared" si="11"/>
        <v>0</v>
      </c>
      <c r="HJ137" s="63"/>
      <c r="HK137" s="63"/>
      <c r="HM137" s="67"/>
      <c r="HN137" s="63"/>
      <c r="HO137" s="63"/>
      <c r="HP137" s="68"/>
    </row>
    <row r="138" spans="1:251" x14ac:dyDescent="0.3">
      <c r="B138" s="62" t="s">
        <v>7385</v>
      </c>
      <c r="C138" s="62">
        <f>C71+C137</f>
        <v>0</v>
      </c>
      <c r="D138" s="62">
        <f t="shared" ref="D138:BO138" si="12">D71+D137</f>
        <v>0</v>
      </c>
      <c r="E138" s="62">
        <f t="shared" si="12"/>
        <v>2</v>
      </c>
      <c r="F138" s="62">
        <f t="shared" si="12"/>
        <v>2</v>
      </c>
      <c r="G138" s="62">
        <f t="shared" si="12"/>
        <v>2</v>
      </c>
      <c r="H138" s="62">
        <f t="shared" si="12"/>
        <v>2</v>
      </c>
      <c r="I138" s="62">
        <f t="shared" si="12"/>
        <v>2</v>
      </c>
      <c r="J138" s="62">
        <f t="shared" si="12"/>
        <v>3</v>
      </c>
      <c r="K138" s="62">
        <f t="shared" si="12"/>
        <v>2</v>
      </c>
      <c r="L138" s="62">
        <f t="shared" si="12"/>
        <v>2</v>
      </c>
      <c r="M138" s="62">
        <f t="shared" si="12"/>
        <v>2</v>
      </c>
      <c r="N138" s="62">
        <f t="shared" si="12"/>
        <v>2</v>
      </c>
      <c r="O138" s="62">
        <f t="shared" si="12"/>
        <v>5</v>
      </c>
      <c r="P138" s="62">
        <f t="shared" si="12"/>
        <v>3</v>
      </c>
      <c r="Q138" s="62">
        <f t="shared" si="12"/>
        <v>3</v>
      </c>
      <c r="R138" s="62">
        <f t="shared" si="12"/>
        <v>1</v>
      </c>
      <c r="S138" s="62">
        <f t="shared" si="12"/>
        <v>1</v>
      </c>
      <c r="T138" s="62">
        <f t="shared" si="12"/>
        <v>0</v>
      </c>
      <c r="U138" s="62">
        <f t="shared" si="12"/>
        <v>0</v>
      </c>
      <c r="V138" s="62">
        <f t="shared" si="12"/>
        <v>0</v>
      </c>
      <c r="W138" s="62">
        <f t="shared" si="12"/>
        <v>1</v>
      </c>
      <c r="X138" s="62">
        <f t="shared" si="12"/>
        <v>0</v>
      </c>
      <c r="Y138" s="62">
        <f t="shared" si="12"/>
        <v>0</v>
      </c>
      <c r="Z138" s="62">
        <f t="shared" si="12"/>
        <v>0</v>
      </c>
      <c r="AA138" s="62">
        <f t="shared" si="12"/>
        <v>1</v>
      </c>
      <c r="AB138" s="62">
        <f t="shared" si="12"/>
        <v>1</v>
      </c>
      <c r="AC138" s="62">
        <f t="shared" si="12"/>
        <v>6</v>
      </c>
      <c r="AD138" s="62">
        <f t="shared" si="12"/>
        <v>7</v>
      </c>
      <c r="AE138" s="62">
        <f t="shared" si="12"/>
        <v>14</v>
      </c>
      <c r="AF138" s="62">
        <f t="shared" si="12"/>
        <v>13</v>
      </c>
      <c r="AG138" s="62">
        <f t="shared" si="12"/>
        <v>14</v>
      </c>
      <c r="AH138" s="62">
        <f t="shared" si="12"/>
        <v>13</v>
      </c>
      <c r="AI138" s="62">
        <f t="shared" si="12"/>
        <v>13</v>
      </c>
      <c r="AJ138" s="62">
        <f t="shared" si="12"/>
        <v>14</v>
      </c>
      <c r="AK138" s="62">
        <f t="shared" si="12"/>
        <v>14</v>
      </c>
      <c r="AL138" s="62">
        <f t="shared" si="12"/>
        <v>13</v>
      </c>
      <c r="AM138" s="62">
        <f t="shared" si="12"/>
        <v>13</v>
      </c>
      <c r="AN138" s="62">
        <f t="shared" si="12"/>
        <v>15</v>
      </c>
      <c r="AO138" s="62">
        <f t="shared" si="12"/>
        <v>15</v>
      </c>
      <c r="AP138" s="62">
        <f t="shared" si="12"/>
        <v>16</v>
      </c>
      <c r="AQ138" s="62">
        <f t="shared" si="12"/>
        <v>15</v>
      </c>
      <c r="AR138" s="62">
        <f t="shared" si="12"/>
        <v>13</v>
      </c>
      <c r="AS138" s="62">
        <f t="shared" si="12"/>
        <v>11</v>
      </c>
      <c r="AT138" s="62">
        <f t="shared" si="12"/>
        <v>10</v>
      </c>
      <c r="AU138" s="62">
        <f t="shared" si="12"/>
        <v>11</v>
      </c>
      <c r="AV138" s="62">
        <f t="shared" si="12"/>
        <v>11</v>
      </c>
      <c r="AW138" s="62">
        <f t="shared" si="12"/>
        <v>9</v>
      </c>
      <c r="AX138" s="62">
        <f t="shared" si="12"/>
        <v>9</v>
      </c>
      <c r="AY138" s="62">
        <f t="shared" si="12"/>
        <v>10</v>
      </c>
      <c r="AZ138" s="62">
        <f t="shared" si="12"/>
        <v>9</v>
      </c>
      <c r="BA138" s="62">
        <f t="shared" si="12"/>
        <v>12</v>
      </c>
      <c r="BB138" s="62">
        <f t="shared" si="12"/>
        <v>10</v>
      </c>
      <c r="BC138" s="62">
        <f t="shared" si="12"/>
        <v>10</v>
      </c>
      <c r="BD138" s="62">
        <f t="shared" si="12"/>
        <v>10</v>
      </c>
      <c r="BE138" s="62">
        <f t="shared" si="12"/>
        <v>11</v>
      </c>
      <c r="BF138" s="62">
        <f t="shared" si="12"/>
        <v>11</v>
      </c>
      <c r="BG138" s="62">
        <f t="shared" si="12"/>
        <v>11</v>
      </c>
      <c r="BH138" s="62">
        <f t="shared" si="12"/>
        <v>9</v>
      </c>
      <c r="BI138" s="62">
        <f t="shared" si="12"/>
        <v>8</v>
      </c>
      <c r="BJ138" s="62">
        <f t="shared" si="12"/>
        <v>8</v>
      </c>
      <c r="BK138" s="62">
        <f t="shared" si="12"/>
        <v>8</v>
      </c>
      <c r="BL138" s="62">
        <f t="shared" si="12"/>
        <v>7</v>
      </c>
      <c r="BM138" s="62">
        <f t="shared" si="12"/>
        <v>6</v>
      </c>
      <c r="BN138" s="62">
        <f t="shared" si="12"/>
        <v>5</v>
      </c>
      <c r="BO138" s="62">
        <f t="shared" si="12"/>
        <v>5</v>
      </c>
      <c r="BP138" s="62">
        <f t="shared" ref="BP138:EA138" si="13">BP71+BP137</f>
        <v>5</v>
      </c>
      <c r="BQ138" s="62">
        <f t="shared" si="13"/>
        <v>6</v>
      </c>
      <c r="BR138" s="62">
        <f t="shared" si="13"/>
        <v>7</v>
      </c>
      <c r="BS138" s="62">
        <f t="shared" si="13"/>
        <v>7</v>
      </c>
      <c r="BT138" s="62">
        <f t="shared" si="13"/>
        <v>7</v>
      </c>
      <c r="BU138" s="62">
        <f t="shared" si="13"/>
        <v>7</v>
      </c>
      <c r="BV138" s="62">
        <f t="shared" si="13"/>
        <v>5</v>
      </c>
      <c r="BW138" s="62">
        <f t="shared" si="13"/>
        <v>6</v>
      </c>
      <c r="BX138" s="62">
        <f t="shared" si="13"/>
        <v>8</v>
      </c>
      <c r="BY138" s="62">
        <f t="shared" si="13"/>
        <v>9</v>
      </c>
      <c r="BZ138" s="62">
        <f t="shared" si="13"/>
        <v>10</v>
      </c>
      <c r="CA138" s="62">
        <f t="shared" si="13"/>
        <v>15</v>
      </c>
      <c r="CB138" s="62">
        <f t="shared" si="13"/>
        <v>16</v>
      </c>
      <c r="CC138" s="62">
        <f t="shared" si="13"/>
        <v>16</v>
      </c>
      <c r="CD138" s="62">
        <f t="shared" si="13"/>
        <v>14</v>
      </c>
      <c r="CE138" s="62">
        <f t="shared" si="13"/>
        <v>15</v>
      </c>
      <c r="CF138" s="62">
        <f t="shared" si="13"/>
        <v>14</v>
      </c>
      <c r="CG138" s="62">
        <f t="shared" si="13"/>
        <v>12</v>
      </c>
      <c r="CH138" s="62">
        <f t="shared" si="13"/>
        <v>11</v>
      </c>
      <c r="CI138" s="62">
        <f t="shared" si="13"/>
        <v>10</v>
      </c>
      <c r="CJ138" s="62">
        <f t="shared" si="13"/>
        <v>11</v>
      </c>
      <c r="CK138" s="62">
        <f t="shared" si="13"/>
        <v>7</v>
      </c>
      <c r="CL138" s="62">
        <f t="shared" si="13"/>
        <v>7</v>
      </c>
      <c r="CM138" s="62">
        <f t="shared" si="13"/>
        <v>7</v>
      </c>
      <c r="CN138" s="62">
        <f t="shared" si="13"/>
        <v>4</v>
      </c>
      <c r="CO138" s="62">
        <f t="shared" si="13"/>
        <v>4</v>
      </c>
      <c r="CP138" s="62">
        <f t="shared" si="13"/>
        <v>4</v>
      </c>
      <c r="CQ138" s="62">
        <f t="shared" si="13"/>
        <v>7</v>
      </c>
      <c r="CR138" s="62">
        <f t="shared" si="13"/>
        <v>6</v>
      </c>
      <c r="CS138" s="62">
        <f t="shared" si="13"/>
        <v>8</v>
      </c>
      <c r="CT138" s="62">
        <f t="shared" si="13"/>
        <v>9</v>
      </c>
      <c r="CU138" s="62">
        <f t="shared" si="13"/>
        <v>6</v>
      </c>
      <c r="CV138" s="62">
        <f t="shared" si="13"/>
        <v>6</v>
      </c>
      <c r="CW138" s="62">
        <f t="shared" si="13"/>
        <v>6</v>
      </c>
      <c r="CX138" s="62">
        <f t="shared" si="13"/>
        <v>6</v>
      </c>
      <c r="CY138" s="62">
        <f t="shared" si="13"/>
        <v>7</v>
      </c>
      <c r="CZ138" s="62">
        <f t="shared" si="13"/>
        <v>8</v>
      </c>
      <c r="DA138" s="62">
        <f t="shared" si="13"/>
        <v>7</v>
      </c>
      <c r="DB138" s="62">
        <f t="shared" si="13"/>
        <v>8</v>
      </c>
      <c r="DC138" s="62">
        <f t="shared" si="13"/>
        <v>8</v>
      </c>
      <c r="DD138" s="62">
        <f t="shared" si="13"/>
        <v>6</v>
      </c>
      <c r="DE138" s="62">
        <f t="shared" si="13"/>
        <v>6</v>
      </c>
      <c r="DF138" s="62">
        <f t="shared" si="13"/>
        <v>6</v>
      </c>
      <c r="DG138" s="62">
        <f t="shared" si="13"/>
        <v>5</v>
      </c>
      <c r="DH138" s="62">
        <f t="shared" si="13"/>
        <v>5</v>
      </c>
      <c r="DI138" s="62">
        <f t="shared" si="13"/>
        <v>5</v>
      </c>
      <c r="DJ138" s="62">
        <f t="shared" si="13"/>
        <v>5</v>
      </c>
      <c r="DK138" s="62">
        <f t="shared" si="13"/>
        <v>4</v>
      </c>
      <c r="DL138" s="62">
        <f t="shared" si="13"/>
        <v>2</v>
      </c>
      <c r="DM138" s="62">
        <f t="shared" si="13"/>
        <v>6</v>
      </c>
      <c r="DN138" s="62">
        <f t="shared" si="13"/>
        <v>9</v>
      </c>
      <c r="DO138" s="62">
        <f t="shared" si="13"/>
        <v>8</v>
      </c>
      <c r="DP138" s="62">
        <f t="shared" si="13"/>
        <v>9</v>
      </c>
      <c r="DQ138" s="62">
        <f t="shared" si="13"/>
        <v>9</v>
      </c>
      <c r="DR138" s="62">
        <f t="shared" si="13"/>
        <v>9</v>
      </c>
      <c r="DS138" s="62">
        <f t="shared" si="13"/>
        <v>9</v>
      </c>
      <c r="DT138" s="62">
        <f t="shared" si="13"/>
        <v>10</v>
      </c>
      <c r="DU138" s="62">
        <f t="shared" si="13"/>
        <v>9</v>
      </c>
      <c r="DV138" s="62">
        <f t="shared" si="13"/>
        <v>7</v>
      </c>
      <c r="DW138" s="62">
        <f t="shared" si="13"/>
        <v>6</v>
      </c>
      <c r="DX138" s="62">
        <f t="shared" si="13"/>
        <v>4</v>
      </c>
      <c r="DY138" s="62">
        <f t="shared" si="13"/>
        <v>3</v>
      </c>
      <c r="DZ138" s="62">
        <f t="shared" si="13"/>
        <v>3</v>
      </c>
      <c r="EA138" s="62">
        <f t="shared" si="13"/>
        <v>4</v>
      </c>
      <c r="EB138" s="62">
        <f t="shared" ref="EB138:GM138" si="14">EB71+EB137</f>
        <v>4</v>
      </c>
      <c r="EC138" s="62">
        <f t="shared" si="14"/>
        <v>4</v>
      </c>
      <c r="ED138" s="62">
        <f t="shared" si="14"/>
        <v>10</v>
      </c>
      <c r="EE138" s="62">
        <f t="shared" si="14"/>
        <v>22</v>
      </c>
      <c r="EF138" s="62">
        <f t="shared" si="14"/>
        <v>26</v>
      </c>
      <c r="EG138" s="62">
        <f t="shared" si="14"/>
        <v>23</v>
      </c>
      <c r="EH138" s="62">
        <f t="shared" si="14"/>
        <v>21</v>
      </c>
      <c r="EI138" s="62">
        <f t="shared" si="14"/>
        <v>21</v>
      </c>
      <c r="EJ138" s="62">
        <f t="shared" si="14"/>
        <v>19</v>
      </c>
      <c r="EK138" s="62">
        <f t="shared" si="14"/>
        <v>19</v>
      </c>
      <c r="EL138" s="62">
        <f t="shared" si="14"/>
        <v>18</v>
      </c>
      <c r="EM138" s="62">
        <f t="shared" si="14"/>
        <v>22</v>
      </c>
      <c r="EN138" s="62">
        <f t="shared" si="14"/>
        <v>23</v>
      </c>
      <c r="EO138" s="62">
        <f t="shared" si="14"/>
        <v>24</v>
      </c>
      <c r="EP138" s="62">
        <f t="shared" si="14"/>
        <v>23</v>
      </c>
      <c r="EQ138" s="62">
        <f t="shared" si="14"/>
        <v>21</v>
      </c>
      <c r="ER138" s="62">
        <f t="shared" si="14"/>
        <v>19</v>
      </c>
      <c r="ES138" s="62">
        <f t="shared" si="14"/>
        <v>19</v>
      </c>
      <c r="ET138" s="62">
        <f t="shared" si="14"/>
        <v>15</v>
      </c>
      <c r="EU138" s="62">
        <f t="shared" si="14"/>
        <v>14</v>
      </c>
      <c r="EV138" s="62">
        <f t="shared" si="14"/>
        <v>13</v>
      </c>
      <c r="EW138" s="62">
        <f t="shared" si="14"/>
        <v>12</v>
      </c>
      <c r="EX138" s="62">
        <f t="shared" si="14"/>
        <v>12</v>
      </c>
      <c r="EY138" s="62">
        <f t="shared" si="14"/>
        <v>11</v>
      </c>
      <c r="EZ138" s="62">
        <f t="shared" si="14"/>
        <v>6</v>
      </c>
      <c r="FA138" s="62">
        <f t="shared" si="14"/>
        <v>5</v>
      </c>
      <c r="FB138" s="62">
        <f t="shared" si="14"/>
        <v>4</v>
      </c>
      <c r="FC138" s="62">
        <f t="shared" si="14"/>
        <v>7</v>
      </c>
      <c r="FD138" s="62">
        <f t="shared" si="14"/>
        <v>5</v>
      </c>
      <c r="FE138" s="62">
        <f t="shared" si="14"/>
        <v>8</v>
      </c>
      <c r="FF138" s="62">
        <f t="shared" si="14"/>
        <v>5</v>
      </c>
      <c r="FG138" s="62">
        <f t="shared" si="14"/>
        <v>6</v>
      </c>
      <c r="FH138" s="62">
        <f t="shared" si="14"/>
        <v>6</v>
      </c>
      <c r="FI138" s="62">
        <f t="shared" si="14"/>
        <v>6</v>
      </c>
      <c r="FJ138" s="62">
        <f t="shared" si="14"/>
        <v>9</v>
      </c>
      <c r="FK138" s="62">
        <f t="shared" si="14"/>
        <v>5</v>
      </c>
      <c r="FL138" s="62">
        <f t="shared" si="14"/>
        <v>8</v>
      </c>
      <c r="FM138" s="62">
        <f t="shared" si="14"/>
        <v>6</v>
      </c>
      <c r="FN138" s="62">
        <f t="shared" si="14"/>
        <v>7</v>
      </c>
      <c r="FO138" s="62">
        <f t="shared" si="14"/>
        <v>7</v>
      </c>
      <c r="FP138" s="62">
        <f t="shared" si="14"/>
        <v>8</v>
      </c>
      <c r="FQ138" s="62">
        <f t="shared" si="14"/>
        <v>6</v>
      </c>
      <c r="FR138" s="62">
        <f t="shared" si="14"/>
        <v>4</v>
      </c>
      <c r="FS138" s="62">
        <f t="shared" si="14"/>
        <v>6</v>
      </c>
      <c r="FT138" s="62">
        <f t="shared" si="14"/>
        <v>6</v>
      </c>
      <c r="FU138" s="62">
        <f t="shared" si="14"/>
        <v>8</v>
      </c>
      <c r="FV138" s="62">
        <f t="shared" si="14"/>
        <v>5</v>
      </c>
      <c r="FW138" s="62">
        <f t="shared" si="14"/>
        <v>6</v>
      </c>
      <c r="FX138" s="62">
        <f t="shared" si="14"/>
        <v>4</v>
      </c>
      <c r="FY138" s="62">
        <f t="shared" si="14"/>
        <v>9</v>
      </c>
      <c r="FZ138" s="62">
        <f t="shared" si="14"/>
        <v>13</v>
      </c>
      <c r="GA138" s="62">
        <f t="shared" si="14"/>
        <v>13</v>
      </c>
      <c r="GB138" s="62">
        <f t="shared" si="14"/>
        <v>21</v>
      </c>
      <c r="GC138" s="62">
        <f t="shared" si="14"/>
        <v>30</v>
      </c>
      <c r="GD138" s="62">
        <f t="shared" si="14"/>
        <v>44</v>
      </c>
      <c r="GE138" s="62">
        <f t="shared" si="14"/>
        <v>43</v>
      </c>
      <c r="GF138" s="62">
        <f t="shared" si="14"/>
        <v>44</v>
      </c>
      <c r="GG138" s="62">
        <f t="shared" si="14"/>
        <v>50</v>
      </c>
      <c r="GH138" s="62">
        <f t="shared" si="14"/>
        <v>53</v>
      </c>
      <c r="GI138" s="62">
        <f t="shared" si="14"/>
        <v>54</v>
      </c>
      <c r="GJ138" s="62">
        <f t="shared" si="14"/>
        <v>53</v>
      </c>
      <c r="GK138" s="62">
        <f t="shared" si="14"/>
        <v>53</v>
      </c>
      <c r="GL138" s="62">
        <f t="shared" si="14"/>
        <v>52</v>
      </c>
      <c r="GM138" s="62">
        <f t="shared" si="14"/>
        <v>57</v>
      </c>
      <c r="GN138" s="62">
        <f t="shared" ref="GN138:HF138" si="15">GN71+GN137</f>
        <v>54</v>
      </c>
      <c r="GO138" s="62">
        <f t="shared" si="15"/>
        <v>50</v>
      </c>
      <c r="GP138" s="62">
        <f t="shared" si="15"/>
        <v>44</v>
      </c>
      <c r="GQ138" s="62">
        <f t="shared" si="15"/>
        <v>41</v>
      </c>
      <c r="GR138" s="62">
        <f t="shared" si="15"/>
        <v>33</v>
      </c>
      <c r="GS138" s="62">
        <f t="shared" si="15"/>
        <v>31</v>
      </c>
      <c r="GT138" s="62">
        <f t="shared" si="15"/>
        <v>28</v>
      </c>
      <c r="GU138" s="62">
        <f t="shared" si="15"/>
        <v>28</v>
      </c>
      <c r="GV138" s="62">
        <f t="shared" si="15"/>
        <v>24</v>
      </c>
      <c r="GW138" s="62">
        <f t="shared" si="15"/>
        <v>26</v>
      </c>
      <c r="GX138" s="62">
        <f t="shared" si="15"/>
        <v>26</v>
      </c>
      <c r="GY138" s="62">
        <f t="shared" si="15"/>
        <v>26</v>
      </c>
      <c r="GZ138" s="62">
        <f t="shared" si="15"/>
        <v>24</v>
      </c>
      <c r="HA138" s="62">
        <f t="shared" si="15"/>
        <v>17</v>
      </c>
      <c r="HB138" s="62">
        <f t="shared" si="15"/>
        <v>15</v>
      </c>
      <c r="HC138" s="62">
        <f t="shared" si="15"/>
        <v>15</v>
      </c>
      <c r="HD138" s="62">
        <f t="shared" si="15"/>
        <v>14</v>
      </c>
      <c r="HE138" s="62">
        <f t="shared" si="15"/>
        <v>14</v>
      </c>
      <c r="HF138" s="62">
        <f t="shared" si="15"/>
        <v>13</v>
      </c>
      <c r="HG138" s="62">
        <f>HG71+HG137</f>
        <v>17</v>
      </c>
      <c r="HH138" s="62">
        <f>HH71+HH137</f>
        <v>3</v>
      </c>
      <c r="HI138" s="62">
        <f>HI71+HI137</f>
        <v>3</v>
      </c>
      <c r="HJ138" s="63"/>
      <c r="HK138" s="63"/>
      <c r="HM138" s="67"/>
      <c r="HN138" s="63"/>
      <c r="HO138" s="63"/>
      <c r="HP138" s="68"/>
    </row>
    <row r="139" spans="1:251" x14ac:dyDescent="0.3">
      <c r="A139" s="61" t="s">
        <v>7386</v>
      </c>
      <c r="C139" s="60" t="s">
        <v>7387</v>
      </c>
      <c r="D139" s="60" t="s">
        <v>7387</v>
      </c>
      <c r="E139" s="60" t="s">
        <v>7387</v>
      </c>
      <c r="F139" s="60" t="s">
        <v>7387</v>
      </c>
      <c r="G139" s="63">
        <v>0</v>
      </c>
      <c r="H139" s="63">
        <v>0</v>
      </c>
      <c r="I139" s="63">
        <v>0</v>
      </c>
      <c r="J139" s="63">
        <v>0</v>
      </c>
      <c r="K139" s="63">
        <v>0</v>
      </c>
      <c r="L139" s="63">
        <v>0</v>
      </c>
      <c r="M139" s="63">
        <v>0</v>
      </c>
      <c r="N139" s="63">
        <v>0</v>
      </c>
      <c r="O139" s="63">
        <v>0</v>
      </c>
      <c r="P139" s="63">
        <v>0</v>
      </c>
      <c r="Q139" s="63">
        <v>0</v>
      </c>
      <c r="R139" s="63">
        <v>0</v>
      </c>
      <c r="S139" s="63">
        <v>0</v>
      </c>
      <c r="T139" s="63">
        <v>0</v>
      </c>
      <c r="U139" s="63">
        <v>0</v>
      </c>
      <c r="V139" s="63">
        <v>0</v>
      </c>
      <c r="W139" s="63">
        <v>0</v>
      </c>
      <c r="X139" s="63">
        <v>0</v>
      </c>
      <c r="Y139" s="63">
        <v>0</v>
      </c>
      <c r="Z139" s="63">
        <v>0</v>
      </c>
      <c r="AA139" s="63">
        <v>0</v>
      </c>
      <c r="AB139" s="63">
        <v>0</v>
      </c>
      <c r="AC139" s="63">
        <v>0</v>
      </c>
      <c r="AD139" s="63">
        <v>0</v>
      </c>
      <c r="AE139" s="63">
        <v>0</v>
      </c>
      <c r="AF139" s="63">
        <v>0</v>
      </c>
      <c r="AG139" s="63">
        <v>0</v>
      </c>
      <c r="AH139" s="63">
        <v>0</v>
      </c>
      <c r="AI139" s="63">
        <v>0</v>
      </c>
      <c r="AJ139" s="63">
        <v>0</v>
      </c>
      <c r="AK139" s="63">
        <v>0</v>
      </c>
      <c r="AL139" s="63">
        <v>0</v>
      </c>
      <c r="AM139" s="63">
        <v>0</v>
      </c>
      <c r="AN139" s="63">
        <v>0</v>
      </c>
      <c r="AO139" s="63">
        <v>0</v>
      </c>
      <c r="AP139" s="63">
        <v>0</v>
      </c>
      <c r="AQ139" s="63">
        <v>0</v>
      </c>
      <c r="AR139" s="63">
        <v>0</v>
      </c>
      <c r="AS139" s="63">
        <v>0</v>
      </c>
      <c r="AT139" s="63">
        <v>0</v>
      </c>
      <c r="AU139" s="63">
        <v>0</v>
      </c>
      <c r="AV139" s="63">
        <v>0</v>
      </c>
      <c r="AW139" s="63">
        <v>0</v>
      </c>
      <c r="AX139" s="63">
        <v>0</v>
      </c>
      <c r="AY139" s="63">
        <v>0</v>
      </c>
      <c r="AZ139" s="63">
        <v>0</v>
      </c>
      <c r="BA139" s="63">
        <v>0</v>
      </c>
      <c r="BB139" s="63">
        <v>0</v>
      </c>
      <c r="BC139" s="63">
        <v>0</v>
      </c>
      <c r="BD139" s="63">
        <v>0</v>
      </c>
      <c r="BE139" s="63">
        <v>0</v>
      </c>
      <c r="BF139" s="63">
        <v>0</v>
      </c>
      <c r="BG139" s="63">
        <v>0</v>
      </c>
      <c r="BH139" s="63">
        <v>0</v>
      </c>
      <c r="BI139" s="63">
        <v>0</v>
      </c>
      <c r="BJ139" s="63">
        <v>0</v>
      </c>
      <c r="BK139" s="63">
        <v>0</v>
      </c>
      <c r="BL139" s="63">
        <v>0</v>
      </c>
      <c r="BM139" s="63">
        <v>0</v>
      </c>
      <c r="BN139" s="63">
        <v>0</v>
      </c>
      <c r="BO139" s="63">
        <v>0</v>
      </c>
      <c r="BP139" s="63">
        <v>0</v>
      </c>
      <c r="BQ139" s="63">
        <v>0</v>
      </c>
      <c r="BR139" s="63">
        <v>0</v>
      </c>
      <c r="BS139" s="63">
        <v>0</v>
      </c>
      <c r="BT139" s="63">
        <v>0</v>
      </c>
      <c r="BU139" s="63">
        <v>0</v>
      </c>
      <c r="BV139" s="63">
        <v>0</v>
      </c>
      <c r="BW139" s="63">
        <v>0</v>
      </c>
      <c r="BX139" s="63">
        <v>0</v>
      </c>
      <c r="BY139" s="63">
        <v>0</v>
      </c>
      <c r="BZ139" s="67">
        <v>33.333333333333336</v>
      </c>
      <c r="CA139" s="67">
        <v>33.333333333333336</v>
      </c>
      <c r="CB139" s="67">
        <v>33.333333333333336</v>
      </c>
      <c r="CC139" s="67">
        <v>25</v>
      </c>
      <c r="CD139" s="67">
        <v>25</v>
      </c>
      <c r="CE139" s="67">
        <v>25</v>
      </c>
      <c r="CF139" s="67">
        <v>25</v>
      </c>
      <c r="CG139" s="67">
        <v>25</v>
      </c>
      <c r="CH139" s="67">
        <v>25</v>
      </c>
      <c r="CI139" s="67">
        <v>25</v>
      </c>
      <c r="CJ139" s="67">
        <v>25</v>
      </c>
      <c r="CK139" s="67">
        <v>25</v>
      </c>
      <c r="CL139" s="67">
        <v>25</v>
      </c>
      <c r="CM139" s="67">
        <v>25</v>
      </c>
      <c r="CN139" s="67">
        <v>0</v>
      </c>
      <c r="CO139" s="67">
        <v>0</v>
      </c>
      <c r="CP139" s="67">
        <v>0</v>
      </c>
      <c r="CQ139" s="67">
        <v>0</v>
      </c>
      <c r="CR139" s="67">
        <v>0</v>
      </c>
      <c r="CS139" s="67">
        <v>0</v>
      </c>
      <c r="CT139" s="67">
        <v>25</v>
      </c>
      <c r="CU139" s="67">
        <v>0</v>
      </c>
      <c r="CV139" s="67">
        <v>0</v>
      </c>
      <c r="CW139" s="67">
        <v>0</v>
      </c>
      <c r="CX139" s="67">
        <v>0</v>
      </c>
      <c r="CY139" s="67">
        <v>0</v>
      </c>
      <c r="CZ139" s="67">
        <v>0</v>
      </c>
      <c r="DA139" s="67">
        <v>0</v>
      </c>
      <c r="DB139" s="67">
        <v>0</v>
      </c>
      <c r="DC139" s="67">
        <v>0</v>
      </c>
      <c r="DD139" s="67">
        <v>0</v>
      </c>
      <c r="DE139" s="67">
        <v>0</v>
      </c>
      <c r="DF139" s="67">
        <v>0</v>
      </c>
      <c r="DG139" s="67">
        <v>0</v>
      </c>
      <c r="DH139" s="67">
        <v>0</v>
      </c>
      <c r="DI139" s="67">
        <v>0</v>
      </c>
      <c r="DJ139" s="67">
        <v>0</v>
      </c>
      <c r="DK139" s="67">
        <v>14.285714285714286</v>
      </c>
      <c r="DL139" s="67">
        <v>0</v>
      </c>
      <c r="DM139" s="67">
        <v>14.285714285714286</v>
      </c>
      <c r="DN139" s="67">
        <v>14.285714285714286</v>
      </c>
      <c r="DO139" s="67">
        <v>14.285714285714286</v>
      </c>
      <c r="DP139" s="67">
        <v>28.571428571428573</v>
      </c>
      <c r="DQ139" s="67">
        <v>25</v>
      </c>
      <c r="DR139" s="67">
        <v>25</v>
      </c>
      <c r="DS139" s="67">
        <v>25</v>
      </c>
      <c r="DT139" s="67">
        <v>12.5</v>
      </c>
      <c r="DU139" s="67">
        <v>12.5</v>
      </c>
      <c r="DV139" s="67">
        <v>12.5</v>
      </c>
      <c r="DW139" s="67">
        <v>0</v>
      </c>
      <c r="DX139" s="67">
        <v>0</v>
      </c>
      <c r="DY139" s="67">
        <v>0</v>
      </c>
      <c r="DZ139" s="67">
        <v>0</v>
      </c>
      <c r="EA139" s="67">
        <v>0</v>
      </c>
      <c r="EB139" s="67">
        <v>0</v>
      </c>
      <c r="EC139" s="67">
        <v>0</v>
      </c>
      <c r="ED139" s="67">
        <v>0</v>
      </c>
      <c r="EE139" s="67">
        <v>20</v>
      </c>
      <c r="EF139" s="67">
        <v>30</v>
      </c>
      <c r="EG139" s="67">
        <v>30</v>
      </c>
      <c r="EH139" s="67">
        <v>20</v>
      </c>
      <c r="EI139" s="67">
        <v>10</v>
      </c>
      <c r="EJ139" s="67">
        <v>10</v>
      </c>
      <c r="EK139" s="67">
        <v>20</v>
      </c>
      <c r="EL139" s="67">
        <v>20</v>
      </c>
      <c r="EM139" s="67">
        <v>20</v>
      </c>
      <c r="EN139" s="67">
        <v>20</v>
      </c>
      <c r="EO139" s="67">
        <v>20</v>
      </c>
      <c r="EP139" s="67">
        <v>20</v>
      </c>
      <c r="EQ139" s="67">
        <v>20</v>
      </c>
      <c r="ER139" s="67">
        <v>16.666666666666668</v>
      </c>
      <c r="ES139" s="67">
        <v>15.384615384615385</v>
      </c>
      <c r="ET139" s="67">
        <v>7.1428571428571432</v>
      </c>
      <c r="EU139" s="67">
        <v>6.666666666666667</v>
      </c>
      <c r="EV139" s="67">
        <v>6.666666666666667</v>
      </c>
      <c r="EW139" s="67">
        <v>6.666666666666667</v>
      </c>
      <c r="EX139" s="67">
        <v>0</v>
      </c>
      <c r="EY139" s="67">
        <v>6.666666666666667</v>
      </c>
      <c r="EZ139" s="67">
        <v>0</v>
      </c>
      <c r="FA139" s="67">
        <v>0</v>
      </c>
      <c r="FB139" s="67">
        <v>0</v>
      </c>
      <c r="FC139" s="67">
        <v>0</v>
      </c>
      <c r="FD139" s="67">
        <v>0</v>
      </c>
      <c r="FE139" s="67">
        <v>0</v>
      </c>
      <c r="FF139" s="67">
        <v>5</v>
      </c>
      <c r="FG139" s="67">
        <v>6.8965517241379306</v>
      </c>
      <c r="FH139" s="67">
        <v>0</v>
      </c>
      <c r="FI139" s="67">
        <v>0</v>
      </c>
      <c r="FJ139" s="67">
        <v>2.7777777777777777</v>
      </c>
      <c r="FK139" s="67">
        <v>0</v>
      </c>
      <c r="FL139" s="67">
        <v>5.1282051282051286</v>
      </c>
      <c r="FM139" s="67">
        <v>5</v>
      </c>
      <c r="FN139" s="67">
        <v>7.3170731707317076</v>
      </c>
      <c r="FO139" s="67">
        <v>7.1428571428571432</v>
      </c>
      <c r="FP139" s="67">
        <v>4.7619047619047619</v>
      </c>
      <c r="FQ139" s="67">
        <v>4.7619047619047619</v>
      </c>
      <c r="FR139" s="67">
        <v>2.3255813953488373</v>
      </c>
      <c r="FS139" s="67">
        <v>4.6511627906976747</v>
      </c>
      <c r="FT139" s="67">
        <v>4.6511627906976747</v>
      </c>
      <c r="FU139" s="67">
        <v>8.8888888888888893</v>
      </c>
      <c r="FV139" s="67">
        <v>2.0833333333333335</v>
      </c>
      <c r="FW139" s="67">
        <v>4.0816326530612246</v>
      </c>
      <c r="FX139" s="67">
        <v>4.0816326530612246</v>
      </c>
      <c r="FY139" s="67">
        <v>9.8039215686274517</v>
      </c>
      <c r="FZ139" s="67">
        <v>13.725490196078431</v>
      </c>
      <c r="GA139" s="67">
        <v>13.725490196078431</v>
      </c>
      <c r="GB139" s="67">
        <v>20.754716981132077</v>
      </c>
      <c r="GC139" s="67">
        <v>30.188679245283019</v>
      </c>
      <c r="GD139" s="67">
        <v>38.888888888888886</v>
      </c>
      <c r="GE139" s="67">
        <v>40.74074074074074</v>
      </c>
      <c r="GF139" s="67">
        <v>42.592592592592595</v>
      </c>
      <c r="GG139" s="67">
        <v>46.296296296296298</v>
      </c>
      <c r="GH139" s="67">
        <v>53.703703703703702</v>
      </c>
      <c r="GI139" s="67">
        <v>59.25925925925926</v>
      </c>
      <c r="GJ139" s="67">
        <v>55.555555555555557</v>
      </c>
      <c r="GK139" s="67">
        <v>55.555555555555557</v>
      </c>
      <c r="GL139" s="67">
        <v>56.140350877192979</v>
      </c>
      <c r="GM139" s="67">
        <v>63.333333333333336</v>
      </c>
      <c r="GN139" s="67">
        <v>60</v>
      </c>
      <c r="GO139" s="67">
        <v>55</v>
      </c>
      <c r="GP139" s="67">
        <v>51.666666666666664</v>
      </c>
      <c r="GQ139" s="67">
        <v>48.333333333333336</v>
      </c>
      <c r="GR139" s="67">
        <v>36.666666666666664</v>
      </c>
      <c r="GS139" s="67">
        <v>38.333333333333336</v>
      </c>
      <c r="GT139" s="67">
        <v>33.333333333333336</v>
      </c>
      <c r="GU139" s="67">
        <v>28.333333333333332</v>
      </c>
      <c r="GV139" s="67">
        <v>26.666666666666668</v>
      </c>
      <c r="GW139" s="67">
        <v>28.333333333333332</v>
      </c>
      <c r="GX139" s="67">
        <v>26.666666666666668</v>
      </c>
      <c r="GY139" s="67">
        <v>26.666666666666668</v>
      </c>
      <c r="GZ139" s="67">
        <v>23.333333333333332</v>
      </c>
      <c r="HA139" s="67">
        <v>20</v>
      </c>
      <c r="HB139" s="67">
        <v>16.949152542372882</v>
      </c>
      <c r="HC139" s="67">
        <v>15.254237288135593</v>
      </c>
      <c r="HD139" s="67">
        <v>13.559322033898304</v>
      </c>
      <c r="HE139" s="67">
        <v>15.254237288135593</v>
      </c>
      <c r="HF139" s="67">
        <v>15.254237288135593</v>
      </c>
      <c r="HG139" s="67">
        <v>20.338983050847457</v>
      </c>
      <c r="HH139" s="67">
        <v>0</v>
      </c>
      <c r="HI139" s="67">
        <v>0</v>
      </c>
      <c r="HJ139" s="63"/>
      <c r="HK139" s="63"/>
      <c r="HM139" s="67"/>
      <c r="HN139" s="63"/>
      <c r="HO139" s="63"/>
      <c r="HP139" s="68"/>
    </row>
    <row r="140" spans="1:251" x14ac:dyDescent="0.3">
      <c r="A140" s="61" t="s">
        <v>7388</v>
      </c>
      <c r="C140" s="67">
        <v>0</v>
      </c>
      <c r="D140" s="67">
        <v>0</v>
      </c>
      <c r="E140" s="67">
        <v>11.764705882352942</v>
      </c>
      <c r="F140" s="67">
        <v>11.764705882352942</v>
      </c>
      <c r="G140" s="67">
        <v>11.111111111111111</v>
      </c>
      <c r="H140" s="67">
        <v>11.111111111111111</v>
      </c>
      <c r="I140" s="67">
        <v>11.111111111111111</v>
      </c>
      <c r="J140" s="67">
        <v>16.666666666666668</v>
      </c>
      <c r="K140" s="67">
        <v>11.111111111111111</v>
      </c>
      <c r="L140" s="67">
        <v>11.111111111111111</v>
      </c>
      <c r="M140" s="67">
        <v>11.111111111111111</v>
      </c>
      <c r="N140" s="67">
        <v>10</v>
      </c>
      <c r="O140" s="67">
        <v>25</v>
      </c>
      <c r="P140" s="67">
        <v>15</v>
      </c>
      <c r="Q140" s="67">
        <v>15</v>
      </c>
      <c r="R140" s="67">
        <v>5</v>
      </c>
      <c r="S140" s="67">
        <v>4.7619047619047619</v>
      </c>
      <c r="T140" s="67">
        <v>0</v>
      </c>
      <c r="U140" s="67">
        <v>0</v>
      </c>
      <c r="V140" s="67">
        <v>0</v>
      </c>
      <c r="W140" s="67">
        <v>4.3478260869565215</v>
      </c>
      <c r="X140" s="67">
        <v>0</v>
      </c>
      <c r="Y140" s="67">
        <v>0</v>
      </c>
      <c r="Z140" s="67">
        <v>0</v>
      </c>
      <c r="AA140" s="67">
        <v>3.225806451612903</v>
      </c>
      <c r="AB140" s="67">
        <v>3.125</v>
      </c>
      <c r="AC140" s="67">
        <v>18.75</v>
      </c>
      <c r="AD140" s="67">
        <v>21.875</v>
      </c>
      <c r="AE140" s="67">
        <v>43.75</v>
      </c>
      <c r="AF140" s="67">
        <v>39.393939393939391</v>
      </c>
      <c r="AG140" s="67">
        <v>38.888888888888886</v>
      </c>
      <c r="AH140" s="67">
        <v>35.135135135135137</v>
      </c>
      <c r="AI140" s="67">
        <v>35.135135135135137</v>
      </c>
      <c r="AJ140" s="67">
        <v>37.837837837837839</v>
      </c>
      <c r="AK140" s="67">
        <v>37.837837837837839</v>
      </c>
      <c r="AL140" s="67">
        <v>35.135135135135137</v>
      </c>
      <c r="AM140" s="67">
        <v>35.135135135135137</v>
      </c>
      <c r="AN140" s="67">
        <v>40.54054054054054</v>
      </c>
      <c r="AO140" s="67">
        <v>40.54054054054054</v>
      </c>
      <c r="AP140" s="67">
        <v>43.243243243243242</v>
      </c>
      <c r="AQ140" s="67">
        <v>40.54054054054054</v>
      </c>
      <c r="AR140" s="67">
        <v>35.135135135135137</v>
      </c>
      <c r="AS140" s="67">
        <v>29.72972972972973</v>
      </c>
      <c r="AT140" s="67">
        <v>27.027027027027028</v>
      </c>
      <c r="AU140" s="67">
        <v>29.72972972972973</v>
      </c>
      <c r="AV140" s="67">
        <v>28.94736842105263</v>
      </c>
      <c r="AW140" s="67">
        <v>23.684210526315791</v>
      </c>
      <c r="AX140" s="67">
        <v>22.5</v>
      </c>
      <c r="AY140" s="67">
        <v>25</v>
      </c>
      <c r="AZ140" s="67">
        <v>22.5</v>
      </c>
      <c r="BA140" s="67">
        <v>30</v>
      </c>
      <c r="BB140" s="67">
        <v>25</v>
      </c>
      <c r="BC140" s="67">
        <v>25</v>
      </c>
      <c r="BD140" s="67">
        <v>25</v>
      </c>
      <c r="BE140" s="67">
        <v>27.5</v>
      </c>
      <c r="BF140" s="67">
        <v>27.5</v>
      </c>
      <c r="BG140" s="67">
        <v>27.5</v>
      </c>
      <c r="BH140" s="67">
        <v>22.5</v>
      </c>
      <c r="BI140" s="67">
        <v>20</v>
      </c>
      <c r="BJ140" s="67">
        <v>20</v>
      </c>
      <c r="BK140" s="67">
        <v>20</v>
      </c>
      <c r="BL140" s="67">
        <v>17.5</v>
      </c>
      <c r="BM140" s="67">
        <v>15</v>
      </c>
      <c r="BN140" s="67">
        <v>12.5</v>
      </c>
      <c r="BO140" s="67">
        <v>12.5</v>
      </c>
      <c r="BP140" s="67">
        <v>12.5</v>
      </c>
      <c r="BQ140" s="67">
        <v>15</v>
      </c>
      <c r="BR140" s="67">
        <v>17.073170731707318</v>
      </c>
      <c r="BS140" s="67">
        <v>17.073170731707318</v>
      </c>
      <c r="BT140" s="67">
        <v>17.073170731707318</v>
      </c>
      <c r="BU140" s="67">
        <v>17.073170731707318</v>
      </c>
      <c r="BV140" s="67">
        <v>12.195121951219512</v>
      </c>
      <c r="BW140" s="67">
        <v>14.634146341463415</v>
      </c>
      <c r="BX140" s="67">
        <v>19.512195121951219</v>
      </c>
      <c r="BY140" s="67">
        <v>21.951219512195124</v>
      </c>
      <c r="BZ140" s="67">
        <v>24.390243902439025</v>
      </c>
      <c r="CA140" s="67">
        <v>36.585365853658537</v>
      </c>
      <c r="CB140" s="67">
        <v>39.024390243902438</v>
      </c>
      <c r="CC140" s="67">
        <v>37.209302325581397</v>
      </c>
      <c r="CD140" s="67">
        <v>32.558139534883722</v>
      </c>
      <c r="CE140" s="67">
        <v>34.883720930232556</v>
      </c>
      <c r="CF140" s="67">
        <v>32.558139534883722</v>
      </c>
      <c r="CG140" s="67">
        <v>27.906976744186046</v>
      </c>
      <c r="CH140" s="67">
        <v>25.581395348837209</v>
      </c>
      <c r="CI140" s="67">
        <v>23.255813953488371</v>
      </c>
      <c r="CJ140" s="67">
        <v>25.581395348837209</v>
      </c>
      <c r="CK140" s="67">
        <v>16.279069767441861</v>
      </c>
      <c r="CL140" s="67">
        <v>16.279069767441861</v>
      </c>
      <c r="CM140" s="67">
        <v>16.279069767441861</v>
      </c>
      <c r="CN140" s="67">
        <v>9.3023255813953494</v>
      </c>
      <c r="CO140" s="67">
        <v>9.3023255813953494</v>
      </c>
      <c r="CP140" s="67">
        <v>9.3023255813953494</v>
      </c>
      <c r="CQ140" s="67">
        <v>16.279069767441861</v>
      </c>
      <c r="CR140" s="67">
        <v>13.953488372093023</v>
      </c>
      <c r="CS140" s="67">
        <v>18.604651162790699</v>
      </c>
      <c r="CT140" s="67">
        <v>20.930232558139537</v>
      </c>
      <c r="CU140" s="67">
        <v>13.953488372093023</v>
      </c>
      <c r="CV140" s="67">
        <v>13.953488372093023</v>
      </c>
      <c r="CW140" s="67">
        <v>13.953488372093023</v>
      </c>
      <c r="CX140" s="67">
        <v>13.636363636363637</v>
      </c>
      <c r="CY140" s="67">
        <v>15.909090909090908</v>
      </c>
      <c r="CZ140" s="67">
        <v>17.777777777777779</v>
      </c>
      <c r="DA140" s="67">
        <v>15.555555555555555</v>
      </c>
      <c r="DB140" s="67">
        <v>17.391304347826086</v>
      </c>
      <c r="DC140" s="67">
        <v>17.391304347826086</v>
      </c>
      <c r="DD140" s="67">
        <v>12.76595744680851</v>
      </c>
      <c r="DE140" s="67">
        <v>12.76595744680851</v>
      </c>
      <c r="DF140" s="67">
        <v>12.5</v>
      </c>
      <c r="DG140" s="67">
        <v>10.416666666666666</v>
      </c>
      <c r="DH140" s="67">
        <v>10.416666666666666</v>
      </c>
      <c r="DI140" s="67">
        <v>10.204081632653061</v>
      </c>
      <c r="DJ140" s="67">
        <v>10</v>
      </c>
      <c r="DK140" s="67">
        <v>7.8431372549019605</v>
      </c>
      <c r="DL140" s="67">
        <v>3.9215686274509802</v>
      </c>
      <c r="DM140" s="67">
        <v>11.764705882352942</v>
      </c>
      <c r="DN140" s="67">
        <v>17.647058823529413</v>
      </c>
      <c r="DO140" s="67">
        <v>15.686274509803921</v>
      </c>
      <c r="DP140" s="67">
        <v>17.307692307692307</v>
      </c>
      <c r="DQ140" s="67">
        <v>16.363636363636363</v>
      </c>
      <c r="DR140" s="67">
        <v>16.363636363636363</v>
      </c>
      <c r="DS140" s="67">
        <v>16.363636363636363</v>
      </c>
      <c r="DT140" s="67">
        <v>18.181818181818183</v>
      </c>
      <c r="DU140" s="67">
        <v>16.363636363636363</v>
      </c>
      <c r="DV140" s="67">
        <v>12.727272727272727</v>
      </c>
      <c r="DW140" s="67">
        <v>10.909090909090908</v>
      </c>
      <c r="DX140" s="67">
        <v>7.2727272727272725</v>
      </c>
      <c r="DY140" s="67">
        <v>5.4545454545454541</v>
      </c>
      <c r="DZ140" s="67">
        <v>5.4545454545454541</v>
      </c>
      <c r="EA140" s="67">
        <v>7.2727272727272725</v>
      </c>
      <c r="EB140" s="67">
        <v>7.1428571428571432</v>
      </c>
      <c r="EC140" s="67">
        <v>7.1428571428571432</v>
      </c>
      <c r="ED140" s="67">
        <v>17.857142857142858</v>
      </c>
      <c r="EE140" s="67">
        <v>38.596491228070178</v>
      </c>
      <c r="EF140" s="67">
        <v>45.614035087719301</v>
      </c>
      <c r="EG140" s="67">
        <v>40.350877192982459</v>
      </c>
      <c r="EH140" s="67">
        <v>36.842105263157897</v>
      </c>
      <c r="EI140" s="67">
        <v>36.842105263157897</v>
      </c>
      <c r="EJ140" s="67">
        <v>33.333333333333336</v>
      </c>
      <c r="EK140" s="67">
        <v>33.333333333333336</v>
      </c>
      <c r="EL140" s="67">
        <v>31.578947368421051</v>
      </c>
      <c r="EM140" s="67">
        <v>38.596491228070178</v>
      </c>
      <c r="EN140" s="67">
        <v>40.350877192982459</v>
      </c>
      <c r="EO140" s="67">
        <v>42.10526315789474</v>
      </c>
      <c r="EP140" s="67">
        <v>40.350877192982459</v>
      </c>
      <c r="EQ140" s="67">
        <v>36.842105263157897</v>
      </c>
      <c r="ER140" s="67">
        <v>31.666666666666668</v>
      </c>
      <c r="ES140" s="67">
        <v>30.64516129032258</v>
      </c>
      <c r="ET140" s="67">
        <v>23.4375</v>
      </c>
      <c r="EU140" s="67">
        <v>20.895522388059703</v>
      </c>
      <c r="EV140" s="67">
        <v>18.840579710144926</v>
      </c>
      <c r="EW140" s="67">
        <v>17.391304347826086</v>
      </c>
      <c r="EX140" s="67">
        <v>17.391304347826086</v>
      </c>
      <c r="EY140" s="67">
        <v>15.942028985507246</v>
      </c>
      <c r="EZ140" s="67">
        <v>8.695652173913043</v>
      </c>
      <c r="FA140" s="67">
        <v>7.2463768115942031</v>
      </c>
      <c r="FB140" s="67">
        <v>5.7142857142857144</v>
      </c>
      <c r="FC140" s="67">
        <v>9.8591549295774641</v>
      </c>
      <c r="FD140" s="67">
        <v>6.8493150684931505</v>
      </c>
      <c r="FE140" s="67">
        <v>10.526315789473685</v>
      </c>
      <c r="FF140" s="67">
        <v>6.5789473684210522</v>
      </c>
      <c r="FG140" s="67">
        <v>6.8181818181818183</v>
      </c>
      <c r="FH140" s="67">
        <v>6.5934065934065931</v>
      </c>
      <c r="FI140" s="67">
        <v>6.25</v>
      </c>
      <c r="FJ140" s="67">
        <v>9.2783505154639183</v>
      </c>
      <c r="FK140" s="67">
        <v>5.0505050505050502</v>
      </c>
      <c r="FL140" s="67">
        <v>7.766990291262136</v>
      </c>
      <c r="FM140" s="67">
        <v>5.7692307692307692</v>
      </c>
      <c r="FN140" s="67">
        <v>6.666666666666667</v>
      </c>
      <c r="FO140" s="67">
        <v>6.5420560747663554</v>
      </c>
      <c r="FP140" s="67">
        <v>7.4766355140186915</v>
      </c>
      <c r="FQ140" s="67">
        <v>5.6074766355140184</v>
      </c>
      <c r="FR140" s="67">
        <v>3.7037037037037037</v>
      </c>
      <c r="FS140" s="67">
        <v>5.5555555555555554</v>
      </c>
      <c r="FT140" s="67">
        <v>5.5555555555555554</v>
      </c>
      <c r="FU140" s="67">
        <v>7.2727272727272725</v>
      </c>
      <c r="FV140" s="67">
        <v>4.3859649122807021</v>
      </c>
      <c r="FW140" s="67">
        <v>5.2173913043478262</v>
      </c>
      <c r="FX140" s="67">
        <v>3.4782608695652173</v>
      </c>
      <c r="FY140" s="67">
        <v>7.6923076923076925</v>
      </c>
      <c r="FZ140" s="67">
        <v>11.111111111111111</v>
      </c>
      <c r="GA140" s="67">
        <v>11.111111111111111</v>
      </c>
      <c r="GB140" s="67">
        <v>17.647058823529413</v>
      </c>
      <c r="GC140" s="67">
        <v>25.210084033613445</v>
      </c>
      <c r="GD140" s="67">
        <v>36.666666666666664</v>
      </c>
      <c r="GE140" s="67">
        <v>35.833333333333336</v>
      </c>
      <c r="GF140" s="67">
        <v>36.666666666666664</v>
      </c>
      <c r="GG140" s="67">
        <v>41.666666666666664</v>
      </c>
      <c r="GH140" s="67">
        <v>44.166666666666664</v>
      </c>
      <c r="GI140" s="67">
        <v>45</v>
      </c>
      <c r="GJ140" s="67">
        <v>44.166666666666664</v>
      </c>
      <c r="GK140" s="67">
        <v>44.166666666666664</v>
      </c>
      <c r="GL140" s="67">
        <v>42.27642276422764</v>
      </c>
      <c r="GM140" s="67">
        <v>45.238095238095241</v>
      </c>
      <c r="GN140" s="67">
        <v>42.857142857142854</v>
      </c>
      <c r="GO140" s="67">
        <v>39.682539682539684</v>
      </c>
      <c r="GP140" s="67">
        <v>34.920634920634917</v>
      </c>
      <c r="GQ140" s="67">
        <v>32.539682539682538</v>
      </c>
      <c r="GR140" s="67">
        <v>26.19047619047619</v>
      </c>
      <c r="GS140" s="67">
        <v>24.603174603174605</v>
      </c>
      <c r="GT140" s="67">
        <v>22.222222222222221</v>
      </c>
      <c r="GU140" s="67">
        <v>22.222222222222221</v>
      </c>
      <c r="GV140" s="67">
        <v>19.047619047619047</v>
      </c>
      <c r="GW140" s="67">
        <v>20.634920634920636</v>
      </c>
      <c r="GX140" s="67">
        <v>20.634920634920636</v>
      </c>
      <c r="GY140" s="67">
        <v>20.634920634920636</v>
      </c>
      <c r="GZ140" s="67">
        <v>19.047619047619047</v>
      </c>
      <c r="HA140" s="67">
        <v>13.492063492063492</v>
      </c>
      <c r="HB140" s="67">
        <v>12</v>
      </c>
      <c r="HC140" s="67">
        <v>12</v>
      </c>
      <c r="HD140" s="67">
        <v>11.2</v>
      </c>
      <c r="HE140" s="67">
        <v>11.2</v>
      </c>
      <c r="HF140" s="67">
        <v>10.4</v>
      </c>
      <c r="HG140" s="67">
        <v>13.6</v>
      </c>
      <c r="HH140" s="67">
        <v>2.4</v>
      </c>
      <c r="HI140" s="67">
        <v>2.4</v>
      </c>
      <c r="HJ140" s="63"/>
      <c r="HK140" s="63"/>
      <c r="HM140" s="67"/>
      <c r="HN140" s="63"/>
      <c r="HO140" s="63"/>
      <c r="HP140" s="68"/>
    </row>
    <row r="141" spans="1:251" x14ac:dyDescent="0.3">
      <c r="GU141" s="61"/>
      <c r="GV141" s="61"/>
      <c r="GW141" s="61"/>
      <c r="GX141" s="61"/>
      <c r="GY141" s="61"/>
      <c r="GZ141" s="61"/>
      <c r="HA141" s="61"/>
      <c r="HB141" s="61"/>
      <c r="HC141" s="61"/>
      <c r="HD141" s="61"/>
      <c r="HE141" s="61"/>
      <c r="HF141" s="61"/>
      <c r="HG141" s="61"/>
      <c r="HH141" s="61"/>
      <c r="HI141" s="61"/>
      <c r="HO141" s="63"/>
      <c r="HP141" s="68"/>
    </row>
    <row r="142" spans="1:251" x14ac:dyDescent="0.3">
      <c r="GU142" s="61"/>
      <c r="GV142" s="61"/>
      <c r="GW142" s="61"/>
      <c r="GX142" s="61"/>
      <c r="GY142" s="61"/>
      <c r="GZ142" s="61"/>
      <c r="HA142" s="61"/>
      <c r="HB142" s="61"/>
      <c r="HC142" s="61"/>
      <c r="HD142" s="61"/>
      <c r="HE142" s="61"/>
      <c r="HF142" s="61"/>
      <c r="HG142" s="61"/>
      <c r="HH142" s="61"/>
      <c r="HI142" s="61"/>
      <c r="HO142" s="63"/>
      <c r="HP142" s="68"/>
    </row>
    <row r="143" spans="1:251" x14ac:dyDescent="0.3">
      <c r="GU143" s="61"/>
      <c r="GV143" s="61"/>
      <c r="GW143" s="61"/>
      <c r="GX143" s="61"/>
      <c r="GY143" s="61"/>
      <c r="GZ143" s="61"/>
      <c r="HA143" s="61"/>
      <c r="HB143" s="61"/>
      <c r="HC143" s="61"/>
      <c r="HD143" s="61"/>
      <c r="HE143" s="61"/>
      <c r="HF143" s="61"/>
      <c r="HG143" s="61"/>
      <c r="HH143" s="61"/>
      <c r="HI143" s="61"/>
      <c r="HO143" s="63"/>
      <c r="HP143" s="68"/>
    </row>
    <row r="144" spans="1:251" x14ac:dyDescent="0.3">
      <c r="E144" s="61" t="s">
        <v>7343</v>
      </c>
      <c r="CY144" s="61" t="s">
        <v>7343</v>
      </c>
      <c r="GU144" s="63"/>
      <c r="GV144" s="63"/>
      <c r="GW144" s="63"/>
      <c r="GX144" s="63"/>
      <c r="GY144" s="63"/>
      <c r="GZ144" s="63"/>
      <c r="HA144" s="63"/>
      <c r="HB144" s="63"/>
      <c r="HC144" s="63"/>
      <c r="HD144" s="63"/>
      <c r="HE144" s="63"/>
      <c r="HF144" s="63"/>
      <c r="HG144" s="63"/>
      <c r="HH144" s="63"/>
      <c r="HI144" s="63"/>
      <c r="HJ144" s="63"/>
      <c r="HK144" s="63"/>
      <c r="HM144" s="67"/>
      <c r="HN144" s="63"/>
      <c r="HO144" s="63"/>
      <c r="HP144" s="68"/>
    </row>
    <row r="145" spans="203:224" ht="13.2" x14ac:dyDescent="0.25">
      <c r="GU145" s="61"/>
      <c r="GV145" s="61"/>
      <c r="GW145" s="61"/>
      <c r="GX145" s="61"/>
      <c r="GY145" s="61"/>
      <c r="GZ145" s="61"/>
      <c r="HA145" s="61"/>
      <c r="HB145" s="61"/>
      <c r="HC145" s="61"/>
      <c r="HD145" s="61"/>
      <c r="HE145" s="61"/>
      <c r="HF145" s="61"/>
      <c r="HG145" s="61"/>
      <c r="HH145" s="61"/>
      <c r="HI145" s="61"/>
    </row>
    <row r="146" spans="203:224" ht="13.2" x14ac:dyDescent="0.25">
      <c r="GU146" s="61"/>
      <c r="GV146" s="61"/>
      <c r="GW146" s="61"/>
      <c r="GX146" s="61"/>
      <c r="GY146" s="61"/>
      <c r="GZ146" s="61"/>
      <c r="HA146" s="61"/>
      <c r="HB146" s="61"/>
      <c r="HC146" s="61"/>
      <c r="HD146" s="61"/>
      <c r="HE146" s="61"/>
      <c r="HF146" s="61"/>
      <c r="HG146" s="61"/>
      <c r="HH146" s="61"/>
      <c r="HI146" s="61"/>
    </row>
    <row r="147" spans="203:224" ht="13.2" x14ac:dyDescent="0.25">
      <c r="GU147" s="61"/>
      <c r="GV147" s="61"/>
      <c r="GW147" s="61"/>
      <c r="GX147" s="61"/>
      <c r="GY147" s="61"/>
      <c r="GZ147" s="61"/>
      <c r="HA147" s="61"/>
      <c r="HB147" s="61"/>
      <c r="HC147" s="61"/>
      <c r="HD147" s="61"/>
      <c r="HE147" s="61"/>
      <c r="HF147" s="61"/>
      <c r="HG147" s="61"/>
      <c r="HH147" s="61"/>
      <c r="HI147" s="61"/>
    </row>
    <row r="148" spans="203:224" x14ac:dyDescent="0.3">
      <c r="GU148" s="63"/>
      <c r="GV148" s="63"/>
      <c r="GW148" s="63"/>
      <c r="GX148" s="63"/>
      <c r="GY148" s="63"/>
      <c r="GZ148" s="63"/>
      <c r="HA148" s="63"/>
      <c r="HB148" s="63"/>
      <c r="HC148" s="63"/>
      <c r="HD148" s="63"/>
      <c r="HE148" s="63"/>
      <c r="HF148" s="63"/>
      <c r="HG148" s="63"/>
      <c r="HH148" s="63"/>
      <c r="HI148" s="63"/>
      <c r="HJ148" s="63"/>
      <c r="HK148" s="63"/>
      <c r="HM148" s="67"/>
      <c r="HN148" s="63"/>
      <c r="HO148" s="63"/>
      <c r="HP148" s="68"/>
    </row>
    <row r="149" spans="203:224" x14ac:dyDescent="0.3">
      <c r="GU149" s="63"/>
      <c r="GV149" s="63"/>
      <c r="GW149" s="63"/>
      <c r="GX149" s="63"/>
      <c r="GY149" s="63"/>
      <c r="GZ149" s="63"/>
      <c r="HA149" s="63"/>
      <c r="HB149" s="63"/>
      <c r="HC149" s="63"/>
      <c r="HD149" s="63"/>
      <c r="HE149" s="63"/>
      <c r="HF149" s="63"/>
      <c r="HG149" s="63"/>
      <c r="HH149" s="63"/>
      <c r="HI149" s="63"/>
      <c r="HJ149" s="63"/>
      <c r="HK149" s="63"/>
      <c r="HM149" s="67"/>
      <c r="HN149" s="63"/>
      <c r="HO149" s="63"/>
      <c r="HP149" s="68"/>
    </row>
    <row r="150" spans="203:224" x14ac:dyDescent="0.3">
      <c r="GU150" s="63"/>
      <c r="GV150" s="63"/>
      <c r="GW150" s="63"/>
      <c r="GX150" s="63"/>
      <c r="GY150" s="63"/>
      <c r="GZ150" s="63"/>
      <c r="HA150" s="63"/>
      <c r="HB150" s="63"/>
      <c r="HC150" s="63"/>
      <c r="HD150" s="63"/>
      <c r="HE150" s="63"/>
      <c r="HF150" s="63"/>
      <c r="HG150" s="63"/>
      <c r="HH150" s="63"/>
      <c r="HI150" s="63"/>
      <c r="HJ150" s="63"/>
      <c r="HK150" s="63"/>
      <c r="HM150" s="67"/>
      <c r="HN150" s="63"/>
      <c r="HO150" s="63"/>
      <c r="HP150" s="68"/>
    </row>
    <row r="151" spans="203:224" x14ac:dyDescent="0.3">
      <c r="GU151" s="63"/>
      <c r="GV151" s="63"/>
      <c r="GW151" s="63"/>
      <c r="GX151" s="63"/>
      <c r="GY151" s="63"/>
      <c r="GZ151" s="63"/>
      <c r="HA151" s="63"/>
      <c r="HB151" s="63"/>
      <c r="HC151" s="63"/>
      <c r="HD151" s="63"/>
      <c r="HE151" s="63"/>
      <c r="HF151" s="63"/>
      <c r="HG151" s="63"/>
      <c r="HH151" s="63"/>
      <c r="HI151" s="63"/>
      <c r="HJ151" s="63"/>
      <c r="HK151" s="63"/>
      <c r="HM151" s="67"/>
      <c r="HN151" s="63"/>
      <c r="HO151" s="63"/>
      <c r="HP151" s="68"/>
    </row>
    <row r="152" spans="203:224" x14ac:dyDescent="0.3">
      <c r="GU152" s="63"/>
      <c r="GV152" s="63"/>
      <c r="GW152" s="63"/>
      <c r="GX152" s="63"/>
      <c r="GY152" s="63"/>
      <c r="GZ152" s="63"/>
      <c r="HA152" s="63"/>
      <c r="HB152" s="63"/>
      <c r="HC152" s="63"/>
      <c r="HD152" s="63"/>
      <c r="HE152" s="63"/>
      <c r="HF152" s="63"/>
      <c r="HG152" s="63"/>
      <c r="HH152" s="63"/>
      <c r="HI152" s="63"/>
      <c r="HJ152" s="63"/>
      <c r="HK152" s="63"/>
      <c r="HM152" s="67"/>
      <c r="HN152" s="63"/>
      <c r="HO152" s="63"/>
      <c r="HP152" s="68"/>
    </row>
    <row r="153" spans="203:224" x14ac:dyDescent="0.3">
      <c r="GU153" s="63"/>
      <c r="GV153" s="63"/>
      <c r="GW153" s="63"/>
      <c r="GX153" s="63"/>
      <c r="GY153" s="63"/>
      <c r="GZ153" s="63"/>
      <c r="HA153" s="63"/>
      <c r="HB153" s="63"/>
      <c r="HC153" s="63"/>
      <c r="HD153" s="63"/>
      <c r="HE153" s="63"/>
      <c r="HF153" s="63"/>
      <c r="HG153" s="63"/>
      <c r="HH153" s="63"/>
      <c r="HI153" s="63"/>
      <c r="HJ153" s="63"/>
      <c r="HK153" s="63"/>
      <c r="HM153" s="67"/>
      <c r="HN153" s="63"/>
      <c r="HO153" s="63"/>
      <c r="HP153" s="68"/>
    </row>
    <row r="154" spans="203:224" x14ac:dyDescent="0.3">
      <c r="GU154" s="63"/>
      <c r="GV154" s="63"/>
      <c r="GW154" s="63"/>
      <c r="GX154" s="63"/>
      <c r="GY154" s="63"/>
      <c r="GZ154" s="63"/>
      <c r="HA154" s="63"/>
      <c r="HB154" s="63"/>
      <c r="HC154" s="63"/>
      <c r="HD154" s="63"/>
      <c r="HE154" s="63"/>
      <c r="HF154" s="63"/>
      <c r="HG154" s="63"/>
      <c r="HH154" s="63"/>
      <c r="HI154" s="63"/>
      <c r="HJ154" s="63"/>
      <c r="HK154" s="63"/>
      <c r="HM154" s="67"/>
      <c r="HN154" s="63"/>
      <c r="HO154" s="63"/>
      <c r="HP154" s="68"/>
    </row>
    <row r="155" spans="203:224" x14ac:dyDescent="0.3">
      <c r="GU155" s="63"/>
      <c r="GV155" s="63"/>
      <c r="GW155" s="63"/>
      <c r="GX155" s="63"/>
      <c r="GY155" s="63"/>
      <c r="GZ155" s="63"/>
      <c r="HA155" s="63"/>
      <c r="HB155" s="63"/>
      <c r="HC155" s="63"/>
      <c r="HD155" s="63"/>
      <c r="HE155" s="63"/>
      <c r="HF155" s="63"/>
      <c r="HG155" s="63"/>
      <c r="HH155" s="63"/>
      <c r="HI155" s="63"/>
      <c r="HJ155" s="63"/>
      <c r="HK155" s="63"/>
      <c r="HM155" s="67"/>
      <c r="HN155" s="63"/>
      <c r="HO155" s="63"/>
      <c r="HP155" s="68"/>
    </row>
    <row r="156" spans="203:224" x14ac:dyDescent="0.3">
      <c r="GU156" s="63"/>
      <c r="GV156" s="63"/>
      <c r="GW156" s="63"/>
      <c r="GX156" s="63"/>
      <c r="GY156" s="63"/>
      <c r="GZ156" s="63"/>
      <c r="HA156" s="63"/>
      <c r="HB156" s="63"/>
      <c r="HC156" s="63"/>
      <c r="HD156" s="63"/>
      <c r="HE156" s="63"/>
      <c r="HF156" s="63"/>
      <c r="HG156" s="63"/>
      <c r="HH156" s="63"/>
      <c r="HI156" s="63"/>
      <c r="HJ156" s="63"/>
      <c r="HK156" s="63"/>
      <c r="HM156" s="67"/>
      <c r="HN156" s="63"/>
      <c r="HO156" s="63"/>
      <c r="HP156" s="68"/>
    </row>
    <row r="157" spans="203:224" x14ac:dyDescent="0.3">
      <c r="GU157" s="63"/>
      <c r="GV157" s="63"/>
      <c r="GW157" s="63"/>
      <c r="GX157" s="63"/>
      <c r="GY157" s="63"/>
      <c r="GZ157" s="63"/>
      <c r="HA157" s="63"/>
      <c r="HB157" s="63"/>
      <c r="HC157" s="63"/>
      <c r="HD157" s="63"/>
      <c r="HE157" s="63"/>
      <c r="HF157" s="63"/>
      <c r="HG157" s="63"/>
      <c r="HH157" s="63"/>
      <c r="HI157" s="63"/>
      <c r="HJ157" s="63"/>
      <c r="HK157" s="63"/>
      <c r="HM157" s="67"/>
      <c r="HN157" s="63"/>
      <c r="HO157" s="63"/>
      <c r="HP157" s="68"/>
    </row>
    <row r="158" spans="203:224" x14ac:dyDescent="0.3">
      <c r="GU158" s="63"/>
      <c r="GV158" s="63"/>
      <c r="GW158" s="63"/>
      <c r="GX158" s="63"/>
      <c r="GY158" s="63"/>
      <c r="GZ158" s="63"/>
      <c r="HA158" s="63"/>
      <c r="HB158" s="63"/>
      <c r="HC158" s="63"/>
      <c r="HD158" s="63"/>
      <c r="HE158" s="63"/>
      <c r="HF158" s="63"/>
      <c r="HG158" s="63"/>
      <c r="HH158" s="63"/>
      <c r="HI158" s="63"/>
      <c r="HJ158" s="63"/>
      <c r="HK158" s="63"/>
      <c r="HM158" s="67"/>
      <c r="HN158" s="63"/>
      <c r="HO158" s="63"/>
      <c r="HP158" s="68"/>
    </row>
    <row r="159" spans="203:224" x14ac:dyDescent="0.3">
      <c r="GU159" s="63"/>
      <c r="GV159" s="63"/>
      <c r="GW159" s="63"/>
      <c r="GX159" s="63"/>
      <c r="GY159" s="63"/>
      <c r="GZ159" s="63"/>
      <c r="HA159" s="63"/>
      <c r="HB159" s="63"/>
      <c r="HC159" s="63"/>
      <c r="HD159" s="63"/>
      <c r="HE159" s="63"/>
      <c r="HF159" s="63"/>
      <c r="HG159" s="63"/>
      <c r="HH159" s="63"/>
      <c r="HI159" s="63"/>
      <c r="HJ159" s="63"/>
      <c r="HK159" s="63"/>
      <c r="HM159" s="67"/>
      <c r="HN159" s="63"/>
      <c r="HO159" s="63"/>
      <c r="HP159" s="68"/>
    </row>
    <row r="160" spans="203:224" x14ac:dyDescent="0.3">
      <c r="GU160" s="63"/>
      <c r="GV160" s="63"/>
      <c r="GW160" s="63"/>
      <c r="GX160" s="63"/>
      <c r="GY160" s="63"/>
      <c r="GZ160" s="63"/>
      <c r="HA160" s="63"/>
      <c r="HB160" s="63"/>
      <c r="HC160" s="63"/>
      <c r="HD160" s="63"/>
      <c r="HE160" s="63"/>
      <c r="HF160" s="63"/>
      <c r="HG160" s="63"/>
      <c r="HH160" s="63"/>
      <c r="HI160" s="63"/>
      <c r="HJ160" s="63"/>
      <c r="HK160" s="63"/>
      <c r="HM160" s="67"/>
      <c r="HN160" s="63"/>
      <c r="HO160" s="63"/>
      <c r="HP160" s="68"/>
    </row>
    <row r="161" spans="203:224" x14ac:dyDescent="0.3">
      <c r="GU161" s="63"/>
      <c r="GV161" s="63"/>
      <c r="GW161" s="63"/>
      <c r="GX161" s="63"/>
      <c r="GY161" s="63"/>
      <c r="GZ161" s="63"/>
      <c r="HA161" s="63"/>
      <c r="HB161" s="63"/>
      <c r="HC161" s="63"/>
      <c r="HD161" s="63"/>
      <c r="HE161" s="63"/>
      <c r="HF161" s="63"/>
      <c r="HG161" s="63"/>
      <c r="HH161" s="63"/>
      <c r="HI161" s="63"/>
      <c r="HJ161" s="63"/>
      <c r="HK161" s="63"/>
      <c r="HM161" s="67"/>
      <c r="HN161" s="63"/>
      <c r="HO161" s="63"/>
      <c r="HP161" s="68"/>
    </row>
    <row r="162" spans="203:224" x14ac:dyDescent="0.3">
      <c r="GU162" s="63"/>
      <c r="GV162" s="63"/>
      <c r="GW162" s="63"/>
      <c r="GX162" s="63"/>
      <c r="GY162" s="63"/>
      <c r="GZ162" s="63"/>
      <c r="HA162" s="63"/>
      <c r="HB162" s="63"/>
      <c r="HC162" s="63"/>
      <c r="HD162" s="63"/>
      <c r="HE162" s="63"/>
      <c r="HF162" s="63"/>
      <c r="HG162" s="63"/>
      <c r="HH162" s="63"/>
      <c r="HI162" s="63"/>
      <c r="HJ162" s="63"/>
      <c r="HK162" s="63"/>
      <c r="HM162" s="67"/>
      <c r="HN162" s="63"/>
      <c r="HO162" s="63"/>
      <c r="HP162" s="68"/>
    </row>
    <row r="163" spans="203:224" x14ac:dyDescent="0.3">
      <c r="GU163" s="63"/>
      <c r="GV163" s="63"/>
      <c r="GW163" s="63"/>
      <c r="GX163" s="63"/>
      <c r="GY163" s="63"/>
      <c r="GZ163" s="63"/>
      <c r="HA163" s="63"/>
      <c r="HB163" s="63"/>
      <c r="HC163" s="63"/>
      <c r="HD163" s="63"/>
      <c r="HE163" s="63"/>
      <c r="HF163" s="63"/>
      <c r="HG163" s="63"/>
      <c r="HH163" s="63"/>
      <c r="HI163" s="63"/>
      <c r="HJ163" s="63"/>
      <c r="HK163" s="63"/>
      <c r="HM163" s="67"/>
      <c r="HN163" s="63"/>
      <c r="HO163" s="63"/>
      <c r="HP163" s="68"/>
    </row>
    <row r="164" spans="203:224" x14ac:dyDescent="0.3">
      <c r="GU164" s="63"/>
      <c r="GV164" s="63"/>
      <c r="GW164" s="63"/>
      <c r="GX164" s="63"/>
      <c r="GY164" s="63"/>
      <c r="GZ164" s="63"/>
      <c r="HA164" s="63"/>
      <c r="HB164" s="63"/>
      <c r="HC164" s="63"/>
      <c r="HD164" s="63"/>
      <c r="HE164" s="63"/>
      <c r="HF164" s="63"/>
      <c r="HG164" s="63"/>
      <c r="HH164" s="63"/>
      <c r="HI164" s="63"/>
      <c r="HJ164" s="63"/>
      <c r="HK164" s="63"/>
      <c r="HN164" s="63"/>
      <c r="HO164" s="63"/>
      <c r="HP164" s="68"/>
    </row>
    <row r="165" spans="203:224" x14ac:dyDescent="0.3">
      <c r="GU165" s="63"/>
      <c r="GV165" s="63"/>
      <c r="GW165" s="63"/>
      <c r="GX165" s="63"/>
      <c r="GY165" s="63"/>
      <c r="GZ165" s="63"/>
      <c r="HA165" s="63"/>
      <c r="HB165" s="63"/>
      <c r="HC165" s="63"/>
      <c r="HD165" s="63"/>
      <c r="HE165" s="63"/>
      <c r="HF165" s="63"/>
      <c r="HG165" s="63"/>
      <c r="HH165" s="63"/>
      <c r="HI165" s="63"/>
      <c r="HJ165" s="63"/>
      <c r="HK165" s="63"/>
      <c r="HN165" s="63"/>
      <c r="HO165" s="63"/>
      <c r="HP165" s="68"/>
    </row>
    <row r="166" spans="203:224" x14ac:dyDescent="0.3">
      <c r="GU166" s="63"/>
      <c r="GV166" s="63"/>
      <c r="GW166" s="63"/>
      <c r="GX166" s="63"/>
      <c r="GY166" s="63"/>
      <c r="GZ166" s="63"/>
      <c r="HA166" s="63"/>
      <c r="HB166" s="63"/>
      <c r="HC166" s="63"/>
      <c r="HD166" s="63"/>
      <c r="HE166" s="63"/>
      <c r="HF166" s="63"/>
      <c r="HG166" s="63"/>
      <c r="HH166" s="63"/>
      <c r="HI166" s="63"/>
      <c r="HJ166" s="63"/>
      <c r="HK166" s="63"/>
      <c r="HN166" s="63"/>
      <c r="HO166" s="63"/>
      <c r="HP166" s="68"/>
    </row>
    <row r="167" spans="203:224" x14ac:dyDescent="0.3">
      <c r="GU167" s="63"/>
      <c r="GV167" s="63"/>
      <c r="GW167" s="63"/>
      <c r="GX167" s="63"/>
      <c r="GY167" s="63"/>
      <c r="GZ167" s="63"/>
      <c r="HA167" s="63"/>
      <c r="HB167" s="63"/>
      <c r="HC167" s="63"/>
      <c r="HD167" s="63"/>
      <c r="HE167" s="63"/>
      <c r="HF167" s="63"/>
      <c r="HG167" s="63"/>
      <c r="HH167" s="63"/>
      <c r="HI167" s="63"/>
      <c r="HJ167" s="63"/>
      <c r="HK167" s="63"/>
      <c r="HN167" s="63"/>
      <c r="HO167" s="63"/>
      <c r="HP167" s="68"/>
    </row>
    <row r="168" spans="203:224" x14ac:dyDescent="0.3">
      <c r="GU168" s="63"/>
      <c r="GV168" s="63"/>
      <c r="GW168" s="63"/>
      <c r="GX168" s="63"/>
      <c r="GY168" s="63"/>
      <c r="GZ168" s="63"/>
      <c r="HA168" s="63"/>
      <c r="HB168" s="63"/>
      <c r="HC168" s="63"/>
      <c r="HD168" s="63"/>
      <c r="HE168" s="63"/>
      <c r="HF168" s="63"/>
      <c r="HG168" s="63"/>
      <c r="HH168" s="63"/>
      <c r="HI168" s="63"/>
      <c r="HJ168" s="63"/>
      <c r="HK168" s="63"/>
      <c r="HN168" s="63"/>
      <c r="HO168" s="63"/>
      <c r="HP168" s="68"/>
    </row>
    <row r="169" spans="203:224" x14ac:dyDescent="0.3">
      <c r="GU169" s="63"/>
      <c r="GV169" s="63"/>
      <c r="GW169" s="63"/>
      <c r="GX169" s="63"/>
      <c r="GY169" s="63"/>
      <c r="GZ169" s="63"/>
      <c r="HA169" s="63"/>
      <c r="HB169" s="63"/>
      <c r="HC169" s="63"/>
      <c r="HD169" s="63"/>
      <c r="HE169" s="63"/>
      <c r="HF169" s="63"/>
      <c r="HG169" s="63"/>
      <c r="HH169" s="63"/>
      <c r="HI169" s="63"/>
      <c r="HJ169" s="63"/>
      <c r="HK169" s="63"/>
      <c r="HN169" s="63"/>
      <c r="HO169" s="63"/>
      <c r="HP169" s="68"/>
    </row>
    <row r="170" spans="203:224" x14ac:dyDescent="0.3">
      <c r="GU170" s="63"/>
      <c r="GV170" s="63"/>
      <c r="GW170" s="63"/>
      <c r="GX170" s="63"/>
      <c r="GY170" s="63"/>
      <c r="GZ170" s="63"/>
      <c r="HA170" s="63"/>
      <c r="HB170" s="63"/>
      <c r="HC170" s="63"/>
      <c r="HD170" s="63"/>
      <c r="HE170" s="63"/>
      <c r="HF170" s="63"/>
      <c r="HG170" s="63"/>
      <c r="HH170" s="63"/>
      <c r="HI170" s="63"/>
      <c r="HJ170" s="63"/>
      <c r="HK170" s="63"/>
      <c r="HN170" s="63"/>
      <c r="HO170" s="63"/>
      <c r="HP170" s="68"/>
    </row>
    <row r="171" spans="203:224" x14ac:dyDescent="0.3">
      <c r="GU171" s="63"/>
      <c r="GV171" s="63"/>
      <c r="GW171" s="63"/>
      <c r="GX171" s="63"/>
      <c r="GY171" s="63"/>
      <c r="GZ171" s="63"/>
      <c r="HA171" s="63"/>
      <c r="HB171" s="63"/>
      <c r="HC171" s="63"/>
      <c r="HD171" s="63"/>
      <c r="HE171" s="63"/>
      <c r="HF171" s="63"/>
      <c r="HG171" s="63"/>
      <c r="HH171" s="63"/>
      <c r="HI171" s="63"/>
      <c r="HJ171" s="63"/>
      <c r="HK171" s="63"/>
      <c r="HN171" s="63"/>
      <c r="HO171" s="63"/>
      <c r="HP171" s="68"/>
    </row>
    <row r="172" spans="203:224" x14ac:dyDescent="0.3">
      <c r="GU172" s="63"/>
      <c r="GV172" s="63"/>
      <c r="GW172" s="63"/>
      <c r="GX172" s="63"/>
      <c r="GY172" s="63"/>
      <c r="GZ172" s="63"/>
      <c r="HA172" s="63"/>
      <c r="HB172" s="63"/>
      <c r="HC172" s="63"/>
      <c r="HD172" s="63"/>
      <c r="HE172" s="63"/>
      <c r="HF172" s="63"/>
      <c r="HG172" s="63"/>
      <c r="HH172" s="63"/>
      <c r="HI172" s="63"/>
      <c r="HJ172" s="63"/>
      <c r="HK172" s="63"/>
      <c r="HN172" s="63"/>
      <c r="HO172" s="63"/>
      <c r="HP172" s="68"/>
    </row>
    <row r="173" spans="203:224" x14ac:dyDescent="0.3">
      <c r="GU173" s="63"/>
      <c r="GV173" s="63"/>
      <c r="GW173" s="63"/>
      <c r="GX173" s="63"/>
      <c r="GY173" s="63"/>
      <c r="GZ173" s="63"/>
      <c r="HA173" s="63"/>
      <c r="HB173" s="63"/>
      <c r="HC173" s="63"/>
      <c r="HD173" s="63"/>
      <c r="HE173" s="63"/>
      <c r="HF173" s="63"/>
      <c r="HG173" s="63"/>
      <c r="HH173" s="63"/>
      <c r="HI173" s="63"/>
      <c r="HJ173" s="63"/>
      <c r="HK173" s="63"/>
      <c r="HN173" s="63"/>
      <c r="HO173" s="63"/>
      <c r="HP173" s="68"/>
    </row>
    <row r="174" spans="203:224" x14ac:dyDescent="0.3">
      <c r="GU174" s="63"/>
      <c r="GV174" s="63"/>
      <c r="GW174" s="63"/>
      <c r="GX174" s="63"/>
      <c r="GY174" s="63"/>
      <c r="GZ174" s="63"/>
      <c r="HA174" s="63"/>
      <c r="HB174" s="63"/>
      <c r="HC174" s="63"/>
      <c r="HD174" s="63"/>
      <c r="HE174" s="63"/>
      <c r="HF174" s="63"/>
      <c r="HG174" s="63"/>
      <c r="HH174" s="63"/>
      <c r="HI174" s="63"/>
      <c r="HJ174" s="63"/>
      <c r="HK174" s="63"/>
      <c r="HN174" s="63"/>
      <c r="HO174" s="63"/>
      <c r="HP174" s="68"/>
    </row>
    <row r="175" spans="203:224" x14ac:dyDescent="0.3">
      <c r="GU175" s="63"/>
      <c r="GV175" s="63"/>
      <c r="GW175" s="63"/>
      <c r="GX175" s="63"/>
      <c r="GY175" s="63"/>
      <c r="GZ175" s="63"/>
      <c r="HA175" s="63"/>
      <c r="HB175" s="63"/>
      <c r="HC175" s="63"/>
      <c r="HD175" s="63"/>
      <c r="HE175" s="63"/>
      <c r="HF175" s="63"/>
      <c r="HG175" s="63"/>
      <c r="HH175" s="63"/>
      <c r="HI175" s="63"/>
      <c r="HJ175" s="63"/>
      <c r="HK175" s="63"/>
      <c r="HN175" s="63"/>
      <c r="HO175" s="63"/>
      <c r="HP175" s="68"/>
    </row>
    <row r="176" spans="203:224" x14ac:dyDescent="0.3">
      <c r="GU176" s="63"/>
      <c r="GV176" s="63"/>
      <c r="GW176" s="63"/>
      <c r="GX176" s="63"/>
      <c r="GY176" s="63"/>
      <c r="GZ176" s="63"/>
      <c r="HA176" s="63"/>
      <c r="HB176" s="63"/>
      <c r="HC176" s="63"/>
      <c r="HD176" s="63"/>
      <c r="HE176" s="63"/>
      <c r="HF176" s="63"/>
      <c r="HG176" s="63"/>
      <c r="HH176" s="63"/>
      <c r="HI176" s="63"/>
      <c r="HJ176" s="63"/>
      <c r="HK176" s="63"/>
      <c r="HN176" s="63"/>
      <c r="HO176" s="63"/>
      <c r="HP176" s="68"/>
    </row>
    <row r="177" spans="203:224" x14ac:dyDescent="0.3">
      <c r="GU177" s="63"/>
      <c r="GV177" s="63"/>
      <c r="GW177" s="63"/>
      <c r="GX177" s="63"/>
      <c r="GY177" s="63"/>
      <c r="GZ177" s="63"/>
      <c r="HA177" s="63"/>
      <c r="HB177" s="63"/>
      <c r="HC177" s="63"/>
      <c r="HD177" s="63"/>
      <c r="HE177" s="63"/>
      <c r="HF177" s="63"/>
      <c r="HG177" s="63"/>
      <c r="HH177" s="63"/>
      <c r="HI177" s="63"/>
      <c r="HJ177" s="63"/>
      <c r="HK177" s="63"/>
      <c r="HN177" s="63"/>
      <c r="HO177" s="63"/>
      <c r="HP177" s="68"/>
    </row>
    <row r="178" spans="203:224" x14ac:dyDescent="0.3">
      <c r="GU178" s="63"/>
      <c r="GV178" s="63"/>
      <c r="GW178" s="63"/>
      <c r="GX178" s="63"/>
      <c r="GY178" s="63"/>
      <c r="GZ178" s="63"/>
      <c r="HA178" s="63"/>
      <c r="HB178" s="63"/>
      <c r="HC178" s="63"/>
      <c r="HD178" s="63"/>
      <c r="HE178" s="63"/>
      <c r="HF178" s="63"/>
      <c r="HG178" s="63"/>
      <c r="HH178" s="63"/>
      <c r="HI178" s="63"/>
      <c r="HJ178" s="63"/>
      <c r="HK178" s="63"/>
      <c r="HN178" s="63"/>
      <c r="HO178" s="63"/>
      <c r="HP178" s="68"/>
    </row>
    <row r="179" spans="203:224" x14ac:dyDescent="0.3">
      <c r="GU179" s="63"/>
      <c r="GV179" s="63"/>
      <c r="GW179" s="63"/>
      <c r="GX179" s="63"/>
      <c r="GY179" s="63"/>
      <c r="GZ179" s="63"/>
      <c r="HA179" s="63"/>
      <c r="HB179" s="63"/>
      <c r="HC179" s="63"/>
      <c r="HD179" s="63"/>
      <c r="HE179" s="63"/>
      <c r="HF179" s="63"/>
      <c r="HG179" s="63"/>
      <c r="HH179" s="63"/>
      <c r="HI179" s="63"/>
      <c r="HJ179" s="63"/>
      <c r="HK179" s="63"/>
      <c r="HN179" s="63"/>
      <c r="HO179" s="63"/>
      <c r="HP179" s="68"/>
    </row>
    <row r="180" spans="203:224" x14ac:dyDescent="0.3">
      <c r="GU180" s="63"/>
      <c r="GV180" s="63"/>
      <c r="GW180" s="63"/>
      <c r="GX180" s="63"/>
      <c r="GY180" s="63"/>
      <c r="GZ180" s="63"/>
      <c r="HA180" s="63"/>
      <c r="HB180" s="63"/>
      <c r="HC180" s="63"/>
      <c r="HD180" s="63"/>
      <c r="HE180" s="63"/>
      <c r="HF180" s="63"/>
      <c r="HG180" s="63"/>
      <c r="HH180" s="63"/>
      <c r="HI180" s="63"/>
      <c r="HJ180" s="63"/>
      <c r="HK180" s="63"/>
      <c r="HN180" s="63"/>
      <c r="HO180" s="63"/>
      <c r="HP180" s="68"/>
    </row>
    <row r="181" spans="203:224" x14ac:dyDescent="0.3">
      <c r="GU181" s="63"/>
      <c r="GV181" s="63"/>
      <c r="GW181" s="63"/>
      <c r="GX181" s="63"/>
      <c r="GY181" s="63"/>
      <c r="GZ181" s="63"/>
      <c r="HA181" s="63"/>
      <c r="HB181" s="63"/>
      <c r="HC181" s="63"/>
      <c r="HD181" s="63"/>
      <c r="HE181" s="63"/>
      <c r="HF181" s="63"/>
      <c r="HG181" s="63"/>
      <c r="HH181" s="63"/>
      <c r="HI181" s="63"/>
      <c r="HJ181" s="63"/>
      <c r="HK181" s="63"/>
      <c r="HN181" s="63"/>
      <c r="HO181" s="63"/>
      <c r="HP181" s="68"/>
    </row>
    <row r="182" spans="203:224" x14ac:dyDescent="0.3">
      <c r="GU182" s="63"/>
      <c r="GV182" s="63"/>
      <c r="GW182" s="63"/>
      <c r="GX182" s="63"/>
      <c r="GY182" s="63"/>
      <c r="GZ182" s="63"/>
      <c r="HA182" s="63"/>
      <c r="HB182" s="63"/>
      <c r="HC182" s="63"/>
      <c r="HD182" s="63"/>
      <c r="HE182" s="63"/>
      <c r="HF182" s="63"/>
      <c r="HG182" s="63"/>
      <c r="HH182" s="63"/>
      <c r="HI182" s="63"/>
      <c r="HJ182" s="63"/>
      <c r="HK182" s="63"/>
      <c r="HN182" s="63"/>
      <c r="HO182" s="63"/>
      <c r="HP182" s="68"/>
    </row>
    <row r="183" spans="203:224" x14ac:dyDescent="0.3">
      <c r="GU183" s="63"/>
      <c r="GV183" s="63"/>
      <c r="GW183" s="63"/>
      <c r="GX183" s="63"/>
      <c r="GY183" s="63"/>
      <c r="GZ183" s="63"/>
      <c r="HA183" s="63"/>
      <c r="HB183" s="63"/>
      <c r="HC183" s="63"/>
      <c r="HD183" s="63"/>
      <c r="HE183" s="63"/>
      <c r="HF183" s="63"/>
      <c r="HG183" s="63"/>
      <c r="HH183" s="63"/>
      <c r="HI183" s="63"/>
      <c r="HJ183" s="63"/>
      <c r="HK183" s="63"/>
      <c r="HN183" s="63"/>
      <c r="HO183" s="63"/>
      <c r="HP183" s="68"/>
    </row>
    <row r="184" spans="203:224" x14ac:dyDescent="0.3">
      <c r="GU184" s="63"/>
      <c r="GV184" s="63"/>
      <c r="GW184" s="63"/>
      <c r="GX184" s="63"/>
      <c r="GY184" s="63"/>
      <c r="GZ184" s="63"/>
      <c r="HA184" s="63"/>
      <c r="HB184" s="63"/>
      <c r="HC184" s="63"/>
      <c r="HD184" s="63"/>
      <c r="HE184" s="63"/>
      <c r="HF184" s="63"/>
      <c r="HG184" s="63"/>
      <c r="HH184" s="63"/>
      <c r="HI184" s="63"/>
      <c r="HJ184" s="63"/>
      <c r="HK184" s="63"/>
      <c r="HN184" s="63"/>
      <c r="HO184" s="63"/>
      <c r="HP184" s="68"/>
    </row>
    <row r="185" spans="203:224" x14ac:dyDescent="0.3">
      <c r="GU185" s="63"/>
      <c r="GV185" s="63"/>
      <c r="GW185" s="63"/>
      <c r="GX185" s="63"/>
      <c r="GY185" s="63"/>
      <c r="GZ185" s="63"/>
      <c r="HA185" s="63"/>
      <c r="HB185" s="63"/>
      <c r="HC185" s="63"/>
      <c r="HD185" s="63"/>
      <c r="HE185" s="63"/>
      <c r="HF185" s="63"/>
      <c r="HG185" s="63"/>
      <c r="HH185" s="63"/>
      <c r="HI185" s="63"/>
      <c r="HJ185" s="63"/>
      <c r="HK185" s="63"/>
      <c r="HN185" s="63"/>
      <c r="HO185" s="63"/>
      <c r="HP185" s="68"/>
    </row>
    <row r="186" spans="203:224" x14ac:dyDescent="0.3">
      <c r="HN186" s="63"/>
      <c r="HO186" s="63"/>
      <c r="HP186" s="68"/>
    </row>
    <row r="187" spans="203:224" x14ac:dyDescent="0.3">
      <c r="HN187" s="63"/>
      <c r="HO187" s="63"/>
      <c r="HP187" s="68"/>
    </row>
    <row r="188" spans="203:224" x14ac:dyDescent="0.3">
      <c r="HN188" s="63"/>
      <c r="HO188" s="63"/>
      <c r="HP188" s="68"/>
    </row>
    <row r="189" spans="203:224" x14ac:dyDescent="0.3">
      <c r="HN189" s="63"/>
      <c r="HO189" s="63"/>
      <c r="HP189" s="68"/>
    </row>
    <row r="190" spans="203:224" x14ac:dyDescent="0.3">
      <c r="HN190" s="63"/>
      <c r="HO190" s="63"/>
      <c r="HP190" s="68"/>
    </row>
    <row r="191" spans="203:224" x14ac:dyDescent="0.3">
      <c r="HN191" s="63"/>
      <c r="HO191" s="63"/>
      <c r="HP191" s="68"/>
    </row>
    <row r="192" spans="203:224" x14ac:dyDescent="0.3">
      <c r="HN192" s="63"/>
      <c r="HO192" s="63"/>
      <c r="HP192" s="68"/>
    </row>
    <row r="193" spans="222:224" x14ac:dyDescent="0.3">
      <c r="HN193" s="63"/>
      <c r="HO193" s="63"/>
      <c r="HP193" s="68"/>
    </row>
    <row r="194" spans="222:224" x14ac:dyDescent="0.3">
      <c r="HN194" s="63"/>
      <c r="HO194" s="63"/>
      <c r="HP194" s="68"/>
    </row>
    <row r="195" spans="222:224" x14ac:dyDescent="0.3">
      <c r="HN195" s="63"/>
      <c r="HO195" s="63"/>
      <c r="HP195" s="68"/>
    </row>
    <row r="196" spans="222:224" x14ac:dyDescent="0.3">
      <c r="HN196" s="63"/>
      <c r="HO196" s="63"/>
      <c r="HP196" s="68"/>
    </row>
    <row r="197" spans="222:224" x14ac:dyDescent="0.3">
      <c r="HN197" s="63"/>
      <c r="HO197" s="63"/>
      <c r="HP197" s="68"/>
    </row>
    <row r="198" spans="222:224" x14ac:dyDescent="0.3">
      <c r="HN198" s="63"/>
      <c r="HO198" s="63"/>
      <c r="HP198" s="68"/>
    </row>
    <row r="199" spans="222:224" x14ac:dyDescent="0.3">
      <c r="HN199" s="63"/>
      <c r="HO199" s="63"/>
      <c r="HP199" s="68"/>
    </row>
    <row r="200" spans="222:224" x14ac:dyDescent="0.3">
      <c r="HN200" s="63"/>
      <c r="HO200" s="63"/>
      <c r="HP200" s="68"/>
    </row>
    <row r="201" spans="222:224" x14ac:dyDescent="0.3">
      <c r="HN201" s="63"/>
      <c r="HO201" s="63"/>
      <c r="HP201" s="68"/>
    </row>
    <row r="202" spans="222:224" x14ac:dyDescent="0.3">
      <c r="HN202" s="63"/>
      <c r="HO202" s="63"/>
      <c r="HP202" s="68"/>
    </row>
    <row r="203" spans="222:224" x14ac:dyDescent="0.3">
      <c r="HN203" s="63"/>
      <c r="HO203" s="63"/>
      <c r="HP203" s="68"/>
    </row>
    <row r="204" spans="222:224" x14ac:dyDescent="0.3">
      <c r="HN204" s="63"/>
      <c r="HO204" s="63"/>
      <c r="HP204" s="68"/>
    </row>
    <row r="205" spans="222:224" x14ac:dyDescent="0.3">
      <c r="HN205" s="63"/>
      <c r="HO205" s="63"/>
      <c r="HP205" s="68"/>
    </row>
    <row r="206" spans="222:224" x14ac:dyDescent="0.3">
      <c r="HN206" s="63"/>
      <c r="HO206" s="63"/>
      <c r="HP206" s="68"/>
    </row>
    <row r="207" spans="222:224" x14ac:dyDescent="0.3">
      <c r="HN207" s="63"/>
      <c r="HO207" s="63"/>
      <c r="HP207" s="68"/>
    </row>
    <row r="208" spans="222:224" x14ac:dyDescent="0.3">
      <c r="HN208" s="63"/>
      <c r="HO208" s="63"/>
      <c r="HP208" s="68"/>
    </row>
    <row r="209" spans="222:224" x14ac:dyDescent="0.3">
      <c r="HN209" s="63"/>
      <c r="HO209" s="63"/>
      <c r="HP209" s="68"/>
    </row>
    <row r="210" spans="222:224" x14ac:dyDescent="0.3">
      <c r="HN210" s="63"/>
      <c r="HO210" s="63"/>
      <c r="HP210" s="68"/>
    </row>
    <row r="211" spans="222:224" x14ac:dyDescent="0.3">
      <c r="HN211" s="63"/>
      <c r="HO211" s="63"/>
      <c r="HP211" s="68"/>
    </row>
    <row r="212" spans="222:224" x14ac:dyDescent="0.3">
      <c r="HN212" s="63"/>
      <c r="HO212" s="63"/>
      <c r="HP212" s="68"/>
    </row>
    <row r="213" spans="222:224" x14ac:dyDescent="0.3">
      <c r="HN213" s="63"/>
      <c r="HO213" s="63"/>
      <c r="HP213" s="63"/>
    </row>
    <row r="214" spans="222:224" x14ac:dyDescent="0.3">
      <c r="HN214" s="63"/>
      <c r="HO214" s="63"/>
      <c r="HP214" s="63"/>
    </row>
    <row r="215" spans="222:224" x14ac:dyDescent="0.3">
      <c r="HN215" s="63"/>
      <c r="HO215" s="63"/>
      <c r="HP215" s="63"/>
    </row>
    <row r="216" spans="222:224" x14ac:dyDescent="0.3">
      <c r="HN216" s="63"/>
      <c r="HO216" s="63"/>
      <c r="HP216" s="63"/>
    </row>
    <row r="217" spans="222:224" x14ac:dyDescent="0.3">
      <c r="HN217" s="63"/>
      <c r="HO217" s="63"/>
      <c r="HP217" s="63"/>
    </row>
    <row r="218" spans="222:224" x14ac:dyDescent="0.3">
      <c r="HN218" s="63"/>
      <c r="HO218" s="63"/>
      <c r="HP218" s="63"/>
    </row>
    <row r="219" spans="222:224" x14ac:dyDescent="0.3">
      <c r="HN219" s="63"/>
      <c r="HO219" s="63"/>
      <c r="HP219" s="63"/>
    </row>
    <row r="220" spans="222:224" x14ac:dyDescent="0.3">
      <c r="HN220" s="63"/>
      <c r="HO220" s="63"/>
      <c r="HP220" s="63"/>
    </row>
    <row r="221" spans="222:224" x14ac:dyDescent="0.3">
      <c r="HN221" s="63"/>
      <c r="HO221" s="63"/>
      <c r="HP221" s="63"/>
    </row>
    <row r="222" spans="222:224" x14ac:dyDescent="0.3">
      <c r="HN222" s="63"/>
      <c r="HO222" s="63"/>
      <c r="HP222" s="63"/>
    </row>
    <row r="223" spans="222:224" x14ac:dyDescent="0.3">
      <c r="HN223" s="63"/>
      <c r="HO223" s="63"/>
      <c r="HP223" s="63"/>
    </row>
    <row r="224" spans="222:224" x14ac:dyDescent="0.3">
      <c r="HN224" s="63"/>
      <c r="HO224" s="63"/>
      <c r="HP224" s="63"/>
    </row>
    <row r="225" spans="222:224" x14ac:dyDescent="0.3">
      <c r="HN225" s="63"/>
      <c r="HO225" s="63"/>
      <c r="HP225" s="63"/>
    </row>
    <row r="226" spans="222:224" x14ac:dyDescent="0.3">
      <c r="HN226" s="63"/>
      <c r="HO226" s="63"/>
      <c r="HP226" s="63"/>
    </row>
    <row r="227" spans="222:224" x14ac:dyDescent="0.3">
      <c r="HN227" s="63"/>
      <c r="HO227" s="63"/>
      <c r="HP227" s="63"/>
    </row>
    <row r="228" spans="222:224" x14ac:dyDescent="0.3">
      <c r="HN228" s="63"/>
      <c r="HO228" s="63"/>
      <c r="HP228" s="63"/>
    </row>
    <row r="229" spans="222:224" x14ac:dyDescent="0.3">
      <c r="HN229" s="63"/>
      <c r="HO229" s="63"/>
      <c r="HP229" s="63"/>
    </row>
    <row r="230" spans="222:224" x14ac:dyDescent="0.3">
      <c r="HN230" s="63"/>
      <c r="HO230" s="63"/>
      <c r="HP230" s="63"/>
    </row>
    <row r="231" spans="222:224" x14ac:dyDescent="0.3">
      <c r="HN231" s="63"/>
      <c r="HO231" s="63"/>
      <c r="HP231" s="63"/>
    </row>
  </sheetData>
  <mergeCells count="1">
    <mergeCell ref="HO2:HQ2"/>
  </mergeCells>
  <pageMargins left="0.75" right="0.75" top="1" bottom="1" header="0.5" footer="0.5"/>
  <pageSetup orientation="portrait" horizontalDpi="300" verticalDpi="300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50984-C9A4-4482-A86A-CA74C868CB7D}">
  <dimension ref="B2:D13"/>
  <sheetViews>
    <sheetView workbookViewId="0">
      <selection activeCell="D13" sqref="D13"/>
    </sheetView>
  </sheetViews>
  <sheetFormatPr defaultRowHeight="14.4" x14ac:dyDescent="0.3"/>
  <cols>
    <col min="4" max="4" width="16.33203125" bestFit="1" customWidth="1"/>
  </cols>
  <sheetData>
    <row r="2" spans="2:4" x14ac:dyDescent="0.3">
      <c r="B2" t="s">
        <v>93</v>
      </c>
    </row>
    <row r="3" spans="2:4" x14ac:dyDescent="0.3">
      <c r="B3" t="s">
        <v>19</v>
      </c>
      <c r="C3" t="s">
        <v>7389</v>
      </c>
    </row>
    <row r="4" spans="2:4" x14ac:dyDescent="0.3">
      <c r="B4">
        <v>1827</v>
      </c>
      <c r="C4">
        <v>13</v>
      </c>
      <c r="D4" t="s">
        <v>7390</v>
      </c>
    </row>
    <row r="5" spans="2:4" x14ac:dyDescent="0.3">
      <c r="B5">
        <v>1844</v>
      </c>
      <c r="C5">
        <v>7</v>
      </c>
      <c r="D5" t="s">
        <v>7391</v>
      </c>
    </row>
    <row r="6" spans="2:4" x14ac:dyDescent="0.3">
      <c r="B6">
        <v>1854</v>
      </c>
      <c r="C6">
        <v>31</v>
      </c>
      <c r="D6" t="s">
        <v>7392</v>
      </c>
    </row>
    <row r="7" spans="2:4" x14ac:dyDescent="0.3">
      <c r="B7">
        <v>1914</v>
      </c>
      <c r="C7">
        <v>9</v>
      </c>
      <c r="D7" t="s">
        <v>7392</v>
      </c>
    </row>
    <row r="8" spans="2:4" x14ac:dyDescent="0.3">
      <c r="B8">
        <v>1928</v>
      </c>
      <c r="C8">
        <v>15</v>
      </c>
      <c r="D8" t="s">
        <v>7392</v>
      </c>
    </row>
    <row r="9" spans="2:4" x14ac:dyDescent="0.3">
      <c r="B9">
        <v>1982</v>
      </c>
      <c r="C9">
        <v>9</v>
      </c>
      <c r="D9" t="s">
        <v>7393</v>
      </c>
    </row>
    <row r="11" spans="2:4" x14ac:dyDescent="0.3">
      <c r="D11" t="s">
        <v>7399</v>
      </c>
    </row>
    <row r="12" spans="2:4" x14ac:dyDescent="0.3">
      <c r="C12" s="92" t="s">
        <v>7400</v>
      </c>
      <c r="D12" s="2">
        <f>COUNT(B4:B9)/(2019-1821)</f>
        <v>3.0303030303030304E-2</v>
      </c>
    </row>
    <row r="13" spans="2:4" x14ac:dyDescent="0.3">
      <c r="C13" s="92" t="s">
        <v>7401</v>
      </c>
      <c r="D13" s="2">
        <f>1/(2019-1821)</f>
        <v>5.0505050505050509E-3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7014-FD8D-4DC0-8431-C8AD8705AEAB}">
  <dimension ref="A1:BQ8"/>
  <sheetViews>
    <sheetView workbookViewId="0">
      <selection activeCell="D2" sqref="D2"/>
    </sheetView>
  </sheetViews>
  <sheetFormatPr defaultRowHeight="14.4" x14ac:dyDescent="0.3"/>
  <cols>
    <col min="9" max="9" width="9.109375" bestFit="1" customWidth="1"/>
  </cols>
  <sheetData>
    <row r="1" spans="1:69" x14ac:dyDescent="0.3">
      <c r="A1" t="s">
        <v>24</v>
      </c>
      <c r="B1" s="8" t="s">
        <v>25</v>
      </c>
      <c r="C1" t="s">
        <v>26</v>
      </c>
      <c r="D1" s="8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46</v>
      </c>
      <c r="X1" t="s">
        <v>47</v>
      </c>
      <c r="Y1" t="s">
        <v>48</v>
      </c>
      <c r="Z1" t="s">
        <v>49</v>
      </c>
      <c r="AA1" t="s">
        <v>50</v>
      </c>
      <c r="AB1" t="s">
        <v>51</v>
      </c>
      <c r="AC1" t="s">
        <v>52</v>
      </c>
      <c r="AD1" t="s">
        <v>53</v>
      </c>
      <c r="AE1" t="s">
        <v>54</v>
      </c>
      <c r="AF1" t="s">
        <v>55</v>
      </c>
      <c r="AG1" t="s">
        <v>56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  <c r="BA1" t="s">
        <v>76</v>
      </c>
      <c r="BB1" t="s">
        <v>77</v>
      </c>
      <c r="BC1" t="s">
        <v>78</v>
      </c>
      <c r="BD1" t="s">
        <v>79</v>
      </c>
      <c r="BE1" t="s">
        <v>80</v>
      </c>
      <c r="BF1" t="s">
        <v>81</v>
      </c>
      <c r="BG1" t="s">
        <v>82</v>
      </c>
      <c r="BH1" t="s">
        <v>83</v>
      </c>
      <c r="BI1" t="s">
        <v>84</v>
      </c>
      <c r="BJ1" t="s">
        <v>85</v>
      </c>
      <c r="BK1" t="s">
        <v>86</v>
      </c>
      <c r="BL1" t="s">
        <v>87</v>
      </c>
      <c r="BM1" t="s">
        <v>88</v>
      </c>
      <c r="BN1" t="s">
        <v>89</v>
      </c>
      <c r="BO1" t="s">
        <v>90</v>
      </c>
      <c r="BP1" t="s">
        <v>91</v>
      </c>
      <c r="BQ1" t="s">
        <v>92</v>
      </c>
    </row>
    <row r="2" spans="1:69" x14ac:dyDescent="0.3">
      <c r="A2" t="s">
        <v>93</v>
      </c>
      <c r="B2" s="8" t="s">
        <v>94</v>
      </c>
      <c r="C2" t="s">
        <v>7403</v>
      </c>
      <c r="D2" s="8" t="s">
        <v>7404</v>
      </c>
      <c r="E2" t="s">
        <v>7405</v>
      </c>
      <c r="F2" t="s">
        <v>7405</v>
      </c>
      <c r="G2" t="s">
        <v>7405</v>
      </c>
      <c r="H2" t="s">
        <v>7405</v>
      </c>
      <c r="I2" t="s">
        <v>7405</v>
      </c>
      <c r="J2" t="s">
        <v>7405</v>
      </c>
      <c r="K2" t="s">
        <v>7405</v>
      </c>
      <c r="L2" t="s">
        <v>7405</v>
      </c>
      <c r="M2" t="s">
        <v>7405</v>
      </c>
      <c r="N2" t="s">
        <v>7405</v>
      </c>
      <c r="O2">
        <v>3325271963.5999999</v>
      </c>
      <c r="P2">
        <v>3615050073.8000002</v>
      </c>
      <c r="Q2">
        <v>4049804526.5999999</v>
      </c>
      <c r="R2">
        <v>5710332065.6999998</v>
      </c>
      <c r="S2">
        <v>8303444375.1000004</v>
      </c>
      <c r="T2">
        <v>11564611868.799999</v>
      </c>
      <c r="U2">
        <v>15978143670.6</v>
      </c>
      <c r="V2">
        <v>20896484254.5</v>
      </c>
      <c r="W2">
        <v>25705578490.099998</v>
      </c>
      <c r="X2">
        <v>29214530166.200001</v>
      </c>
      <c r="Y2">
        <v>34111370375.599998</v>
      </c>
      <c r="Z2">
        <v>43229639827.199997</v>
      </c>
      <c r="AA2">
        <v>51744684425.199997</v>
      </c>
      <c r="AB2">
        <v>66951109474.300003</v>
      </c>
      <c r="AC2">
        <v>69912756283.5</v>
      </c>
      <c r="AD2">
        <v>72898850490.800003</v>
      </c>
      <c r="AE2">
        <v>76019956236.300003</v>
      </c>
      <c r="AF2">
        <v>84541747215</v>
      </c>
      <c r="AG2">
        <v>80785043247.600006</v>
      </c>
      <c r="AH2">
        <v>76292660739.600006</v>
      </c>
      <c r="AI2">
        <v>76136183815.899994</v>
      </c>
      <c r="AJ2">
        <v>77976942269</v>
      </c>
      <c r="AK2">
        <v>71295297584.199997</v>
      </c>
      <c r="AL2">
        <v>75269369903.800003</v>
      </c>
      <c r="AM2">
        <v>79633406733.899994</v>
      </c>
      <c r="AN2">
        <v>95256990758.199997</v>
      </c>
      <c r="AO2">
        <v>94125446238.199997</v>
      </c>
      <c r="AP2">
        <v>84441068834</v>
      </c>
      <c r="AQ2">
        <v>88036310271.100006</v>
      </c>
      <c r="AR2">
        <v>88749599558.899994</v>
      </c>
      <c r="AS2">
        <v>82767381456.600006</v>
      </c>
      <c r="AT2">
        <v>96004743007.899994</v>
      </c>
      <c r="AU2">
        <v>101233617972.3</v>
      </c>
      <c r="AV2">
        <v>109049864305.10001</v>
      </c>
      <c r="AW2">
        <v>112130505704.2</v>
      </c>
      <c r="AX2">
        <v>115549406066</v>
      </c>
      <c r="AY2">
        <v>105465177068.60001</v>
      </c>
      <c r="AZ2">
        <v>120831583235.3</v>
      </c>
      <c r="BA2">
        <v>128375103765</v>
      </c>
      <c r="BB2">
        <v>118878063672.2</v>
      </c>
      <c r="BC2">
        <v>145925213054.5</v>
      </c>
      <c r="BD2">
        <v>164302056445.5</v>
      </c>
      <c r="BE2">
        <v>195901051347.20001</v>
      </c>
      <c r="BF2">
        <v>220032999548.89999</v>
      </c>
      <c r="BG2">
        <v>247453037063.70001</v>
      </c>
      <c r="BH2">
        <v>259358343960.39999</v>
      </c>
      <c r="BI2">
        <v>269135653308.79999</v>
      </c>
      <c r="BJ2">
        <v>289216351399.90002</v>
      </c>
      <c r="BK2">
        <v>297826792417.40002</v>
      </c>
      <c r="BL2">
        <v>307412597562.09998</v>
      </c>
      <c r="BM2">
        <v>309061251393.40002</v>
      </c>
      <c r="BN2">
        <v>290868145434.20001</v>
      </c>
      <c r="BO2">
        <v>289397438410.79999</v>
      </c>
      <c r="BP2">
        <v>301047797835.59998</v>
      </c>
      <c r="BQ2" t="s">
        <v>7405</v>
      </c>
    </row>
    <row r="3" spans="1:69" x14ac:dyDescent="0.3">
      <c r="A3" t="s">
        <v>93</v>
      </c>
      <c r="B3" s="8" t="s">
        <v>94</v>
      </c>
      <c r="C3" t="s">
        <v>7406</v>
      </c>
      <c r="D3" s="8" t="s">
        <v>7407</v>
      </c>
      <c r="E3">
        <v>13040000000</v>
      </c>
      <c r="F3">
        <v>14160000000</v>
      </c>
      <c r="G3">
        <v>15200000000</v>
      </c>
      <c r="H3">
        <v>16960000000</v>
      </c>
      <c r="I3">
        <v>20080000000</v>
      </c>
      <c r="J3">
        <v>21840000000</v>
      </c>
      <c r="K3">
        <v>24320000000</v>
      </c>
      <c r="L3">
        <v>26560000000</v>
      </c>
      <c r="M3">
        <v>29360000000</v>
      </c>
      <c r="N3">
        <v>32480000000</v>
      </c>
      <c r="O3">
        <v>35520000000</v>
      </c>
      <c r="P3">
        <v>39200000000</v>
      </c>
      <c r="Q3">
        <v>45200000000</v>
      </c>
      <c r="R3">
        <v>55280000000</v>
      </c>
      <c r="S3">
        <v>72000000000</v>
      </c>
      <c r="T3">
        <v>88000000000</v>
      </c>
      <c r="U3">
        <v>88875923765.07196</v>
      </c>
      <c r="V3">
        <v>81912018783.502411</v>
      </c>
      <c r="W3">
        <v>102648570299.11714</v>
      </c>
      <c r="X3">
        <v>134531900898.92567</v>
      </c>
      <c r="Y3">
        <v>205577055465.99277</v>
      </c>
      <c r="Z3">
        <v>263797827860.49359</v>
      </c>
      <c r="AA3">
        <v>184602611609.5174</v>
      </c>
      <c r="AB3">
        <v>156167000432.99414</v>
      </c>
      <c r="AC3">
        <v>184230754105.39362</v>
      </c>
      <c r="AD3">
        <v>195241069482.07669</v>
      </c>
      <c r="AE3">
        <v>134556034672.99146</v>
      </c>
      <c r="AF3">
        <v>147542558208.88809</v>
      </c>
      <c r="AG3">
        <v>181611150496.78741</v>
      </c>
      <c r="AH3">
        <v>221403098266.76956</v>
      </c>
      <c r="AI3">
        <v>261253675692.83783</v>
      </c>
      <c r="AJ3">
        <v>313139656145.74463</v>
      </c>
      <c r="AK3">
        <v>363157832923.73444</v>
      </c>
      <c r="AL3">
        <v>530160763662.5426</v>
      </c>
      <c r="AM3">
        <v>553618247900.7395</v>
      </c>
      <c r="AN3">
        <v>380157469866.84943</v>
      </c>
      <c r="AO3">
        <v>432157945024.4281</v>
      </c>
      <c r="AP3">
        <v>523449530464.25696</v>
      </c>
      <c r="AQ3">
        <v>557461102630.65784</v>
      </c>
      <c r="AR3">
        <v>631249359702.38904</v>
      </c>
      <c r="AS3">
        <v>742061329749.12744</v>
      </c>
      <c r="AT3">
        <v>796064590549.13635</v>
      </c>
      <c r="AU3">
        <v>810666116401.91479</v>
      </c>
      <c r="AV3">
        <v>765549967888.64685</v>
      </c>
      <c r="AW3">
        <v>819459227375.02246</v>
      </c>
      <c r="AX3">
        <v>917571853529.10449</v>
      </c>
      <c r="AY3">
        <v>1020265057882.007</v>
      </c>
      <c r="AZ3">
        <v>1102355554880.4414</v>
      </c>
      <c r="BA3">
        <v>1161553459984.6519</v>
      </c>
      <c r="BB3">
        <v>943437415024.63281</v>
      </c>
      <c r="BC3">
        <v>1105424238572.8149</v>
      </c>
      <c r="BD3">
        <v>1229013703577.7458</v>
      </c>
      <c r="BE3">
        <v>1255110424665.9202</v>
      </c>
      <c r="BF3">
        <v>1327436290439.2676</v>
      </c>
      <c r="BG3">
        <v>1364507717764.5957</v>
      </c>
      <c r="BH3">
        <v>1213294467779.9788</v>
      </c>
      <c r="BI3">
        <v>1112233497452.6975</v>
      </c>
      <c r="BJ3">
        <v>1190721475906</v>
      </c>
      <c r="BK3">
        <v>1256300182775.7998</v>
      </c>
      <c r="BL3">
        <v>1304106203902.4519</v>
      </c>
      <c r="BM3">
        <v>1121064767401.509</v>
      </c>
      <c r="BN3">
        <v>1316569466735.2788</v>
      </c>
      <c r="BO3">
        <v>1466464899303.6838</v>
      </c>
      <c r="BP3">
        <v>1793798859343.2734</v>
      </c>
      <c r="BQ3">
        <v>1852722885258.1101</v>
      </c>
    </row>
    <row r="4" spans="1:69" x14ac:dyDescent="0.3">
      <c r="B4" s="8"/>
      <c r="D4" s="8"/>
      <c r="O4" s="94">
        <f>O2/O3</f>
        <v>9.3616890867117108E-2</v>
      </c>
      <c r="P4" s="94">
        <f t="shared" ref="P4:BP4" si="0">P2/P3</f>
        <v>9.2220665147959194E-2</v>
      </c>
      <c r="Q4" s="94">
        <f t="shared" si="0"/>
        <v>8.9597445278761054E-2</v>
      </c>
      <c r="R4" s="94">
        <f t="shared" si="0"/>
        <v>0.1032983369337916</v>
      </c>
      <c r="S4" s="94">
        <f t="shared" si="0"/>
        <v>0.11532561632083334</v>
      </c>
      <c r="T4" s="94">
        <f t="shared" si="0"/>
        <v>0.13141604396363635</v>
      </c>
      <c r="U4" s="94">
        <f t="shared" si="0"/>
        <v>0.17978033863068971</v>
      </c>
      <c r="V4" s="94">
        <f t="shared" si="0"/>
        <v>0.25510889079330912</v>
      </c>
      <c r="W4" s="94">
        <f t="shared" si="0"/>
        <v>0.25042315168340035</v>
      </c>
      <c r="X4" s="94">
        <f t="shared" si="0"/>
        <v>0.21715689714478195</v>
      </c>
      <c r="Y4" s="94">
        <f t="shared" si="0"/>
        <v>0.16592985193935134</v>
      </c>
      <c r="Z4" s="94">
        <f t="shared" si="0"/>
        <v>0.16387413110187354</v>
      </c>
      <c r="AA4" s="94">
        <f t="shared" si="0"/>
        <v>0.28030310066605929</v>
      </c>
      <c r="AB4" s="94">
        <f t="shared" si="0"/>
        <v>0.42871483276664718</v>
      </c>
      <c r="AC4" s="94">
        <f t="shared" si="0"/>
        <v>0.37948472079479595</v>
      </c>
      <c r="AD4" s="94">
        <f t="shared" si="0"/>
        <v>0.37337866814692994</v>
      </c>
      <c r="AE4" s="94">
        <f t="shared" si="0"/>
        <v>0.56496876131233809</v>
      </c>
      <c r="AF4" s="94">
        <f t="shared" si="0"/>
        <v>0.57299906034777659</v>
      </c>
      <c r="AG4" s="94">
        <f t="shared" si="0"/>
        <v>0.44482424689572703</v>
      </c>
      <c r="AH4" s="94">
        <f t="shared" si="0"/>
        <v>0.34458714144855662</v>
      </c>
      <c r="AI4" s="94">
        <f t="shared" si="0"/>
        <v>0.2914262684113012</v>
      </c>
      <c r="AJ4" s="94">
        <f t="shared" si="0"/>
        <v>0.24901650346293791</v>
      </c>
      <c r="AK4" s="94">
        <f t="shared" si="0"/>
        <v>0.19632041806784459</v>
      </c>
      <c r="AL4" s="94">
        <f t="shared" si="0"/>
        <v>0.14197461423552346</v>
      </c>
      <c r="AM4" s="94">
        <f t="shared" si="0"/>
        <v>0.14384173035455616</v>
      </c>
      <c r="AN4" s="94">
        <f t="shared" si="0"/>
        <v>0.25057245564992808</v>
      </c>
      <c r="AO4" s="94">
        <f t="shared" si="0"/>
        <v>0.21780334556357508</v>
      </c>
      <c r="AP4" s="94">
        <f t="shared" si="0"/>
        <v>0.16131654327611616</v>
      </c>
      <c r="AQ4" s="94">
        <f t="shared" si="0"/>
        <v>0.15792368266710777</v>
      </c>
      <c r="AR4" s="94">
        <f t="shared" si="0"/>
        <v>0.14059356765247599</v>
      </c>
      <c r="AS4" s="94">
        <f t="shared" si="0"/>
        <v>0.11153711713367628</v>
      </c>
      <c r="AT4" s="94">
        <f t="shared" si="0"/>
        <v>0.12059918773886752</v>
      </c>
      <c r="AU4" s="94">
        <f t="shared" si="0"/>
        <v>0.12487708061811979</v>
      </c>
      <c r="AV4" s="94">
        <f t="shared" si="0"/>
        <v>0.14244643573802862</v>
      </c>
      <c r="AW4" s="94">
        <f t="shared" si="0"/>
        <v>0.13683475877547704</v>
      </c>
      <c r="AX4" s="94">
        <f t="shared" si="0"/>
        <v>0.12592954505043008</v>
      </c>
      <c r="AY4" s="94">
        <f t="shared" si="0"/>
        <v>0.10337037052659408</v>
      </c>
      <c r="AZ4" s="94">
        <f t="shared" si="0"/>
        <v>0.10961216886905883</v>
      </c>
      <c r="BA4" s="94">
        <f t="shared" si="0"/>
        <v>0.11052018541333111</v>
      </c>
      <c r="BB4" s="94">
        <f t="shared" si="0"/>
        <v>0.12600524611279715</v>
      </c>
      <c r="BC4" s="94">
        <f t="shared" si="0"/>
        <v>0.13200833486598804</v>
      </c>
      <c r="BD4" s="94">
        <f t="shared" si="0"/>
        <v>0.13368610615748636</v>
      </c>
      <c r="BE4" s="94">
        <f t="shared" si="0"/>
        <v>0.15608272188428687</v>
      </c>
      <c r="BF4" s="94">
        <f t="shared" si="0"/>
        <v>0.16575786057204142</v>
      </c>
      <c r="BG4" s="94">
        <f t="shared" si="0"/>
        <v>0.18134967933277055</v>
      </c>
      <c r="BH4" s="94">
        <f t="shared" si="0"/>
        <v>0.21376372418062697</v>
      </c>
      <c r="BI4" s="94">
        <f t="shared" si="0"/>
        <v>0.24197765480467032</v>
      </c>
      <c r="BJ4" s="94">
        <f t="shared" si="0"/>
        <v>0.2428916898301848</v>
      </c>
      <c r="BK4" s="94">
        <f t="shared" si="0"/>
        <v>0.23706658368810443</v>
      </c>
      <c r="BL4" s="94">
        <f t="shared" si="0"/>
        <v>0.23572665833671216</v>
      </c>
      <c r="BM4" s="94">
        <f t="shared" si="0"/>
        <v>0.27568545580980675</v>
      </c>
      <c r="BN4" s="94">
        <f t="shared" si="0"/>
        <v>0.2209288250892458</v>
      </c>
      <c r="BO4" s="94">
        <f t="shared" si="0"/>
        <v>0.1973435835717674</v>
      </c>
      <c r="BP4" s="94">
        <f t="shared" si="0"/>
        <v>0.16782695354473376</v>
      </c>
      <c r="BQ4" s="94"/>
    </row>
    <row r="5" spans="1:69" x14ac:dyDescent="0.3">
      <c r="B5" s="8"/>
      <c r="D5" s="8"/>
    </row>
    <row r="6" spans="1:69" x14ac:dyDescent="0.3">
      <c r="B6" s="8"/>
      <c r="D6" s="8"/>
    </row>
    <row r="7" spans="1:69" ht="23.4" x14ac:dyDescent="0.45">
      <c r="A7" t="s">
        <v>97</v>
      </c>
      <c r="B7" s="8"/>
      <c r="D7" s="8"/>
      <c r="H7" s="95" t="s">
        <v>7408</v>
      </c>
      <c r="I7" s="96">
        <f>AVERAGE(O4:BL4)</f>
        <v>0.2069968206230991</v>
      </c>
    </row>
    <row r="8" spans="1:69" x14ac:dyDescent="0.3">
      <c r="A8" t="s">
        <v>98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F2B7-1ECF-48A4-BCEC-C008ADF955B9}">
  <dimension ref="A1:BQ73"/>
  <sheetViews>
    <sheetView workbookViewId="0">
      <selection activeCell="D13" sqref="D13:F36"/>
    </sheetView>
  </sheetViews>
  <sheetFormatPr defaultRowHeight="14.4" x14ac:dyDescent="0.3"/>
  <cols>
    <col min="5" max="6" width="12" bestFit="1" customWidth="1"/>
  </cols>
  <sheetData>
    <row r="1" spans="1:69" x14ac:dyDescent="0.3">
      <c r="E1">
        <v>1960</v>
      </c>
      <c r="F1">
        <f>E1+1</f>
        <v>1961</v>
      </c>
      <c r="G1">
        <f t="shared" ref="G1:BQ1" si="0">F1+1</f>
        <v>1962</v>
      </c>
      <c r="H1">
        <f t="shared" si="0"/>
        <v>1963</v>
      </c>
      <c r="I1">
        <f t="shared" si="0"/>
        <v>1964</v>
      </c>
      <c r="J1">
        <f t="shared" si="0"/>
        <v>1965</v>
      </c>
      <c r="K1">
        <f t="shared" si="0"/>
        <v>1966</v>
      </c>
      <c r="L1">
        <f t="shared" si="0"/>
        <v>1967</v>
      </c>
      <c r="M1">
        <f t="shared" si="0"/>
        <v>1968</v>
      </c>
      <c r="N1">
        <f t="shared" si="0"/>
        <v>1969</v>
      </c>
      <c r="O1">
        <f t="shared" si="0"/>
        <v>1970</v>
      </c>
      <c r="P1">
        <f t="shared" si="0"/>
        <v>1971</v>
      </c>
      <c r="Q1">
        <f t="shared" si="0"/>
        <v>1972</v>
      </c>
      <c r="R1">
        <f t="shared" si="0"/>
        <v>1973</v>
      </c>
      <c r="S1">
        <f t="shared" si="0"/>
        <v>1974</v>
      </c>
      <c r="T1">
        <f t="shared" si="0"/>
        <v>1975</v>
      </c>
      <c r="U1">
        <f t="shared" si="0"/>
        <v>1976</v>
      </c>
      <c r="V1">
        <f t="shared" si="0"/>
        <v>1977</v>
      </c>
      <c r="W1">
        <f t="shared" si="0"/>
        <v>1978</v>
      </c>
      <c r="X1">
        <f t="shared" si="0"/>
        <v>1979</v>
      </c>
      <c r="Y1">
        <f t="shared" si="0"/>
        <v>1980</v>
      </c>
      <c r="Z1">
        <f t="shared" si="0"/>
        <v>1981</v>
      </c>
      <c r="AA1">
        <f t="shared" si="0"/>
        <v>1982</v>
      </c>
      <c r="AB1">
        <f t="shared" si="0"/>
        <v>1983</v>
      </c>
      <c r="AC1">
        <f t="shared" si="0"/>
        <v>1984</v>
      </c>
      <c r="AD1">
        <f t="shared" si="0"/>
        <v>1985</v>
      </c>
      <c r="AE1">
        <f t="shared" si="0"/>
        <v>1986</v>
      </c>
      <c r="AF1">
        <f t="shared" si="0"/>
        <v>1987</v>
      </c>
      <c r="AG1">
        <f t="shared" si="0"/>
        <v>1988</v>
      </c>
      <c r="AH1">
        <f t="shared" si="0"/>
        <v>1989</v>
      </c>
      <c r="AI1">
        <f t="shared" si="0"/>
        <v>1990</v>
      </c>
      <c r="AJ1">
        <f t="shared" si="0"/>
        <v>1991</v>
      </c>
      <c r="AK1">
        <f t="shared" si="0"/>
        <v>1992</v>
      </c>
      <c r="AL1">
        <f t="shared" si="0"/>
        <v>1993</v>
      </c>
      <c r="AM1">
        <f t="shared" si="0"/>
        <v>1994</v>
      </c>
      <c r="AN1">
        <f t="shared" si="0"/>
        <v>1995</v>
      </c>
      <c r="AO1">
        <f t="shared" si="0"/>
        <v>1996</v>
      </c>
      <c r="AP1">
        <f t="shared" si="0"/>
        <v>1997</v>
      </c>
      <c r="AQ1">
        <f t="shared" si="0"/>
        <v>1998</v>
      </c>
      <c r="AR1">
        <f t="shared" si="0"/>
        <v>1999</v>
      </c>
      <c r="AS1">
        <f t="shared" si="0"/>
        <v>2000</v>
      </c>
      <c r="AT1">
        <f t="shared" si="0"/>
        <v>2001</v>
      </c>
      <c r="AU1">
        <f t="shared" si="0"/>
        <v>2002</v>
      </c>
      <c r="AV1">
        <f t="shared" si="0"/>
        <v>2003</v>
      </c>
      <c r="AW1">
        <f t="shared" si="0"/>
        <v>2004</v>
      </c>
      <c r="AX1">
        <f t="shared" si="0"/>
        <v>2005</v>
      </c>
      <c r="AY1">
        <f t="shared" si="0"/>
        <v>2006</v>
      </c>
      <c r="AZ1">
        <f t="shared" si="0"/>
        <v>2007</v>
      </c>
      <c r="BA1">
        <f t="shared" si="0"/>
        <v>2008</v>
      </c>
      <c r="BB1">
        <f t="shared" si="0"/>
        <v>2009</v>
      </c>
      <c r="BC1">
        <f t="shared" si="0"/>
        <v>2010</v>
      </c>
      <c r="BD1">
        <f t="shared" si="0"/>
        <v>2011</v>
      </c>
      <c r="BE1">
        <f t="shared" si="0"/>
        <v>2012</v>
      </c>
      <c r="BF1">
        <f t="shared" si="0"/>
        <v>2013</v>
      </c>
      <c r="BG1">
        <f t="shared" si="0"/>
        <v>2014</v>
      </c>
      <c r="BH1">
        <f t="shared" si="0"/>
        <v>2015</v>
      </c>
      <c r="BI1">
        <f t="shared" si="0"/>
        <v>2016</v>
      </c>
      <c r="BJ1">
        <f t="shared" si="0"/>
        <v>2017</v>
      </c>
      <c r="BK1">
        <f t="shared" si="0"/>
        <v>2018</v>
      </c>
      <c r="BL1">
        <f t="shared" si="0"/>
        <v>2019</v>
      </c>
      <c r="BM1">
        <f t="shared" si="0"/>
        <v>2020</v>
      </c>
      <c r="BN1">
        <f t="shared" si="0"/>
        <v>2021</v>
      </c>
      <c r="BO1">
        <f t="shared" si="0"/>
        <v>2022</v>
      </c>
      <c r="BP1">
        <f t="shared" si="0"/>
        <v>2023</v>
      </c>
      <c r="BQ1">
        <f t="shared" si="0"/>
        <v>2024</v>
      </c>
    </row>
    <row r="2" spans="1:69" x14ac:dyDescent="0.3">
      <c r="A2" t="s">
        <v>24</v>
      </c>
      <c r="B2" s="8" t="s">
        <v>25</v>
      </c>
      <c r="C2" t="s">
        <v>26</v>
      </c>
      <c r="D2" s="8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  <c r="AT2" t="s">
        <v>69</v>
      </c>
      <c r="AU2" t="s">
        <v>70</v>
      </c>
      <c r="AV2" t="s">
        <v>71</v>
      </c>
      <c r="AW2" t="s">
        <v>72</v>
      </c>
      <c r="AX2" t="s">
        <v>73</v>
      </c>
      <c r="AY2" t="s">
        <v>74</v>
      </c>
      <c r="AZ2" t="s">
        <v>75</v>
      </c>
      <c r="BA2" t="s">
        <v>76</v>
      </c>
      <c r="BB2" t="s">
        <v>77</v>
      </c>
      <c r="BC2" t="s">
        <v>78</v>
      </c>
      <c r="BD2" t="s">
        <v>79</v>
      </c>
      <c r="BE2" t="s">
        <v>80</v>
      </c>
      <c r="BF2" t="s">
        <v>81</v>
      </c>
      <c r="BG2" t="s">
        <v>82</v>
      </c>
      <c r="BH2" t="s">
        <v>83</v>
      </c>
      <c r="BI2" t="s">
        <v>84</v>
      </c>
      <c r="BJ2" t="s">
        <v>85</v>
      </c>
      <c r="BK2" t="s">
        <v>86</v>
      </c>
      <c r="BL2" t="s">
        <v>87</v>
      </c>
      <c r="BM2" t="s">
        <v>88</v>
      </c>
      <c r="BN2" t="s">
        <v>89</v>
      </c>
      <c r="BO2" t="s">
        <v>90</v>
      </c>
      <c r="BP2" t="s">
        <v>91</v>
      </c>
      <c r="BQ2" t="s">
        <v>92</v>
      </c>
    </row>
    <row r="3" spans="1:69" x14ac:dyDescent="0.3">
      <c r="A3" t="s">
        <v>93</v>
      </c>
      <c r="B3" s="8" t="s">
        <v>94</v>
      </c>
      <c r="C3" t="s">
        <v>7412</v>
      </c>
      <c r="D3" s="8" t="s">
        <v>7413</v>
      </c>
      <c r="E3">
        <v>180348782178</v>
      </c>
      <c r="F3">
        <v>193882938808</v>
      </c>
      <c r="G3">
        <v>223540911180</v>
      </c>
      <c r="H3">
        <v>251206812081</v>
      </c>
      <c r="I3">
        <v>281912697530</v>
      </c>
      <c r="J3">
        <v>377909660418</v>
      </c>
      <c r="K3">
        <v>413448568871</v>
      </c>
      <c r="L3">
        <v>440747271143</v>
      </c>
      <c r="M3">
        <v>484736725326</v>
      </c>
      <c r="N3">
        <v>512169022004</v>
      </c>
      <c r="O3">
        <v>558648445311</v>
      </c>
      <c r="P3">
        <v>617051864485</v>
      </c>
      <c r="Q3">
        <v>691947065468</v>
      </c>
      <c r="R3">
        <v>756370752426</v>
      </c>
      <c r="S3">
        <v>806445850302</v>
      </c>
      <c r="T3">
        <v>908594274593</v>
      </c>
      <c r="U3">
        <v>970951514690</v>
      </c>
      <c r="V3">
        <v>970849187186</v>
      </c>
      <c r="W3">
        <v>1062554521913.9999</v>
      </c>
      <c r="X3">
        <v>1164387436535</v>
      </c>
      <c r="Y3">
        <v>1275523626058</v>
      </c>
      <c r="Z3">
        <v>1406486859664</v>
      </c>
      <c r="AA3">
        <v>1435052904088</v>
      </c>
      <c r="AB3">
        <v>1474135800735</v>
      </c>
      <c r="AC3">
        <v>1571274563867</v>
      </c>
      <c r="AD3">
        <v>1585486526261</v>
      </c>
      <c r="AE3">
        <v>1608936264149</v>
      </c>
      <c r="AF3">
        <v>1589536935524</v>
      </c>
      <c r="AG3">
        <v>1581578236509</v>
      </c>
      <c r="AH3">
        <v>1579304322576</v>
      </c>
      <c r="AI3">
        <v>1615971185528</v>
      </c>
      <c r="AJ3">
        <v>1679356537900</v>
      </c>
      <c r="AK3">
        <v>1718226255100</v>
      </c>
      <c r="AL3">
        <v>1753045563000</v>
      </c>
      <c r="AM3">
        <v>1803138101000</v>
      </c>
      <c r="AN3">
        <v>1787132630000</v>
      </c>
      <c r="AO3">
        <v>1789070677000</v>
      </c>
      <c r="AP3">
        <v>1881734377000</v>
      </c>
      <c r="AQ3">
        <v>1911472013000</v>
      </c>
      <c r="AR3">
        <v>2010641347000</v>
      </c>
      <c r="AS3">
        <v>2070642717000</v>
      </c>
      <c r="AT3">
        <v>2018650277000</v>
      </c>
      <c r="AU3">
        <v>2023643191000</v>
      </c>
      <c r="AV3">
        <v>2024240536000</v>
      </c>
      <c r="AW3">
        <v>2008582693000</v>
      </c>
      <c r="AX3">
        <v>2057064495000</v>
      </c>
      <c r="AY3">
        <v>2108545130000</v>
      </c>
      <c r="AZ3">
        <v>2148548772000</v>
      </c>
      <c r="BA3">
        <v>2207642433000</v>
      </c>
      <c r="BB3">
        <v>2270979247000</v>
      </c>
      <c r="BC3">
        <v>2316534691000</v>
      </c>
      <c r="BD3">
        <v>2390015026000</v>
      </c>
      <c r="BE3">
        <v>2461687511000</v>
      </c>
      <c r="BF3">
        <v>2481439489000</v>
      </c>
      <c r="BG3">
        <v>2538877885000</v>
      </c>
      <c r="BH3">
        <v>2582897766000</v>
      </c>
      <c r="BI3">
        <v>2631514289000</v>
      </c>
      <c r="BJ3">
        <v>2640794646000</v>
      </c>
      <c r="BK3">
        <v>2721397767000</v>
      </c>
      <c r="BL3">
        <v>2674095471000</v>
      </c>
      <c r="BM3">
        <v>2654537044000</v>
      </c>
      <c r="BN3">
        <v>2642490743000</v>
      </c>
      <c r="BO3">
        <v>2695808013000</v>
      </c>
      <c r="BP3">
        <v>2743546851000</v>
      </c>
      <c r="BQ3">
        <v>2786488983000</v>
      </c>
    </row>
    <row r="4" spans="1:69" x14ac:dyDescent="0.3">
      <c r="A4" t="s">
        <v>93</v>
      </c>
      <c r="B4" s="8" t="s">
        <v>94</v>
      </c>
      <c r="C4" t="s">
        <v>7414</v>
      </c>
      <c r="D4" s="8" t="s">
        <v>7415</v>
      </c>
      <c r="E4">
        <v>1558940530049</v>
      </c>
      <c r="F4">
        <v>1617965321309</v>
      </c>
      <c r="G4">
        <v>1689037468052</v>
      </c>
      <c r="H4">
        <v>1799807268314</v>
      </c>
      <c r="I4">
        <v>1994420794991</v>
      </c>
      <c r="J4">
        <v>2781410501956</v>
      </c>
      <c r="K4">
        <v>2917715351123</v>
      </c>
      <c r="L4">
        <v>3111831753211</v>
      </c>
      <c r="M4">
        <v>3322488914845</v>
      </c>
      <c r="N4">
        <v>3538088838987</v>
      </c>
      <c r="O4">
        <v>3778520757939</v>
      </c>
      <c r="P4">
        <v>3944716228418</v>
      </c>
      <c r="Q4">
        <v>4222546762984</v>
      </c>
      <c r="R4">
        <v>4515678310835</v>
      </c>
      <c r="S4">
        <v>4695561966386</v>
      </c>
      <c r="T4">
        <v>4922755253089</v>
      </c>
      <c r="U4">
        <v>5106413761144</v>
      </c>
      <c r="V4">
        <v>5247552460470</v>
      </c>
      <c r="W4">
        <v>5612424744226</v>
      </c>
      <c r="X4">
        <v>6110663563264</v>
      </c>
      <c r="Y4">
        <v>6740419726354</v>
      </c>
      <c r="Z4">
        <v>7237362746712</v>
      </c>
      <c r="AA4">
        <v>7058409961630</v>
      </c>
      <c r="AB4">
        <v>6680170164589</v>
      </c>
      <c r="AC4">
        <v>6897821706530</v>
      </c>
      <c r="AD4">
        <v>7125090005516</v>
      </c>
      <c r="AE4">
        <v>6940923316203</v>
      </c>
      <c r="AF4">
        <v>6931654152801</v>
      </c>
      <c r="AG4">
        <v>7057309248565</v>
      </c>
      <c r="AH4">
        <v>7536119468037</v>
      </c>
      <c r="AI4">
        <v>7994421663533</v>
      </c>
      <c r="AJ4">
        <v>8385290695700</v>
      </c>
      <c r="AK4">
        <v>8712955620300.001</v>
      </c>
      <c r="AL4">
        <v>8729987708000.001</v>
      </c>
      <c r="AM4">
        <v>9177271112000</v>
      </c>
      <c r="AN4">
        <v>8619344573000.001</v>
      </c>
      <c r="AO4">
        <v>8929155975000</v>
      </c>
      <c r="AP4">
        <v>9613844691000</v>
      </c>
      <c r="AQ4">
        <v>10271683379000</v>
      </c>
      <c r="AR4">
        <v>10709602005000</v>
      </c>
      <c r="AS4">
        <v>11644753026000</v>
      </c>
      <c r="AT4">
        <v>11973272068000</v>
      </c>
      <c r="AU4">
        <v>12171704754000</v>
      </c>
      <c r="AV4">
        <v>12429902425000</v>
      </c>
      <c r="AW4">
        <v>12719357104000</v>
      </c>
      <c r="AX4">
        <v>12992001820000</v>
      </c>
      <c r="AY4">
        <v>13577300116000</v>
      </c>
      <c r="AZ4">
        <v>13740679753000</v>
      </c>
      <c r="BA4">
        <v>13877424497000</v>
      </c>
      <c r="BB4">
        <v>12887547408000</v>
      </c>
      <c r="BC4">
        <v>13485069269000</v>
      </c>
      <c r="BD4">
        <v>14114315776000</v>
      </c>
      <c r="BE4">
        <v>14418160062000</v>
      </c>
      <c r="BF4">
        <v>14789609384000</v>
      </c>
      <c r="BG4">
        <v>15082427060000</v>
      </c>
      <c r="BH4">
        <v>15487616587000</v>
      </c>
      <c r="BI4">
        <v>15785949025000</v>
      </c>
      <c r="BJ4">
        <v>16057959721000</v>
      </c>
      <c r="BK4">
        <v>16292902580000</v>
      </c>
      <c r="BL4">
        <v>16439247690000</v>
      </c>
      <c r="BM4">
        <v>14822638579000</v>
      </c>
      <c r="BN4">
        <v>16070190635000</v>
      </c>
      <c r="BO4">
        <v>16846616124000.002</v>
      </c>
      <c r="BP4">
        <v>17559514302000.002</v>
      </c>
      <c r="BQ4">
        <v>18055656206000</v>
      </c>
    </row>
    <row r="5" spans="1:69" x14ac:dyDescent="0.3">
      <c r="B5" s="8"/>
      <c r="D5" s="8"/>
    </row>
    <row r="6" spans="1:69" x14ac:dyDescent="0.3">
      <c r="B6" s="8"/>
      <c r="D6" s="8"/>
    </row>
    <row r="7" spans="1:69" x14ac:dyDescent="0.3">
      <c r="B7" s="8"/>
      <c r="D7" s="8"/>
    </row>
    <row r="8" spans="1:69" x14ac:dyDescent="0.3">
      <c r="A8" t="s">
        <v>97</v>
      </c>
      <c r="B8" s="8"/>
      <c r="D8" s="8"/>
      <c r="I8" t="s">
        <v>7424</v>
      </c>
      <c r="J8" s="99">
        <f>_xlfn.STDEV.P(K14:K73)</f>
        <v>4.5168857712482191E-2</v>
      </c>
    </row>
    <row r="9" spans="1:69" x14ac:dyDescent="0.3">
      <c r="A9" t="s">
        <v>98</v>
      </c>
      <c r="I9" t="s">
        <v>7425</v>
      </c>
      <c r="J9" s="99">
        <f>_xlfn.STDEV.P(L14:L73)</f>
        <v>3.2762778636113703E-2</v>
      </c>
    </row>
    <row r="13" spans="1:69" x14ac:dyDescent="0.3">
      <c r="E13" t="s">
        <v>7416</v>
      </c>
      <c r="F13" t="s">
        <v>7417</v>
      </c>
      <c r="G13" t="s">
        <v>7419</v>
      </c>
      <c r="H13" t="s">
        <v>7418</v>
      </c>
      <c r="I13" t="s">
        <v>7420</v>
      </c>
      <c r="J13" t="s">
        <v>7421</v>
      </c>
      <c r="K13" t="s">
        <v>7422</v>
      </c>
      <c r="L13" t="s">
        <v>7423</v>
      </c>
    </row>
    <row r="14" spans="1:69" x14ac:dyDescent="0.3">
      <c r="D14">
        <v>1960</v>
      </c>
      <c r="E14">
        <f>HLOOKUP(D14,$E$1:$BQ$4,4,FALSE)</f>
        <v>1558940530049</v>
      </c>
      <c r="F14">
        <f>HLOOKUP(D14,$E$1:$BQ$4,3,FALSE)</f>
        <v>180348782178</v>
      </c>
      <c r="G14">
        <f>LN(E14)</f>
        <v>28.075027559060437</v>
      </c>
      <c r="H14">
        <f>LN(F14)</f>
        <v>25.918158491725336</v>
      </c>
      <c r="I14">
        <v>28.030390185128901</v>
      </c>
      <c r="J14">
        <v>25.916708614525302</v>
      </c>
      <c r="K14">
        <f>G14-I14</f>
        <v>4.4637373931536217E-2</v>
      </c>
      <c r="L14">
        <f>H14-J14</f>
        <v>1.4498772000344218E-3</v>
      </c>
    </row>
    <row r="15" spans="1:69" x14ac:dyDescent="0.3">
      <c r="D15">
        <f>D14+1</f>
        <v>1961</v>
      </c>
      <c r="E15">
        <f t="shared" ref="E15:E73" si="1">HLOOKUP(D15,$E$1:$BQ$4,4,FALSE)</f>
        <v>1617965321309</v>
      </c>
      <c r="F15">
        <f t="shared" ref="F15:F73" si="2">HLOOKUP(D15,$E$1:$BQ$4,3,FALSE)</f>
        <v>193882938808</v>
      </c>
      <c r="G15">
        <f t="shared" ref="G15:G73" si="3">LN(E15)</f>
        <v>28.112190501275208</v>
      </c>
      <c r="H15">
        <f t="shared" ref="H15:H73" si="4">LN(F15)</f>
        <v>25.990520405679554</v>
      </c>
      <c r="I15">
        <v>28.129230393039801</v>
      </c>
      <c r="J15">
        <v>26.043533128383199</v>
      </c>
      <c r="K15">
        <f t="shared" ref="K15:K73" si="5">G15-I15</f>
        <v>-1.7039891764593307E-2</v>
      </c>
      <c r="L15">
        <f t="shared" ref="L15:L73" si="6">H15-J15</f>
        <v>-5.301272270364521E-2</v>
      </c>
    </row>
    <row r="16" spans="1:69" x14ac:dyDescent="0.3">
      <c r="D16">
        <f t="shared" ref="D16:D73" si="7">D15+1</f>
        <v>1962</v>
      </c>
      <c r="E16">
        <f t="shared" si="1"/>
        <v>1689037468052</v>
      </c>
      <c r="F16">
        <f t="shared" si="2"/>
        <v>223540911180</v>
      </c>
      <c r="G16">
        <f t="shared" si="3"/>
        <v>28.155179937079502</v>
      </c>
      <c r="H16">
        <f t="shared" si="4"/>
        <v>26.132860282034066</v>
      </c>
      <c r="I16">
        <v>28.228516974699399</v>
      </c>
      <c r="J16">
        <v>26.170372140995799</v>
      </c>
      <c r="K16">
        <f t="shared" si="5"/>
        <v>-7.3337037619896961E-2</v>
      </c>
      <c r="L16">
        <f t="shared" si="6"/>
        <v>-3.7511858961732258E-2</v>
      </c>
    </row>
    <row r="17" spans="4:12" x14ac:dyDescent="0.3">
      <c r="D17">
        <f t="shared" si="7"/>
        <v>1963</v>
      </c>
      <c r="E17">
        <f t="shared" si="1"/>
        <v>1799807268314</v>
      </c>
      <c r="F17">
        <f t="shared" si="2"/>
        <v>251206812081</v>
      </c>
      <c r="G17">
        <f t="shared" si="3"/>
        <v>28.218700701939039</v>
      </c>
      <c r="H17">
        <f t="shared" si="4"/>
        <v>26.249542389329612</v>
      </c>
      <c r="I17">
        <v>28.328525904926</v>
      </c>
      <c r="J17">
        <v>26.2967100239341</v>
      </c>
      <c r="K17">
        <f t="shared" si="5"/>
        <v>-0.1098252029869613</v>
      </c>
      <c r="L17">
        <f t="shared" si="6"/>
        <v>-4.7167634604488029E-2</v>
      </c>
    </row>
    <row r="18" spans="4:12" x14ac:dyDescent="0.3">
      <c r="D18">
        <f t="shared" si="7"/>
        <v>1964</v>
      </c>
      <c r="E18">
        <f t="shared" si="1"/>
        <v>1994420794991</v>
      </c>
      <c r="F18">
        <f t="shared" si="2"/>
        <v>281912697530</v>
      </c>
      <c r="G18">
        <f t="shared" si="3"/>
        <v>28.321374795791634</v>
      </c>
      <c r="H18">
        <f t="shared" si="4"/>
        <v>26.364863276726794</v>
      </c>
      <c r="I18">
        <v>28.428799788190901</v>
      </c>
      <c r="J18">
        <v>26.421656030158999</v>
      </c>
      <c r="K18">
        <f t="shared" si="5"/>
        <v>-0.10742499239926673</v>
      </c>
      <c r="L18">
        <f t="shared" si="6"/>
        <v>-5.6792753432205245E-2</v>
      </c>
    </row>
    <row r="19" spans="4:12" x14ac:dyDescent="0.3">
      <c r="D19">
        <f t="shared" si="7"/>
        <v>1965</v>
      </c>
      <c r="E19">
        <f t="shared" si="1"/>
        <v>2781410501956</v>
      </c>
      <c r="F19">
        <f t="shared" si="2"/>
        <v>377909660418</v>
      </c>
      <c r="G19">
        <f t="shared" si="3"/>
        <v>28.653979289764337</v>
      </c>
      <c r="H19">
        <f t="shared" si="4"/>
        <v>26.657921010399303</v>
      </c>
      <c r="I19">
        <v>28.527782976916299</v>
      </c>
      <c r="J19">
        <v>26.543847736292101</v>
      </c>
      <c r="K19">
        <f t="shared" si="5"/>
        <v>0.12619631284803745</v>
      </c>
      <c r="L19">
        <f t="shared" si="6"/>
        <v>0.11407327410720214</v>
      </c>
    </row>
    <row r="20" spans="4:12" x14ac:dyDescent="0.3">
      <c r="D20">
        <f t="shared" si="7"/>
        <v>1966</v>
      </c>
      <c r="E20">
        <f t="shared" si="1"/>
        <v>2917715351123</v>
      </c>
      <c r="F20">
        <f t="shared" si="2"/>
        <v>413448568871</v>
      </c>
      <c r="G20">
        <f t="shared" si="3"/>
        <v>28.701822011964182</v>
      </c>
      <c r="H20">
        <f t="shared" si="4"/>
        <v>26.747798963676743</v>
      </c>
      <c r="I20">
        <v>28.622845573642099</v>
      </c>
      <c r="J20">
        <v>26.661354791453402</v>
      </c>
      <c r="K20">
        <f t="shared" si="5"/>
        <v>7.8976438322083453E-2</v>
      </c>
      <c r="L20">
        <f t="shared" si="6"/>
        <v>8.6444172223341553E-2</v>
      </c>
    </row>
    <row r="21" spans="4:12" x14ac:dyDescent="0.3">
      <c r="D21">
        <f t="shared" si="7"/>
        <v>1967</v>
      </c>
      <c r="E21">
        <f t="shared" si="1"/>
        <v>3111831753211</v>
      </c>
      <c r="F21">
        <f t="shared" si="2"/>
        <v>440747271143</v>
      </c>
      <c r="G21">
        <f t="shared" si="3"/>
        <v>28.766232656904975</v>
      </c>
      <c r="H21">
        <f t="shared" si="4"/>
        <v>26.81173746681101</v>
      </c>
      <c r="I21">
        <v>28.712619644039499</v>
      </c>
      <c r="J21">
        <v>26.773387577500099</v>
      </c>
      <c r="K21">
        <f t="shared" si="5"/>
        <v>5.3613012865476151E-2</v>
      </c>
      <c r="L21">
        <f t="shared" si="6"/>
        <v>3.8349889310911323E-2</v>
      </c>
    </row>
    <row r="22" spans="4:12" x14ac:dyDescent="0.3">
      <c r="D22">
        <f t="shared" si="7"/>
        <v>1968</v>
      </c>
      <c r="E22">
        <f t="shared" si="1"/>
        <v>3322488914845</v>
      </c>
      <c r="F22">
        <f t="shared" si="2"/>
        <v>484736725326</v>
      </c>
      <c r="G22">
        <f t="shared" si="3"/>
        <v>28.831735291138479</v>
      </c>
      <c r="H22">
        <f t="shared" si="4"/>
        <v>26.90687174611659</v>
      </c>
      <c r="I22">
        <v>28.796527018142999</v>
      </c>
      <c r="J22">
        <v>26.8800209179748</v>
      </c>
      <c r="K22">
        <f t="shared" si="5"/>
        <v>3.5208272995479462E-2</v>
      </c>
      <c r="L22">
        <f t="shared" si="6"/>
        <v>2.6850828141789407E-2</v>
      </c>
    </row>
    <row r="23" spans="4:12" x14ac:dyDescent="0.3">
      <c r="D23">
        <f t="shared" si="7"/>
        <v>1969</v>
      </c>
      <c r="E23">
        <f t="shared" si="1"/>
        <v>3538088838987</v>
      </c>
      <c r="F23">
        <f t="shared" si="2"/>
        <v>512169022004</v>
      </c>
      <c r="G23">
        <f t="shared" si="3"/>
        <v>28.89460782129634</v>
      </c>
      <c r="H23">
        <f t="shared" si="4"/>
        <v>26.9619205286095</v>
      </c>
      <c r="I23">
        <v>28.874525656146702</v>
      </c>
      <c r="J23">
        <v>26.981713135344901</v>
      </c>
      <c r="K23">
        <f t="shared" si="5"/>
        <v>2.0082165149638342E-2</v>
      </c>
      <c r="L23">
        <f t="shared" si="6"/>
        <v>-1.9792606735400398E-2</v>
      </c>
    </row>
    <row r="24" spans="4:12" x14ac:dyDescent="0.3">
      <c r="D24">
        <f t="shared" si="7"/>
        <v>1970</v>
      </c>
      <c r="E24">
        <f t="shared" si="1"/>
        <v>3778520757939</v>
      </c>
      <c r="F24">
        <f t="shared" si="2"/>
        <v>558648445311</v>
      </c>
      <c r="G24">
        <f t="shared" si="3"/>
        <v>28.960353715090388</v>
      </c>
      <c r="H24">
        <f t="shared" si="4"/>
        <v>27.048786212996657</v>
      </c>
      <c r="I24">
        <v>28.9469256009635</v>
      </c>
      <c r="J24">
        <v>27.079191060398301</v>
      </c>
      <c r="K24">
        <f t="shared" si="5"/>
        <v>1.3428114126888602E-2</v>
      </c>
      <c r="L24">
        <f t="shared" si="6"/>
        <v>-3.040484740164473E-2</v>
      </c>
    </row>
    <row r="25" spans="4:12" x14ac:dyDescent="0.3">
      <c r="D25">
        <f t="shared" si="7"/>
        <v>1971</v>
      </c>
      <c r="E25">
        <f t="shared" si="1"/>
        <v>3944716228418</v>
      </c>
      <c r="F25">
        <f t="shared" si="2"/>
        <v>617051864485</v>
      </c>
      <c r="G25">
        <f t="shared" si="3"/>
        <v>29.003398135679209</v>
      </c>
      <c r="H25">
        <f t="shared" si="4"/>
        <v>27.148218916451928</v>
      </c>
      <c r="I25">
        <v>29.0142377171445</v>
      </c>
      <c r="J25">
        <v>27.1729835978695</v>
      </c>
      <c r="K25">
        <f t="shared" si="5"/>
        <v>-1.0839581465290848E-2</v>
      </c>
      <c r="L25">
        <f t="shared" si="6"/>
        <v>-2.4764681417572376E-2</v>
      </c>
    </row>
    <row r="26" spans="4:12" x14ac:dyDescent="0.3">
      <c r="D26">
        <f t="shared" si="7"/>
        <v>1972</v>
      </c>
      <c r="E26">
        <f t="shared" si="1"/>
        <v>4222546762984</v>
      </c>
      <c r="F26">
        <f t="shared" si="2"/>
        <v>691947065468</v>
      </c>
      <c r="G26">
        <f t="shared" si="3"/>
        <v>29.071459560282022</v>
      </c>
      <c r="H26">
        <f t="shared" si="4"/>
        <v>27.262775294649749</v>
      </c>
      <c r="I26">
        <v>29.077107150431399</v>
      </c>
      <c r="J26">
        <v>27.263315603988701</v>
      </c>
      <c r="K26">
        <f t="shared" si="5"/>
        <v>-5.6475901493762137E-3</v>
      </c>
      <c r="L26">
        <f t="shared" si="6"/>
        <v>-5.4030933895177213E-4</v>
      </c>
    </row>
    <row r="27" spans="4:12" x14ac:dyDescent="0.3">
      <c r="D27">
        <f t="shared" si="7"/>
        <v>1973</v>
      </c>
      <c r="E27">
        <f t="shared" si="1"/>
        <v>4515678310835</v>
      </c>
      <c r="F27">
        <f t="shared" si="2"/>
        <v>756370752426</v>
      </c>
      <c r="G27">
        <f t="shared" si="3"/>
        <v>29.138576526471272</v>
      </c>
      <c r="H27">
        <f t="shared" si="4"/>
        <v>27.351797506174567</v>
      </c>
      <c r="I27">
        <v>29.136070650794402</v>
      </c>
      <c r="J27">
        <v>27.350164288207701</v>
      </c>
      <c r="K27">
        <f t="shared" si="5"/>
        <v>2.5058756768707724E-3</v>
      </c>
      <c r="L27">
        <f t="shared" si="6"/>
        <v>1.6332179668658853E-3</v>
      </c>
    </row>
    <row r="28" spans="4:12" x14ac:dyDescent="0.3">
      <c r="D28">
        <f t="shared" si="7"/>
        <v>1974</v>
      </c>
      <c r="E28">
        <f t="shared" si="1"/>
        <v>4695561966386</v>
      </c>
      <c r="F28">
        <f t="shared" si="2"/>
        <v>806445850302</v>
      </c>
      <c r="G28">
        <f t="shared" si="3"/>
        <v>29.177638916076848</v>
      </c>
      <c r="H28">
        <f t="shared" si="4"/>
        <v>27.415902590660554</v>
      </c>
      <c r="I28">
        <v>29.191608492299402</v>
      </c>
      <c r="J28">
        <v>27.433501456838201</v>
      </c>
      <c r="K28">
        <f t="shared" si="5"/>
        <v>-1.396957622255357E-2</v>
      </c>
      <c r="L28">
        <f t="shared" si="6"/>
        <v>-1.7598866177646499E-2</v>
      </c>
    </row>
    <row r="29" spans="4:12" x14ac:dyDescent="0.3">
      <c r="D29">
        <f t="shared" si="7"/>
        <v>1975</v>
      </c>
      <c r="E29">
        <f t="shared" si="1"/>
        <v>4922755253089</v>
      </c>
      <c r="F29">
        <f t="shared" si="2"/>
        <v>908594274593</v>
      </c>
      <c r="G29">
        <f t="shared" si="3"/>
        <v>29.224889500475687</v>
      </c>
      <c r="H29">
        <f t="shared" si="4"/>
        <v>27.53516448890143</v>
      </c>
      <c r="I29">
        <v>29.2442260078044</v>
      </c>
      <c r="J29">
        <v>27.513315248410098</v>
      </c>
      <c r="K29">
        <f t="shared" si="5"/>
        <v>-1.9336507328713282E-2</v>
      </c>
      <c r="L29">
        <f t="shared" si="6"/>
        <v>2.1849240491331301E-2</v>
      </c>
    </row>
    <row r="30" spans="4:12" x14ac:dyDescent="0.3">
      <c r="D30">
        <f t="shared" si="7"/>
        <v>1976</v>
      </c>
      <c r="E30">
        <f t="shared" si="1"/>
        <v>5106413761144</v>
      </c>
      <c r="F30">
        <f t="shared" si="2"/>
        <v>970951514690</v>
      </c>
      <c r="G30">
        <f t="shared" si="3"/>
        <v>29.261518465766343</v>
      </c>
      <c r="H30">
        <f t="shared" si="4"/>
        <v>27.601542370613064</v>
      </c>
      <c r="I30">
        <v>29.294288834444199</v>
      </c>
      <c r="J30">
        <v>27.589417812784699</v>
      </c>
      <c r="K30">
        <f t="shared" si="5"/>
        <v>-3.2770368677855544E-2</v>
      </c>
      <c r="L30">
        <f t="shared" si="6"/>
        <v>1.2124557828364857E-2</v>
      </c>
    </row>
    <row r="31" spans="4:12" x14ac:dyDescent="0.3">
      <c r="D31">
        <f t="shared" si="7"/>
        <v>1977</v>
      </c>
      <c r="E31">
        <f t="shared" si="1"/>
        <v>5247552460470</v>
      </c>
      <c r="F31">
        <f t="shared" si="2"/>
        <v>970849187186</v>
      </c>
      <c r="G31">
        <f t="shared" si="3"/>
        <v>29.28878288582229</v>
      </c>
      <c r="H31">
        <f t="shared" si="4"/>
        <v>27.601436976167591</v>
      </c>
      <c r="I31">
        <v>29.341969244275901</v>
      </c>
      <c r="J31">
        <v>27.661839792239299</v>
      </c>
      <c r="K31">
        <f t="shared" si="5"/>
        <v>-5.3186358453611859E-2</v>
      </c>
      <c r="L31">
        <f t="shared" si="6"/>
        <v>-6.0402816071707832E-2</v>
      </c>
    </row>
    <row r="32" spans="4:12" x14ac:dyDescent="0.3">
      <c r="D32">
        <f t="shared" si="7"/>
        <v>1978</v>
      </c>
      <c r="E32">
        <f t="shared" si="1"/>
        <v>5612424744226</v>
      </c>
      <c r="F32">
        <f t="shared" si="2"/>
        <v>1062554521913.9999</v>
      </c>
      <c r="G32">
        <f t="shared" si="3"/>
        <v>29.356003960305866</v>
      </c>
      <c r="H32">
        <f t="shared" si="4"/>
        <v>27.691697051171015</v>
      </c>
      <c r="I32">
        <v>29.3871118057119</v>
      </c>
      <c r="J32">
        <v>27.730733074623299</v>
      </c>
      <c r="K32">
        <f t="shared" si="5"/>
        <v>-3.1107845406033618E-2</v>
      </c>
      <c r="L32">
        <f t="shared" si="6"/>
        <v>-3.9036023452283075E-2</v>
      </c>
    </row>
    <row r="33" spans="4:12" x14ac:dyDescent="0.3">
      <c r="D33">
        <f t="shared" si="7"/>
        <v>1979</v>
      </c>
      <c r="E33">
        <f t="shared" si="1"/>
        <v>6110663563264</v>
      </c>
      <c r="F33">
        <f t="shared" si="2"/>
        <v>1164387436535</v>
      </c>
      <c r="G33">
        <f t="shared" si="3"/>
        <v>29.441056486040726</v>
      </c>
      <c r="H33">
        <f t="shared" si="4"/>
        <v>27.783216259112642</v>
      </c>
      <c r="I33">
        <v>29.4290292236219</v>
      </c>
      <c r="J33">
        <v>27.795645519663701</v>
      </c>
      <c r="K33">
        <f t="shared" si="5"/>
        <v>1.2027262418826012E-2</v>
      </c>
      <c r="L33">
        <f t="shared" si="6"/>
        <v>-1.2429260551058974E-2</v>
      </c>
    </row>
    <row r="34" spans="4:12" x14ac:dyDescent="0.3">
      <c r="D34">
        <f t="shared" si="7"/>
        <v>1980</v>
      </c>
      <c r="E34">
        <f t="shared" si="1"/>
        <v>6740419726354</v>
      </c>
      <c r="F34">
        <f t="shared" si="2"/>
        <v>1275523626058</v>
      </c>
      <c r="G34">
        <f t="shared" si="3"/>
        <v>29.539143312853586</v>
      </c>
      <c r="H34">
        <f t="shared" si="4"/>
        <v>27.874377897334384</v>
      </c>
      <c r="I34">
        <v>29.466723124418699</v>
      </c>
      <c r="J34">
        <v>27.8557346268415</v>
      </c>
      <c r="K34">
        <f t="shared" si="5"/>
        <v>7.2420188434886512E-2</v>
      </c>
      <c r="L34">
        <f t="shared" si="6"/>
        <v>1.8643270492884056E-2</v>
      </c>
    </row>
    <row r="35" spans="4:12" x14ac:dyDescent="0.3">
      <c r="D35">
        <f t="shared" si="7"/>
        <v>1981</v>
      </c>
      <c r="E35">
        <f t="shared" si="1"/>
        <v>7237362746712</v>
      </c>
      <c r="F35">
        <f t="shared" si="2"/>
        <v>1406486859664</v>
      </c>
      <c r="G35">
        <f t="shared" si="3"/>
        <v>29.610277994462969</v>
      </c>
      <c r="H35">
        <f t="shared" si="4"/>
        <v>27.972116122254651</v>
      </c>
      <c r="I35">
        <v>29.499315407178599</v>
      </c>
      <c r="J35">
        <v>27.910033603040802</v>
      </c>
      <c r="K35">
        <f t="shared" si="5"/>
        <v>0.11096258728436936</v>
      </c>
      <c r="L35">
        <f t="shared" si="6"/>
        <v>6.2082519213848997E-2</v>
      </c>
    </row>
    <row r="36" spans="4:12" x14ac:dyDescent="0.3">
      <c r="D36">
        <f t="shared" si="7"/>
        <v>1982</v>
      </c>
      <c r="E36">
        <f t="shared" si="1"/>
        <v>7058409961630</v>
      </c>
      <c r="F36">
        <f t="shared" si="2"/>
        <v>1435052904088</v>
      </c>
      <c r="G36">
        <f t="shared" si="3"/>
        <v>29.585240924168907</v>
      </c>
      <c r="H36">
        <f t="shared" si="4"/>
        <v>27.992222831420843</v>
      </c>
      <c r="I36">
        <v>29.526652172833899</v>
      </c>
      <c r="J36">
        <v>27.957762087877299</v>
      </c>
      <c r="K36">
        <f t="shared" si="5"/>
        <v>5.8588751335008737E-2</v>
      </c>
      <c r="L36">
        <f t="shared" si="6"/>
        <v>3.4460743543544226E-2</v>
      </c>
    </row>
    <row r="37" spans="4:12" x14ac:dyDescent="0.3">
      <c r="D37">
        <f t="shared" si="7"/>
        <v>1983</v>
      </c>
      <c r="E37">
        <f t="shared" si="1"/>
        <v>6680170164589</v>
      </c>
      <c r="F37">
        <f t="shared" si="2"/>
        <v>1474135800735</v>
      </c>
      <c r="G37">
        <f t="shared" si="3"/>
        <v>29.530164576893522</v>
      </c>
      <c r="H37">
        <f t="shared" si="4"/>
        <v>28.019093036208361</v>
      </c>
      <c r="I37">
        <v>29.5496891481449</v>
      </c>
      <c r="J37">
        <v>27.998760546136499</v>
      </c>
      <c r="K37">
        <f t="shared" si="5"/>
        <v>-1.9524571251377409E-2</v>
      </c>
      <c r="L37">
        <f t="shared" si="6"/>
        <v>2.0332490071861997E-2</v>
      </c>
    </row>
    <row r="38" spans="4:12" x14ac:dyDescent="0.3">
      <c r="D38">
        <f t="shared" si="7"/>
        <v>1984</v>
      </c>
      <c r="E38">
        <f t="shared" si="1"/>
        <v>6897821706530</v>
      </c>
      <c r="F38">
        <f t="shared" si="2"/>
        <v>1571274563867</v>
      </c>
      <c r="G38">
        <f t="shared" si="3"/>
        <v>29.562226782983902</v>
      </c>
      <c r="H38">
        <f t="shared" si="4"/>
        <v>28.082908230056912</v>
      </c>
      <c r="I38">
        <v>29.569967947343802</v>
      </c>
      <c r="J38">
        <v>28.033214050024899</v>
      </c>
      <c r="K38">
        <f t="shared" si="5"/>
        <v>-7.7411643598992441E-3</v>
      </c>
      <c r="L38">
        <f t="shared" si="6"/>
        <v>4.969418003201298E-2</v>
      </c>
    </row>
    <row r="39" spans="4:12" x14ac:dyDescent="0.3">
      <c r="D39">
        <f t="shared" si="7"/>
        <v>1985</v>
      </c>
      <c r="E39">
        <f t="shared" si="1"/>
        <v>7125090005516</v>
      </c>
      <c r="F39">
        <f t="shared" si="2"/>
        <v>1585486526261</v>
      </c>
      <c r="G39">
        <f t="shared" si="3"/>
        <v>29.594643474356598</v>
      </c>
      <c r="H39">
        <f t="shared" si="4"/>
        <v>28.09191243278779</v>
      </c>
      <c r="I39">
        <v>29.5888349389813</v>
      </c>
      <c r="J39">
        <v>28.061510996687701</v>
      </c>
      <c r="K39">
        <f t="shared" si="5"/>
        <v>5.8085353752979074E-3</v>
      </c>
      <c r="L39">
        <f t="shared" si="6"/>
        <v>3.040143610008883E-2</v>
      </c>
    </row>
    <row r="40" spans="4:12" x14ac:dyDescent="0.3">
      <c r="D40">
        <f t="shared" si="7"/>
        <v>1986</v>
      </c>
      <c r="E40">
        <f t="shared" si="1"/>
        <v>6940923316203</v>
      </c>
      <c r="F40">
        <f t="shared" si="2"/>
        <v>1608936264149</v>
      </c>
      <c r="G40">
        <f t="shared" si="3"/>
        <v>29.568455924278418</v>
      </c>
      <c r="H40">
        <f t="shared" si="4"/>
        <v>28.106594371065341</v>
      </c>
      <c r="I40">
        <v>29.6075590799345</v>
      </c>
      <c r="J40">
        <v>28.084536725069999</v>
      </c>
      <c r="K40">
        <f t="shared" si="5"/>
        <v>-3.9103155656082578E-2</v>
      </c>
      <c r="L40">
        <f t="shared" si="6"/>
        <v>2.2057645995342767E-2</v>
      </c>
    </row>
    <row r="41" spans="4:12" x14ac:dyDescent="0.3">
      <c r="D41">
        <f t="shared" si="7"/>
        <v>1987</v>
      </c>
      <c r="E41">
        <f t="shared" si="1"/>
        <v>6931654152801</v>
      </c>
      <c r="F41">
        <f t="shared" si="2"/>
        <v>1589536935524</v>
      </c>
      <c r="G41">
        <f t="shared" si="3"/>
        <v>29.567119595135242</v>
      </c>
      <c r="H41">
        <f t="shared" si="4"/>
        <v>28.094463854223893</v>
      </c>
      <c r="I41">
        <v>29.6274674123908</v>
      </c>
      <c r="J41">
        <v>28.103480588449798</v>
      </c>
      <c r="K41">
        <f t="shared" si="5"/>
        <v>-6.0347817255557601E-2</v>
      </c>
      <c r="L41">
        <f t="shared" si="6"/>
        <v>-9.0167342259057648E-3</v>
      </c>
    </row>
    <row r="42" spans="4:12" x14ac:dyDescent="0.3">
      <c r="D42">
        <f t="shared" si="7"/>
        <v>1988</v>
      </c>
      <c r="E42">
        <f t="shared" si="1"/>
        <v>7057309248565</v>
      </c>
      <c r="F42">
        <f t="shared" si="2"/>
        <v>1581578236509</v>
      </c>
      <c r="G42">
        <f t="shared" si="3"/>
        <v>29.585084968521045</v>
      </c>
      <c r="H42">
        <f t="shared" si="4"/>
        <v>28.089444348281361</v>
      </c>
      <c r="I42">
        <v>29.649495946938401</v>
      </c>
      <c r="J42">
        <v>28.119752516554499</v>
      </c>
      <c r="K42">
        <f t="shared" si="5"/>
        <v>-6.4410978417356546E-2</v>
      </c>
      <c r="L42">
        <f t="shared" si="6"/>
        <v>-3.0308168273137426E-2</v>
      </c>
    </row>
    <row r="43" spans="4:12" x14ac:dyDescent="0.3">
      <c r="D43">
        <f t="shared" si="7"/>
        <v>1989</v>
      </c>
      <c r="E43">
        <f t="shared" si="1"/>
        <v>7536119468037</v>
      </c>
      <c r="F43">
        <f t="shared" si="2"/>
        <v>1579304322576</v>
      </c>
      <c r="G43">
        <f t="shared" si="3"/>
        <v>29.650728506054261</v>
      </c>
      <c r="H43">
        <f t="shared" si="4"/>
        <v>28.088005563838873</v>
      </c>
      <c r="I43">
        <v>29.673977216041301</v>
      </c>
      <c r="J43">
        <v>28.134672271726998</v>
      </c>
      <c r="K43">
        <f t="shared" si="5"/>
        <v>-2.3248709987040428E-2</v>
      </c>
      <c r="L43">
        <f t="shared" si="6"/>
        <v>-4.6666707888125103E-2</v>
      </c>
    </row>
    <row r="44" spans="4:12" x14ac:dyDescent="0.3">
      <c r="D44">
        <f t="shared" si="7"/>
        <v>1990</v>
      </c>
      <c r="E44">
        <f t="shared" si="1"/>
        <v>7994421663533</v>
      </c>
      <c r="F44">
        <f t="shared" si="2"/>
        <v>1615971185528</v>
      </c>
      <c r="G44">
        <f t="shared" si="3"/>
        <v>29.709765122328832</v>
      </c>
      <c r="H44">
        <f t="shared" si="4"/>
        <v>28.110957245130859</v>
      </c>
      <c r="I44">
        <v>29.700599642394302</v>
      </c>
      <c r="J44">
        <v>28.149256534644799</v>
      </c>
      <c r="K44">
        <f t="shared" si="5"/>
        <v>9.1654799345306515E-3</v>
      </c>
      <c r="L44">
        <f t="shared" si="6"/>
        <v>-3.8299289513940238E-2</v>
      </c>
    </row>
    <row r="45" spans="4:12" x14ac:dyDescent="0.3">
      <c r="D45">
        <f t="shared" si="7"/>
        <v>1991</v>
      </c>
      <c r="E45">
        <f t="shared" si="1"/>
        <v>8385290695700</v>
      </c>
      <c r="F45">
        <f t="shared" si="2"/>
        <v>1679356537900</v>
      </c>
      <c r="G45">
        <f t="shared" si="3"/>
        <v>29.757500179141839</v>
      </c>
      <c r="H45">
        <f t="shared" si="4"/>
        <v>28.149431822820681</v>
      </c>
      <c r="I45">
        <v>29.728819161631801</v>
      </c>
      <c r="J45">
        <v>28.164055318867799</v>
      </c>
      <c r="K45">
        <f t="shared" si="5"/>
        <v>2.8681017510038487E-2</v>
      </c>
      <c r="L45">
        <f t="shared" si="6"/>
        <v>-1.4623496047118323E-2</v>
      </c>
    </row>
    <row r="46" spans="4:12" x14ac:dyDescent="0.3">
      <c r="D46">
        <f t="shared" si="7"/>
        <v>1992</v>
      </c>
      <c r="E46">
        <f t="shared" si="1"/>
        <v>8712955620300.001</v>
      </c>
      <c r="F46">
        <f t="shared" si="2"/>
        <v>1718226255100</v>
      </c>
      <c r="G46">
        <f t="shared" si="3"/>
        <v>29.795832185660768</v>
      </c>
      <c r="H46">
        <f t="shared" si="4"/>
        <v>28.172313627617953</v>
      </c>
      <c r="I46">
        <v>29.758183364164001</v>
      </c>
      <c r="J46">
        <v>28.1792356451096</v>
      </c>
      <c r="K46">
        <f t="shared" si="5"/>
        <v>3.7648821496766516E-2</v>
      </c>
      <c r="L46">
        <f t="shared" si="6"/>
        <v>-6.9220174916466704E-3</v>
      </c>
    </row>
    <row r="47" spans="4:12" x14ac:dyDescent="0.3">
      <c r="D47">
        <f t="shared" si="7"/>
        <v>1993</v>
      </c>
      <c r="E47">
        <f t="shared" si="1"/>
        <v>8729987708000.001</v>
      </c>
      <c r="F47">
        <f t="shared" si="2"/>
        <v>1753045563000</v>
      </c>
      <c r="G47">
        <f t="shared" si="3"/>
        <v>29.797785077760739</v>
      </c>
      <c r="H47">
        <f t="shared" si="4"/>
        <v>28.192375712973114</v>
      </c>
      <c r="I47">
        <v>29.788526650585201</v>
      </c>
      <c r="J47">
        <v>28.194818299095299</v>
      </c>
      <c r="K47">
        <f t="shared" si="5"/>
        <v>9.2584271755384862E-3</v>
      </c>
      <c r="L47">
        <f t="shared" si="6"/>
        <v>-2.4425861221857303E-3</v>
      </c>
    </row>
    <row r="48" spans="4:12" x14ac:dyDescent="0.3">
      <c r="D48">
        <f t="shared" si="7"/>
        <v>1994</v>
      </c>
      <c r="E48">
        <f t="shared" si="1"/>
        <v>9177271112000</v>
      </c>
      <c r="F48">
        <f t="shared" si="2"/>
        <v>1803138101000</v>
      </c>
      <c r="G48">
        <f t="shared" si="3"/>
        <v>29.847751011881083</v>
      </c>
      <c r="H48">
        <f t="shared" si="4"/>
        <v>28.220549652335716</v>
      </c>
      <c r="I48">
        <v>29.820059909747599</v>
      </c>
      <c r="J48">
        <v>28.210754846398601</v>
      </c>
      <c r="K48">
        <f t="shared" si="5"/>
        <v>2.7691102133484691E-2</v>
      </c>
      <c r="L48">
        <f t="shared" si="6"/>
        <v>9.7948059371155693E-3</v>
      </c>
    </row>
    <row r="49" spans="4:12" x14ac:dyDescent="0.3">
      <c r="D49">
        <f t="shared" si="7"/>
        <v>1995</v>
      </c>
      <c r="E49">
        <f t="shared" si="1"/>
        <v>8619344573000.001</v>
      </c>
      <c r="F49">
        <f t="shared" si="2"/>
        <v>1787132630000</v>
      </c>
      <c r="G49">
        <f t="shared" si="3"/>
        <v>29.785030162098447</v>
      </c>
      <c r="H49">
        <f t="shared" si="4"/>
        <v>28.211633568713779</v>
      </c>
      <c r="I49">
        <v>29.853086614797999</v>
      </c>
      <c r="J49">
        <v>28.2269724267024</v>
      </c>
      <c r="K49">
        <f t="shared" si="5"/>
        <v>-6.8056452699551073E-2</v>
      </c>
      <c r="L49">
        <f t="shared" si="6"/>
        <v>-1.5338857988620447E-2</v>
      </c>
    </row>
    <row r="50" spans="4:12" x14ac:dyDescent="0.3">
      <c r="D50">
        <f t="shared" si="7"/>
        <v>1996</v>
      </c>
      <c r="E50">
        <f t="shared" si="1"/>
        <v>8929155975000</v>
      </c>
      <c r="F50">
        <f t="shared" si="2"/>
        <v>1789070677000</v>
      </c>
      <c r="G50">
        <f t="shared" si="3"/>
        <v>29.820342990672575</v>
      </c>
      <c r="H50">
        <f t="shared" si="4"/>
        <v>28.212717426102945</v>
      </c>
      <c r="I50">
        <v>29.888187149885301</v>
      </c>
      <c r="J50">
        <v>28.243496127725699</v>
      </c>
      <c r="K50">
        <f t="shared" si="5"/>
        <v>-6.7844159212725685E-2</v>
      </c>
      <c r="L50">
        <f t="shared" si="6"/>
        <v>-3.0778701622754312E-2</v>
      </c>
    </row>
    <row r="51" spans="4:12" x14ac:dyDescent="0.3">
      <c r="D51">
        <f t="shared" si="7"/>
        <v>1997</v>
      </c>
      <c r="E51">
        <f t="shared" si="1"/>
        <v>9613844691000</v>
      </c>
      <c r="F51">
        <f t="shared" si="2"/>
        <v>1881734377000</v>
      </c>
      <c r="G51">
        <f t="shared" si="3"/>
        <v>29.89422533080759</v>
      </c>
      <c r="H51">
        <f t="shared" si="4"/>
        <v>28.263215008448483</v>
      </c>
      <c r="I51">
        <v>29.925261334610699</v>
      </c>
      <c r="J51">
        <v>28.260197648620299</v>
      </c>
      <c r="K51">
        <f t="shared" si="5"/>
        <v>-3.1036003803109224E-2</v>
      </c>
      <c r="L51">
        <f t="shared" si="6"/>
        <v>3.0173598281848513E-3</v>
      </c>
    </row>
    <row r="52" spans="4:12" x14ac:dyDescent="0.3">
      <c r="D52">
        <f t="shared" si="7"/>
        <v>1998</v>
      </c>
      <c r="E52">
        <f t="shared" si="1"/>
        <v>10271683379000</v>
      </c>
      <c r="F52">
        <f t="shared" si="2"/>
        <v>1911472013000</v>
      </c>
      <c r="G52">
        <f t="shared" si="3"/>
        <v>29.960412038705609</v>
      </c>
      <c r="H52">
        <f t="shared" si="4"/>
        <v>28.278894748594578</v>
      </c>
      <c r="I52">
        <v>29.9635305469765</v>
      </c>
      <c r="J52">
        <v>28.276640901560899</v>
      </c>
      <c r="K52">
        <f t="shared" si="5"/>
        <v>-3.1185082708908851E-3</v>
      </c>
      <c r="L52">
        <f t="shared" si="6"/>
        <v>2.2538470336783689E-3</v>
      </c>
    </row>
    <row r="53" spans="4:12" x14ac:dyDescent="0.3">
      <c r="D53">
        <f t="shared" si="7"/>
        <v>1999</v>
      </c>
      <c r="E53">
        <f t="shared" si="1"/>
        <v>10709602005000</v>
      </c>
      <c r="F53">
        <f t="shared" si="2"/>
        <v>2010641347000</v>
      </c>
      <c r="G53">
        <f t="shared" si="3"/>
        <v>30.002161838633292</v>
      </c>
      <c r="H53">
        <f t="shared" si="4"/>
        <v>28.32947486521439</v>
      </c>
      <c r="I53">
        <v>30.001905804938801</v>
      </c>
      <c r="J53">
        <v>28.2924199723359</v>
      </c>
      <c r="K53">
        <f t="shared" si="5"/>
        <v>2.560336944910091E-4</v>
      </c>
      <c r="L53">
        <f t="shared" si="6"/>
        <v>3.705489287849062E-2</v>
      </c>
    </row>
    <row r="54" spans="4:12" x14ac:dyDescent="0.3">
      <c r="D54">
        <f t="shared" si="7"/>
        <v>2000</v>
      </c>
      <c r="E54">
        <f t="shared" si="1"/>
        <v>11644753026000</v>
      </c>
      <c r="F54">
        <f t="shared" si="2"/>
        <v>2070642717000</v>
      </c>
      <c r="G54">
        <f t="shared" si="3"/>
        <v>30.085876810452572</v>
      </c>
      <c r="H54">
        <f t="shared" si="4"/>
        <v>28.358880166317725</v>
      </c>
      <c r="I54">
        <v>30.039266941384</v>
      </c>
      <c r="J54">
        <v>28.3071514852181</v>
      </c>
      <c r="K54">
        <f t="shared" si="5"/>
        <v>4.6609869068571896E-2</v>
      </c>
      <c r="L54">
        <f t="shared" si="6"/>
        <v>5.1728681099625362E-2</v>
      </c>
    </row>
    <row r="55" spans="4:12" x14ac:dyDescent="0.3">
      <c r="D55">
        <f t="shared" si="7"/>
        <v>2001</v>
      </c>
      <c r="E55">
        <f t="shared" si="1"/>
        <v>11973272068000</v>
      </c>
      <c r="F55">
        <f t="shared" si="2"/>
        <v>2018650277000</v>
      </c>
      <c r="G55">
        <f t="shared" si="3"/>
        <v>30.1136979538662</v>
      </c>
      <c r="H55">
        <f t="shared" si="4"/>
        <v>28.333450224307143</v>
      </c>
      <c r="I55">
        <v>30.0744963495492</v>
      </c>
      <c r="J55">
        <v>28.320822613457</v>
      </c>
      <c r="K55">
        <f t="shared" si="5"/>
        <v>3.920160431700026E-2</v>
      </c>
      <c r="L55">
        <f t="shared" si="6"/>
        <v>1.262761085014219E-2</v>
      </c>
    </row>
    <row r="56" spans="4:12" x14ac:dyDescent="0.3">
      <c r="D56">
        <f t="shared" si="7"/>
        <v>2002</v>
      </c>
      <c r="E56">
        <f t="shared" si="1"/>
        <v>12171704754000</v>
      </c>
      <c r="F56">
        <f t="shared" si="2"/>
        <v>2023643191000</v>
      </c>
      <c r="G56">
        <f t="shared" si="3"/>
        <v>30.130135091507405</v>
      </c>
      <c r="H56">
        <f t="shared" si="4"/>
        <v>28.335920562781411</v>
      </c>
      <c r="I56">
        <v>30.106942521357499</v>
      </c>
      <c r="J56">
        <v>28.3339378171497</v>
      </c>
      <c r="K56">
        <f t="shared" si="5"/>
        <v>2.3192570149905833E-2</v>
      </c>
      <c r="L56">
        <f t="shared" si="6"/>
        <v>1.9827456317109693E-3</v>
      </c>
    </row>
    <row r="57" spans="4:12" x14ac:dyDescent="0.3">
      <c r="D57">
        <f t="shared" si="7"/>
        <v>2003</v>
      </c>
      <c r="E57">
        <f t="shared" si="1"/>
        <v>12429902425000</v>
      </c>
      <c r="F57">
        <f t="shared" si="2"/>
        <v>2024240536000</v>
      </c>
      <c r="G57">
        <f t="shared" si="3"/>
        <v>30.151126171460582</v>
      </c>
      <c r="H57">
        <f t="shared" si="4"/>
        <v>28.336215702189861</v>
      </c>
      <c r="I57">
        <v>30.136345964736499</v>
      </c>
      <c r="J57">
        <v>28.347127832459201</v>
      </c>
      <c r="K57">
        <f t="shared" si="5"/>
        <v>1.47802067240832E-2</v>
      </c>
      <c r="L57">
        <f t="shared" si="6"/>
        <v>-1.0912130269339571E-2</v>
      </c>
    </row>
    <row r="58" spans="4:12" x14ac:dyDescent="0.3">
      <c r="D58">
        <f t="shared" si="7"/>
        <v>2004</v>
      </c>
      <c r="E58">
        <f t="shared" si="1"/>
        <v>12719357104000</v>
      </c>
      <c r="F58">
        <f t="shared" si="2"/>
        <v>2008582693000</v>
      </c>
      <c r="G58">
        <f t="shared" si="3"/>
        <v>30.174146130424862</v>
      </c>
      <c r="H58">
        <f t="shared" si="4"/>
        <v>28.328450461419258</v>
      </c>
      <c r="I58">
        <v>30.162679113300499</v>
      </c>
      <c r="J58">
        <v>28.361043222976502</v>
      </c>
      <c r="K58">
        <f t="shared" si="5"/>
        <v>1.1467017124363821E-2</v>
      </c>
      <c r="L58">
        <f t="shared" si="6"/>
        <v>-3.2592761557243222E-2</v>
      </c>
    </row>
    <row r="59" spans="4:12" x14ac:dyDescent="0.3">
      <c r="D59">
        <f t="shared" si="7"/>
        <v>2005</v>
      </c>
      <c r="E59">
        <f t="shared" si="1"/>
        <v>12992001820000</v>
      </c>
      <c r="F59">
        <f t="shared" si="2"/>
        <v>2057064495000</v>
      </c>
      <c r="G59">
        <f t="shared" si="3"/>
        <v>30.195355039434066</v>
      </c>
      <c r="H59">
        <f t="shared" si="4"/>
        <v>28.352301080021309</v>
      </c>
      <c r="I59">
        <v>30.186062202716101</v>
      </c>
      <c r="J59">
        <v>28.376225430968201</v>
      </c>
      <c r="K59">
        <f t="shared" si="5"/>
        <v>9.2928367179645477E-3</v>
      </c>
      <c r="L59">
        <f t="shared" si="6"/>
        <v>-2.3924350946892048E-2</v>
      </c>
    </row>
    <row r="60" spans="4:12" x14ac:dyDescent="0.3">
      <c r="D60">
        <f t="shared" si="7"/>
        <v>2006</v>
      </c>
      <c r="E60">
        <f t="shared" si="1"/>
        <v>13577300116000</v>
      </c>
      <c r="F60">
        <f t="shared" si="2"/>
        <v>2108545130000</v>
      </c>
      <c r="G60">
        <f t="shared" si="3"/>
        <v>30.239420405038338</v>
      </c>
      <c r="H60">
        <f t="shared" si="4"/>
        <v>28.37701931374556</v>
      </c>
      <c r="I60">
        <v>30.2067301388171</v>
      </c>
      <c r="J60">
        <v>28.392889971071298</v>
      </c>
      <c r="K60">
        <f t="shared" si="5"/>
        <v>3.2690266221237607E-2</v>
      </c>
      <c r="L60">
        <f t="shared" si="6"/>
        <v>-1.5870657325738335E-2</v>
      </c>
    </row>
    <row r="61" spans="4:12" x14ac:dyDescent="0.3">
      <c r="D61">
        <f t="shared" si="7"/>
        <v>2007</v>
      </c>
      <c r="E61">
        <f t="shared" si="1"/>
        <v>13740679753000</v>
      </c>
      <c r="F61">
        <f t="shared" si="2"/>
        <v>2148548772000</v>
      </c>
      <c r="G61">
        <f t="shared" si="3"/>
        <v>30.251381874060886</v>
      </c>
      <c r="H61">
        <f t="shared" si="4"/>
        <v>28.395813740392523</v>
      </c>
      <c r="I61">
        <v>30.2250107558101</v>
      </c>
      <c r="J61">
        <v>28.411013114412899</v>
      </c>
      <c r="K61">
        <f t="shared" si="5"/>
        <v>2.6371118250786196E-2</v>
      </c>
      <c r="L61">
        <f t="shared" si="6"/>
        <v>-1.519937402037641E-2</v>
      </c>
    </row>
    <row r="62" spans="4:12" x14ac:dyDescent="0.3">
      <c r="D62">
        <f t="shared" si="7"/>
        <v>2008</v>
      </c>
      <c r="E62">
        <f t="shared" si="1"/>
        <v>13877424497000</v>
      </c>
      <c r="F62">
        <f t="shared" si="2"/>
        <v>2207642433000</v>
      </c>
      <c r="G62">
        <f t="shared" si="3"/>
        <v>30.261284498818572</v>
      </c>
      <c r="H62">
        <f t="shared" si="4"/>
        <v>28.422946289653357</v>
      </c>
      <c r="I62">
        <v>30.241558790613301</v>
      </c>
      <c r="J62">
        <v>28.430412425509498</v>
      </c>
      <c r="K62">
        <f t="shared" si="5"/>
        <v>1.972570820527153E-2</v>
      </c>
      <c r="L62">
        <f t="shared" si="6"/>
        <v>-7.4661358561414204E-3</v>
      </c>
    </row>
    <row r="63" spans="4:12" x14ac:dyDescent="0.3">
      <c r="D63">
        <f t="shared" si="7"/>
        <v>2009</v>
      </c>
      <c r="E63">
        <f t="shared" si="1"/>
        <v>12887547408000</v>
      </c>
      <c r="F63">
        <f t="shared" si="2"/>
        <v>2270979247000</v>
      </c>
      <c r="G63">
        <f t="shared" si="3"/>
        <v>30.187282643868159</v>
      </c>
      <c r="H63">
        <f t="shared" si="4"/>
        <v>28.451232240745135</v>
      </c>
      <c r="I63">
        <v>30.257292691287301</v>
      </c>
      <c r="J63">
        <v>28.4507534751333</v>
      </c>
      <c r="K63">
        <f t="shared" si="5"/>
        <v>-7.0010047419142296E-2</v>
      </c>
      <c r="L63">
        <f t="shared" si="6"/>
        <v>4.7876561183457511E-4</v>
      </c>
    </row>
    <row r="64" spans="4:12" x14ac:dyDescent="0.3">
      <c r="D64">
        <f t="shared" si="7"/>
        <v>2010</v>
      </c>
      <c r="E64">
        <f t="shared" si="1"/>
        <v>13485069269000</v>
      </c>
      <c r="F64">
        <f t="shared" si="2"/>
        <v>2316534691000</v>
      </c>
      <c r="G64">
        <f t="shared" si="3"/>
        <v>30.23260420925158</v>
      </c>
      <c r="H64">
        <f t="shared" si="4"/>
        <v>28.471093517300737</v>
      </c>
      <c r="I64">
        <v>30.2733281629861</v>
      </c>
      <c r="J64">
        <v>28.471627172701702</v>
      </c>
      <c r="K64">
        <f t="shared" si="5"/>
        <v>-4.0723953734520535E-2</v>
      </c>
      <c r="L64">
        <f t="shared" si="6"/>
        <v>-5.3365540096450559E-4</v>
      </c>
    </row>
    <row r="65" spans="4:12" x14ac:dyDescent="0.3">
      <c r="D65">
        <f t="shared" si="7"/>
        <v>2011</v>
      </c>
      <c r="E65">
        <f t="shared" si="1"/>
        <v>14114315776000</v>
      </c>
      <c r="F65">
        <f t="shared" si="2"/>
        <v>2390015026000</v>
      </c>
      <c r="G65">
        <f t="shared" si="3"/>
        <v>30.27821070150333</v>
      </c>
      <c r="H65">
        <f t="shared" si="4"/>
        <v>28.502320768881493</v>
      </c>
      <c r="I65">
        <v>30.290080810350901</v>
      </c>
      <c r="J65">
        <v>28.492629215280498</v>
      </c>
      <c r="K65">
        <f t="shared" si="5"/>
        <v>-1.1870108847571004E-2</v>
      </c>
      <c r="L65">
        <f t="shared" si="6"/>
        <v>9.6915536009944958E-3</v>
      </c>
    </row>
    <row r="66" spans="4:12" x14ac:dyDescent="0.3">
      <c r="D66">
        <f t="shared" si="7"/>
        <v>2012</v>
      </c>
      <c r="E66">
        <f t="shared" si="1"/>
        <v>14418160062000</v>
      </c>
      <c r="F66">
        <f t="shared" si="2"/>
        <v>2461687511000</v>
      </c>
      <c r="G66">
        <f t="shared" si="3"/>
        <v>30.299509643389055</v>
      </c>
      <c r="H66">
        <f t="shared" si="4"/>
        <v>28.531868210777329</v>
      </c>
      <c r="I66">
        <v>30.307558998493299</v>
      </c>
      <c r="J66">
        <v>28.513349963408601</v>
      </c>
      <c r="K66">
        <f t="shared" si="5"/>
        <v>-8.0493551042444267E-3</v>
      </c>
      <c r="L66">
        <f t="shared" si="6"/>
        <v>1.8518247368728424E-2</v>
      </c>
    </row>
    <row r="67" spans="4:12" x14ac:dyDescent="0.3">
      <c r="D67">
        <f t="shared" si="7"/>
        <v>2013</v>
      </c>
      <c r="E67">
        <f t="shared" si="1"/>
        <v>14789609384000</v>
      </c>
      <c r="F67">
        <f t="shared" si="2"/>
        <v>2481439489000</v>
      </c>
      <c r="G67">
        <f t="shared" si="3"/>
        <v>30.324945981484365</v>
      </c>
      <c r="H67">
        <f t="shared" si="4"/>
        <v>28.539859946828717</v>
      </c>
      <c r="I67">
        <v>30.325652391421102</v>
      </c>
      <c r="J67">
        <v>28.533476693171998</v>
      </c>
      <c r="K67">
        <f t="shared" si="5"/>
        <v>-7.0640993673620756E-4</v>
      </c>
      <c r="L67">
        <f t="shared" si="6"/>
        <v>6.383253656718324E-3</v>
      </c>
    </row>
    <row r="68" spans="4:12" x14ac:dyDescent="0.3">
      <c r="D68">
        <f t="shared" si="7"/>
        <v>2014</v>
      </c>
      <c r="E68">
        <f t="shared" si="1"/>
        <v>15082427060000</v>
      </c>
      <c r="F68">
        <f t="shared" si="2"/>
        <v>2538877885000</v>
      </c>
      <c r="G68">
        <f t="shared" si="3"/>
        <v>30.344551411181342</v>
      </c>
      <c r="H68">
        <f t="shared" si="4"/>
        <v>28.562743321787483</v>
      </c>
      <c r="I68">
        <v>30.344170159557301</v>
      </c>
      <c r="J68">
        <v>28.552881863122799</v>
      </c>
      <c r="K68">
        <f t="shared" si="5"/>
        <v>3.8125162404156754E-4</v>
      </c>
      <c r="L68">
        <f t="shared" si="6"/>
        <v>9.8614586646839086E-3</v>
      </c>
    </row>
    <row r="69" spans="4:12" x14ac:dyDescent="0.3">
      <c r="D69">
        <f t="shared" si="7"/>
        <v>2015</v>
      </c>
      <c r="E69">
        <f t="shared" si="1"/>
        <v>15487616587000</v>
      </c>
      <c r="F69">
        <f t="shared" si="2"/>
        <v>2582897766000</v>
      </c>
      <c r="G69">
        <f t="shared" si="3"/>
        <v>30.371061890668226</v>
      </c>
      <c r="H69">
        <f t="shared" si="4"/>
        <v>28.579933049700308</v>
      </c>
      <c r="I69">
        <v>30.362914409210699</v>
      </c>
      <c r="J69">
        <v>28.5715017643812</v>
      </c>
      <c r="K69">
        <f t="shared" si="5"/>
        <v>8.1474814575273058E-3</v>
      </c>
      <c r="L69">
        <f t="shared" si="6"/>
        <v>8.431285319108639E-3</v>
      </c>
    </row>
    <row r="70" spans="4:12" x14ac:dyDescent="0.3">
      <c r="D70">
        <f t="shared" si="7"/>
        <v>2016</v>
      </c>
      <c r="E70">
        <f t="shared" si="1"/>
        <v>15785949025000</v>
      </c>
      <c r="F70">
        <f t="shared" si="2"/>
        <v>2631514289000</v>
      </c>
      <c r="G70">
        <f t="shared" si="3"/>
        <v>30.39014135808247</v>
      </c>
      <c r="H70">
        <f t="shared" si="4"/>
        <v>28.598580571708403</v>
      </c>
      <c r="I70">
        <v>30.381691059194601</v>
      </c>
      <c r="J70">
        <v>28.589371302636302</v>
      </c>
      <c r="K70">
        <f t="shared" si="5"/>
        <v>8.4502988878689678E-3</v>
      </c>
      <c r="L70">
        <f t="shared" si="6"/>
        <v>9.2092690721017334E-3</v>
      </c>
    </row>
    <row r="71" spans="4:12" x14ac:dyDescent="0.3">
      <c r="D71">
        <f t="shared" si="7"/>
        <v>2017</v>
      </c>
      <c r="E71">
        <f t="shared" si="1"/>
        <v>16057959721000</v>
      </c>
      <c r="F71">
        <f t="shared" si="2"/>
        <v>2640794646000</v>
      </c>
      <c r="G71">
        <f t="shared" si="3"/>
        <v>30.407225775343143</v>
      </c>
      <c r="H71">
        <f t="shared" si="4"/>
        <v>28.602100990067406</v>
      </c>
      <c r="I71">
        <v>30.400387503130101</v>
      </c>
      <c r="J71">
        <v>28.606609696433299</v>
      </c>
      <c r="K71">
        <f t="shared" si="5"/>
        <v>6.838272213041563E-3</v>
      </c>
      <c r="L71">
        <f t="shared" si="6"/>
        <v>-4.5087063658932891E-3</v>
      </c>
    </row>
    <row r="72" spans="4:12" x14ac:dyDescent="0.3">
      <c r="D72">
        <f t="shared" si="7"/>
        <v>2018</v>
      </c>
      <c r="E72">
        <f t="shared" si="1"/>
        <v>16292902580000</v>
      </c>
      <c r="F72">
        <f t="shared" si="2"/>
        <v>2721397767000</v>
      </c>
      <c r="G72">
        <f t="shared" si="3"/>
        <v>30.421750704376596</v>
      </c>
      <c r="H72">
        <f t="shared" si="4"/>
        <v>28.632166749169283</v>
      </c>
      <c r="I72">
        <v>30.418975637646302</v>
      </c>
      <c r="J72">
        <v>28.623428256991101</v>
      </c>
      <c r="K72">
        <f t="shared" si="5"/>
        <v>2.7750667302939291E-3</v>
      </c>
      <c r="L72">
        <f t="shared" si="6"/>
        <v>8.7384921781819003E-3</v>
      </c>
    </row>
    <row r="73" spans="4:12" x14ac:dyDescent="0.3">
      <c r="D73">
        <f t="shared" si="7"/>
        <v>2019</v>
      </c>
      <c r="E73">
        <f t="shared" si="1"/>
        <v>16439247690000</v>
      </c>
      <c r="F73">
        <f t="shared" si="2"/>
        <v>2674095471000</v>
      </c>
      <c r="G73">
        <f t="shared" si="3"/>
        <v>30.430692743560613</v>
      </c>
      <c r="H73">
        <f t="shared" si="4"/>
        <v>28.614632297411486</v>
      </c>
      <c r="I73">
        <v>30.437495742141</v>
      </c>
      <c r="J73">
        <v>28.639993208464301</v>
      </c>
      <c r="K73">
        <f t="shared" si="5"/>
        <v>-6.8029985803867987E-3</v>
      </c>
      <c r="L73">
        <f t="shared" si="6"/>
        <v>-2.5360911052814572E-2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DDD8A-81BB-437A-89A8-9BB278950C4E}">
  <dimension ref="A1:BQ70"/>
  <sheetViews>
    <sheetView topLeftCell="A39" workbookViewId="0">
      <selection activeCell="D3" sqref="D3"/>
    </sheetView>
  </sheetViews>
  <sheetFormatPr defaultRowHeight="14.4" x14ac:dyDescent="0.3"/>
  <cols>
    <col min="10" max="10" width="12.6640625" bestFit="1" customWidth="1"/>
  </cols>
  <sheetData>
    <row r="1" spans="1:69" x14ac:dyDescent="0.3">
      <c r="E1">
        <v>1960</v>
      </c>
      <c r="F1">
        <f>E1+1</f>
        <v>1961</v>
      </c>
      <c r="G1">
        <f t="shared" ref="G1:BQ1" si="0">F1+1</f>
        <v>1962</v>
      </c>
      <c r="H1">
        <f t="shared" si="0"/>
        <v>1963</v>
      </c>
      <c r="I1">
        <f t="shared" si="0"/>
        <v>1964</v>
      </c>
      <c r="J1">
        <f t="shared" si="0"/>
        <v>1965</v>
      </c>
      <c r="K1">
        <f t="shared" si="0"/>
        <v>1966</v>
      </c>
      <c r="L1">
        <f t="shared" si="0"/>
        <v>1967</v>
      </c>
      <c r="M1">
        <f t="shared" si="0"/>
        <v>1968</v>
      </c>
      <c r="N1">
        <f t="shared" si="0"/>
        <v>1969</v>
      </c>
      <c r="O1">
        <f t="shared" si="0"/>
        <v>1970</v>
      </c>
      <c r="P1">
        <f t="shared" si="0"/>
        <v>1971</v>
      </c>
      <c r="Q1">
        <f t="shared" si="0"/>
        <v>1972</v>
      </c>
      <c r="R1">
        <f t="shared" si="0"/>
        <v>1973</v>
      </c>
      <c r="S1">
        <f t="shared" si="0"/>
        <v>1974</v>
      </c>
      <c r="T1">
        <f t="shared" si="0"/>
        <v>1975</v>
      </c>
      <c r="U1">
        <f t="shared" si="0"/>
        <v>1976</v>
      </c>
      <c r="V1">
        <f t="shared" si="0"/>
        <v>1977</v>
      </c>
      <c r="W1">
        <f t="shared" si="0"/>
        <v>1978</v>
      </c>
      <c r="X1">
        <f t="shared" si="0"/>
        <v>1979</v>
      </c>
      <c r="Y1">
        <f t="shared" si="0"/>
        <v>1980</v>
      </c>
      <c r="Z1">
        <f t="shared" si="0"/>
        <v>1981</v>
      </c>
      <c r="AA1">
        <f t="shared" si="0"/>
        <v>1982</v>
      </c>
      <c r="AB1">
        <f t="shared" si="0"/>
        <v>1983</v>
      </c>
      <c r="AC1">
        <f t="shared" si="0"/>
        <v>1984</v>
      </c>
      <c r="AD1">
        <f t="shared" si="0"/>
        <v>1985</v>
      </c>
      <c r="AE1">
        <f t="shared" si="0"/>
        <v>1986</v>
      </c>
      <c r="AF1">
        <f t="shared" si="0"/>
        <v>1987</v>
      </c>
      <c r="AG1">
        <f t="shared" si="0"/>
        <v>1988</v>
      </c>
      <c r="AH1">
        <f t="shared" si="0"/>
        <v>1989</v>
      </c>
      <c r="AI1">
        <f t="shared" si="0"/>
        <v>1990</v>
      </c>
      <c r="AJ1">
        <f t="shared" si="0"/>
        <v>1991</v>
      </c>
      <c r="AK1">
        <f t="shared" si="0"/>
        <v>1992</v>
      </c>
      <c r="AL1">
        <f t="shared" si="0"/>
        <v>1993</v>
      </c>
      <c r="AM1">
        <f t="shared" si="0"/>
        <v>1994</v>
      </c>
      <c r="AN1">
        <f t="shared" si="0"/>
        <v>1995</v>
      </c>
      <c r="AO1">
        <f t="shared" si="0"/>
        <v>1996</v>
      </c>
      <c r="AP1">
        <f t="shared" si="0"/>
        <v>1997</v>
      </c>
      <c r="AQ1">
        <f t="shared" si="0"/>
        <v>1998</v>
      </c>
      <c r="AR1">
        <f t="shared" si="0"/>
        <v>1999</v>
      </c>
      <c r="AS1">
        <f t="shared" si="0"/>
        <v>2000</v>
      </c>
      <c r="AT1">
        <f t="shared" si="0"/>
        <v>2001</v>
      </c>
      <c r="AU1">
        <f t="shared" si="0"/>
        <v>2002</v>
      </c>
      <c r="AV1">
        <f t="shared" si="0"/>
        <v>2003</v>
      </c>
      <c r="AW1">
        <f t="shared" si="0"/>
        <v>2004</v>
      </c>
      <c r="AX1">
        <f t="shared" si="0"/>
        <v>2005</v>
      </c>
      <c r="AY1">
        <f t="shared" si="0"/>
        <v>2006</v>
      </c>
      <c r="AZ1">
        <f t="shared" si="0"/>
        <v>2007</v>
      </c>
      <c r="BA1">
        <f t="shared" si="0"/>
        <v>2008</v>
      </c>
      <c r="BB1">
        <f t="shared" si="0"/>
        <v>2009</v>
      </c>
      <c r="BC1">
        <f t="shared" si="0"/>
        <v>2010</v>
      </c>
      <c r="BD1">
        <f t="shared" si="0"/>
        <v>2011</v>
      </c>
      <c r="BE1">
        <f t="shared" si="0"/>
        <v>2012</v>
      </c>
      <c r="BF1">
        <f t="shared" si="0"/>
        <v>2013</v>
      </c>
      <c r="BG1">
        <f t="shared" si="0"/>
        <v>2014</v>
      </c>
      <c r="BH1">
        <f t="shared" si="0"/>
        <v>2015</v>
      </c>
      <c r="BI1">
        <f t="shared" si="0"/>
        <v>2016</v>
      </c>
      <c r="BJ1">
        <f t="shared" si="0"/>
        <v>2017</v>
      </c>
      <c r="BK1">
        <f t="shared" si="0"/>
        <v>2018</v>
      </c>
      <c r="BL1">
        <f t="shared" si="0"/>
        <v>2019</v>
      </c>
      <c r="BM1">
        <f t="shared" si="0"/>
        <v>2020</v>
      </c>
      <c r="BN1">
        <f t="shared" si="0"/>
        <v>2021</v>
      </c>
      <c r="BO1">
        <f t="shared" si="0"/>
        <v>2022</v>
      </c>
      <c r="BP1">
        <f t="shared" si="0"/>
        <v>2023</v>
      </c>
      <c r="BQ1">
        <f t="shared" si="0"/>
        <v>2024</v>
      </c>
    </row>
    <row r="2" spans="1:69" x14ac:dyDescent="0.3">
      <c r="A2" t="s">
        <v>24</v>
      </c>
      <c r="B2" s="8" t="s">
        <v>25</v>
      </c>
      <c r="C2" t="s">
        <v>26</v>
      </c>
      <c r="D2" s="8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  <c r="AT2" t="s">
        <v>69</v>
      </c>
      <c r="AU2" t="s">
        <v>70</v>
      </c>
      <c r="AV2" t="s">
        <v>71</v>
      </c>
      <c r="AW2" t="s">
        <v>72</v>
      </c>
      <c r="AX2" t="s">
        <v>73</v>
      </c>
      <c r="AY2" t="s">
        <v>74</v>
      </c>
      <c r="AZ2" t="s">
        <v>75</v>
      </c>
      <c r="BA2" t="s">
        <v>76</v>
      </c>
      <c r="BB2" t="s">
        <v>77</v>
      </c>
      <c r="BC2" t="s">
        <v>78</v>
      </c>
      <c r="BD2" t="s">
        <v>79</v>
      </c>
      <c r="BE2" t="s">
        <v>80</v>
      </c>
      <c r="BF2" t="s">
        <v>81</v>
      </c>
      <c r="BG2" t="s">
        <v>82</v>
      </c>
      <c r="BH2" t="s">
        <v>83</v>
      </c>
      <c r="BI2" t="s">
        <v>84</v>
      </c>
      <c r="BJ2" t="s">
        <v>85</v>
      </c>
      <c r="BK2" t="s">
        <v>86</v>
      </c>
      <c r="BL2" t="s">
        <v>87</v>
      </c>
      <c r="BM2" t="s">
        <v>88</v>
      </c>
      <c r="BN2" t="s">
        <v>89</v>
      </c>
      <c r="BO2" t="s">
        <v>90</v>
      </c>
      <c r="BP2" t="s">
        <v>91</v>
      </c>
      <c r="BQ2" t="s">
        <v>92</v>
      </c>
    </row>
    <row r="3" spans="1:69" x14ac:dyDescent="0.3">
      <c r="A3" t="s">
        <v>93</v>
      </c>
      <c r="B3" s="8" t="s">
        <v>94</v>
      </c>
      <c r="C3" t="s">
        <v>7427</v>
      </c>
      <c r="D3" s="8" t="s">
        <v>7428</v>
      </c>
      <c r="E3" t="s">
        <v>7405</v>
      </c>
      <c r="F3" t="s">
        <v>7405</v>
      </c>
      <c r="G3" t="s">
        <v>7405</v>
      </c>
      <c r="H3" t="s">
        <v>7405</v>
      </c>
      <c r="I3" t="s">
        <v>7405</v>
      </c>
      <c r="J3" t="s">
        <v>7405</v>
      </c>
      <c r="K3" t="s">
        <v>7405</v>
      </c>
      <c r="L3" t="s">
        <v>7405</v>
      </c>
      <c r="M3" t="s">
        <v>7405</v>
      </c>
      <c r="N3" t="s">
        <v>7405</v>
      </c>
      <c r="O3" t="s">
        <v>7405</v>
      </c>
      <c r="P3" t="s">
        <v>7405</v>
      </c>
      <c r="Q3" t="s">
        <v>7405</v>
      </c>
      <c r="R3" t="s">
        <v>7405</v>
      </c>
      <c r="S3" t="s">
        <v>7405</v>
      </c>
      <c r="T3" t="s">
        <v>7405</v>
      </c>
      <c r="U3" t="s">
        <v>7405</v>
      </c>
      <c r="V3" t="s">
        <v>7405</v>
      </c>
      <c r="W3" t="s">
        <v>7405</v>
      </c>
      <c r="X3">
        <v>-4.0206077249022165</v>
      </c>
      <c r="Y3">
        <v>-5.0696319082768655</v>
      </c>
      <c r="Z3">
        <v>-6.1562296140619983</v>
      </c>
      <c r="AA3">
        <v>-3.1900957135193564</v>
      </c>
      <c r="AB3">
        <v>3.7562353017831689</v>
      </c>
      <c r="AC3">
        <v>2.2705221070782868</v>
      </c>
      <c r="AD3">
        <v>0.40974985545929965</v>
      </c>
      <c r="AE3">
        <v>-1.0233654724936658</v>
      </c>
      <c r="AF3">
        <v>2.8784915020838757</v>
      </c>
      <c r="AG3">
        <v>-1.3071884592471619</v>
      </c>
      <c r="AH3">
        <v>-2.6309478257532928</v>
      </c>
      <c r="AI3">
        <v>-2.8520172894180895</v>
      </c>
      <c r="AJ3">
        <v>-4.7544281625801741</v>
      </c>
      <c r="AK3">
        <v>-6.73040694268406</v>
      </c>
      <c r="AL3">
        <v>-4.4137555254644498</v>
      </c>
      <c r="AM3">
        <v>-5.3578634939284449</v>
      </c>
      <c r="AN3">
        <v>-0.41468079018732679</v>
      </c>
      <c r="AO3">
        <v>-0.58028483078293314</v>
      </c>
      <c r="AP3">
        <v>-1.4643125179999348</v>
      </c>
      <c r="AQ3">
        <v>-2.8688383681893996</v>
      </c>
      <c r="AR3">
        <v>-2.2177820404602646</v>
      </c>
      <c r="AS3">
        <v>-2.52707170138346</v>
      </c>
      <c r="AT3">
        <v>-2.2300339895477665</v>
      </c>
      <c r="AU3">
        <v>-1.5293652080868809</v>
      </c>
      <c r="AV3">
        <v>-0.52676112953433685</v>
      </c>
      <c r="AW3">
        <v>-0.46477565945535493</v>
      </c>
      <c r="AX3">
        <v>-0.62353440158335427</v>
      </c>
      <c r="AY3">
        <v>-0.31655554113600859</v>
      </c>
      <c r="AZ3">
        <v>-0.84464081536830948</v>
      </c>
      <c r="BA3">
        <v>-1.4068086093270231</v>
      </c>
      <c r="BB3">
        <v>-0.75092857100807764</v>
      </c>
      <c r="BC3">
        <v>-0.33959249869955804</v>
      </c>
      <c r="BD3">
        <v>-0.85789261220658597</v>
      </c>
      <c r="BE3">
        <v>-1.4098486476765582</v>
      </c>
      <c r="BF3">
        <v>-2.3939696016962193</v>
      </c>
      <c r="BG3">
        <v>-1.8213192764284152</v>
      </c>
      <c r="BH3">
        <v>-2.5991762819707125</v>
      </c>
      <c r="BI3">
        <v>-2.2731119827718702</v>
      </c>
      <c r="BJ3">
        <v>-1.7974629077480104</v>
      </c>
      <c r="BK3">
        <v>-2.0641407447464988</v>
      </c>
      <c r="BL3">
        <v>-0.29684440204454365</v>
      </c>
      <c r="BM3">
        <v>2.3969076778037928</v>
      </c>
      <c r="BN3">
        <v>-0.34654881404122656</v>
      </c>
      <c r="BO3">
        <v>-1.207037413674533</v>
      </c>
      <c r="BP3">
        <v>-0.31278099781232194</v>
      </c>
      <c r="BQ3">
        <v>-0.32308054910036133</v>
      </c>
    </row>
    <row r="4" spans="1:69" x14ac:dyDescent="0.3">
      <c r="A4" t="s">
        <v>93</v>
      </c>
      <c r="B4" s="8" t="s">
        <v>94</v>
      </c>
      <c r="C4" t="s">
        <v>7429</v>
      </c>
      <c r="D4" s="8" t="s">
        <v>7430</v>
      </c>
      <c r="E4">
        <v>-3.1581595092024539</v>
      </c>
      <c r="F4">
        <v>-2.2027683615819207</v>
      </c>
      <c r="G4">
        <v>-1.5396315789473674</v>
      </c>
      <c r="H4">
        <v>-1.6334433962264152</v>
      </c>
      <c r="I4">
        <v>-2.2203585657370519</v>
      </c>
      <c r="J4">
        <v>-1.8884249084249085</v>
      </c>
      <c r="K4">
        <v>-1.5428289473684211</v>
      </c>
      <c r="L4">
        <v>-2.1417168674698792</v>
      </c>
      <c r="M4">
        <v>-2.3157220708446866</v>
      </c>
      <c r="N4">
        <v>-1.7245073891625617</v>
      </c>
      <c r="O4">
        <v>-1.9030630630630632</v>
      </c>
      <c r="P4">
        <v>-1.0788775510204081</v>
      </c>
      <c r="Q4">
        <v>-0.76973451327433628</v>
      </c>
      <c r="R4">
        <v>-1.0527930535455852</v>
      </c>
      <c r="S4">
        <v>-2.1637777777777778</v>
      </c>
      <c r="T4">
        <v>-2.7256363636363639</v>
      </c>
      <c r="U4">
        <v>-1.3774106491611962</v>
      </c>
      <c r="V4">
        <v>9.6895619253650631E-2</v>
      </c>
      <c r="W4">
        <v>-0.56879760376551003</v>
      </c>
      <c r="X4">
        <v>-1.2617926988265971</v>
      </c>
      <c r="Y4">
        <v>-2.1493794560170096</v>
      </c>
      <c r="Z4">
        <v>-2.3941380890648163</v>
      </c>
      <c r="AA4">
        <v>4.7197181432711517</v>
      </c>
      <c r="AB4">
        <v>9.1339674643765338</v>
      </c>
      <c r="AC4">
        <v>7.4618684469870526</v>
      </c>
      <c r="AD4">
        <v>4.8013373912933899</v>
      </c>
      <c r="AE4">
        <v>3.7581372639332011</v>
      </c>
      <c r="AF4">
        <v>5.8108131657327711</v>
      </c>
      <c r="AG4">
        <v>1.40177534493069</v>
      </c>
      <c r="AH4">
        <v>-6.5251471455260709E-2</v>
      </c>
      <c r="AI4">
        <v>-1.1107543149862091</v>
      </c>
      <c r="AJ4">
        <v>-2.9197550902108587</v>
      </c>
      <c r="AK4">
        <v>-5.0400070181619201</v>
      </c>
      <c r="AL4">
        <v>-2.9711541943101736</v>
      </c>
      <c r="AM4">
        <v>-3.6492807091038313</v>
      </c>
      <c r="AN4">
        <v>2.0660221160518089</v>
      </c>
      <c r="AO4">
        <v>1.6784403703764987</v>
      </c>
      <c r="AP4">
        <v>1.9268722280748388E-2</v>
      </c>
      <c r="AQ4">
        <v>-1.5883853496897871</v>
      </c>
      <c r="AR4">
        <v>-1.1785310780357556</v>
      </c>
      <c r="AS4">
        <v>-1.4480622509891607</v>
      </c>
      <c r="AT4">
        <v>-1.6576886022459016</v>
      </c>
      <c r="AU4">
        <v>-1.5063054123768966</v>
      </c>
      <c r="AV4">
        <v>-1.3892298623911001</v>
      </c>
      <c r="AW4">
        <v>-1.8339080175521814</v>
      </c>
      <c r="AX4">
        <v>-1.5884969947657788</v>
      </c>
      <c r="AY4">
        <v>-1.3726197474650932</v>
      </c>
      <c r="AZ4">
        <v>-1.6964017387391714</v>
      </c>
      <c r="BA4">
        <v>-2.3251594166773173</v>
      </c>
      <c r="BB4">
        <v>-1.5652026847728453</v>
      </c>
      <c r="BC4">
        <v>-1.2384642985639425</v>
      </c>
      <c r="BD4">
        <v>-1.2764548213092501</v>
      </c>
      <c r="BE4">
        <v>-1.179031107328028</v>
      </c>
      <c r="BF4">
        <v>-1.1800736047435283</v>
      </c>
      <c r="BG4">
        <v>-1.1724246350163168</v>
      </c>
      <c r="BH4">
        <v>-2.08742930150791</v>
      </c>
      <c r="BI4">
        <v>-2.0589489058934483</v>
      </c>
      <c r="BJ4">
        <v>-1.9239488009505195</v>
      </c>
      <c r="BK4">
        <v>-2.1248007732071503</v>
      </c>
      <c r="BL4">
        <v>-0.40267067311100169</v>
      </c>
      <c r="BM4">
        <v>1.6161884750872058</v>
      </c>
      <c r="BN4">
        <v>-1.9309112336783032</v>
      </c>
      <c r="BO4">
        <v>-2.9348451224425296</v>
      </c>
      <c r="BP4">
        <v>-1.4361924340636312</v>
      </c>
      <c r="BQ4">
        <v>-1.1401074654839107</v>
      </c>
    </row>
    <row r="5" spans="1:69" x14ac:dyDescent="0.3">
      <c r="B5" s="8"/>
      <c r="D5" s="8"/>
    </row>
    <row r="6" spans="1:69" x14ac:dyDescent="0.3">
      <c r="B6" s="8"/>
      <c r="D6" s="8"/>
    </row>
    <row r="7" spans="1:69" x14ac:dyDescent="0.3">
      <c r="B7" s="8"/>
      <c r="D7" s="8"/>
    </row>
    <row r="8" spans="1:69" ht="21" x14ac:dyDescent="0.4">
      <c r="A8" t="s">
        <v>97</v>
      </c>
      <c r="B8" s="8"/>
      <c r="D8" s="8"/>
      <c r="J8" s="102" t="s">
        <v>7434</v>
      </c>
      <c r="K8" s="103">
        <f>_xlfn.STDEV.P(G11:G70)</f>
        <v>2.5657133542457502</v>
      </c>
    </row>
    <row r="9" spans="1:69" ht="21" x14ac:dyDescent="0.4">
      <c r="A9" t="s">
        <v>98</v>
      </c>
      <c r="J9" s="102" t="s">
        <v>7435</v>
      </c>
      <c r="K9" s="103">
        <f>_xlfn.STDEV.P(H30:H70)</f>
        <v>2.137854530825205</v>
      </c>
    </row>
    <row r="10" spans="1:69" ht="21" x14ac:dyDescent="0.4">
      <c r="F10" t="s">
        <v>7431</v>
      </c>
      <c r="G10" t="s">
        <v>7432</v>
      </c>
      <c r="H10" t="s">
        <v>7433</v>
      </c>
      <c r="J10" s="102"/>
      <c r="K10" s="104"/>
    </row>
    <row r="11" spans="1:69" ht="21" x14ac:dyDescent="0.4">
      <c r="E11">
        <v>1960</v>
      </c>
      <c r="F11" s="100">
        <f>'GDP long'!H17*100</f>
        <v>1.1855015101229327</v>
      </c>
      <c r="G11" s="100">
        <f>HLOOKUP(E11,$E$1:$BQ$4,4,FALSE)</f>
        <v>-3.1581595092024539</v>
      </c>
      <c r="H11" s="100" t="str">
        <f>HLOOKUP(E11,$E$1:$BQ$4,3,FALSE)</f>
        <v>..</v>
      </c>
      <c r="J11" s="102" t="s">
        <v>7436</v>
      </c>
      <c r="K11" s="103">
        <f>CORREL(F11:F70,G11:G70)</f>
        <v>-0.19129651614634305</v>
      </c>
    </row>
    <row r="12" spans="1:69" ht="21" x14ac:dyDescent="0.4">
      <c r="E12">
        <f>E11+1</f>
        <v>1961</v>
      </c>
      <c r="F12" s="100">
        <f>'GDP long'!H18*100</f>
        <v>-0.84216907582508327</v>
      </c>
      <c r="G12" s="100">
        <f t="shared" ref="G12:G70" si="1">HLOOKUP(E12,$E$1:$BQ$4,4,FALSE)</f>
        <v>-2.2027683615819207</v>
      </c>
      <c r="H12" s="100" t="str">
        <f t="shared" ref="H12:H70" si="2">HLOOKUP(E12,$E$1:$BQ$4,3,FALSE)</f>
        <v>..</v>
      </c>
      <c r="J12" s="102" t="s">
        <v>7437</v>
      </c>
      <c r="K12" s="103">
        <f>CORREL(F30:F70,H30:H70)</f>
        <v>-0.48820568665330188</v>
      </c>
    </row>
    <row r="13" spans="1:69" x14ac:dyDescent="0.3">
      <c r="E13">
        <f t="shared" ref="E13:E70" si="3">E12+1</f>
        <v>1962</v>
      </c>
      <c r="F13" s="100">
        <f>'GDP long'!H19*100</f>
        <v>-3.2018115745504616</v>
      </c>
      <c r="G13" s="100">
        <f t="shared" si="1"/>
        <v>-1.5396315789473674</v>
      </c>
      <c r="H13" s="100" t="str">
        <f t="shared" si="2"/>
        <v>..</v>
      </c>
    </row>
    <row r="14" spans="1:69" x14ac:dyDescent="0.3">
      <c r="E14">
        <f t="shared" si="3"/>
        <v>1963</v>
      </c>
      <c r="F14" s="100">
        <f>'GDP long'!H20*100</f>
        <v>-2.340617371208964</v>
      </c>
      <c r="G14" s="100">
        <f t="shared" si="1"/>
        <v>-1.6334433962264152</v>
      </c>
      <c r="H14" s="100" t="str">
        <f t="shared" si="2"/>
        <v>..</v>
      </c>
    </row>
    <row r="15" spans="1:69" x14ac:dyDescent="0.3">
      <c r="E15">
        <f t="shared" si="3"/>
        <v>1964</v>
      </c>
      <c r="F15" s="100">
        <f>'GDP long'!H21*100</f>
        <v>1.9872894781745032</v>
      </c>
      <c r="G15" s="100">
        <f t="shared" si="1"/>
        <v>-2.2203585657370519</v>
      </c>
      <c r="H15" s="100" t="str">
        <f t="shared" si="2"/>
        <v>..</v>
      </c>
    </row>
    <row r="16" spans="1:69" x14ac:dyDescent="0.3">
      <c r="E16">
        <f t="shared" si="3"/>
        <v>1965</v>
      </c>
      <c r="F16" s="100">
        <f>'GDP long'!H22*100</f>
        <v>1.9913221844248596</v>
      </c>
      <c r="G16" s="100">
        <f t="shared" si="1"/>
        <v>-1.8884249084249085</v>
      </c>
      <c r="H16" s="100" t="str">
        <f t="shared" si="2"/>
        <v>..</v>
      </c>
    </row>
    <row r="17" spans="5:8" x14ac:dyDescent="0.3">
      <c r="E17">
        <f t="shared" si="3"/>
        <v>1966</v>
      </c>
      <c r="F17" s="100">
        <f>'GDP long'!H23*100</f>
        <v>1.151028422614786</v>
      </c>
      <c r="G17" s="100">
        <f t="shared" si="1"/>
        <v>-1.5428289473684211</v>
      </c>
      <c r="H17" s="100" t="str">
        <f t="shared" si="2"/>
        <v>..</v>
      </c>
    </row>
    <row r="18" spans="5:8" x14ac:dyDescent="0.3">
      <c r="E18">
        <f t="shared" si="3"/>
        <v>1967</v>
      </c>
      <c r="F18" s="100">
        <f>'GDP long'!H24*100</f>
        <v>0.19273160993158456</v>
      </c>
      <c r="G18" s="100">
        <f t="shared" si="1"/>
        <v>-2.1417168674698792</v>
      </c>
      <c r="H18" s="100" t="str">
        <f t="shared" si="2"/>
        <v>..</v>
      </c>
    </row>
    <row r="19" spans="5:8" x14ac:dyDescent="0.3">
      <c r="E19">
        <f t="shared" si="3"/>
        <v>1968</v>
      </c>
      <c r="F19" s="100">
        <f>'GDP long'!H25*100</f>
        <v>2.6601527439101602</v>
      </c>
      <c r="G19" s="100">
        <f t="shared" si="1"/>
        <v>-2.3157220708446866</v>
      </c>
      <c r="H19" s="100" t="str">
        <f t="shared" si="2"/>
        <v>..</v>
      </c>
    </row>
    <row r="20" spans="5:8" x14ac:dyDescent="0.3">
      <c r="E20">
        <f t="shared" si="3"/>
        <v>1969</v>
      </c>
      <c r="F20" s="100">
        <f>'GDP long'!H26*100</f>
        <v>-0.40721696138881214</v>
      </c>
      <c r="G20" s="100">
        <f t="shared" si="1"/>
        <v>-1.7245073891625617</v>
      </c>
      <c r="H20" s="100" t="str">
        <f t="shared" si="2"/>
        <v>..</v>
      </c>
    </row>
    <row r="21" spans="5:8" x14ac:dyDescent="0.3">
      <c r="E21">
        <f t="shared" si="3"/>
        <v>1970</v>
      </c>
      <c r="F21" s="100">
        <f>'GDP long'!H27*100</f>
        <v>-0.45502019582528419</v>
      </c>
      <c r="G21" s="100">
        <f t="shared" si="1"/>
        <v>-1.9030630630630632</v>
      </c>
      <c r="H21" s="100" t="str">
        <f t="shared" si="2"/>
        <v>..</v>
      </c>
    </row>
    <row r="22" spans="5:8" x14ac:dyDescent="0.3">
      <c r="E22">
        <f t="shared" si="3"/>
        <v>1971</v>
      </c>
      <c r="F22" s="100">
        <f>'GDP long'!H28*100</f>
        <v>-3.0517463113710619</v>
      </c>
      <c r="G22" s="100">
        <f t="shared" si="1"/>
        <v>-1.0788775510204081</v>
      </c>
      <c r="H22" s="100" t="str">
        <f t="shared" si="2"/>
        <v>..</v>
      </c>
    </row>
    <row r="23" spans="5:8" x14ac:dyDescent="0.3">
      <c r="E23">
        <f t="shared" si="3"/>
        <v>1972</v>
      </c>
      <c r="F23" s="100">
        <f>'GDP long'!H29*100</f>
        <v>-1.39588353764033</v>
      </c>
      <c r="G23" s="100">
        <f t="shared" si="1"/>
        <v>-0.76973451327433628</v>
      </c>
      <c r="H23" s="100" t="str">
        <f t="shared" si="2"/>
        <v>..</v>
      </c>
    </row>
    <row r="24" spans="5:8" x14ac:dyDescent="0.3">
      <c r="E24">
        <f t="shared" si="3"/>
        <v>1973</v>
      </c>
      <c r="F24" s="100">
        <f>'GDP long'!H30*100</f>
        <v>-3.0761303460025147E-2</v>
      </c>
      <c r="G24" s="100">
        <f t="shared" si="1"/>
        <v>-1.0527930535455852</v>
      </c>
      <c r="H24" s="100" t="str">
        <f t="shared" si="2"/>
        <v>..</v>
      </c>
    </row>
    <row r="25" spans="5:8" x14ac:dyDescent="0.3">
      <c r="E25">
        <f t="shared" si="3"/>
        <v>1974</v>
      </c>
      <c r="F25" s="100">
        <f>'GDP long'!H31*100</f>
        <v>-0.54210534906822261</v>
      </c>
      <c r="G25" s="100">
        <f t="shared" si="1"/>
        <v>-2.1637777777777778</v>
      </c>
      <c r="H25" s="100" t="str">
        <f t="shared" si="2"/>
        <v>..</v>
      </c>
    </row>
    <row r="26" spans="5:8" x14ac:dyDescent="0.3">
      <c r="E26">
        <f t="shared" si="3"/>
        <v>1975</v>
      </c>
      <c r="F26" s="100">
        <f>'GDP long'!H32*100</f>
        <v>-0.98362408106247301</v>
      </c>
      <c r="G26" s="100">
        <f t="shared" si="1"/>
        <v>-2.7256363636363639</v>
      </c>
      <c r="H26" s="100" t="str">
        <f t="shared" si="2"/>
        <v>..</v>
      </c>
    </row>
    <row r="27" spans="5:8" x14ac:dyDescent="0.3">
      <c r="E27">
        <f t="shared" si="3"/>
        <v>1976</v>
      </c>
      <c r="F27" s="100">
        <f>'GDP long'!H33*100</f>
        <v>-2.5566353744096659</v>
      </c>
      <c r="G27" s="100">
        <f t="shared" si="1"/>
        <v>-1.3774106491611962</v>
      </c>
      <c r="H27" s="100" t="str">
        <f t="shared" si="2"/>
        <v>..</v>
      </c>
    </row>
    <row r="28" spans="5:8" x14ac:dyDescent="0.3">
      <c r="E28">
        <f t="shared" si="3"/>
        <v>1977</v>
      </c>
      <c r="F28" s="100">
        <f>'GDP long'!H34*100</f>
        <v>-4.9456502465247354</v>
      </c>
      <c r="G28" s="100">
        <f t="shared" si="1"/>
        <v>9.6895619253650631E-2</v>
      </c>
      <c r="H28" s="100" t="str">
        <f t="shared" si="2"/>
        <v>..</v>
      </c>
    </row>
    <row r="29" spans="5:8" x14ac:dyDescent="0.3">
      <c r="E29">
        <f t="shared" si="3"/>
        <v>1978</v>
      </c>
      <c r="F29" s="100">
        <f>'GDP long'!H35*100</f>
        <v>-1.8522065550552469</v>
      </c>
      <c r="G29" s="100">
        <f t="shared" si="1"/>
        <v>-0.56879760376551003</v>
      </c>
      <c r="H29" s="100" t="str">
        <f t="shared" si="2"/>
        <v>..</v>
      </c>
    </row>
    <row r="30" spans="5:8" x14ac:dyDescent="0.3">
      <c r="E30">
        <f t="shared" si="3"/>
        <v>1979</v>
      </c>
      <c r="F30" s="100">
        <f>'GDP long'!H36*100</f>
        <v>2.2737038746470262</v>
      </c>
      <c r="G30" s="100">
        <f t="shared" si="1"/>
        <v>-1.2617926988265971</v>
      </c>
      <c r="H30" s="100">
        <f t="shared" si="2"/>
        <v>-4.0206077249022165</v>
      </c>
    </row>
    <row r="31" spans="5:8" x14ac:dyDescent="0.3">
      <c r="E31">
        <f t="shared" si="3"/>
        <v>1980</v>
      </c>
      <c r="F31" s="100">
        <f>'GDP long'!H37*100</f>
        <v>6.0264523286807758</v>
      </c>
      <c r="G31" s="100">
        <f t="shared" si="1"/>
        <v>-2.1493794560170096</v>
      </c>
      <c r="H31" s="100">
        <f t="shared" si="2"/>
        <v>-5.0696319082768655</v>
      </c>
    </row>
    <row r="32" spans="5:8" x14ac:dyDescent="0.3">
      <c r="E32">
        <f t="shared" si="3"/>
        <v>1981</v>
      </c>
      <c r="F32" s="100">
        <f>'GDP long'!H38*100</f>
        <v>11.139249809255602</v>
      </c>
      <c r="G32" s="100">
        <f t="shared" si="1"/>
        <v>-2.3941380890648163</v>
      </c>
      <c r="H32" s="100">
        <f t="shared" si="2"/>
        <v>-6.1562296140619983</v>
      </c>
    </row>
    <row r="33" spans="5:8" x14ac:dyDescent="0.3">
      <c r="E33">
        <f t="shared" si="3"/>
        <v>1982</v>
      </c>
      <c r="F33" s="100">
        <f>'GDP long'!H39*100</f>
        <v>7.7005093894030097</v>
      </c>
      <c r="G33" s="100">
        <f t="shared" si="1"/>
        <v>4.7197181432711517</v>
      </c>
      <c r="H33" s="100">
        <f t="shared" si="2"/>
        <v>-3.1900957135193564</v>
      </c>
    </row>
    <row r="34" spans="5:8" x14ac:dyDescent="0.3">
      <c r="E34">
        <f t="shared" si="3"/>
        <v>1983</v>
      </c>
      <c r="F34" s="100">
        <f>'GDP long'!H40*100</f>
        <v>0.16875260848401297</v>
      </c>
      <c r="G34" s="100">
        <f t="shared" si="1"/>
        <v>9.1339674643765338</v>
      </c>
      <c r="H34" s="100">
        <f t="shared" si="2"/>
        <v>3.7562353017831689</v>
      </c>
    </row>
    <row r="35" spans="5:8" x14ac:dyDescent="0.3">
      <c r="E35">
        <f t="shared" si="3"/>
        <v>1984</v>
      </c>
      <c r="F35" s="100">
        <f>'GDP long'!H41*100</f>
        <v>1.2793680919330086</v>
      </c>
      <c r="G35" s="100">
        <f t="shared" si="1"/>
        <v>7.4618684469870526</v>
      </c>
      <c r="H35" s="100">
        <f t="shared" si="2"/>
        <v>2.2705221070782868</v>
      </c>
    </row>
    <row r="36" spans="5:8" x14ac:dyDescent="0.3">
      <c r="E36">
        <f t="shared" si="3"/>
        <v>1985</v>
      </c>
      <c r="F36" s="100">
        <f>'GDP long'!H42*100</f>
        <v>1.1540160266136468</v>
      </c>
      <c r="G36" s="100">
        <f t="shared" si="1"/>
        <v>4.8013373912933899</v>
      </c>
      <c r="H36" s="100">
        <f t="shared" si="2"/>
        <v>0.40974985545929965</v>
      </c>
    </row>
    <row r="37" spans="5:8" x14ac:dyDescent="0.3">
      <c r="E37">
        <f t="shared" si="3"/>
        <v>1986</v>
      </c>
      <c r="F37" s="100">
        <f>'GDP long'!H43*100</f>
        <v>-4.7170380384152111</v>
      </c>
      <c r="G37" s="100">
        <f t="shared" si="1"/>
        <v>3.7581372639332011</v>
      </c>
      <c r="H37" s="100">
        <f t="shared" si="2"/>
        <v>-1.0233654724936658</v>
      </c>
    </row>
    <row r="38" spans="5:8" x14ac:dyDescent="0.3">
      <c r="E38">
        <f t="shared" si="3"/>
        <v>1987</v>
      </c>
      <c r="F38" s="100">
        <f>'GDP long'!H44*100</f>
        <v>-4.5349097534415961</v>
      </c>
      <c r="G38" s="100">
        <f t="shared" si="1"/>
        <v>5.8108131657327711</v>
      </c>
      <c r="H38" s="100">
        <f t="shared" si="2"/>
        <v>2.8784915020838757</v>
      </c>
    </row>
    <row r="39" spans="5:8" x14ac:dyDescent="0.3">
      <c r="E39">
        <f t="shared" si="3"/>
        <v>1988</v>
      </c>
      <c r="F39" s="100">
        <f>'GDP long'!H45*100</f>
        <v>-5.298571009564057</v>
      </c>
      <c r="G39" s="100">
        <f t="shared" si="1"/>
        <v>1.40177534493069</v>
      </c>
      <c r="H39" s="100">
        <f t="shared" si="2"/>
        <v>-1.3071884592471619</v>
      </c>
    </row>
    <row r="40" spans="5:8" x14ac:dyDescent="0.3">
      <c r="E40">
        <f t="shared" si="3"/>
        <v>1989</v>
      </c>
      <c r="F40" s="100">
        <f>'GDP long'!H46*100</f>
        <v>-3.8967088891350699</v>
      </c>
      <c r="G40" s="100">
        <f t="shared" si="1"/>
        <v>-6.5251471455260709E-2</v>
      </c>
      <c r="H40" s="100">
        <f t="shared" si="2"/>
        <v>-2.6309478257532928</v>
      </c>
    </row>
    <row r="41" spans="5:8" x14ac:dyDescent="0.3">
      <c r="E41">
        <f t="shared" si="3"/>
        <v>1990</v>
      </c>
      <c r="F41" s="100">
        <f>'GDP long'!H47*100</f>
        <v>-1.1416461106474429</v>
      </c>
      <c r="G41" s="100">
        <f t="shared" si="1"/>
        <v>-1.1107543149862091</v>
      </c>
      <c r="H41" s="100">
        <f t="shared" si="2"/>
        <v>-2.8520172894180895</v>
      </c>
    </row>
    <row r="42" spans="5:8" x14ac:dyDescent="0.3">
      <c r="E42">
        <f t="shared" si="3"/>
        <v>1991</v>
      </c>
      <c r="F42" s="100">
        <f>'GDP long'!H48*100</f>
        <v>0.21447983640641155</v>
      </c>
      <c r="G42" s="100">
        <f t="shared" si="1"/>
        <v>-2.9197550902108587</v>
      </c>
      <c r="H42" s="100">
        <f t="shared" si="2"/>
        <v>-4.7544281625801741</v>
      </c>
    </row>
    <row r="43" spans="5:8" x14ac:dyDescent="0.3">
      <c r="E43">
        <f t="shared" si="3"/>
        <v>1992</v>
      </c>
      <c r="F43" s="100">
        <f>'GDP long'!H49*100</f>
        <v>1.0299945142474343</v>
      </c>
      <c r="G43" s="100">
        <f t="shared" si="1"/>
        <v>-5.0400070181619201</v>
      </c>
      <c r="H43" s="100">
        <f t="shared" si="2"/>
        <v>-6.73040694268406</v>
      </c>
    </row>
    <row r="44" spans="5:8" x14ac:dyDescent="0.3">
      <c r="E44">
        <f t="shared" si="3"/>
        <v>1993</v>
      </c>
      <c r="F44" s="100">
        <f>'GDP long'!H50*100</f>
        <v>1.0483379745593879</v>
      </c>
      <c r="G44" s="100">
        <f t="shared" si="1"/>
        <v>-2.9711541943101736</v>
      </c>
      <c r="H44" s="100">
        <f t="shared" si="2"/>
        <v>-4.4137555254644498</v>
      </c>
    </row>
    <row r="45" spans="5:8" x14ac:dyDescent="0.3">
      <c r="E45">
        <f t="shared" si="3"/>
        <v>1994</v>
      </c>
      <c r="F45" s="100">
        <f>'GDP long'!H51*100</f>
        <v>2.443305988740363</v>
      </c>
      <c r="G45" s="100">
        <f t="shared" si="1"/>
        <v>-3.6492807091038313</v>
      </c>
      <c r="H45" s="100">
        <f t="shared" si="2"/>
        <v>-5.3578634939284449</v>
      </c>
    </row>
    <row r="46" spans="5:8" x14ac:dyDescent="0.3">
      <c r="E46">
        <f t="shared" si="3"/>
        <v>1995</v>
      </c>
      <c r="F46" s="100">
        <f>'GDP long'!H52*100</f>
        <v>-6.6413253329880462</v>
      </c>
      <c r="G46" s="100">
        <f t="shared" si="1"/>
        <v>2.0660221160518089</v>
      </c>
      <c r="H46" s="100">
        <f t="shared" si="2"/>
        <v>-0.41468079018732679</v>
      </c>
    </row>
    <row r="47" spans="5:8" x14ac:dyDescent="0.3">
      <c r="E47">
        <f t="shared" si="3"/>
        <v>1996</v>
      </c>
      <c r="F47" s="100">
        <f>'GDP long'!H53*100</f>
        <v>-3.7028109157809297</v>
      </c>
      <c r="G47" s="100">
        <f t="shared" si="1"/>
        <v>1.6784403703764987</v>
      </c>
      <c r="H47" s="100">
        <f t="shared" si="2"/>
        <v>-0.58028483078293314</v>
      </c>
    </row>
    <row r="48" spans="5:8" x14ac:dyDescent="0.3">
      <c r="E48">
        <f t="shared" si="3"/>
        <v>1997</v>
      </c>
      <c r="F48" s="100">
        <f>'GDP long'!H54*100</f>
        <v>0.1049022020033874</v>
      </c>
      <c r="G48" s="100">
        <f t="shared" si="1"/>
        <v>1.9268722280748388E-2</v>
      </c>
      <c r="H48" s="100">
        <f t="shared" si="2"/>
        <v>-1.4643125179999348</v>
      </c>
    </row>
    <row r="49" spans="5:8" x14ac:dyDescent="0.3">
      <c r="E49">
        <f t="shared" si="3"/>
        <v>1998</v>
      </c>
      <c r="F49" s="100">
        <f>'GDP long'!H55*100</f>
        <v>3.0015819572660973</v>
      </c>
      <c r="G49" s="100">
        <f t="shared" si="1"/>
        <v>-1.5883853496897871</v>
      </c>
      <c r="H49" s="100">
        <f t="shared" si="2"/>
        <v>-2.8688383681893996</v>
      </c>
    </row>
    <row r="50" spans="5:8" x14ac:dyDescent="0.3">
      <c r="E50">
        <f t="shared" si="3"/>
        <v>1999</v>
      </c>
      <c r="F50" s="100">
        <f>'GDP long'!H56*100</f>
        <v>2.741739594989312</v>
      </c>
      <c r="G50" s="100">
        <f t="shared" si="1"/>
        <v>-1.1785310780357556</v>
      </c>
      <c r="H50" s="100">
        <f t="shared" si="2"/>
        <v>-2.2177820404602646</v>
      </c>
    </row>
    <row r="51" spans="5:8" x14ac:dyDescent="0.3">
      <c r="E51">
        <f t="shared" si="3"/>
        <v>2000</v>
      </c>
      <c r="F51" s="100">
        <f>'GDP long'!H57*100</f>
        <v>4.8559515323777447</v>
      </c>
      <c r="G51" s="100">
        <f t="shared" si="1"/>
        <v>-1.4480622509891607</v>
      </c>
      <c r="H51" s="100">
        <f t="shared" si="2"/>
        <v>-2.52707170138346</v>
      </c>
    </row>
    <row r="52" spans="5:8" x14ac:dyDescent="0.3">
      <c r="E52">
        <f t="shared" si="3"/>
        <v>2001</v>
      </c>
      <c r="F52" s="100">
        <f>'GDP long'!H58*100</f>
        <v>1.8267518355852275</v>
      </c>
      <c r="G52" s="100">
        <f t="shared" si="1"/>
        <v>-1.6576886022459016</v>
      </c>
      <c r="H52" s="100">
        <f t="shared" si="2"/>
        <v>-2.2300339895477665</v>
      </c>
    </row>
    <row r="53" spans="5:8" x14ac:dyDescent="0.3">
      <c r="E53">
        <f t="shared" si="3"/>
        <v>2002</v>
      </c>
      <c r="F53" s="100">
        <f>'GDP long'!H59*100</f>
        <v>-0.79021562292034275</v>
      </c>
      <c r="G53" s="100">
        <f t="shared" si="1"/>
        <v>-1.5063054123768966</v>
      </c>
      <c r="H53" s="100">
        <f t="shared" si="2"/>
        <v>-1.5293652080868809</v>
      </c>
    </row>
    <row r="54" spans="5:8" x14ac:dyDescent="0.3">
      <c r="E54">
        <f t="shared" si="3"/>
        <v>2003</v>
      </c>
      <c r="F54" s="100">
        <f>'GDP long'!H60*100</f>
        <v>-1.8308931310311749</v>
      </c>
      <c r="G54" s="100">
        <f t="shared" si="1"/>
        <v>-1.3892298623911001</v>
      </c>
      <c r="H54" s="100">
        <f t="shared" si="2"/>
        <v>-0.52676112953433685</v>
      </c>
    </row>
    <row r="55" spans="5:8" x14ac:dyDescent="0.3">
      <c r="E55">
        <f t="shared" si="3"/>
        <v>2004</v>
      </c>
      <c r="F55" s="100">
        <f>'GDP long'!H61*100</f>
        <v>-0.41442741535888672</v>
      </c>
      <c r="G55" s="100">
        <f t="shared" si="1"/>
        <v>-1.8339080175521814</v>
      </c>
      <c r="H55" s="100">
        <f t="shared" si="2"/>
        <v>-0.46477565945535493</v>
      </c>
    </row>
    <row r="56" spans="5:8" x14ac:dyDescent="0.3">
      <c r="E56">
        <f t="shared" si="3"/>
        <v>2005</v>
      </c>
      <c r="F56" s="100">
        <f>'GDP long'!H62*100</f>
        <v>-0.28789542496738818</v>
      </c>
      <c r="G56" s="100">
        <f t="shared" si="1"/>
        <v>-1.5884969947657788</v>
      </c>
      <c r="H56" s="100">
        <f t="shared" si="2"/>
        <v>-0.62353440158335427</v>
      </c>
    </row>
    <row r="57" spans="5:8" x14ac:dyDescent="0.3">
      <c r="E57">
        <f t="shared" si="3"/>
        <v>2006</v>
      </c>
      <c r="F57" s="100">
        <f>'GDP long'!H63*100</f>
        <v>2.5567092284354942</v>
      </c>
      <c r="G57" s="100">
        <f t="shared" si="1"/>
        <v>-1.3726197474650932</v>
      </c>
      <c r="H57" s="100">
        <f t="shared" si="2"/>
        <v>-0.31655554113600859</v>
      </c>
    </row>
    <row r="58" spans="5:8" x14ac:dyDescent="0.3">
      <c r="E58">
        <f t="shared" si="3"/>
        <v>2007</v>
      </c>
      <c r="F58" s="100">
        <f>'GDP long'!H64*100</f>
        <v>2.8777480265762989</v>
      </c>
      <c r="G58" s="100">
        <f t="shared" si="1"/>
        <v>-1.6964017387391714</v>
      </c>
      <c r="H58" s="100">
        <f t="shared" si="2"/>
        <v>-0.84464081536830948</v>
      </c>
    </row>
    <row r="59" spans="5:8" x14ac:dyDescent="0.3">
      <c r="E59">
        <f t="shared" si="3"/>
        <v>2008</v>
      </c>
      <c r="F59" s="100">
        <f>'GDP long'!H65*100</f>
        <v>2.1654126050226097</v>
      </c>
      <c r="G59" s="100">
        <f t="shared" si="1"/>
        <v>-2.3251594166773173</v>
      </c>
      <c r="H59" s="100">
        <f t="shared" si="2"/>
        <v>-1.4068086093270231</v>
      </c>
    </row>
    <row r="60" spans="5:8" x14ac:dyDescent="0.3">
      <c r="E60">
        <f t="shared" si="3"/>
        <v>2009</v>
      </c>
      <c r="F60" s="100">
        <f>'GDP long'!H66*100</f>
        <v>-5.9611747245096325</v>
      </c>
      <c r="G60" s="100">
        <f t="shared" si="1"/>
        <v>-1.5652026847728453</v>
      </c>
      <c r="H60" s="100">
        <f t="shared" si="2"/>
        <v>-0.75092857100807764</v>
      </c>
    </row>
    <row r="61" spans="5:8" x14ac:dyDescent="0.3">
      <c r="E61">
        <f t="shared" si="3"/>
        <v>2010</v>
      </c>
      <c r="F61" s="100">
        <f>'GDP long'!H67*100</f>
        <v>-2.7862803289899318</v>
      </c>
      <c r="G61" s="100">
        <f t="shared" si="1"/>
        <v>-1.2384642985639425</v>
      </c>
      <c r="H61" s="100">
        <f t="shared" si="2"/>
        <v>-0.33959249869955804</v>
      </c>
    </row>
    <row r="62" spans="5:8" x14ac:dyDescent="0.3">
      <c r="E62">
        <f t="shared" si="3"/>
        <v>2011</v>
      </c>
      <c r="F62" s="100">
        <f>'GDP long'!H68*100</f>
        <v>-1.1489337747029538</v>
      </c>
      <c r="G62" s="100">
        <f t="shared" si="1"/>
        <v>-1.2764548213092501</v>
      </c>
      <c r="H62" s="100">
        <f t="shared" si="2"/>
        <v>-0.85789261220658597</v>
      </c>
    </row>
    <row r="63" spans="5:8" x14ac:dyDescent="0.3">
      <c r="E63">
        <f t="shared" si="3"/>
        <v>2012</v>
      </c>
      <c r="F63" s="100">
        <f>'GDP long'!H69*100</f>
        <v>0.53031096359070773</v>
      </c>
      <c r="G63" s="100">
        <f t="shared" si="1"/>
        <v>-1.179031107328028</v>
      </c>
      <c r="H63" s="100">
        <f t="shared" si="2"/>
        <v>-1.4098486476765582</v>
      </c>
    </row>
    <row r="64" spans="5:8" x14ac:dyDescent="0.3">
      <c r="E64">
        <f t="shared" si="3"/>
        <v>2013</v>
      </c>
      <c r="F64" s="100">
        <f>'GDP long'!H70*100</f>
        <v>-0.47725790488257758</v>
      </c>
      <c r="G64" s="100">
        <f t="shared" si="1"/>
        <v>-1.1800736047435283</v>
      </c>
      <c r="H64" s="100">
        <f t="shared" si="2"/>
        <v>-2.3939696016962193</v>
      </c>
    </row>
    <row r="65" spans="5:8" x14ac:dyDescent="0.3">
      <c r="E65">
        <f t="shared" si="3"/>
        <v>2014</v>
      </c>
      <c r="F65" s="100">
        <f>'GDP long'!H71*100</f>
        <v>0.11035978413858061</v>
      </c>
      <c r="G65" s="100">
        <f t="shared" si="1"/>
        <v>-1.1724246350163168</v>
      </c>
      <c r="H65" s="100">
        <f t="shared" si="2"/>
        <v>-1.8213192764284152</v>
      </c>
    </row>
    <row r="66" spans="5:8" x14ac:dyDescent="0.3">
      <c r="E66">
        <f t="shared" si="3"/>
        <v>2015</v>
      </c>
      <c r="F66" s="100">
        <f>'GDP long'!H72*100</f>
        <v>0.88152766936282489</v>
      </c>
      <c r="G66" s="100">
        <f t="shared" si="1"/>
        <v>-2.08742930150791</v>
      </c>
      <c r="H66" s="100">
        <f t="shared" si="2"/>
        <v>-2.5991762819707125</v>
      </c>
    </row>
    <row r="67" spans="5:8" x14ac:dyDescent="0.3">
      <c r="E67">
        <f t="shared" si="3"/>
        <v>2016</v>
      </c>
      <c r="F67" s="100">
        <f>'GDP long'!H73*100</f>
        <v>0.75141428997085313</v>
      </c>
      <c r="G67" s="100">
        <f t="shared" si="1"/>
        <v>-2.0589489058934483</v>
      </c>
      <c r="H67" s="100">
        <f t="shared" si="2"/>
        <v>-2.2731119827718702</v>
      </c>
    </row>
    <row r="68" spans="5:8" x14ac:dyDescent="0.3">
      <c r="E68">
        <f t="shared" si="3"/>
        <v>2017</v>
      </c>
      <c r="F68" s="100">
        <f>'GDP long'!H74*100</f>
        <v>0.73633028671409306</v>
      </c>
      <c r="G68" s="100">
        <f t="shared" si="1"/>
        <v>-1.9239488009505195</v>
      </c>
      <c r="H68" s="100">
        <f t="shared" si="2"/>
        <v>-1.7974629077480104</v>
      </c>
    </row>
    <row r="69" spans="5:8" x14ac:dyDescent="0.3">
      <c r="E69">
        <f t="shared" si="3"/>
        <v>2018</v>
      </c>
      <c r="F69" s="100">
        <f>'GDP long'!H75*100</f>
        <v>0.83912670996646455</v>
      </c>
      <c r="G69" s="100">
        <f t="shared" si="1"/>
        <v>-2.1248007732071503</v>
      </c>
      <c r="H69" s="100">
        <f t="shared" si="2"/>
        <v>-2.0641407447464988</v>
      </c>
    </row>
    <row r="70" spans="5:8" x14ac:dyDescent="0.3">
      <c r="E70">
        <f t="shared" si="3"/>
        <v>2019</v>
      </c>
      <c r="F70" s="100">
        <f>'GDP long'!H76*100</f>
        <v>-1.3905236551359224</v>
      </c>
      <c r="G70" s="100">
        <f t="shared" si="1"/>
        <v>-0.40267067311100169</v>
      </c>
      <c r="H70" s="100">
        <f t="shared" si="2"/>
        <v>-0.29684440204454365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1F14-BAC3-4EEE-BE5E-C39E0E75E066}">
  <dimension ref="B2:E24"/>
  <sheetViews>
    <sheetView workbookViewId="0">
      <selection activeCell="D5" sqref="D5"/>
    </sheetView>
  </sheetViews>
  <sheetFormatPr defaultRowHeight="14.4" x14ac:dyDescent="0.3"/>
  <cols>
    <col min="1" max="1" width="4.88671875" style="56" customWidth="1"/>
    <col min="2" max="2" width="23.33203125" style="56" bestFit="1" customWidth="1"/>
    <col min="3" max="3" width="20.88671875" style="56" bestFit="1" customWidth="1"/>
    <col min="4" max="4" width="9.109375" style="56" bestFit="1" customWidth="1"/>
    <col min="5" max="5" width="116.33203125" style="56" bestFit="1" customWidth="1"/>
    <col min="6" max="16384" width="8.88671875" style="56"/>
  </cols>
  <sheetData>
    <row r="2" spans="2:5" ht="21" x14ac:dyDescent="0.3">
      <c r="B2" s="108" t="s">
        <v>7195</v>
      </c>
      <c r="C2" s="108"/>
      <c r="D2" s="108"/>
      <c r="E2" s="108"/>
    </row>
    <row r="3" spans="2:5" ht="18" x14ac:dyDescent="0.3">
      <c r="B3" s="57" t="s">
        <v>7396</v>
      </c>
      <c r="C3" s="57" t="s">
        <v>7197</v>
      </c>
      <c r="D3" s="57" t="s">
        <v>7198</v>
      </c>
      <c r="E3" s="57" t="s">
        <v>7199</v>
      </c>
    </row>
    <row r="4" spans="2:5" ht="18" x14ac:dyDescent="0.3">
      <c r="B4" s="58" t="s">
        <v>7196</v>
      </c>
      <c r="C4" s="58" t="s">
        <v>7200</v>
      </c>
      <c r="D4" s="59">
        <f>'GDP long'!I9</f>
        <v>3.108091707104849E-2</v>
      </c>
      <c r="E4" s="58" t="s">
        <v>7443</v>
      </c>
    </row>
    <row r="5" spans="2:5" ht="18" x14ac:dyDescent="0.3">
      <c r="B5" s="58" t="s">
        <v>7201</v>
      </c>
      <c r="C5" s="58" t="s">
        <v>7202</v>
      </c>
      <c r="D5" s="59">
        <f>'GDP long'!K12</f>
        <v>-0.13282060254786998</v>
      </c>
      <c r="E5" s="58" t="s">
        <v>7209</v>
      </c>
    </row>
    <row r="6" spans="2:5" ht="18" x14ac:dyDescent="0.3">
      <c r="B6" s="58" t="s">
        <v>7210</v>
      </c>
      <c r="C6" s="58" t="s">
        <v>7211</v>
      </c>
      <c r="D6" s="59">
        <f>'Proxy for working capital'!E3</f>
        <v>8.0942316254312544E-2</v>
      </c>
      <c r="E6" s="58" t="s">
        <v>7212</v>
      </c>
    </row>
    <row r="7" spans="2:5" ht="18" x14ac:dyDescent="0.3">
      <c r="B7" s="58" t="s">
        <v>7213</v>
      </c>
      <c r="C7" s="58" t="s">
        <v>7394</v>
      </c>
      <c r="D7" s="98">
        <v>2.9</v>
      </c>
      <c r="E7" s="58" t="s">
        <v>7397</v>
      </c>
    </row>
    <row r="11" spans="2:5" ht="21" x14ac:dyDescent="0.3">
      <c r="C11" s="109" t="s">
        <v>7395</v>
      </c>
      <c r="D11" s="109"/>
      <c r="E11" s="109"/>
    </row>
    <row r="12" spans="2:5" ht="18" x14ac:dyDescent="0.3">
      <c r="C12" s="57" t="s">
        <v>7396</v>
      </c>
      <c r="D12" s="57" t="s">
        <v>7198</v>
      </c>
      <c r="E12" s="57" t="s">
        <v>7199</v>
      </c>
    </row>
    <row r="13" spans="2:5" ht="18" x14ac:dyDescent="0.3">
      <c r="B13" s="58"/>
      <c r="C13" s="58" t="s">
        <v>7398</v>
      </c>
      <c r="D13" s="93">
        <f>'Default episodes'!D13</f>
        <v>5.0505050505050509E-3</v>
      </c>
      <c r="E13" s="58" t="s">
        <v>7401</v>
      </c>
    </row>
    <row r="14" spans="2:5" ht="18" x14ac:dyDescent="0.3">
      <c r="B14" s="58"/>
      <c r="C14" s="58" t="s">
        <v>7402</v>
      </c>
      <c r="D14" s="97">
        <f>'Public debt'!I7</f>
        <v>0.2069968206230991</v>
      </c>
      <c r="E14" s="58" t="s">
        <v>7409</v>
      </c>
    </row>
    <row r="15" spans="2:5" ht="18" x14ac:dyDescent="0.3">
      <c r="C15" s="58" t="s">
        <v>7410</v>
      </c>
      <c r="D15" s="97">
        <f>'EMBI spreads'!L3</f>
        <v>1.357306145365075</v>
      </c>
      <c r="E15" s="58" t="s">
        <v>7409</v>
      </c>
    </row>
    <row r="16" spans="2:5" ht="18" x14ac:dyDescent="0.3">
      <c r="C16" s="58" t="s">
        <v>7411</v>
      </c>
      <c r="D16" s="97">
        <f>Consumption!J8/'Calibration summary'!D4</f>
        <v>1.4532665689763851</v>
      </c>
      <c r="E16" s="58" t="s">
        <v>7444</v>
      </c>
    </row>
    <row r="17" spans="3:5" ht="18" x14ac:dyDescent="0.3">
      <c r="C17" s="58" t="s">
        <v>7426</v>
      </c>
      <c r="D17" s="97">
        <f>Consumption!J9/'Calibration summary'!D4</f>
        <v>1.0541123532880516</v>
      </c>
      <c r="E17" s="58" t="s">
        <v>7445</v>
      </c>
    </row>
    <row r="18" spans="3:5" ht="18" x14ac:dyDescent="0.3">
      <c r="C18" s="58" t="s">
        <v>7434</v>
      </c>
      <c r="D18" s="97">
        <f>'Trade balance'!K8</f>
        <v>2.5657133542457502</v>
      </c>
      <c r="E18" s="58" t="s">
        <v>7429</v>
      </c>
    </row>
    <row r="19" spans="3:5" ht="18" x14ac:dyDescent="0.3">
      <c r="C19" s="58" t="s">
        <v>7435</v>
      </c>
      <c r="D19" s="97">
        <f>'Trade balance'!K9</f>
        <v>2.137854530825205</v>
      </c>
      <c r="E19" s="58" t="s">
        <v>7427</v>
      </c>
    </row>
    <row r="20" spans="3:5" ht="18" x14ac:dyDescent="0.3">
      <c r="C20" s="58" t="s">
        <v>7438</v>
      </c>
      <c r="D20" s="97">
        <f>CORREL(Consumption!K14:K73,'Trade balance'!F11:F70)</f>
        <v>0.72480973619196787</v>
      </c>
      <c r="E20" s="58"/>
    </row>
    <row r="21" spans="3:5" ht="18" x14ac:dyDescent="0.3">
      <c r="C21" s="58" t="s">
        <v>7439</v>
      </c>
      <c r="D21" s="97">
        <f>CORREL(Consumption!L14:L73,'Trade balance'!F11:F70)</f>
        <v>0.50067918417302915</v>
      </c>
      <c r="E21" s="58"/>
    </row>
    <row r="22" spans="3:5" ht="18" x14ac:dyDescent="0.3">
      <c r="C22" s="58" t="s">
        <v>7440</v>
      </c>
      <c r="D22" s="97">
        <f>'Trade balance'!K11</f>
        <v>-0.19129651614634305</v>
      </c>
      <c r="E22" s="58"/>
    </row>
    <row r="23" spans="3:5" ht="18" x14ac:dyDescent="0.3">
      <c r="C23" s="58" t="s">
        <v>7441</v>
      </c>
      <c r="D23" s="97">
        <f>'Trade balance'!K12</f>
        <v>-0.48820568665330188</v>
      </c>
      <c r="E23" s="58"/>
    </row>
    <row r="24" spans="3:5" ht="18" x14ac:dyDescent="0.3">
      <c r="C24" s="58" t="s">
        <v>7442</v>
      </c>
      <c r="D24" s="97">
        <f>'EMBI spreads'!I6</f>
        <v>-0.21919493043422966</v>
      </c>
      <c r="E24" s="58"/>
    </row>
  </sheetData>
  <mergeCells count="2">
    <mergeCell ref="B2:E2"/>
    <mergeCell ref="C11:E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2873E-6C53-4A5F-AD8F-8049DE64F2FD}">
  <dimension ref="A1:BQ76"/>
  <sheetViews>
    <sheetView topLeftCell="A13" workbookViewId="0">
      <selection activeCell="J39" sqref="J39:J40"/>
    </sheetView>
  </sheetViews>
  <sheetFormatPr defaultRowHeight="14.4" x14ac:dyDescent="0.3"/>
  <cols>
    <col min="5" max="5" width="21.109375" bestFit="1" customWidth="1"/>
    <col min="6" max="6" width="11.5546875" bestFit="1" customWidth="1"/>
    <col min="8" max="8" width="10.5546875" bestFit="1" customWidth="1"/>
    <col min="9" max="9" width="12.5546875" bestFit="1" customWidth="1"/>
    <col min="10" max="10" width="30.33203125" bestFit="1" customWidth="1"/>
    <col min="11" max="11" width="9.77734375" bestFit="1" customWidth="1"/>
  </cols>
  <sheetData>
    <row r="1" spans="1:69" x14ac:dyDescent="0.3">
      <c r="E1">
        <v>1960</v>
      </c>
      <c r="F1">
        <f>E1+1</f>
        <v>1961</v>
      </c>
      <c r="G1">
        <f t="shared" ref="G1:BQ1" si="0">F1+1</f>
        <v>1962</v>
      </c>
      <c r="H1">
        <f t="shared" si="0"/>
        <v>1963</v>
      </c>
      <c r="I1">
        <f t="shared" si="0"/>
        <v>1964</v>
      </c>
      <c r="J1">
        <f t="shared" si="0"/>
        <v>1965</v>
      </c>
      <c r="K1">
        <f t="shared" si="0"/>
        <v>1966</v>
      </c>
      <c r="L1">
        <f t="shared" si="0"/>
        <v>1967</v>
      </c>
      <c r="M1">
        <f t="shared" si="0"/>
        <v>1968</v>
      </c>
      <c r="N1">
        <f t="shared" si="0"/>
        <v>1969</v>
      </c>
      <c r="O1">
        <f t="shared" si="0"/>
        <v>1970</v>
      </c>
      <c r="P1">
        <f t="shared" si="0"/>
        <v>1971</v>
      </c>
      <c r="Q1">
        <f t="shared" si="0"/>
        <v>1972</v>
      </c>
      <c r="R1">
        <f t="shared" si="0"/>
        <v>1973</v>
      </c>
      <c r="S1">
        <f t="shared" si="0"/>
        <v>1974</v>
      </c>
      <c r="T1">
        <f t="shared" si="0"/>
        <v>1975</v>
      </c>
      <c r="U1">
        <f t="shared" si="0"/>
        <v>1976</v>
      </c>
      <c r="V1">
        <f t="shared" si="0"/>
        <v>1977</v>
      </c>
      <c r="W1">
        <f t="shared" si="0"/>
        <v>1978</v>
      </c>
      <c r="X1">
        <f t="shared" si="0"/>
        <v>1979</v>
      </c>
      <c r="Y1">
        <f t="shared" si="0"/>
        <v>1980</v>
      </c>
      <c r="Z1">
        <f t="shared" si="0"/>
        <v>1981</v>
      </c>
      <c r="AA1">
        <f t="shared" si="0"/>
        <v>1982</v>
      </c>
      <c r="AB1">
        <f t="shared" si="0"/>
        <v>1983</v>
      </c>
      <c r="AC1">
        <f t="shared" si="0"/>
        <v>1984</v>
      </c>
      <c r="AD1">
        <f t="shared" si="0"/>
        <v>1985</v>
      </c>
      <c r="AE1">
        <f t="shared" si="0"/>
        <v>1986</v>
      </c>
      <c r="AF1">
        <f t="shared" si="0"/>
        <v>1987</v>
      </c>
      <c r="AG1">
        <f t="shared" si="0"/>
        <v>1988</v>
      </c>
      <c r="AH1">
        <f t="shared" si="0"/>
        <v>1989</v>
      </c>
      <c r="AI1">
        <f t="shared" si="0"/>
        <v>1990</v>
      </c>
      <c r="AJ1">
        <f t="shared" si="0"/>
        <v>1991</v>
      </c>
      <c r="AK1">
        <f t="shared" si="0"/>
        <v>1992</v>
      </c>
      <c r="AL1">
        <f t="shared" si="0"/>
        <v>1993</v>
      </c>
      <c r="AM1">
        <f t="shared" si="0"/>
        <v>1994</v>
      </c>
      <c r="AN1">
        <f t="shared" si="0"/>
        <v>1995</v>
      </c>
      <c r="AO1">
        <f t="shared" si="0"/>
        <v>1996</v>
      </c>
      <c r="AP1">
        <f t="shared" si="0"/>
        <v>1997</v>
      </c>
      <c r="AQ1">
        <f t="shared" si="0"/>
        <v>1998</v>
      </c>
      <c r="AR1">
        <f t="shared" si="0"/>
        <v>1999</v>
      </c>
      <c r="AS1">
        <f t="shared" si="0"/>
        <v>2000</v>
      </c>
      <c r="AT1">
        <f t="shared" si="0"/>
        <v>2001</v>
      </c>
      <c r="AU1">
        <f t="shared" si="0"/>
        <v>2002</v>
      </c>
      <c r="AV1">
        <f t="shared" si="0"/>
        <v>2003</v>
      </c>
      <c r="AW1">
        <f t="shared" si="0"/>
        <v>2004</v>
      </c>
      <c r="AX1">
        <f t="shared" si="0"/>
        <v>2005</v>
      </c>
      <c r="AY1">
        <f t="shared" si="0"/>
        <v>2006</v>
      </c>
      <c r="AZ1">
        <f t="shared" si="0"/>
        <v>2007</v>
      </c>
      <c r="BA1">
        <f t="shared" si="0"/>
        <v>2008</v>
      </c>
      <c r="BB1">
        <f t="shared" si="0"/>
        <v>2009</v>
      </c>
      <c r="BC1">
        <f t="shared" si="0"/>
        <v>2010</v>
      </c>
      <c r="BD1">
        <f t="shared" si="0"/>
        <v>2011</v>
      </c>
      <c r="BE1">
        <f t="shared" si="0"/>
        <v>2012</v>
      </c>
      <c r="BF1">
        <f t="shared" si="0"/>
        <v>2013</v>
      </c>
      <c r="BG1">
        <f t="shared" si="0"/>
        <v>2014</v>
      </c>
      <c r="BH1">
        <f t="shared" si="0"/>
        <v>2015</v>
      </c>
      <c r="BI1">
        <f t="shared" si="0"/>
        <v>2016</v>
      </c>
      <c r="BJ1">
        <f t="shared" si="0"/>
        <v>2017</v>
      </c>
      <c r="BK1">
        <f t="shared" si="0"/>
        <v>2018</v>
      </c>
      <c r="BL1">
        <f t="shared" si="0"/>
        <v>2019</v>
      </c>
      <c r="BM1">
        <f t="shared" si="0"/>
        <v>2020</v>
      </c>
      <c r="BN1">
        <f t="shared" si="0"/>
        <v>2021</v>
      </c>
      <c r="BO1">
        <f t="shared" si="0"/>
        <v>2022</v>
      </c>
      <c r="BP1">
        <f t="shared" si="0"/>
        <v>2023</v>
      </c>
      <c r="BQ1">
        <f t="shared" si="0"/>
        <v>2024</v>
      </c>
    </row>
    <row r="2" spans="1:69" x14ac:dyDescent="0.3">
      <c r="A2" t="s">
        <v>24</v>
      </c>
      <c r="B2" s="8" t="s">
        <v>25</v>
      </c>
      <c r="C2" t="s">
        <v>26</v>
      </c>
      <c r="D2" s="8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  <c r="AF2" t="s">
        <v>55</v>
      </c>
      <c r="AG2" t="s">
        <v>56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62</v>
      </c>
      <c r="AN2" t="s">
        <v>63</v>
      </c>
      <c r="AO2" t="s">
        <v>64</v>
      </c>
      <c r="AP2" t="s">
        <v>65</v>
      </c>
      <c r="AQ2" t="s">
        <v>66</v>
      </c>
      <c r="AR2" t="s">
        <v>67</v>
      </c>
      <c r="AS2" t="s">
        <v>68</v>
      </c>
      <c r="AT2" t="s">
        <v>69</v>
      </c>
      <c r="AU2" t="s">
        <v>70</v>
      </c>
      <c r="AV2" t="s">
        <v>71</v>
      </c>
      <c r="AW2" t="s">
        <v>72</v>
      </c>
      <c r="AX2" t="s">
        <v>73</v>
      </c>
      <c r="AY2" t="s">
        <v>74</v>
      </c>
      <c r="AZ2" t="s">
        <v>75</v>
      </c>
      <c r="BA2" t="s">
        <v>76</v>
      </c>
      <c r="BB2" t="s">
        <v>77</v>
      </c>
      <c r="BC2" t="s">
        <v>78</v>
      </c>
      <c r="BD2" t="s">
        <v>79</v>
      </c>
      <c r="BE2" t="s">
        <v>80</v>
      </c>
      <c r="BF2" t="s">
        <v>81</v>
      </c>
      <c r="BG2" t="s">
        <v>82</v>
      </c>
      <c r="BH2" t="s">
        <v>83</v>
      </c>
      <c r="BI2" t="s">
        <v>84</v>
      </c>
      <c r="BJ2" t="s">
        <v>85</v>
      </c>
      <c r="BK2" t="s">
        <v>86</v>
      </c>
      <c r="BL2" t="s">
        <v>87</v>
      </c>
      <c r="BM2" t="s">
        <v>88</v>
      </c>
      <c r="BN2" t="s">
        <v>89</v>
      </c>
      <c r="BO2" t="s">
        <v>90</v>
      </c>
      <c r="BP2" t="s">
        <v>91</v>
      </c>
      <c r="BQ2" t="s">
        <v>92</v>
      </c>
    </row>
    <row r="3" spans="1:69" x14ac:dyDescent="0.3">
      <c r="A3" t="s">
        <v>93</v>
      </c>
      <c r="B3" s="8" t="s">
        <v>94</v>
      </c>
      <c r="C3" t="s">
        <v>95</v>
      </c>
      <c r="D3" s="8" t="s">
        <v>96</v>
      </c>
      <c r="E3">
        <v>2869655502905</v>
      </c>
      <c r="F3">
        <v>3013138278071</v>
      </c>
      <c r="G3">
        <v>3153683542017</v>
      </c>
      <c r="H3">
        <v>3409349100823</v>
      </c>
      <c r="I3">
        <v>3815248502260</v>
      </c>
      <c r="J3">
        <v>4086131145824</v>
      </c>
      <c r="K3">
        <v>4335227392559.0005</v>
      </c>
      <c r="L3">
        <v>4589051699726</v>
      </c>
      <c r="M3">
        <v>5021490836508</v>
      </c>
      <c r="N3">
        <v>5193156527723</v>
      </c>
      <c r="O3">
        <v>5530840701835</v>
      </c>
      <c r="P3">
        <v>5738936795948</v>
      </c>
      <c r="Q3">
        <v>6211182846670</v>
      </c>
      <c r="R3">
        <v>6699451375010</v>
      </c>
      <c r="S3">
        <v>7086467106316</v>
      </c>
      <c r="T3">
        <v>7493548149714</v>
      </c>
      <c r="U3">
        <v>7824571453052</v>
      </c>
      <c r="V3">
        <v>8089874479608</v>
      </c>
      <c r="W3">
        <v>8814479871143</v>
      </c>
      <c r="X3">
        <v>9669323125742</v>
      </c>
      <c r="Y3">
        <v>10516029243000</v>
      </c>
      <c r="Z3">
        <v>11524079102000</v>
      </c>
      <c r="AA3">
        <v>11518364730000</v>
      </c>
      <c r="AB3">
        <v>10985740806000</v>
      </c>
      <c r="AC3">
        <v>11371715290000</v>
      </c>
      <c r="AD3">
        <v>11589963045000</v>
      </c>
      <c r="AE3">
        <v>11134482144000</v>
      </c>
      <c r="AF3">
        <v>11364226954000</v>
      </c>
      <c r="AG3">
        <v>11502672925000</v>
      </c>
      <c r="AH3">
        <v>11919696435000</v>
      </c>
      <c r="AI3">
        <v>12545485659000</v>
      </c>
      <c r="AJ3">
        <v>13044282247000</v>
      </c>
      <c r="AK3">
        <v>13509782270000</v>
      </c>
      <c r="AL3">
        <v>13897107654000</v>
      </c>
      <c r="AM3">
        <v>14507764337000</v>
      </c>
      <c r="AN3">
        <v>13650311996000</v>
      </c>
      <c r="AO3">
        <v>14499128959000</v>
      </c>
      <c r="AP3">
        <v>15542903296000</v>
      </c>
      <c r="AQ3">
        <v>16504244133000</v>
      </c>
      <c r="AR3">
        <v>16958941075000</v>
      </c>
      <c r="AS3">
        <v>17811854384000</v>
      </c>
      <c r="AT3">
        <v>17731550484000</v>
      </c>
      <c r="AU3">
        <v>17689599763000</v>
      </c>
      <c r="AV3">
        <v>17899317905000</v>
      </c>
      <c r="AW3">
        <v>18537507529000</v>
      </c>
      <c r="AX3">
        <v>18929250872000</v>
      </c>
      <c r="AY3">
        <v>19838803935000</v>
      </c>
      <c r="AZ3">
        <v>20251027288000</v>
      </c>
      <c r="BA3">
        <v>20442061683000</v>
      </c>
      <c r="BB3">
        <v>19155182679000</v>
      </c>
      <c r="BC3">
        <v>20107450899000</v>
      </c>
      <c r="BD3">
        <v>20799960569000</v>
      </c>
      <c r="BE3">
        <v>21539027005000</v>
      </c>
      <c r="BF3">
        <v>21722561388000</v>
      </c>
      <c r="BG3">
        <v>22266442951000</v>
      </c>
      <c r="BH3">
        <v>22868154260000</v>
      </c>
      <c r="BI3">
        <v>23273490747000</v>
      </c>
      <c r="BJ3">
        <v>23709107316000</v>
      </c>
      <c r="BK3">
        <v>24176670372000</v>
      </c>
      <c r="BL3">
        <v>24081730883000</v>
      </c>
      <c r="BM3">
        <v>22069934761000</v>
      </c>
      <c r="BN3">
        <v>23404831114000</v>
      </c>
      <c r="BO3">
        <v>24273381806000</v>
      </c>
      <c r="BP3">
        <v>25073284635000</v>
      </c>
      <c r="BQ3">
        <v>25437865859000</v>
      </c>
    </row>
    <row r="4" spans="1:69" x14ac:dyDescent="0.3">
      <c r="B4" s="8"/>
      <c r="D4" s="8"/>
    </row>
    <row r="5" spans="1:69" x14ac:dyDescent="0.3">
      <c r="B5" s="8"/>
      <c r="D5" s="8"/>
    </row>
    <row r="6" spans="1:69" x14ac:dyDescent="0.3">
      <c r="B6" s="8"/>
      <c r="D6" s="8"/>
    </row>
    <row r="7" spans="1:69" ht="15" thickBot="1" x14ac:dyDescent="0.35">
      <c r="A7" t="s">
        <v>97</v>
      </c>
      <c r="B7" s="8"/>
      <c r="D7" s="8"/>
    </row>
    <row r="8" spans="1:69" ht="21" x14ac:dyDescent="0.3">
      <c r="A8" t="s">
        <v>98</v>
      </c>
      <c r="G8" s="4" t="s">
        <v>22</v>
      </c>
      <c r="H8" s="5">
        <v>0.57899999999999996</v>
      </c>
      <c r="I8" s="51">
        <f>CORREL(H18:H76,H17:H75)</f>
        <v>0.57877997109640278</v>
      </c>
      <c r="J8" s="10" t="s">
        <v>100</v>
      </c>
      <c r="K8" s="11">
        <f>E39/E38-1</f>
        <v>-4.9586365638609742E-4</v>
      </c>
    </row>
    <row r="9" spans="1:69" ht="24" thickBot="1" x14ac:dyDescent="0.5">
      <c r="G9" s="6" t="s">
        <v>23</v>
      </c>
      <c r="H9" s="7">
        <v>2.5700000000000001E-2</v>
      </c>
      <c r="I9" s="101">
        <f>_xlfn.STDEV.P(H17:H76)</f>
        <v>3.108091707104849E-2</v>
      </c>
      <c r="J9" s="10" t="s">
        <v>101</v>
      </c>
      <c r="K9" s="11">
        <f>E40/E39-1</f>
        <v>-4.624127959872304E-2</v>
      </c>
    </row>
    <row r="10" spans="1:69" ht="21" x14ac:dyDescent="0.3">
      <c r="J10" s="10" t="s">
        <v>102</v>
      </c>
      <c r="K10" s="11">
        <f>E40/E38-1</f>
        <v>-4.6714213885131306E-2</v>
      </c>
    </row>
    <row r="11" spans="1:69" ht="21" x14ac:dyDescent="0.3">
      <c r="J11" s="10" t="s">
        <v>7208</v>
      </c>
      <c r="K11" s="11">
        <f>J39</f>
        <v>-2.1592329400487387E-2</v>
      </c>
    </row>
    <row r="12" spans="1:69" ht="21" x14ac:dyDescent="0.3">
      <c r="J12" s="10" t="s">
        <v>7206</v>
      </c>
      <c r="K12" s="11">
        <f>J40</f>
        <v>-0.13282060254786998</v>
      </c>
    </row>
    <row r="13" spans="1:69" ht="21" x14ac:dyDescent="0.3">
      <c r="J13" s="10"/>
      <c r="K13" s="11"/>
    </row>
    <row r="14" spans="1:69" ht="21" x14ac:dyDescent="0.3">
      <c r="I14" t="s">
        <v>7207</v>
      </c>
      <c r="J14">
        <v>-96.520976899999994</v>
      </c>
      <c r="K14" s="11"/>
    </row>
    <row r="15" spans="1:69" ht="21" x14ac:dyDescent="0.3">
      <c r="I15" t="s">
        <v>7203</v>
      </c>
      <c r="J15">
        <v>6.3883720000000005E-2</v>
      </c>
      <c r="K15" s="11"/>
    </row>
    <row r="16" spans="1:69" x14ac:dyDescent="0.3">
      <c r="E16" t="s">
        <v>99</v>
      </c>
      <c r="F16" t="s">
        <v>18</v>
      </c>
      <c r="G16" t="s">
        <v>20</v>
      </c>
      <c r="H16" t="s">
        <v>21</v>
      </c>
      <c r="I16" t="s">
        <v>7204</v>
      </c>
      <c r="J16" t="s">
        <v>7205</v>
      </c>
    </row>
    <row r="17" spans="4:10" x14ac:dyDescent="0.3">
      <c r="D17">
        <v>1960</v>
      </c>
      <c r="E17" s="1">
        <f>HLOOKUP(D17,$E$1:$BQ$3,3,FALSE)</f>
        <v>2869655502905</v>
      </c>
      <c r="F17" s="9">
        <f>LN(E17)</f>
        <v>28.685213104664431</v>
      </c>
      <c r="G17">
        <v>28.673358089563202</v>
      </c>
      <c r="H17" s="3">
        <f>F17-G17</f>
        <v>1.1855015101229327E-2</v>
      </c>
      <c r="I17" s="9">
        <f>$J$14+$J$15*D17</f>
        <v>28.69111430000001</v>
      </c>
      <c r="J17" s="2">
        <f t="shared" ref="J17:J28" si="1">F17-I17</f>
        <v>-5.9011953355785352E-3</v>
      </c>
    </row>
    <row r="18" spans="4:10" x14ac:dyDescent="0.3">
      <c r="D18">
        <f>D17+1</f>
        <v>1961</v>
      </c>
      <c r="E18" s="1">
        <f t="shared" ref="E18:E76" si="2">HLOOKUP(D18,$E$1:$BQ$3,3,FALSE)</f>
        <v>3013138278071</v>
      </c>
      <c r="F18" s="9">
        <f t="shared" ref="F18:F76" si="3">LN(E18)</f>
        <v>28.734003268840748</v>
      </c>
      <c r="G18">
        <v>28.742424959598999</v>
      </c>
      <c r="H18" s="3">
        <f>F18-G18</f>
        <v>-8.4216907582508327E-3</v>
      </c>
      <c r="I18" s="9">
        <f>$J$14+$J$15*D18</f>
        <v>28.754998020000016</v>
      </c>
      <c r="J18" s="2">
        <f t="shared" si="1"/>
        <v>-2.0994751159268077E-2</v>
      </c>
    </row>
    <row r="19" spans="4:10" x14ac:dyDescent="0.3">
      <c r="D19">
        <f t="shared" ref="D19:D76" si="4">D18+1</f>
        <v>1962</v>
      </c>
      <c r="E19" s="1">
        <f t="shared" si="2"/>
        <v>3153683542017</v>
      </c>
      <c r="F19" s="9">
        <f t="shared" si="3"/>
        <v>28.779592263993795</v>
      </c>
      <c r="G19">
        <v>28.8116103797393</v>
      </c>
      <c r="H19" s="3">
        <f t="shared" ref="H19:H75" si="5">F19-G19</f>
        <v>-3.2018115745504616E-2</v>
      </c>
      <c r="I19" s="9">
        <f>$J$14+$J$15*D19</f>
        <v>28.818881740000009</v>
      </c>
      <c r="J19" s="2">
        <f t="shared" si="1"/>
        <v>-3.928947600621413E-2</v>
      </c>
    </row>
    <row r="20" spans="4:10" x14ac:dyDescent="0.3">
      <c r="D20">
        <f t="shared" si="4"/>
        <v>1963</v>
      </c>
      <c r="E20" s="1">
        <f t="shared" si="2"/>
        <v>3409349100823</v>
      </c>
      <c r="F20" s="9">
        <f t="shared" si="3"/>
        <v>28.857542509480112</v>
      </c>
      <c r="G20">
        <v>28.880948683192202</v>
      </c>
      <c r="H20" s="3">
        <f t="shared" si="5"/>
        <v>-2.340617371208964E-2</v>
      </c>
      <c r="I20" s="9">
        <f t="shared" ref="I20:I40" si="6">$J$14+$J$15*D20</f>
        <v>28.882765460000016</v>
      </c>
      <c r="J20" s="2">
        <f t="shared" si="1"/>
        <v>-2.5222950519903975E-2</v>
      </c>
    </row>
    <row r="21" spans="4:10" x14ac:dyDescent="0.3">
      <c r="D21">
        <f t="shared" si="4"/>
        <v>1964</v>
      </c>
      <c r="E21" s="1">
        <f t="shared" si="2"/>
        <v>3815248502260</v>
      </c>
      <c r="F21" s="9">
        <f t="shared" si="3"/>
        <v>28.970026916750644</v>
      </c>
      <c r="G21">
        <v>28.950154021968899</v>
      </c>
      <c r="H21" s="3">
        <f t="shared" si="5"/>
        <v>1.9872894781745032E-2</v>
      </c>
      <c r="I21" s="9">
        <f t="shared" si="6"/>
        <v>28.946649180000023</v>
      </c>
      <c r="J21" s="2">
        <f t="shared" si="1"/>
        <v>2.3377736750621381E-2</v>
      </c>
    </row>
    <row r="22" spans="4:10" x14ac:dyDescent="0.3">
      <c r="D22">
        <f t="shared" si="4"/>
        <v>1965</v>
      </c>
      <c r="E22" s="1">
        <f t="shared" si="2"/>
        <v>4086131145824</v>
      </c>
      <c r="F22" s="9">
        <f t="shared" si="3"/>
        <v>29.038619708192648</v>
      </c>
      <c r="G22">
        <v>29.0187064863484</v>
      </c>
      <c r="H22" s="3">
        <f t="shared" si="5"/>
        <v>1.9913221844248596E-2</v>
      </c>
      <c r="I22" s="9">
        <f t="shared" si="6"/>
        <v>29.010532900000015</v>
      </c>
      <c r="J22" s="2">
        <f t="shared" si="1"/>
        <v>2.8086808192632873E-2</v>
      </c>
    </row>
    <row r="23" spans="4:10" x14ac:dyDescent="0.3">
      <c r="D23">
        <f t="shared" si="4"/>
        <v>1966</v>
      </c>
      <c r="E23" s="1">
        <f t="shared" si="2"/>
        <v>4335227392559.0005</v>
      </c>
      <c r="F23" s="9">
        <f t="shared" si="3"/>
        <v>29.097795179816249</v>
      </c>
      <c r="G23">
        <v>29.086284895590101</v>
      </c>
      <c r="H23" s="3">
        <f t="shared" si="5"/>
        <v>1.151028422614786E-2</v>
      </c>
      <c r="I23" s="9">
        <f t="shared" si="6"/>
        <v>29.074416620000022</v>
      </c>
      <c r="J23" s="2">
        <f t="shared" si="1"/>
        <v>2.3378559816226385E-2</v>
      </c>
    </row>
    <row r="24" spans="4:10" x14ac:dyDescent="0.3">
      <c r="D24">
        <f t="shared" si="4"/>
        <v>1967</v>
      </c>
      <c r="E24" s="1">
        <f t="shared" si="2"/>
        <v>4589051699726</v>
      </c>
      <c r="F24" s="9">
        <f t="shared" si="3"/>
        <v>29.154694517289116</v>
      </c>
      <c r="G24">
        <v>29.1527672011898</v>
      </c>
      <c r="H24" s="3">
        <f t="shared" si="5"/>
        <v>1.9273160993158456E-3</v>
      </c>
      <c r="I24" s="9">
        <f t="shared" si="6"/>
        <v>29.138300340000015</v>
      </c>
      <c r="J24" s="2">
        <f t="shared" si="1"/>
        <v>1.6394177289100753E-2</v>
      </c>
    </row>
    <row r="25" spans="4:10" x14ac:dyDescent="0.3">
      <c r="D25">
        <f t="shared" si="4"/>
        <v>1968</v>
      </c>
      <c r="E25" s="1">
        <f t="shared" si="2"/>
        <v>5021490836508</v>
      </c>
      <c r="F25" s="9">
        <f t="shared" si="3"/>
        <v>29.244747984926601</v>
      </c>
      <c r="G25">
        <v>29.218146457487499</v>
      </c>
      <c r="H25" s="3">
        <f t="shared" si="5"/>
        <v>2.6601527439101602E-2</v>
      </c>
      <c r="I25" s="9">
        <f t="shared" si="6"/>
        <v>29.202184060000022</v>
      </c>
      <c r="J25" s="2">
        <f t="shared" si="1"/>
        <v>4.2563924926579233E-2</v>
      </c>
    </row>
    <row r="26" spans="4:10" x14ac:dyDescent="0.3">
      <c r="D26">
        <f t="shared" si="4"/>
        <v>1969</v>
      </c>
      <c r="E26" s="1">
        <f t="shared" si="2"/>
        <v>5193156527723</v>
      </c>
      <c r="F26" s="9">
        <f t="shared" si="3"/>
        <v>29.278362822397511</v>
      </c>
      <c r="G26">
        <v>29.2824349920114</v>
      </c>
      <c r="H26" s="3">
        <f t="shared" si="5"/>
        <v>-4.0721696138881214E-3</v>
      </c>
      <c r="I26" s="9">
        <f t="shared" si="6"/>
        <v>29.266067780000014</v>
      </c>
      <c r="J26" s="2">
        <f t="shared" si="1"/>
        <v>1.2295042397497014E-2</v>
      </c>
    </row>
    <row r="27" spans="4:10" x14ac:dyDescent="0.3">
      <c r="D27">
        <f t="shared" si="4"/>
        <v>1970</v>
      </c>
      <c r="E27" s="1">
        <f t="shared" si="2"/>
        <v>5530840701835</v>
      </c>
      <c r="F27" s="9">
        <f t="shared" si="3"/>
        <v>29.341360945556346</v>
      </c>
      <c r="G27">
        <v>29.345911147514599</v>
      </c>
      <c r="H27" s="3">
        <f t="shared" si="5"/>
        <v>-4.5502019582528419E-3</v>
      </c>
      <c r="I27" s="9">
        <f t="shared" si="6"/>
        <v>29.329951500000021</v>
      </c>
      <c r="J27" s="2">
        <f t="shared" si="1"/>
        <v>1.1409445556324727E-2</v>
      </c>
    </row>
    <row r="28" spans="4:10" x14ac:dyDescent="0.3">
      <c r="D28">
        <f t="shared" si="4"/>
        <v>1971</v>
      </c>
      <c r="E28" s="1">
        <f t="shared" si="2"/>
        <v>5738936795948</v>
      </c>
      <c r="F28" s="9">
        <f t="shared" si="3"/>
        <v>29.37829508191659</v>
      </c>
      <c r="G28">
        <v>29.408812545030301</v>
      </c>
      <c r="H28" s="3">
        <f t="shared" si="5"/>
        <v>-3.0517463113710619E-2</v>
      </c>
      <c r="I28" s="9">
        <f t="shared" si="6"/>
        <v>29.393835220000014</v>
      </c>
      <c r="J28" s="2">
        <f t="shared" si="1"/>
        <v>-1.5540138083423471E-2</v>
      </c>
    </row>
    <row r="29" spans="4:10" x14ac:dyDescent="0.3">
      <c r="D29">
        <f t="shared" si="4"/>
        <v>1972</v>
      </c>
      <c r="E29" s="1">
        <f t="shared" si="2"/>
        <v>6211182846670</v>
      </c>
      <c r="F29" s="9">
        <f t="shared" si="3"/>
        <v>29.457372468239996</v>
      </c>
      <c r="G29">
        <v>29.471331303616399</v>
      </c>
      <c r="H29" s="3">
        <f t="shared" si="5"/>
        <v>-1.39588353764033E-2</v>
      </c>
      <c r="I29" s="9">
        <f t="shared" si="6"/>
        <v>29.457718940000021</v>
      </c>
      <c r="J29" s="2">
        <f t="shared" ref="J29:J38" si="7">F29-I29</f>
        <v>-3.4647176002522428E-4</v>
      </c>
    </row>
    <row r="30" spans="4:10" x14ac:dyDescent="0.3">
      <c r="D30">
        <f t="shared" si="4"/>
        <v>1973</v>
      </c>
      <c r="E30" s="1">
        <f t="shared" si="2"/>
        <v>6699451375010</v>
      </c>
      <c r="F30" s="9">
        <f t="shared" si="3"/>
        <v>29.533046754645898</v>
      </c>
      <c r="G30">
        <v>29.533354367680499</v>
      </c>
      <c r="H30" s="3">
        <f t="shared" si="5"/>
        <v>-3.0761303460025147E-4</v>
      </c>
      <c r="I30" s="9">
        <f t="shared" si="6"/>
        <v>29.521602660000013</v>
      </c>
      <c r="J30" s="2">
        <f t="shared" si="7"/>
        <v>1.1444094645884917E-2</v>
      </c>
    </row>
    <row r="31" spans="4:10" x14ac:dyDescent="0.3">
      <c r="D31">
        <f t="shared" si="4"/>
        <v>1974</v>
      </c>
      <c r="E31" s="1">
        <f t="shared" si="2"/>
        <v>7086467106316</v>
      </c>
      <c r="F31" s="9">
        <f t="shared" si="3"/>
        <v>29.589208039803516</v>
      </c>
      <c r="G31">
        <v>29.594629093294198</v>
      </c>
      <c r="H31" s="3">
        <f t="shared" si="5"/>
        <v>-5.4210534906822261E-3</v>
      </c>
      <c r="I31" s="9">
        <f t="shared" si="6"/>
        <v>29.58548638000002</v>
      </c>
      <c r="J31" s="2">
        <f t="shared" si="7"/>
        <v>3.7216598034959247E-3</v>
      </c>
    </row>
    <row r="32" spans="4:10" x14ac:dyDescent="0.3">
      <c r="D32">
        <f t="shared" si="4"/>
        <v>1975</v>
      </c>
      <c r="E32" s="1">
        <f t="shared" si="2"/>
        <v>7493548149714</v>
      </c>
      <c r="F32" s="9">
        <f t="shared" si="3"/>
        <v>29.645063519541477</v>
      </c>
      <c r="G32">
        <v>29.654899760352102</v>
      </c>
      <c r="H32" s="3">
        <f t="shared" si="5"/>
        <v>-9.8362408106247301E-3</v>
      </c>
      <c r="I32" s="9">
        <f t="shared" si="6"/>
        <v>29.649370100000013</v>
      </c>
      <c r="J32" s="2">
        <f t="shared" si="7"/>
        <v>-4.3065804585360468E-3</v>
      </c>
    </row>
    <row r="33" spans="4:10" x14ac:dyDescent="0.3">
      <c r="D33">
        <f t="shared" si="4"/>
        <v>1976</v>
      </c>
      <c r="E33" s="1">
        <f t="shared" si="2"/>
        <v>7824571453052</v>
      </c>
      <c r="F33" s="9">
        <f t="shared" si="3"/>
        <v>29.688290084471902</v>
      </c>
      <c r="G33">
        <v>29.713856438215998</v>
      </c>
      <c r="H33" s="3">
        <f t="shared" si="5"/>
        <v>-2.5566353744096659E-2</v>
      </c>
      <c r="I33" s="9">
        <f t="shared" si="6"/>
        <v>29.71325382000002</v>
      </c>
      <c r="J33" s="2">
        <f t="shared" si="7"/>
        <v>-2.4963735528118036E-2</v>
      </c>
    </row>
    <row r="34" spans="4:10" x14ac:dyDescent="0.3">
      <c r="D34">
        <f t="shared" si="4"/>
        <v>1977</v>
      </c>
      <c r="E34" s="1">
        <f t="shared" si="2"/>
        <v>8089874479608</v>
      </c>
      <c r="F34" s="9">
        <f t="shared" si="3"/>
        <v>29.721634331378954</v>
      </c>
      <c r="G34">
        <v>29.771090833844202</v>
      </c>
      <c r="H34" s="3">
        <f t="shared" si="5"/>
        <v>-4.9456502465247354E-2</v>
      </c>
      <c r="I34" s="9">
        <f t="shared" si="6"/>
        <v>29.777137540000012</v>
      </c>
      <c r="J34" s="2">
        <f t="shared" si="7"/>
        <v>-5.5503208621058064E-2</v>
      </c>
    </row>
    <row r="35" spans="4:10" x14ac:dyDescent="0.3">
      <c r="D35">
        <f t="shared" si="4"/>
        <v>1978</v>
      </c>
      <c r="E35" s="1">
        <f t="shared" si="2"/>
        <v>8814479871143</v>
      </c>
      <c r="F35" s="9">
        <f t="shared" si="3"/>
        <v>29.807416925062249</v>
      </c>
      <c r="G35">
        <v>29.825938990612801</v>
      </c>
      <c r="H35" s="3">
        <f t="shared" si="5"/>
        <v>-1.8522065550552469E-2</v>
      </c>
      <c r="I35" s="9">
        <f t="shared" si="6"/>
        <v>29.841021260000019</v>
      </c>
      <c r="J35" s="2">
        <f t="shared" si="7"/>
        <v>-3.3604334937770375E-2</v>
      </c>
    </row>
    <row r="36" spans="4:10" x14ac:dyDescent="0.3">
      <c r="D36">
        <f t="shared" si="4"/>
        <v>1979</v>
      </c>
      <c r="E36" s="1">
        <f t="shared" si="2"/>
        <v>9669323125742</v>
      </c>
      <c r="F36" s="9">
        <f t="shared" si="3"/>
        <v>29.899979425605871</v>
      </c>
      <c r="G36">
        <v>29.8772423868594</v>
      </c>
      <c r="H36" s="3">
        <f t="shared" si="5"/>
        <v>2.2737038746470262E-2</v>
      </c>
      <c r="I36" s="9">
        <f t="shared" si="6"/>
        <v>29.904904980000012</v>
      </c>
      <c r="J36" s="2">
        <f t="shared" si="7"/>
        <v>-4.9255543941413293E-3</v>
      </c>
    </row>
    <row r="37" spans="4:10" x14ac:dyDescent="0.3">
      <c r="D37">
        <f t="shared" si="4"/>
        <v>1980</v>
      </c>
      <c r="E37" s="1">
        <f t="shared" si="2"/>
        <v>10516029243000</v>
      </c>
      <c r="F37" s="9">
        <f t="shared" si="3"/>
        <v>29.983921803602509</v>
      </c>
      <c r="G37">
        <v>29.923657280315702</v>
      </c>
      <c r="H37" s="3">
        <f t="shared" si="5"/>
        <v>6.0264523286807758E-2</v>
      </c>
      <c r="I37" s="9">
        <f t="shared" si="6"/>
        <v>29.968788700000019</v>
      </c>
      <c r="J37" s="2">
        <f t="shared" si="7"/>
        <v>1.513310360249065E-2</v>
      </c>
    </row>
    <row r="38" spans="4:10" x14ac:dyDescent="0.3">
      <c r="D38">
        <f t="shared" si="4"/>
        <v>1981</v>
      </c>
      <c r="E38" s="1">
        <f t="shared" si="2"/>
        <v>11524079102000</v>
      </c>
      <c r="F38" s="9">
        <f t="shared" si="3"/>
        <v>30.075459797236956</v>
      </c>
      <c r="G38">
        <v>29.9640672991444</v>
      </c>
      <c r="H38" s="3">
        <f t="shared" si="5"/>
        <v>0.11139249809255602</v>
      </c>
      <c r="I38" s="9">
        <f t="shared" si="6"/>
        <v>30.032672420000011</v>
      </c>
      <c r="J38" s="2">
        <f t="shared" si="7"/>
        <v>4.2787377236944479E-2</v>
      </c>
    </row>
    <row r="39" spans="4:10" x14ac:dyDescent="0.3">
      <c r="D39">
        <f t="shared" si="4"/>
        <v>1982</v>
      </c>
      <c r="E39" s="1">
        <f t="shared" si="2"/>
        <v>11518364730000</v>
      </c>
      <c r="F39" s="9">
        <f t="shared" si="3"/>
        <v>30.074963810599531</v>
      </c>
      <c r="G39">
        <v>29.997958716705501</v>
      </c>
      <c r="H39" s="3">
        <f t="shared" si="5"/>
        <v>7.7005093894030097E-2</v>
      </c>
      <c r="I39" s="9">
        <f t="shared" si="6"/>
        <v>30.096556140000018</v>
      </c>
      <c r="J39" s="2">
        <f>F39-I39</f>
        <v>-2.1592329400487387E-2</v>
      </c>
    </row>
    <row r="40" spans="4:10" x14ac:dyDescent="0.3">
      <c r="D40">
        <f t="shared" si="4"/>
        <v>1983</v>
      </c>
      <c r="E40" s="1">
        <f t="shared" si="2"/>
        <v>10985740806000</v>
      </c>
      <c r="F40" s="9">
        <f t="shared" si="3"/>
        <v>30.027619257452141</v>
      </c>
      <c r="G40">
        <v>30.025931731367301</v>
      </c>
      <c r="H40" s="3">
        <f t="shared" si="5"/>
        <v>1.6875260848401297E-3</v>
      </c>
      <c r="I40" s="9">
        <f t="shared" si="6"/>
        <v>30.160439860000011</v>
      </c>
      <c r="J40" s="2">
        <f>F40-I40</f>
        <v>-0.13282060254786998</v>
      </c>
    </row>
    <row r="41" spans="4:10" x14ac:dyDescent="0.3">
      <c r="D41">
        <f t="shared" si="4"/>
        <v>1984</v>
      </c>
      <c r="E41" s="1">
        <f t="shared" si="2"/>
        <v>11371715290000</v>
      </c>
      <c r="F41" s="9">
        <f t="shared" si="3"/>
        <v>30.062150273350429</v>
      </c>
      <c r="G41">
        <v>30.049356592431099</v>
      </c>
      <c r="H41" s="3">
        <f t="shared" si="5"/>
        <v>1.2793680919330086E-2</v>
      </c>
      <c r="I41" s="9"/>
      <c r="J41" s="2"/>
    </row>
    <row r="42" spans="4:10" x14ac:dyDescent="0.3">
      <c r="D42">
        <f t="shared" si="4"/>
        <v>1985</v>
      </c>
      <c r="E42" s="1">
        <f t="shared" si="2"/>
        <v>11589963045000</v>
      </c>
      <c r="F42" s="9">
        <f t="shared" si="3"/>
        <v>30.081160584750535</v>
      </c>
      <c r="G42">
        <v>30.069620424484398</v>
      </c>
      <c r="H42" s="3">
        <f t="shared" si="5"/>
        <v>1.1540160266136468E-2</v>
      </c>
      <c r="I42" s="9"/>
      <c r="J42" s="2"/>
    </row>
    <row r="43" spans="4:10" x14ac:dyDescent="0.3">
      <c r="D43">
        <f t="shared" si="4"/>
        <v>1986</v>
      </c>
      <c r="E43" s="1">
        <f t="shared" si="2"/>
        <v>11134482144000</v>
      </c>
      <c r="F43" s="9">
        <f t="shared" si="3"/>
        <v>30.041067908506548</v>
      </c>
      <c r="G43">
        <v>30.0882382888907</v>
      </c>
      <c r="H43" s="3">
        <f t="shared" si="5"/>
        <v>-4.7170380384152111E-2</v>
      </c>
      <c r="I43" s="9"/>
      <c r="J43" s="2"/>
    </row>
    <row r="44" spans="4:10" x14ac:dyDescent="0.3">
      <c r="D44">
        <f t="shared" si="4"/>
        <v>1987</v>
      </c>
      <c r="E44" s="1">
        <f t="shared" si="2"/>
        <v>11364226954000</v>
      </c>
      <c r="F44" s="9">
        <f t="shared" si="3"/>
        <v>30.061491551033985</v>
      </c>
      <c r="G44">
        <v>30.106840648568401</v>
      </c>
      <c r="H44" s="3">
        <f t="shared" si="5"/>
        <v>-4.5349097534415961E-2</v>
      </c>
      <c r="I44" s="9"/>
      <c r="J44" s="2"/>
    </row>
    <row r="45" spans="4:10" x14ac:dyDescent="0.3">
      <c r="D45">
        <f t="shared" si="4"/>
        <v>1988</v>
      </c>
      <c r="E45" s="1">
        <f t="shared" si="2"/>
        <v>11502672925000</v>
      </c>
      <c r="F45" s="9">
        <f t="shared" si="3"/>
        <v>30.073600552551358</v>
      </c>
      <c r="G45">
        <v>30.126586262646999</v>
      </c>
      <c r="H45" s="3">
        <f t="shared" si="5"/>
        <v>-5.298571009564057E-2</v>
      </c>
      <c r="I45" s="9"/>
      <c r="J45" s="2"/>
    </row>
    <row r="46" spans="4:10" x14ac:dyDescent="0.3">
      <c r="D46">
        <f t="shared" si="4"/>
        <v>1989</v>
      </c>
      <c r="E46" s="1">
        <f t="shared" si="2"/>
        <v>11919696435000</v>
      </c>
      <c r="F46" s="9">
        <f t="shared" si="3"/>
        <v>30.109213310379051</v>
      </c>
      <c r="G46">
        <v>30.148180399270402</v>
      </c>
      <c r="H46" s="3">
        <f t="shared" si="5"/>
        <v>-3.8967088891350699E-2</v>
      </c>
    </row>
    <row r="47" spans="4:10" x14ac:dyDescent="0.3">
      <c r="D47">
        <f t="shared" si="4"/>
        <v>1990</v>
      </c>
      <c r="E47" s="1">
        <f t="shared" si="2"/>
        <v>12545485659000</v>
      </c>
      <c r="F47" s="9">
        <f t="shared" si="3"/>
        <v>30.160382008349526</v>
      </c>
      <c r="G47">
        <v>30.171798469456</v>
      </c>
      <c r="H47" s="3">
        <f t="shared" si="5"/>
        <v>-1.1416461106474429E-2</v>
      </c>
    </row>
    <row r="48" spans="4:10" x14ac:dyDescent="0.3">
      <c r="D48">
        <f t="shared" si="4"/>
        <v>1991</v>
      </c>
      <c r="E48" s="1">
        <f t="shared" si="2"/>
        <v>13044282247000</v>
      </c>
      <c r="F48" s="9">
        <f t="shared" si="3"/>
        <v>30.199371011692666</v>
      </c>
      <c r="G48">
        <v>30.197226213328602</v>
      </c>
      <c r="H48" s="3">
        <f t="shared" si="5"/>
        <v>2.1447983640641155E-3</v>
      </c>
    </row>
    <row r="49" spans="4:8" x14ac:dyDescent="0.3">
      <c r="D49">
        <f t="shared" si="4"/>
        <v>1992</v>
      </c>
      <c r="E49" s="1">
        <f t="shared" si="2"/>
        <v>13509782270000</v>
      </c>
      <c r="F49" s="9">
        <f t="shared" si="3"/>
        <v>30.234435151560575</v>
      </c>
      <c r="G49">
        <v>30.224135206418101</v>
      </c>
      <c r="H49" s="3">
        <f t="shared" si="5"/>
        <v>1.0299945142474343E-2</v>
      </c>
    </row>
    <row r="50" spans="4:8" x14ac:dyDescent="0.3">
      <c r="D50">
        <f t="shared" si="4"/>
        <v>1993</v>
      </c>
      <c r="E50" s="1">
        <f t="shared" si="2"/>
        <v>13897107654000</v>
      </c>
      <c r="F50" s="9">
        <f t="shared" si="3"/>
        <v>30.262701851966995</v>
      </c>
      <c r="G50">
        <v>30.252218472221401</v>
      </c>
      <c r="H50" s="3">
        <f t="shared" si="5"/>
        <v>1.0483379745593879E-2</v>
      </c>
    </row>
    <row r="51" spans="4:8" x14ac:dyDescent="0.3">
      <c r="D51">
        <f t="shared" si="4"/>
        <v>1994</v>
      </c>
      <c r="E51" s="1">
        <f t="shared" si="2"/>
        <v>14507764337000</v>
      </c>
      <c r="F51" s="9">
        <f t="shared" si="3"/>
        <v>30.305705093558604</v>
      </c>
      <c r="G51">
        <v>30.2812720336712</v>
      </c>
      <c r="H51" s="3">
        <f t="shared" si="5"/>
        <v>2.443305988740363E-2</v>
      </c>
    </row>
    <row r="52" spans="4:8" x14ac:dyDescent="0.3">
      <c r="D52">
        <f t="shared" si="4"/>
        <v>1995</v>
      </c>
      <c r="E52" s="1">
        <f t="shared" si="2"/>
        <v>13650311996000</v>
      </c>
      <c r="F52" s="9">
        <f t="shared" si="3"/>
        <v>30.24478349414812</v>
      </c>
      <c r="G52">
        <v>30.311196747478</v>
      </c>
      <c r="H52" s="3">
        <f t="shared" si="5"/>
        <v>-6.6413253329880462E-2</v>
      </c>
    </row>
    <row r="53" spans="4:8" x14ac:dyDescent="0.3">
      <c r="D53">
        <f t="shared" si="4"/>
        <v>1996</v>
      </c>
      <c r="E53" s="1">
        <f t="shared" si="2"/>
        <v>14499128959000</v>
      </c>
      <c r="F53" s="9">
        <f t="shared" si="3"/>
        <v>30.30510969175759</v>
      </c>
      <c r="G53">
        <v>30.342137800915399</v>
      </c>
      <c r="H53" s="3">
        <f t="shared" si="5"/>
        <v>-3.7028109157809297E-2</v>
      </c>
    </row>
    <row r="54" spans="4:8" x14ac:dyDescent="0.3">
      <c r="D54">
        <f t="shared" si="4"/>
        <v>1997</v>
      </c>
      <c r="E54" s="1">
        <f t="shared" si="2"/>
        <v>15542903296000</v>
      </c>
      <c r="F54" s="9">
        <f t="shared" si="3"/>
        <v>30.374625270702435</v>
      </c>
      <c r="G54">
        <v>30.373576248682401</v>
      </c>
      <c r="H54" s="3">
        <f t="shared" si="5"/>
        <v>1.049022020033874E-3</v>
      </c>
    </row>
    <row r="55" spans="4:8" x14ac:dyDescent="0.3">
      <c r="D55">
        <f t="shared" si="4"/>
        <v>1998</v>
      </c>
      <c r="E55" s="1">
        <f t="shared" si="2"/>
        <v>16504244133000</v>
      </c>
      <c r="F55" s="9">
        <f t="shared" si="3"/>
        <v>30.434638683941461</v>
      </c>
      <c r="G55">
        <v>30.4046228643688</v>
      </c>
      <c r="H55" s="3">
        <f t="shared" si="5"/>
        <v>3.0015819572660973E-2</v>
      </c>
    </row>
    <row r="56" spans="4:8" x14ac:dyDescent="0.3">
      <c r="D56">
        <f t="shared" si="4"/>
        <v>1999</v>
      </c>
      <c r="E56" s="1">
        <f t="shared" si="2"/>
        <v>16958941075000</v>
      </c>
      <c r="F56" s="9">
        <f t="shared" si="3"/>
        <v>30.461816307727492</v>
      </c>
      <c r="G56">
        <v>30.434398911777599</v>
      </c>
      <c r="H56" s="3">
        <f t="shared" si="5"/>
        <v>2.741739594989312E-2</v>
      </c>
    </row>
    <row r="57" spans="4:8" x14ac:dyDescent="0.3">
      <c r="D57">
        <f t="shared" si="4"/>
        <v>2000</v>
      </c>
      <c r="E57" s="1">
        <f t="shared" si="2"/>
        <v>17811854384000</v>
      </c>
      <c r="F57" s="9">
        <f t="shared" si="3"/>
        <v>30.510885328191776</v>
      </c>
      <c r="G57">
        <v>30.462325812867999</v>
      </c>
      <c r="H57" s="3">
        <f t="shared" si="5"/>
        <v>4.8559515323777447E-2</v>
      </c>
    </row>
    <row r="58" spans="4:8" x14ac:dyDescent="0.3">
      <c r="D58">
        <f t="shared" si="4"/>
        <v>2001</v>
      </c>
      <c r="E58" s="1">
        <f t="shared" si="2"/>
        <v>17731550484000</v>
      </c>
      <c r="F58" s="9">
        <f t="shared" si="3"/>
        <v>30.506366681937351</v>
      </c>
      <c r="G58">
        <v>30.488099163581499</v>
      </c>
      <c r="H58" s="3">
        <f t="shared" si="5"/>
        <v>1.8267518355852275E-2</v>
      </c>
    </row>
    <row r="59" spans="4:8" x14ac:dyDescent="0.3">
      <c r="D59">
        <f t="shared" si="4"/>
        <v>2002</v>
      </c>
      <c r="E59" s="1">
        <f t="shared" si="2"/>
        <v>17689599763000</v>
      </c>
      <c r="F59" s="9">
        <f t="shared" si="3"/>
        <v>30.503997998801896</v>
      </c>
      <c r="G59">
        <v>30.5119001550311</v>
      </c>
      <c r="H59" s="3">
        <f t="shared" si="5"/>
        <v>-7.9021562292034275E-3</v>
      </c>
    </row>
    <row r="60" spans="4:8" x14ac:dyDescent="0.3">
      <c r="D60">
        <f t="shared" si="4"/>
        <v>2003</v>
      </c>
      <c r="E60" s="1">
        <f t="shared" si="2"/>
        <v>17899317905000</v>
      </c>
      <c r="F60" s="9">
        <f t="shared" si="3"/>
        <v>30.51578372218329</v>
      </c>
      <c r="G60">
        <v>30.534092653493602</v>
      </c>
      <c r="H60" s="3">
        <f t="shared" si="5"/>
        <v>-1.8308931310311749E-2</v>
      </c>
    </row>
    <row r="61" spans="4:8" x14ac:dyDescent="0.3">
      <c r="D61">
        <f t="shared" si="4"/>
        <v>2004</v>
      </c>
      <c r="E61" s="1">
        <f t="shared" si="2"/>
        <v>18537507529000</v>
      </c>
      <c r="F61" s="9">
        <f t="shared" si="3"/>
        <v>30.550817229542211</v>
      </c>
      <c r="G61">
        <v>30.5549615036958</v>
      </c>
      <c r="H61" s="3">
        <f t="shared" si="5"/>
        <v>-4.1442741535888672E-3</v>
      </c>
    </row>
    <row r="62" spans="4:8" x14ac:dyDescent="0.3">
      <c r="D62">
        <f t="shared" si="4"/>
        <v>2005</v>
      </c>
      <c r="E62" s="1">
        <f t="shared" si="2"/>
        <v>18929250872000</v>
      </c>
      <c r="F62" s="9">
        <f t="shared" si="3"/>
        <v>30.571729506779825</v>
      </c>
      <c r="G62">
        <v>30.574608461029499</v>
      </c>
      <c r="H62" s="3">
        <f t="shared" si="5"/>
        <v>-2.8789542496738818E-3</v>
      </c>
    </row>
    <row r="63" spans="4:8" x14ac:dyDescent="0.3">
      <c r="D63">
        <f t="shared" si="4"/>
        <v>2006</v>
      </c>
      <c r="E63" s="1">
        <f t="shared" si="2"/>
        <v>19838803935000</v>
      </c>
      <c r="F63" s="9">
        <f t="shared" si="3"/>
        <v>30.618660930433755</v>
      </c>
      <c r="G63">
        <v>30.5930938381494</v>
      </c>
      <c r="H63" s="3">
        <f t="shared" si="5"/>
        <v>2.5567092284354942E-2</v>
      </c>
    </row>
    <row r="64" spans="4:8" x14ac:dyDescent="0.3">
      <c r="D64">
        <f t="shared" si="4"/>
        <v>2007</v>
      </c>
      <c r="E64" s="1">
        <f t="shared" si="2"/>
        <v>20251027288000</v>
      </c>
      <c r="F64" s="9">
        <f t="shared" si="3"/>
        <v>30.639226638465964</v>
      </c>
      <c r="G64">
        <v>30.610449158200201</v>
      </c>
      <c r="H64" s="3">
        <f t="shared" si="5"/>
        <v>2.8777480265762989E-2</v>
      </c>
    </row>
    <row r="65" spans="4:8" x14ac:dyDescent="0.3">
      <c r="D65">
        <f t="shared" si="4"/>
        <v>2008</v>
      </c>
      <c r="E65" s="1">
        <f t="shared" si="2"/>
        <v>20442061683000</v>
      </c>
      <c r="F65" s="9">
        <f t="shared" si="3"/>
        <v>30.648615741294925</v>
      </c>
      <c r="G65">
        <v>30.626961615244699</v>
      </c>
      <c r="H65" s="3">
        <f t="shared" si="5"/>
        <v>2.1654126050226097E-2</v>
      </c>
    </row>
    <row r="66" spans="4:8" x14ac:dyDescent="0.3">
      <c r="D66">
        <f t="shared" si="4"/>
        <v>2009</v>
      </c>
      <c r="E66" s="1">
        <f t="shared" si="2"/>
        <v>19155182679000</v>
      </c>
      <c r="F66" s="9">
        <f t="shared" si="3"/>
        <v>30.583594430919003</v>
      </c>
      <c r="G66">
        <v>30.6432061781641</v>
      </c>
      <c r="H66" s="3">
        <f t="shared" si="5"/>
        <v>-5.9611747245096325E-2</v>
      </c>
    </row>
    <row r="67" spans="4:8" x14ac:dyDescent="0.3">
      <c r="D67">
        <f t="shared" si="4"/>
        <v>2010</v>
      </c>
      <c r="E67" s="1">
        <f t="shared" si="2"/>
        <v>20107450899000</v>
      </c>
      <c r="F67" s="9">
        <f t="shared" si="3"/>
        <v>30.632111553796999</v>
      </c>
      <c r="G67">
        <v>30.659974357086899</v>
      </c>
      <c r="H67" s="3">
        <f t="shared" si="5"/>
        <v>-2.7862803289899318E-2</v>
      </c>
    </row>
    <row r="68" spans="4:8" x14ac:dyDescent="0.3">
      <c r="D68">
        <f t="shared" si="4"/>
        <v>2011</v>
      </c>
      <c r="E68" s="1">
        <f t="shared" si="2"/>
        <v>20799960569000</v>
      </c>
      <c r="F68" s="9">
        <f t="shared" si="3"/>
        <v>30.665972206912869</v>
      </c>
      <c r="G68">
        <v>30.677461544659899</v>
      </c>
      <c r="H68" s="3">
        <f t="shared" si="5"/>
        <v>-1.1489337747029538E-2</v>
      </c>
    </row>
    <row r="69" spans="4:8" x14ac:dyDescent="0.3">
      <c r="D69">
        <f t="shared" si="4"/>
        <v>2012</v>
      </c>
      <c r="E69" s="1">
        <f t="shared" si="2"/>
        <v>21539027005000</v>
      </c>
      <c r="F69" s="9">
        <f t="shared" si="3"/>
        <v>30.700887615095208</v>
      </c>
      <c r="G69">
        <v>30.695584505459301</v>
      </c>
      <c r="H69" s="3">
        <f t="shared" si="5"/>
        <v>5.3031096359070773E-3</v>
      </c>
    </row>
    <row r="70" spans="4:8" x14ac:dyDescent="0.3">
      <c r="D70">
        <f t="shared" si="4"/>
        <v>2013</v>
      </c>
      <c r="E70" s="1">
        <f t="shared" si="2"/>
        <v>21722561388000</v>
      </c>
      <c r="F70" s="9">
        <f t="shared" si="3"/>
        <v>30.709372531665675</v>
      </c>
      <c r="G70">
        <v>30.714145110714501</v>
      </c>
      <c r="H70" s="3">
        <f t="shared" si="5"/>
        <v>-4.7725790488257758E-3</v>
      </c>
    </row>
    <row r="71" spans="4:8" x14ac:dyDescent="0.3">
      <c r="D71">
        <f t="shared" si="4"/>
        <v>2014</v>
      </c>
      <c r="E71" s="1">
        <f t="shared" si="2"/>
        <v>22266442951000</v>
      </c>
      <c r="F71" s="9">
        <f t="shared" si="3"/>
        <v>30.734101860641786</v>
      </c>
      <c r="G71">
        <v>30.7329982628004</v>
      </c>
      <c r="H71" s="3">
        <f t="shared" si="5"/>
        <v>1.1035978413858061E-3</v>
      </c>
    </row>
    <row r="72" spans="4:8" x14ac:dyDescent="0.3">
      <c r="D72">
        <f t="shared" si="4"/>
        <v>2015</v>
      </c>
      <c r="E72" s="1">
        <f t="shared" si="2"/>
        <v>22868154260000</v>
      </c>
      <c r="F72" s="9">
        <f t="shared" si="3"/>
        <v>30.760766414978328</v>
      </c>
      <c r="G72">
        <v>30.751951138284699</v>
      </c>
      <c r="H72" s="3">
        <f t="shared" si="5"/>
        <v>8.8152766936282489E-3</v>
      </c>
    </row>
    <row r="73" spans="4:8" x14ac:dyDescent="0.3">
      <c r="D73">
        <f t="shared" si="4"/>
        <v>2016</v>
      </c>
      <c r="E73" s="1">
        <f t="shared" si="2"/>
        <v>23273490747000</v>
      </c>
      <c r="F73" s="9">
        <f t="shared" si="3"/>
        <v>30.778336092606807</v>
      </c>
      <c r="G73">
        <v>30.770821949707098</v>
      </c>
      <c r="H73" s="3">
        <f t="shared" si="5"/>
        <v>7.5141428997085313E-3</v>
      </c>
    </row>
    <row r="74" spans="4:8" x14ac:dyDescent="0.3">
      <c r="D74">
        <f t="shared" si="4"/>
        <v>2017</v>
      </c>
      <c r="E74" s="1">
        <f t="shared" si="2"/>
        <v>23709107316000</v>
      </c>
      <c r="F74" s="9">
        <f t="shared" si="3"/>
        <v>30.79688036519164</v>
      </c>
      <c r="G74">
        <v>30.789517062324499</v>
      </c>
      <c r="H74" s="3">
        <f t="shared" si="5"/>
        <v>7.3633028671409306E-3</v>
      </c>
    </row>
    <row r="75" spans="4:8" x14ac:dyDescent="0.3">
      <c r="D75">
        <f t="shared" si="4"/>
        <v>2018</v>
      </c>
      <c r="E75" s="1">
        <f t="shared" si="2"/>
        <v>24176670372000</v>
      </c>
      <c r="F75" s="9">
        <f t="shared" si="3"/>
        <v>30.816409249896466</v>
      </c>
      <c r="G75">
        <v>30.808017982796802</v>
      </c>
      <c r="H75" s="3">
        <f t="shared" si="5"/>
        <v>8.3912670996646455E-3</v>
      </c>
    </row>
    <row r="76" spans="4:8" x14ac:dyDescent="0.3">
      <c r="D76">
        <f t="shared" si="4"/>
        <v>2019</v>
      </c>
      <c r="E76" s="1">
        <f t="shared" si="2"/>
        <v>24081730883000</v>
      </c>
      <c r="F76" s="9">
        <f t="shared" si="3"/>
        <v>30.812474614309142</v>
      </c>
      <c r="G76">
        <v>30.826379850860501</v>
      </c>
      <c r="H76" s="3">
        <f>F76-G76</f>
        <v>-1.3905236551359224E-2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A187-1637-4DE5-9758-E4BF61D15BA3}">
  <dimension ref="B2:W19"/>
  <sheetViews>
    <sheetView workbookViewId="0">
      <selection activeCell="D16" sqref="D16"/>
    </sheetView>
  </sheetViews>
  <sheetFormatPr defaultRowHeight="14.4" x14ac:dyDescent="0.3"/>
  <cols>
    <col min="1" max="1" width="2" customWidth="1"/>
    <col min="2" max="4" width="8.44140625" customWidth="1"/>
    <col min="5" max="5" width="2" customWidth="1"/>
    <col min="7" max="8" width="12" bestFit="1" customWidth="1"/>
    <col min="10" max="10" width="2" customWidth="1"/>
    <col min="18" max="18" width="12" bestFit="1" customWidth="1"/>
  </cols>
  <sheetData>
    <row r="2" spans="2:23" x14ac:dyDescent="0.3">
      <c r="L2" t="s">
        <v>7492</v>
      </c>
    </row>
    <row r="3" spans="2:23" x14ac:dyDescent="0.3">
      <c r="B3" t="s">
        <v>19</v>
      </c>
      <c r="C3" t="s">
        <v>7452</v>
      </c>
      <c r="D3" t="s">
        <v>7476</v>
      </c>
      <c r="F3" t="s">
        <v>19</v>
      </c>
      <c r="G3" t="s">
        <v>99</v>
      </c>
      <c r="H3" t="s">
        <v>7416</v>
      </c>
      <c r="I3" t="s">
        <v>7417</v>
      </c>
      <c r="L3" t="s">
        <v>99</v>
      </c>
      <c r="M3" t="s">
        <v>7416</v>
      </c>
      <c r="N3" t="s">
        <v>7417</v>
      </c>
      <c r="O3" t="s">
        <v>7493</v>
      </c>
      <c r="P3" t="s">
        <v>7482</v>
      </c>
      <c r="Q3" t="s">
        <v>7483</v>
      </c>
      <c r="R3" t="s">
        <v>7478</v>
      </c>
      <c r="S3" t="s">
        <v>7494</v>
      </c>
      <c r="T3" t="s">
        <v>7496</v>
      </c>
      <c r="U3" t="s">
        <v>7495</v>
      </c>
      <c r="V3" t="s">
        <v>7497</v>
      </c>
    </row>
    <row r="4" spans="2:23" x14ac:dyDescent="0.3">
      <c r="B4">
        <v>1972</v>
      </c>
      <c r="C4" s="1">
        <f>Discoveries!G14</f>
        <v>2930</v>
      </c>
      <c r="D4" s="50">
        <f>Discoveries!P14</f>
        <v>4.7578740000000002</v>
      </c>
      <c r="F4">
        <v>1970</v>
      </c>
      <c r="G4">
        <f>HLOOKUP(F4,'GDP long'!$E$1:$BQ$3,3,FALSE)</f>
        <v>5530840701835</v>
      </c>
      <c r="H4">
        <f>Consumption!E24</f>
        <v>3778520757939</v>
      </c>
      <c r="I4">
        <f>Consumption!F24</f>
        <v>558648445311</v>
      </c>
      <c r="K4">
        <f>F4</f>
        <v>1970</v>
      </c>
      <c r="L4" s="100">
        <f t="shared" ref="L4:L19" si="0">G4/G$4</f>
        <v>1</v>
      </c>
      <c r="M4" s="100">
        <f t="shared" ref="M4:M19" si="1">H4/H$4</f>
        <v>1</v>
      </c>
      <c r="N4" s="100">
        <f t="shared" ref="N4:N19" si="2">I4/I$4</f>
        <v>1</v>
      </c>
      <c r="O4" s="100">
        <f>'Data MAFHOLA'!F12</f>
        <v>1.2453796484119768</v>
      </c>
      <c r="P4" s="100">
        <f>'Data MAFHOLA'!G12</f>
        <v>17.100429959385245</v>
      </c>
      <c r="Q4" s="100">
        <f>'Data MAFHOLA'!H12</f>
        <v>8.2857093642701134</v>
      </c>
      <c r="R4">
        <f>'Data MAFHOLA'!C12</f>
        <v>518.76970468401692</v>
      </c>
      <c r="S4">
        <f>Q4*R4/100</f>
        <v>42.983750000000001</v>
      </c>
      <c r="T4">
        <f>'Data MAFHOLA'!O12</f>
        <v>1.2500000000000048E-2</v>
      </c>
      <c r="U4">
        <f>S4/T4</f>
        <v>3438.6999999999871</v>
      </c>
      <c r="V4">
        <f>U4*$T$4</f>
        <v>42.983750000000001</v>
      </c>
      <c r="W4">
        <f>100*V4/R4</f>
        <v>8.2857093642701134</v>
      </c>
    </row>
    <row r="5" spans="2:23" x14ac:dyDescent="0.3">
      <c r="B5">
        <v>1975</v>
      </c>
      <c r="C5" s="1">
        <f>Discoveries!G17</f>
        <v>500</v>
      </c>
      <c r="D5" s="50">
        <f>Discoveries!P17</f>
        <v>2.2480410000000002</v>
      </c>
      <c r="F5">
        <f t="shared" ref="F5:F19" si="3">F4+1</f>
        <v>1971</v>
      </c>
      <c r="G5">
        <f>HLOOKUP(F5,'GDP long'!$E$1:$BQ$3,3,FALSE)</f>
        <v>5738936795948</v>
      </c>
      <c r="H5">
        <f>Consumption!E25</f>
        <v>3944716228418</v>
      </c>
      <c r="I5">
        <f>Consumption!F25</f>
        <v>617051864485</v>
      </c>
      <c r="K5">
        <f t="shared" ref="K5:K19" si="4">K4+1</f>
        <v>1971</v>
      </c>
      <c r="L5" s="100">
        <f t="shared" si="0"/>
        <v>1.0376246768495716</v>
      </c>
      <c r="M5" s="100">
        <f t="shared" si="1"/>
        <v>1.0439842682165525</v>
      </c>
      <c r="N5" s="100">
        <f t="shared" si="2"/>
        <v>1.1045441362348851</v>
      </c>
      <c r="O5" s="100">
        <f>'Data MAFHOLA'!F13</f>
        <v>0.38319373797291595</v>
      </c>
      <c r="P5" s="100">
        <f>'Data MAFHOLA'!G13</f>
        <v>17.455718844637016</v>
      </c>
      <c r="Q5" s="100">
        <f>'Data MAFHOLA'!H13</f>
        <v>7.6218854429778675</v>
      </c>
      <c r="R5">
        <f>'Data MAFHOLA'!C13</f>
        <v>560.52403725590943</v>
      </c>
      <c r="S5">
        <f t="shared" ref="S5:S19" si="5">Q5*R5/100</f>
        <v>42.722499999999997</v>
      </c>
      <c r="T5">
        <f>'Data MAFHOLA'!O13</f>
        <v>1.2500000000000048E-2</v>
      </c>
      <c r="U5">
        <f t="shared" ref="U5:U19" si="6">S5/T5</f>
        <v>3417.7999999999865</v>
      </c>
      <c r="V5">
        <f>U5*$T$4</f>
        <v>42.722499999999997</v>
      </c>
      <c r="W5">
        <f t="shared" ref="W5:W19" si="7">100*V5/R5</f>
        <v>7.6218854429778675</v>
      </c>
    </row>
    <row r="6" spans="2:23" x14ac:dyDescent="0.3">
      <c r="B6">
        <v>1976</v>
      </c>
      <c r="C6" s="1">
        <f>Discoveries!G18</f>
        <v>1686.9666999999999</v>
      </c>
      <c r="D6" s="50">
        <f>Discoveries!P18</f>
        <v>6.4087540000000001</v>
      </c>
      <c r="F6">
        <f t="shared" si="3"/>
        <v>1972</v>
      </c>
      <c r="G6">
        <f>HLOOKUP(F6,'GDP long'!$E$1:$BQ$3,3,FALSE)</f>
        <v>6211182846670</v>
      </c>
      <c r="H6">
        <f>Consumption!E26</f>
        <v>4222546762984</v>
      </c>
      <c r="I6">
        <f>Consumption!F26</f>
        <v>691947065468</v>
      </c>
      <c r="K6">
        <f t="shared" si="4"/>
        <v>1972</v>
      </c>
      <c r="L6" s="100">
        <f t="shared" si="0"/>
        <v>1.1230088121339816</v>
      </c>
      <c r="M6" s="100">
        <f t="shared" si="1"/>
        <v>1.1175131839919268</v>
      </c>
      <c r="N6" s="100">
        <f t="shared" si="2"/>
        <v>1.2386091311554488</v>
      </c>
      <c r="O6" s="100">
        <f>'Data MAFHOLA'!F14</f>
        <v>2.1075655588510376</v>
      </c>
      <c r="P6" s="100">
        <f>'Data MAFHOLA'!G14</f>
        <v>15.358898135771188</v>
      </c>
      <c r="Q6" s="100">
        <f>'Data MAFHOLA'!H14</f>
        <v>7.1852232375433198</v>
      </c>
      <c r="R6">
        <f>'Data MAFHOLA'!C14</f>
        <v>634.7401951507569</v>
      </c>
      <c r="S6">
        <f t="shared" si="5"/>
        <v>45.607500000000002</v>
      </c>
      <c r="T6">
        <f>'Data MAFHOLA'!O14</f>
        <v>1.2500000000000048E-2</v>
      </c>
      <c r="U6">
        <f t="shared" si="6"/>
        <v>3648.5999999999863</v>
      </c>
      <c r="V6">
        <f>U6*$T$4</f>
        <v>45.607500000000002</v>
      </c>
      <c r="W6">
        <f t="shared" si="7"/>
        <v>7.1852232375433198</v>
      </c>
    </row>
    <row r="7" spans="2:23" x14ac:dyDescent="0.3">
      <c r="B7">
        <v>1977</v>
      </c>
      <c r="C7" s="1">
        <f>Discoveries!G19</f>
        <v>20988.628000000001</v>
      </c>
      <c r="D7" s="50">
        <f>Discoveries!P19</f>
        <v>52.78546</v>
      </c>
      <c r="F7">
        <f t="shared" si="3"/>
        <v>1973</v>
      </c>
      <c r="G7">
        <f>HLOOKUP(F7,'GDP long'!$E$1:$BQ$3,3,FALSE)</f>
        <v>6699451375010</v>
      </c>
      <c r="H7">
        <f>Consumption!E27</f>
        <v>4515678310835</v>
      </c>
      <c r="I7">
        <f>Consumption!F27</f>
        <v>756370752426</v>
      </c>
      <c r="K7">
        <f t="shared" si="4"/>
        <v>1973</v>
      </c>
      <c r="L7" s="100">
        <f t="shared" si="0"/>
        <v>1.2112898809013399</v>
      </c>
      <c r="M7" s="100">
        <f t="shared" si="1"/>
        <v>1.1950915715752435</v>
      </c>
      <c r="N7" s="100">
        <f t="shared" si="2"/>
        <v>1.3539297545255458</v>
      </c>
      <c r="O7" s="100">
        <f>'Data MAFHOLA'!F15</f>
        <v>3.3529452072630139</v>
      </c>
      <c r="P7" s="100">
        <f>'Data MAFHOLA'!G15</f>
        <v>18.598331374486616</v>
      </c>
      <c r="Q7" s="100">
        <f>'Data MAFHOLA'!H15</f>
        <v>9.0375609922205822</v>
      </c>
      <c r="R7">
        <f>'Data MAFHOLA'!C15</f>
        <v>767.68499885888923</v>
      </c>
      <c r="S7">
        <f t="shared" si="5"/>
        <v>69.38</v>
      </c>
      <c r="T7">
        <f>'Data MAFHOLA'!O15</f>
        <v>1.2500000000000048E-2</v>
      </c>
      <c r="U7">
        <f t="shared" si="6"/>
        <v>5550.3999999999787</v>
      </c>
      <c r="V7">
        <f>U7*$T$4</f>
        <v>69.38</v>
      </c>
      <c r="W7">
        <f t="shared" si="7"/>
        <v>9.0375609922205822</v>
      </c>
    </row>
    <row r="8" spans="2:23" x14ac:dyDescent="0.3">
      <c r="B8">
        <v>1979</v>
      </c>
      <c r="C8" s="1">
        <f>Discoveries!G21</f>
        <v>12391.324000000001</v>
      </c>
      <c r="D8" s="50">
        <f>Discoveries!P21</f>
        <v>51.580179999999999</v>
      </c>
      <c r="F8">
        <f t="shared" si="3"/>
        <v>1974</v>
      </c>
      <c r="G8">
        <f>HLOOKUP(F8,'GDP long'!$E$1:$BQ$3,3,FALSE)</f>
        <v>7086467106316</v>
      </c>
      <c r="H8">
        <f>Consumption!E28</f>
        <v>4695561966386</v>
      </c>
      <c r="I8">
        <f>Consumption!F28</f>
        <v>806445850302</v>
      </c>
      <c r="K8">
        <f t="shared" si="4"/>
        <v>1974</v>
      </c>
      <c r="L8" s="100">
        <f t="shared" si="0"/>
        <v>1.2812640045779804</v>
      </c>
      <c r="M8" s="100">
        <f t="shared" si="1"/>
        <v>1.2426984704319055</v>
      </c>
      <c r="N8" s="100">
        <f t="shared" si="2"/>
        <v>1.4435659081679733</v>
      </c>
      <c r="O8" s="100">
        <f>'Data MAFHOLA'!F16</f>
        <v>3.5445420762494719</v>
      </c>
      <c r="P8" s="100">
        <f>'Data MAFHOLA'!G16</f>
        <v>17.314492526560255</v>
      </c>
      <c r="Q8" s="100">
        <f>'Data MAFHOLA'!H16</f>
        <v>10.492969070611048</v>
      </c>
      <c r="R8">
        <f>'Data MAFHOLA'!C16</f>
        <v>1008.1750864613914</v>
      </c>
      <c r="S8">
        <f t="shared" si="5"/>
        <v>105.78749999999999</v>
      </c>
      <c r="T8">
        <f>'Data MAFHOLA'!O16</f>
        <v>1.2500000000000048E-2</v>
      </c>
      <c r="U8">
        <f t="shared" si="6"/>
        <v>8462.9999999999673</v>
      </c>
      <c r="V8">
        <f>U8*$T$4</f>
        <v>105.78749999999999</v>
      </c>
      <c r="W8">
        <f t="shared" si="7"/>
        <v>10.492969070611048</v>
      </c>
    </row>
    <row r="9" spans="2:23" x14ac:dyDescent="0.3">
      <c r="B9">
        <v>1980</v>
      </c>
      <c r="C9" s="1">
        <f>Discoveries!G22</f>
        <v>500</v>
      </c>
      <c r="D9" s="50">
        <f>Discoveries!P22</f>
        <v>3.382155</v>
      </c>
      <c r="F9">
        <f t="shared" si="3"/>
        <v>1975</v>
      </c>
      <c r="G9">
        <f>HLOOKUP(F9,'GDP long'!$E$1:$BQ$3,3,FALSE)</f>
        <v>7493548149714</v>
      </c>
      <c r="H9">
        <f>Consumption!E29</f>
        <v>4922755253089</v>
      </c>
      <c r="I9">
        <f>Consumption!F29</f>
        <v>908594274593</v>
      </c>
      <c r="K9">
        <f t="shared" si="4"/>
        <v>1975</v>
      </c>
      <c r="L9" s="100">
        <f t="shared" si="0"/>
        <v>1.3548660237543673</v>
      </c>
      <c r="M9" s="100">
        <f t="shared" si="1"/>
        <v>1.3028260444899935</v>
      </c>
      <c r="N9" s="100">
        <f t="shared" si="2"/>
        <v>1.6264151135105815</v>
      </c>
      <c r="O9" s="100">
        <f>'Data MAFHOLA'!F17</f>
        <v>5.7479060695937383</v>
      </c>
      <c r="P9" s="100">
        <f>'Data MAFHOLA'!G17</f>
        <v>22.239732816249507</v>
      </c>
      <c r="Q9" s="100">
        <f>'Data MAFHOLA'!H17</f>
        <v>12.878834828381043</v>
      </c>
      <c r="R9">
        <f>'Data MAFHOLA'!C17</f>
        <v>1240.1160673948712</v>
      </c>
      <c r="S9">
        <f t="shared" si="5"/>
        <v>159.71250000000001</v>
      </c>
      <c r="T9">
        <f>'Data MAFHOLA'!O17</f>
        <v>1.2500000000000048E-2</v>
      </c>
      <c r="U9">
        <f t="shared" si="6"/>
        <v>12776.999999999953</v>
      </c>
      <c r="V9">
        <f t="shared" ref="V9:V19" si="8">U9*$T$4</f>
        <v>159.71250000000001</v>
      </c>
      <c r="W9">
        <f t="shared" si="7"/>
        <v>12.878834828381043</v>
      </c>
    </row>
    <row r="10" spans="2:23" x14ac:dyDescent="0.3">
      <c r="F10">
        <f t="shared" si="3"/>
        <v>1976</v>
      </c>
      <c r="G10">
        <f>HLOOKUP(F10,'GDP long'!$E$1:$BQ$3,3,FALSE)</f>
        <v>7824571453052</v>
      </c>
      <c r="H10">
        <f>Consumption!E30</f>
        <v>5106413761144</v>
      </c>
      <c r="I10">
        <f>Consumption!F30</f>
        <v>970951514690</v>
      </c>
      <c r="K10">
        <f t="shared" si="4"/>
        <v>1976</v>
      </c>
      <c r="L10" s="100">
        <f t="shared" si="0"/>
        <v>1.4147164734749991</v>
      </c>
      <c r="M10" s="100">
        <f t="shared" si="1"/>
        <v>1.3514319725291919</v>
      </c>
      <c r="N10" s="100">
        <f t="shared" si="2"/>
        <v>1.7380367256718501</v>
      </c>
      <c r="O10" s="100">
        <f>'Data MAFHOLA'!F18</f>
        <v>4.4067279866885327</v>
      </c>
      <c r="P10" s="100">
        <f>'Data MAFHOLA'!G18</f>
        <v>28.240598180083012</v>
      </c>
      <c r="Q10" s="100">
        <f>'Data MAFHOLA'!H18</f>
        <v>18.143071474835839</v>
      </c>
      <c r="R10">
        <f>'Data MAFHOLA'!C18</f>
        <v>1512.5723799337184</v>
      </c>
      <c r="S10">
        <f t="shared" si="5"/>
        <v>274.42708800000003</v>
      </c>
      <c r="T10">
        <f>'Data MAFHOLA'!O18</f>
        <v>1.5370930232558127E-2</v>
      </c>
      <c r="U10">
        <f t="shared" si="6"/>
        <v>17853.642157500584</v>
      </c>
      <c r="V10">
        <f t="shared" si="8"/>
        <v>223.17052696875814</v>
      </c>
      <c r="W10">
        <f t="shared" si="7"/>
        <v>14.75437010019564</v>
      </c>
    </row>
    <row r="11" spans="2:23" x14ac:dyDescent="0.3">
      <c r="F11">
        <f t="shared" si="3"/>
        <v>1977</v>
      </c>
      <c r="G11">
        <f>HLOOKUP(F11,'GDP long'!$E$1:$BQ$3,3,FALSE)</f>
        <v>8089874479608</v>
      </c>
      <c r="H11">
        <f>Consumption!E31</f>
        <v>5247552460470</v>
      </c>
      <c r="I11">
        <f>Consumption!F31</f>
        <v>970849187186</v>
      </c>
      <c r="K11">
        <f t="shared" si="4"/>
        <v>1977</v>
      </c>
      <c r="L11" s="100">
        <f t="shared" si="0"/>
        <v>1.4626844119600071</v>
      </c>
      <c r="M11" s="100">
        <f t="shared" si="1"/>
        <v>1.3887848702284979</v>
      </c>
      <c r="N11" s="100">
        <f t="shared" si="2"/>
        <v>1.7378535559076469</v>
      </c>
      <c r="O11" s="100">
        <f>'Data MAFHOLA'!F19</f>
        <v>2.107565558851038</v>
      </c>
      <c r="P11" s="100">
        <f>'Data MAFHOLA'!G19</f>
        <v>36.709275718245081</v>
      </c>
      <c r="Q11" s="100">
        <f>'Data MAFHOLA'!H19</f>
        <v>23.13263246704188</v>
      </c>
      <c r="R11">
        <f>'Data MAFHOLA'!C19</f>
        <v>2040.2686796344262</v>
      </c>
      <c r="S11">
        <f t="shared" si="5"/>
        <v>471.96785499999999</v>
      </c>
      <c r="T11">
        <f>'Data MAFHOLA'!O19</f>
        <v>2.2549322709163305E-2</v>
      </c>
      <c r="U11">
        <f t="shared" si="6"/>
        <v>20930.467007251074</v>
      </c>
      <c r="V11">
        <f t="shared" si="8"/>
        <v>261.63083759063943</v>
      </c>
      <c r="W11">
        <f t="shared" si="7"/>
        <v>12.823352149753052</v>
      </c>
    </row>
    <row r="12" spans="2:23" x14ac:dyDescent="0.3">
      <c r="F12">
        <f t="shared" si="3"/>
        <v>1978</v>
      </c>
      <c r="G12">
        <f>HLOOKUP(F12,'GDP long'!$E$1:$BQ$3,3,FALSE)</f>
        <v>8814479871143</v>
      </c>
      <c r="H12">
        <f>Consumption!E32</f>
        <v>5612424744226</v>
      </c>
      <c r="I12">
        <f>Consumption!F32</f>
        <v>1062554521913.9999</v>
      </c>
      <c r="K12">
        <f t="shared" si="4"/>
        <v>1978</v>
      </c>
      <c r="L12" s="100">
        <f t="shared" si="0"/>
        <v>1.5936962111779078</v>
      </c>
      <c r="M12" s="100">
        <f t="shared" si="1"/>
        <v>1.4853497185198226</v>
      </c>
      <c r="N12" s="100">
        <f t="shared" si="2"/>
        <v>1.9020092704678968</v>
      </c>
      <c r="O12" s="100">
        <f>'Data MAFHOLA'!F20</f>
        <v>2.1327565637057591</v>
      </c>
      <c r="P12" s="100">
        <f>'Data MAFHOLA'!G20</f>
        <v>34.321386513753218</v>
      </c>
      <c r="Q12" s="100">
        <f>'Data MAFHOLA'!H20</f>
        <v>21.121562254017938</v>
      </c>
      <c r="R12">
        <f>'Data MAFHOLA'!C20</f>
        <v>2578.8222123407777</v>
      </c>
      <c r="S12">
        <f t="shared" si="5"/>
        <v>544.68753900000002</v>
      </c>
      <c r="T12">
        <f>'Data MAFHOLA'!O20</f>
        <v>2.2729149797570895E-2</v>
      </c>
      <c r="U12">
        <f t="shared" si="6"/>
        <v>23964.272480540021</v>
      </c>
      <c r="V12">
        <f t="shared" si="8"/>
        <v>299.5534060067514</v>
      </c>
      <c r="W12">
        <f t="shared" si="7"/>
        <v>11.615899869842094</v>
      </c>
    </row>
    <row r="13" spans="2:23" x14ac:dyDescent="0.3">
      <c r="F13">
        <f t="shared" si="3"/>
        <v>1979</v>
      </c>
      <c r="G13">
        <f>HLOOKUP(F13,'GDP long'!$E$1:$BQ$3,3,FALSE)</f>
        <v>9669323125742</v>
      </c>
      <c r="H13">
        <f>Consumption!E33</f>
        <v>6110663563264</v>
      </c>
      <c r="I13">
        <f>Consumption!F33</f>
        <v>1164387436535</v>
      </c>
      <c r="K13">
        <f t="shared" si="4"/>
        <v>1979</v>
      </c>
      <c r="L13" s="100">
        <f t="shared" si="0"/>
        <v>1.7482555812055753</v>
      </c>
      <c r="M13" s="100">
        <f t="shared" si="1"/>
        <v>1.6172105315089154</v>
      </c>
      <c r="N13" s="100">
        <f t="shared" si="2"/>
        <v>2.084293702610744</v>
      </c>
      <c r="O13" s="100">
        <f>'Data MAFHOLA'!F21</f>
        <v>2.5972383877996013</v>
      </c>
      <c r="P13" s="100">
        <f>'Data MAFHOLA'!G21</f>
        <v>31.638922765711285</v>
      </c>
      <c r="Q13" s="100">
        <f>'Data MAFHOLA'!H21</f>
        <v>17.922903884976645</v>
      </c>
      <c r="R13">
        <f>'Data MAFHOLA'!C21</f>
        <v>3384.3639618490897</v>
      </c>
      <c r="S13">
        <f t="shared" si="5"/>
        <v>606.57629999999995</v>
      </c>
      <c r="T13">
        <f>'Data MAFHOLA'!O21</f>
        <v>2.2745903614457878E-2</v>
      </c>
      <c r="U13">
        <f t="shared" si="6"/>
        <v>26667.496278953917</v>
      </c>
      <c r="V13">
        <f t="shared" si="8"/>
        <v>333.34370348692522</v>
      </c>
      <c r="W13">
        <f t="shared" si="7"/>
        <v>9.8495229013370871</v>
      </c>
    </row>
    <row r="14" spans="2:23" x14ac:dyDescent="0.3">
      <c r="F14">
        <f t="shared" si="3"/>
        <v>1980</v>
      </c>
      <c r="G14">
        <f>HLOOKUP(F14,'GDP long'!$E$1:$BQ$3,3,FALSE)</f>
        <v>10516029243000</v>
      </c>
      <c r="H14">
        <f>Consumption!E34</f>
        <v>6740419726354</v>
      </c>
      <c r="I14">
        <f>Consumption!F34</f>
        <v>1275523626058</v>
      </c>
      <c r="K14">
        <f t="shared" si="4"/>
        <v>1980</v>
      </c>
      <c r="L14" s="100">
        <f t="shared" si="0"/>
        <v>1.9013437214908457</v>
      </c>
      <c r="M14" s="100">
        <f t="shared" si="1"/>
        <v>1.783877913649619</v>
      </c>
      <c r="N14" s="100">
        <f t="shared" si="2"/>
        <v>2.2832313179497259</v>
      </c>
      <c r="O14" s="100">
        <f>'Data MAFHOLA'!F22</f>
        <v>2.863380709461385</v>
      </c>
      <c r="P14" s="100">
        <f>'Data MAFHOLA'!G22</f>
        <v>23.426311607458693</v>
      </c>
      <c r="Q14" s="100">
        <f>'Data MAFHOLA'!H22</f>
        <v>14.836169479074535</v>
      </c>
      <c r="R14">
        <f>'Data MAFHOLA'!C22</f>
        <v>4718.1990000000005</v>
      </c>
      <c r="S14">
        <f t="shared" si="5"/>
        <v>700</v>
      </c>
      <c r="T14">
        <f>'Data MAFHOLA'!O22</f>
        <v>2.292907999999998E-2</v>
      </c>
      <c r="U14">
        <f t="shared" si="6"/>
        <v>30528.917863254897</v>
      </c>
      <c r="V14">
        <f t="shared" si="8"/>
        <v>381.61147329068768</v>
      </c>
      <c r="W14">
        <f t="shared" si="7"/>
        <v>8.0880749898570983</v>
      </c>
    </row>
    <row r="15" spans="2:23" x14ac:dyDescent="0.3">
      <c r="F15">
        <f t="shared" si="3"/>
        <v>1981</v>
      </c>
      <c r="G15">
        <f>HLOOKUP(F15,'GDP long'!$E$1:$BQ$3,3,FALSE)</f>
        <v>11524079102000</v>
      </c>
      <c r="H15">
        <f>Consumption!E35</f>
        <v>7237362746712</v>
      </c>
      <c r="I15">
        <f>Consumption!F35</f>
        <v>1406486859664</v>
      </c>
      <c r="K15">
        <f t="shared" si="4"/>
        <v>1981</v>
      </c>
      <c r="L15" s="100">
        <f t="shared" si="0"/>
        <v>2.0836035104349664</v>
      </c>
      <c r="M15" s="100">
        <f t="shared" si="1"/>
        <v>1.9153957885518222</v>
      </c>
      <c r="N15" s="100">
        <f t="shared" si="2"/>
        <v>2.5176600265682429</v>
      </c>
      <c r="O15" s="100">
        <f>'Data MAFHOLA'!F23</f>
        <v>7.6109431817268094</v>
      </c>
      <c r="P15" s="100">
        <f>'Data MAFHOLA'!G23</f>
        <v>31.206104093951385</v>
      </c>
      <c r="Q15" s="100">
        <f>'Data MAFHOLA'!H23</f>
        <v>20.102044161407662</v>
      </c>
      <c r="R15">
        <f>'Data MAFHOLA'!C23</f>
        <v>6467.0039999999999</v>
      </c>
      <c r="S15">
        <f t="shared" si="5"/>
        <v>1299.9999999999998</v>
      </c>
      <c r="T15">
        <f>'Data MAFHOLA'!O23</f>
        <v>2.4488433734939748E-2</v>
      </c>
      <c r="U15">
        <f t="shared" si="6"/>
        <v>53086.286124750324</v>
      </c>
      <c r="V15">
        <f t="shared" si="8"/>
        <v>663.57857655938153</v>
      </c>
      <c r="W15">
        <f t="shared" si="7"/>
        <v>10.26098911581594</v>
      </c>
    </row>
    <row r="16" spans="2:23" x14ac:dyDescent="0.3">
      <c r="F16">
        <f t="shared" si="3"/>
        <v>1982</v>
      </c>
      <c r="G16">
        <f>HLOOKUP(F16,'GDP long'!$E$1:$BQ$3,3,FALSE)</f>
        <v>11518364730000</v>
      </c>
      <c r="H16">
        <f>Consumption!E36</f>
        <v>7058409961630</v>
      </c>
      <c r="I16">
        <f>Consumption!F36</f>
        <v>1435052904088</v>
      </c>
      <c r="K16">
        <f t="shared" si="4"/>
        <v>1982</v>
      </c>
      <c r="L16" s="100">
        <f t="shared" si="0"/>
        <v>2.0825703271798233</v>
      </c>
      <c r="M16" s="100">
        <f t="shared" si="1"/>
        <v>1.868035248132399</v>
      </c>
      <c r="N16" s="100">
        <f t="shared" si="2"/>
        <v>2.5687942321026331</v>
      </c>
      <c r="O16" s="100">
        <f>'Data MAFHOLA'!F24</f>
        <v>3.373045291080627</v>
      </c>
      <c r="P16" s="100">
        <f>'Data MAFHOLA'!G24</f>
        <v>75.841655596660814</v>
      </c>
      <c r="Q16" s="100">
        <f>'Data MAFHOLA'!H24</f>
        <v>57.626058503655358</v>
      </c>
      <c r="R16">
        <f>'Data MAFHOLA'!C24</f>
        <v>10411.956249999999</v>
      </c>
      <c r="S16">
        <f t="shared" si="5"/>
        <v>6000</v>
      </c>
      <c r="T16">
        <f>'Data MAFHOLA'!O24</f>
        <v>5.8010273437500086E-2</v>
      </c>
      <c r="U16">
        <f t="shared" si="6"/>
        <v>103429.95549683736</v>
      </c>
      <c r="V16">
        <f t="shared" si="8"/>
        <v>1292.874443710472</v>
      </c>
      <c r="W16">
        <f t="shared" si="7"/>
        <v>12.417209721856755</v>
      </c>
    </row>
    <row r="17" spans="6:23" x14ac:dyDescent="0.3">
      <c r="F17">
        <f t="shared" si="3"/>
        <v>1983</v>
      </c>
      <c r="G17">
        <f>HLOOKUP(F17,'GDP long'!$E$1:$BQ$3,3,FALSE)</f>
        <v>10985740806000</v>
      </c>
      <c r="H17">
        <f>Consumption!E37</f>
        <v>6680170164589</v>
      </c>
      <c r="I17">
        <f>Consumption!F37</f>
        <v>1474135800735</v>
      </c>
      <c r="K17">
        <f t="shared" si="4"/>
        <v>1983</v>
      </c>
      <c r="L17" s="100">
        <f t="shared" si="0"/>
        <v>1.986269610396697</v>
      </c>
      <c r="M17" s="100">
        <f t="shared" si="1"/>
        <v>1.7679326362183885</v>
      </c>
      <c r="N17" s="100">
        <f t="shared" si="2"/>
        <v>2.63875396612685</v>
      </c>
      <c r="O17" s="100">
        <f>'Data MAFHOLA'!F25</f>
        <v>-4.6239027378694901</v>
      </c>
      <c r="P17" s="100">
        <f>'Data MAFHOLA'!G25</f>
        <v>67.30039247853864</v>
      </c>
      <c r="Q17" s="100">
        <f>'Data MAFHOLA'!H25</f>
        <v>47.987920480656605</v>
      </c>
      <c r="R17">
        <f>'Data MAFHOLA'!C25</f>
        <v>18754.71975</v>
      </c>
      <c r="S17">
        <f t="shared" si="5"/>
        <v>8999.9999999999982</v>
      </c>
      <c r="T17">
        <f>'Data MAFHOLA'!O25</f>
        <v>0.15031183266932285</v>
      </c>
      <c r="U17">
        <f t="shared" si="6"/>
        <v>59875.525699959137</v>
      </c>
      <c r="V17">
        <f t="shared" si="8"/>
        <v>748.44407124949203</v>
      </c>
      <c r="W17">
        <f t="shared" si="7"/>
        <v>3.9906971750377234</v>
      </c>
    </row>
    <row r="18" spans="6:23" x14ac:dyDescent="0.3">
      <c r="F18">
        <f t="shared" si="3"/>
        <v>1984</v>
      </c>
      <c r="G18">
        <f>HLOOKUP(F18,'GDP long'!$E$1:$BQ$3,3,FALSE)</f>
        <v>11371715290000</v>
      </c>
      <c r="H18">
        <f>Consumption!E38</f>
        <v>6897821706530</v>
      </c>
      <c r="I18">
        <f>Consumption!F38</f>
        <v>1571274563867</v>
      </c>
      <c r="K18">
        <f t="shared" si="4"/>
        <v>1984</v>
      </c>
      <c r="L18" s="100">
        <f t="shared" si="0"/>
        <v>2.0560554720419155</v>
      </c>
      <c r="M18" s="100">
        <f t="shared" si="1"/>
        <v>1.825534950955894</v>
      </c>
      <c r="N18" s="100">
        <f t="shared" si="2"/>
        <v>2.812635705076151</v>
      </c>
      <c r="O18" s="100">
        <f>'Data MAFHOLA'!F26</f>
        <v>-5.2064939805735007</v>
      </c>
      <c r="P18" s="100">
        <f>'Data MAFHOLA'!G26</f>
        <v>59.12562871677364</v>
      </c>
      <c r="Q18" s="100">
        <f>'Data MAFHOLA'!H26</f>
        <v>41.39838672589191</v>
      </c>
      <c r="R18">
        <f>'Data MAFHOLA'!C26</f>
        <v>30919.079249999999</v>
      </c>
      <c r="S18">
        <f t="shared" si="5"/>
        <v>12800</v>
      </c>
      <c r="T18">
        <f>'Data MAFHOLA'!O26</f>
        <v>0.18493605577689243</v>
      </c>
      <c r="U18">
        <f t="shared" si="6"/>
        <v>69213.112317275591</v>
      </c>
      <c r="V18">
        <f t="shared" si="8"/>
        <v>865.16390396594818</v>
      </c>
      <c r="W18">
        <f t="shared" si="7"/>
        <v>2.7981554591925573</v>
      </c>
    </row>
    <row r="19" spans="6:23" x14ac:dyDescent="0.3">
      <c r="F19">
        <f t="shared" si="3"/>
        <v>1985</v>
      </c>
      <c r="G19">
        <f>HLOOKUP(F19,'GDP long'!$E$1:$BQ$3,3,FALSE)</f>
        <v>11589963045000</v>
      </c>
      <c r="H19">
        <f>Consumption!E39</f>
        <v>7125090005516</v>
      </c>
      <c r="I19">
        <f>Consumption!F39</f>
        <v>1585486526261</v>
      </c>
      <c r="K19">
        <f t="shared" si="4"/>
        <v>1985</v>
      </c>
      <c r="L19" s="100">
        <f t="shared" si="0"/>
        <v>2.0955156132330353</v>
      </c>
      <c r="M19" s="100">
        <f t="shared" si="1"/>
        <v>1.8856823773021671</v>
      </c>
      <c r="N19" s="100">
        <f t="shared" si="2"/>
        <v>2.838075608316351</v>
      </c>
      <c r="O19" s="100">
        <f>'Data MAFHOLA'!F27</f>
        <v>-3.4937814200058046</v>
      </c>
      <c r="P19" s="100">
        <f>'Data MAFHOLA'!G27</f>
        <v>69.923482956719312</v>
      </c>
      <c r="Q19" s="100">
        <f>'Data MAFHOLA'!H27</f>
        <v>53.437588206914491</v>
      </c>
      <c r="R19">
        <f>'Data MAFHOLA'!C27</f>
        <v>50151.964</v>
      </c>
      <c r="S19">
        <f t="shared" si="5"/>
        <v>26800</v>
      </c>
      <c r="T19">
        <f>'Data MAFHOLA'!O27</f>
        <v>0.31028244979919689</v>
      </c>
      <c r="U19">
        <f t="shared" si="6"/>
        <v>86372.916087725709</v>
      </c>
      <c r="V19">
        <f t="shared" si="8"/>
        <v>1079.6614510965755</v>
      </c>
      <c r="W19">
        <f t="shared" si="7"/>
        <v>2.1527800009917368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A124-640B-48BF-81CD-C0E8FF14FABD}">
  <dimension ref="A1:P60"/>
  <sheetViews>
    <sheetView workbookViewId="0">
      <selection activeCell="P2" sqref="P2"/>
    </sheetView>
  </sheetViews>
  <sheetFormatPr defaultColWidth="11.44140625" defaultRowHeight="14.4" x14ac:dyDescent="0.3"/>
  <cols>
    <col min="2" max="2" width="17.44140625" bestFit="1" customWidth="1"/>
    <col min="3" max="3" width="17.44140625" customWidth="1"/>
    <col min="4" max="4" width="12.5546875" bestFit="1" customWidth="1"/>
    <col min="6" max="9" width="13.44140625" bestFit="1" customWidth="1"/>
    <col min="10" max="10" width="13.44140625" customWidth="1"/>
  </cols>
  <sheetData>
    <row r="1" spans="1:16" x14ac:dyDescent="0.3">
      <c r="A1" t="s">
        <v>19</v>
      </c>
      <c r="B1" t="s">
        <v>7477</v>
      </c>
      <c r="C1" t="s">
        <v>7478</v>
      </c>
      <c r="D1" t="s">
        <v>7479</v>
      </c>
      <c r="E1" t="s">
        <v>7480</v>
      </c>
      <c r="F1" t="s">
        <v>7481</v>
      </c>
      <c r="G1" t="s">
        <v>7482</v>
      </c>
      <c r="H1" s="50" t="s">
        <v>7483</v>
      </c>
      <c r="I1" t="s">
        <v>7484</v>
      </c>
      <c r="J1" t="s">
        <v>7485</v>
      </c>
      <c r="K1" t="s">
        <v>7486</v>
      </c>
      <c r="L1" t="s">
        <v>7487</v>
      </c>
      <c r="M1" t="s">
        <v>7488</v>
      </c>
      <c r="N1" t="s">
        <v>7489</v>
      </c>
      <c r="O1" t="s">
        <v>7490</v>
      </c>
      <c r="P1" t="s">
        <v>7491</v>
      </c>
    </row>
    <row r="2" spans="1:16" x14ac:dyDescent="0.3">
      <c r="A2">
        <v>1960</v>
      </c>
      <c r="B2" s="50">
        <v>3380</v>
      </c>
      <c r="C2" s="50">
        <v>186.48291643271858</v>
      </c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>
        <v>1.2500000000000048E-2</v>
      </c>
      <c r="P2" s="50">
        <v>14.7</v>
      </c>
    </row>
    <row r="3" spans="1:16" x14ac:dyDescent="0.3">
      <c r="A3">
        <v>1961</v>
      </c>
      <c r="B3" s="50">
        <v>3416.7935711761343</v>
      </c>
      <c r="C3" s="50">
        <v>202.28520761124361</v>
      </c>
      <c r="D3" s="50">
        <v>3.982560083310327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>
        <v>1.2500000000000048E-2</v>
      </c>
      <c r="P3" s="50">
        <v>15.9</v>
      </c>
    </row>
    <row r="4" spans="1:16" x14ac:dyDescent="0.3">
      <c r="A4">
        <v>1962</v>
      </c>
      <c r="B4" s="50">
        <v>3458.9061240136216</v>
      </c>
      <c r="C4" s="50">
        <v>218.10151101870105</v>
      </c>
      <c r="D4" s="50">
        <v>3.2166682578895323</v>
      </c>
      <c r="E4" s="50"/>
      <c r="F4" s="50"/>
      <c r="G4" s="50">
        <v>5.5031241846696135</v>
      </c>
      <c r="H4" s="50"/>
      <c r="I4" s="50">
        <v>5.5031241846696135</v>
      </c>
      <c r="J4" s="50"/>
      <c r="K4" s="50"/>
      <c r="L4" s="50"/>
      <c r="M4" s="50"/>
      <c r="N4" s="50"/>
      <c r="O4" s="50">
        <v>1.2500000000000048E-2</v>
      </c>
      <c r="P4" s="50">
        <v>18.399999999999999</v>
      </c>
    </row>
    <row r="5" spans="1:16" x14ac:dyDescent="0.3">
      <c r="A5">
        <v>1963</v>
      </c>
      <c r="B5" s="50">
        <v>3605.3406204926591</v>
      </c>
      <c r="C5" s="50">
        <v>242.8225859127048</v>
      </c>
      <c r="D5" s="50">
        <v>3.5265743524542259</v>
      </c>
      <c r="E5" s="50"/>
      <c r="F5" s="50"/>
      <c r="G5" s="50">
        <v>5.0282814319379039</v>
      </c>
      <c r="H5" s="50"/>
      <c r="I5" s="50">
        <v>5.0282814319379039</v>
      </c>
      <c r="J5" s="50"/>
      <c r="K5" s="50"/>
      <c r="L5" s="50"/>
      <c r="M5" s="50"/>
      <c r="N5" s="50"/>
      <c r="O5" s="50">
        <v>1.2500000000000048E-2</v>
      </c>
      <c r="P5" s="50">
        <v>21.8</v>
      </c>
    </row>
    <row r="6" spans="1:16" x14ac:dyDescent="0.3">
      <c r="A6">
        <v>1964</v>
      </c>
      <c r="B6" s="50">
        <v>3879.820466410667</v>
      </c>
      <c r="C6" s="50">
        <v>286.66801792795906</v>
      </c>
      <c r="D6" s="50">
        <v>6.3463574399255762</v>
      </c>
      <c r="E6" s="50"/>
      <c r="F6" s="50"/>
      <c r="G6" s="50">
        <v>11.070119097825213</v>
      </c>
      <c r="H6" s="50">
        <v>6.2790401699165068</v>
      </c>
      <c r="I6" s="50">
        <v>4.7910789279087069</v>
      </c>
      <c r="J6" s="50"/>
      <c r="K6" s="50"/>
      <c r="L6" s="50"/>
      <c r="M6" s="50"/>
      <c r="N6" s="50"/>
      <c r="O6" s="50">
        <v>1.2500000000000049E-2</v>
      </c>
      <c r="P6" s="50">
        <v>27.7</v>
      </c>
    </row>
    <row r="7" spans="1:16" x14ac:dyDescent="0.3">
      <c r="A7">
        <v>1965</v>
      </c>
      <c r="B7" s="50">
        <v>3992.9776232865197</v>
      </c>
      <c r="C7" s="50">
        <v>312.2625217587497</v>
      </c>
      <c r="D7" s="50">
        <v>2.6184828404224314</v>
      </c>
      <c r="E7" s="50">
        <v>0.61865490306325077</v>
      </c>
      <c r="F7" s="50">
        <v>0</v>
      </c>
      <c r="G7" s="50">
        <v>14.260326134944584</v>
      </c>
      <c r="H7" s="50">
        <v>6.2623589567716236</v>
      </c>
      <c r="I7" s="50">
        <v>7.99796717817296</v>
      </c>
      <c r="J7" s="50"/>
      <c r="K7" s="50"/>
      <c r="L7" s="50"/>
      <c r="M7" s="50"/>
      <c r="N7" s="50"/>
      <c r="O7" s="50">
        <v>1.2500000000000048E-2</v>
      </c>
      <c r="P7" s="50">
        <v>30.9</v>
      </c>
    </row>
    <row r="8" spans="1:16" x14ac:dyDescent="0.3">
      <c r="A8">
        <v>1966</v>
      </c>
      <c r="B8" s="50">
        <v>4108.5976103571402</v>
      </c>
      <c r="C8" s="50">
        <v>347.03153248303562</v>
      </c>
      <c r="D8" s="50">
        <v>4.7489057030378978</v>
      </c>
      <c r="E8" s="50">
        <v>0.85065049171196971</v>
      </c>
      <c r="F8" s="50">
        <v>0.191596868986458</v>
      </c>
      <c r="G8" s="50">
        <v>13.956673808126546</v>
      </c>
      <c r="H8" s="50">
        <v>6.3646954044672395</v>
      </c>
      <c r="I8" s="50">
        <v>7.591978403659307</v>
      </c>
      <c r="J8" s="50"/>
      <c r="K8" s="50"/>
      <c r="L8" s="50"/>
      <c r="M8" s="50"/>
      <c r="N8" s="50"/>
      <c r="O8" s="50">
        <v>1.2500000000000048E-2</v>
      </c>
      <c r="P8" s="50">
        <v>34.799999999999997</v>
      </c>
    </row>
    <row r="9" spans="1:16" x14ac:dyDescent="0.3">
      <c r="A9">
        <v>1967</v>
      </c>
      <c r="B9" s="50">
        <v>4219.0561495976081</v>
      </c>
      <c r="C9" s="50">
        <v>379.527059063038</v>
      </c>
      <c r="D9" s="50">
        <v>3.3148474509009818</v>
      </c>
      <c r="E9" s="50">
        <v>1.6239691205410329</v>
      </c>
      <c r="F9" s="50">
        <v>0.76638747594583201</v>
      </c>
      <c r="G9" s="50">
        <v>15.455649761788674</v>
      </c>
      <c r="H9" s="50">
        <v>7.1279502617774302</v>
      </c>
      <c r="I9" s="50">
        <v>8.3276995000112439</v>
      </c>
      <c r="J9" s="50"/>
      <c r="K9" s="50"/>
      <c r="L9" s="50"/>
      <c r="M9" s="50"/>
      <c r="N9" s="50"/>
      <c r="O9" s="50">
        <v>1.2500000000000048E-2</v>
      </c>
      <c r="P9" s="50">
        <v>40.6</v>
      </c>
    </row>
    <row r="10" spans="1:16" x14ac:dyDescent="0.3">
      <c r="A10">
        <v>1968</v>
      </c>
      <c r="B10" s="50">
        <v>4478.3774631570477</v>
      </c>
      <c r="C10" s="50">
        <v>420.20098279212073</v>
      </c>
      <c r="D10" s="50">
        <v>1.1823110369293621</v>
      </c>
      <c r="E10" s="50">
        <v>1.4693053947752202</v>
      </c>
      <c r="F10" s="50">
        <v>0.6705890414526029</v>
      </c>
      <c r="G10" s="50">
        <v>15.490432594300096</v>
      </c>
      <c r="H10" s="50">
        <v>7.3961630916449081</v>
      </c>
      <c r="I10" s="50">
        <v>8.0942695026551874</v>
      </c>
      <c r="J10" s="50"/>
      <c r="K10" s="50"/>
      <c r="L10" s="50"/>
      <c r="M10" s="50"/>
      <c r="N10" s="50"/>
      <c r="O10" s="50">
        <v>1.2500000000000049E-2</v>
      </c>
      <c r="P10" s="50">
        <v>47</v>
      </c>
    </row>
    <row r="11" spans="1:16" x14ac:dyDescent="0.3">
      <c r="A11">
        <v>1969</v>
      </c>
      <c r="B11" s="50">
        <v>4490.9926775887361</v>
      </c>
      <c r="C11" s="50">
        <v>464.50146235022208</v>
      </c>
      <c r="D11" s="50">
        <v>6.8885740332679468</v>
      </c>
      <c r="E11" s="50">
        <v>1.5466372576581267</v>
      </c>
      <c r="F11" s="50">
        <v>0.6705890414526029</v>
      </c>
      <c r="G11" s="50">
        <v>17.150172056925907</v>
      </c>
      <c r="H11" s="50">
        <v>8.2292528868680588</v>
      </c>
      <c r="I11" s="50">
        <v>8.9209191700578483</v>
      </c>
      <c r="J11" s="50"/>
      <c r="K11" s="50"/>
      <c r="L11" s="50"/>
      <c r="M11" s="50"/>
      <c r="N11" s="50"/>
      <c r="O11" s="50">
        <v>1.2500000000000048E-2</v>
      </c>
      <c r="P11" s="50">
        <v>52.8</v>
      </c>
    </row>
    <row r="12" spans="1:16" x14ac:dyDescent="0.3">
      <c r="A12">
        <v>1970</v>
      </c>
      <c r="B12" s="50">
        <v>4635.3469123474924</v>
      </c>
      <c r="C12" s="50">
        <v>518.76970468401692</v>
      </c>
      <c r="D12" s="50">
        <v>4.8643292326283838</v>
      </c>
      <c r="E12" s="50">
        <v>2.6292833380188152</v>
      </c>
      <c r="F12" s="50">
        <v>1.2453796484119768</v>
      </c>
      <c r="G12" s="50">
        <v>17.100429959385245</v>
      </c>
      <c r="H12" s="50">
        <v>8.2857093642701134</v>
      </c>
      <c r="I12" s="50">
        <v>8.8147205951151335</v>
      </c>
      <c r="J12" s="50"/>
      <c r="K12" s="50"/>
      <c r="L12" s="50"/>
      <c r="M12" s="50"/>
      <c r="N12" s="50"/>
      <c r="O12" s="50">
        <v>1.2500000000000048E-2</v>
      </c>
      <c r="P12" s="50">
        <v>58.3</v>
      </c>
    </row>
    <row r="13" spans="1:16" x14ac:dyDescent="0.3">
      <c r="A13">
        <v>1971</v>
      </c>
      <c r="B13" s="50">
        <v>4658.5365978459167</v>
      </c>
      <c r="C13" s="50">
        <v>560.52403725590943</v>
      </c>
      <c r="D13" s="50">
        <v>4.1308332814346427</v>
      </c>
      <c r="E13" s="50">
        <v>1.7786328463068455</v>
      </c>
      <c r="F13" s="50">
        <v>0.38319373797291595</v>
      </c>
      <c r="G13" s="50">
        <v>17.455718844637016</v>
      </c>
      <c r="H13" s="50">
        <v>7.6218854429778675</v>
      </c>
      <c r="I13" s="50">
        <v>9.8338334016591489</v>
      </c>
      <c r="J13" s="50"/>
      <c r="K13" s="50"/>
      <c r="L13" s="50"/>
      <c r="M13" s="50"/>
      <c r="N13" s="50"/>
      <c r="O13" s="50">
        <v>1.2500000000000048E-2</v>
      </c>
      <c r="P13" s="50">
        <v>69.7</v>
      </c>
    </row>
    <row r="14" spans="1:16" x14ac:dyDescent="0.3">
      <c r="A14">
        <v>1972</v>
      </c>
      <c r="B14" s="50">
        <v>4881.9811036102474</v>
      </c>
      <c r="C14" s="50">
        <v>634.7401951507569</v>
      </c>
      <c r="D14" s="50">
        <v>4.6306412787757045</v>
      </c>
      <c r="E14" s="50">
        <v>3.4799338297307849</v>
      </c>
      <c r="F14" s="50">
        <v>2.1075655588510376</v>
      </c>
      <c r="G14" s="50">
        <v>15.358898135771188</v>
      </c>
      <c r="H14" s="50">
        <v>7.1852232375433198</v>
      </c>
      <c r="I14" s="50">
        <v>8.1736748982278691</v>
      </c>
      <c r="J14" s="50"/>
      <c r="K14" s="50"/>
      <c r="L14" s="50"/>
      <c r="M14" s="50"/>
      <c r="N14" s="50"/>
      <c r="O14" s="50">
        <v>1.2500000000000048E-2</v>
      </c>
      <c r="P14" s="50">
        <v>83.1</v>
      </c>
    </row>
    <row r="15" spans="1:16" x14ac:dyDescent="0.3">
      <c r="A15">
        <v>1973</v>
      </c>
      <c r="B15" s="50">
        <v>5100.0629602778954</v>
      </c>
      <c r="C15" s="50">
        <v>767.68499885888923</v>
      </c>
      <c r="D15" s="50">
        <v>12.130079018714678</v>
      </c>
      <c r="E15" s="50">
        <v>4.8719073616230988</v>
      </c>
      <c r="F15" s="50">
        <v>3.3529452072630139</v>
      </c>
      <c r="G15" s="50">
        <v>18.598331374486616</v>
      </c>
      <c r="H15" s="50">
        <v>9.0375609922205822</v>
      </c>
      <c r="I15" s="50">
        <v>9.5607703822660319</v>
      </c>
      <c r="J15" s="50"/>
      <c r="K15" s="50"/>
      <c r="L15" s="50"/>
      <c r="M15" s="50"/>
      <c r="N15" s="50"/>
      <c r="O15" s="50">
        <v>1.2500000000000048E-2</v>
      </c>
      <c r="P15" s="50">
        <v>102.7</v>
      </c>
    </row>
    <row r="16" spans="1:16" x14ac:dyDescent="0.3">
      <c r="A16">
        <v>1974</v>
      </c>
      <c r="B16" s="50">
        <v>5229.6524152012771</v>
      </c>
      <c r="C16" s="50">
        <v>1008.1750864613914</v>
      </c>
      <c r="D16" s="50">
        <v>24.154472960013184</v>
      </c>
      <c r="E16" s="50">
        <v>5.1812348131547248</v>
      </c>
      <c r="F16" s="50">
        <v>3.5445420762494719</v>
      </c>
      <c r="G16" s="50">
        <v>17.314492526560255</v>
      </c>
      <c r="H16" s="50">
        <v>10.492969070611048</v>
      </c>
      <c r="I16" s="50">
        <v>6.8215234559492046</v>
      </c>
      <c r="J16" s="50"/>
      <c r="K16" s="50"/>
      <c r="L16" s="50"/>
      <c r="M16" s="50"/>
      <c r="N16" s="50"/>
      <c r="O16" s="50">
        <v>1.2500000000000048E-2</v>
      </c>
      <c r="P16" s="50">
        <v>131.6</v>
      </c>
    </row>
    <row r="17" spans="1:16" x14ac:dyDescent="0.3">
      <c r="A17">
        <v>1975</v>
      </c>
      <c r="B17" s="50">
        <v>5367.9794242825437</v>
      </c>
      <c r="C17" s="50">
        <v>1240.1160673948712</v>
      </c>
      <c r="D17" s="50">
        <v>16.32381756688892</v>
      </c>
      <c r="E17" s="50">
        <v>7.1918632481102902</v>
      </c>
      <c r="F17" s="50">
        <v>5.7479060695937383</v>
      </c>
      <c r="G17" s="50">
        <v>22.239732816249507</v>
      </c>
      <c r="H17" s="50">
        <v>12.878834828381043</v>
      </c>
      <c r="I17" s="50">
        <v>9.3608979878684622</v>
      </c>
      <c r="J17" s="50"/>
      <c r="K17" s="50"/>
      <c r="L17" s="50"/>
      <c r="M17" s="50"/>
      <c r="N17" s="50"/>
      <c r="O17" s="50">
        <v>1.2500000000000048E-2</v>
      </c>
      <c r="P17" s="50">
        <v>175.3</v>
      </c>
    </row>
    <row r="18" spans="1:16" x14ac:dyDescent="0.3">
      <c r="A18">
        <v>1976</v>
      </c>
      <c r="B18" s="50">
        <v>5448.3520043514927</v>
      </c>
      <c r="C18" s="50">
        <v>1512.5723799337184</v>
      </c>
      <c r="D18" s="50">
        <v>16.810201404672842</v>
      </c>
      <c r="E18" s="50">
        <v>7.0371995223444763</v>
      </c>
      <c r="F18" s="50">
        <v>4.4067279866885327</v>
      </c>
      <c r="G18" s="50">
        <v>28.240598180083012</v>
      </c>
      <c r="H18" s="50">
        <v>18.143071474835839</v>
      </c>
      <c r="I18" s="50">
        <v>10.097526705247176</v>
      </c>
      <c r="J18" s="50"/>
      <c r="K18" s="50"/>
      <c r="L18" s="50"/>
      <c r="M18" s="50"/>
      <c r="N18" s="50"/>
      <c r="O18" s="50">
        <v>1.5370930232558127E-2</v>
      </c>
      <c r="P18" s="50">
        <v>231</v>
      </c>
    </row>
    <row r="19" spans="1:16" x14ac:dyDescent="0.3">
      <c r="A19">
        <v>1977</v>
      </c>
      <c r="B19" s="50">
        <v>5482.3248997041528</v>
      </c>
      <c r="C19" s="50">
        <v>2040.2686796344262</v>
      </c>
      <c r="D19" s="50">
        <v>30.463785131801501</v>
      </c>
      <c r="E19" s="50">
        <v>4.8719073616230988</v>
      </c>
      <c r="F19" s="50">
        <v>2.107565558851038</v>
      </c>
      <c r="G19" s="50">
        <v>36.709275718245081</v>
      </c>
      <c r="H19" s="50">
        <v>23.13263246704188</v>
      </c>
      <c r="I19" s="50">
        <v>13.576643251203201</v>
      </c>
      <c r="J19" s="50"/>
      <c r="K19" s="50"/>
      <c r="L19" s="50"/>
      <c r="M19" s="50"/>
      <c r="N19" s="50"/>
      <c r="O19" s="50">
        <v>2.2549322709163305E-2</v>
      </c>
      <c r="P19" s="50">
        <v>293.3</v>
      </c>
    </row>
    <row r="20" spans="1:16" x14ac:dyDescent="0.3">
      <c r="A20">
        <v>1978</v>
      </c>
      <c r="B20" s="50">
        <v>5820.1844843537674</v>
      </c>
      <c r="C20" s="50">
        <v>2578.8222123407777</v>
      </c>
      <c r="D20" s="50">
        <v>16.005647502154229</v>
      </c>
      <c r="E20" s="50">
        <v>4.9906503590714753</v>
      </c>
      <c r="F20" s="50">
        <v>2.1327565637057591</v>
      </c>
      <c r="G20" s="50">
        <v>34.321386513753218</v>
      </c>
      <c r="H20" s="50">
        <v>21.121562254017938</v>
      </c>
      <c r="I20" s="50">
        <v>13.19982425973528</v>
      </c>
      <c r="J20" s="50"/>
      <c r="K20" s="50"/>
      <c r="L20" s="50"/>
      <c r="M20" s="50"/>
      <c r="N20" s="50"/>
      <c r="O20" s="50">
        <v>2.2729149797570895E-2</v>
      </c>
      <c r="P20" s="50">
        <v>377</v>
      </c>
    </row>
    <row r="21" spans="1:16" x14ac:dyDescent="0.3">
      <c r="A21">
        <v>1979</v>
      </c>
      <c r="B21" s="50">
        <v>6227.145489479858</v>
      </c>
      <c r="C21" s="50">
        <v>3384.3639618490897</v>
      </c>
      <c r="D21" s="50">
        <v>19.634455234565309</v>
      </c>
      <c r="E21" s="50">
        <v>5.6672391670075477</v>
      </c>
      <c r="F21" s="50">
        <v>2.5972383877996013</v>
      </c>
      <c r="G21" s="50">
        <v>31.638922765711285</v>
      </c>
      <c r="H21" s="50">
        <v>17.922903884976645</v>
      </c>
      <c r="I21" s="50">
        <v>13.716018880734641</v>
      </c>
      <c r="J21" s="50"/>
      <c r="K21" s="50"/>
      <c r="L21" s="50"/>
      <c r="M21" s="50"/>
      <c r="N21" s="50"/>
      <c r="O21" s="50">
        <v>2.2745903614457878E-2</v>
      </c>
      <c r="P21" s="50">
        <v>509.1</v>
      </c>
    </row>
    <row r="22" spans="1:16" x14ac:dyDescent="0.3">
      <c r="A22">
        <v>1980</v>
      </c>
      <c r="B22" s="50">
        <v>6640.1846546668221</v>
      </c>
      <c r="C22" s="50">
        <v>4718.1990000000005</v>
      </c>
      <c r="D22" s="50">
        <v>27.627519657766243</v>
      </c>
      <c r="E22" s="50">
        <v>6.2015188422531562</v>
      </c>
      <c r="F22" s="50">
        <v>2.863380709461385</v>
      </c>
      <c r="G22" s="50">
        <v>23.426311607458693</v>
      </c>
      <c r="H22" s="50">
        <v>14.836169479074535</v>
      </c>
      <c r="I22" s="50">
        <v>8.5901421283841568</v>
      </c>
      <c r="J22" s="50"/>
      <c r="K22" s="50">
        <v>3.0668481766029787</v>
      </c>
      <c r="L22" s="50">
        <v>1.0724431080588164</v>
      </c>
      <c r="M22" s="50">
        <v>1.9944050685441623</v>
      </c>
      <c r="N22" s="50"/>
      <c r="O22" s="50">
        <v>2.292907999999998E-2</v>
      </c>
      <c r="P22" s="50">
        <v>718.1</v>
      </c>
    </row>
    <row r="23" spans="1:16" x14ac:dyDescent="0.3">
      <c r="A23">
        <v>1981</v>
      </c>
      <c r="B23" s="50">
        <v>7040.7076700935304</v>
      </c>
      <c r="C23" s="50">
        <v>6467.0039999999999</v>
      </c>
      <c r="D23" s="50">
        <v>26.297470663110055</v>
      </c>
      <c r="E23" s="50">
        <v>12.325645693121576</v>
      </c>
      <c r="F23" s="50">
        <v>7.6109431817268094</v>
      </c>
      <c r="G23" s="50">
        <v>31.206104093951385</v>
      </c>
      <c r="H23" s="50">
        <v>20.102044161407662</v>
      </c>
      <c r="I23" s="50">
        <v>11.104059932543723</v>
      </c>
      <c r="J23" s="50"/>
      <c r="K23" s="50">
        <v>4.4348202042243976</v>
      </c>
      <c r="L23" s="50">
        <v>1.8803142846362859</v>
      </c>
      <c r="M23" s="50">
        <v>2.5545059195881121</v>
      </c>
      <c r="N23" s="50"/>
      <c r="O23" s="50">
        <v>2.4488433734939748E-2</v>
      </c>
      <c r="P23" s="50">
        <v>1041.9000000000001</v>
      </c>
    </row>
    <row r="24" spans="1:16" x14ac:dyDescent="0.3">
      <c r="A24">
        <v>1982</v>
      </c>
      <c r="B24" s="50">
        <v>6848.6881781002476</v>
      </c>
      <c r="C24" s="50">
        <v>10411.956249999999</v>
      </c>
      <c r="D24" s="50">
        <v>61.844131362298917</v>
      </c>
      <c r="E24" s="50">
        <v>14.711932735983213</v>
      </c>
      <c r="F24" s="50">
        <v>3.373045291080627</v>
      </c>
      <c r="G24" s="50">
        <v>75.841655596660814</v>
      </c>
      <c r="H24" s="50">
        <v>57.626058503655358</v>
      </c>
      <c r="I24" s="50">
        <v>18.215597093005456</v>
      </c>
      <c r="J24" s="50"/>
      <c r="K24" s="50">
        <v>11.108383210887965</v>
      </c>
      <c r="L24" s="50">
        <v>3.051299797768551</v>
      </c>
      <c r="M24" s="50">
        <v>8.0570834131194129</v>
      </c>
      <c r="N24" s="50"/>
      <c r="O24" s="50">
        <v>5.8010273437500086E-2</v>
      </c>
      <c r="P24" s="50">
        <v>1983.4</v>
      </c>
    </row>
    <row r="25" spans="1:16" x14ac:dyDescent="0.3">
      <c r="A25">
        <v>1983</v>
      </c>
      <c r="B25" s="50">
        <v>6467.9087331461023</v>
      </c>
      <c r="C25" s="50">
        <v>18754.71975</v>
      </c>
      <c r="D25" s="50">
        <v>86.633597353204308</v>
      </c>
      <c r="E25" s="50">
        <v>7.7580471443728189</v>
      </c>
      <c r="F25" s="50">
        <v>-4.6239027378694901</v>
      </c>
      <c r="G25" s="50">
        <v>67.30039247853864</v>
      </c>
      <c r="H25" s="50">
        <v>47.987920480656605</v>
      </c>
      <c r="I25" s="50">
        <v>19.312471997882028</v>
      </c>
      <c r="J25" s="50"/>
      <c r="K25" s="50">
        <v>12.078026385864817</v>
      </c>
      <c r="L25" s="50">
        <v>4.3093152591629638</v>
      </c>
      <c r="M25" s="50">
        <v>7.768711126701854</v>
      </c>
      <c r="N25" s="50"/>
      <c r="O25" s="50">
        <v>0.15031183266932285</v>
      </c>
      <c r="P25" s="50">
        <v>3136.3</v>
      </c>
    </row>
    <row r="26" spans="1:16" x14ac:dyDescent="0.3">
      <c r="A26">
        <v>1984</v>
      </c>
      <c r="B26" s="50">
        <v>6548.705680853087</v>
      </c>
      <c r="C26" s="50">
        <v>30919.079249999999</v>
      </c>
      <c r="D26" s="50">
        <v>59.422647190720632</v>
      </c>
      <c r="E26" s="50">
        <v>6.810681466201812</v>
      </c>
      <c r="F26" s="50">
        <v>-5.2064939805735007</v>
      </c>
      <c r="G26" s="50">
        <v>59.12562871677364</v>
      </c>
      <c r="H26" s="50">
        <v>41.39838672589191</v>
      </c>
      <c r="I26" s="50">
        <v>17.72724199088173</v>
      </c>
      <c r="J26" s="50"/>
      <c r="K26" s="50">
        <v>11.831206131405095</v>
      </c>
      <c r="L26" s="50">
        <v>3.759167569648763</v>
      </c>
      <c r="M26" s="50">
        <v>8.0720385617563313</v>
      </c>
      <c r="N26" s="50"/>
      <c r="O26" s="50">
        <v>0.18493605577689243</v>
      </c>
      <c r="P26" s="50">
        <v>4857.8999999999996</v>
      </c>
    </row>
    <row r="27" spans="1:16" x14ac:dyDescent="0.3">
      <c r="A27">
        <v>1985</v>
      </c>
      <c r="B27" s="50">
        <v>6555.2869242463876</v>
      </c>
      <c r="C27" s="50">
        <v>50151.964</v>
      </c>
      <c r="D27" s="50">
        <v>58.731382038879929</v>
      </c>
      <c r="E27" s="50">
        <v>7.7797551457805332</v>
      </c>
      <c r="F27" s="50">
        <v>-3.4937814200058046</v>
      </c>
      <c r="G27" s="50">
        <v>69.923482956719312</v>
      </c>
      <c r="H27" s="50">
        <v>53.437588206914491</v>
      </c>
      <c r="I27" s="50">
        <v>16.485894749804814</v>
      </c>
      <c r="J27" s="50"/>
      <c r="K27" s="50">
        <v>11.074940155883027</v>
      </c>
      <c r="L27" s="50">
        <v>3.4030571564455583</v>
      </c>
      <c r="M27" s="50">
        <v>7.6718829994374698</v>
      </c>
      <c r="N27" s="50"/>
      <c r="O27" s="50">
        <v>0.31028244979919689</v>
      </c>
      <c r="P27" s="50">
        <v>5744.9</v>
      </c>
    </row>
    <row r="28" spans="1:16" x14ac:dyDescent="0.3">
      <c r="A28">
        <v>1986</v>
      </c>
      <c r="B28" s="50">
        <v>6226.8072564216745</v>
      </c>
      <c r="C28" s="50">
        <v>82317.749000000011</v>
      </c>
      <c r="D28" s="50">
        <v>69.350878775491864</v>
      </c>
      <c r="E28" s="50">
        <v>14.313438041168983</v>
      </c>
      <c r="F28" s="50">
        <v>-2.8988887925008733</v>
      </c>
      <c r="G28" s="50">
        <v>108.53175783511767</v>
      </c>
      <c r="H28" s="50">
        <v>85.279299850631233</v>
      </c>
      <c r="I28" s="50">
        <v>23.252457984486426</v>
      </c>
      <c r="J28" s="50"/>
      <c r="K28" s="50">
        <v>16.265507940456438</v>
      </c>
      <c r="L28" s="50">
        <v>4.4359813580422367</v>
      </c>
      <c r="M28" s="50">
        <v>11.8295265824142</v>
      </c>
      <c r="N28" s="50"/>
      <c r="O28" s="50">
        <v>0.63533629032258065</v>
      </c>
      <c r="P28" s="50">
        <v>8535.2999999999993</v>
      </c>
    </row>
    <row r="29" spans="1:16" x14ac:dyDescent="0.3">
      <c r="A29">
        <v>1987</v>
      </c>
      <c r="B29" s="50">
        <v>6210.6154950133687</v>
      </c>
      <c r="C29" s="50">
        <v>203340.64575</v>
      </c>
      <c r="D29" s="50">
        <v>142.83648970349483</v>
      </c>
      <c r="E29" s="50">
        <v>14.29158439662327</v>
      </c>
      <c r="F29" s="50">
        <v>-5.367151245018607</v>
      </c>
      <c r="G29" s="50">
        <v>104.98712601831107</v>
      </c>
      <c r="H29" s="50">
        <v>82.865872378100292</v>
      </c>
      <c r="I29" s="50">
        <v>22.121253640210789</v>
      </c>
      <c r="J29" s="50"/>
      <c r="K29" s="50">
        <v>18.872124586040862</v>
      </c>
      <c r="L29" s="50">
        <v>4.1518015096595606</v>
      </c>
      <c r="M29" s="50">
        <v>14.720323076381302</v>
      </c>
      <c r="N29" s="50"/>
      <c r="O29" s="50">
        <v>1.3979778225806461</v>
      </c>
      <c r="P29" s="50">
        <v>14754.2</v>
      </c>
    </row>
    <row r="30" spans="1:16" x14ac:dyDescent="0.3">
      <c r="A30">
        <v>1988</v>
      </c>
      <c r="B30" s="50">
        <v>6169.1677647296483</v>
      </c>
      <c r="C30" s="50">
        <v>412821.2145</v>
      </c>
      <c r="D30" s="50">
        <v>100.44726411127915</v>
      </c>
      <c r="E30" s="50">
        <v>10.289999280063647</v>
      </c>
      <c r="F30" s="50">
        <v>-7.5961696973303194</v>
      </c>
      <c r="G30" s="50">
        <v>61.029058379459812</v>
      </c>
      <c r="H30" s="50">
        <v>45.661413071590097</v>
      </c>
      <c r="I30" s="50">
        <v>15.367645307869706</v>
      </c>
      <c r="J30" s="50"/>
      <c r="K30" s="50">
        <v>16.2148159176059</v>
      </c>
      <c r="L30" s="50">
        <v>3.6160932325342019</v>
      </c>
      <c r="M30" s="50">
        <v>12.598722685071698</v>
      </c>
      <c r="N30" s="50"/>
      <c r="O30" s="50">
        <v>2.2870705645161298</v>
      </c>
      <c r="P30" s="50">
        <v>20750.8</v>
      </c>
    </row>
    <row r="31" spans="1:16" x14ac:dyDescent="0.3">
      <c r="A31">
        <v>1989</v>
      </c>
      <c r="B31" s="50">
        <v>6298.5975825640944</v>
      </c>
      <c r="C31" s="50">
        <v>544977.74824999995</v>
      </c>
      <c r="D31" s="50">
        <v>26.806947901725465</v>
      </c>
      <c r="E31" s="50">
        <v>4.6365379285923893</v>
      </c>
      <c r="F31" s="50">
        <v>-7.7891804089819532</v>
      </c>
      <c r="G31" s="50">
        <v>53.031229426897987</v>
      </c>
      <c r="H31" s="50">
        <v>38.478635260499374</v>
      </c>
      <c r="I31" s="50">
        <v>14.552594166398611</v>
      </c>
      <c r="J31" s="50"/>
      <c r="K31" s="50">
        <v>12.314154149503846</v>
      </c>
      <c r="L31" s="50">
        <v>3.2847396168894862</v>
      </c>
      <c r="M31" s="50">
        <v>9.0294145326143607</v>
      </c>
      <c r="N31" s="50"/>
      <c r="O31" s="50">
        <v>2.4816270161290328</v>
      </c>
      <c r="P31" s="50">
        <v>22960</v>
      </c>
    </row>
    <row r="32" spans="1:16" x14ac:dyDescent="0.3">
      <c r="A32">
        <v>1990</v>
      </c>
      <c r="B32" s="50">
        <v>6495.767633830852</v>
      </c>
      <c r="C32" s="50">
        <v>734801.82675000001</v>
      </c>
      <c r="D32" s="50">
        <v>28.196380543333554</v>
      </c>
      <c r="E32" s="50">
        <v>2.6219586422659908</v>
      </c>
      <c r="F32" s="50">
        <v>-7.208120349164604</v>
      </c>
      <c r="G32" s="50">
        <v>42.038191625930111</v>
      </c>
      <c r="H32" s="50">
        <v>27.463187032693369</v>
      </c>
      <c r="I32" s="50">
        <v>14.575004593236743</v>
      </c>
      <c r="J32" s="50"/>
      <c r="K32" s="50">
        <v>9.1341634651155275</v>
      </c>
      <c r="L32" s="50">
        <v>2.2888620288803603</v>
      </c>
      <c r="M32" s="50">
        <v>6.8453014362351672</v>
      </c>
      <c r="N32" s="50"/>
      <c r="O32" s="50">
        <v>2.8384701612903229</v>
      </c>
      <c r="P32" s="50">
        <v>31134.399999999998</v>
      </c>
    </row>
    <row r="33" spans="1:16" x14ac:dyDescent="0.3">
      <c r="A33">
        <v>1991</v>
      </c>
      <c r="B33" s="50">
        <v>6636.3181113402288</v>
      </c>
      <c r="C33" s="50">
        <v>945190.13274999999</v>
      </c>
      <c r="D33" s="50">
        <v>23.429719114010883</v>
      </c>
      <c r="E33" s="50">
        <v>-2.6649981974222001</v>
      </c>
      <c r="F33" s="50">
        <v>-7.9854832784171386</v>
      </c>
      <c r="G33" s="50">
        <v>29.08221218943951</v>
      </c>
      <c r="H33" s="50">
        <v>18.684071477363823</v>
      </c>
      <c r="I33" s="50">
        <v>10.398140712075687</v>
      </c>
      <c r="J33" s="50"/>
      <c r="K33" s="50">
        <v>5.1023173358450409</v>
      </c>
      <c r="L33" s="50">
        <v>1.9418844276969103</v>
      </c>
      <c r="M33" s="50">
        <v>3.1604329081481306</v>
      </c>
      <c r="N33" s="50"/>
      <c r="O33" s="50">
        <v>3.0157377510040155</v>
      </c>
      <c r="P33" s="50">
        <v>39797.800000000003</v>
      </c>
    </row>
    <row r="34" spans="1:16" x14ac:dyDescent="0.3">
      <c r="A34">
        <v>1992</v>
      </c>
      <c r="B34" s="50">
        <v>6735.4197634210923</v>
      </c>
      <c r="C34" s="50">
        <v>1123936.4505</v>
      </c>
      <c r="D34" s="50">
        <v>14.844391827865543</v>
      </c>
      <c r="E34" s="50">
        <v>-4.1358744063617321</v>
      </c>
      <c r="F34" s="50">
        <v>-7.8547857363933771</v>
      </c>
      <c r="G34" s="50">
        <v>18.451808365832509</v>
      </c>
      <c r="H34" s="50">
        <v>14.733929122623467</v>
      </c>
      <c r="I34" s="50">
        <v>3.7178792432090435</v>
      </c>
      <c r="J34" s="50"/>
      <c r="K34" s="50">
        <v>3.6342891078787019</v>
      </c>
      <c r="L34" s="50">
        <v>1.4547619656543915</v>
      </c>
      <c r="M34" s="50">
        <v>2.1795271422243103</v>
      </c>
      <c r="N34" s="50"/>
      <c r="O34" s="50">
        <v>3.0953604000000006</v>
      </c>
      <c r="P34" s="50">
        <v>45505.4</v>
      </c>
    </row>
    <row r="35" spans="1:16" x14ac:dyDescent="0.3">
      <c r="A35">
        <v>1993</v>
      </c>
      <c r="B35" s="50">
        <v>6731.8627163687916</v>
      </c>
      <c r="C35" s="50">
        <v>1256195.97</v>
      </c>
      <c r="D35" s="50">
        <v>9.639257625404408</v>
      </c>
      <c r="E35" s="50">
        <v>-0.65617946537433958</v>
      </c>
      <c r="F35" s="50">
        <v>-3.3436582351080144</v>
      </c>
      <c r="G35" s="50">
        <v>15.053952210975492</v>
      </c>
      <c r="H35" s="50">
        <v>11.853246114139342</v>
      </c>
      <c r="I35" s="50">
        <v>3.2007060968361492</v>
      </c>
      <c r="J35" s="50"/>
      <c r="K35" s="50">
        <v>2.6535111396671649</v>
      </c>
      <c r="L35" s="50">
        <v>1.1730414960652995</v>
      </c>
      <c r="M35" s="50">
        <v>1.4804696436018656</v>
      </c>
      <c r="N35" s="50"/>
      <c r="O35" s="50">
        <v>3.1151537848605559</v>
      </c>
      <c r="P35" s="50">
        <v>47192.881000000001</v>
      </c>
    </row>
    <row r="36" spans="1:16" x14ac:dyDescent="0.3">
      <c r="A36">
        <v>1994</v>
      </c>
      <c r="B36" s="50">
        <v>6898.8310825644967</v>
      </c>
      <c r="C36" s="50">
        <v>1423364.1700000002</v>
      </c>
      <c r="D36" s="50">
        <v>8.4715518874931774</v>
      </c>
      <c r="E36" s="50">
        <v>-0.23510497668351454</v>
      </c>
      <c r="F36" s="50">
        <v>-2.4266172163094422</v>
      </c>
      <c r="G36" s="50">
        <v>27.173623037033448</v>
      </c>
      <c r="H36" s="50">
        <v>26.971312619173204</v>
      </c>
      <c r="I36" s="50">
        <v>0.20231041786024417</v>
      </c>
      <c r="J36" s="50"/>
      <c r="K36" s="50">
        <v>2.3128234287364418</v>
      </c>
      <c r="L36" s="50">
        <v>1.1709301351881014</v>
      </c>
      <c r="M36" s="50">
        <v>1.1418932935483403</v>
      </c>
      <c r="N36" s="50"/>
      <c r="O36" s="50">
        <v>3.388990799999998</v>
      </c>
      <c r="P36" s="50">
        <v>56935.496999999996</v>
      </c>
    </row>
    <row r="37" spans="1:16" x14ac:dyDescent="0.3">
      <c r="A37">
        <v>1995</v>
      </c>
      <c r="B37" s="50">
        <v>6353.1566836895254</v>
      </c>
      <c r="C37" s="50">
        <v>1840430.8192499999</v>
      </c>
      <c r="D37" s="50">
        <v>37.874489361128937</v>
      </c>
      <c r="E37" s="50">
        <v>1.0905055376207397E-2</v>
      </c>
      <c r="F37" s="50">
        <v>-4.6621149299687259</v>
      </c>
      <c r="G37" s="50">
        <v>32.100710432612473</v>
      </c>
      <c r="H37" s="50">
        <v>36.409953201776673</v>
      </c>
      <c r="I37" s="50">
        <v>-4.3092427691641966</v>
      </c>
      <c r="J37" s="50"/>
      <c r="K37" s="50">
        <v>4.6059324324151714</v>
      </c>
      <c r="L37" s="50">
        <v>1.9683706456710381</v>
      </c>
      <c r="M37" s="50">
        <v>2.6375617867441337</v>
      </c>
      <c r="N37" s="50"/>
      <c r="O37" s="50">
        <v>6.4268419999999997</v>
      </c>
      <c r="P37" s="50">
        <v>66808.631999999998</v>
      </c>
    </row>
    <row r="38" spans="1:16" x14ac:dyDescent="0.3">
      <c r="A38">
        <v>1996</v>
      </c>
      <c r="B38" s="50">
        <v>6565.082998841689</v>
      </c>
      <c r="C38" s="50">
        <v>2529908.5857500001</v>
      </c>
      <c r="D38" s="50">
        <v>30.7428871939996</v>
      </c>
      <c r="E38" s="50">
        <v>-1.1182222219153161E-2</v>
      </c>
      <c r="F38" s="50">
        <v>-4.3307019319640654</v>
      </c>
      <c r="G38" s="50">
        <v>22.435946191776349</v>
      </c>
      <c r="H38" s="50">
        <v>22.846675301062309</v>
      </c>
      <c r="I38" s="50">
        <v>-0.41072910928596035</v>
      </c>
      <c r="J38" s="50"/>
      <c r="K38" s="50">
        <v>4.3662644817363239</v>
      </c>
      <c r="L38" s="50">
        <v>2.0656833331591455</v>
      </c>
      <c r="M38" s="50">
        <v>2.3005811485771783</v>
      </c>
      <c r="N38" s="50"/>
      <c r="O38" s="50">
        <v>7.5992051587301575</v>
      </c>
      <c r="P38" s="50">
        <v>83991.071000000011</v>
      </c>
    </row>
    <row r="39" spans="1:16" x14ac:dyDescent="0.3">
      <c r="A39">
        <v>1997</v>
      </c>
      <c r="B39" s="50">
        <v>6895.0227054636844</v>
      </c>
      <c r="C39" s="50">
        <v>3179120.38375</v>
      </c>
      <c r="D39" s="50">
        <v>17.687497971679832</v>
      </c>
      <c r="E39" s="50">
        <v>0.72381656629362612</v>
      </c>
      <c r="F39" s="50">
        <v>-3.5051928379181176</v>
      </c>
      <c r="G39" s="50">
        <v>17.283534584238279</v>
      </c>
      <c r="H39" s="50">
        <v>14.425373834351264</v>
      </c>
      <c r="I39" s="50">
        <v>2.8581607498870163</v>
      </c>
      <c r="J39" s="50"/>
      <c r="K39" s="50">
        <v>4.095069839615034</v>
      </c>
      <c r="L39" s="50">
        <v>1.555030764254556</v>
      </c>
      <c r="M39" s="50">
        <v>2.5400390753604785</v>
      </c>
      <c r="N39" s="50"/>
      <c r="O39" s="50">
        <v>7.9167040160642603</v>
      </c>
      <c r="P39" s="50">
        <v>108891.28599999999</v>
      </c>
    </row>
    <row r="40" spans="1:16" x14ac:dyDescent="0.3">
      <c r="A40">
        <v>1998</v>
      </c>
      <c r="B40" s="50">
        <v>7120.6277472128413</v>
      </c>
      <c r="C40" s="50">
        <v>3848218.3072500001</v>
      </c>
      <c r="D40" s="50">
        <v>15.385230810522099</v>
      </c>
      <c r="E40" s="50">
        <v>1.2452152184225591</v>
      </c>
      <c r="F40" s="50">
        <v>-1.7064234603396666</v>
      </c>
      <c r="G40" s="50">
        <v>19.182675905087194</v>
      </c>
      <c r="H40" s="50">
        <v>14.604161072182373</v>
      </c>
      <c r="I40" s="50">
        <v>4.5785148329048191</v>
      </c>
      <c r="J40" s="50"/>
      <c r="K40" s="50">
        <v>2.8913198554868704</v>
      </c>
      <c r="L40" s="50">
        <v>1.3994086535720405</v>
      </c>
      <c r="M40" s="50">
        <v>1.49191120191483</v>
      </c>
      <c r="N40" s="50"/>
      <c r="O40" s="50">
        <v>9.1537115999999958</v>
      </c>
      <c r="P40" s="50">
        <v>131527.989</v>
      </c>
    </row>
    <row r="41" spans="1:16" x14ac:dyDescent="0.3">
      <c r="A41">
        <v>1999</v>
      </c>
      <c r="B41" s="50">
        <v>7287.3534381654044</v>
      </c>
      <c r="C41" s="50">
        <v>4600487.75825</v>
      </c>
      <c r="D41" s="50">
        <v>15.090753977653804</v>
      </c>
      <c r="E41" s="50">
        <v>1.130060609481462</v>
      </c>
      <c r="F41" s="50">
        <v>-2.5021325139616786</v>
      </c>
      <c r="G41" s="50">
        <v>16.893464146411198</v>
      </c>
      <c r="H41" s="50">
        <v>10.501060439377596</v>
      </c>
      <c r="I41" s="50">
        <v>6.3924037070336004</v>
      </c>
      <c r="J41" s="50"/>
      <c r="K41" s="50">
        <v>3.5723603373420625</v>
      </c>
      <c r="L41" s="50">
        <v>1.3701025480823537</v>
      </c>
      <c r="M41" s="50">
        <v>2.2022577892597086</v>
      </c>
      <c r="N41" s="50"/>
      <c r="O41" s="50">
        <v>9.5532071428571435</v>
      </c>
      <c r="P41" s="50">
        <v>188718.25</v>
      </c>
    </row>
    <row r="42" spans="1:16" x14ac:dyDescent="0.3">
      <c r="A42">
        <v>2000</v>
      </c>
      <c r="B42" s="50">
        <v>7660.0853222263704</v>
      </c>
      <c r="C42" s="50">
        <v>5497735.5502500003</v>
      </c>
      <c r="D42" s="50">
        <v>12.102339827121767</v>
      </c>
      <c r="E42" s="50">
        <v>1.1022101635507815</v>
      </c>
      <c r="F42" s="50">
        <v>-2.6090578327922183</v>
      </c>
      <c r="G42" s="50">
        <v>17.061936217673203</v>
      </c>
      <c r="H42" s="50">
        <v>6.7646032916786707</v>
      </c>
      <c r="I42" s="50">
        <v>10.297332925994533</v>
      </c>
      <c r="J42" s="50"/>
      <c r="K42" s="50">
        <v>3.656359935152921</v>
      </c>
      <c r="L42" s="50">
        <v>1.3194250494042303</v>
      </c>
      <c r="M42" s="50">
        <v>2.3369348857486907</v>
      </c>
      <c r="N42" s="50"/>
      <c r="O42" s="50">
        <v>9.4568240000000028</v>
      </c>
      <c r="P42" s="50">
        <v>208943.11900000001</v>
      </c>
    </row>
    <row r="43" spans="1:16" x14ac:dyDescent="0.3">
      <c r="A43">
        <v>2001</v>
      </c>
      <c r="B43" s="50">
        <v>7548.0771659489737</v>
      </c>
      <c r="C43" s="50">
        <v>5811776.3015000001</v>
      </c>
      <c r="D43" s="50">
        <v>5.8783959966679733</v>
      </c>
      <c r="E43" s="50">
        <v>0.72603276194765975</v>
      </c>
      <c r="F43" s="50">
        <v>-2.5590833556620849</v>
      </c>
      <c r="G43" s="50">
        <v>16.617075708002456</v>
      </c>
      <c r="H43" s="50">
        <v>4.6242316644334114</v>
      </c>
      <c r="I43" s="50">
        <v>11.992844043569045</v>
      </c>
      <c r="J43" s="50"/>
      <c r="K43" s="50">
        <v>3.2358798798133677</v>
      </c>
      <c r="L43" s="50">
        <v>1.1443334455738601</v>
      </c>
      <c r="M43" s="50">
        <v>2.0915464342395076</v>
      </c>
      <c r="N43" s="50"/>
      <c r="O43" s="50">
        <v>9.3359972222222147</v>
      </c>
      <c r="P43" s="50">
        <v>225580.41499999998</v>
      </c>
    </row>
    <row r="44" spans="1:16" x14ac:dyDescent="0.3">
      <c r="A44">
        <v>2002</v>
      </c>
      <c r="B44" s="50">
        <v>7516.5049381706858</v>
      </c>
      <c r="C44" s="50">
        <v>6267473.7955</v>
      </c>
      <c r="D44" s="50">
        <v>6.9567382776990483</v>
      </c>
      <c r="E44" s="50">
        <v>1.2063329256244355</v>
      </c>
      <c r="F44" s="50">
        <v>-1.7231089195385212</v>
      </c>
      <c r="G44" s="50">
        <v>17.934548107836601</v>
      </c>
      <c r="H44" s="50">
        <v>3.6856955056733751</v>
      </c>
      <c r="I44" s="50">
        <v>14.248852602163225</v>
      </c>
      <c r="J44" s="50"/>
      <c r="K44" s="50">
        <v>2.8460414166880419</v>
      </c>
      <c r="L44" s="50">
        <v>0.9837568055612621</v>
      </c>
      <c r="M44" s="50">
        <v>1.8622846111267797</v>
      </c>
      <c r="N44" s="50"/>
      <c r="O44" s="50">
        <v>9.6714031872509914</v>
      </c>
      <c r="P44" s="50">
        <v>263936.897</v>
      </c>
    </row>
    <row r="45" spans="1:16" x14ac:dyDescent="0.3">
      <c r="A45">
        <v>2003</v>
      </c>
      <c r="B45" s="50">
        <v>7525.4381079396171</v>
      </c>
      <c r="C45" s="50">
        <v>6895356.8459999999</v>
      </c>
      <c r="D45" s="50">
        <v>8.5510219356928818</v>
      </c>
      <c r="E45" s="50">
        <v>0.61585500139320859</v>
      </c>
      <c r="F45" s="50">
        <v>-2.086183546591172</v>
      </c>
      <c r="G45" s="50">
        <v>17.623249066579202</v>
      </c>
      <c r="H45" s="50">
        <v>2.5137205205057489</v>
      </c>
      <c r="I45" s="50">
        <v>15.109528546073452</v>
      </c>
      <c r="J45" s="50"/>
      <c r="K45" s="50">
        <v>2.7679945253409151</v>
      </c>
      <c r="L45" s="50">
        <v>1.0694645925798398</v>
      </c>
      <c r="M45" s="50">
        <v>1.6985299327610752</v>
      </c>
      <c r="N45" s="50"/>
      <c r="O45" s="50">
        <v>10.79134541832669</v>
      </c>
      <c r="P45" s="50">
        <v>303614.08899999998</v>
      </c>
    </row>
    <row r="46" spans="1:16" x14ac:dyDescent="0.3">
      <c r="A46">
        <v>2004</v>
      </c>
      <c r="B46" s="50">
        <v>7740.5188830296256</v>
      </c>
      <c r="C46" s="50">
        <v>7713796.2034999998</v>
      </c>
      <c r="D46" s="50">
        <v>7.3834946592319817</v>
      </c>
      <c r="E46" s="50">
        <v>0.24901357895979317</v>
      </c>
      <c r="F46" s="50">
        <v>-2.4835657430653297</v>
      </c>
      <c r="G46" s="50">
        <v>16.581100851739656</v>
      </c>
      <c r="H46" s="50">
        <v>1.7227574658986127</v>
      </c>
      <c r="I46" s="50">
        <v>14.858343385841044</v>
      </c>
      <c r="J46" s="50"/>
      <c r="K46" s="50">
        <v>2.6813036609154177</v>
      </c>
      <c r="L46" s="50">
        <v>0.9931361677048226</v>
      </c>
      <c r="M46" s="50">
        <v>1.688167493210595</v>
      </c>
      <c r="N46" s="50"/>
      <c r="O46" s="50">
        <v>11.287060700389107</v>
      </c>
      <c r="P46" s="50">
        <v>340177.67199999996</v>
      </c>
    </row>
    <row r="47" spans="1:16" x14ac:dyDescent="0.3">
      <c r="A47">
        <v>2005</v>
      </c>
      <c r="B47" s="50">
        <v>7849.0831317724469</v>
      </c>
      <c r="C47" s="50">
        <v>8366205.3281701626</v>
      </c>
      <c r="D47" s="50">
        <v>5.5015384918432941</v>
      </c>
      <c r="E47" s="50">
        <v>0.12102619530394171</v>
      </c>
      <c r="F47" s="50">
        <v>-2.4092643210812232</v>
      </c>
      <c r="G47" s="50">
        <v>15.066643233769344</v>
      </c>
      <c r="H47" s="50">
        <v>-0.61425697773592536</v>
      </c>
      <c r="I47" s="50">
        <v>15.68090021150527</v>
      </c>
      <c r="J47" s="50"/>
      <c r="K47" s="50">
        <v>2.5123265776453456</v>
      </c>
      <c r="L47" s="50">
        <v>0.86136183817235479</v>
      </c>
      <c r="M47" s="50">
        <v>1.6509647394729907</v>
      </c>
      <c r="N47" s="50"/>
      <c r="O47" s="50">
        <v>10.889502745098044</v>
      </c>
      <c r="P47" s="50">
        <v>380033.69099999999</v>
      </c>
    </row>
    <row r="48" spans="1:16" x14ac:dyDescent="0.3">
      <c r="A48">
        <v>2006</v>
      </c>
      <c r="B48" s="50">
        <v>8105.4828638576255</v>
      </c>
      <c r="C48" s="50">
        <v>9157564.9027437884</v>
      </c>
      <c r="D48" s="50">
        <v>4.4366256020260009</v>
      </c>
      <c r="E48" s="50">
        <v>-0.10847534366940348</v>
      </c>
      <c r="F48" s="50">
        <v>-2.8423877173069325</v>
      </c>
      <c r="G48" s="50">
        <v>14.009605442333323</v>
      </c>
      <c r="H48" s="50">
        <v>-3.300003911623437</v>
      </c>
      <c r="I48" s="50">
        <v>17.309609353956759</v>
      </c>
      <c r="J48" s="50"/>
      <c r="K48" s="50">
        <v>2.7306942692273526</v>
      </c>
      <c r="L48" s="50">
        <v>0.85491941178099451</v>
      </c>
      <c r="M48" s="50">
        <v>1.8757748574463582</v>
      </c>
      <c r="N48" s="50"/>
      <c r="O48" s="50">
        <v>10.903372000000005</v>
      </c>
      <c r="P48" s="50">
        <v>449821.28899999999</v>
      </c>
    </row>
    <row r="49" spans="1:16" x14ac:dyDescent="0.3">
      <c r="A49">
        <v>2007</v>
      </c>
      <c r="B49" s="50">
        <v>8241.6179944425985</v>
      </c>
      <c r="C49" s="50">
        <v>9762863.789262142</v>
      </c>
      <c r="D49" s="50">
        <v>3.2138360917272957</v>
      </c>
      <c r="E49" s="50">
        <v>-4.9263209072831819E-2</v>
      </c>
      <c r="F49" s="50">
        <v>-2.5300363226584364</v>
      </c>
      <c r="G49" s="50">
        <v>12.53911319900245</v>
      </c>
      <c r="H49" s="50">
        <v>-5.9121996625093107</v>
      </c>
      <c r="I49" s="50">
        <v>18.451312861511759</v>
      </c>
      <c r="J49" s="50"/>
      <c r="K49" s="50">
        <v>2.4476014943772948</v>
      </c>
      <c r="L49" s="50">
        <v>0.73865826213120034</v>
      </c>
      <c r="M49" s="50">
        <v>1.7089432322460945</v>
      </c>
      <c r="N49" s="50"/>
      <c r="O49" s="50">
        <v>10.927441035856576</v>
      </c>
      <c r="P49" s="50">
        <v>494743.45799999998</v>
      </c>
    </row>
    <row r="50" spans="1:16" x14ac:dyDescent="0.3">
      <c r="A50">
        <v>2008</v>
      </c>
      <c r="B50" s="50">
        <v>8222.8067669382835</v>
      </c>
      <c r="C50" s="50">
        <v>10493670.580716962</v>
      </c>
      <c r="D50" s="50">
        <v>6.0012527420997053</v>
      </c>
      <c r="E50" s="50">
        <v>7.5718023916252306E-2</v>
      </c>
      <c r="F50" s="50">
        <v>-2.0631541493006154</v>
      </c>
      <c r="G50" s="50">
        <v>14.479754355850815</v>
      </c>
      <c r="H50" s="50">
        <v>-8.7778627403516811</v>
      </c>
      <c r="I50" s="50">
        <v>23.257617096202495</v>
      </c>
      <c r="J50" s="50"/>
      <c r="K50" s="50">
        <v>2.1642817758863071</v>
      </c>
      <c r="L50" s="50">
        <v>0.64569589333697763</v>
      </c>
      <c r="M50" s="50">
        <v>1.5185858825493292</v>
      </c>
      <c r="N50" s="50"/>
      <c r="O50" s="50">
        <v>11.143809920634913</v>
      </c>
      <c r="P50" s="50">
        <v>577542.60199999996</v>
      </c>
    </row>
    <row r="51" spans="1:16" x14ac:dyDescent="0.3">
      <c r="A51">
        <v>2009</v>
      </c>
      <c r="B51" s="50">
        <v>7711.2425401113624</v>
      </c>
      <c r="C51" s="50">
        <v>10354141.342468163</v>
      </c>
      <c r="D51" s="50">
        <v>3.5369354102106731</v>
      </c>
      <c r="E51" s="50">
        <v>2.6413199410199271</v>
      </c>
      <c r="F51" s="50">
        <v>7.4285252109244596E-2</v>
      </c>
      <c r="G51" s="50">
        <v>27.022541294892545</v>
      </c>
      <c r="H51" s="50">
        <v>-0.40109554840305384</v>
      </c>
      <c r="I51" s="50">
        <v>27.423636843295597</v>
      </c>
      <c r="J51" s="50"/>
      <c r="K51" s="50">
        <v>2.5382355842686635</v>
      </c>
      <c r="L51" s="50">
        <v>0.6532526238808003</v>
      </c>
      <c r="M51" s="50">
        <v>1.8849829603878632</v>
      </c>
      <c r="N51" s="50"/>
      <c r="O51" s="50">
        <v>13.498305179282877</v>
      </c>
      <c r="P51" s="50">
        <v>632032.40600000008</v>
      </c>
    </row>
    <row r="52" spans="1:16" x14ac:dyDescent="0.3">
      <c r="A52">
        <v>2010</v>
      </c>
      <c r="B52" s="50">
        <v>7979.9969790641289</v>
      </c>
      <c r="C52" s="50">
        <v>11371389.872807674</v>
      </c>
      <c r="D52" s="50">
        <v>4.4851581469596002</v>
      </c>
      <c r="E52" s="50">
        <v>3.2583563147898293</v>
      </c>
      <c r="F52" s="50">
        <v>1.0000976245828119</v>
      </c>
      <c r="G52" s="50">
        <v>29.672510781365837</v>
      </c>
      <c r="H52" s="50">
        <v>-0.79392229982269746</v>
      </c>
      <c r="I52" s="50">
        <v>30.466433081188534</v>
      </c>
      <c r="J52" s="50"/>
      <c r="K52" s="50">
        <v>2.2491094128395437</v>
      </c>
      <c r="L52" s="50">
        <v>0.56795080216569682</v>
      </c>
      <c r="M52" s="50">
        <v>1.6811586106738468</v>
      </c>
      <c r="N52" s="50"/>
      <c r="O52" s="50">
        <v>12.628694047619048</v>
      </c>
      <c r="P52" s="50">
        <v>693423.21900000004</v>
      </c>
    </row>
    <row r="53" spans="1:16" x14ac:dyDescent="0.3">
      <c r="A53">
        <v>2011</v>
      </c>
      <c r="B53" s="50">
        <v>8179.2805843036085</v>
      </c>
      <c r="C53" s="50">
        <v>12456943.273785811</v>
      </c>
      <c r="D53" s="50">
        <v>5.2878686184840706</v>
      </c>
      <c r="E53" s="50">
        <v>2.8374384648905919</v>
      </c>
      <c r="F53" s="50">
        <v>0.65098393897843432</v>
      </c>
      <c r="G53" s="50">
        <v>29.652290925761118</v>
      </c>
      <c r="H53" s="50">
        <v>-3.3351681136277409</v>
      </c>
      <c r="I53" s="50">
        <v>32.98745903938886</v>
      </c>
      <c r="J53" s="50"/>
      <c r="K53" s="50">
        <v>2.1990250254768084</v>
      </c>
      <c r="L53" s="50">
        <v>0.51108605538870089</v>
      </c>
      <c r="M53" s="50">
        <v>1.6879389700881076</v>
      </c>
      <c r="N53" s="50"/>
      <c r="O53" s="50">
        <v>12.430060317460313</v>
      </c>
      <c r="P53" s="50">
        <v>763491.87900000007</v>
      </c>
    </row>
    <row r="54" spans="1:16" x14ac:dyDescent="0.3">
      <c r="A54">
        <v>2012</v>
      </c>
      <c r="B54" s="50">
        <v>8385.5392989123357</v>
      </c>
      <c r="C54" s="50">
        <v>13378921.19221092</v>
      </c>
      <c r="D54" s="50">
        <v>3.2524543226150504</v>
      </c>
      <c r="E54" s="50">
        <v>3.0137661640068907</v>
      </c>
      <c r="F54" s="50">
        <v>0.72865516284493503</v>
      </c>
      <c r="G54" s="50">
        <v>32.644368923726788</v>
      </c>
      <c r="H54" s="50">
        <v>-3.9654916295409177</v>
      </c>
      <c r="I54" s="50">
        <v>36.609860553267708</v>
      </c>
      <c r="J54" s="50"/>
      <c r="K54" s="50">
        <v>2.2805912047500292</v>
      </c>
      <c r="L54" s="50">
        <v>0.57069399619792816</v>
      </c>
      <c r="M54" s="50">
        <v>1.7098972085521009</v>
      </c>
      <c r="N54" s="50"/>
      <c r="O54" s="50">
        <v>13.168948809523803</v>
      </c>
      <c r="P54" s="50">
        <v>846019.42599999998</v>
      </c>
    </row>
    <row r="55" spans="1:16" x14ac:dyDescent="0.3">
      <c r="A55">
        <v>2013</v>
      </c>
      <c r="B55" s="50">
        <v>8381.1387775309104</v>
      </c>
      <c r="C55" s="50">
        <v>13799395.280621018</v>
      </c>
      <c r="D55" s="50">
        <v>1.7588117733929653</v>
      </c>
      <c r="E55" s="50">
        <v>2.7119391276916764</v>
      </c>
      <c r="F55" s="50">
        <v>0.43640607994301789</v>
      </c>
      <c r="G55" s="50">
        <v>33.794196993175284</v>
      </c>
      <c r="H55" s="50">
        <v>-4.1864153338029579</v>
      </c>
      <c r="I55" s="50">
        <v>37.980612326978239</v>
      </c>
      <c r="J55" s="50"/>
      <c r="K55" s="50">
        <v>2.2794578574159385</v>
      </c>
      <c r="L55" s="50">
        <v>0.55636206108116426</v>
      </c>
      <c r="M55" s="50">
        <v>1.7230957963347744</v>
      </c>
      <c r="N55" s="50"/>
      <c r="O55" s="50">
        <v>12.769568127490043</v>
      </c>
      <c r="P55" s="50">
        <v>917875.79399999999</v>
      </c>
    </row>
    <row r="56" spans="1:16" x14ac:dyDescent="0.3">
      <c r="A56">
        <v>2014</v>
      </c>
      <c r="B56" s="50">
        <v>8455.0868058825254</v>
      </c>
      <c r="C56" s="50">
        <v>14776916.612154568</v>
      </c>
      <c r="D56" s="50">
        <v>4.7068752872590602</v>
      </c>
      <c r="E56" s="50">
        <v>3.6751672507463389</v>
      </c>
      <c r="F56" s="50">
        <v>1.2983452843077676</v>
      </c>
      <c r="G56" s="50">
        <v>36.216946575972329</v>
      </c>
      <c r="H56" s="50">
        <v>-4.565499134271918</v>
      </c>
      <c r="I56" s="50">
        <v>40.782445710244247</v>
      </c>
      <c r="J56" s="50"/>
      <c r="K56" s="50">
        <v>2.3413125287275669</v>
      </c>
      <c r="L56" s="50">
        <v>0.58265741263763038</v>
      </c>
      <c r="M56" s="50">
        <v>1.7586551160899364</v>
      </c>
      <c r="N56" s="50"/>
      <c r="O56" s="50">
        <v>13.303179681274893</v>
      </c>
      <c r="P56" s="50">
        <v>1062892.9350000001</v>
      </c>
    </row>
    <row r="57" spans="1:16" x14ac:dyDescent="0.3">
      <c r="A57">
        <v>2015</v>
      </c>
      <c r="B57" s="50">
        <v>8564.0342979544621</v>
      </c>
      <c r="C57" s="50">
        <v>15634452.327691684</v>
      </c>
      <c r="D57" s="50">
        <v>3.0721023030268357</v>
      </c>
      <c r="E57" s="50">
        <v>4.0787300164683788</v>
      </c>
      <c r="F57" s="50">
        <v>1.3975762976550679</v>
      </c>
      <c r="G57" s="50">
        <v>36.858425470991911</v>
      </c>
      <c r="H57" s="50">
        <v>-1.397362666890779</v>
      </c>
      <c r="I57" s="50">
        <v>38.255788137882689</v>
      </c>
      <c r="J57" s="50"/>
      <c r="K57" s="50">
        <v>2.6114589206098575</v>
      </c>
      <c r="L57" s="50">
        <v>0.72728994669420666</v>
      </c>
      <c r="M57" s="50">
        <v>1.8841689739156509</v>
      </c>
      <c r="N57" s="50"/>
      <c r="O57" s="50">
        <v>15.881003585657375</v>
      </c>
      <c r="P57" s="50">
        <v>1241685.412</v>
      </c>
    </row>
    <row r="58" spans="1:16" x14ac:dyDescent="0.3">
      <c r="A58">
        <v>2016</v>
      </c>
      <c r="B58" s="50">
        <v>8646.5062329235552</v>
      </c>
      <c r="C58" s="50">
        <v>16728991.035048231</v>
      </c>
      <c r="D58" s="50">
        <v>4.6095826031948617</v>
      </c>
      <c r="E58" s="50">
        <v>3.0115886782681125</v>
      </c>
      <c r="F58" s="50">
        <v>0.14936346099804076</v>
      </c>
      <c r="G58" s="50">
        <v>38.167493088034838</v>
      </c>
      <c r="H58" s="50">
        <v>0.54217256623533427</v>
      </c>
      <c r="I58" s="50">
        <v>37.625320521799502</v>
      </c>
      <c r="J58" s="50"/>
      <c r="K58" s="50">
        <v>2.8275447037361401</v>
      </c>
      <c r="L58" s="50">
        <v>0.88779472526970493</v>
      </c>
      <c r="M58" s="50">
        <v>1.9397499784664354</v>
      </c>
      <c r="N58" s="50"/>
      <c r="O58" s="50">
        <v>18.688618650793654</v>
      </c>
      <c r="P58" s="50">
        <v>1420268.6329999999</v>
      </c>
    </row>
    <row r="59" spans="1:16" x14ac:dyDescent="0.3">
      <c r="A59">
        <v>2017</v>
      </c>
      <c r="B59" s="50"/>
      <c r="C59" s="50">
        <v>18117393.003254909</v>
      </c>
      <c r="D59" s="50">
        <v>6.1327095655805186</v>
      </c>
      <c r="E59" s="50">
        <v>1.3162622235834749</v>
      </c>
      <c r="F59" s="50">
        <v>-1.6821680688013276</v>
      </c>
      <c r="G59" s="50">
        <v>38.914588035559888</v>
      </c>
      <c r="H59" s="50">
        <v>2.0302589888838694</v>
      </c>
      <c r="I59" s="50">
        <v>36.884329046676022</v>
      </c>
      <c r="J59" s="50"/>
      <c r="K59" s="50">
        <v>2.9425602232298118</v>
      </c>
      <c r="L59" s="50">
        <v>0.89523641713165281</v>
      </c>
      <c r="M59" s="50">
        <v>2.0473238060981589</v>
      </c>
      <c r="N59" s="50"/>
      <c r="O59" s="50">
        <v>18.906590039840626</v>
      </c>
      <c r="P59" s="50">
        <v>1545934.3149999999</v>
      </c>
    </row>
    <row r="60" spans="1:16" x14ac:dyDescent="0.3">
      <c r="F60" s="5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5771-06C1-48B7-9B78-65CA955F1C60}">
  <dimension ref="A1:AD54"/>
  <sheetViews>
    <sheetView workbookViewId="0">
      <selection activeCell="A17" sqref="A17:XFD25"/>
    </sheetView>
  </sheetViews>
  <sheetFormatPr defaultRowHeight="14.4" x14ac:dyDescent="0.3"/>
  <sheetData>
    <row r="1" spans="1:30" x14ac:dyDescent="0.3">
      <c r="A1" t="s">
        <v>7447</v>
      </c>
      <c r="B1" t="s">
        <v>7448</v>
      </c>
      <c r="C1" t="s">
        <v>19</v>
      </c>
      <c r="D1" t="s">
        <v>7449</v>
      </c>
      <c r="E1" t="s">
        <v>7450</v>
      </c>
      <c r="F1" t="s">
        <v>7451</v>
      </c>
      <c r="G1" t="s">
        <v>7452</v>
      </c>
      <c r="H1" t="s">
        <v>7453</v>
      </c>
      <c r="I1" t="s">
        <v>7454</v>
      </c>
      <c r="J1" t="s">
        <v>7455</v>
      </c>
      <c r="K1" t="s">
        <v>7456</v>
      </c>
      <c r="L1" t="s">
        <v>7457</v>
      </c>
      <c r="M1" t="s">
        <v>7458</v>
      </c>
      <c r="N1" t="s">
        <v>7459</v>
      </c>
      <c r="O1" t="s">
        <v>7460</v>
      </c>
      <c r="P1" t="s">
        <v>7461</v>
      </c>
      <c r="Q1" t="s">
        <v>7462</v>
      </c>
      <c r="R1" t="s">
        <v>7463</v>
      </c>
      <c r="S1" t="s">
        <v>7464</v>
      </c>
      <c r="T1" t="s">
        <v>7465</v>
      </c>
      <c r="U1" t="s">
        <v>7466</v>
      </c>
      <c r="V1" t="s">
        <v>7467</v>
      </c>
      <c r="W1" t="s">
        <v>7468</v>
      </c>
      <c r="X1" t="s">
        <v>7469</v>
      </c>
      <c r="Y1" t="s">
        <v>7470</v>
      </c>
      <c r="Z1" t="s">
        <v>7471</v>
      </c>
      <c r="AA1" t="s">
        <v>7472</v>
      </c>
      <c r="AB1" t="s">
        <v>7473</v>
      </c>
      <c r="AC1" t="s">
        <v>7474</v>
      </c>
      <c r="AD1" t="s">
        <v>7475</v>
      </c>
    </row>
    <row r="2" spans="1:30" x14ac:dyDescent="0.3">
      <c r="A2">
        <v>273</v>
      </c>
      <c r="B2" t="s">
        <v>94</v>
      </c>
      <c r="C2">
        <v>1960</v>
      </c>
      <c r="G2">
        <v>0</v>
      </c>
      <c r="H2">
        <v>0</v>
      </c>
      <c r="I2">
        <v>0</v>
      </c>
      <c r="J2">
        <v>0</v>
      </c>
      <c r="L2">
        <v>0</v>
      </c>
      <c r="M2">
        <v>0</v>
      </c>
      <c r="N2">
        <v>6.0846499999999998E-2</v>
      </c>
      <c r="U2">
        <v>12.74175492</v>
      </c>
      <c r="Y2">
        <v>2775.0434749999999</v>
      </c>
      <c r="Z2">
        <v>2570.0373589999999</v>
      </c>
      <c r="AA2">
        <v>2787.1525230000002</v>
      </c>
    </row>
    <row r="3" spans="1:30" x14ac:dyDescent="0.3">
      <c r="A3">
        <v>273</v>
      </c>
      <c r="B3" t="s">
        <v>94</v>
      </c>
      <c r="C3">
        <v>1961</v>
      </c>
      <c r="G3">
        <v>0</v>
      </c>
      <c r="H3">
        <v>0</v>
      </c>
      <c r="I3">
        <v>0</v>
      </c>
      <c r="J3">
        <v>0</v>
      </c>
      <c r="L3">
        <v>0</v>
      </c>
      <c r="M3">
        <v>0</v>
      </c>
      <c r="N3">
        <v>6.0846499999999998E-2</v>
      </c>
      <c r="U3">
        <v>12.079428650000001</v>
      </c>
      <c r="Y3">
        <v>2778.7597689999998</v>
      </c>
      <c r="Z3">
        <v>2577.2735510000002</v>
      </c>
      <c r="AA3">
        <v>2791.2765639999998</v>
      </c>
    </row>
    <row r="4" spans="1:30" x14ac:dyDescent="0.3">
      <c r="A4">
        <v>273</v>
      </c>
      <c r="B4" t="s">
        <v>94</v>
      </c>
      <c r="C4">
        <v>1962</v>
      </c>
      <c r="G4">
        <v>0</v>
      </c>
      <c r="H4">
        <v>0</v>
      </c>
      <c r="I4">
        <v>0</v>
      </c>
      <c r="J4">
        <v>0</v>
      </c>
      <c r="L4">
        <v>0</v>
      </c>
      <c r="M4">
        <v>0</v>
      </c>
      <c r="N4">
        <v>6.0846499999999998E-2</v>
      </c>
      <c r="O4">
        <v>0</v>
      </c>
      <c r="P4">
        <v>0</v>
      </c>
      <c r="Q4">
        <v>746.86509999999998</v>
      </c>
      <c r="U4">
        <v>11.616872389999999</v>
      </c>
      <c r="Y4">
        <v>2783.0587129999999</v>
      </c>
      <c r="Z4">
        <v>2591.5075379999998</v>
      </c>
      <c r="AA4">
        <v>2796.7969240000002</v>
      </c>
    </row>
    <row r="5" spans="1:30" x14ac:dyDescent="0.3">
      <c r="A5">
        <v>273</v>
      </c>
      <c r="B5" t="s">
        <v>94</v>
      </c>
      <c r="C5">
        <v>1963</v>
      </c>
      <c r="G5">
        <v>0</v>
      </c>
      <c r="H5">
        <v>0</v>
      </c>
      <c r="I5">
        <v>0</v>
      </c>
      <c r="J5">
        <v>0</v>
      </c>
      <c r="L5">
        <v>0</v>
      </c>
      <c r="M5">
        <v>0</v>
      </c>
      <c r="N5">
        <v>6.0846499999999998E-2</v>
      </c>
      <c r="O5">
        <v>0</v>
      </c>
      <c r="P5">
        <v>0</v>
      </c>
      <c r="Q5">
        <v>754.54780000000005</v>
      </c>
      <c r="U5">
        <v>11.31337467</v>
      </c>
      <c r="Y5">
        <v>2789.410789</v>
      </c>
      <c r="Z5">
        <v>2603.175749</v>
      </c>
      <c r="AA5">
        <v>2803.8474150000002</v>
      </c>
    </row>
    <row r="6" spans="1:30" x14ac:dyDescent="0.3">
      <c r="A6">
        <v>273</v>
      </c>
      <c r="B6" t="s">
        <v>94</v>
      </c>
      <c r="C6">
        <v>1964</v>
      </c>
      <c r="G6">
        <v>0</v>
      </c>
      <c r="H6">
        <v>0</v>
      </c>
      <c r="I6">
        <v>0</v>
      </c>
      <c r="J6">
        <v>0</v>
      </c>
      <c r="L6">
        <v>0</v>
      </c>
      <c r="M6">
        <v>0</v>
      </c>
      <c r="N6">
        <v>6.0846499999999998E-2</v>
      </c>
      <c r="O6">
        <v>0</v>
      </c>
      <c r="P6">
        <v>0</v>
      </c>
      <c r="Q6">
        <v>765.62019999999995</v>
      </c>
      <c r="U6">
        <v>10.759528789999999</v>
      </c>
      <c r="Y6">
        <v>2799.6781989999999</v>
      </c>
      <c r="Z6">
        <v>2614.7078379999998</v>
      </c>
      <c r="AA6">
        <v>2814.2857669999999</v>
      </c>
    </row>
    <row r="7" spans="1:30" x14ac:dyDescent="0.3">
      <c r="A7">
        <v>273</v>
      </c>
      <c r="B7" t="s">
        <v>94</v>
      </c>
      <c r="C7">
        <v>1965</v>
      </c>
      <c r="G7">
        <v>0</v>
      </c>
      <c r="H7">
        <v>0</v>
      </c>
      <c r="I7">
        <v>0</v>
      </c>
      <c r="J7">
        <v>0</v>
      </c>
      <c r="L7">
        <v>0</v>
      </c>
      <c r="M7">
        <v>0</v>
      </c>
      <c r="N7">
        <v>6.0846499999999998E-2</v>
      </c>
      <c r="O7">
        <v>0</v>
      </c>
      <c r="P7">
        <v>0</v>
      </c>
      <c r="Q7">
        <v>771.88890000000004</v>
      </c>
      <c r="U7">
        <v>10.42238614</v>
      </c>
      <c r="Y7">
        <v>2832.9386479999998</v>
      </c>
      <c r="Z7">
        <v>2644.0136109999999</v>
      </c>
      <c r="AA7">
        <v>2847.0178409999999</v>
      </c>
    </row>
    <row r="8" spans="1:30" x14ac:dyDescent="0.3">
      <c r="A8">
        <v>273</v>
      </c>
      <c r="B8" t="s">
        <v>94</v>
      </c>
      <c r="C8">
        <v>1966</v>
      </c>
      <c r="E8">
        <v>1966</v>
      </c>
      <c r="F8">
        <v>1</v>
      </c>
      <c r="G8">
        <v>1000</v>
      </c>
      <c r="H8">
        <v>1000</v>
      </c>
      <c r="I8">
        <v>0</v>
      </c>
      <c r="J8">
        <v>0</v>
      </c>
      <c r="K8">
        <v>1</v>
      </c>
      <c r="L8">
        <v>6.9077549999999999</v>
      </c>
      <c r="M8">
        <v>1</v>
      </c>
      <c r="N8">
        <v>6.0846499999999998E-2</v>
      </c>
      <c r="Q8">
        <v>778.58389999999997</v>
      </c>
      <c r="U8">
        <v>9.7941365539999996</v>
      </c>
      <c r="Y8">
        <v>2837.7229200000002</v>
      </c>
      <c r="Z8">
        <v>2653.0014059999999</v>
      </c>
      <c r="AA8">
        <v>2852.3643459999998</v>
      </c>
    </row>
    <row r="9" spans="1:30" x14ac:dyDescent="0.3">
      <c r="A9">
        <v>273</v>
      </c>
      <c r="B9" t="s">
        <v>94</v>
      </c>
      <c r="C9">
        <v>1967</v>
      </c>
      <c r="G9">
        <v>0</v>
      </c>
      <c r="H9">
        <v>0</v>
      </c>
      <c r="I9">
        <v>0</v>
      </c>
      <c r="J9">
        <v>0</v>
      </c>
      <c r="L9">
        <v>0</v>
      </c>
      <c r="M9">
        <v>0</v>
      </c>
      <c r="N9">
        <v>6.0846499999999998E-2</v>
      </c>
      <c r="O9">
        <v>0</v>
      </c>
      <c r="P9">
        <v>0</v>
      </c>
      <c r="Q9">
        <v>784.69299999999998</v>
      </c>
      <c r="U9">
        <v>9.2811395389999998</v>
      </c>
      <c r="Y9">
        <v>2844.1639850000001</v>
      </c>
      <c r="Z9">
        <v>2659.3952570000001</v>
      </c>
      <c r="AA9">
        <v>2858.7989809999999</v>
      </c>
    </row>
    <row r="10" spans="1:30" x14ac:dyDescent="0.3">
      <c r="A10">
        <v>273</v>
      </c>
      <c r="B10" t="s">
        <v>94</v>
      </c>
      <c r="C10">
        <v>1968</v>
      </c>
      <c r="G10">
        <v>0</v>
      </c>
      <c r="H10">
        <v>0</v>
      </c>
      <c r="I10">
        <v>0</v>
      </c>
      <c r="J10">
        <v>0</v>
      </c>
      <c r="L10">
        <v>0</v>
      </c>
      <c r="M10">
        <v>0</v>
      </c>
      <c r="N10">
        <v>6.0846499999999998E-2</v>
      </c>
      <c r="O10">
        <v>0</v>
      </c>
      <c r="P10">
        <v>0</v>
      </c>
      <c r="Q10">
        <v>792.50260000000003</v>
      </c>
      <c r="U10">
        <v>8.8872032260000005</v>
      </c>
      <c r="Y10">
        <v>2850.7142480000002</v>
      </c>
      <c r="Z10">
        <v>2668.9086849999999</v>
      </c>
      <c r="AA10">
        <v>2865.7578640000002</v>
      </c>
    </row>
    <row r="11" spans="1:30" x14ac:dyDescent="0.3">
      <c r="A11">
        <v>273</v>
      </c>
      <c r="B11" t="s">
        <v>94</v>
      </c>
      <c r="C11">
        <v>1969</v>
      </c>
      <c r="G11">
        <v>0</v>
      </c>
      <c r="H11">
        <v>0</v>
      </c>
      <c r="I11">
        <v>0</v>
      </c>
      <c r="J11">
        <v>0</v>
      </c>
      <c r="L11">
        <v>0</v>
      </c>
      <c r="M11">
        <v>0</v>
      </c>
      <c r="N11">
        <v>6.0846499999999998E-2</v>
      </c>
      <c r="O11">
        <v>0</v>
      </c>
      <c r="P11">
        <v>0</v>
      </c>
      <c r="Q11">
        <v>798.63490000000002</v>
      </c>
      <c r="U11">
        <v>8.1673480630000004</v>
      </c>
      <c r="Y11">
        <v>2857.0015010000002</v>
      </c>
      <c r="Z11">
        <v>2674.4135630000001</v>
      </c>
      <c r="AA11">
        <v>2871.9362120000001</v>
      </c>
    </row>
    <row r="12" spans="1:30" x14ac:dyDescent="0.3">
      <c r="A12">
        <v>273</v>
      </c>
      <c r="B12" t="s">
        <v>94</v>
      </c>
      <c r="C12">
        <v>1970</v>
      </c>
      <c r="G12">
        <v>0</v>
      </c>
      <c r="H12">
        <v>0</v>
      </c>
      <c r="I12">
        <v>0</v>
      </c>
      <c r="J12">
        <v>0</v>
      </c>
      <c r="L12">
        <v>0</v>
      </c>
      <c r="M12">
        <v>0</v>
      </c>
      <c r="N12">
        <v>6.0846499999999998E-2</v>
      </c>
      <c r="O12">
        <v>0</v>
      </c>
      <c r="P12">
        <v>0</v>
      </c>
      <c r="Q12">
        <v>805.32730000000004</v>
      </c>
      <c r="T12">
        <v>0.29520709899999997</v>
      </c>
      <c r="U12">
        <v>7.3297931619999996</v>
      </c>
      <c r="Y12">
        <v>2863.57609</v>
      </c>
      <c r="Z12">
        <v>2683.1001310000001</v>
      </c>
      <c r="AA12">
        <v>2878.806474</v>
      </c>
      <c r="AB12">
        <v>0.204288513</v>
      </c>
    </row>
    <row r="13" spans="1:30" x14ac:dyDescent="0.3">
      <c r="A13">
        <v>273</v>
      </c>
      <c r="B13" t="s">
        <v>94</v>
      </c>
      <c r="C13">
        <v>1971</v>
      </c>
      <c r="G13">
        <v>0</v>
      </c>
      <c r="H13">
        <v>0</v>
      </c>
      <c r="I13">
        <v>0</v>
      </c>
      <c r="J13">
        <v>0</v>
      </c>
      <c r="L13">
        <v>0</v>
      </c>
      <c r="M13">
        <v>0</v>
      </c>
      <c r="N13">
        <v>6.0846499999999998E-2</v>
      </c>
      <c r="O13">
        <v>0</v>
      </c>
      <c r="P13">
        <v>0</v>
      </c>
      <c r="Q13">
        <v>809.40689999999995</v>
      </c>
      <c r="T13">
        <v>0.37262318999999999</v>
      </c>
      <c r="U13">
        <v>9.4366209689999998</v>
      </c>
      <c r="Y13">
        <v>2867.880533</v>
      </c>
      <c r="Z13">
        <v>2693.0434019999998</v>
      </c>
      <c r="AA13">
        <v>2883.9270769999998</v>
      </c>
      <c r="AB13">
        <v>0.29901555000000002</v>
      </c>
    </row>
    <row r="14" spans="1:30" x14ac:dyDescent="0.3">
      <c r="A14">
        <v>273</v>
      </c>
      <c r="B14" t="s">
        <v>94</v>
      </c>
      <c r="C14">
        <v>1972</v>
      </c>
      <c r="E14">
        <v>1972</v>
      </c>
      <c r="F14">
        <v>1</v>
      </c>
      <c r="G14">
        <v>2930</v>
      </c>
      <c r="H14">
        <v>2465</v>
      </c>
      <c r="I14">
        <v>2.79</v>
      </c>
      <c r="J14">
        <v>0</v>
      </c>
      <c r="K14">
        <v>1</v>
      </c>
      <c r="L14">
        <v>7.9827579999999996</v>
      </c>
      <c r="M14">
        <v>1</v>
      </c>
      <c r="N14">
        <v>6.0846499999999998E-2</v>
      </c>
      <c r="O14">
        <v>5.7634569999999998</v>
      </c>
      <c r="P14">
        <v>4.7578740000000002</v>
      </c>
      <c r="Q14">
        <v>817.55730000000005</v>
      </c>
      <c r="T14">
        <v>0.38210308700000001</v>
      </c>
      <c r="U14">
        <v>9.8632856189999991</v>
      </c>
      <c r="Y14">
        <v>2874.6866749999999</v>
      </c>
      <c r="Z14">
        <v>2704.4990389999998</v>
      </c>
      <c r="AA14">
        <v>2891.436318</v>
      </c>
      <c r="AB14">
        <v>0.31456660400000003</v>
      </c>
    </row>
    <row r="15" spans="1:30" x14ac:dyDescent="0.3">
      <c r="A15">
        <v>273</v>
      </c>
      <c r="B15" t="s">
        <v>94</v>
      </c>
      <c r="C15">
        <v>1973</v>
      </c>
      <c r="G15">
        <v>0</v>
      </c>
      <c r="H15">
        <v>0</v>
      </c>
      <c r="I15">
        <v>0</v>
      </c>
      <c r="J15">
        <v>0</v>
      </c>
      <c r="L15">
        <v>0</v>
      </c>
      <c r="M15">
        <v>0</v>
      </c>
      <c r="N15">
        <v>6.0846499999999998E-2</v>
      </c>
      <c r="O15">
        <v>0</v>
      </c>
      <c r="P15">
        <v>0</v>
      </c>
      <c r="Q15">
        <v>825.62739999999997</v>
      </c>
      <c r="T15">
        <v>0.52329975500000003</v>
      </c>
      <c r="U15">
        <v>11.18358439</v>
      </c>
      <c r="Y15">
        <v>2881.3983720000001</v>
      </c>
      <c r="Z15">
        <v>2713.401261</v>
      </c>
      <c r="AA15">
        <v>2898.4889830000002</v>
      </c>
      <c r="AB15">
        <v>0.47173615200000002</v>
      </c>
    </row>
    <row r="16" spans="1:30" x14ac:dyDescent="0.3">
      <c r="A16">
        <v>273</v>
      </c>
      <c r="B16" t="s">
        <v>94</v>
      </c>
      <c r="C16">
        <v>1974</v>
      </c>
      <c r="G16">
        <v>0</v>
      </c>
      <c r="H16">
        <v>0</v>
      </c>
      <c r="I16">
        <v>0</v>
      </c>
      <c r="J16">
        <v>0</v>
      </c>
      <c r="L16">
        <v>0</v>
      </c>
      <c r="M16">
        <v>0</v>
      </c>
      <c r="N16">
        <v>6.0846499999999998E-2</v>
      </c>
      <c r="O16">
        <v>0</v>
      </c>
      <c r="P16">
        <v>0</v>
      </c>
      <c r="Q16">
        <v>831.56550000000004</v>
      </c>
      <c r="T16">
        <v>2.642304287</v>
      </c>
      <c r="U16">
        <v>63.773912039999999</v>
      </c>
      <c r="Y16">
        <v>2885.304611</v>
      </c>
      <c r="Z16">
        <v>2719.8117689999999</v>
      </c>
      <c r="AA16">
        <v>2902.792817</v>
      </c>
      <c r="AB16">
        <v>2.5728202539999998</v>
      </c>
    </row>
    <row r="17" spans="1:29" x14ac:dyDescent="0.3">
      <c r="A17">
        <v>273</v>
      </c>
      <c r="B17" t="s">
        <v>94</v>
      </c>
      <c r="C17">
        <v>1975</v>
      </c>
      <c r="E17">
        <v>1975</v>
      </c>
      <c r="F17">
        <v>1</v>
      </c>
      <c r="G17">
        <v>500</v>
      </c>
      <c r="H17">
        <v>500</v>
      </c>
      <c r="I17">
        <v>0</v>
      </c>
      <c r="J17">
        <v>0</v>
      </c>
      <c r="K17">
        <v>1</v>
      </c>
      <c r="L17">
        <v>6.2146080000000001</v>
      </c>
      <c r="M17">
        <v>1</v>
      </c>
      <c r="N17">
        <v>6.0846499999999998E-2</v>
      </c>
      <c r="O17">
        <v>2.2204220000000001</v>
      </c>
      <c r="P17">
        <v>2.2480410000000002</v>
      </c>
      <c r="Q17">
        <v>837.15060000000005</v>
      </c>
      <c r="T17">
        <v>2.5574817539999999</v>
      </c>
      <c r="U17">
        <v>45.74162535</v>
      </c>
      <c r="Y17">
        <v>2890.029669</v>
      </c>
      <c r="Z17">
        <v>2731.737959</v>
      </c>
      <c r="AA17">
        <v>2908.7087510000001</v>
      </c>
      <c r="AB17">
        <v>2.4901073720000002</v>
      </c>
    </row>
    <row r="18" spans="1:29" x14ac:dyDescent="0.3">
      <c r="A18">
        <v>273</v>
      </c>
      <c r="B18" t="s">
        <v>94</v>
      </c>
      <c r="C18">
        <v>1976</v>
      </c>
      <c r="E18">
        <v>1976</v>
      </c>
      <c r="F18">
        <v>1</v>
      </c>
      <c r="G18">
        <v>1686.9666999999999</v>
      </c>
      <c r="H18">
        <v>876.4</v>
      </c>
      <c r="I18">
        <v>4.8634000000000004</v>
      </c>
      <c r="J18">
        <v>0</v>
      </c>
      <c r="K18">
        <v>1</v>
      </c>
      <c r="L18">
        <v>7.4306869999999998</v>
      </c>
      <c r="M18">
        <v>1</v>
      </c>
      <c r="N18">
        <v>6.0846499999999998E-2</v>
      </c>
      <c r="O18">
        <v>5.1243850000000002</v>
      </c>
      <c r="P18">
        <v>6.4087540000000001</v>
      </c>
      <c r="Q18">
        <v>841.47320000000002</v>
      </c>
      <c r="T18">
        <v>3.0831152679999998</v>
      </c>
      <c r="U18">
        <v>47.35727369</v>
      </c>
      <c r="Y18">
        <v>2893.6925660000002</v>
      </c>
      <c r="Z18">
        <v>2738.375747</v>
      </c>
      <c r="AA18">
        <v>2912.884814</v>
      </c>
      <c r="AB18">
        <v>2.987059704</v>
      </c>
    </row>
    <row r="19" spans="1:29" x14ac:dyDescent="0.3">
      <c r="A19">
        <v>273</v>
      </c>
      <c r="B19" t="s">
        <v>94</v>
      </c>
      <c r="C19">
        <v>1977</v>
      </c>
      <c r="E19">
        <v>1977</v>
      </c>
      <c r="F19">
        <v>3</v>
      </c>
      <c r="G19">
        <v>20988.628000000001</v>
      </c>
      <c r="H19">
        <v>18772.844000000001</v>
      </c>
      <c r="I19">
        <v>11.6759</v>
      </c>
      <c r="J19">
        <v>269.8</v>
      </c>
      <c r="K19">
        <v>0.13571320000000001</v>
      </c>
      <c r="L19">
        <v>9.9517360000000004</v>
      </c>
      <c r="M19">
        <v>1</v>
      </c>
      <c r="N19">
        <v>6.0846499999999998E-2</v>
      </c>
      <c r="O19">
        <v>107.47929999999999</v>
      </c>
      <c r="P19">
        <v>52.78546</v>
      </c>
      <c r="Q19">
        <v>844.80759999999998</v>
      </c>
      <c r="T19">
        <v>3.4683168969999998</v>
      </c>
      <c r="U19">
        <v>48.8897111</v>
      </c>
      <c r="Y19">
        <v>2896.4190079999998</v>
      </c>
      <c r="Z19">
        <v>2738.3652080000002</v>
      </c>
      <c r="AA19">
        <v>2915.1386659999998</v>
      </c>
      <c r="AB19">
        <v>3.3362466030000002</v>
      </c>
    </row>
    <row r="20" spans="1:29" x14ac:dyDescent="0.3">
      <c r="A20">
        <v>273</v>
      </c>
      <c r="B20" t="s">
        <v>94</v>
      </c>
      <c r="C20">
        <v>1978</v>
      </c>
      <c r="G20">
        <v>0</v>
      </c>
      <c r="H20">
        <v>0</v>
      </c>
      <c r="I20">
        <v>0</v>
      </c>
      <c r="J20">
        <v>0</v>
      </c>
      <c r="L20">
        <v>0</v>
      </c>
      <c r="M20">
        <v>0</v>
      </c>
      <c r="N20">
        <v>6.0846499999999998E-2</v>
      </c>
      <c r="O20">
        <v>0</v>
      </c>
      <c r="P20">
        <v>0</v>
      </c>
      <c r="Q20">
        <v>853.38580000000002</v>
      </c>
      <c r="T20">
        <v>3.734712349</v>
      </c>
      <c r="U20">
        <v>46.356615310000002</v>
      </c>
      <c r="Y20">
        <v>2903.1411149999999</v>
      </c>
      <c r="Z20">
        <v>2747.3912150000001</v>
      </c>
      <c r="AA20">
        <v>2922.2578699999999</v>
      </c>
      <c r="AB20">
        <v>3.6201299680000001</v>
      </c>
    </row>
    <row r="21" spans="1:29" x14ac:dyDescent="0.3">
      <c r="A21">
        <v>273</v>
      </c>
      <c r="B21" t="s">
        <v>94</v>
      </c>
      <c r="C21">
        <v>1979</v>
      </c>
      <c r="E21">
        <v>1979</v>
      </c>
      <c r="F21">
        <v>2</v>
      </c>
      <c r="G21">
        <v>12391.324000000001</v>
      </c>
      <c r="H21">
        <v>10429.691000000001</v>
      </c>
      <c r="I21">
        <v>10.505000000000001</v>
      </c>
      <c r="J21">
        <v>210.8</v>
      </c>
      <c r="K21">
        <v>0</v>
      </c>
      <c r="L21">
        <v>9.4247519999999998</v>
      </c>
      <c r="M21">
        <v>1</v>
      </c>
      <c r="N21">
        <v>6.0846499999999998E-2</v>
      </c>
      <c r="O21">
        <v>86.234629999999996</v>
      </c>
      <c r="P21">
        <v>51.580179999999999</v>
      </c>
      <c r="Q21">
        <v>862.64200000000005</v>
      </c>
      <c r="T21">
        <v>8.7100353229999996</v>
      </c>
      <c r="U21">
        <v>58.48579883</v>
      </c>
      <c r="V21">
        <v>-4.0197262059999996</v>
      </c>
      <c r="X21">
        <v>-1.3755801830000001</v>
      </c>
      <c r="Y21">
        <v>2911.6463680000002</v>
      </c>
      <c r="Z21">
        <v>2756.5431359999998</v>
      </c>
      <c r="AA21">
        <v>2930.875947</v>
      </c>
      <c r="AB21">
        <v>8.7163601049999997</v>
      </c>
    </row>
    <row r="22" spans="1:29" x14ac:dyDescent="0.3">
      <c r="A22">
        <v>273</v>
      </c>
      <c r="B22" t="s">
        <v>94</v>
      </c>
      <c r="C22">
        <v>1980</v>
      </c>
      <c r="E22">
        <v>1980</v>
      </c>
      <c r="F22">
        <v>1</v>
      </c>
      <c r="G22">
        <v>500</v>
      </c>
      <c r="H22">
        <v>500</v>
      </c>
      <c r="I22">
        <v>0</v>
      </c>
      <c r="J22">
        <v>0</v>
      </c>
      <c r="K22">
        <v>1</v>
      </c>
      <c r="L22">
        <v>6.2146080000000001</v>
      </c>
      <c r="M22">
        <v>1</v>
      </c>
      <c r="N22">
        <v>6.0846499999999998E-2</v>
      </c>
      <c r="O22">
        <v>3.3406030000000002</v>
      </c>
      <c r="P22">
        <v>3.382155</v>
      </c>
      <c r="Q22">
        <v>871.70060000000001</v>
      </c>
      <c r="R22">
        <v>843.89930000000004</v>
      </c>
      <c r="T22">
        <v>9.7909105049999994</v>
      </c>
      <c r="U22">
        <v>114.7930417</v>
      </c>
      <c r="V22">
        <v>-5.080455487</v>
      </c>
      <c r="X22">
        <v>-2.4271337430000002</v>
      </c>
      <c r="Y22">
        <v>2921.45505</v>
      </c>
      <c r="Z22">
        <v>2765.6592999999998</v>
      </c>
      <c r="AA22">
        <v>2940.5638279999998</v>
      </c>
      <c r="AB22">
        <v>9.6173141710000003</v>
      </c>
      <c r="AC22">
        <v>31.25</v>
      </c>
    </row>
    <row r="23" spans="1:29" x14ac:dyDescent="0.3">
      <c r="A23">
        <v>273</v>
      </c>
      <c r="B23" t="s">
        <v>94</v>
      </c>
      <c r="C23">
        <v>1981</v>
      </c>
      <c r="G23">
        <v>0</v>
      </c>
      <c r="H23">
        <v>0</v>
      </c>
      <c r="I23">
        <v>0</v>
      </c>
      <c r="J23">
        <v>0</v>
      </c>
      <c r="L23">
        <v>0</v>
      </c>
      <c r="M23">
        <v>0</v>
      </c>
      <c r="N23">
        <v>6.0846499999999998E-2</v>
      </c>
      <c r="O23">
        <v>0</v>
      </c>
      <c r="P23">
        <v>0</v>
      </c>
      <c r="Q23">
        <v>879.89449999999999</v>
      </c>
      <c r="R23">
        <v>851.2704</v>
      </c>
      <c r="T23">
        <v>7.6493229720000002</v>
      </c>
      <c r="U23">
        <v>104.72232080000001</v>
      </c>
      <c r="V23">
        <v>-6.1524628000000003</v>
      </c>
      <c r="X23">
        <v>-2.7970217270000002</v>
      </c>
      <c r="Y23">
        <v>2928.568518</v>
      </c>
      <c r="Z23">
        <v>2775.4331219999999</v>
      </c>
      <c r="AA23">
        <v>2948.1451520000001</v>
      </c>
      <c r="AB23">
        <v>7.4276270469999996</v>
      </c>
      <c r="AC23">
        <v>44</v>
      </c>
    </row>
    <row r="24" spans="1:29" x14ac:dyDescent="0.3">
      <c r="A24">
        <v>273</v>
      </c>
      <c r="B24" t="s">
        <v>94</v>
      </c>
      <c r="C24">
        <v>1982</v>
      </c>
      <c r="G24">
        <v>0</v>
      </c>
      <c r="H24">
        <v>0</v>
      </c>
      <c r="I24">
        <v>0</v>
      </c>
      <c r="J24">
        <v>0</v>
      </c>
      <c r="L24">
        <v>0</v>
      </c>
      <c r="M24">
        <v>0</v>
      </c>
      <c r="N24">
        <v>6.0846499999999998E-2</v>
      </c>
      <c r="O24">
        <v>0</v>
      </c>
      <c r="P24">
        <v>0</v>
      </c>
      <c r="Q24">
        <v>879.37139999999999</v>
      </c>
      <c r="R24">
        <v>850.68420000000003</v>
      </c>
      <c r="T24">
        <v>8.1264833169999999</v>
      </c>
      <c r="U24">
        <v>85.243560419999994</v>
      </c>
      <c r="V24">
        <v>-3.1899825939999999</v>
      </c>
      <c r="X24">
        <v>2.771801822</v>
      </c>
      <c r="Y24">
        <v>2926.0648110000002</v>
      </c>
      <c r="Z24">
        <v>2777.4437929999999</v>
      </c>
      <c r="AA24">
        <v>2946.4591230000001</v>
      </c>
      <c r="AB24">
        <v>7.503972589</v>
      </c>
      <c r="AC24">
        <v>56.99</v>
      </c>
    </row>
    <row r="25" spans="1:29" x14ac:dyDescent="0.3">
      <c r="A25">
        <v>273</v>
      </c>
      <c r="B25" t="s">
        <v>94</v>
      </c>
      <c r="C25">
        <v>1983</v>
      </c>
      <c r="G25">
        <v>0</v>
      </c>
      <c r="H25">
        <v>0</v>
      </c>
      <c r="I25">
        <v>0</v>
      </c>
      <c r="J25">
        <v>0</v>
      </c>
      <c r="L25">
        <v>0</v>
      </c>
      <c r="M25">
        <v>0</v>
      </c>
      <c r="N25">
        <v>6.0846499999999998E-2</v>
      </c>
      <c r="O25">
        <v>0</v>
      </c>
      <c r="P25">
        <v>0</v>
      </c>
      <c r="Q25">
        <v>875.81500000000005</v>
      </c>
      <c r="R25">
        <v>847.40539999999999</v>
      </c>
      <c r="T25">
        <v>12.223584219999999</v>
      </c>
      <c r="U25">
        <v>71.88537968</v>
      </c>
      <c r="V25">
        <v>3.7564229669999998</v>
      </c>
      <c r="X25">
        <v>8.782703884</v>
      </c>
      <c r="Y25">
        <v>2920.5571770000001</v>
      </c>
      <c r="Z25">
        <v>2780.1308140000001</v>
      </c>
      <c r="AA25">
        <v>2942.5147200000001</v>
      </c>
      <c r="AB25">
        <v>11.72615549</v>
      </c>
      <c r="AC25">
        <v>48.3</v>
      </c>
    </row>
    <row r="26" spans="1:29" x14ac:dyDescent="0.3">
      <c r="A26">
        <v>273</v>
      </c>
      <c r="B26" t="s">
        <v>94</v>
      </c>
      <c r="C26">
        <v>1984</v>
      </c>
      <c r="G26">
        <v>0</v>
      </c>
      <c r="H26">
        <v>0</v>
      </c>
      <c r="I26">
        <v>0</v>
      </c>
      <c r="J26">
        <v>0</v>
      </c>
      <c r="L26">
        <v>0</v>
      </c>
      <c r="M26">
        <v>0</v>
      </c>
      <c r="N26">
        <v>6.0846499999999998E-2</v>
      </c>
      <c r="O26">
        <v>0</v>
      </c>
      <c r="P26">
        <v>0</v>
      </c>
      <c r="Q26">
        <v>879.16420000000005</v>
      </c>
      <c r="R26">
        <v>850.9511</v>
      </c>
      <c r="T26">
        <v>10.12537957</v>
      </c>
      <c r="U26">
        <v>65.307983179999994</v>
      </c>
      <c r="V26">
        <v>2.2701432989999999</v>
      </c>
      <c r="X26">
        <v>6.9412222789999998</v>
      </c>
      <c r="Y26">
        <v>2923.7633970000002</v>
      </c>
      <c r="Z26">
        <v>2786.5123330000001</v>
      </c>
      <c r="AA26">
        <v>2946.3549509999998</v>
      </c>
      <c r="AB26">
        <v>9.844442291</v>
      </c>
      <c r="AC26">
        <v>48</v>
      </c>
    </row>
    <row r="27" spans="1:29" x14ac:dyDescent="0.3">
      <c r="A27">
        <v>273</v>
      </c>
      <c r="B27" t="s">
        <v>94</v>
      </c>
      <c r="C27">
        <v>1985</v>
      </c>
      <c r="G27">
        <v>0</v>
      </c>
      <c r="H27">
        <v>0</v>
      </c>
      <c r="I27">
        <v>0</v>
      </c>
      <c r="J27">
        <v>0</v>
      </c>
      <c r="L27">
        <v>0</v>
      </c>
      <c r="M27">
        <v>0</v>
      </c>
      <c r="N27">
        <v>6.0846499999999998E-2</v>
      </c>
      <c r="O27">
        <v>0</v>
      </c>
      <c r="P27">
        <v>0</v>
      </c>
      <c r="Q27">
        <v>881.31399999999996</v>
      </c>
      <c r="R27">
        <v>853.52250000000004</v>
      </c>
      <c r="T27">
        <v>8.9899881330000007</v>
      </c>
      <c r="U27">
        <v>57.849032039999997</v>
      </c>
      <c r="V27">
        <v>0.40979452</v>
      </c>
      <c r="X27">
        <v>3.9355641189999999</v>
      </c>
      <c r="Y27">
        <v>2927.0050660000002</v>
      </c>
      <c r="Z27">
        <v>2787.4127530000001</v>
      </c>
      <c r="AA27">
        <v>2949.1275860000001</v>
      </c>
      <c r="AB27">
        <v>8.6145981999999997</v>
      </c>
      <c r="AC27">
        <v>48.6</v>
      </c>
    </row>
    <row r="28" spans="1:29" x14ac:dyDescent="0.3">
      <c r="A28">
        <v>273</v>
      </c>
      <c r="B28" t="s">
        <v>94</v>
      </c>
      <c r="C28">
        <v>1986</v>
      </c>
      <c r="G28">
        <v>0</v>
      </c>
      <c r="H28">
        <v>0</v>
      </c>
      <c r="I28">
        <v>0</v>
      </c>
      <c r="J28">
        <v>0</v>
      </c>
      <c r="L28">
        <v>0</v>
      </c>
      <c r="M28">
        <v>0</v>
      </c>
      <c r="N28">
        <v>6.0846499999999998E-2</v>
      </c>
      <c r="O28">
        <v>0</v>
      </c>
      <c r="P28">
        <v>0</v>
      </c>
      <c r="Q28">
        <v>878.15200000000004</v>
      </c>
      <c r="R28">
        <v>852.0326</v>
      </c>
      <c r="T28">
        <v>5.3497321820000003</v>
      </c>
      <c r="U28">
        <v>51.564602579999999</v>
      </c>
      <c r="V28">
        <v>-1.0234106380000001</v>
      </c>
      <c r="X28">
        <v>3.2820489300000002</v>
      </c>
      <c r="Y28">
        <v>2924.3863110000002</v>
      </c>
      <c r="Z28">
        <v>2788.8809470000001</v>
      </c>
      <c r="AA28">
        <v>2947.3333379999999</v>
      </c>
      <c r="AB28">
        <v>4.9796285180000002</v>
      </c>
      <c r="AC28">
        <v>49.3</v>
      </c>
    </row>
    <row r="29" spans="1:29" x14ac:dyDescent="0.3">
      <c r="A29">
        <v>273</v>
      </c>
      <c r="B29" t="s">
        <v>94</v>
      </c>
      <c r="C29">
        <v>1987</v>
      </c>
      <c r="G29">
        <v>0</v>
      </c>
      <c r="H29">
        <v>0</v>
      </c>
      <c r="I29">
        <v>0</v>
      </c>
      <c r="J29">
        <v>0</v>
      </c>
      <c r="L29">
        <v>0</v>
      </c>
      <c r="M29">
        <v>0</v>
      </c>
      <c r="N29">
        <v>6.0846499999999998E-2</v>
      </c>
      <c r="O29">
        <v>0</v>
      </c>
      <c r="P29">
        <v>0</v>
      </c>
      <c r="Q29">
        <v>879.87350000000004</v>
      </c>
      <c r="R29">
        <v>851.82360000000006</v>
      </c>
      <c r="T29">
        <v>8.1748742990000007</v>
      </c>
      <c r="U29">
        <v>37.233889040000001</v>
      </c>
      <c r="V29">
        <v>2.8785270089999999</v>
      </c>
      <c r="X29">
        <v>6.0410433780000004</v>
      </c>
      <c r="Y29">
        <v>2924.2526779999998</v>
      </c>
      <c r="Z29">
        <v>2787.667895</v>
      </c>
      <c r="AA29">
        <v>2946.9793220000001</v>
      </c>
      <c r="AB29">
        <v>7.7338820439999996</v>
      </c>
      <c r="AC29">
        <v>54.652999999999999</v>
      </c>
    </row>
    <row r="30" spans="1:29" x14ac:dyDescent="0.3">
      <c r="A30">
        <v>273</v>
      </c>
      <c r="B30" t="s">
        <v>94</v>
      </c>
      <c r="C30">
        <v>1988</v>
      </c>
      <c r="G30">
        <v>0</v>
      </c>
      <c r="H30">
        <v>0</v>
      </c>
      <c r="I30">
        <v>0</v>
      </c>
      <c r="J30">
        <v>0</v>
      </c>
      <c r="L30">
        <v>0</v>
      </c>
      <c r="M30">
        <v>0</v>
      </c>
      <c r="N30">
        <v>6.0846499999999998E-2</v>
      </c>
      <c r="O30">
        <v>0</v>
      </c>
      <c r="P30">
        <v>0</v>
      </c>
      <c r="Q30">
        <v>881.13170000000002</v>
      </c>
      <c r="R30">
        <v>852.65779999999995</v>
      </c>
      <c r="T30">
        <v>4.8926896969999998</v>
      </c>
      <c r="U30">
        <v>32.590668149999999</v>
      </c>
      <c r="V30">
        <v>-1.307185584</v>
      </c>
      <c r="X30">
        <v>1.329210615</v>
      </c>
      <c r="Y30">
        <v>2926.0492159999999</v>
      </c>
      <c r="Z30">
        <v>2787.1659450000002</v>
      </c>
      <c r="AA30">
        <v>2948.3128550000001</v>
      </c>
      <c r="AB30">
        <v>4.6402880550000001</v>
      </c>
      <c r="AC30">
        <v>48.61</v>
      </c>
    </row>
    <row r="31" spans="1:29" x14ac:dyDescent="0.3">
      <c r="A31">
        <v>273</v>
      </c>
      <c r="B31" t="s">
        <v>94</v>
      </c>
      <c r="C31">
        <v>1989</v>
      </c>
      <c r="G31">
        <v>0</v>
      </c>
      <c r="H31">
        <v>0</v>
      </c>
      <c r="I31">
        <v>0</v>
      </c>
      <c r="J31">
        <v>0</v>
      </c>
      <c r="L31">
        <v>0</v>
      </c>
      <c r="M31">
        <v>0</v>
      </c>
      <c r="N31">
        <v>6.0846499999999998E-2</v>
      </c>
      <c r="O31">
        <v>0</v>
      </c>
      <c r="P31">
        <v>0</v>
      </c>
      <c r="Q31">
        <v>885.17880000000002</v>
      </c>
      <c r="R31">
        <v>858.77980000000002</v>
      </c>
      <c r="T31">
        <v>5.9875085160000001</v>
      </c>
      <c r="U31">
        <v>31.223959900000001</v>
      </c>
      <c r="V31">
        <v>-2.6309766849999998</v>
      </c>
      <c r="X31">
        <v>-0.120595841</v>
      </c>
      <c r="Y31">
        <v>2932.61357</v>
      </c>
      <c r="Z31">
        <v>2787.022066</v>
      </c>
      <c r="AA31">
        <v>2953.5737479999998</v>
      </c>
      <c r="AB31">
        <v>5.7931313729999996</v>
      </c>
      <c r="AC31">
        <v>54.11</v>
      </c>
    </row>
    <row r="32" spans="1:29" x14ac:dyDescent="0.3">
      <c r="A32">
        <v>273</v>
      </c>
      <c r="B32" t="s">
        <v>94</v>
      </c>
      <c r="C32">
        <v>1990</v>
      </c>
      <c r="G32">
        <v>0</v>
      </c>
      <c r="H32">
        <v>0</v>
      </c>
      <c r="I32">
        <v>0</v>
      </c>
      <c r="J32">
        <v>0</v>
      </c>
      <c r="L32">
        <v>0</v>
      </c>
      <c r="M32">
        <v>0</v>
      </c>
      <c r="N32">
        <v>6.0846499999999998E-2</v>
      </c>
      <c r="O32">
        <v>0</v>
      </c>
      <c r="P32">
        <v>0</v>
      </c>
      <c r="Q32">
        <v>890.21420000000001</v>
      </c>
      <c r="R32">
        <v>864.45590000000004</v>
      </c>
      <c r="T32">
        <v>6.9837567890000001</v>
      </c>
      <c r="U32">
        <v>36.643739580000002</v>
      </c>
      <c r="V32">
        <v>-2.8520183029999999</v>
      </c>
      <c r="W32">
        <v>46.626857389999998</v>
      </c>
      <c r="X32">
        <v>-1.190414297</v>
      </c>
      <c r="Y32">
        <v>2938.5172309999998</v>
      </c>
      <c r="Z32">
        <v>2789.3172340000001</v>
      </c>
      <c r="AA32">
        <v>2958.8049780000001</v>
      </c>
      <c r="AB32">
        <v>6.8456871359999996</v>
      </c>
      <c r="AC32">
        <v>56.365000000000002</v>
      </c>
    </row>
    <row r="33" spans="1:30" x14ac:dyDescent="0.3">
      <c r="A33">
        <v>273</v>
      </c>
      <c r="B33" t="s">
        <v>94</v>
      </c>
      <c r="C33">
        <v>1991</v>
      </c>
      <c r="G33">
        <v>0</v>
      </c>
      <c r="H33">
        <v>0</v>
      </c>
      <c r="I33">
        <v>0</v>
      </c>
      <c r="J33">
        <v>0</v>
      </c>
      <c r="L33">
        <v>0</v>
      </c>
      <c r="M33">
        <v>0</v>
      </c>
      <c r="N33">
        <v>6.0846499999999998E-2</v>
      </c>
      <c r="O33">
        <v>0</v>
      </c>
      <c r="P33">
        <v>0</v>
      </c>
      <c r="Q33">
        <v>894.32230000000004</v>
      </c>
      <c r="R33">
        <v>869.26949999999999</v>
      </c>
      <c r="T33">
        <v>3.4777676249999998</v>
      </c>
      <c r="U33">
        <v>38.491603920000003</v>
      </c>
      <c r="V33">
        <v>-4.754380909</v>
      </c>
      <c r="W33">
        <v>38.218236490000002</v>
      </c>
      <c r="X33">
        <v>-2.9919260300000001</v>
      </c>
      <c r="Y33">
        <v>2943.2907369999998</v>
      </c>
      <c r="Z33">
        <v>2793.1646919999998</v>
      </c>
      <c r="AA33">
        <v>2963.409083</v>
      </c>
      <c r="AB33">
        <v>3.284431337</v>
      </c>
      <c r="AC33">
        <v>51.982999999999997</v>
      </c>
      <c r="AD33">
        <v>0</v>
      </c>
    </row>
    <row r="34" spans="1:30" x14ac:dyDescent="0.3">
      <c r="A34">
        <v>273</v>
      </c>
      <c r="B34" t="s">
        <v>94</v>
      </c>
      <c r="C34">
        <v>1992</v>
      </c>
      <c r="G34">
        <v>0</v>
      </c>
      <c r="H34">
        <v>0</v>
      </c>
      <c r="I34">
        <v>0</v>
      </c>
      <c r="J34">
        <v>0</v>
      </c>
      <c r="L34">
        <v>0</v>
      </c>
      <c r="M34">
        <v>0</v>
      </c>
      <c r="N34">
        <v>6.0846499999999998E-2</v>
      </c>
      <c r="O34">
        <v>0</v>
      </c>
      <c r="P34">
        <v>0</v>
      </c>
      <c r="Q34">
        <v>897.82939999999996</v>
      </c>
      <c r="R34">
        <v>873.28120000000001</v>
      </c>
      <c r="T34">
        <v>3.2197576620000001</v>
      </c>
      <c r="U34">
        <v>28.85734935</v>
      </c>
      <c r="V34">
        <v>-6.7304112920000003</v>
      </c>
      <c r="W34">
        <v>28.147054019999999</v>
      </c>
      <c r="X34">
        <v>-5.1266998380000004</v>
      </c>
      <c r="Y34">
        <v>2947.1239380000002</v>
      </c>
      <c r="Z34">
        <v>2795.4528730000002</v>
      </c>
      <c r="AA34">
        <v>2966.9624960000001</v>
      </c>
      <c r="AB34">
        <v>3.0409838159999998</v>
      </c>
      <c r="AC34">
        <v>51.298000000000002</v>
      </c>
      <c r="AD34">
        <v>0</v>
      </c>
    </row>
    <row r="35" spans="1:30" x14ac:dyDescent="0.3">
      <c r="A35">
        <v>273</v>
      </c>
      <c r="B35" t="s">
        <v>94</v>
      </c>
      <c r="C35">
        <v>1993</v>
      </c>
      <c r="G35">
        <v>0</v>
      </c>
      <c r="H35">
        <v>0</v>
      </c>
      <c r="I35">
        <v>0</v>
      </c>
      <c r="J35">
        <v>0</v>
      </c>
      <c r="L35">
        <v>0</v>
      </c>
      <c r="M35">
        <v>0</v>
      </c>
      <c r="N35">
        <v>6.0846499999999998E-2</v>
      </c>
      <c r="O35">
        <v>0</v>
      </c>
      <c r="P35">
        <v>0</v>
      </c>
      <c r="Q35">
        <v>900.36749999999995</v>
      </c>
      <c r="R35">
        <v>874.91840000000002</v>
      </c>
      <c r="T35">
        <v>2.2596147869999998</v>
      </c>
      <c r="U35">
        <v>27.680021480000001</v>
      </c>
      <c r="V35">
        <v>-4.6731205530000004</v>
      </c>
      <c r="W35">
        <v>20.375127750000001</v>
      </c>
      <c r="X35">
        <v>-3.197293165</v>
      </c>
      <c r="Y35">
        <v>2947.319227</v>
      </c>
      <c r="Z35">
        <v>2797.459081</v>
      </c>
      <c r="AA35">
        <v>2967.4860819999999</v>
      </c>
      <c r="AB35">
        <v>2.1132223450000001</v>
      </c>
      <c r="AC35">
        <v>51.298000000000002</v>
      </c>
      <c r="AD35">
        <v>0</v>
      </c>
    </row>
    <row r="36" spans="1:30" x14ac:dyDescent="0.3">
      <c r="A36">
        <v>273</v>
      </c>
      <c r="B36" t="s">
        <v>94</v>
      </c>
      <c r="C36">
        <v>1994</v>
      </c>
      <c r="G36">
        <v>0</v>
      </c>
      <c r="H36">
        <v>0</v>
      </c>
      <c r="I36">
        <v>0</v>
      </c>
      <c r="J36">
        <v>0</v>
      </c>
      <c r="L36">
        <v>0</v>
      </c>
      <c r="M36">
        <v>0</v>
      </c>
      <c r="N36">
        <v>6.0846499999999998E-2</v>
      </c>
      <c r="O36">
        <v>0</v>
      </c>
      <c r="P36">
        <v>0</v>
      </c>
      <c r="Q36">
        <v>904.98649999999998</v>
      </c>
      <c r="R36">
        <v>879.03809999999999</v>
      </c>
      <c r="T36">
        <v>1.9463752569999999</v>
      </c>
      <c r="U36">
        <v>22.17919784</v>
      </c>
      <c r="V36">
        <v>-5.6198116789999997</v>
      </c>
      <c r="W36">
        <v>28.1564318</v>
      </c>
      <c r="X36">
        <v>-4.01375685</v>
      </c>
      <c r="Y36">
        <v>2952.4854799999998</v>
      </c>
      <c r="Z36">
        <v>2800.418212</v>
      </c>
      <c r="AA36">
        <v>2972.2528579999998</v>
      </c>
      <c r="AB36">
        <v>1.940285372</v>
      </c>
      <c r="AC36">
        <v>50.924999999999997</v>
      </c>
      <c r="AD36">
        <v>0</v>
      </c>
    </row>
    <row r="37" spans="1:30" x14ac:dyDescent="0.3">
      <c r="A37">
        <v>273</v>
      </c>
      <c r="B37" t="s">
        <v>94</v>
      </c>
      <c r="C37">
        <v>1995</v>
      </c>
      <c r="G37">
        <v>0</v>
      </c>
      <c r="H37">
        <v>0</v>
      </c>
      <c r="I37">
        <v>0</v>
      </c>
      <c r="J37">
        <v>0</v>
      </c>
      <c r="L37">
        <v>0</v>
      </c>
      <c r="M37">
        <v>0</v>
      </c>
      <c r="N37">
        <v>6.0846499999999998E-2</v>
      </c>
      <c r="O37">
        <v>0</v>
      </c>
      <c r="P37">
        <v>0</v>
      </c>
      <c r="Q37">
        <v>899.05539999999996</v>
      </c>
      <c r="R37">
        <v>871.64110000000005</v>
      </c>
      <c r="T37">
        <v>3.0496387249999999</v>
      </c>
      <c r="U37">
        <v>25.780762849999999</v>
      </c>
      <c r="V37">
        <v>-0.43781011600000003</v>
      </c>
      <c r="W37">
        <v>32.458381379999999</v>
      </c>
      <c r="X37">
        <v>1.9864560630000001</v>
      </c>
      <c r="Y37">
        <v>2946.4278559999998</v>
      </c>
      <c r="Z37">
        <v>2799.3297149999999</v>
      </c>
      <c r="AA37">
        <v>2967.104875</v>
      </c>
      <c r="AB37">
        <v>3.1845858749999998</v>
      </c>
      <c r="AC37">
        <v>50.776000000000003</v>
      </c>
      <c r="AD37">
        <v>0</v>
      </c>
    </row>
    <row r="38" spans="1:30" x14ac:dyDescent="0.3">
      <c r="A38">
        <v>273</v>
      </c>
      <c r="B38" t="s">
        <v>94</v>
      </c>
      <c r="C38">
        <v>1996</v>
      </c>
      <c r="G38">
        <v>0</v>
      </c>
      <c r="H38">
        <v>0</v>
      </c>
      <c r="I38">
        <v>0</v>
      </c>
      <c r="J38">
        <v>0</v>
      </c>
      <c r="L38">
        <v>0</v>
      </c>
      <c r="M38">
        <v>0</v>
      </c>
      <c r="N38">
        <v>6.0846499999999998E-2</v>
      </c>
      <c r="O38">
        <v>0</v>
      </c>
      <c r="P38">
        <v>0</v>
      </c>
      <c r="Q38">
        <v>904.76400000000001</v>
      </c>
      <c r="R38">
        <v>875.0634</v>
      </c>
      <c r="T38">
        <v>3.7164532160000001</v>
      </c>
      <c r="U38">
        <v>26.416498279999999</v>
      </c>
      <c r="V38">
        <v>-0.61019365299999995</v>
      </c>
      <c r="W38">
        <v>25.16601782</v>
      </c>
      <c r="X38">
        <v>1.566001746</v>
      </c>
      <c r="Y38">
        <v>2950.8609710000001</v>
      </c>
      <c r="Z38">
        <v>2799.3093699999999</v>
      </c>
      <c r="AA38">
        <v>2970.7210369999998</v>
      </c>
      <c r="AB38">
        <v>3.7205934269999998</v>
      </c>
      <c r="AC38">
        <v>49.774999999999999</v>
      </c>
      <c r="AD38">
        <v>0</v>
      </c>
    </row>
    <row r="39" spans="1:30" x14ac:dyDescent="0.3">
      <c r="A39">
        <v>273</v>
      </c>
      <c r="B39" t="s">
        <v>94</v>
      </c>
      <c r="C39">
        <v>1997</v>
      </c>
      <c r="G39">
        <v>0</v>
      </c>
      <c r="H39">
        <v>0</v>
      </c>
      <c r="I39">
        <v>0</v>
      </c>
      <c r="J39">
        <v>0</v>
      </c>
      <c r="L39">
        <v>0</v>
      </c>
      <c r="M39">
        <v>0</v>
      </c>
      <c r="N39">
        <v>6.0846499999999998E-2</v>
      </c>
      <c r="O39">
        <v>0</v>
      </c>
      <c r="P39">
        <v>0</v>
      </c>
      <c r="Q39">
        <v>911.49519999999995</v>
      </c>
      <c r="R39">
        <v>880.1771</v>
      </c>
      <c r="T39">
        <v>2.7970783460000002</v>
      </c>
      <c r="U39">
        <v>33.4536978</v>
      </c>
      <c r="V39">
        <v>-1.531720719</v>
      </c>
      <c r="W39">
        <v>20.649135900000001</v>
      </c>
      <c r="X39">
        <v>-0.161305806</v>
      </c>
      <c r="Y39">
        <v>2958.0757640000002</v>
      </c>
      <c r="Z39">
        <v>2804.0367219999998</v>
      </c>
      <c r="AA39">
        <v>2977.49233</v>
      </c>
      <c r="AB39">
        <v>2.843128578</v>
      </c>
      <c r="AC39">
        <v>48.795999999999999</v>
      </c>
      <c r="AD39">
        <v>0</v>
      </c>
    </row>
    <row r="40" spans="1:30" x14ac:dyDescent="0.3">
      <c r="A40">
        <v>273</v>
      </c>
      <c r="B40" t="s">
        <v>94</v>
      </c>
      <c r="C40">
        <v>1998</v>
      </c>
      <c r="D40">
        <v>5.4424999999999999</v>
      </c>
      <c r="G40">
        <v>0</v>
      </c>
      <c r="H40">
        <v>0</v>
      </c>
      <c r="I40">
        <v>0</v>
      </c>
      <c r="J40">
        <v>0</v>
      </c>
      <c r="L40">
        <v>0</v>
      </c>
      <c r="M40">
        <v>0</v>
      </c>
      <c r="N40">
        <v>6.0846499999999998E-2</v>
      </c>
      <c r="O40">
        <v>0</v>
      </c>
      <c r="P40">
        <v>0</v>
      </c>
      <c r="Q40">
        <v>916.08979999999997</v>
      </c>
      <c r="R40">
        <v>884.69460000000004</v>
      </c>
      <c r="S40">
        <v>544.25</v>
      </c>
      <c r="T40">
        <v>1.385597862</v>
      </c>
      <c r="U40">
        <v>21.25797068</v>
      </c>
      <c r="V40">
        <v>-3.0375295950000001</v>
      </c>
      <c r="W40">
        <v>22.24362868</v>
      </c>
      <c r="X40">
        <v>-1.7437162150000001</v>
      </c>
      <c r="Y40">
        <v>2964.2916070000001</v>
      </c>
      <c r="Z40">
        <v>2805.4316979999999</v>
      </c>
      <c r="AA40">
        <v>2982.8741060000002</v>
      </c>
      <c r="AB40">
        <v>1.4676714</v>
      </c>
      <c r="AC40">
        <v>40</v>
      </c>
      <c r="AD40">
        <v>0</v>
      </c>
    </row>
    <row r="41" spans="1:30" x14ac:dyDescent="0.3">
      <c r="A41">
        <v>273</v>
      </c>
      <c r="B41" t="s">
        <v>94</v>
      </c>
      <c r="C41">
        <v>1999</v>
      </c>
      <c r="D41">
        <v>6.3624999999999998</v>
      </c>
      <c r="G41">
        <v>0</v>
      </c>
      <c r="H41">
        <v>0</v>
      </c>
      <c r="I41">
        <v>0</v>
      </c>
      <c r="J41">
        <v>0</v>
      </c>
      <c r="L41">
        <v>0</v>
      </c>
      <c r="M41">
        <v>0</v>
      </c>
      <c r="N41">
        <v>6.0846499999999998E-2</v>
      </c>
      <c r="O41">
        <v>0</v>
      </c>
      <c r="P41">
        <v>0</v>
      </c>
      <c r="Q41">
        <v>918.72190000000001</v>
      </c>
      <c r="R41">
        <v>888.82389999999998</v>
      </c>
      <c r="S41">
        <v>636.25</v>
      </c>
      <c r="T41">
        <v>2.0711139410000001</v>
      </c>
      <c r="U41">
        <v>15.951609469999999</v>
      </c>
      <c r="V41">
        <v>-2.3323839020000001</v>
      </c>
      <c r="W41">
        <v>20.48505514</v>
      </c>
      <c r="X41">
        <v>-1.3911802170000001</v>
      </c>
      <c r="Y41">
        <v>2969.0119450000002</v>
      </c>
      <c r="Z41">
        <v>2810.5291820000002</v>
      </c>
      <c r="AA41">
        <v>2987.6585009999999</v>
      </c>
      <c r="AB41">
        <v>2.1311082379999999</v>
      </c>
      <c r="AC41">
        <v>47.822000000000003</v>
      </c>
      <c r="AD41">
        <v>37.436311269999997</v>
      </c>
    </row>
    <row r="42" spans="1:30" x14ac:dyDescent="0.3">
      <c r="A42">
        <v>273</v>
      </c>
      <c r="B42" t="s">
        <v>94</v>
      </c>
      <c r="C42">
        <v>2000</v>
      </c>
      <c r="D42">
        <v>3.54</v>
      </c>
      <c r="G42">
        <v>0</v>
      </c>
      <c r="H42">
        <v>0</v>
      </c>
      <c r="I42">
        <v>0</v>
      </c>
      <c r="J42">
        <v>0</v>
      </c>
      <c r="L42">
        <v>0</v>
      </c>
      <c r="M42">
        <v>0</v>
      </c>
      <c r="N42">
        <v>6.0846499999999998E-2</v>
      </c>
      <c r="O42">
        <v>0</v>
      </c>
      <c r="P42">
        <v>0</v>
      </c>
      <c r="Q42">
        <v>923.88289999999995</v>
      </c>
      <c r="R42">
        <v>894.08349999999996</v>
      </c>
      <c r="S42">
        <v>354</v>
      </c>
      <c r="T42">
        <v>3.3113623630000002</v>
      </c>
      <c r="U42">
        <v>34.322644830000002</v>
      </c>
      <c r="V42">
        <v>-2.6489960739999998</v>
      </c>
      <c r="W42">
        <v>19.069486820000002</v>
      </c>
      <c r="X42">
        <v>-1.6869124550000001</v>
      </c>
      <c r="Y42">
        <v>2975.8967870000001</v>
      </c>
      <c r="Z42">
        <v>2813.6019860000001</v>
      </c>
      <c r="AA42">
        <v>2993.9050379999999</v>
      </c>
      <c r="AB42">
        <v>3.3383732730000002</v>
      </c>
      <c r="AC42">
        <v>28.399000000000001</v>
      </c>
      <c r="AD42">
        <v>34.085440300000002</v>
      </c>
    </row>
    <row r="43" spans="1:30" x14ac:dyDescent="0.3">
      <c r="A43">
        <v>273</v>
      </c>
      <c r="B43" t="s">
        <v>94</v>
      </c>
      <c r="C43">
        <v>2001</v>
      </c>
      <c r="D43">
        <v>3.8675000000000002</v>
      </c>
      <c r="G43">
        <v>0</v>
      </c>
      <c r="H43">
        <v>0</v>
      </c>
      <c r="I43">
        <v>0</v>
      </c>
      <c r="J43">
        <v>0</v>
      </c>
      <c r="L43">
        <v>0</v>
      </c>
      <c r="M43">
        <v>0</v>
      </c>
      <c r="N43">
        <v>6.0846499999999998E-2</v>
      </c>
      <c r="O43">
        <v>0</v>
      </c>
      <c r="P43">
        <v>0</v>
      </c>
      <c r="Q43">
        <v>923.27560000000005</v>
      </c>
      <c r="R43">
        <v>895.2704</v>
      </c>
      <c r="S43">
        <v>386.75</v>
      </c>
      <c r="T43">
        <v>2.3383780590000001</v>
      </c>
      <c r="U43">
        <v>33.937520380000002</v>
      </c>
      <c r="V43">
        <v>-2.346023937</v>
      </c>
      <c r="X43">
        <v>-1.8645868910000001</v>
      </c>
      <c r="Y43">
        <v>2978.3722670000002</v>
      </c>
      <c r="Z43">
        <v>2810.83511</v>
      </c>
      <c r="AA43">
        <v>2995.535277</v>
      </c>
      <c r="AB43">
        <v>2.3926577830000002</v>
      </c>
      <c r="AC43">
        <v>28.26</v>
      </c>
      <c r="AD43">
        <v>33.969460789999999</v>
      </c>
    </row>
    <row r="44" spans="1:30" x14ac:dyDescent="0.3">
      <c r="A44">
        <v>273</v>
      </c>
      <c r="B44" t="s">
        <v>94</v>
      </c>
      <c r="C44">
        <v>2002</v>
      </c>
      <c r="D44">
        <v>3.2949999999999999</v>
      </c>
      <c r="G44">
        <v>0</v>
      </c>
      <c r="H44">
        <v>0</v>
      </c>
      <c r="I44">
        <v>0</v>
      </c>
      <c r="J44">
        <v>0</v>
      </c>
      <c r="L44">
        <v>0</v>
      </c>
      <c r="M44">
        <v>0</v>
      </c>
      <c r="N44">
        <v>6.0846499999999998E-2</v>
      </c>
      <c r="O44">
        <v>0</v>
      </c>
      <c r="P44">
        <v>0</v>
      </c>
      <c r="Q44">
        <v>923.40729999999996</v>
      </c>
      <c r="R44">
        <v>896.26570000000004</v>
      </c>
      <c r="S44">
        <v>329.5</v>
      </c>
      <c r="T44">
        <v>2.504399442</v>
      </c>
      <c r="U44">
        <v>24.74776791</v>
      </c>
      <c r="V44">
        <v>-1.926726326</v>
      </c>
      <c r="X44">
        <v>-1.6705240139999999</v>
      </c>
      <c r="Y44">
        <v>2980.0517989999998</v>
      </c>
      <c r="Z44">
        <v>2811.179036</v>
      </c>
      <c r="AA44">
        <v>2997.0053520000001</v>
      </c>
      <c r="AB44">
        <v>2.5612310800000002</v>
      </c>
      <c r="AC44">
        <v>26.940999999999999</v>
      </c>
      <c r="AD44">
        <v>36.669504490000001</v>
      </c>
    </row>
    <row r="45" spans="1:30" x14ac:dyDescent="0.3">
      <c r="A45">
        <v>273</v>
      </c>
      <c r="B45" t="s">
        <v>94</v>
      </c>
      <c r="C45">
        <v>2003</v>
      </c>
      <c r="D45">
        <v>2.6775000000000002</v>
      </c>
      <c r="G45">
        <v>0</v>
      </c>
      <c r="H45">
        <v>0</v>
      </c>
      <c r="I45">
        <v>0</v>
      </c>
      <c r="J45">
        <v>0</v>
      </c>
      <c r="L45">
        <v>0</v>
      </c>
      <c r="M45">
        <v>0</v>
      </c>
      <c r="N45">
        <v>6.0846499999999998E-2</v>
      </c>
      <c r="O45">
        <v>0</v>
      </c>
      <c r="P45">
        <v>0</v>
      </c>
      <c r="Q45">
        <v>924.82</v>
      </c>
      <c r="R45">
        <v>897.12350000000004</v>
      </c>
      <c r="S45">
        <v>267.75</v>
      </c>
      <c r="T45">
        <v>3.3323456839999999</v>
      </c>
      <c r="U45">
        <v>38.662896750000002</v>
      </c>
      <c r="V45">
        <v>-1.144192415</v>
      </c>
      <c r="X45">
        <v>-1.597714353</v>
      </c>
      <c r="Y45">
        <v>2982.2570129999999</v>
      </c>
      <c r="Z45">
        <v>2811.0234879999998</v>
      </c>
      <c r="AA45">
        <v>2998.8460700000001</v>
      </c>
      <c r="AB45">
        <v>3.1725015640000001</v>
      </c>
      <c r="AC45">
        <v>12.622</v>
      </c>
      <c r="AD45">
        <v>35.262799049999998</v>
      </c>
    </row>
    <row r="46" spans="1:30" x14ac:dyDescent="0.3">
      <c r="A46">
        <v>273</v>
      </c>
      <c r="B46" t="s">
        <v>94</v>
      </c>
      <c r="C46">
        <v>2004</v>
      </c>
      <c r="D46">
        <v>1.95</v>
      </c>
      <c r="G46">
        <v>0</v>
      </c>
      <c r="H46">
        <v>0</v>
      </c>
      <c r="I46">
        <v>0</v>
      </c>
      <c r="J46">
        <v>0</v>
      </c>
      <c r="L46">
        <v>0</v>
      </c>
      <c r="M46">
        <v>0</v>
      </c>
      <c r="N46">
        <v>6.0846499999999998E-2</v>
      </c>
      <c r="O46">
        <v>0</v>
      </c>
      <c r="P46">
        <v>0</v>
      </c>
      <c r="Q46">
        <v>929.02610000000004</v>
      </c>
      <c r="R46">
        <v>902.09630000000004</v>
      </c>
      <c r="S46">
        <v>195</v>
      </c>
      <c r="T46">
        <v>4.1818683249999999</v>
      </c>
      <c r="U46">
        <v>38.655887370000002</v>
      </c>
      <c r="V46">
        <v>-0.89699313700000005</v>
      </c>
      <c r="X46">
        <v>-2.0050370929999999</v>
      </c>
      <c r="Y46">
        <v>2986.9180120000001</v>
      </c>
      <c r="Z46">
        <v>2810.0476629999998</v>
      </c>
      <c r="AA46">
        <v>3002.6657230000001</v>
      </c>
      <c r="AB46">
        <v>3.9131154929999998</v>
      </c>
      <c r="AC46">
        <v>15.673999999999999</v>
      </c>
      <c r="AD46">
        <v>32.871775409999998</v>
      </c>
    </row>
    <row r="47" spans="1:30" x14ac:dyDescent="0.3">
      <c r="A47">
        <v>273</v>
      </c>
      <c r="B47" t="s">
        <v>94</v>
      </c>
      <c r="C47">
        <v>2005</v>
      </c>
      <c r="D47">
        <v>1.7549999999999999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6.0846499999999998E-2</v>
      </c>
      <c r="O47">
        <v>0</v>
      </c>
      <c r="P47">
        <v>0</v>
      </c>
      <c r="Q47">
        <v>932.01350000000002</v>
      </c>
      <c r="R47">
        <v>906.21609999999998</v>
      </c>
      <c r="S47">
        <v>175.5</v>
      </c>
      <c r="T47">
        <v>5.5031950790000002</v>
      </c>
      <c r="U47">
        <v>51.4918421</v>
      </c>
      <c r="V47">
        <v>-1.0317322170000001</v>
      </c>
      <c r="X47">
        <v>-1.6787649710000001</v>
      </c>
      <c r="Y47">
        <v>2989.639686</v>
      </c>
      <c r="Z47">
        <v>2812.2783869999998</v>
      </c>
      <c r="AA47">
        <v>3005.316014</v>
      </c>
      <c r="AB47">
        <v>5.1985463620000001</v>
      </c>
      <c r="AC47">
        <v>14.6</v>
      </c>
      <c r="AD47">
        <v>31.102347380000001</v>
      </c>
    </row>
    <row r="48" spans="1:30" x14ac:dyDescent="0.3">
      <c r="A48">
        <v>273</v>
      </c>
      <c r="B48" t="s">
        <v>94</v>
      </c>
      <c r="C48">
        <v>2006</v>
      </c>
      <c r="D48">
        <v>1.2875000000000001</v>
      </c>
      <c r="G48">
        <v>0</v>
      </c>
      <c r="H48">
        <v>0</v>
      </c>
      <c r="I48">
        <v>0</v>
      </c>
      <c r="J48">
        <v>0</v>
      </c>
      <c r="L48">
        <v>0</v>
      </c>
      <c r="M48">
        <v>0</v>
      </c>
      <c r="N48">
        <v>6.0846499999999998E-2</v>
      </c>
      <c r="O48">
        <v>0</v>
      </c>
      <c r="P48">
        <v>0</v>
      </c>
      <c r="Q48">
        <v>936.89390000000003</v>
      </c>
      <c r="R48">
        <v>911.30029999999999</v>
      </c>
      <c r="S48">
        <v>128.75</v>
      </c>
      <c r="T48">
        <v>5.7014450400000003</v>
      </c>
      <c r="U48">
        <v>71.948154130000006</v>
      </c>
      <c r="V48">
        <v>-0.37714503100000002</v>
      </c>
      <c r="X48">
        <v>-1.436355957</v>
      </c>
      <c r="Y48">
        <v>2993.618579</v>
      </c>
      <c r="Z48">
        <v>2814.9499519999999</v>
      </c>
      <c r="AA48">
        <v>3009.1062790000001</v>
      </c>
      <c r="AB48">
        <v>5.5380025789999996</v>
      </c>
      <c r="AC48">
        <v>12.882199999999999</v>
      </c>
      <c r="AD48">
        <v>29.4934595</v>
      </c>
    </row>
    <row r="49" spans="1:30" x14ac:dyDescent="0.3">
      <c r="A49">
        <v>273</v>
      </c>
      <c r="B49" t="s">
        <v>94</v>
      </c>
      <c r="C49">
        <v>2007</v>
      </c>
      <c r="D49">
        <v>1.2749999999999999</v>
      </c>
      <c r="G49">
        <v>0</v>
      </c>
      <c r="H49">
        <v>0</v>
      </c>
      <c r="I49">
        <v>0</v>
      </c>
      <c r="J49">
        <v>0</v>
      </c>
      <c r="L49">
        <v>0</v>
      </c>
      <c r="M49">
        <v>0</v>
      </c>
      <c r="N49">
        <v>6.0846499999999998E-2</v>
      </c>
      <c r="O49">
        <v>0</v>
      </c>
      <c r="P49">
        <v>0</v>
      </c>
      <c r="Q49">
        <v>939.99350000000004</v>
      </c>
      <c r="R49">
        <v>914.21389999999997</v>
      </c>
      <c r="S49">
        <v>127.5</v>
      </c>
      <c r="T49">
        <v>5.1147289420000002</v>
      </c>
      <c r="U49">
        <v>60.395854559999997</v>
      </c>
      <c r="V49">
        <v>-0.95101264299999999</v>
      </c>
      <c r="X49">
        <v>-1.7326417199999999</v>
      </c>
      <c r="Y49">
        <v>2996.097029</v>
      </c>
      <c r="Z49">
        <v>2816.7563679999998</v>
      </c>
      <c r="AA49">
        <v>3011.4885829999998</v>
      </c>
      <c r="AB49">
        <v>5.0808405499999996</v>
      </c>
      <c r="AC49">
        <v>12.352</v>
      </c>
      <c r="AD49">
        <v>28.811202779999999</v>
      </c>
    </row>
    <row r="50" spans="1:30" x14ac:dyDescent="0.3">
      <c r="A50">
        <v>273</v>
      </c>
      <c r="B50" t="s">
        <v>94</v>
      </c>
      <c r="C50">
        <v>2008</v>
      </c>
      <c r="D50">
        <v>1.5175000000000001</v>
      </c>
      <c r="G50">
        <v>0</v>
      </c>
      <c r="H50">
        <v>0</v>
      </c>
      <c r="I50">
        <v>0</v>
      </c>
      <c r="J50">
        <v>0</v>
      </c>
      <c r="L50">
        <v>0</v>
      </c>
      <c r="M50">
        <v>0</v>
      </c>
      <c r="N50">
        <v>6.0846499999999998E-2</v>
      </c>
      <c r="O50">
        <v>0</v>
      </c>
      <c r="P50">
        <v>0</v>
      </c>
      <c r="Q50">
        <v>941.38419999999996</v>
      </c>
      <c r="R50">
        <v>916.24770000000001</v>
      </c>
      <c r="S50">
        <v>151.75</v>
      </c>
      <c r="T50">
        <v>5.9821979220000001</v>
      </c>
      <c r="U50">
        <v>98.132414850000004</v>
      </c>
      <c r="V50">
        <v>-1.5245101590000001</v>
      </c>
      <c r="X50">
        <v>-2.355447812</v>
      </c>
      <c r="Y50">
        <v>2996.8027120000002</v>
      </c>
      <c r="Z50">
        <v>2819.6406959999999</v>
      </c>
      <c r="AA50">
        <v>3012.5079799999999</v>
      </c>
      <c r="AB50">
        <v>6.044365623</v>
      </c>
      <c r="AC50">
        <v>11.65</v>
      </c>
      <c r="AD50">
        <v>32.891494119999997</v>
      </c>
    </row>
    <row r="51" spans="1:30" x14ac:dyDescent="0.3">
      <c r="A51">
        <v>273</v>
      </c>
      <c r="B51" t="s">
        <v>94</v>
      </c>
      <c r="C51">
        <v>2009</v>
      </c>
      <c r="D51">
        <v>3.36</v>
      </c>
      <c r="G51">
        <v>0</v>
      </c>
      <c r="H51">
        <v>0</v>
      </c>
      <c r="I51">
        <v>0</v>
      </c>
      <c r="J51">
        <v>0</v>
      </c>
      <c r="L51">
        <v>0</v>
      </c>
      <c r="M51">
        <v>0</v>
      </c>
      <c r="N51">
        <v>6.0846499999999998E-2</v>
      </c>
      <c r="O51">
        <v>0</v>
      </c>
      <c r="P51">
        <v>0</v>
      </c>
      <c r="Q51">
        <v>936.56979999999999</v>
      </c>
      <c r="R51">
        <v>910.86530000000005</v>
      </c>
      <c r="S51">
        <v>336</v>
      </c>
      <c r="T51">
        <v>3.4113974460000001</v>
      </c>
      <c r="U51">
        <v>47.50816004</v>
      </c>
      <c r="V51">
        <v>-0.88281679099999999</v>
      </c>
      <c r="X51">
        <v>-1.658009222</v>
      </c>
      <c r="Y51">
        <v>2990.3476649999998</v>
      </c>
      <c r="Z51">
        <v>2822.5377539999999</v>
      </c>
      <c r="AA51">
        <v>3007.467709</v>
      </c>
      <c r="AB51">
        <v>3.436044045</v>
      </c>
      <c r="AC51">
        <v>10.501200000000001</v>
      </c>
      <c r="AD51">
        <v>36.030162519999998</v>
      </c>
    </row>
    <row r="52" spans="1:30" x14ac:dyDescent="0.3">
      <c r="A52">
        <v>273</v>
      </c>
      <c r="B52" t="s">
        <v>94</v>
      </c>
      <c r="C52">
        <v>2010</v>
      </c>
      <c r="D52">
        <v>2.1625000000000001</v>
      </c>
      <c r="G52">
        <v>0</v>
      </c>
      <c r="H52">
        <v>0</v>
      </c>
      <c r="I52">
        <v>0</v>
      </c>
      <c r="J52">
        <v>0</v>
      </c>
      <c r="L52">
        <v>0</v>
      </c>
      <c r="M52">
        <v>0</v>
      </c>
      <c r="N52">
        <v>6.0846499999999998E-2</v>
      </c>
      <c r="O52">
        <v>0</v>
      </c>
      <c r="P52">
        <v>0</v>
      </c>
      <c r="Q52">
        <v>941.55359999999996</v>
      </c>
      <c r="R52">
        <v>915.49620000000004</v>
      </c>
      <c r="S52">
        <v>216.25</v>
      </c>
      <c r="T52">
        <v>4.114182285</v>
      </c>
      <c r="U52">
        <v>81.411059330000001</v>
      </c>
      <c r="V52">
        <v>-0.49813914399999998</v>
      </c>
      <c r="X52">
        <v>-1.357415045</v>
      </c>
      <c r="Y52">
        <v>2993.8762489999999</v>
      </c>
      <c r="Z52">
        <v>2824.7952919999998</v>
      </c>
      <c r="AA52">
        <v>3010.7973649999999</v>
      </c>
      <c r="AB52">
        <v>4.0853189390000004</v>
      </c>
      <c r="AC52">
        <v>10.404</v>
      </c>
      <c r="AD52">
        <v>36.00983643</v>
      </c>
    </row>
    <row r="53" spans="1:30" x14ac:dyDescent="0.3">
      <c r="A53">
        <v>273</v>
      </c>
      <c r="B53" t="s">
        <v>94</v>
      </c>
      <c r="C53">
        <v>2011</v>
      </c>
      <c r="D53">
        <v>1.84</v>
      </c>
      <c r="G53">
        <v>0</v>
      </c>
      <c r="H53">
        <v>0</v>
      </c>
      <c r="I53">
        <v>0</v>
      </c>
      <c r="J53">
        <v>0</v>
      </c>
      <c r="L53">
        <v>0</v>
      </c>
      <c r="M53">
        <v>0</v>
      </c>
      <c r="N53">
        <v>6.0846499999999998E-2</v>
      </c>
      <c r="O53">
        <v>0</v>
      </c>
      <c r="P53">
        <v>0</v>
      </c>
      <c r="Q53">
        <v>945.51859999999999</v>
      </c>
      <c r="R53">
        <v>919.94640000000004</v>
      </c>
      <c r="S53">
        <v>184</v>
      </c>
      <c r="T53">
        <v>5.6143368200000001</v>
      </c>
      <c r="U53">
        <v>96.210313999999997</v>
      </c>
      <c r="V53">
        <v>-1.060512841</v>
      </c>
      <c r="X53">
        <v>-1.4227686399999999</v>
      </c>
      <c r="Y53">
        <v>2997.1813649999999</v>
      </c>
      <c r="Z53">
        <v>2827.7854929999999</v>
      </c>
      <c r="AA53">
        <v>3014.053523</v>
      </c>
      <c r="AB53">
        <v>5.7299079309999996</v>
      </c>
      <c r="AC53">
        <v>10.42</v>
      </c>
      <c r="AD53">
        <v>37.16587432</v>
      </c>
    </row>
    <row r="54" spans="1:30" x14ac:dyDescent="0.3">
      <c r="A54">
        <v>273</v>
      </c>
      <c r="B54" t="s">
        <v>94</v>
      </c>
      <c r="C54">
        <v>2012</v>
      </c>
      <c r="D54">
        <v>1.98660875</v>
      </c>
      <c r="G54">
        <v>0</v>
      </c>
      <c r="H54">
        <v>0</v>
      </c>
      <c r="I54">
        <v>0</v>
      </c>
      <c r="J54">
        <v>0</v>
      </c>
      <c r="L54">
        <v>0</v>
      </c>
      <c r="M54">
        <v>0</v>
      </c>
      <c r="N54">
        <v>6.0846499999999998E-2</v>
      </c>
      <c r="O54">
        <v>0</v>
      </c>
      <c r="P54">
        <v>0</v>
      </c>
      <c r="Q54">
        <v>949.42439999999999</v>
      </c>
      <c r="R54">
        <v>924.3261</v>
      </c>
      <c r="S54">
        <v>198.660875</v>
      </c>
      <c r="T54">
        <v>5.3419514550000002</v>
      </c>
      <c r="U54">
        <v>107.8942059</v>
      </c>
      <c r="V54">
        <v>-1.555248425</v>
      </c>
      <c r="X54">
        <v>-1.216727186</v>
      </c>
      <c r="Y54">
        <v>2999.4936830000001</v>
      </c>
      <c r="Z54">
        <v>2831.0934179999999</v>
      </c>
      <c r="AA54">
        <v>3016.5210670000001</v>
      </c>
      <c r="AB54">
        <v>5.4026541510000001</v>
      </c>
      <c r="AC54">
        <v>10.3591</v>
      </c>
      <c r="AD54">
        <v>37.241986760000003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GDP per capita long</vt:lpstr>
      <vt:lpstr>M1</vt:lpstr>
      <vt:lpstr>GDP quarterly</vt:lpstr>
      <vt:lpstr>Proxy for working capital</vt:lpstr>
      <vt:lpstr>EMBI spreads</vt:lpstr>
      <vt:lpstr>DefaultDummys, ReinhartRogoff</vt:lpstr>
      <vt:lpstr>Default episodes</vt:lpstr>
      <vt:lpstr>Public debt</vt:lpstr>
      <vt:lpstr>Consumption</vt:lpstr>
      <vt:lpstr>Trade balance</vt:lpstr>
      <vt:lpstr>Calibration summary</vt:lpstr>
      <vt:lpstr>GDP long</vt:lpstr>
      <vt:lpstr>Mexico Discoveries</vt:lpstr>
      <vt:lpstr>Data MAFHOLA</vt:lpstr>
      <vt:lpstr>Discoveries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Esquivel Alvarez</cp:lastModifiedBy>
  <dcterms:created xsi:type="dcterms:W3CDTF">2025-07-01T13:08:50Z</dcterms:created>
  <dcterms:modified xsi:type="dcterms:W3CDTF">2026-08-07T16:39:52Z</dcterms:modified>
</cp:coreProperties>
</file>