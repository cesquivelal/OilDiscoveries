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265\Box\Research\Papers, submitted\OilDiscoveries\OilDiscoveries_2025_07_30_JPEMacro\Code\Input-Output data analysis\"/>
    </mc:Choice>
  </mc:AlternateContent>
  <xr:revisionPtr revIDLastSave="0" documentId="13_ncr:1_{BD53F07F-26A9-4C8D-8611-EBD3E168B0F8}" xr6:coauthVersionLast="47" xr6:coauthVersionMax="47" xr10:uidLastSave="{00000000-0000-0000-0000-000000000000}"/>
  <bookViews>
    <workbookView xWindow="-108" yWindow="-108" windowWidth="23256" windowHeight="13896" tabRatio="593" activeTab="2" xr2:uid="{00000000-000D-0000-FFFF-FFFF00000000}"/>
  </bookViews>
  <sheets>
    <sheet name="Domestic and imported" sheetId="1" r:id="rId1"/>
    <sheet name="Replicate technical coeff" sheetId="5" r:id="rId2"/>
    <sheet name="Domestic" sheetId="3" r:id="rId3"/>
    <sheet name="Domestic Technical Coeffici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3" l="1"/>
  <c r="C120" i="3"/>
  <c r="C119" i="3"/>
  <c r="C118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J117" i="3"/>
  <c r="J120" i="3"/>
  <c r="J119" i="3"/>
  <c r="G137" i="3"/>
  <c r="H139" i="3"/>
  <c r="H137" i="3"/>
  <c r="J137" i="3"/>
  <c r="D117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J134" i="3"/>
  <c r="J133" i="3"/>
  <c r="J132" i="3"/>
  <c r="J131" i="3"/>
  <c r="J118" i="3"/>
  <c r="D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U120" i="3" s="1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I120" i="3" s="1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W120" i="3" s="1"/>
  <c r="V119" i="3"/>
  <c r="U119" i="3"/>
  <c r="T119" i="3"/>
  <c r="S119" i="3"/>
  <c r="R119" i="3"/>
  <c r="Q119" i="3"/>
  <c r="P119" i="3"/>
  <c r="O119" i="3"/>
  <c r="N119" i="3"/>
  <c r="M119" i="3"/>
  <c r="L119" i="3"/>
  <c r="K119" i="3"/>
  <c r="K120" i="3" s="1"/>
  <c r="I119" i="3"/>
  <c r="H119" i="3"/>
  <c r="G119" i="3"/>
  <c r="F119" i="3"/>
  <c r="E119" i="3"/>
  <c r="D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I118" i="3"/>
  <c r="H118" i="3"/>
  <c r="G118" i="3"/>
  <c r="F118" i="3"/>
  <c r="E118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I117" i="3"/>
  <c r="H117" i="3"/>
  <c r="G117" i="3"/>
  <c r="F117" i="3"/>
  <c r="E117" i="3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P120" i="3" l="1"/>
  <c r="AB120" i="3"/>
  <c r="AN120" i="3"/>
  <c r="AZ120" i="3"/>
  <c r="BL120" i="3"/>
  <c r="BX120" i="3"/>
  <c r="BG120" i="3"/>
  <c r="BS120" i="3"/>
  <c r="E120" i="3"/>
  <c r="H120" i="3"/>
  <c r="V120" i="3"/>
  <c r="AH120" i="3"/>
  <c r="AT120" i="3"/>
  <c r="BF120" i="3"/>
  <c r="BR120" i="3"/>
  <c r="CD120" i="3"/>
  <c r="L120" i="3"/>
  <c r="X120" i="3"/>
  <c r="AJ120" i="3"/>
  <c r="AV120" i="3"/>
  <c r="BH120" i="3"/>
  <c r="BT120" i="3"/>
  <c r="M120" i="3"/>
  <c r="Y120" i="3"/>
  <c r="AK120" i="3"/>
  <c r="AW120" i="3"/>
  <c r="BI120" i="3"/>
  <c r="BU120" i="3"/>
  <c r="N120" i="3"/>
  <c r="Z120" i="3"/>
  <c r="AL120" i="3"/>
  <c r="AX120" i="3"/>
  <c r="BJ120" i="3"/>
  <c r="BV120" i="3"/>
  <c r="O120" i="3"/>
  <c r="AA120" i="3"/>
  <c r="AM120" i="3"/>
  <c r="AY120" i="3"/>
  <c r="BK120" i="3"/>
  <c r="BW120" i="3"/>
  <c r="Q120" i="3"/>
  <c r="AC120" i="3"/>
  <c r="AO120" i="3"/>
  <c r="BA120" i="3"/>
  <c r="BM120" i="3"/>
  <c r="BY120" i="3"/>
  <c r="T120" i="3"/>
  <c r="AF120" i="3"/>
  <c r="AR120" i="3"/>
  <c r="BD120" i="3"/>
  <c r="BP120" i="3"/>
  <c r="CB120" i="3"/>
  <c r="F120" i="3"/>
  <c r="R120" i="3"/>
  <c r="AD120" i="3"/>
  <c r="AP120" i="3"/>
  <c r="BB120" i="3"/>
  <c r="BN120" i="3"/>
  <c r="BZ120" i="3"/>
  <c r="D120" i="3"/>
  <c r="U120" i="3"/>
  <c r="AG120" i="3"/>
  <c r="AS120" i="3"/>
  <c r="BE120" i="3"/>
  <c r="BQ120" i="3"/>
  <c r="CC120" i="3"/>
  <c r="G120" i="3"/>
  <c r="S120" i="3"/>
  <c r="AE120" i="3"/>
  <c r="AQ120" i="3"/>
  <c r="BC120" i="3"/>
  <c r="BO120" i="3"/>
  <c r="CA120" i="3"/>
  <c r="J136" i="3"/>
  <c r="I120" i="3"/>
  <c r="J1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CI6" authorId="0" shapeId="0" xr:uid="{00000000-0006-0000-0000-000001000000}">
      <text>
        <r>
          <rPr>
            <sz val="11"/>
            <rFont val="Calibri"/>
          </rPr>
          <t xml:space="preserve">Metainformación 
a. Precios F.O.B. 
</t>
        </r>
      </text>
    </comment>
    <comment ref="CJ6" authorId="0" shapeId="0" xr:uid="{00000000-0006-0000-0000-000002000000}">
      <text>
        <r>
          <rPr>
            <sz val="11"/>
            <rFont val="Calibri"/>
          </rPr>
          <t xml:space="preserve">Metainformación 
b. Precios C.I.F. (Total F.O.B.) 
</t>
        </r>
      </text>
    </comment>
    <comment ref="A97" authorId="0" shapeId="0" xr:uid="{00000000-0006-0000-0000-000003000000}">
      <text>
        <r>
          <rPr>
            <sz val="11"/>
            <rFont val="Calibri"/>
          </rPr>
          <t>Metainformación 
c. Total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CJ6" authorId="0" shapeId="0" xr:uid="{3A253C8B-F72A-4870-A68D-AC459B953CC4}">
      <text>
        <r>
          <rPr>
            <sz val="11"/>
            <rFont val="Calibri"/>
          </rPr>
          <t xml:space="preserve">Metainformación 
a. Precios F.O.B. 
</t>
        </r>
      </text>
    </comment>
  </commentList>
</comments>
</file>

<file path=xl/sharedStrings.xml><?xml version="1.0" encoding="utf-8"?>
<sst xmlns="http://schemas.openxmlformats.org/spreadsheetml/2006/main" count="1670" uniqueCount="240">
  <si>
    <t>Instituto Nacional de Estadística y Geografía (INEGI).</t>
  </si>
  <si>
    <t>Sistema de Cuentas Nacionales de México. Matriz de Insumo Producto simétrica, Base 2018</t>
  </si>
  <si>
    <t>Matriz simétrica de insumo producto. Industria por industria/ Economía total / Origen doméstico e importado/ Subsector SCIAN/ Millones de pesos a precios básicos</t>
  </si>
  <si>
    <t>Concepto</t>
  </si>
  <si>
    <t>UTPB - Utilización total a precios básicos</t>
  </si>
  <si>
    <t>DI - Demanda intermedia</t>
  </si>
  <si>
    <t>DA - Demanda agregada</t>
  </si>
  <si>
    <t>Total</t>
  </si>
  <si>
    <t>111 - Agricultura</t>
  </si>
  <si>
    <t>112 - Cría y explotación de animales</t>
  </si>
  <si>
    <t>113 - Aprovechamiento forestal</t>
  </si>
  <si>
    <t>114 - Pesca, caza y captura</t>
  </si>
  <si>
    <t>115 - Servicios relacionados con las actividades agropecuarias y forestales</t>
  </si>
  <si>
    <t>211 - Extracción de petróleo y gas</t>
  </si>
  <si>
    <t>212 - Minería de minerales metálicos y no metálicos, excepto petróleo y gas</t>
  </si>
  <si>
    <t>213 - Servicios relacionados con la minería</t>
  </si>
  <si>
    <t>221 - Generación, transmisión, distribución y comercialización de energía eléctrica, suministro de agua y de gas natural por ductos al consumidor final</t>
  </si>
  <si>
    <t>236 - Edificación</t>
  </si>
  <si>
    <t>237 - Construcción de obras de ingeniería civil</t>
  </si>
  <si>
    <t>238 - Trabajos especializados para la construcción</t>
  </si>
  <si>
    <t>311 - Industria alimentaria</t>
  </si>
  <si>
    <t>312 - Industria de las bebidas y del tabaco</t>
  </si>
  <si>
    <t>313 - Fabricación de insumos textiles y acabado de textiles</t>
  </si>
  <si>
    <t>314 - Fabricación de productos textiles, excepto prendas de vestir</t>
  </si>
  <si>
    <t>315 - Fabricación de prendas de vestir</t>
  </si>
  <si>
    <t>316 - Curtido y acabado de cuero y piel, y fabricación de productos de cuero, piel y materiales sucedáneos</t>
  </si>
  <si>
    <t>321 - Industria de la madera</t>
  </si>
  <si>
    <t>322 - Industria del papel</t>
  </si>
  <si>
    <t>323 - Impresión e industrias conexas</t>
  </si>
  <si>
    <t>324 - Fabricación de productos derivados del petróleo y del carbón</t>
  </si>
  <si>
    <t>325 - Industria química</t>
  </si>
  <si>
    <t>326 - Industria del plástico y del hule</t>
  </si>
  <si>
    <t>327 - Fabricación de productos a base de minerales no metálicos</t>
  </si>
  <si>
    <t>331 - Industrias metálicas básicas</t>
  </si>
  <si>
    <t>332 - Fabricación de productos metálicos</t>
  </si>
  <si>
    <t>333 - Fabricación de maquinaria y equipo</t>
  </si>
  <si>
    <t>334 - Fabricación de equipo de computación, comunicación, medición y de otros equipos, componentes y accesorios electrónicos</t>
  </si>
  <si>
    <t>335 - Fabricación de accesorios, aparatos eléctricos y equipo de generación de energía eléctrica</t>
  </si>
  <si>
    <t>336 - Fabricación de equipo de transporte</t>
  </si>
  <si>
    <t>337 - Fabricación de muebles, colchones y persianas</t>
  </si>
  <si>
    <t>339 - Otras industrias manufactureras</t>
  </si>
  <si>
    <t>431 - Comercio al por mayor de abarrotes, alimentos, bebidas, hielo y tabaco</t>
  </si>
  <si>
    <t>461 - Comercio al por menor de abarrotes, alimentos, bebidas, hielo y tabaco</t>
  </si>
  <si>
    <t>481 - Transporte aéreo</t>
  </si>
  <si>
    <t>482 - Transporte por ferrocarril</t>
  </si>
  <si>
    <t>483 - Transporte por agua</t>
  </si>
  <si>
    <t>484 - Autotransporte de carga</t>
  </si>
  <si>
    <t>485 - Transporte terrestre de pasajeros, excepto por ferrocarril</t>
  </si>
  <si>
    <t>486 - Transporte por ductos</t>
  </si>
  <si>
    <t>487 - Transporte turístico</t>
  </si>
  <si>
    <t>488 - Servicios relacionados con el transporte</t>
  </si>
  <si>
    <t>491 - Servicios postales</t>
  </si>
  <si>
    <t>492 - Servicios de mensajería y paquetería</t>
  </si>
  <si>
    <t>493 - Servicios de almacenamiento</t>
  </si>
  <si>
    <t>511 - Edición de periódicos, revistas, libros, software y otros materiales, y edición de estas publicaciones integrada con la impresión</t>
  </si>
  <si>
    <t>512 - Industria fílmica y del video, e industria del sonido</t>
  </si>
  <si>
    <t>515 - Radio y televisión</t>
  </si>
  <si>
    <t>517 - Telecomunicaciones</t>
  </si>
  <si>
    <t>518 - Procesamiento electrónico de información, hospedaje y otros servicios relacionados</t>
  </si>
  <si>
    <t>519 - Otros servicios de información</t>
  </si>
  <si>
    <t>521 - Banca central</t>
  </si>
  <si>
    <t>522 - Instituciones de intermediación crediticia y financiera no bursátil</t>
  </si>
  <si>
    <t>523 - Actividades bursátiles, cambiarias y de inversión financiera</t>
  </si>
  <si>
    <t>524 - Compañías de seguros, fianzas, y administración de fondos para el retiro</t>
  </si>
  <si>
    <t>531 - Servicios inmobiliarios</t>
  </si>
  <si>
    <t>532 - Servicios de alquiler de bienes muebles</t>
  </si>
  <si>
    <t>533 - Servicios de alquiler de marcas registradas, patentes y franquicias</t>
  </si>
  <si>
    <t>541 - Servicios profesionales, científicos y técnicos</t>
  </si>
  <si>
    <t>551 - Corporativos</t>
  </si>
  <si>
    <t>561 - Servicios de apoyo a los negocios</t>
  </si>
  <si>
    <t>562 - Manejo de residuos y servicios de remediación</t>
  </si>
  <si>
    <t>611 - Servicios educativos</t>
  </si>
  <si>
    <t>621 - Servicios médicos de consulta externa y servicios relacionados</t>
  </si>
  <si>
    <t>622 - Hospitales</t>
  </si>
  <si>
    <t>623 - Residencias de asistencia social y para el cuidado de la salud</t>
  </si>
  <si>
    <t>624 - Otros servicios de asistencia social</t>
  </si>
  <si>
    <t>711 - Servicios artísticos, culturales y deportivos, y otros servicios relacionados</t>
  </si>
  <si>
    <t>712 - Museos, sitios históricos, zoológicos y similares</t>
  </si>
  <si>
    <t>713 - Servicios de entretenimiento en instalaciones recreativas y otros servicios recreativos</t>
  </si>
  <si>
    <t>721 - Servicios de alojamiento temporal</t>
  </si>
  <si>
    <t>722 - Servicios de preparación de alimentos y bebidas</t>
  </si>
  <si>
    <t>811 - Servicios de reparación y mantenimiento</t>
  </si>
  <si>
    <t>812 - Servicios personales</t>
  </si>
  <si>
    <t>813 - Asociaciones y organizaciones</t>
  </si>
  <si>
    <t>814 - Hogares con empleados domésticos</t>
  </si>
  <si>
    <t>931 - Actividades legislativas, gubernamentales y de impartición de justicia</t>
  </si>
  <si>
    <t>CP - Consumo Privado</t>
  </si>
  <si>
    <t>CG - Consumo de gobierno</t>
  </si>
  <si>
    <t>P.51b - Formación bruta de capital fijo</t>
  </si>
  <si>
    <t>P.52 - Variación de existencias</t>
  </si>
  <si>
    <r>
      <rPr>
        <b/>
        <vertAlign val="superscript"/>
        <sz val="11"/>
        <rFont val="Calibri"/>
      </rPr>
      <t>a</t>
    </r>
    <r>
      <rPr>
        <b/>
        <sz val="10"/>
        <color rgb="FF000000"/>
        <rFont val="Arial"/>
      </rPr>
      <t xml:space="preserve"> P.6 - Exportaciones de bienes y servicios</t>
    </r>
  </si>
  <si>
    <r>
      <rPr>
        <b/>
        <vertAlign val="superscript"/>
        <sz val="11"/>
        <rFont val="Calibri"/>
      </rPr>
      <t>b</t>
    </r>
    <r>
      <rPr>
        <b/>
        <sz val="10"/>
        <color rgb="FF000000"/>
        <rFont val="Arial"/>
      </rPr>
      <t xml:space="preserve"> P.7 - Importaciones de bienes y servicios</t>
    </r>
  </si>
  <si>
    <t>YA0 - Discrepancia estadística</t>
  </si>
  <si>
    <t xml:space="preserve">     111 - Agricultura</t>
  </si>
  <si>
    <t/>
  </si>
  <si>
    <t xml:space="preserve">     112 - Cría y explotación de animales</t>
  </si>
  <si>
    <t xml:space="preserve">     113 - Aprovechamiento forestal</t>
  </si>
  <si>
    <t xml:space="preserve">     114 - Pesca, caza y captura</t>
  </si>
  <si>
    <t xml:space="preserve">     115 - Servicios relacionados con las actividades agropecuarias y forestales</t>
  </si>
  <si>
    <t xml:space="preserve">     211 - Extracción de petróleo y gas</t>
  </si>
  <si>
    <t xml:space="preserve">     212 - Minería de minerales metálicos y no metálicos, excepto petróleo y gas</t>
  </si>
  <si>
    <t xml:space="preserve">     213 - Servicios relacionados con la minería</t>
  </si>
  <si>
    <t xml:space="preserve">     221 - Generación, transmisión, distribución y comercialización de energía eléctrica, suministro de agua y de gas natural por ductos al consumidor final</t>
  </si>
  <si>
    <t xml:space="preserve">     236 - Edificación</t>
  </si>
  <si>
    <t xml:space="preserve">     237 - Construcción de obras de ingeniería civil</t>
  </si>
  <si>
    <t xml:space="preserve">     238 - Trabajos especializados para la construcción</t>
  </si>
  <si>
    <t xml:space="preserve">     311 - Industria alimentaria</t>
  </si>
  <si>
    <t xml:space="preserve">     312 - Industria de las bebidas y del tabaco</t>
  </si>
  <si>
    <t xml:space="preserve">     313 - Fabricación de insumos textiles y acabado de textiles</t>
  </si>
  <si>
    <t xml:space="preserve">     314 - Fabricación de productos textiles, excepto prendas de vestir</t>
  </si>
  <si>
    <t xml:space="preserve">     315 - Fabricación de prendas de vestir</t>
  </si>
  <si>
    <t xml:space="preserve">     316 - Curtido y acabado de cuero y piel, y fabricación de productos de cuero, piel y materiales sucedáneos</t>
  </si>
  <si>
    <t xml:space="preserve">     321 - Industria de la madera</t>
  </si>
  <si>
    <t xml:space="preserve">     322 - Industria del papel</t>
  </si>
  <si>
    <t xml:space="preserve">     323 - Impresión e industrias conexas</t>
  </si>
  <si>
    <t xml:space="preserve">     324 - Fabricación de productos derivados del petróleo y del carbón</t>
  </si>
  <si>
    <t xml:space="preserve">     325 - Industria química</t>
  </si>
  <si>
    <t xml:space="preserve">     326 - Industria del plástico y del hule</t>
  </si>
  <si>
    <t xml:space="preserve">     327 - Fabricación de productos a base de minerales no metálicos</t>
  </si>
  <si>
    <t xml:space="preserve">     331 - Industrias metálicas básicas</t>
  </si>
  <si>
    <t xml:space="preserve">     332 - Fabricación de productos metálicos</t>
  </si>
  <si>
    <t xml:space="preserve">     333 - Fabricación de maquinaria y equipo</t>
  </si>
  <si>
    <t xml:space="preserve">     334 - Fabricación de equipo de computación, comunicación, medición y de otros equipos, componentes y accesorios electrónicos</t>
  </si>
  <si>
    <t xml:space="preserve">     335 - Fabricación de accesorios, aparatos eléctricos y equipo de generación de energía eléctrica</t>
  </si>
  <si>
    <t xml:space="preserve">     336 - Fabricación de equipo de transporte</t>
  </si>
  <si>
    <t xml:space="preserve">     337 - Fabricación de muebles, colchones y persianas</t>
  </si>
  <si>
    <t xml:space="preserve">     339 - Otras industrias manufactureras</t>
  </si>
  <si>
    <t xml:space="preserve">     431 - Comercio al por mayor de abarrotes, alimentos, bebidas, hielo y tabaco</t>
  </si>
  <si>
    <t xml:space="preserve">     461 - Comercio al por menor de abarrotes, alimentos, bebidas, hielo y tabaco</t>
  </si>
  <si>
    <t xml:space="preserve">     481 - Transporte aéreo</t>
  </si>
  <si>
    <t xml:space="preserve">     482 - Transporte por ferrocarril</t>
  </si>
  <si>
    <t xml:space="preserve">     483 - Transporte por agua</t>
  </si>
  <si>
    <t xml:space="preserve">     484 - Autotransporte de carga</t>
  </si>
  <si>
    <t xml:space="preserve">     485 - Transporte terrestre de pasajeros, excepto por ferrocarril</t>
  </si>
  <si>
    <t xml:space="preserve">     486 - Transporte por ductos</t>
  </si>
  <si>
    <t xml:space="preserve">     487 - Transporte turístico</t>
  </si>
  <si>
    <t xml:space="preserve">     488 - Servicios relacionados con el transporte</t>
  </si>
  <si>
    <t xml:space="preserve">     491 - Servicios postales</t>
  </si>
  <si>
    <t xml:space="preserve">     492 - Servicios de mensajería y paquetería</t>
  </si>
  <si>
    <t xml:space="preserve">     493 - Servicios de almacenamiento</t>
  </si>
  <si>
    <t xml:space="preserve">     511 - Edición de periódicos, revistas, libros, software y otros materiales, y edición de estas publicaciones integrada con la impresión</t>
  </si>
  <si>
    <t xml:space="preserve">     512 - Industria fílmica y del video, e industria del sonido</t>
  </si>
  <si>
    <t xml:space="preserve">     515 - Radio y televisión</t>
  </si>
  <si>
    <t xml:space="preserve">     517 - Telecomunicaciones</t>
  </si>
  <si>
    <t xml:space="preserve">     518 - Procesamiento electrónico de información, hospedaje y otros servicios relacionados</t>
  </si>
  <si>
    <t xml:space="preserve">     519 - Otros servicios de información</t>
  </si>
  <si>
    <t xml:space="preserve">     521 - Banca central</t>
  </si>
  <si>
    <t xml:space="preserve">     522 - Instituciones de intermediación crediticia y financiera no bursátil</t>
  </si>
  <si>
    <t xml:space="preserve">     523 - Actividades bursátiles, cambiarias y de inversión financiera</t>
  </si>
  <si>
    <t xml:space="preserve">     524 - Compañías de seguros, fianzas, y administración de fondos para el retiro</t>
  </si>
  <si>
    <t xml:space="preserve">     531 - Servicios inmobiliarios</t>
  </si>
  <si>
    <t xml:space="preserve">     532 - Servicios de alquiler de bienes muebles</t>
  </si>
  <si>
    <t xml:space="preserve">     533 - Servicios de alquiler de marcas registradas, patentes y franquicias</t>
  </si>
  <si>
    <t xml:space="preserve">     541 - Servicios profesionales, científicos y técnicos</t>
  </si>
  <si>
    <t xml:space="preserve">     551 - Corporativos</t>
  </si>
  <si>
    <t xml:space="preserve">     561 - Servicios de apoyo a los negocios</t>
  </si>
  <si>
    <t xml:space="preserve">     562 - Manejo de residuos y servicios de remediación</t>
  </si>
  <si>
    <t xml:space="preserve">     611 - Servicios educativos</t>
  </si>
  <si>
    <t xml:space="preserve">     621 - Servicios médicos de consulta externa y servicios relacionados</t>
  </si>
  <si>
    <t xml:space="preserve">     622 - Hospitales</t>
  </si>
  <si>
    <t xml:space="preserve">     623 - Residencias de asistencia social y para el cuidado de la salud</t>
  </si>
  <si>
    <t xml:space="preserve">     624 - Otros servicios de asistencia social</t>
  </si>
  <si>
    <t xml:space="preserve">     711 - Servicios artísticos, culturales y deportivos, y otros servicios relacionados</t>
  </si>
  <si>
    <t xml:space="preserve">     712 - Museos, sitios históricos, zoológicos y similares</t>
  </si>
  <si>
    <t xml:space="preserve">     713 - Servicios de entretenimiento en instalaciones recreativas y otros servicios recreativos</t>
  </si>
  <si>
    <t xml:space="preserve">     721 - Servicios de alojamiento temporal</t>
  </si>
  <si>
    <t xml:space="preserve">     722 - Servicios de preparación de alimentos y bebidas</t>
  </si>
  <si>
    <t xml:space="preserve">     811 - Servicios de reparación y mantenimiento</t>
  </si>
  <si>
    <t xml:space="preserve">     812 - Servicios personales</t>
  </si>
  <si>
    <t xml:space="preserve">     813 - Asociaciones y organizaciones</t>
  </si>
  <si>
    <t xml:space="preserve">     814 - Hogares con empleados domésticos</t>
  </si>
  <si>
    <t xml:space="preserve">     931 - Actividades legislativas, gubernamentales y de impartición de justicia</t>
  </si>
  <si>
    <t xml:space="preserve">     UETONI - Usos de la ET de origen nacional e importado</t>
  </si>
  <si>
    <t xml:space="preserve">     P.721 - Compras directas en el exterior por residentes</t>
  </si>
  <si>
    <t xml:space="preserve">     P.621 - Compras directas en el mercado interno por no residentes</t>
  </si>
  <si>
    <t xml:space="preserve">     P.621+P.721 - Compras netas de residentes y no residentes</t>
  </si>
  <si>
    <t xml:space="preserve">     UONI_T - Usos de origen nacional e importado (total)</t>
  </si>
  <si>
    <t xml:space="preserve">     D.21 - Impuestos sobre los productos</t>
  </si>
  <si>
    <t xml:space="preserve">     D.31 - Subsidios a los productos</t>
  </si>
  <si>
    <t xml:space="preserve">     D.21-D.31 - Impuestos sobre los productos, netos</t>
  </si>
  <si>
    <t xml:space="preserve">     UONI_PC - Usos de origen nacional e importado (total a precios comprador)</t>
  </si>
  <si>
    <t xml:space="preserve">     B.1bV - Valor agregado bruto</t>
  </si>
  <si>
    <t xml:space="preserve">     P.1 - Producción</t>
  </si>
  <si>
    <t xml:space="preserve">     B.1bP - Producto interno bruto</t>
  </si>
  <si>
    <r>
      <rPr>
        <sz val="10"/>
        <color rgb="FFFFFFFF"/>
        <rFont val="Arial"/>
      </rPr>
      <t>__</t>
    </r>
    <r>
      <rPr>
        <vertAlign val="superscript"/>
        <sz val="11"/>
        <color rgb="FF000000"/>
        <rFont val="Arial"/>
      </rPr>
      <t>c</t>
    </r>
    <r>
      <rPr>
        <sz val="10"/>
        <color rgb="FF000000"/>
        <rFont val="Arial"/>
      </rPr>
      <t>D.1 - Remuneración de los asalariados</t>
    </r>
  </si>
  <si>
    <t xml:space="preserve">     D.11 - Sueldos y salarios</t>
  </si>
  <si>
    <t xml:space="preserve">     D.11_1 - Salarios</t>
  </si>
  <si>
    <t xml:space="preserve">     D.11_2 - Sueldos</t>
  </si>
  <si>
    <t xml:space="preserve">     D.121 - Contribuciones sociales efectivas de los empleadores</t>
  </si>
  <si>
    <t xml:space="preserve">     D.122 - Contribuciones sociales imputadas de los empleadores</t>
  </si>
  <si>
    <t xml:space="preserve">     D.29-D.39 - Impuestos netos de subsidios sobre la producción</t>
  </si>
  <si>
    <t xml:space="preserve">     D.29_ - Impuestos que gravan la actividad </t>
  </si>
  <si>
    <t xml:space="preserve">     D.39_ - Menos: subsidios</t>
  </si>
  <si>
    <t xml:space="preserve">     B.2b - Excedente bruto de operación</t>
  </si>
  <si>
    <t xml:space="preserve">     PT - Puestos de trabajo</t>
  </si>
  <si>
    <t xml:space="preserve">     PTDRS - Puestos de trabajo dependientes de la razón social</t>
  </si>
  <si>
    <t xml:space="preserve">     PTR - Puestos de trabajo remunerados</t>
  </si>
  <si>
    <t xml:space="preserve">     OT - Obreros y técnicos</t>
  </si>
  <si>
    <t xml:space="preserve">     Emp - Empleados</t>
  </si>
  <si>
    <t xml:space="preserve">     PFTNRD - Propietarios, familiares y otros trabajadores no remunerados</t>
  </si>
  <si>
    <t xml:space="preserve">     PSORS - Personal no dependiente de la razón social, personal suministrado por otra razón social</t>
  </si>
  <si>
    <t xml:space="preserve">     PHOCSS - Personal no dependiente de la razón social, personal por honorarios o comisiones s/sueldo</t>
  </si>
  <si>
    <r>
      <rPr>
        <vertAlign val="superscript"/>
        <sz val="11"/>
        <color rgb="FF000000"/>
        <rFont val="Arial"/>
      </rPr>
      <t>a</t>
    </r>
    <r>
      <rPr>
        <sz val="10"/>
        <color rgb="FF000000"/>
        <rFont val="Arial"/>
      </rPr>
      <t>Precios F.O.B.</t>
    </r>
  </si>
  <si>
    <r>
      <rPr>
        <vertAlign val="superscript"/>
        <sz val="11"/>
        <color rgb="FF000000"/>
        <rFont val="Arial"/>
      </rPr>
      <t>b</t>
    </r>
    <r>
      <rPr>
        <sz val="10"/>
        <color rgb="FF000000"/>
        <rFont val="Arial"/>
      </rPr>
      <t>Precios C.I.F. (Total F.O.B.)</t>
    </r>
  </si>
  <si>
    <r>
      <rPr>
        <vertAlign val="superscript"/>
        <sz val="11"/>
        <color rgb="FF000000"/>
        <rFont val="Arial"/>
      </rPr>
      <t>c</t>
    </r>
    <r>
      <rPr>
        <sz val="10"/>
        <color rgb="FF000000"/>
        <rFont val="Arial"/>
      </rPr>
      <t>Total</t>
    </r>
  </si>
  <si>
    <t>Fuente: INEGI. Sistema de Cuentas Nacionales de México. Matriz de Insumo Producto</t>
  </si>
  <si>
    <t>Matriz simétrica de insumo producto. Industria por industria/ Economía total / Origen doméstico/ Subsector SCIAN/ Millones de pesos a precios básicos</t>
  </si>
  <si>
    <t>UPPB - Utilización de la producción a precios básicos</t>
  </si>
  <si>
    <t>DF - Demanda final</t>
  </si>
  <si>
    <t>CPrv - Consumo privado</t>
  </si>
  <si>
    <t xml:space="preserve">     UON - Usos de origen nacional</t>
  </si>
  <si>
    <t xml:space="preserve">     IET - Importaciones de la economía total</t>
  </si>
  <si>
    <t xml:space="preserve">     P.7 - Importaciones de bienes y servicios</t>
  </si>
  <si>
    <t xml:space="preserve">     UPC - Usos a precios de comprador</t>
  </si>
  <si>
    <t xml:space="preserve">     D.1 - Remuneración de los asalariados</t>
  </si>
  <si>
    <t>Matriz simétrica de insumo producto. Industria por industria/ Economía total / Origen doméstico coeficientes técnicos/ Subsector SCIAN</t>
  </si>
  <si>
    <t xml:space="preserve">     UEION - Usos de la economía interna de origen nacional</t>
  </si>
  <si>
    <t xml:space="preserve">     IEI - Importaciones de la economía interna</t>
  </si>
  <si>
    <t xml:space="preserve">     IBSNS - Impuestos sobre bienes y servicios netos de subsidios</t>
  </si>
  <si>
    <t>lambda</t>
  </si>
  <si>
    <t>share of domestic materials in total materials</t>
  </si>
  <si>
    <t>share of intermediate goods</t>
  </si>
  <si>
    <t>alpha_M</t>
  </si>
  <si>
    <t>labor share</t>
  </si>
  <si>
    <t>alpha_L</t>
  </si>
  <si>
    <t>capital share</t>
  </si>
  <si>
    <t>alpha_K</t>
  </si>
  <si>
    <t>PEMEX</t>
  </si>
  <si>
    <t>cash</t>
  </si>
  <si>
    <t>cash/GDP</t>
  </si>
  <si>
    <t>thousands of pesos</t>
  </si>
  <si>
    <t>million pesos</t>
  </si>
  <si>
    <t>sales</t>
  </si>
  <si>
    <t>cahs/sales</t>
  </si>
  <si>
    <t>2018 statements</t>
  </si>
  <si>
    <t>debt to suppliers</t>
  </si>
  <si>
    <t>cost of sales</t>
  </si>
  <si>
    <t>directly theta?</t>
  </si>
  <si>
    <t>0.7 in model</t>
  </si>
  <si>
    <t>Total minus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</si>
</sst>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"/>
    <numFmt numFmtId="165" formatCode="###,###,###,###,##0.00000"/>
  </numFmts>
  <fonts count="15" x14ac:knownFonts="1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sz val="10"/>
      <name val="Arial"/>
    </font>
    <font>
      <b/>
      <vertAlign val="superscript"/>
      <sz val="11"/>
      <name val="Calibri"/>
    </font>
    <font>
      <b/>
      <sz val="10"/>
      <color rgb="FF000000"/>
      <name val="Arial"/>
    </font>
    <font>
      <sz val="10"/>
      <color rgb="FFFFFFFF"/>
      <name val="Arial"/>
    </font>
    <font>
      <vertAlign val="superscript"/>
      <sz val="11"/>
      <color rgb="FF000000"/>
      <name val="Arial"/>
    </font>
    <font>
      <sz val="10"/>
      <color rgb="FF000000"/>
      <name val="Arial"/>
    </font>
    <font>
      <b/>
      <sz val="16"/>
      <color rgb="FFFF0000"/>
      <name val="Calibri"/>
      <family val="2"/>
    </font>
    <font>
      <b/>
      <sz val="18"/>
      <color rgb="FFFF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top" wrapText="1"/>
    </xf>
    <xf numFmtId="165" fontId="6" fillId="3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0" fillId="4" borderId="0" xfId="0" applyFill="1"/>
    <xf numFmtId="0" fontId="5" fillId="4" borderId="1" xfId="0" applyFont="1" applyFill="1" applyBorder="1" applyAlignment="1">
      <alignment horizontal="center" vertical="top" wrapText="1"/>
    </xf>
    <xf numFmtId="165" fontId="6" fillId="4" borderId="1" xfId="0" applyNumberFormat="1" applyFont="1" applyFill="1" applyBorder="1" applyAlignment="1">
      <alignment horizontal="right"/>
    </xf>
    <xf numFmtId="2" fontId="0" fillId="4" borderId="0" xfId="0" applyNumberFormat="1" applyFill="1"/>
    <xf numFmtId="2" fontId="13" fillId="4" borderId="0" xfId="0" applyNumberFormat="1" applyFont="1" applyFill="1" applyAlignment="1">
      <alignment horizontal="center"/>
    </xf>
    <xf numFmtId="0" fontId="14" fillId="4" borderId="0" xfId="0" applyFont="1" applyFill="1"/>
    <xf numFmtId="0" fontId="14" fillId="0" borderId="0" xfId="0" applyFont="1"/>
    <xf numFmtId="3" fontId="0" fillId="0" borderId="0" xfId="0" applyNumberFormat="1"/>
    <xf numFmtId="2" fontId="12" fillId="0" borderId="0" xfId="0" applyNumberFormat="1" applyFont="1"/>
    <xf numFmtId="0" fontId="14" fillId="0" borderId="2" xfId="0" applyFont="1" applyBorder="1"/>
    <xf numFmtId="2" fontId="12" fillId="0" borderId="3" xfId="0" applyNumberFormat="1" applyFont="1" applyBorder="1"/>
    <xf numFmtId="0" fontId="0" fillId="0" borderId="3" xfId="0" applyBorder="1"/>
    <xf numFmtId="0" fontId="12" fillId="0" borderId="4" xfId="0" applyFont="1" applyBorder="1"/>
    <xf numFmtId="2" fontId="0" fillId="0" borderId="0" xfId="0" applyNumberFormat="1"/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22"/>
  <sheetViews>
    <sheetView workbookViewId="0"/>
  </sheetViews>
  <sheetFormatPr defaultRowHeight="14.4" x14ac:dyDescent="0.3"/>
  <cols>
    <col min="1" max="1" width="35" customWidth="1"/>
    <col min="2" max="89" width="14" customWidth="1"/>
  </cols>
  <sheetData>
    <row r="1" spans="1:89" ht="15.6" x14ac:dyDescent="0.3">
      <c r="A1" s="1" t="s">
        <v>0</v>
      </c>
    </row>
    <row r="2" spans="1:89" x14ac:dyDescent="0.3">
      <c r="A2" s="2" t="s">
        <v>1</v>
      </c>
    </row>
    <row r="3" spans="1:89" x14ac:dyDescent="0.3">
      <c r="A3" s="4" t="s">
        <v>2</v>
      </c>
    </row>
    <row r="5" spans="1:89" x14ac:dyDescent="0.3">
      <c r="A5" s="31" t="s">
        <v>3</v>
      </c>
      <c r="B5" s="33" t="s">
        <v>4</v>
      </c>
      <c r="C5" s="33" t="s">
        <v>5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3" t="s">
        <v>6</v>
      </c>
      <c r="CE5" s="34"/>
      <c r="CF5" s="34"/>
      <c r="CG5" s="34"/>
      <c r="CH5" s="34"/>
      <c r="CI5" s="34"/>
      <c r="CJ5" s="34"/>
      <c r="CK5" s="34"/>
    </row>
    <row r="6" spans="1:89" ht="171.6" x14ac:dyDescent="0.3">
      <c r="A6" s="32"/>
      <c r="B6" s="32"/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30</v>
      </c>
      <c r="AA6" s="9" t="s">
        <v>31</v>
      </c>
      <c r="AB6" s="9" t="s">
        <v>32</v>
      </c>
      <c r="AC6" s="9" t="s">
        <v>33</v>
      </c>
      <c r="AD6" s="9" t="s">
        <v>34</v>
      </c>
      <c r="AE6" s="9" t="s">
        <v>35</v>
      </c>
      <c r="AF6" s="9" t="s">
        <v>36</v>
      </c>
      <c r="AG6" s="9" t="s">
        <v>37</v>
      </c>
      <c r="AH6" s="9" t="s">
        <v>38</v>
      </c>
      <c r="AI6" s="9" t="s">
        <v>39</v>
      </c>
      <c r="AJ6" s="9" t="s">
        <v>40</v>
      </c>
      <c r="AK6" s="9" t="s">
        <v>41</v>
      </c>
      <c r="AL6" s="9" t="s">
        <v>42</v>
      </c>
      <c r="AM6" s="9" t="s">
        <v>43</v>
      </c>
      <c r="AN6" s="9" t="s">
        <v>44</v>
      </c>
      <c r="AO6" s="9" t="s">
        <v>45</v>
      </c>
      <c r="AP6" s="9" t="s">
        <v>46</v>
      </c>
      <c r="AQ6" s="9" t="s">
        <v>47</v>
      </c>
      <c r="AR6" s="9" t="s">
        <v>48</v>
      </c>
      <c r="AS6" s="9" t="s">
        <v>49</v>
      </c>
      <c r="AT6" s="9" t="s">
        <v>50</v>
      </c>
      <c r="AU6" s="9" t="s">
        <v>51</v>
      </c>
      <c r="AV6" s="9" t="s">
        <v>52</v>
      </c>
      <c r="AW6" s="9" t="s">
        <v>53</v>
      </c>
      <c r="AX6" s="9" t="s">
        <v>54</v>
      </c>
      <c r="AY6" s="9" t="s">
        <v>55</v>
      </c>
      <c r="AZ6" s="9" t="s">
        <v>56</v>
      </c>
      <c r="BA6" s="9" t="s">
        <v>57</v>
      </c>
      <c r="BB6" s="9" t="s">
        <v>58</v>
      </c>
      <c r="BC6" s="9" t="s">
        <v>59</v>
      </c>
      <c r="BD6" s="9" t="s">
        <v>60</v>
      </c>
      <c r="BE6" s="9" t="s">
        <v>61</v>
      </c>
      <c r="BF6" s="9" t="s">
        <v>62</v>
      </c>
      <c r="BG6" s="9" t="s">
        <v>63</v>
      </c>
      <c r="BH6" s="9" t="s">
        <v>64</v>
      </c>
      <c r="BI6" s="9" t="s">
        <v>65</v>
      </c>
      <c r="BJ6" s="9" t="s">
        <v>66</v>
      </c>
      <c r="BK6" s="9" t="s">
        <v>67</v>
      </c>
      <c r="BL6" s="9" t="s">
        <v>68</v>
      </c>
      <c r="BM6" s="9" t="s">
        <v>69</v>
      </c>
      <c r="BN6" s="9" t="s">
        <v>70</v>
      </c>
      <c r="BO6" s="9" t="s">
        <v>71</v>
      </c>
      <c r="BP6" s="9" t="s">
        <v>72</v>
      </c>
      <c r="BQ6" s="9" t="s">
        <v>73</v>
      </c>
      <c r="BR6" s="9" t="s">
        <v>74</v>
      </c>
      <c r="BS6" s="9" t="s">
        <v>75</v>
      </c>
      <c r="BT6" s="9" t="s">
        <v>76</v>
      </c>
      <c r="BU6" s="9" t="s">
        <v>77</v>
      </c>
      <c r="BV6" s="9" t="s">
        <v>78</v>
      </c>
      <c r="BW6" s="9" t="s">
        <v>79</v>
      </c>
      <c r="BX6" s="9" t="s">
        <v>80</v>
      </c>
      <c r="BY6" s="9" t="s">
        <v>81</v>
      </c>
      <c r="BZ6" s="9" t="s">
        <v>82</v>
      </c>
      <c r="CA6" s="9" t="s">
        <v>83</v>
      </c>
      <c r="CB6" s="9" t="s">
        <v>84</v>
      </c>
      <c r="CC6" s="9" t="s">
        <v>85</v>
      </c>
      <c r="CD6" s="9" t="s">
        <v>7</v>
      </c>
      <c r="CE6" s="9" t="s">
        <v>86</v>
      </c>
      <c r="CF6" s="9" t="s">
        <v>87</v>
      </c>
      <c r="CG6" s="9" t="s">
        <v>88</v>
      </c>
      <c r="CH6" s="9" t="s">
        <v>89</v>
      </c>
      <c r="CI6" s="9" t="s">
        <v>90</v>
      </c>
      <c r="CJ6" s="9" t="s">
        <v>91</v>
      </c>
      <c r="CK6" s="9" t="s">
        <v>92</v>
      </c>
    </row>
    <row r="7" spans="1:89" x14ac:dyDescent="0.3">
      <c r="A7" s="7" t="s">
        <v>93</v>
      </c>
      <c r="B7" s="10">
        <v>682846.43400000001</v>
      </c>
      <c r="C7" s="10">
        <v>490741.13400000002</v>
      </c>
      <c r="D7" s="10">
        <v>17872.457999999999</v>
      </c>
      <c r="E7" s="10">
        <v>58727.6</v>
      </c>
      <c r="F7" s="10">
        <v>176.56899999999999</v>
      </c>
      <c r="G7" s="10">
        <v>15.593999999999999</v>
      </c>
      <c r="H7" s="10">
        <v>314.23599999999999</v>
      </c>
      <c r="I7" s="10">
        <v>0</v>
      </c>
      <c r="J7" s="10">
        <v>0</v>
      </c>
      <c r="K7" s="10">
        <v>0</v>
      </c>
      <c r="L7" s="10">
        <v>0</v>
      </c>
      <c r="M7" s="10">
        <v>39.5</v>
      </c>
      <c r="N7" s="10">
        <v>1589.433</v>
      </c>
      <c r="O7" s="10">
        <v>9.0779999999999994</v>
      </c>
      <c r="P7" s="10">
        <v>320433.39600000001</v>
      </c>
      <c r="Q7" s="10">
        <v>26560.816999999999</v>
      </c>
      <c r="R7" s="10">
        <v>17644.120999999999</v>
      </c>
      <c r="S7" s="10">
        <v>1015.461</v>
      </c>
      <c r="T7" s="10">
        <v>618.101</v>
      </c>
      <c r="U7" s="10">
        <v>58.905000000000001</v>
      </c>
      <c r="V7" s="10">
        <v>426.57499999999999</v>
      </c>
      <c r="W7" s="10">
        <v>5.2619999999999996</v>
      </c>
      <c r="X7" s="10">
        <v>0</v>
      </c>
      <c r="Y7" s="10">
        <v>0</v>
      </c>
      <c r="Z7" s="10">
        <v>1745.046</v>
      </c>
      <c r="AA7" s="10">
        <v>4243.5519999999997</v>
      </c>
      <c r="AB7" s="10">
        <v>18.295999999999999</v>
      </c>
      <c r="AC7" s="10">
        <v>0</v>
      </c>
      <c r="AD7" s="10">
        <v>0</v>
      </c>
      <c r="AE7" s="10">
        <v>0</v>
      </c>
      <c r="AF7" s="10">
        <v>1.4E-2</v>
      </c>
      <c r="AG7" s="10">
        <v>941.66700000000003</v>
      </c>
      <c r="AH7" s="10">
        <v>0</v>
      </c>
      <c r="AI7" s="10">
        <v>0</v>
      </c>
      <c r="AJ7" s="10">
        <v>458.17099999999999</v>
      </c>
      <c r="AK7" s="10">
        <v>0</v>
      </c>
      <c r="AL7" s="10">
        <v>0.14099999999999999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5.0000000000000001E-3</v>
      </c>
      <c r="BA7" s="10">
        <v>0</v>
      </c>
      <c r="BB7" s="10">
        <v>0</v>
      </c>
      <c r="BC7" s="10">
        <v>1E-3</v>
      </c>
      <c r="BD7" s="10">
        <v>0</v>
      </c>
      <c r="BE7" s="10">
        <v>0</v>
      </c>
      <c r="BF7" s="10">
        <v>0</v>
      </c>
      <c r="BG7" s="10">
        <v>0</v>
      </c>
      <c r="BH7" s="10">
        <v>1.4E-2</v>
      </c>
      <c r="BI7" s="10">
        <v>0</v>
      </c>
      <c r="BJ7" s="10">
        <v>0</v>
      </c>
      <c r="BK7" s="10">
        <v>1.544</v>
      </c>
      <c r="BL7" s="10">
        <v>0</v>
      </c>
      <c r="BM7" s="10">
        <v>1.944</v>
      </c>
      <c r="BN7" s="10">
        <v>0</v>
      </c>
      <c r="BO7" s="10">
        <v>2.75</v>
      </c>
      <c r="BP7" s="10">
        <v>0.10100000000000001</v>
      </c>
      <c r="BQ7" s="10">
        <v>572.65200000000004</v>
      </c>
      <c r="BR7" s="10">
        <v>49.173999999999999</v>
      </c>
      <c r="BS7" s="10">
        <v>265.09300000000002</v>
      </c>
      <c r="BT7" s="10">
        <v>0</v>
      </c>
      <c r="BU7" s="10">
        <v>0</v>
      </c>
      <c r="BV7" s="10">
        <v>8.5000000000000006E-2</v>
      </c>
      <c r="BW7" s="10">
        <v>10430.279</v>
      </c>
      <c r="BX7" s="10">
        <v>26189.762999999999</v>
      </c>
      <c r="BY7" s="10">
        <v>1E-3</v>
      </c>
      <c r="BZ7" s="10">
        <v>13.112</v>
      </c>
      <c r="CA7" s="10">
        <v>251.12799999999999</v>
      </c>
      <c r="CB7" s="10">
        <v>0</v>
      </c>
      <c r="CC7" s="10">
        <v>49.494999999999997</v>
      </c>
      <c r="CD7" s="10">
        <v>192105.3</v>
      </c>
      <c r="CE7" s="10">
        <v>177570.47399999999</v>
      </c>
      <c r="CF7" s="10">
        <v>401.57799999999997</v>
      </c>
      <c r="CG7" s="10">
        <v>15150.198</v>
      </c>
      <c r="CH7" s="10">
        <v>2313.924</v>
      </c>
      <c r="CI7" s="10">
        <v>203046.557</v>
      </c>
      <c r="CJ7" s="10">
        <v>-206377.43100000001</v>
      </c>
      <c r="CK7" s="13" t="s">
        <v>94</v>
      </c>
    </row>
    <row r="8" spans="1:89" x14ac:dyDescent="0.3">
      <c r="A8" s="8" t="s">
        <v>95</v>
      </c>
      <c r="B8" s="11">
        <v>495469.19199999998</v>
      </c>
      <c r="C8" s="11">
        <v>368925.72700000001</v>
      </c>
      <c r="D8" s="11">
        <v>5038.3019999999997</v>
      </c>
      <c r="E8" s="11">
        <v>11934.088</v>
      </c>
      <c r="F8" s="11">
        <v>0</v>
      </c>
      <c r="G8" s="11">
        <v>0</v>
      </c>
      <c r="H8" s="11">
        <v>0</v>
      </c>
      <c r="I8" s="11">
        <v>8.0000000000000002E-3</v>
      </c>
      <c r="J8" s="11">
        <v>1E-3</v>
      </c>
      <c r="K8" s="11">
        <v>1.2E-2</v>
      </c>
      <c r="L8" s="11">
        <v>2E-3</v>
      </c>
      <c r="M8" s="11">
        <v>618.97699999999998</v>
      </c>
      <c r="N8" s="11">
        <v>0.01</v>
      </c>
      <c r="O8" s="11">
        <v>1.0999999999999999E-2</v>
      </c>
      <c r="P8" s="11">
        <v>348273.864</v>
      </c>
      <c r="Q8" s="11">
        <v>3.347</v>
      </c>
      <c r="R8" s="11">
        <v>666.29399999999998</v>
      </c>
      <c r="S8" s="11">
        <v>0</v>
      </c>
      <c r="T8" s="11">
        <v>1E-3</v>
      </c>
      <c r="U8" s="11">
        <v>148.227</v>
      </c>
      <c r="V8" s="11">
        <v>0</v>
      </c>
      <c r="W8" s="11">
        <v>1E-3</v>
      </c>
      <c r="X8" s="11">
        <v>1E-3</v>
      </c>
      <c r="Y8" s="11">
        <v>0</v>
      </c>
      <c r="Z8" s="11">
        <v>379.584</v>
      </c>
      <c r="AA8" s="11">
        <v>2E-3</v>
      </c>
      <c r="AB8" s="11">
        <v>0</v>
      </c>
      <c r="AC8" s="11">
        <v>1E-3</v>
      </c>
      <c r="AD8" s="11">
        <v>1E-3</v>
      </c>
      <c r="AE8" s="11">
        <v>1E-3</v>
      </c>
      <c r="AF8" s="11">
        <v>2E-3</v>
      </c>
      <c r="AG8" s="11">
        <v>5.2999999999999999E-2</v>
      </c>
      <c r="AH8" s="11">
        <v>2.1000000000000001E-2</v>
      </c>
      <c r="AI8" s="11">
        <v>1E-3</v>
      </c>
      <c r="AJ8" s="11">
        <v>184.94399999999999</v>
      </c>
      <c r="AK8" s="11">
        <v>2.9000000000000001E-2</v>
      </c>
      <c r="AL8" s="11">
        <v>4.8000000000000001E-2</v>
      </c>
      <c r="AM8" s="11">
        <v>1E-3</v>
      </c>
      <c r="AN8" s="11">
        <v>0</v>
      </c>
      <c r="AO8" s="11">
        <v>0</v>
      </c>
      <c r="AP8" s="11">
        <v>0</v>
      </c>
      <c r="AQ8" s="11">
        <v>4.0000000000000001E-3</v>
      </c>
      <c r="AR8" s="11">
        <v>0</v>
      </c>
      <c r="AS8" s="11">
        <v>0</v>
      </c>
      <c r="AT8" s="11">
        <v>1E-3</v>
      </c>
      <c r="AU8" s="11">
        <v>0</v>
      </c>
      <c r="AV8" s="11">
        <v>0</v>
      </c>
      <c r="AW8" s="11">
        <v>2E-3</v>
      </c>
      <c r="AX8" s="11">
        <v>0</v>
      </c>
      <c r="AY8" s="11">
        <v>1.4E-2</v>
      </c>
      <c r="AZ8" s="11">
        <v>0.113</v>
      </c>
      <c r="BA8" s="11">
        <v>1.4999999999999999E-2</v>
      </c>
      <c r="BB8" s="11">
        <v>0</v>
      </c>
      <c r="BC8" s="11">
        <v>3.6999999999999998E-2</v>
      </c>
      <c r="BD8" s="11">
        <v>0</v>
      </c>
      <c r="BE8" s="11">
        <v>1.0999999999999999E-2</v>
      </c>
      <c r="BF8" s="11">
        <v>0</v>
      </c>
      <c r="BG8" s="11">
        <v>2E-3</v>
      </c>
      <c r="BH8" s="11">
        <v>0.39500000000000002</v>
      </c>
      <c r="BI8" s="11">
        <v>0</v>
      </c>
      <c r="BJ8" s="11">
        <v>0</v>
      </c>
      <c r="BK8" s="11">
        <v>4.0000000000000001E-3</v>
      </c>
      <c r="BL8" s="11">
        <v>2E-3</v>
      </c>
      <c r="BM8" s="11">
        <v>52.521999999999998</v>
      </c>
      <c r="BN8" s="11">
        <v>0</v>
      </c>
      <c r="BO8" s="11">
        <v>7.6999999999999999E-2</v>
      </c>
      <c r="BP8" s="11">
        <v>2.77</v>
      </c>
      <c r="BQ8" s="11">
        <v>287.68799999999999</v>
      </c>
      <c r="BR8" s="11">
        <v>21.023</v>
      </c>
      <c r="BS8" s="11">
        <v>29.419</v>
      </c>
      <c r="BT8" s="11">
        <v>0</v>
      </c>
      <c r="BU8" s="11">
        <v>0</v>
      </c>
      <c r="BV8" s="11">
        <v>2.306</v>
      </c>
      <c r="BW8" s="11">
        <v>2E-3</v>
      </c>
      <c r="BX8" s="11">
        <v>1274.867</v>
      </c>
      <c r="BY8" s="11">
        <v>4.5999999999999999E-2</v>
      </c>
      <c r="BZ8" s="11">
        <v>3.1539999999999999</v>
      </c>
      <c r="CA8" s="11">
        <v>1E-3</v>
      </c>
      <c r="CB8" s="11">
        <v>0</v>
      </c>
      <c r="CC8" s="11">
        <v>3.4180000000000001</v>
      </c>
      <c r="CD8" s="11">
        <v>126543.465</v>
      </c>
      <c r="CE8" s="11">
        <v>53881.036</v>
      </c>
      <c r="CF8" s="11">
        <v>3.35</v>
      </c>
      <c r="CG8" s="11">
        <v>64919.281000000003</v>
      </c>
      <c r="CH8" s="11">
        <v>4327.2780000000002</v>
      </c>
      <c r="CI8" s="11">
        <v>11279.802</v>
      </c>
      <c r="CJ8" s="11">
        <v>-7867.2820000000002</v>
      </c>
      <c r="CK8" s="12" t="s">
        <v>94</v>
      </c>
    </row>
    <row r="9" spans="1:89" x14ac:dyDescent="0.3">
      <c r="A9" s="7" t="s">
        <v>96</v>
      </c>
      <c r="B9" s="10">
        <v>28827.855</v>
      </c>
      <c r="C9" s="10">
        <v>25766.231</v>
      </c>
      <c r="D9" s="10">
        <v>0</v>
      </c>
      <c r="E9" s="10">
        <v>0</v>
      </c>
      <c r="F9" s="10">
        <v>1262.96</v>
      </c>
      <c r="G9" s="10">
        <v>0</v>
      </c>
      <c r="H9" s="10">
        <v>5.7000000000000002E-2</v>
      </c>
      <c r="I9" s="10">
        <v>0</v>
      </c>
      <c r="J9" s="10">
        <v>0.67100000000000004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766.46299999999997</v>
      </c>
      <c r="Q9" s="10">
        <v>0</v>
      </c>
      <c r="R9" s="10">
        <v>0</v>
      </c>
      <c r="S9" s="10">
        <v>4.5270000000000001</v>
      </c>
      <c r="T9" s="10">
        <v>0.48299999999999998</v>
      </c>
      <c r="U9" s="10">
        <v>170.38300000000001</v>
      </c>
      <c r="V9" s="10">
        <v>15512.361999999999</v>
      </c>
      <c r="W9" s="10">
        <v>1182.954</v>
      </c>
      <c r="X9" s="10">
        <v>0.253</v>
      </c>
      <c r="Y9" s="10">
        <v>0</v>
      </c>
      <c r="Z9" s="10">
        <v>4354.616</v>
      </c>
      <c r="AA9" s="10">
        <v>783.11599999999999</v>
      </c>
      <c r="AB9" s="10">
        <v>366.077</v>
      </c>
      <c r="AC9" s="10">
        <v>0</v>
      </c>
      <c r="AD9" s="10">
        <v>22.077999999999999</v>
      </c>
      <c r="AE9" s="10">
        <v>0</v>
      </c>
      <c r="AF9" s="10">
        <v>2.5960000000000001</v>
      </c>
      <c r="AG9" s="10">
        <v>4.6909999999999998</v>
      </c>
      <c r="AH9" s="10">
        <v>0</v>
      </c>
      <c r="AI9" s="10">
        <v>623.41200000000003</v>
      </c>
      <c r="AJ9" s="10">
        <v>708.42399999999998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8.0000000000000002E-3</v>
      </c>
      <c r="BL9" s="10">
        <v>0</v>
      </c>
      <c r="BM9" s="10">
        <v>0</v>
      </c>
      <c r="BN9" s="10">
        <v>0</v>
      </c>
      <c r="BO9" s="10">
        <v>9.9000000000000005E-2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1E-3</v>
      </c>
      <c r="CD9" s="10">
        <v>3061.6239999999998</v>
      </c>
      <c r="CE9" s="10">
        <v>3236.8159999999998</v>
      </c>
      <c r="CF9" s="10">
        <v>0</v>
      </c>
      <c r="CG9" s="10">
        <v>0</v>
      </c>
      <c r="CH9" s="10">
        <v>6.2530000000000001</v>
      </c>
      <c r="CI9" s="10">
        <v>1368.3620000000001</v>
      </c>
      <c r="CJ9" s="10">
        <v>-1549.807</v>
      </c>
      <c r="CK9" s="13" t="s">
        <v>94</v>
      </c>
    </row>
    <row r="10" spans="1:89" x14ac:dyDescent="0.3">
      <c r="A10" s="8" t="s">
        <v>97</v>
      </c>
      <c r="B10" s="11">
        <v>22972.494999999999</v>
      </c>
      <c r="C10" s="11">
        <v>6172.5129999999999</v>
      </c>
      <c r="D10" s="11">
        <v>0</v>
      </c>
      <c r="E10" s="11">
        <v>3.2000000000000001E-2</v>
      </c>
      <c r="F10" s="11">
        <v>1.7000000000000001E-2</v>
      </c>
      <c r="G10" s="11">
        <v>16.199000000000002</v>
      </c>
      <c r="H10" s="11">
        <v>7.0000000000000001E-3</v>
      </c>
      <c r="I10" s="11">
        <v>2.141</v>
      </c>
      <c r="J10" s="11">
        <v>0.34799999999999998</v>
      </c>
      <c r="K10" s="11">
        <v>3.202</v>
      </c>
      <c r="L10" s="11">
        <v>0.376</v>
      </c>
      <c r="M10" s="11">
        <v>5.5229999999999997</v>
      </c>
      <c r="N10" s="11">
        <v>2.3170000000000002</v>
      </c>
      <c r="O10" s="11">
        <v>2.5289999999999999</v>
      </c>
      <c r="P10" s="11">
        <v>4864.585</v>
      </c>
      <c r="Q10" s="11">
        <v>0.15</v>
      </c>
      <c r="R10" s="11">
        <v>0.06</v>
      </c>
      <c r="S10" s="11">
        <v>5.6000000000000001E-2</v>
      </c>
      <c r="T10" s="11">
        <v>0.17699999999999999</v>
      </c>
      <c r="U10" s="11">
        <v>4.2999999999999997E-2</v>
      </c>
      <c r="V10" s="11">
        <v>0.05</v>
      </c>
      <c r="W10" s="11">
        <v>8.532</v>
      </c>
      <c r="X10" s="11">
        <v>0.125</v>
      </c>
      <c r="Y10" s="11">
        <v>1.6E-2</v>
      </c>
      <c r="Z10" s="11">
        <v>0.45200000000000001</v>
      </c>
      <c r="AA10" s="11">
        <v>0.33800000000000002</v>
      </c>
      <c r="AB10" s="11">
        <v>0.17399999999999999</v>
      </c>
      <c r="AC10" s="11">
        <v>0.23400000000000001</v>
      </c>
      <c r="AD10" s="11">
        <v>0.313</v>
      </c>
      <c r="AE10" s="11">
        <v>0.28599999999999998</v>
      </c>
      <c r="AF10" s="11">
        <v>0.63600000000000001</v>
      </c>
      <c r="AG10" s="11">
        <v>0.152</v>
      </c>
      <c r="AH10" s="11">
        <v>4.4969999999999999</v>
      </c>
      <c r="AI10" s="11">
        <v>0.13600000000000001</v>
      </c>
      <c r="AJ10" s="11">
        <v>0.34300000000000003</v>
      </c>
      <c r="AK10" s="11">
        <v>4.4560000000000004</v>
      </c>
      <c r="AL10" s="11">
        <v>7.0679999999999996</v>
      </c>
      <c r="AM10" s="11">
        <v>0.106</v>
      </c>
      <c r="AN10" s="11">
        <v>4.2000000000000003E-2</v>
      </c>
      <c r="AO10" s="11">
        <v>0.02</v>
      </c>
      <c r="AP10" s="11">
        <v>6.6000000000000003E-2</v>
      </c>
      <c r="AQ10" s="11">
        <v>0.624</v>
      </c>
      <c r="AR10" s="11">
        <v>8.9999999999999993E-3</v>
      </c>
      <c r="AS10" s="11">
        <v>3.0000000000000001E-3</v>
      </c>
      <c r="AT10" s="11">
        <v>0.20699999999999999</v>
      </c>
      <c r="AU10" s="11">
        <v>4.0000000000000001E-3</v>
      </c>
      <c r="AV10" s="11">
        <v>2.1000000000000001E-2</v>
      </c>
      <c r="AW10" s="11">
        <v>0.246</v>
      </c>
      <c r="AX10" s="11">
        <v>0.03</v>
      </c>
      <c r="AY10" s="11">
        <v>0.47599999999999998</v>
      </c>
      <c r="AZ10" s="11">
        <v>0.13100000000000001</v>
      </c>
      <c r="BA10" s="11">
        <v>1.9530000000000001</v>
      </c>
      <c r="BB10" s="11">
        <v>1.2E-2</v>
      </c>
      <c r="BC10" s="11">
        <v>1.2999999999999999E-2</v>
      </c>
      <c r="BD10" s="11">
        <v>2E-3</v>
      </c>
      <c r="BE10" s="11">
        <v>1.71</v>
      </c>
      <c r="BF10" s="11">
        <v>7.8E-2</v>
      </c>
      <c r="BG10" s="11">
        <v>0.23</v>
      </c>
      <c r="BH10" s="11">
        <v>0.71499999999999997</v>
      </c>
      <c r="BI10" s="11">
        <v>8.8999999999999996E-2</v>
      </c>
      <c r="BJ10" s="11">
        <v>2E-3</v>
      </c>
      <c r="BK10" s="11">
        <v>0.76</v>
      </c>
      <c r="BL10" s="11">
        <v>0.26600000000000001</v>
      </c>
      <c r="BM10" s="11">
        <v>0.749</v>
      </c>
      <c r="BN10" s="11">
        <v>1.4E-2</v>
      </c>
      <c r="BO10" s="11">
        <v>1.6990000000000001</v>
      </c>
      <c r="BP10" s="11">
        <v>1.6359999999999999</v>
      </c>
      <c r="BQ10" s="11">
        <v>0.68500000000000005</v>
      </c>
      <c r="BR10" s="11">
        <v>2.8000000000000001E-2</v>
      </c>
      <c r="BS10" s="11">
        <v>0.18</v>
      </c>
      <c r="BT10" s="11">
        <v>7.8E-2</v>
      </c>
      <c r="BU10" s="11">
        <v>0.46200000000000002</v>
      </c>
      <c r="BV10" s="11">
        <v>0.34599999999999997</v>
      </c>
      <c r="BW10" s="11">
        <v>658.279</v>
      </c>
      <c r="BX10" s="11">
        <v>567.99400000000003</v>
      </c>
      <c r="BY10" s="11">
        <v>0.48699999999999999</v>
      </c>
      <c r="BZ10" s="11">
        <v>0.60499999999999998</v>
      </c>
      <c r="CA10" s="11">
        <v>0.24399999999999999</v>
      </c>
      <c r="CB10" s="11">
        <v>0</v>
      </c>
      <c r="CC10" s="11">
        <v>5.6420000000000003</v>
      </c>
      <c r="CD10" s="11">
        <v>16799.982</v>
      </c>
      <c r="CE10" s="11">
        <v>12461.6</v>
      </c>
      <c r="CF10" s="11">
        <v>2E-3</v>
      </c>
      <c r="CG10" s="11">
        <v>23.382000000000001</v>
      </c>
      <c r="CH10" s="11">
        <v>0.32400000000000001</v>
      </c>
      <c r="CI10" s="11">
        <v>4716.085</v>
      </c>
      <c r="CJ10" s="11">
        <v>-401.411</v>
      </c>
      <c r="CK10" s="12" t="s">
        <v>94</v>
      </c>
    </row>
    <row r="11" spans="1:89" x14ac:dyDescent="0.3">
      <c r="A11" s="7" t="s">
        <v>98</v>
      </c>
      <c r="B11" s="10">
        <v>10393.959999999999</v>
      </c>
      <c r="C11" s="10">
        <v>9546.6670000000104</v>
      </c>
      <c r="D11" s="10">
        <v>3859.953</v>
      </c>
      <c r="E11" s="10">
        <v>729.70299999999997</v>
      </c>
      <c r="F11" s="10">
        <v>77.338999999999999</v>
      </c>
      <c r="G11" s="10">
        <v>19.417999999999999</v>
      </c>
      <c r="H11" s="10">
        <v>0.26100000000000001</v>
      </c>
      <c r="I11" s="10">
        <v>0.02</v>
      </c>
      <c r="J11" s="10">
        <v>3.0000000000000001E-3</v>
      </c>
      <c r="K11" s="10">
        <v>1E-3</v>
      </c>
      <c r="L11" s="10">
        <v>5.0000000000000001E-3</v>
      </c>
      <c r="M11" s="10">
        <v>0.22500000000000001</v>
      </c>
      <c r="N11" s="10">
        <v>2.1000000000000001E-2</v>
      </c>
      <c r="O11" s="10">
        <v>6.0000000000000001E-3</v>
      </c>
      <c r="P11" s="10">
        <v>4104.7889999999998</v>
      </c>
      <c r="Q11" s="10">
        <v>1.4E-2</v>
      </c>
      <c r="R11" s="10">
        <v>527.495</v>
      </c>
      <c r="S11" s="10">
        <v>2E-3</v>
      </c>
      <c r="T11" s="10">
        <v>224.95099999999999</v>
      </c>
      <c r="U11" s="10">
        <v>1E-3</v>
      </c>
      <c r="V11" s="10">
        <v>2E-3</v>
      </c>
      <c r="W11" s="10">
        <v>0.01</v>
      </c>
      <c r="X11" s="10">
        <v>3.0000000000000001E-3</v>
      </c>
      <c r="Y11" s="10">
        <v>1.4999999999999999E-2</v>
      </c>
      <c r="Z11" s="10">
        <v>7.4999999999999997E-2</v>
      </c>
      <c r="AA11" s="10">
        <v>1.7999999999999999E-2</v>
      </c>
      <c r="AB11" s="10">
        <v>1.0999999999999999E-2</v>
      </c>
      <c r="AC11" s="10">
        <v>2.1999999999999999E-2</v>
      </c>
      <c r="AD11" s="10">
        <v>1.4999999999999999E-2</v>
      </c>
      <c r="AE11" s="10">
        <v>1.4999999999999999E-2</v>
      </c>
      <c r="AF11" s="10">
        <v>2.1999999999999999E-2</v>
      </c>
      <c r="AG11" s="10">
        <v>1.2E-2</v>
      </c>
      <c r="AH11" s="10">
        <v>0.158</v>
      </c>
      <c r="AI11" s="10">
        <v>4.0000000000000001E-3</v>
      </c>
      <c r="AJ11" s="10">
        <v>0.81200000000000006</v>
      </c>
      <c r="AK11" s="10">
        <v>7.0000000000000007E-2</v>
      </c>
      <c r="AL11" s="10">
        <v>0.05</v>
      </c>
      <c r="AM11" s="10">
        <v>4.0000000000000001E-3</v>
      </c>
      <c r="AN11" s="10">
        <v>1E-3</v>
      </c>
      <c r="AO11" s="10">
        <v>0</v>
      </c>
      <c r="AP11" s="10">
        <v>1.4999999999999999E-2</v>
      </c>
      <c r="AQ11" s="10">
        <v>8.0000000000000002E-3</v>
      </c>
      <c r="AR11" s="10">
        <v>0</v>
      </c>
      <c r="AS11" s="10">
        <v>0</v>
      </c>
      <c r="AT11" s="10">
        <v>2E-3</v>
      </c>
      <c r="AU11" s="10">
        <v>0</v>
      </c>
      <c r="AV11" s="10">
        <v>1E-3</v>
      </c>
      <c r="AW11" s="10">
        <v>0</v>
      </c>
      <c r="AX11" s="10">
        <v>3.9E-2</v>
      </c>
      <c r="AY11" s="10">
        <v>2.4E-2</v>
      </c>
      <c r="AZ11" s="10">
        <v>2.1999999999999999E-2</v>
      </c>
      <c r="BA11" s="10">
        <v>6.0000000000000001E-3</v>
      </c>
      <c r="BB11" s="10">
        <v>0</v>
      </c>
      <c r="BC11" s="10">
        <v>0</v>
      </c>
      <c r="BD11" s="10">
        <v>1E-3</v>
      </c>
      <c r="BE11" s="10">
        <v>0.13300000000000001</v>
      </c>
      <c r="BF11" s="10">
        <v>3.0000000000000001E-3</v>
      </c>
      <c r="BG11" s="10">
        <v>1E-3</v>
      </c>
      <c r="BH11" s="10">
        <v>0.02</v>
      </c>
      <c r="BI11" s="10">
        <v>2E-3</v>
      </c>
      <c r="BJ11" s="10">
        <v>0</v>
      </c>
      <c r="BK11" s="10">
        <v>3.5000000000000003E-2</v>
      </c>
      <c r="BL11" s="10">
        <v>1E-3</v>
      </c>
      <c r="BM11" s="10">
        <v>2.1999999999999999E-2</v>
      </c>
      <c r="BN11" s="10">
        <v>0</v>
      </c>
      <c r="BO11" s="10">
        <v>9.4E-2</v>
      </c>
      <c r="BP11" s="10">
        <v>1.9E-2</v>
      </c>
      <c r="BQ11" s="10">
        <v>3.4000000000000002E-2</v>
      </c>
      <c r="BR11" s="10">
        <v>0</v>
      </c>
      <c r="BS11" s="10">
        <v>0</v>
      </c>
      <c r="BT11" s="10">
        <v>0</v>
      </c>
      <c r="BU11" s="10">
        <v>1E-3</v>
      </c>
      <c r="BV11" s="10">
        <v>2E-3</v>
      </c>
      <c r="BW11" s="10">
        <v>5.0000000000000001E-3</v>
      </c>
      <c r="BX11" s="10">
        <v>1.4999999999999999E-2</v>
      </c>
      <c r="BY11" s="10">
        <v>5.0000000000000001E-3</v>
      </c>
      <c r="BZ11" s="10">
        <v>1E-3</v>
      </c>
      <c r="CA11" s="10">
        <v>4.5999999999999999E-2</v>
      </c>
      <c r="CB11" s="10">
        <v>0</v>
      </c>
      <c r="CC11" s="10">
        <v>0.58399999999999996</v>
      </c>
      <c r="CD11" s="10">
        <v>847.29300000000001</v>
      </c>
      <c r="CE11" s="10">
        <v>828.85900000000004</v>
      </c>
      <c r="CF11" s="10">
        <v>0.32400000000000001</v>
      </c>
      <c r="CG11" s="10">
        <v>25.881</v>
      </c>
      <c r="CH11" s="10">
        <v>0</v>
      </c>
      <c r="CI11" s="10">
        <v>0.41699999999999998</v>
      </c>
      <c r="CJ11" s="10">
        <v>-8.1880000000000006</v>
      </c>
      <c r="CK11" s="13" t="s">
        <v>94</v>
      </c>
    </row>
    <row r="12" spans="1:89" x14ac:dyDescent="0.3">
      <c r="A12" s="8" t="s">
        <v>99</v>
      </c>
      <c r="B12" s="11">
        <v>886533.21499999997</v>
      </c>
      <c r="C12" s="11">
        <v>392468.63699999999</v>
      </c>
      <c r="D12" s="11">
        <v>4.4169999999999998</v>
      </c>
      <c r="E12" s="11">
        <v>8.0570000000000004</v>
      </c>
      <c r="F12" s="11">
        <v>0.11899999999999999</v>
      </c>
      <c r="G12" s="11">
        <v>0.218</v>
      </c>
      <c r="H12" s="11">
        <v>8.4000000000000005E-2</v>
      </c>
      <c r="I12" s="11">
        <v>3.6269999999999998</v>
      </c>
      <c r="J12" s="11">
        <v>1.7490000000000001</v>
      </c>
      <c r="K12" s="11">
        <v>0.90200000000000002</v>
      </c>
      <c r="L12" s="11">
        <v>3.2429999999999999</v>
      </c>
      <c r="M12" s="11">
        <v>35.283000000000001</v>
      </c>
      <c r="N12" s="11">
        <v>4.8490000000000002</v>
      </c>
      <c r="O12" s="11">
        <v>2.6960000000000002</v>
      </c>
      <c r="P12" s="11">
        <v>34.100999999999999</v>
      </c>
      <c r="Q12" s="11">
        <v>3.4420000000000002</v>
      </c>
      <c r="R12" s="11">
        <v>0.85299999999999998</v>
      </c>
      <c r="S12" s="11">
        <v>0.67400000000000004</v>
      </c>
      <c r="T12" s="11">
        <v>1.4330000000000001</v>
      </c>
      <c r="U12" s="11">
        <v>0.86199999999999999</v>
      </c>
      <c r="V12" s="11">
        <v>1.0509999999999999</v>
      </c>
      <c r="W12" s="11">
        <v>5.0209999999999999</v>
      </c>
      <c r="X12" s="11">
        <v>1.3540000000000001</v>
      </c>
      <c r="Y12" s="11">
        <v>280842.23200000002</v>
      </c>
      <c r="Z12" s="11">
        <v>111324.16</v>
      </c>
      <c r="AA12" s="11">
        <v>8.3369999999999997</v>
      </c>
      <c r="AB12" s="11">
        <v>5.258</v>
      </c>
      <c r="AC12" s="11">
        <v>12.183999999999999</v>
      </c>
      <c r="AD12" s="11">
        <v>7.65</v>
      </c>
      <c r="AE12" s="11">
        <v>8.6069999999999993</v>
      </c>
      <c r="AF12" s="11">
        <v>12.086</v>
      </c>
      <c r="AG12" s="11">
        <v>6.4189999999999996</v>
      </c>
      <c r="AH12" s="11">
        <v>68.119</v>
      </c>
      <c r="AI12" s="11">
        <v>2</v>
      </c>
      <c r="AJ12" s="11">
        <v>3.0339999999999998</v>
      </c>
      <c r="AK12" s="11">
        <v>4.18</v>
      </c>
      <c r="AL12" s="11">
        <v>1.9830000000000001</v>
      </c>
      <c r="AM12" s="11">
        <v>1.9430000000000001</v>
      </c>
      <c r="AN12" s="11">
        <v>0.24099999999999999</v>
      </c>
      <c r="AO12" s="11">
        <v>0.154</v>
      </c>
      <c r="AP12" s="11">
        <v>4.3550000000000004</v>
      </c>
      <c r="AQ12" s="11">
        <v>3.194</v>
      </c>
      <c r="AR12" s="11">
        <v>0.128</v>
      </c>
      <c r="AS12" s="11">
        <v>1.9E-2</v>
      </c>
      <c r="AT12" s="11">
        <v>1.5309999999999999</v>
      </c>
      <c r="AU12" s="11">
        <v>4.0000000000000001E-3</v>
      </c>
      <c r="AV12" s="11">
        <v>0.29499999999999998</v>
      </c>
      <c r="AW12" s="11">
        <v>0.183</v>
      </c>
      <c r="AX12" s="11">
        <v>6.6000000000000003E-2</v>
      </c>
      <c r="AY12" s="11">
        <v>0.155</v>
      </c>
      <c r="AZ12" s="11">
        <v>0.20599999999999999</v>
      </c>
      <c r="BA12" s="11">
        <v>2.4710000000000001</v>
      </c>
      <c r="BB12" s="11">
        <v>3.5000000000000003E-2</v>
      </c>
      <c r="BC12" s="11">
        <v>3.0000000000000001E-3</v>
      </c>
      <c r="BD12" s="11">
        <v>0.13900000000000001</v>
      </c>
      <c r="BE12" s="11">
        <v>1.238</v>
      </c>
      <c r="BF12" s="11">
        <v>4.3999999999999997E-2</v>
      </c>
      <c r="BG12" s="11">
        <v>8.5000000000000006E-2</v>
      </c>
      <c r="BH12" s="11">
        <v>2.3460000000000001</v>
      </c>
      <c r="BI12" s="11">
        <v>0.86</v>
      </c>
      <c r="BJ12" s="11">
        <v>5.0000000000000001E-3</v>
      </c>
      <c r="BK12" s="11">
        <v>2.0179999999999998</v>
      </c>
      <c r="BL12" s="11">
        <v>0.28100000000000003</v>
      </c>
      <c r="BM12" s="11">
        <v>3.7189999999999999</v>
      </c>
      <c r="BN12" s="11">
        <v>0.19500000000000001</v>
      </c>
      <c r="BO12" s="11">
        <v>1.6240000000000001</v>
      </c>
      <c r="BP12" s="11">
        <v>2.4119999999999999</v>
      </c>
      <c r="BQ12" s="11">
        <v>4.4740000000000002</v>
      </c>
      <c r="BR12" s="11">
        <v>4.1000000000000002E-2</v>
      </c>
      <c r="BS12" s="11">
        <v>0.30099999999999999</v>
      </c>
      <c r="BT12" s="11">
        <v>0.215</v>
      </c>
      <c r="BU12" s="11">
        <v>6.6000000000000003E-2</v>
      </c>
      <c r="BV12" s="11">
        <v>0.72799999999999998</v>
      </c>
      <c r="BW12" s="11">
        <v>2.3380000000000001</v>
      </c>
      <c r="BX12" s="11">
        <v>4.117</v>
      </c>
      <c r="BY12" s="11">
        <v>1.9790000000000001</v>
      </c>
      <c r="BZ12" s="11">
        <v>0.69699999999999995</v>
      </c>
      <c r="CA12" s="11">
        <v>0.5</v>
      </c>
      <c r="CB12" s="11">
        <v>0</v>
      </c>
      <c r="CC12" s="11">
        <v>2.948</v>
      </c>
      <c r="CD12" s="11">
        <v>494064.57799999998</v>
      </c>
      <c r="CE12" s="11">
        <v>518.71299999999997</v>
      </c>
      <c r="CF12" s="11">
        <v>0</v>
      </c>
      <c r="CG12" s="11">
        <v>95.936000000000007</v>
      </c>
      <c r="CH12" s="11">
        <v>7.0000000000000001E-3</v>
      </c>
      <c r="CI12" s="11">
        <v>493451.48800000001</v>
      </c>
      <c r="CJ12" s="11">
        <v>-1.5660000000000001</v>
      </c>
      <c r="CK12" s="12" t="s">
        <v>94</v>
      </c>
    </row>
    <row r="13" spans="1:89" x14ac:dyDescent="0.3">
      <c r="A13" s="7" t="s">
        <v>100</v>
      </c>
      <c r="B13" s="10">
        <v>421712.98100000003</v>
      </c>
      <c r="C13" s="10">
        <v>379330.24599999998</v>
      </c>
      <c r="D13" s="10">
        <v>514.20600000000002</v>
      </c>
      <c r="E13" s="10">
        <v>228.398</v>
      </c>
      <c r="F13" s="10">
        <v>15.74</v>
      </c>
      <c r="G13" s="10">
        <v>14.302</v>
      </c>
      <c r="H13" s="10">
        <v>2.0230000000000001</v>
      </c>
      <c r="I13" s="10">
        <v>744.66800000000001</v>
      </c>
      <c r="J13" s="10">
        <v>9820.3259999999991</v>
      </c>
      <c r="K13" s="10">
        <v>393.95800000000003</v>
      </c>
      <c r="L13" s="10">
        <v>17960.148000000001</v>
      </c>
      <c r="M13" s="10">
        <v>26384.014999999999</v>
      </c>
      <c r="N13" s="10">
        <v>14441.717000000001</v>
      </c>
      <c r="O13" s="10">
        <v>5003.5889999999999</v>
      </c>
      <c r="P13" s="10">
        <v>855.41800000000001</v>
      </c>
      <c r="Q13" s="10">
        <v>810.23599999999999</v>
      </c>
      <c r="R13" s="10">
        <v>1.4379999999999999</v>
      </c>
      <c r="S13" s="10">
        <v>2.0619999999999998</v>
      </c>
      <c r="T13" s="10">
        <v>4.4569999999999999</v>
      </c>
      <c r="U13" s="10">
        <v>2.4279999999999999</v>
      </c>
      <c r="V13" s="10">
        <v>2.6930000000000001</v>
      </c>
      <c r="W13" s="10">
        <v>178.18899999999999</v>
      </c>
      <c r="X13" s="10">
        <v>6.2789999999999999</v>
      </c>
      <c r="Y13" s="10">
        <v>831.61400000000003</v>
      </c>
      <c r="Z13" s="10">
        <v>12783.308999999999</v>
      </c>
      <c r="AA13" s="10">
        <v>172.71899999999999</v>
      </c>
      <c r="AB13" s="10">
        <v>64801.688999999998</v>
      </c>
      <c r="AC13" s="10">
        <v>216543.25700000001</v>
      </c>
      <c r="AD13" s="10">
        <v>1186.204</v>
      </c>
      <c r="AE13" s="10">
        <v>44.966999999999999</v>
      </c>
      <c r="AF13" s="10">
        <v>80.355000000000004</v>
      </c>
      <c r="AG13" s="10">
        <v>363.892</v>
      </c>
      <c r="AH13" s="10">
        <v>1296.414</v>
      </c>
      <c r="AI13" s="10">
        <v>4.9109999999999996</v>
      </c>
      <c r="AJ13" s="10">
        <v>1083.44</v>
      </c>
      <c r="AK13" s="10">
        <v>181.167</v>
      </c>
      <c r="AL13" s="10">
        <v>183.483</v>
      </c>
      <c r="AM13" s="10">
        <v>10.614000000000001</v>
      </c>
      <c r="AN13" s="10">
        <v>29.597000000000001</v>
      </c>
      <c r="AO13" s="10">
        <v>1.292</v>
      </c>
      <c r="AP13" s="10">
        <v>191.286</v>
      </c>
      <c r="AQ13" s="10">
        <v>360.94900000000001</v>
      </c>
      <c r="AR13" s="10">
        <v>21.934000000000001</v>
      </c>
      <c r="AS13" s="10">
        <v>1.9330000000000001</v>
      </c>
      <c r="AT13" s="10">
        <v>35.046999999999997</v>
      </c>
      <c r="AU13" s="10">
        <v>2.9000000000000001E-2</v>
      </c>
      <c r="AV13" s="10">
        <v>35.043999999999997</v>
      </c>
      <c r="AW13" s="10">
        <v>4.6390000000000002</v>
      </c>
      <c r="AX13" s="10">
        <v>3.137</v>
      </c>
      <c r="AY13" s="10">
        <v>14.541</v>
      </c>
      <c r="AZ13" s="10">
        <v>20.841000000000001</v>
      </c>
      <c r="BA13" s="10">
        <v>161.696</v>
      </c>
      <c r="BB13" s="10">
        <v>1.3169999999999999</v>
      </c>
      <c r="BC13" s="10">
        <v>0.51</v>
      </c>
      <c r="BD13" s="10">
        <v>3.3000000000000002E-2</v>
      </c>
      <c r="BE13" s="10">
        <v>34.154000000000003</v>
      </c>
      <c r="BF13" s="10">
        <v>2.5590000000000002</v>
      </c>
      <c r="BG13" s="10">
        <v>5.306</v>
      </c>
      <c r="BH13" s="10">
        <v>191.75899999999999</v>
      </c>
      <c r="BI13" s="10">
        <v>15.063000000000001</v>
      </c>
      <c r="BJ13" s="10">
        <v>0.14599999999999999</v>
      </c>
      <c r="BK13" s="10">
        <v>66.78</v>
      </c>
      <c r="BL13" s="10">
        <v>3.9510000000000001</v>
      </c>
      <c r="BM13" s="10">
        <v>58.366999999999997</v>
      </c>
      <c r="BN13" s="10">
        <v>1.1879999999999999</v>
      </c>
      <c r="BO13" s="10">
        <v>122.06699999999999</v>
      </c>
      <c r="BP13" s="10">
        <v>282.25400000000002</v>
      </c>
      <c r="BQ13" s="10">
        <v>44.293999999999997</v>
      </c>
      <c r="BR13" s="10">
        <v>2.5209999999999999</v>
      </c>
      <c r="BS13" s="10">
        <v>12.726000000000001</v>
      </c>
      <c r="BT13" s="10">
        <v>2.1989999999999998</v>
      </c>
      <c r="BU13" s="10">
        <v>2.1619999999999999</v>
      </c>
      <c r="BV13" s="10">
        <v>22.103999999999999</v>
      </c>
      <c r="BW13" s="10">
        <v>47.834000000000003</v>
      </c>
      <c r="BX13" s="10">
        <v>85.546000000000006</v>
      </c>
      <c r="BY13" s="10">
        <v>2.7210000000000001</v>
      </c>
      <c r="BZ13" s="10">
        <v>21.431000000000001</v>
      </c>
      <c r="CA13" s="10">
        <v>19.658999999999999</v>
      </c>
      <c r="CB13" s="10">
        <v>0</v>
      </c>
      <c r="CC13" s="10">
        <v>445.30500000000001</v>
      </c>
      <c r="CD13" s="10">
        <v>42382.735000000001</v>
      </c>
      <c r="CE13" s="10">
        <v>20.853999999999999</v>
      </c>
      <c r="CF13" s="10">
        <v>6.359</v>
      </c>
      <c r="CG13" s="10">
        <v>827.65099999999995</v>
      </c>
      <c r="CH13" s="10">
        <v>2007.874</v>
      </c>
      <c r="CI13" s="10">
        <v>96352.216</v>
      </c>
      <c r="CJ13" s="10">
        <v>-56832.218999999997</v>
      </c>
      <c r="CK13" s="13" t="s">
        <v>94</v>
      </c>
    </row>
    <row r="14" spans="1:89" x14ac:dyDescent="0.3">
      <c r="A14" s="8" t="s">
        <v>101</v>
      </c>
      <c r="B14" s="11">
        <v>152934.18700000001</v>
      </c>
      <c r="C14" s="11">
        <v>3485.49</v>
      </c>
      <c r="D14" s="11">
        <v>0</v>
      </c>
      <c r="E14" s="11">
        <v>7.0000000000000001E-3</v>
      </c>
      <c r="F14" s="11">
        <v>2.3E-2</v>
      </c>
      <c r="G14" s="11">
        <v>1.0999999999999999E-2</v>
      </c>
      <c r="H14" s="11">
        <v>5.0000000000000001E-3</v>
      </c>
      <c r="I14" s="11">
        <v>3103.645</v>
      </c>
      <c r="J14" s="11">
        <v>300.16699999999997</v>
      </c>
      <c r="K14" s="11">
        <v>43.921999999999997</v>
      </c>
      <c r="L14" s="11">
        <v>0.35699999999999998</v>
      </c>
      <c r="M14" s="11">
        <v>7.1820000000000004</v>
      </c>
      <c r="N14" s="11">
        <v>3.089</v>
      </c>
      <c r="O14" s="11">
        <v>3.2559999999999998</v>
      </c>
      <c r="P14" s="11">
        <v>0.09</v>
      </c>
      <c r="Q14" s="11">
        <v>1.6E-2</v>
      </c>
      <c r="R14" s="11">
        <v>7.0000000000000001E-3</v>
      </c>
      <c r="S14" s="11">
        <v>0.01</v>
      </c>
      <c r="T14" s="11">
        <v>2.9000000000000001E-2</v>
      </c>
      <c r="U14" s="11">
        <v>7.0000000000000001E-3</v>
      </c>
      <c r="V14" s="11">
        <v>1.4E-2</v>
      </c>
      <c r="W14" s="11">
        <v>8.7999999999999995E-2</v>
      </c>
      <c r="X14" s="11">
        <v>5.1999999999999998E-2</v>
      </c>
      <c r="Y14" s="11">
        <v>8.9999999999999993E-3</v>
      </c>
      <c r="Z14" s="11">
        <v>0.159</v>
      </c>
      <c r="AA14" s="11">
        <v>9.5000000000000001E-2</v>
      </c>
      <c r="AB14" s="11">
        <v>6.5000000000000002E-2</v>
      </c>
      <c r="AC14" s="11">
        <v>0.28999999999999998</v>
      </c>
      <c r="AD14" s="11">
        <v>0.107</v>
      </c>
      <c r="AE14" s="11">
        <v>0.14899999999999999</v>
      </c>
      <c r="AF14" s="11">
        <v>0.65500000000000003</v>
      </c>
      <c r="AG14" s="11">
        <v>8.3000000000000004E-2</v>
      </c>
      <c r="AH14" s="11">
        <v>4.18</v>
      </c>
      <c r="AI14" s="11">
        <v>0.02</v>
      </c>
      <c r="AJ14" s="11">
        <v>3.5999999999999997E-2</v>
      </c>
      <c r="AK14" s="11">
        <v>1.4119999999999999</v>
      </c>
      <c r="AL14" s="11">
        <v>1.395</v>
      </c>
      <c r="AM14" s="11">
        <v>2.4E-2</v>
      </c>
      <c r="AN14" s="11">
        <v>3.7999999999999999E-2</v>
      </c>
      <c r="AO14" s="11">
        <v>1.2E-2</v>
      </c>
      <c r="AP14" s="11">
        <v>1.2E-2</v>
      </c>
      <c r="AQ14" s="11">
        <v>1.2E-2</v>
      </c>
      <c r="AR14" s="11">
        <v>1E-3</v>
      </c>
      <c r="AS14" s="11">
        <v>0</v>
      </c>
      <c r="AT14" s="11">
        <v>4.3999999999999997E-2</v>
      </c>
      <c r="AU14" s="11">
        <v>0</v>
      </c>
      <c r="AV14" s="11">
        <v>2E-3</v>
      </c>
      <c r="AW14" s="11">
        <v>7.6999999999999999E-2</v>
      </c>
      <c r="AX14" s="11">
        <v>0.08</v>
      </c>
      <c r="AY14" s="11">
        <v>9.2999999999999999E-2</v>
      </c>
      <c r="AZ14" s="11">
        <v>7.2999999999999995E-2</v>
      </c>
      <c r="BA14" s="11">
        <v>3.4000000000000002E-2</v>
      </c>
      <c r="BB14" s="11">
        <v>3.0000000000000001E-3</v>
      </c>
      <c r="BC14" s="11">
        <v>6.0000000000000001E-3</v>
      </c>
      <c r="BD14" s="11">
        <v>1E-3</v>
      </c>
      <c r="BE14" s="11">
        <v>0.65700000000000003</v>
      </c>
      <c r="BF14" s="11">
        <v>4.3999999999999997E-2</v>
      </c>
      <c r="BG14" s="11">
        <v>7.9000000000000001E-2</v>
      </c>
      <c r="BH14" s="11">
        <v>0.216</v>
      </c>
      <c r="BI14" s="11">
        <v>1.4999999999999999E-2</v>
      </c>
      <c r="BJ14" s="11">
        <v>0</v>
      </c>
      <c r="BK14" s="11">
        <v>0.22900000000000001</v>
      </c>
      <c r="BL14" s="11">
        <v>4.0000000000000001E-3</v>
      </c>
      <c r="BM14" s="11">
        <v>0.13700000000000001</v>
      </c>
      <c r="BN14" s="11">
        <v>5.0000000000000001E-3</v>
      </c>
      <c r="BO14" s="11">
        <v>1.821</v>
      </c>
      <c r="BP14" s="11">
        <v>1.643</v>
      </c>
      <c r="BQ14" s="11">
        <v>0.71199999999999997</v>
      </c>
      <c r="BR14" s="11">
        <v>3.5000000000000003E-2</v>
      </c>
      <c r="BS14" s="11">
        <v>0.2</v>
      </c>
      <c r="BT14" s="11">
        <v>1.4999999999999999E-2</v>
      </c>
      <c r="BU14" s="11">
        <v>1.7999999999999999E-2</v>
      </c>
      <c r="BV14" s="11">
        <v>9.1999999999999998E-2</v>
      </c>
      <c r="BW14" s="11">
        <v>7.2999999999999995E-2</v>
      </c>
      <c r="BX14" s="11">
        <v>0.187</v>
      </c>
      <c r="BY14" s="11">
        <v>2.5999999999999999E-2</v>
      </c>
      <c r="BZ14" s="11">
        <v>0.253</v>
      </c>
      <c r="CA14" s="11">
        <v>0.29599999999999999</v>
      </c>
      <c r="CB14" s="11">
        <v>0</v>
      </c>
      <c r="CC14" s="11">
        <v>7.5890000000000004</v>
      </c>
      <c r="CD14" s="11">
        <v>149448.69699999999</v>
      </c>
      <c r="CE14" s="11">
        <v>0.34399999999999997</v>
      </c>
      <c r="CF14" s="11">
        <v>0.108</v>
      </c>
      <c r="CG14" s="11">
        <v>149457.753</v>
      </c>
      <c r="CH14" s="11">
        <v>5.4480000000000004</v>
      </c>
      <c r="CI14" s="11">
        <v>0.17199999999999999</v>
      </c>
      <c r="CJ14" s="11">
        <v>-15.128</v>
      </c>
      <c r="CK14" s="12" t="s">
        <v>94</v>
      </c>
    </row>
    <row r="15" spans="1:89" x14ac:dyDescent="0.3">
      <c r="A15" s="7" t="s">
        <v>102</v>
      </c>
      <c r="B15" s="10">
        <v>735834.91200000001</v>
      </c>
      <c r="C15" s="10">
        <v>452314.98300000001</v>
      </c>
      <c r="D15" s="10">
        <v>10662.788</v>
      </c>
      <c r="E15" s="10">
        <v>5367.402</v>
      </c>
      <c r="F15" s="10">
        <v>104.655</v>
      </c>
      <c r="G15" s="10">
        <v>95.853999999999999</v>
      </c>
      <c r="H15" s="10">
        <v>166.70699999999999</v>
      </c>
      <c r="I15" s="10">
        <v>3251.5819999999999</v>
      </c>
      <c r="J15" s="10">
        <v>13961.72</v>
      </c>
      <c r="K15" s="10">
        <v>8063.6419999999998</v>
      </c>
      <c r="L15" s="10">
        <v>11879.983</v>
      </c>
      <c r="M15" s="10">
        <v>2384.52</v>
      </c>
      <c r="N15" s="10">
        <v>3662.105</v>
      </c>
      <c r="O15" s="10">
        <v>1580.7919999999999</v>
      </c>
      <c r="P15" s="10">
        <v>24813.883000000002</v>
      </c>
      <c r="Q15" s="10">
        <v>4633.3680000000004</v>
      </c>
      <c r="R15" s="10">
        <v>6509.5420000000004</v>
      </c>
      <c r="S15" s="10">
        <v>1293.5160000000001</v>
      </c>
      <c r="T15" s="10">
        <v>4445.1980000000003</v>
      </c>
      <c r="U15" s="10">
        <v>1535.1690000000001</v>
      </c>
      <c r="V15" s="10">
        <v>1303.674</v>
      </c>
      <c r="W15" s="10">
        <v>5676.826</v>
      </c>
      <c r="X15" s="10">
        <v>1241.857</v>
      </c>
      <c r="Y15" s="10">
        <v>10862.973</v>
      </c>
      <c r="Z15" s="10">
        <v>13216.343000000001</v>
      </c>
      <c r="AA15" s="10">
        <v>12443.23</v>
      </c>
      <c r="AB15" s="10">
        <v>8288.9969999999994</v>
      </c>
      <c r="AC15" s="10">
        <v>27654.932000000001</v>
      </c>
      <c r="AD15" s="10">
        <v>6632.8649999999998</v>
      </c>
      <c r="AE15" s="10">
        <v>8412.4390000000003</v>
      </c>
      <c r="AF15" s="10">
        <v>15284.712</v>
      </c>
      <c r="AG15" s="10">
        <v>3840.6750000000002</v>
      </c>
      <c r="AH15" s="10">
        <v>41314.296999999999</v>
      </c>
      <c r="AI15" s="10">
        <v>994.71400000000006</v>
      </c>
      <c r="AJ15" s="10">
        <v>2212.1889999999999</v>
      </c>
      <c r="AK15" s="10">
        <v>16710.864000000001</v>
      </c>
      <c r="AL15" s="10">
        <v>67306.093999999997</v>
      </c>
      <c r="AM15" s="10">
        <v>111.28700000000001</v>
      </c>
      <c r="AN15" s="10">
        <v>91.433000000000007</v>
      </c>
      <c r="AO15" s="10">
        <v>158.185</v>
      </c>
      <c r="AP15" s="10">
        <v>648.51099999999997</v>
      </c>
      <c r="AQ15" s="10">
        <v>1736.577</v>
      </c>
      <c r="AR15" s="10">
        <v>356.62400000000002</v>
      </c>
      <c r="AS15" s="10">
        <v>18.625</v>
      </c>
      <c r="AT15" s="10">
        <v>1041.0170000000001</v>
      </c>
      <c r="AU15" s="10">
        <v>15.904999999999999</v>
      </c>
      <c r="AV15" s="10">
        <v>116.23</v>
      </c>
      <c r="AW15" s="10">
        <v>1875.2449999999999</v>
      </c>
      <c r="AX15" s="10">
        <v>152.14699999999999</v>
      </c>
      <c r="AY15" s="10">
        <v>624.32100000000003</v>
      </c>
      <c r="AZ15" s="10">
        <v>1002.064</v>
      </c>
      <c r="BA15" s="10">
        <v>5046.857</v>
      </c>
      <c r="BB15" s="10">
        <v>267.33300000000003</v>
      </c>
      <c r="BC15" s="10">
        <v>26.469000000000001</v>
      </c>
      <c r="BD15" s="10">
        <v>34.136000000000003</v>
      </c>
      <c r="BE15" s="10">
        <v>3838.424</v>
      </c>
      <c r="BF15" s="10">
        <v>159.821</v>
      </c>
      <c r="BG15" s="10">
        <v>1427.316</v>
      </c>
      <c r="BH15" s="10">
        <v>18606.156999999999</v>
      </c>
      <c r="BI15" s="10">
        <v>593.58100000000002</v>
      </c>
      <c r="BJ15" s="10">
        <v>8.6069999999999993</v>
      </c>
      <c r="BK15" s="10">
        <v>4049.08</v>
      </c>
      <c r="BL15" s="10">
        <v>498.58100000000002</v>
      </c>
      <c r="BM15" s="10">
        <v>5898.3810000000003</v>
      </c>
      <c r="BN15" s="10">
        <v>117.11499999999999</v>
      </c>
      <c r="BO15" s="10">
        <v>12262.046</v>
      </c>
      <c r="BP15" s="10">
        <v>3955.4920000000002</v>
      </c>
      <c r="BQ15" s="10">
        <v>4343.692</v>
      </c>
      <c r="BR15" s="10">
        <v>147.97999999999999</v>
      </c>
      <c r="BS15" s="10">
        <v>490.62799999999999</v>
      </c>
      <c r="BT15" s="10">
        <v>343.02499999999998</v>
      </c>
      <c r="BU15" s="10">
        <v>201.27199999999999</v>
      </c>
      <c r="BV15" s="10">
        <v>2170.0070000000001</v>
      </c>
      <c r="BW15" s="10">
        <v>5143.0110000000004</v>
      </c>
      <c r="BX15" s="10">
        <v>4891.0010000000002</v>
      </c>
      <c r="BY15" s="10">
        <v>1998.961</v>
      </c>
      <c r="BZ15" s="10">
        <v>2895.453</v>
      </c>
      <c r="CA15" s="10">
        <v>1189.82</v>
      </c>
      <c r="CB15" s="10">
        <v>0</v>
      </c>
      <c r="CC15" s="10">
        <v>15952.459000000001</v>
      </c>
      <c r="CD15" s="10">
        <v>283519.929</v>
      </c>
      <c r="CE15" s="10">
        <v>286082.97200000001</v>
      </c>
      <c r="CF15" s="10">
        <v>17.510999999999999</v>
      </c>
      <c r="CG15" s="10">
        <v>607.81200000000001</v>
      </c>
      <c r="CH15" s="10">
        <v>0</v>
      </c>
      <c r="CI15" s="10">
        <v>4309.2280000000001</v>
      </c>
      <c r="CJ15" s="10">
        <v>-7497.5940000000001</v>
      </c>
      <c r="CK15" s="13" t="s">
        <v>94</v>
      </c>
    </row>
    <row r="16" spans="1:89" x14ac:dyDescent="0.3">
      <c r="A16" s="8" t="s">
        <v>103</v>
      </c>
      <c r="B16" s="11">
        <v>2090312.49</v>
      </c>
      <c r="C16" s="11">
        <v>27894.678</v>
      </c>
      <c r="D16" s="11">
        <v>11.804</v>
      </c>
      <c r="E16" s="11">
        <v>18.427</v>
      </c>
      <c r="F16" s="11">
        <v>1.5089999999999999</v>
      </c>
      <c r="G16" s="11">
        <v>8.0280000000000005</v>
      </c>
      <c r="H16" s="11">
        <v>1.254</v>
      </c>
      <c r="I16" s="11">
        <v>469.005</v>
      </c>
      <c r="J16" s="11">
        <v>357.27</v>
      </c>
      <c r="K16" s="11">
        <v>392.40100000000001</v>
      </c>
      <c r="L16" s="11">
        <v>535.83299999999997</v>
      </c>
      <c r="M16" s="11">
        <v>16227.947</v>
      </c>
      <c r="N16" s="11">
        <v>1305.8699999999999</v>
      </c>
      <c r="O16" s="11">
        <v>603.37900000000002</v>
      </c>
      <c r="P16" s="11">
        <v>177.85499999999999</v>
      </c>
      <c r="Q16" s="11">
        <v>25.936</v>
      </c>
      <c r="R16" s="11">
        <v>5.1689999999999996</v>
      </c>
      <c r="S16" s="11">
        <v>4.6260000000000003</v>
      </c>
      <c r="T16" s="11">
        <v>17.452999999999999</v>
      </c>
      <c r="U16" s="11">
        <v>5.29</v>
      </c>
      <c r="V16" s="11">
        <v>9.2309999999999999</v>
      </c>
      <c r="W16" s="11">
        <v>43.505000000000003</v>
      </c>
      <c r="X16" s="11">
        <v>36.164000000000001</v>
      </c>
      <c r="Y16" s="11">
        <v>17.994</v>
      </c>
      <c r="Z16" s="11">
        <v>530.86400000000003</v>
      </c>
      <c r="AA16" s="11">
        <v>93.667000000000002</v>
      </c>
      <c r="AB16" s="11">
        <v>55.756</v>
      </c>
      <c r="AC16" s="11">
        <v>99.245999999999995</v>
      </c>
      <c r="AD16" s="11">
        <v>92.227999999999994</v>
      </c>
      <c r="AE16" s="11">
        <v>56.061999999999998</v>
      </c>
      <c r="AF16" s="11">
        <v>84.814999999999998</v>
      </c>
      <c r="AG16" s="11">
        <v>33.142000000000003</v>
      </c>
      <c r="AH16" s="11">
        <v>1282.241</v>
      </c>
      <c r="AI16" s="11">
        <v>21.81</v>
      </c>
      <c r="AJ16" s="11">
        <v>14.597</v>
      </c>
      <c r="AK16" s="11">
        <v>312.25299999999999</v>
      </c>
      <c r="AL16" s="11">
        <v>536.63699999999994</v>
      </c>
      <c r="AM16" s="11">
        <v>6.0259999999999998</v>
      </c>
      <c r="AN16" s="11">
        <v>2.8580000000000001</v>
      </c>
      <c r="AO16" s="11">
        <v>1.1850000000000001</v>
      </c>
      <c r="AP16" s="11">
        <v>7.3289999999999997</v>
      </c>
      <c r="AQ16" s="11">
        <v>20.654</v>
      </c>
      <c r="AR16" s="11">
        <v>189.07400000000001</v>
      </c>
      <c r="AS16" s="11">
        <v>0.10299999999999999</v>
      </c>
      <c r="AT16" s="11">
        <v>11.212999999999999</v>
      </c>
      <c r="AU16" s="11">
        <v>0.128</v>
      </c>
      <c r="AV16" s="11">
        <v>1.0680000000000001</v>
      </c>
      <c r="AW16" s="11">
        <v>23.398</v>
      </c>
      <c r="AX16" s="11">
        <v>2.5619999999999998</v>
      </c>
      <c r="AY16" s="11">
        <v>20.312000000000001</v>
      </c>
      <c r="AZ16" s="11">
        <v>15.211</v>
      </c>
      <c r="BA16" s="11">
        <v>62.073999999999998</v>
      </c>
      <c r="BB16" s="11">
        <v>0.629</v>
      </c>
      <c r="BC16" s="11">
        <v>1.621</v>
      </c>
      <c r="BD16" s="11">
        <v>0.22600000000000001</v>
      </c>
      <c r="BE16" s="11">
        <v>63.835999999999999</v>
      </c>
      <c r="BF16" s="11">
        <v>9.3539999999999992</v>
      </c>
      <c r="BG16" s="11">
        <v>130.34</v>
      </c>
      <c r="BH16" s="11">
        <v>184.42099999999999</v>
      </c>
      <c r="BI16" s="11">
        <v>11.611000000000001</v>
      </c>
      <c r="BJ16" s="11">
        <v>0.157</v>
      </c>
      <c r="BK16" s="11">
        <v>1223.0219999999999</v>
      </c>
      <c r="BL16" s="11">
        <v>7.5309999999999997</v>
      </c>
      <c r="BM16" s="11">
        <v>788.52099999999996</v>
      </c>
      <c r="BN16" s="11">
        <v>4.3630000000000004</v>
      </c>
      <c r="BO16" s="11">
        <v>210.95</v>
      </c>
      <c r="BP16" s="11">
        <v>207.37899999999999</v>
      </c>
      <c r="BQ16" s="11">
        <v>54.182000000000002</v>
      </c>
      <c r="BR16" s="11">
        <v>2.746</v>
      </c>
      <c r="BS16" s="11">
        <v>24.422000000000001</v>
      </c>
      <c r="BT16" s="11">
        <v>9.3989999999999991</v>
      </c>
      <c r="BU16" s="11">
        <v>3.1179999999999999</v>
      </c>
      <c r="BV16" s="11">
        <v>66.016999999999996</v>
      </c>
      <c r="BW16" s="11">
        <v>60.981999999999999</v>
      </c>
      <c r="BX16" s="11">
        <v>148.25800000000001</v>
      </c>
      <c r="BY16" s="11">
        <v>39.832999999999998</v>
      </c>
      <c r="BZ16" s="11">
        <v>145.28899999999999</v>
      </c>
      <c r="CA16" s="11">
        <v>42.48</v>
      </c>
      <c r="CB16" s="11">
        <v>0</v>
      </c>
      <c r="CC16" s="11">
        <v>601.52800000000002</v>
      </c>
      <c r="CD16" s="11">
        <v>2062417.8119999999</v>
      </c>
      <c r="CE16" s="11">
        <v>4232.2690000000002</v>
      </c>
      <c r="CF16" s="11">
        <v>59.436999999999998</v>
      </c>
      <c r="CG16" s="11">
        <v>2059440.1359999999</v>
      </c>
      <c r="CH16" s="11">
        <v>0</v>
      </c>
      <c r="CI16" s="11">
        <v>2496.817</v>
      </c>
      <c r="CJ16" s="11">
        <v>-3810.8470000000002</v>
      </c>
      <c r="CK16" s="12" t="s">
        <v>94</v>
      </c>
    </row>
    <row r="17" spans="1:89" x14ac:dyDescent="0.3">
      <c r="A17" s="7" t="s">
        <v>104</v>
      </c>
      <c r="B17" s="10">
        <v>568177.30299999996</v>
      </c>
      <c r="C17" s="10">
        <v>47150.250999999997</v>
      </c>
      <c r="D17" s="10">
        <v>8.8640000000000008</v>
      </c>
      <c r="E17" s="10">
        <v>13.494</v>
      </c>
      <c r="F17" s="10">
        <v>2.649</v>
      </c>
      <c r="G17" s="10">
        <v>8.0830000000000002</v>
      </c>
      <c r="H17" s="10">
        <v>1.3680000000000001</v>
      </c>
      <c r="I17" s="10">
        <v>601.37699999999995</v>
      </c>
      <c r="J17" s="10">
        <v>362.267</v>
      </c>
      <c r="K17" s="10">
        <v>598.18600000000004</v>
      </c>
      <c r="L17" s="10">
        <v>525.61099999999999</v>
      </c>
      <c r="M17" s="10">
        <v>2971.2869999999998</v>
      </c>
      <c r="N17" s="10">
        <v>33829.962</v>
      </c>
      <c r="O17" s="10">
        <v>747.83500000000004</v>
      </c>
      <c r="P17" s="10">
        <v>137.37899999999999</v>
      </c>
      <c r="Q17" s="10">
        <v>20.96</v>
      </c>
      <c r="R17" s="10">
        <v>3.68</v>
      </c>
      <c r="S17" s="10">
        <v>3.605</v>
      </c>
      <c r="T17" s="10">
        <v>14.361000000000001</v>
      </c>
      <c r="U17" s="10">
        <v>4.2240000000000002</v>
      </c>
      <c r="V17" s="10">
        <v>8.2070000000000007</v>
      </c>
      <c r="W17" s="10">
        <v>40.616</v>
      </c>
      <c r="X17" s="10">
        <v>34.768000000000001</v>
      </c>
      <c r="Y17" s="10">
        <v>14.029</v>
      </c>
      <c r="Z17" s="10">
        <v>498.637</v>
      </c>
      <c r="AA17" s="10">
        <v>84.585999999999999</v>
      </c>
      <c r="AB17" s="10">
        <v>51.268000000000001</v>
      </c>
      <c r="AC17" s="10">
        <v>91.346000000000004</v>
      </c>
      <c r="AD17" s="10">
        <v>84.885999999999996</v>
      </c>
      <c r="AE17" s="10">
        <v>53.558999999999997</v>
      </c>
      <c r="AF17" s="10">
        <v>106.76900000000001</v>
      </c>
      <c r="AG17" s="10">
        <v>30.888000000000002</v>
      </c>
      <c r="AH17" s="10">
        <v>1382.452</v>
      </c>
      <c r="AI17" s="10">
        <v>18.366</v>
      </c>
      <c r="AJ17" s="10">
        <v>12.127000000000001</v>
      </c>
      <c r="AK17" s="10">
        <v>305.38299999999998</v>
      </c>
      <c r="AL17" s="10">
        <v>470.10599999999999</v>
      </c>
      <c r="AM17" s="10">
        <v>4.3529999999999998</v>
      </c>
      <c r="AN17" s="10">
        <v>4.3730000000000002</v>
      </c>
      <c r="AO17" s="10">
        <v>1.482</v>
      </c>
      <c r="AP17" s="10">
        <v>4.1399999999999997</v>
      </c>
      <c r="AQ17" s="10">
        <v>6.45</v>
      </c>
      <c r="AR17" s="10">
        <v>179.87299999999999</v>
      </c>
      <c r="AS17" s="10">
        <v>5.5E-2</v>
      </c>
      <c r="AT17" s="10">
        <v>8.8140000000000001</v>
      </c>
      <c r="AU17" s="10">
        <v>7.2999999999999995E-2</v>
      </c>
      <c r="AV17" s="10">
        <v>0.57699999999999996</v>
      </c>
      <c r="AW17" s="10">
        <v>22.635999999999999</v>
      </c>
      <c r="AX17" s="10">
        <v>2.972</v>
      </c>
      <c r="AY17" s="10">
        <v>13.558</v>
      </c>
      <c r="AZ17" s="10">
        <v>13.204000000000001</v>
      </c>
      <c r="BA17" s="10">
        <v>21.577000000000002</v>
      </c>
      <c r="BB17" s="10">
        <v>0.52400000000000002</v>
      </c>
      <c r="BC17" s="10">
        <v>1.3320000000000001</v>
      </c>
      <c r="BD17" s="10">
        <v>0.128</v>
      </c>
      <c r="BE17" s="10">
        <v>57.875</v>
      </c>
      <c r="BF17" s="10">
        <v>10.090999999999999</v>
      </c>
      <c r="BG17" s="10">
        <v>124.886</v>
      </c>
      <c r="BH17" s="10">
        <v>169.20699999999999</v>
      </c>
      <c r="BI17" s="10">
        <v>9.827</v>
      </c>
      <c r="BJ17" s="10">
        <v>0.13200000000000001</v>
      </c>
      <c r="BK17" s="10">
        <v>1162.491</v>
      </c>
      <c r="BL17" s="10">
        <v>2.0009999999999999</v>
      </c>
      <c r="BM17" s="10">
        <v>179.863</v>
      </c>
      <c r="BN17" s="10">
        <v>4.101</v>
      </c>
      <c r="BO17" s="10">
        <v>281.05</v>
      </c>
      <c r="BP17" s="10">
        <v>246.13200000000001</v>
      </c>
      <c r="BQ17" s="10">
        <v>81.912999999999997</v>
      </c>
      <c r="BR17" s="10">
        <v>4.4160000000000004</v>
      </c>
      <c r="BS17" s="10">
        <v>24.145</v>
      </c>
      <c r="BT17" s="10">
        <v>8.2669999999999995</v>
      </c>
      <c r="BU17" s="10">
        <v>3.399</v>
      </c>
      <c r="BV17" s="10">
        <v>37.256999999999998</v>
      </c>
      <c r="BW17" s="10">
        <v>55.929000000000002</v>
      </c>
      <c r="BX17" s="10">
        <v>126.78</v>
      </c>
      <c r="BY17" s="10">
        <v>28.513000000000002</v>
      </c>
      <c r="BZ17" s="10">
        <v>126.842</v>
      </c>
      <c r="CA17" s="10">
        <v>55.404000000000003</v>
      </c>
      <c r="CB17" s="10">
        <v>0</v>
      </c>
      <c r="CC17" s="10">
        <v>920.42399999999998</v>
      </c>
      <c r="CD17" s="10">
        <v>521027.05200000003</v>
      </c>
      <c r="CE17" s="10">
        <v>1420.3630000000001</v>
      </c>
      <c r="CF17" s="10">
        <v>21666.505000000001</v>
      </c>
      <c r="CG17" s="10">
        <v>499458.196</v>
      </c>
      <c r="CH17" s="10">
        <v>0</v>
      </c>
      <c r="CI17" s="10">
        <v>2276.0500000000002</v>
      </c>
      <c r="CJ17" s="10">
        <v>-3794.0619999999999</v>
      </c>
      <c r="CK17" s="13" t="s">
        <v>94</v>
      </c>
    </row>
    <row r="18" spans="1:89" x14ac:dyDescent="0.3">
      <c r="A18" s="8" t="s">
        <v>105</v>
      </c>
      <c r="B18" s="11">
        <v>304773.239</v>
      </c>
      <c r="C18" s="11">
        <v>286480.837</v>
      </c>
      <c r="D18" s="11">
        <v>7.9020000000000001</v>
      </c>
      <c r="E18" s="11">
        <v>21.449000000000002</v>
      </c>
      <c r="F18" s="11">
        <v>1283.7149999999999</v>
      </c>
      <c r="G18" s="11">
        <v>0.93400000000000005</v>
      </c>
      <c r="H18" s="11">
        <v>12.143000000000001</v>
      </c>
      <c r="I18" s="11">
        <v>166.79599999999999</v>
      </c>
      <c r="J18" s="11">
        <v>4902.7240000000002</v>
      </c>
      <c r="K18" s="11">
        <v>1171.886</v>
      </c>
      <c r="L18" s="11">
        <v>61.170999999999999</v>
      </c>
      <c r="M18" s="11">
        <v>183463.98199999999</v>
      </c>
      <c r="N18" s="11">
        <v>69080.584000000003</v>
      </c>
      <c r="O18" s="11">
        <v>1353.9960000000001</v>
      </c>
      <c r="P18" s="11">
        <v>923.18299999999999</v>
      </c>
      <c r="Q18" s="11">
        <v>30.297000000000001</v>
      </c>
      <c r="R18" s="11">
        <v>2.758</v>
      </c>
      <c r="S18" s="11">
        <v>13.276999999999999</v>
      </c>
      <c r="T18" s="11">
        <v>42.151000000000003</v>
      </c>
      <c r="U18" s="11">
        <v>10.907</v>
      </c>
      <c r="V18" s="11">
        <v>4.819</v>
      </c>
      <c r="W18" s="11">
        <v>22.677</v>
      </c>
      <c r="X18" s="11">
        <v>24.603999999999999</v>
      </c>
      <c r="Y18" s="11">
        <v>137.47200000000001</v>
      </c>
      <c r="Z18" s="11">
        <v>54.823999999999998</v>
      </c>
      <c r="AA18" s="11">
        <v>24.067</v>
      </c>
      <c r="AB18" s="11">
        <v>23.286000000000001</v>
      </c>
      <c r="AC18" s="11">
        <v>33.887</v>
      </c>
      <c r="AD18" s="11">
        <v>25.503</v>
      </c>
      <c r="AE18" s="11">
        <v>30.616</v>
      </c>
      <c r="AF18" s="11">
        <v>37.491999999999997</v>
      </c>
      <c r="AG18" s="11">
        <v>14.098000000000001</v>
      </c>
      <c r="AH18" s="11">
        <v>243.285</v>
      </c>
      <c r="AI18" s="11">
        <v>9.8859999999999992</v>
      </c>
      <c r="AJ18" s="11">
        <v>14.926</v>
      </c>
      <c r="AK18" s="11">
        <v>1000.265</v>
      </c>
      <c r="AL18" s="11">
        <v>1039.373</v>
      </c>
      <c r="AM18" s="11">
        <v>82.197999999999993</v>
      </c>
      <c r="AN18" s="11">
        <v>5.24</v>
      </c>
      <c r="AO18" s="11">
        <v>15.224</v>
      </c>
      <c r="AP18" s="11">
        <v>36.805</v>
      </c>
      <c r="AQ18" s="11">
        <v>124.75</v>
      </c>
      <c r="AR18" s="11">
        <v>18.059999999999999</v>
      </c>
      <c r="AS18" s="11">
        <v>1.522</v>
      </c>
      <c r="AT18" s="11">
        <v>24.045000000000002</v>
      </c>
      <c r="AU18" s="11">
        <v>0.40600000000000003</v>
      </c>
      <c r="AV18" s="11">
        <v>5.7409999999999997</v>
      </c>
      <c r="AW18" s="11">
        <v>33.231999999999999</v>
      </c>
      <c r="AX18" s="11">
        <v>2.5939999999999999</v>
      </c>
      <c r="AY18" s="11">
        <v>8.1560000000000006</v>
      </c>
      <c r="AZ18" s="11">
        <v>6.4450000000000003</v>
      </c>
      <c r="BA18" s="11">
        <v>44.174999999999997</v>
      </c>
      <c r="BB18" s="11">
        <v>0.309</v>
      </c>
      <c r="BC18" s="11">
        <v>3.456</v>
      </c>
      <c r="BD18" s="11">
        <v>0.24099999999999999</v>
      </c>
      <c r="BE18" s="11">
        <v>1115.346</v>
      </c>
      <c r="BF18" s="11">
        <v>1.3</v>
      </c>
      <c r="BG18" s="11">
        <v>16.628</v>
      </c>
      <c r="BH18" s="11">
        <v>92.259</v>
      </c>
      <c r="BI18" s="11">
        <v>4.8</v>
      </c>
      <c r="BJ18" s="11">
        <v>3.7999999999999999E-2</v>
      </c>
      <c r="BK18" s="11">
        <v>460.88400000000001</v>
      </c>
      <c r="BL18" s="11">
        <v>2.827</v>
      </c>
      <c r="BM18" s="11">
        <v>57.237000000000002</v>
      </c>
      <c r="BN18" s="11">
        <v>1.1970000000000001</v>
      </c>
      <c r="BO18" s="11">
        <v>4401.6970000000001</v>
      </c>
      <c r="BP18" s="11">
        <v>1793.046</v>
      </c>
      <c r="BQ18" s="11">
        <v>1206.99</v>
      </c>
      <c r="BR18" s="11">
        <v>1.5980000000000001</v>
      </c>
      <c r="BS18" s="11">
        <v>69.878</v>
      </c>
      <c r="BT18" s="11">
        <v>28.532</v>
      </c>
      <c r="BU18" s="11">
        <v>346.09899999999999</v>
      </c>
      <c r="BV18" s="11">
        <v>132.56899999999999</v>
      </c>
      <c r="BW18" s="11">
        <v>34.204000000000001</v>
      </c>
      <c r="BX18" s="11">
        <v>167.86600000000001</v>
      </c>
      <c r="BY18" s="11">
        <v>115.22799999999999</v>
      </c>
      <c r="BZ18" s="11">
        <v>25.247</v>
      </c>
      <c r="CA18" s="11">
        <v>8.6950000000000003</v>
      </c>
      <c r="CB18" s="11">
        <v>0</v>
      </c>
      <c r="CC18" s="11">
        <v>10693.138000000001</v>
      </c>
      <c r="CD18" s="11">
        <v>18292.401999999998</v>
      </c>
      <c r="CE18" s="11">
        <v>969.495</v>
      </c>
      <c r="CF18" s="11">
        <v>38.329000000000001</v>
      </c>
      <c r="CG18" s="11">
        <v>17107.016</v>
      </c>
      <c r="CH18" s="11">
        <v>3.4740000000000002</v>
      </c>
      <c r="CI18" s="11">
        <v>350.89800000000002</v>
      </c>
      <c r="CJ18" s="11">
        <v>-176.81</v>
      </c>
      <c r="CK18" s="12" t="s">
        <v>94</v>
      </c>
    </row>
    <row r="19" spans="1:89" x14ac:dyDescent="0.3">
      <c r="A19" s="7" t="s">
        <v>106</v>
      </c>
      <c r="B19" s="10">
        <v>2391061.35</v>
      </c>
      <c r="C19" s="10">
        <v>606107.652</v>
      </c>
      <c r="D19" s="10">
        <v>228.303</v>
      </c>
      <c r="E19" s="10">
        <v>109811.66099999999</v>
      </c>
      <c r="F19" s="10">
        <v>7.51</v>
      </c>
      <c r="G19" s="10">
        <v>2949.1849999999999</v>
      </c>
      <c r="H19" s="10">
        <v>6.7750000000000004</v>
      </c>
      <c r="I19" s="10">
        <v>96.680999999999997</v>
      </c>
      <c r="J19" s="10">
        <v>264.95499999999998</v>
      </c>
      <c r="K19" s="10">
        <v>104.858</v>
      </c>
      <c r="L19" s="10">
        <v>134.971</v>
      </c>
      <c r="M19" s="10">
        <v>394.86599999999999</v>
      </c>
      <c r="N19" s="10">
        <v>156.69300000000001</v>
      </c>
      <c r="O19" s="10">
        <v>68.849000000000004</v>
      </c>
      <c r="P19" s="10">
        <v>302552.69</v>
      </c>
      <c r="Q19" s="10">
        <v>45051.928999999996</v>
      </c>
      <c r="R19" s="10">
        <v>109.991</v>
      </c>
      <c r="S19" s="10">
        <v>20.210999999999999</v>
      </c>
      <c r="T19" s="10">
        <v>177.58199999999999</v>
      </c>
      <c r="U19" s="10">
        <v>5087.576</v>
      </c>
      <c r="V19" s="10">
        <v>23.146000000000001</v>
      </c>
      <c r="W19" s="10">
        <v>2072.1689999999999</v>
      </c>
      <c r="X19" s="10">
        <v>162.822</v>
      </c>
      <c r="Y19" s="10">
        <v>484.45400000000001</v>
      </c>
      <c r="Z19" s="10">
        <v>8746.5380000000005</v>
      </c>
      <c r="AA19" s="10">
        <v>405.08600000000001</v>
      </c>
      <c r="AB19" s="10">
        <v>933.60500000000002</v>
      </c>
      <c r="AC19" s="10">
        <v>399.93599999999998</v>
      </c>
      <c r="AD19" s="10">
        <v>183.34299999999999</v>
      </c>
      <c r="AE19" s="10">
        <v>246.477</v>
      </c>
      <c r="AF19" s="10">
        <v>341.85899999999998</v>
      </c>
      <c r="AG19" s="10">
        <v>138.72499999999999</v>
      </c>
      <c r="AH19" s="10">
        <v>1330.4829999999999</v>
      </c>
      <c r="AI19" s="10">
        <v>36.701999999999998</v>
      </c>
      <c r="AJ19" s="10">
        <v>267.14800000000002</v>
      </c>
      <c r="AK19" s="10">
        <v>383.39499999999998</v>
      </c>
      <c r="AL19" s="10">
        <v>827.38099999999997</v>
      </c>
      <c r="AM19" s="10">
        <v>2709.8510000000001</v>
      </c>
      <c r="AN19" s="10">
        <v>208.875</v>
      </c>
      <c r="AO19" s="10">
        <v>184.11699999999999</v>
      </c>
      <c r="AP19" s="10">
        <v>643.94799999999998</v>
      </c>
      <c r="AQ19" s="10">
        <v>1670.3589999999999</v>
      </c>
      <c r="AR19" s="10">
        <v>6.4989999999999997</v>
      </c>
      <c r="AS19" s="10">
        <v>19.643000000000001</v>
      </c>
      <c r="AT19" s="10">
        <v>380.37299999999999</v>
      </c>
      <c r="AU19" s="10">
        <v>1.3320000000000001</v>
      </c>
      <c r="AV19" s="10">
        <v>78.599999999999994</v>
      </c>
      <c r="AW19" s="10">
        <v>169.64099999999999</v>
      </c>
      <c r="AX19" s="10">
        <v>66.460999999999999</v>
      </c>
      <c r="AY19" s="10">
        <v>222.43600000000001</v>
      </c>
      <c r="AZ19" s="10">
        <v>1125.5889999999999</v>
      </c>
      <c r="BA19" s="10">
        <v>1419.8119999999999</v>
      </c>
      <c r="BB19" s="10">
        <v>10.819000000000001</v>
      </c>
      <c r="BC19" s="10">
        <v>15.057</v>
      </c>
      <c r="BD19" s="10">
        <v>20.268000000000001</v>
      </c>
      <c r="BE19" s="10">
        <v>218.495</v>
      </c>
      <c r="BF19" s="10">
        <v>13.247999999999999</v>
      </c>
      <c r="BG19" s="10">
        <v>49.055999999999997</v>
      </c>
      <c r="BH19" s="10">
        <v>3041.2150000000001</v>
      </c>
      <c r="BI19" s="10">
        <v>281.39600000000002</v>
      </c>
      <c r="BJ19" s="10">
        <v>9.3000000000000007</v>
      </c>
      <c r="BK19" s="10">
        <v>696.50800000000004</v>
      </c>
      <c r="BL19" s="10">
        <v>920.51300000000003</v>
      </c>
      <c r="BM19" s="10">
        <v>10560.772999999999</v>
      </c>
      <c r="BN19" s="10">
        <v>83.36</v>
      </c>
      <c r="BO19" s="10">
        <v>2587.5630000000001</v>
      </c>
      <c r="BP19" s="10">
        <v>507.17200000000003</v>
      </c>
      <c r="BQ19" s="10">
        <v>9519.5020000000004</v>
      </c>
      <c r="BR19" s="10">
        <v>408.238</v>
      </c>
      <c r="BS19" s="10">
        <v>1462.088</v>
      </c>
      <c r="BT19" s="10">
        <v>368.65699999999998</v>
      </c>
      <c r="BU19" s="10">
        <v>75.611000000000004</v>
      </c>
      <c r="BV19" s="10">
        <v>2827.2150000000001</v>
      </c>
      <c r="BW19" s="10">
        <v>13495.92</v>
      </c>
      <c r="BX19" s="10">
        <v>50021.411999999997</v>
      </c>
      <c r="BY19" s="10">
        <v>122.944</v>
      </c>
      <c r="BZ19" s="10">
        <v>1022.122</v>
      </c>
      <c r="CA19" s="10">
        <v>3872.5360000000001</v>
      </c>
      <c r="CB19" s="10">
        <v>0</v>
      </c>
      <c r="CC19" s="10">
        <v>10780.573</v>
      </c>
      <c r="CD19" s="10">
        <v>1784953.6980000001</v>
      </c>
      <c r="CE19" s="10">
        <v>1910759.868</v>
      </c>
      <c r="CF19" s="10">
        <v>174.66300000000001</v>
      </c>
      <c r="CG19" s="10">
        <v>2019.127</v>
      </c>
      <c r="CH19" s="10">
        <v>7804.2830000000004</v>
      </c>
      <c r="CI19" s="10">
        <v>195917.66500000001</v>
      </c>
      <c r="CJ19" s="10">
        <v>-331721.908</v>
      </c>
      <c r="CK19" s="13" t="s">
        <v>94</v>
      </c>
    </row>
    <row r="20" spans="1:89" x14ac:dyDescent="0.3">
      <c r="A20" s="8" t="s">
        <v>107</v>
      </c>
      <c r="B20" s="11">
        <v>464168.10200000001</v>
      </c>
      <c r="C20" s="11">
        <v>73135.373999999996</v>
      </c>
      <c r="D20" s="11">
        <v>12.465999999999999</v>
      </c>
      <c r="E20" s="11">
        <v>59.514000000000003</v>
      </c>
      <c r="F20" s="11">
        <v>3.6749999999999998</v>
      </c>
      <c r="G20" s="11">
        <v>33.292999999999999</v>
      </c>
      <c r="H20" s="11">
        <v>0.54600000000000004</v>
      </c>
      <c r="I20" s="11">
        <v>33.942</v>
      </c>
      <c r="J20" s="11">
        <v>22.116</v>
      </c>
      <c r="K20" s="11">
        <v>20.244</v>
      </c>
      <c r="L20" s="11">
        <v>27.236000000000001</v>
      </c>
      <c r="M20" s="11">
        <v>93.623000000000005</v>
      </c>
      <c r="N20" s="11">
        <v>60.268999999999998</v>
      </c>
      <c r="O20" s="11">
        <v>20.535</v>
      </c>
      <c r="P20" s="11">
        <v>8413.8340000000007</v>
      </c>
      <c r="Q20" s="11">
        <v>3854.1590000000001</v>
      </c>
      <c r="R20" s="11">
        <v>49.655999999999999</v>
      </c>
      <c r="S20" s="11">
        <v>57.316000000000003</v>
      </c>
      <c r="T20" s="11">
        <v>254.26300000000001</v>
      </c>
      <c r="U20" s="11">
        <v>49.006999999999998</v>
      </c>
      <c r="V20" s="11">
        <v>21.71</v>
      </c>
      <c r="W20" s="11">
        <v>130.929</v>
      </c>
      <c r="X20" s="11">
        <v>27.891999999999999</v>
      </c>
      <c r="Y20" s="11">
        <v>569.45799999999997</v>
      </c>
      <c r="Z20" s="11">
        <v>2935.6260000000002</v>
      </c>
      <c r="AA20" s="11">
        <v>1242.318</v>
      </c>
      <c r="AB20" s="11">
        <v>1000.352</v>
      </c>
      <c r="AC20" s="11">
        <v>302.40600000000001</v>
      </c>
      <c r="AD20" s="11">
        <v>115.35599999999999</v>
      </c>
      <c r="AE20" s="11">
        <v>122.485</v>
      </c>
      <c r="AF20" s="11">
        <v>221.64400000000001</v>
      </c>
      <c r="AG20" s="11">
        <v>115.45699999999999</v>
      </c>
      <c r="AH20" s="11">
        <v>1022.167</v>
      </c>
      <c r="AI20" s="11">
        <v>20.198</v>
      </c>
      <c r="AJ20" s="11">
        <v>140.774</v>
      </c>
      <c r="AK20" s="11">
        <v>54.545999999999999</v>
      </c>
      <c r="AL20" s="11">
        <v>105.18300000000001</v>
      </c>
      <c r="AM20" s="11">
        <v>73.364000000000004</v>
      </c>
      <c r="AN20" s="11">
        <v>3.879</v>
      </c>
      <c r="AO20" s="11">
        <v>2.476</v>
      </c>
      <c r="AP20" s="11">
        <v>35.915999999999997</v>
      </c>
      <c r="AQ20" s="11">
        <v>34.082000000000001</v>
      </c>
      <c r="AR20" s="11">
        <v>2.6560000000000001</v>
      </c>
      <c r="AS20" s="11">
        <v>0.435</v>
      </c>
      <c r="AT20" s="11">
        <v>605.82600000000002</v>
      </c>
      <c r="AU20" s="11">
        <v>1.1160000000000001</v>
      </c>
      <c r="AV20" s="11">
        <v>9.7379999999999995</v>
      </c>
      <c r="AW20" s="11">
        <v>256.089</v>
      </c>
      <c r="AX20" s="11">
        <v>107.86199999999999</v>
      </c>
      <c r="AY20" s="11">
        <v>365.36599999999999</v>
      </c>
      <c r="AZ20" s="11">
        <v>1933.0930000000001</v>
      </c>
      <c r="BA20" s="11">
        <v>2230.0929999999998</v>
      </c>
      <c r="BB20" s="11">
        <v>15.478</v>
      </c>
      <c r="BC20" s="11">
        <v>25.041</v>
      </c>
      <c r="BD20" s="11">
        <v>15.957000000000001</v>
      </c>
      <c r="BE20" s="11">
        <v>373.93099999999998</v>
      </c>
      <c r="BF20" s="11">
        <v>10.988</v>
      </c>
      <c r="BG20" s="11">
        <v>43.85</v>
      </c>
      <c r="BH20" s="11">
        <v>5310.1260000000002</v>
      </c>
      <c r="BI20" s="11">
        <v>442.82299999999998</v>
      </c>
      <c r="BJ20" s="11">
        <v>16.068999999999999</v>
      </c>
      <c r="BK20" s="11">
        <v>643.19200000000001</v>
      </c>
      <c r="BL20" s="11">
        <v>1009.697</v>
      </c>
      <c r="BM20" s="11">
        <v>1885.9760000000001</v>
      </c>
      <c r="BN20" s="11">
        <v>28.622</v>
      </c>
      <c r="BO20" s="11">
        <v>984.15099999999995</v>
      </c>
      <c r="BP20" s="11">
        <v>738.96299999999997</v>
      </c>
      <c r="BQ20" s="11">
        <v>738.34100000000001</v>
      </c>
      <c r="BR20" s="11">
        <v>7.4539999999999997</v>
      </c>
      <c r="BS20" s="11">
        <v>107.15900000000001</v>
      </c>
      <c r="BT20" s="11">
        <v>837.55899999999997</v>
      </c>
      <c r="BU20" s="11">
        <v>36.514000000000003</v>
      </c>
      <c r="BV20" s="11">
        <v>830.82799999999997</v>
      </c>
      <c r="BW20" s="11">
        <v>13169.484</v>
      </c>
      <c r="BX20" s="11">
        <v>14189.54</v>
      </c>
      <c r="BY20" s="11">
        <v>25.137</v>
      </c>
      <c r="BZ20" s="11">
        <v>179.81800000000001</v>
      </c>
      <c r="CA20" s="11">
        <v>301.86</v>
      </c>
      <c r="CB20" s="11">
        <v>0</v>
      </c>
      <c r="CC20" s="11">
        <v>4290.63</v>
      </c>
      <c r="CD20" s="11">
        <v>391032.728</v>
      </c>
      <c r="CE20" s="11">
        <v>318589.00300000003</v>
      </c>
      <c r="CF20" s="11">
        <v>20.219000000000001</v>
      </c>
      <c r="CG20" s="11">
        <v>297.56700000000001</v>
      </c>
      <c r="CH20" s="11">
        <v>631.19899999999996</v>
      </c>
      <c r="CI20" s="11">
        <v>107326.73</v>
      </c>
      <c r="CJ20" s="11">
        <v>-35831.99</v>
      </c>
      <c r="CK20" s="12" t="s">
        <v>94</v>
      </c>
    </row>
    <row r="21" spans="1:89" x14ac:dyDescent="0.3">
      <c r="A21" s="7" t="s">
        <v>108</v>
      </c>
      <c r="B21" s="10">
        <v>98772.078999999998</v>
      </c>
      <c r="C21" s="10">
        <v>149947.334</v>
      </c>
      <c r="D21" s="10">
        <v>138.73599999999999</v>
      </c>
      <c r="E21" s="10">
        <v>17.274999999999999</v>
      </c>
      <c r="F21" s="10">
        <v>2.1469999999999998</v>
      </c>
      <c r="G21" s="10">
        <v>0.45100000000000001</v>
      </c>
      <c r="H21" s="10">
        <v>1.355</v>
      </c>
      <c r="I21" s="10">
        <v>14.324999999999999</v>
      </c>
      <c r="J21" s="10">
        <v>6.0220000000000002</v>
      </c>
      <c r="K21" s="10">
        <v>5.5359999999999996</v>
      </c>
      <c r="L21" s="10">
        <v>6.0149999999999997</v>
      </c>
      <c r="M21" s="10">
        <v>88.13</v>
      </c>
      <c r="N21" s="10">
        <v>27.827999999999999</v>
      </c>
      <c r="O21" s="10">
        <v>8.1869999999999994</v>
      </c>
      <c r="P21" s="10">
        <v>139.27600000000001</v>
      </c>
      <c r="Q21" s="10">
        <v>513.24900000000002</v>
      </c>
      <c r="R21" s="10">
        <v>15660.225</v>
      </c>
      <c r="S21" s="10">
        <v>10613.439</v>
      </c>
      <c r="T21" s="10">
        <v>37052.364999999998</v>
      </c>
      <c r="U21" s="10">
        <v>2072.2620000000002</v>
      </c>
      <c r="V21" s="10">
        <v>28.895</v>
      </c>
      <c r="W21" s="10">
        <v>11150.759</v>
      </c>
      <c r="X21" s="10">
        <v>3856.9630000000002</v>
      </c>
      <c r="Y21" s="10">
        <v>11.103999999999999</v>
      </c>
      <c r="Z21" s="10">
        <v>479.17700000000002</v>
      </c>
      <c r="AA21" s="10">
        <v>1941.739</v>
      </c>
      <c r="AB21" s="10">
        <v>1086.934</v>
      </c>
      <c r="AC21" s="10">
        <v>194.97</v>
      </c>
      <c r="AD21" s="10">
        <v>712.37699999999995</v>
      </c>
      <c r="AE21" s="10">
        <v>226.13300000000001</v>
      </c>
      <c r="AF21" s="10">
        <v>404.85</v>
      </c>
      <c r="AG21" s="10">
        <v>317.58499999999998</v>
      </c>
      <c r="AH21" s="10">
        <v>33091.483999999997</v>
      </c>
      <c r="AI21" s="10">
        <v>4818.6959999999999</v>
      </c>
      <c r="AJ21" s="10">
        <v>8333.7630000000008</v>
      </c>
      <c r="AK21" s="10">
        <v>273.12799999999999</v>
      </c>
      <c r="AL21" s="10">
        <v>87.977000000000004</v>
      </c>
      <c r="AM21" s="10">
        <v>3.8050000000000002</v>
      </c>
      <c r="AN21" s="10">
        <v>0.47699999999999998</v>
      </c>
      <c r="AO21" s="10">
        <v>0.497</v>
      </c>
      <c r="AP21" s="10">
        <v>4509.2849999999999</v>
      </c>
      <c r="AQ21" s="10">
        <v>7.2670000000000003</v>
      </c>
      <c r="AR21" s="10">
        <v>0.70899999999999996</v>
      </c>
      <c r="AS21" s="10">
        <v>0.05</v>
      </c>
      <c r="AT21" s="10">
        <v>27.109000000000002</v>
      </c>
      <c r="AU21" s="10">
        <v>0.14000000000000001</v>
      </c>
      <c r="AV21" s="10">
        <v>1.8009999999999999</v>
      </c>
      <c r="AW21" s="10">
        <v>2.2480000000000002</v>
      </c>
      <c r="AX21" s="10">
        <v>0.59199999999999997</v>
      </c>
      <c r="AY21" s="10">
        <v>1.2909999999999999</v>
      </c>
      <c r="AZ21" s="10">
        <v>2.9279999999999999</v>
      </c>
      <c r="BA21" s="10">
        <v>19.216000000000001</v>
      </c>
      <c r="BB21" s="10">
        <v>0.185</v>
      </c>
      <c r="BC21" s="10">
        <v>0.19400000000000001</v>
      </c>
      <c r="BD21" s="10">
        <v>1.8180000000000001</v>
      </c>
      <c r="BE21" s="10">
        <v>33.841000000000001</v>
      </c>
      <c r="BF21" s="10">
        <v>1.5289999999999999</v>
      </c>
      <c r="BG21" s="10">
        <v>7.1349999999999998</v>
      </c>
      <c r="BH21" s="10">
        <v>186.321</v>
      </c>
      <c r="BI21" s="10">
        <v>45.901000000000003</v>
      </c>
      <c r="BJ21" s="10">
        <v>2.1000000000000001E-2</v>
      </c>
      <c r="BK21" s="10">
        <v>14.638</v>
      </c>
      <c r="BL21" s="10">
        <v>17.276</v>
      </c>
      <c r="BM21" s="10">
        <v>1015.963</v>
      </c>
      <c r="BN21" s="10">
        <v>574.56100000000004</v>
      </c>
      <c r="BO21" s="10">
        <v>274.887</v>
      </c>
      <c r="BP21" s="10">
        <v>1335.471</v>
      </c>
      <c r="BQ21" s="10">
        <v>1444.7429999999999</v>
      </c>
      <c r="BR21" s="10">
        <v>31.327999999999999</v>
      </c>
      <c r="BS21" s="10">
        <v>114.715</v>
      </c>
      <c r="BT21" s="10">
        <v>137.77600000000001</v>
      </c>
      <c r="BU21" s="10">
        <v>11.364000000000001</v>
      </c>
      <c r="BV21" s="10">
        <v>364.91</v>
      </c>
      <c r="BW21" s="10">
        <v>1907.598</v>
      </c>
      <c r="BX21" s="10">
        <v>62.542999999999999</v>
      </c>
      <c r="BY21" s="10">
        <v>975.41600000000005</v>
      </c>
      <c r="BZ21" s="10">
        <v>2256.4520000000002</v>
      </c>
      <c r="CA21" s="10">
        <v>406.94200000000001</v>
      </c>
      <c r="CB21" s="10">
        <v>0</v>
      </c>
      <c r="CC21" s="10">
        <v>763.03399999999999</v>
      </c>
      <c r="CD21" s="10">
        <v>-51175.254999999997</v>
      </c>
      <c r="CE21" s="10">
        <v>24073.866999999998</v>
      </c>
      <c r="CF21" s="10">
        <v>8.6170000000000009</v>
      </c>
      <c r="CG21" s="10">
        <v>139.297</v>
      </c>
      <c r="CH21" s="10">
        <v>2058.6060000000002</v>
      </c>
      <c r="CI21" s="10">
        <v>18278.775000000001</v>
      </c>
      <c r="CJ21" s="10">
        <v>-95734.417000000001</v>
      </c>
      <c r="CK21" s="13" t="s">
        <v>94</v>
      </c>
    </row>
    <row r="22" spans="1:89" x14ac:dyDescent="0.3">
      <c r="A22" s="8" t="s">
        <v>109</v>
      </c>
      <c r="B22" s="11">
        <v>47249.72</v>
      </c>
      <c r="C22" s="11">
        <v>24537.198</v>
      </c>
      <c r="D22" s="11">
        <v>372.601</v>
      </c>
      <c r="E22" s="11">
        <v>3.4529999999999998</v>
      </c>
      <c r="F22" s="11">
        <v>75.006</v>
      </c>
      <c r="G22" s="11">
        <v>1.056</v>
      </c>
      <c r="H22" s="11">
        <v>23.683</v>
      </c>
      <c r="I22" s="11">
        <v>4.3860000000000001</v>
      </c>
      <c r="J22" s="11">
        <v>2.9969999999999999</v>
      </c>
      <c r="K22" s="11">
        <v>1.5009999999999999</v>
      </c>
      <c r="L22" s="11">
        <v>2.9790000000000001</v>
      </c>
      <c r="M22" s="11">
        <v>127.215</v>
      </c>
      <c r="N22" s="11">
        <v>22.968</v>
      </c>
      <c r="O22" s="11">
        <v>44.813000000000002</v>
      </c>
      <c r="P22" s="11">
        <v>848.36099999999999</v>
      </c>
      <c r="Q22" s="11">
        <v>9.7629999999999999</v>
      </c>
      <c r="R22" s="11">
        <v>80.155000000000001</v>
      </c>
      <c r="S22" s="11">
        <v>2723.864</v>
      </c>
      <c r="T22" s="11">
        <v>706.78599999999994</v>
      </c>
      <c r="U22" s="11">
        <v>91.084000000000003</v>
      </c>
      <c r="V22" s="11">
        <v>8.2710000000000008</v>
      </c>
      <c r="W22" s="11">
        <v>791.80399999999997</v>
      </c>
      <c r="X22" s="11">
        <v>41.441000000000003</v>
      </c>
      <c r="Y22" s="11">
        <v>4.6369999999999996</v>
      </c>
      <c r="Z22" s="11">
        <v>342.17</v>
      </c>
      <c r="AA22" s="11">
        <v>410.87400000000002</v>
      </c>
      <c r="AB22" s="11">
        <v>76.734999999999999</v>
      </c>
      <c r="AC22" s="11">
        <v>77.004000000000005</v>
      </c>
      <c r="AD22" s="11">
        <v>153.345</v>
      </c>
      <c r="AE22" s="11">
        <v>213.852</v>
      </c>
      <c r="AF22" s="11">
        <v>225.41800000000001</v>
      </c>
      <c r="AG22" s="11">
        <v>104.21899999999999</v>
      </c>
      <c r="AH22" s="11">
        <v>1927.6569999999999</v>
      </c>
      <c r="AI22" s="11">
        <v>737.54399999999998</v>
      </c>
      <c r="AJ22" s="11">
        <v>2870.62</v>
      </c>
      <c r="AK22" s="11">
        <v>1699.877</v>
      </c>
      <c r="AL22" s="11">
        <v>2127.2759999999998</v>
      </c>
      <c r="AM22" s="11">
        <v>1.7989999999999999</v>
      </c>
      <c r="AN22" s="11">
        <v>0.28899999999999998</v>
      </c>
      <c r="AO22" s="11">
        <v>0.155</v>
      </c>
      <c r="AP22" s="11">
        <v>94.019000000000005</v>
      </c>
      <c r="AQ22" s="11">
        <v>20.695</v>
      </c>
      <c r="AR22" s="11">
        <v>0.24199999999999999</v>
      </c>
      <c r="AS22" s="11">
        <v>0.13100000000000001</v>
      </c>
      <c r="AT22" s="11">
        <v>22.306999999999999</v>
      </c>
      <c r="AU22" s="11">
        <v>5.7000000000000002E-2</v>
      </c>
      <c r="AV22" s="11">
        <v>1.1100000000000001</v>
      </c>
      <c r="AW22" s="11">
        <v>10.602</v>
      </c>
      <c r="AX22" s="11">
        <v>5.1479999999999997</v>
      </c>
      <c r="AY22" s="11">
        <v>15.061</v>
      </c>
      <c r="AZ22" s="11">
        <v>74.007999999999996</v>
      </c>
      <c r="BA22" s="11">
        <v>94.751999999999995</v>
      </c>
      <c r="BB22" s="11">
        <v>0.68200000000000005</v>
      </c>
      <c r="BC22" s="11">
        <v>1.0620000000000001</v>
      </c>
      <c r="BD22" s="11">
        <v>0.40300000000000002</v>
      </c>
      <c r="BE22" s="11">
        <v>19.989999999999998</v>
      </c>
      <c r="BF22" s="11">
        <v>0.93200000000000005</v>
      </c>
      <c r="BG22" s="11">
        <v>9.8290000000000006</v>
      </c>
      <c r="BH22" s="11">
        <v>566.97199999999998</v>
      </c>
      <c r="BI22" s="11">
        <v>101.455</v>
      </c>
      <c r="BJ22" s="11">
        <v>0.70399999999999996</v>
      </c>
      <c r="BK22" s="11">
        <v>38.57</v>
      </c>
      <c r="BL22" s="11">
        <v>50.875</v>
      </c>
      <c r="BM22" s="11">
        <v>1894.47</v>
      </c>
      <c r="BN22" s="11">
        <v>3.3180000000000001</v>
      </c>
      <c r="BO22" s="11">
        <v>1257.1389999999999</v>
      </c>
      <c r="BP22" s="11">
        <v>92.784999999999997</v>
      </c>
      <c r="BQ22" s="11">
        <v>200.12700000000001</v>
      </c>
      <c r="BR22" s="11">
        <v>1.4390000000000001</v>
      </c>
      <c r="BS22" s="11">
        <v>18.170000000000002</v>
      </c>
      <c r="BT22" s="11">
        <v>158.98699999999999</v>
      </c>
      <c r="BU22" s="11">
        <v>18.341000000000001</v>
      </c>
      <c r="BV22" s="11">
        <v>161.923</v>
      </c>
      <c r="BW22" s="11">
        <v>860.14800000000002</v>
      </c>
      <c r="BX22" s="11">
        <v>535.101</v>
      </c>
      <c r="BY22" s="11">
        <v>92.272000000000006</v>
      </c>
      <c r="BZ22" s="11">
        <v>281.77999999999997</v>
      </c>
      <c r="CA22" s="11">
        <v>205.14</v>
      </c>
      <c r="CB22" s="11">
        <v>0</v>
      </c>
      <c r="CC22" s="11">
        <v>668.79399999999998</v>
      </c>
      <c r="CD22" s="11">
        <v>22712.522000000001</v>
      </c>
      <c r="CE22" s="11">
        <v>22479.141</v>
      </c>
      <c r="CF22" s="11">
        <v>0.46400000000000002</v>
      </c>
      <c r="CG22" s="11">
        <v>755.822</v>
      </c>
      <c r="CH22" s="11">
        <v>-302.68700000000001</v>
      </c>
      <c r="CI22" s="11">
        <v>20148.576000000001</v>
      </c>
      <c r="CJ22" s="11">
        <v>-20368.794000000002</v>
      </c>
      <c r="CK22" s="12" t="s">
        <v>94</v>
      </c>
    </row>
    <row r="23" spans="1:89" x14ac:dyDescent="0.3">
      <c r="A23" s="7" t="s">
        <v>110</v>
      </c>
      <c r="B23" s="10">
        <v>173407.421</v>
      </c>
      <c r="C23" s="10">
        <v>48841.849000000002</v>
      </c>
      <c r="D23" s="10">
        <v>16.491</v>
      </c>
      <c r="E23" s="10">
        <v>23.436</v>
      </c>
      <c r="F23" s="10">
        <v>4.8840000000000003</v>
      </c>
      <c r="G23" s="10">
        <v>3.8740000000000001</v>
      </c>
      <c r="H23" s="10">
        <v>1.4750000000000001</v>
      </c>
      <c r="I23" s="10">
        <v>614.66099999999994</v>
      </c>
      <c r="J23" s="10">
        <v>184.59800000000001</v>
      </c>
      <c r="K23" s="10">
        <v>29.754000000000001</v>
      </c>
      <c r="L23" s="10">
        <v>71.692999999999998</v>
      </c>
      <c r="M23" s="10">
        <v>1524.1890000000001</v>
      </c>
      <c r="N23" s="10">
        <v>2451.268</v>
      </c>
      <c r="O23" s="10">
        <v>5130.1480000000001</v>
      </c>
      <c r="P23" s="10">
        <v>680.62099999999998</v>
      </c>
      <c r="Q23" s="10">
        <v>59.749000000000002</v>
      </c>
      <c r="R23" s="10">
        <v>110.34099999999999</v>
      </c>
      <c r="S23" s="10">
        <v>490.41800000000001</v>
      </c>
      <c r="T23" s="10">
        <v>16586.810000000001</v>
      </c>
      <c r="U23" s="10">
        <v>48.273000000000003</v>
      </c>
      <c r="V23" s="10">
        <v>7.758</v>
      </c>
      <c r="W23" s="10">
        <v>224.381</v>
      </c>
      <c r="X23" s="10">
        <v>4363.3130000000001</v>
      </c>
      <c r="Y23" s="10">
        <v>294.51400000000001</v>
      </c>
      <c r="Z23" s="10">
        <v>369.86599999999999</v>
      </c>
      <c r="AA23" s="10">
        <v>182.477</v>
      </c>
      <c r="AB23" s="10">
        <v>778.41099999999994</v>
      </c>
      <c r="AC23" s="10">
        <v>109.846</v>
      </c>
      <c r="AD23" s="10">
        <v>100.127</v>
      </c>
      <c r="AE23" s="10">
        <v>184.00200000000001</v>
      </c>
      <c r="AF23" s="10">
        <v>208.095</v>
      </c>
      <c r="AG23" s="10">
        <v>129.03100000000001</v>
      </c>
      <c r="AH23" s="10">
        <v>1078.2149999999999</v>
      </c>
      <c r="AI23" s="10">
        <v>81.787999999999997</v>
      </c>
      <c r="AJ23" s="10">
        <v>1805.643</v>
      </c>
      <c r="AK23" s="10">
        <v>1246.203</v>
      </c>
      <c r="AL23" s="10">
        <v>475.65800000000002</v>
      </c>
      <c r="AM23" s="10">
        <v>45.158999999999999</v>
      </c>
      <c r="AN23" s="10">
        <v>12.782999999999999</v>
      </c>
      <c r="AO23" s="10">
        <v>3.0390000000000001</v>
      </c>
      <c r="AP23" s="10">
        <v>72.841999999999999</v>
      </c>
      <c r="AQ23" s="10">
        <v>156.55000000000001</v>
      </c>
      <c r="AR23" s="10">
        <v>17.701000000000001</v>
      </c>
      <c r="AS23" s="10">
        <v>0.34300000000000003</v>
      </c>
      <c r="AT23" s="10">
        <v>42.445</v>
      </c>
      <c r="AU23" s="10">
        <v>0.85599999999999998</v>
      </c>
      <c r="AV23" s="10">
        <v>5.09</v>
      </c>
      <c r="AW23" s="10">
        <v>17.446000000000002</v>
      </c>
      <c r="AX23" s="10">
        <v>5.5170000000000003</v>
      </c>
      <c r="AY23" s="10">
        <v>9.8610000000000007</v>
      </c>
      <c r="AZ23" s="10">
        <v>27.262</v>
      </c>
      <c r="BA23" s="10">
        <v>230.142</v>
      </c>
      <c r="BB23" s="10">
        <v>2.2389999999999999</v>
      </c>
      <c r="BC23" s="10">
        <v>1.216</v>
      </c>
      <c r="BD23" s="10">
        <v>4.5869999999999997</v>
      </c>
      <c r="BE23" s="10">
        <v>100.313</v>
      </c>
      <c r="BF23" s="10">
        <v>1.8160000000000001</v>
      </c>
      <c r="BG23" s="10">
        <v>14.628</v>
      </c>
      <c r="BH23" s="10">
        <v>66.909000000000006</v>
      </c>
      <c r="BI23" s="10">
        <v>13.164</v>
      </c>
      <c r="BJ23" s="10">
        <v>0.14799999999999999</v>
      </c>
      <c r="BK23" s="10">
        <v>77.849000000000004</v>
      </c>
      <c r="BL23" s="10">
        <v>40.549999999999997</v>
      </c>
      <c r="BM23" s="10">
        <v>589.46</v>
      </c>
      <c r="BN23" s="10">
        <v>17.795000000000002</v>
      </c>
      <c r="BO23" s="10">
        <v>929.94399999999996</v>
      </c>
      <c r="BP23" s="10">
        <v>900.55600000000004</v>
      </c>
      <c r="BQ23" s="10">
        <v>618.54300000000001</v>
      </c>
      <c r="BR23" s="10">
        <v>14.493</v>
      </c>
      <c r="BS23" s="10">
        <v>7.6639999999999997</v>
      </c>
      <c r="BT23" s="10">
        <v>100.021</v>
      </c>
      <c r="BU23" s="10">
        <v>89.951999999999998</v>
      </c>
      <c r="BV23" s="10">
        <v>793.375</v>
      </c>
      <c r="BW23" s="10">
        <v>350.875</v>
      </c>
      <c r="BX23" s="10">
        <v>51.662999999999997</v>
      </c>
      <c r="BY23" s="10">
        <v>38.308</v>
      </c>
      <c r="BZ23" s="10">
        <v>111.55</v>
      </c>
      <c r="CA23" s="10">
        <v>63.642000000000003</v>
      </c>
      <c r="CB23" s="10">
        <v>0</v>
      </c>
      <c r="CC23" s="10">
        <v>3521.5419999999999</v>
      </c>
      <c r="CD23" s="10">
        <v>124565.572</v>
      </c>
      <c r="CE23" s="10">
        <v>127935.319</v>
      </c>
      <c r="CF23" s="10">
        <v>1.7250000000000001</v>
      </c>
      <c r="CG23" s="10">
        <v>1029.817</v>
      </c>
      <c r="CH23" s="10">
        <v>194.024</v>
      </c>
      <c r="CI23" s="10">
        <v>71533.175000000003</v>
      </c>
      <c r="CJ23" s="10">
        <v>-76128.487999999998</v>
      </c>
      <c r="CK23" s="13" t="s">
        <v>94</v>
      </c>
    </row>
    <row r="24" spans="1:89" x14ac:dyDescent="0.3">
      <c r="A24" s="8" t="s">
        <v>111</v>
      </c>
      <c r="B24" s="11">
        <v>84241.203999999998</v>
      </c>
      <c r="C24" s="11">
        <v>48635.46</v>
      </c>
      <c r="D24" s="11">
        <v>3.6619999999999999</v>
      </c>
      <c r="E24" s="11">
        <v>3.0179999999999998</v>
      </c>
      <c r="F24" s="11">
        <v>0.28799999999999998</v>
      </c>
      <c r="G24" s="11">
        <v>3.6040000000000001</v>
      </c>
      <c r="H24" s="11">
        <v>0.33800000000000002</v>
      </c>
      <c r="I24" s="11">
        <v>36.26</v>
      </c>
      <c r="J24" s="11">
        <v>35.395000000000003</v>
      </c>
      <c r="K24" s="11">
        <v>11.33</v>
      </c>
      <c r="L24" s="11">
        <v>28.757999999999999</v>
      </c>
      <c r="M24" s="11">
        <v>120.247</v>
      </c>
      <c r="N24" s="11">
        <v>274.72399999999999</v>
      </c>
      <c r="O24" s="11">
        <v>27.178000000000001</v>
      </c>
      <c r="P24" s="11">
        <v>130.988</v>
      </c>
      <c r="Q24" s="11">
        <v>13.041</v>
      </c>
      <c r="R24" s="11">
        <v>11.147</v>
      </c>
      <c r="S24" s="11">
        <v>53.537999999999997</v>
      </c>
      <c r="T24" s="11">
        <v>449.88900000000001</v>
      </c>
      <c r="U24" s="11">
        <v>26547.780999999999</v>
      </c>
      <c r="V24" s="11">
        <v>4.5590000000000002</v>
      </c>
      <c r="W24" s="11">
        <v>94.751999999999995</v>
      </c>
      <c r="X24" s="11">
        <v>80.424999999999997</v>
      </c>
      <c r="Y24" s="11">
        <v>130.601</v>
      </c>
      <c r="Z24" s="11">
        <v>583.11</v>
      </c>
      <c r="AA24" s="11">
        <v>264.29599999999999</v>
      </c>
      <c r="AB24" s="11">
        <v>197.953</v>
      </c>
      <c r="AC24" s="11">
        <v>102.629</v>
      </c>
      <c r="AD24" s="11">
        <v>616.33900000000006</v>
      </c>
      <c r="AE24" s="11">
        <v>98.826999999999998</v>
      </c>
      <c r="AF24" s="11">
        <v>345.31299999999999</v>
      </c>
      <c r="AG24" s="11">
        <v>41.320999999999998</v>
      </c>
      <c r="AH24" s="11">
        <v>14130.362999999999</v>
      </c>
      <c r="AI24" s="11">
        <v>1174.3879999999999</v>
      </c>
      <c r="AJ24" s="11">
        <v>280.22899999999998</v>
      </c>
      <c r="AK24" s="11">
        <v>357.85599999999999</v>
      </c>
      <c r="AL24" s="11">
        <v>398.51</v>
      </c>
      <c r="AM24" s="11">
        <v>2.3330000000000002</v>
      </c>
      <c r="AN24" s="11">
        <v>1.08</v>
      </c>
      <c r="AO24" s="11">
        <v>0.72</v>
      </c>
      <c r="AP24" s="11">
        <v>87.088999999999999</v>
      </c>
      <c r="AQ24" s="11">
        <v>17.606999999999999</v>
      </c>
      <c r="AR24" s="11">
        <v>0.63200000000000001</v>
      </c>
      <c r="AS24" s="11">
        <v>0.185</v>
      </c>
      <c r="AT24" s="11">
        <v>2.4</v>
      </c>
      <c r="AU24" s="11">
        <v>2.5999999999999999E-2</v>
      </c>
      <c r="AV24" s="11">
        <v>0.59399999999999997</v>
      </c>
      <c r="AW24" s="11">
        <v>0.97499999999999998</v>
      </c>
      <c r="AX24" s="11">
        <v>0.77700000000000002</v>
      </c>
      <c r="AY24" s="11">
        <v>0.76</v>
      </c>
      <c r="AZ24" s="11">
        <v>2.3260000000000001</v>
      </c>
      <c r="BA24" s="11">
        <v>6.4329999999999998</v>
      </c>
      <c r="BB24" s="11">
        <v>0.14799999999999999</v>
      </c>
      <c r="BC24" s="11">
        <v>0.12</v>
      </c>
      <c r="BD24" s="11">
        <v>0.2</v>
      </c>
      <c r="BE24" s="11">
        <v>40.856000000000002</v>
      </c>
      <c r="BF24" s="11">
        <v>1.923</v>
      </c>
      <c r="BG24" s="11">
        <v>1.0329999999999999</v>
      </c>
      <c r="BH24" s="11">
        <v>20.265999999999998</v>
      </c>
      <c r="BI24" s="11">
        <v>9.702</v>
      </c>
      <c r="BJ24" s="11">
        <v>3.2000000000000001E-2</v>
      </c>
      <c r="BK24" s="11">
        <v>14.922000000000001</v>
      </c>
      <c r="BL24" s="11">
        <v>100.828</v>
      </c>
      <c r="BM24" s="11">
        <v>96.548000000000002</v>
      </c>
      <c r="BN24" s="11">
        <v>1.3480000000000001</v>
      </c>
      <c r="BO24" s="11">
        <v>168.63</v>
      </c>
      <c r="BP24" s="11">
        <v>33.789000000000001</v>
      </c>
      <c r="BQ24" s="11">
        <v>53.555</v>
      </c>
      <c r="BR24" s="11">
        <v>0.76800000000000002</v>
      </c>
      <c r="BS24" s="11">
        <v>4.6500000000000004</v>
      </c>
      <c r="BT24" s="11">
        <v>5.9059999999999997</v>
      </c>
      <c r="BU24" s="11">
        <v>0.94</v>
      </c>
      <c r="BV24" s="11">
        <v>47.85</v>
      </c>
      <c r="BW24" s="11">
        <v>79.881</v>
      </c>
      <c r="BX24" s="11">
        <v>23.111000000000001</v>
      </c>
      <c r="BY24" s="11">
        <v>287.75400000000002</v>
      </c>
      <c r="BZ24" s="11">
        <v>9.0960000000000001</v>
      </c>
      <c r="CA24" s="11">
        <v>8.9789999999999992</v>
      </c>
      <c r="CB24" s="11">
        <v>0</v>
      </c>
      <c r="CC24" s="11">
        <v>846.03099999999995</v>
      </c>
      <c r="CD24" s="11">
        <v>35605.743999999999</v>
      </c>
      <c r="CE24" s="11">
        <v>71364.538</v>
      </c>
      <c r="CF24" s="11">
        <v>4.3150000000000004</v>
      </c>
      <c r="CG24" s="11">
        <v>464.52800000000002</v>
      </c>
      <c r="CH24" s="11">
        <v>431.875</v>
      </c>
      <c r="CI24" s="11">
        <v>20063</v>
      </c>
      <c r="CJ24" s="11">
        <v>-56722.512000000002</v>
      </c>
      <c r="CK24" s="12" t="s">
        <v>94</v>
      </c>
    </row>
    <row r="25" spans="1:89" x14ac:dyDescent="0.3">
      <c r="A25" s="7" t="s">
        <v>112</v>
      </c>
      <c r="B25" s="10">
        <v>89592.226999999999</v>
      </c>
      <c r="C25" s="10">
        <v>110151.861</v>
      </c>
      <c r="D25" s="10">
        <v>634.15899999999999</v>
      </c>
      <c r="E25" s="10">
        <v>63.101999999999997</v>
      </c>
      <c r="F25" s="10">
        <v>1.08</v>
      </c>
      <c r="G25" s="10">
        <v>48.47</v>
      </c>
      <c r="H25" s="10">
        <v>11.26</v>
      </c>
      <c r="I25" s="10">
        <v>225.86500000000001</v>
      </c>
      <c r="J25" s="10">
        <v>17153.259999999998</v>
      </c>
      <c r="K25" s="10">
        <v>972.923</v>
      </c>
      <c r="L25" s="10">
        <v>450.53300000000002</v>
      </c>
      <c r="M25" s="10">
        <v>19999.591</v>
      </c>
      <c r="N25" s="10">
        <v>1816.93</v>
      </c>
      <c r="O25" s="10">
        <v>720.35599999999999</v>
      </c>
      <c r="P25" s="10">
        <v>1037.521</v>
      </c>
      <c r="Q25" s="10">
        <v>1069.4290000000001</v>
      </c>
      <c r="R25" s="10">
        <v>48.524000000000001</v>
      </c>
      <c r="S25" s="10">
        <v>65.200999999999993</v>
      </c>
      <c r="T25" s="10">
        <v>210.33799999999999</v>
      </c>
      <c r="U25" s="10">
        <v>370.33499999999998</v>
      </c>
      <c r="V25" s="10">
        <v>13857.806</v>
      </c>
      <c r="W25" s="10">
        <v>356.69299999999998</v>
      </c>
      <c r="X25" s="10">
        <v>90.995000000000005</v>
      </c>
      <c r="Y25" s="10">
        <v>157.935</v>
      </c>
      <c r="Z25" s="10">
        <v>799.14800000000002</v>
      </c>
      <c r="AA25" s="10">
        <v>867.07600000000002</v>
      </c>
      <c r="AB25" s="10">
        <v>787.91499999999996</v>
      </c>
      <c r="AC25" s="10">
        <v>245.04499999999999</v>
      </c>
      <c r="AD25" s="10">
        <v>3143.2730000000001</v>
      </c>
      <c r="AE25" s="10">
        <v>1092.451</v>
      </c>
      <c r="AF25" s="10">
        <v>2679.85</v>
      </c>
      <c r="AG25" s="10">
        <v>1005.335</v>
      </c>
      <c r="AH25" s="10">
        <v>6392.7690000000002</v>
      </c>
      <c r="AI25" s="10">
        <v>15146.14</v>
      </c>
      <c r="AJ25" s="10">
        <v>3251.114</v>
      </c>
      <c r="AK25" s="10">
        <v>1959.47</v>
      </c>
      <c r="AL25" s="10">
        <v>2161.1320000000001</v>
      </c>
      <c r="AM25" s="10">
        <v>44.478999999999999</v>
      </c>
      <c r="AN25" s="10">
        <v>122.345</v>
      </c>
      <c r="AO25" s="10">
        <v>5.0019999999999998</v>
      </c>
      <c r="AP25" s="10">
        <v>891.76099999999997</v>
      </c>
      <c r="AQ25" s="10">
        <v>1698.884</v>
      </c>
      <c r="AR25" s="10">
        <v>98.245999999999995</v>
      </c>
      <c r="AS25" s="10">
        <v>8.6210000000000004</v>
      </c>
      <c r="AT25" s="10">
        <v>159.42099999999999</v>
      </c>
      <c r="AU25" s="10">
        <v>0.126</v>
      </c>
      <c r="AV25" s="10">
        <v>156.965</v>
      </c>
      <c r="AW25" s="10">
        <v>2.66</v>
      </c>
      <c r="AX25" s="10">
        <v>8.3879999999999999</v>
      </c>
      <c r="AY25" s="10">
        <v>53.853000000000002</v>
      </c>
      <c r="AZ25" s="10">
        <v>63.526000000000003</v>
      </c>
      <c r="BA25" s="10">
        <v>740.16499999999996</v>
      </c>
      <c r="BB25" s="10">
        <v>4.8899999999999997</v>
      </c>
      <c r="BC25" s="10">
        <v>0.84599999999999997</v>
      </c>
      <c r="BD25" s="10">
        <v>0.74399999999999999</v>
      </c>
      <c r="BE25" s="10">
        <v>53.747</v>
      </c>
      <c r="BF25" s="10">
        <v>2.573</v>
      </c>
      <c r="BG25" s="10">
        <v>11.183999999999999</v>
      </c>
      <c r="BH25" s="10">
        <v>999.56799999999998</v>
      </c>
      <c r="BI25" s="10">
        <v>67.013999999999996</v>
      </c>
      <c r="BJ25" s="10">
        <v>0.59599999999999997</v>
      </c>
      <c r="BK25" s="10">
        <v>348.16</v>
      </c>
      <c r="BL25" s="10">
        <v>48.680999999999997</v>
      </c>
      <c r="BM25" s="10">
        <v>351.69200000000001</v>
      </c>
      <c r="BN25" s="10">
        <v>7.8410000000000002</v>
      </c>
      <c r="BO25" s="10">
        <v>220.44900000000001</v>
      </c>
      <c r="BP25" s="10">
        <v>2013.278</v>
      </c>
      <c r="BQ25" s="10">
        <v>107.474</v>
      </c>
      <c r="BR25" s="10">
        <v>3.984</v>
      </c>
      <c r="BS25" s="10">
        <v>12.12</v>
      </c>
      <c r="BT25" s="10">
        <v>29.427</v>
      </c>
      <c r="BU25" s="10">
        <v>16.244</v>
      </c>
      <c r="BV25" s="10">
        <v>132.523</v>
      </c>
      <c r="BW25" s="10">
        <v>258.68599999999998</v>
      </c>
      <c r="BX25" s="10">
        <v>2124.0889999999999</v>
      </c>
      <c r="BY25" s="10">
        <v>103.119</v>
      </c>
      <c r="BZ25" s="10">
        <v>52.948999999999998</v>
      </c>
      <c r="CA25" s="10">
        <v>18.033999999999999</v>
      </c>
      <c r="CB25" s="10">
        <v>0</v>
      </c>
      <c r="CC25" s="10">
        <v>214.483</v>
      </c>
      <c r="CD25" s="10">
        <v>-20559.633999999998</v>
      </c>
      <c r="CE25" s="10">
        <v>5398.6019999999999</v>
      </c>
      <c r="CF25" s="10">
        <v>4.5209999999999999</v>
      </c>
      <c r="CG25" s="10">
        <v>783.81899999999996</v>
      </c>
      <c r="CH25" s="10">
        <v>398.05599999999998</v>
      </c>
      <c r="CI25" s="10">
        <v>8413.9660000000003</v>
      </c>
      <c r="CJ25" s="10">
        <v>-35558.597999999998</v>
      </c>
      <c r="CK25" s="13" t="s">
        <v>94</v>
      </c>
    </row>
    <row r="26" spans="1:89" x14ac:dyDescent="0.3">
      <c r="A26" s="8" t="s">
        <v>113</v>
      </c>
      <c r="B26" s="11">
        <v>289915.32699999999</v>
      </c>
      <c r="C26" s="11">
        <v>331981.66100000002</v>
      </c>
      <c r="D26" s="11">
        <v>842.02</v>
      </c>
      <c r="E26" s="11">
        <v>532.17499999999995</v>
      </c>
      <c r="F26" s="11">
        <v>104.096</v>
      </c>
      <c r="G26" s="11">
        <v>44.613</v>
      </c>
      <c r="H26" s="11">
        <v>37.152000000000001</v>
      </c>
      <c r="I26" s="11">
        <v>60.302999999999997</v>
      </c>
      <c r="J26" s="11">
        <v>466.25599999999997</v>
      </c>
      <c r="K26" s="11">
        <v>900.51900000000001</v>
      </c>
      <c r="L26" s="11">
        <v>68.950999999999993</v>
      </c>
      <c r="M26" s="11">
        <v>204.66900000000001</v>
      </c>
      <c r="N26" s="11">
        <v>94.742000000000004</v>
      </c>
      <c r="O26" s="11">
        <v>42.787999999999997</v>
      </c>
      <c r="P26" s="11">
        <v>24118.704000000002</v>
      </c>
      <c r="Q26" s="11">
        <v>3696.4209999999998</v>
      </c>
      <c r="R26" s="11">
        <v>414.77800000000002</v>
      </c>
      <c r="S26" s="11">
        <v>504.923</v>
      </c>
      <c r="T26" s="11">
        <v>5685.4089999999997</v>
      </c>
      <c r="U26" s="11">
        <v>463.88900000000001</v>
      </c>
      <c r="V26" s="11">
        <v>276.32</v>
      </c>
      <c r="W26" s="11">
        <v>79968.788</v>
      </c>
      <c r="X26" s="11">
        <v>14925.210999999999</v>
      </c>
      <c r="Y26" s="11">
        <v>294.48099999999999</v>
      </c>
      <c r="Z26" s="11">
        <v>5058.9970000000003</v>
      </c>
      <c r="AA26" s="11">
        <v>5329.5479999999998</v>
      </c>
      <c r="AB26" s="11">
        <v>3608.4450000000002</v>
      </c>
      <c r="AC26" s="11">
        <v>2190.6509999999998</v>
      </c>
      <c r="AD26" s="11">
        <v>6083.2960000000003</v>
      </c>
      <c r="AE26" s="11">
        <v>7525.4260000000004</v>
      </c>
      <c r="AF26" s="11">
        <v>26426.399000000001</v>
      </c>
      <c r="AG26" s="11">
        <v>12013.790999999999</v>
      </c>
      <c r="AH26" s="11">
        <v>40489.188000000002</v>
      </c>
      <c r="AI26" s="11">
        <v>3207.328</v>
      </c>
      <c r="AJ26" s="11">
        <v>19500.708999999999</v>
      </c>
      <c r="AK26" s="11">
        <v>7984.9210000000003</v>
      </c>
      <c r="AL26" s="11">
        <v>15571.316000000001</v>
      </c>
      <c r="AM26" s="11">
        <v>5.6340000000000003</v>
      </c>
      <c r="AN26" s="11">
        <v>5.867</v>
      </c>
      <c r="AO26" s="11">
        <v>2.8420000000000001</v>
      </c>
      <c r="AP26" s="11">
        <v>507.41399999999999</v>
      </c>
      <c r="AQ26" s="11">
        <v>272.00200000000001</v>
      </c>
      <c r="AR26" s="11">
        <v>1.0409999999999999</v>
      </c>
      <c r="AS26" s="11">
        <v>5.32</v>
      </c>
      <c r="AT26" s="11">
        <v>75.438999999999993</v>
      </c>
      <c r="AU26" s="11">
        <v>30.609000000000002</v>
      </c>
      <c r="AV26" s="11">
        <v>132.58500000000001</v>
      </c>
      <c r="AW26" s="11">
        <v>103.587</v>
      </c>
      <c r="AX26" s="11">
        <v>7.3460000000000001</v>
      </c>
      <c r="AY26" s="11">
        <v>12.823</v>
      </c>
      <c r="AZ26" s="11">
        <v>9.1720000000000006</v>
      </c>
      <c r="BA26" s="11">
        <v>104.07299999999999</v>
      </c>
      <c r="BB26" s="11">
        <v>0.77100000000000002</v>
      </c>
      <c r="BC26" s="11">
        <v>9.2850000000000001</v>
      </c>
      <c r="BD26" s="11">
        <v>28.24</v>
      </c>
      <c r="BE26" s="11">
        <v>381.976</v>
      </c>
      <c r="BF26" s="11">
        <v>46.332999999999998</v>
      </c>
      <c r="BG26" s="11">
        <v>29.073</v>
      </c>
      <c r="BH26" s="11">
        <v>256.33499999999998</v>
      </c>
      <c r="BI26" s="11">
        <v>50.634999999999998</v>
      </c>
      <c r="BJ26" s="11">
        <v>8.4000000000000005E-2</v>
      </c>
      <c r="BK26" s="11">
        <v>3065.6990000000001</v>
      </c>
      <c r="BL26" s="11">
        <v>496.97199999999998</v>
      </c>
      <c r="BM26" s="11">
        <v>4637.2879999999996</v>
      </c>
      <c r="BN26" s="11">
        <v>85.686999999999998</v>
      </c>
      <c r="BO26" s="11">
        <v>6023.2110000000002</v>
      </c>
      <c r="BP26" s="11">
        <v>1458.114</v>
      </c>
      <c r="BQ26" s="11">
        <v>2645.422</v>
      </c>
      <c r="BR26" s="11">
        <v>77.697000000000003</v>
      </c>
      <c r="BS26" s="11">
        <v>594.90599999999995</v>
      </c>
      <c r="BT26" s="11">
        <v>1583.0740000000001</v>
      </c>
      <c r="BU26" s="11">
        <v>239.95099999999999</v>
      </c>
      <c r="BV26" s="11">
        <v>2743.8780000000002</v>
      </c>
      <c r="BW26" s="11">
        <v>2386.1120000000001</v>
      </c>
      <c r="BX26" s="11">
        <v>7436.8360000000002</v>
      </c>
      <c r="BY26" s="11">
        <v>239.458</v>
      </c>
      <c r="BZ26" s="11">
        <v>707.35900000000004</v>
      </c>
      <c r="CA26" s="11">
        <v>265.63200000000001</v>
      </c>
      <c r="CB26" s="11">
        <v>0</v>
      </c>
      <c r="CC26" s="11">
        <v>6478.6559999999999</v>
      </c>
      <c r="CD26" s="11">
        <v>-42066.334000000003</v>
      </c>
      <c r="CE26" s="11">
        <v>80051.922999999995</v>
      </c>
      <c r="CF26" s="11">
        <v>30.091000000000001</v>
      </c>
      <c r="CG26" s="11">
        <v>489.12099999999998</v>
      </c>
      <c r="CH26" s="11">
        <v>2360.3670000000002</v>
      </c>
      <c r="CI26" s="11">
        <v>38874.555999999997</v>
      </c>
      <c r="CJ26" s="11">
        <v>-163872.39199999999</v>
      </c>
      <c r="CK26" s="12" t="s">
        <v>94</v>
      </c>
    </row>
    <row r="27" spans="1:89" x14ac:dyDescent="0.3">
      <c r="A27" s="7" t="s">
        <v>114</v>
      </c>
      <c r="B27" s="10">
        <v>85887.975000000006</v>
      </c>
      <c r="C27" s="10">
        <v>75884.307000000001</v>
      </c>
      <c r="D27" s="10">
        <v>7.1929999999999996</v>
      </c>
      <c r="E27" s="10">
        <v>6.8789999999999996</v>
      </c>
      <c r="F27" s="10">
        <v>1.1120000000000001</v>
      </c>
      <c r="G27" s="10">
        <v>1.8009999999999999</v>
      </c>
      <c r="H27" s="10">
        <v>64.629000000000005</v>
      </c>
      <c r="I27" s="10">
        <v>91.828000000000003</v>
      </c>
      <c r="J27" s="10">
        <v>37.658999999999999</v>
      </c>
      <c r="K27" s="10">
        <v>42.718000000000004</v>
      </c>
      <c r="L27" s="10">
        <v>44.411999999999999</v>
      </c>
      <c r="M27" s="10">
        <v>225.62899999999999</v>
      </c>
      <c r="N27" s="10">
        <v>479.226</v>
      </c>
      <c r="O27" s="10">
        <v>369.55700000000002</v>
      </c>
      <c r="P27" s="10">
        <v>681.65099999999995</v>
      </c>
      <c r="Q27" s="10">
        <v>34.543999999999997</v>
      </c>
      <c r="R27" s="10">
        <v>10.68</v>
      </c>
      <c r="S27" s="10">
        <v>48.896000000000001</v>
      </c>
      <c r="T27" s="10">
        <v>1081.9169999999999</v>
      </c>
      <c r="U27" s="10">
        <v>22.463999999999999</v>
      </c>
      <c r="V27" s="10">
        <v>35.226999999999997</v>
      </c>
      <c r="W27" s="10">
        <v>1504.6310000000001</v>
      </c>
      <c r="X27" s="10">
        <v>1640.009</v>
      </c>
      <c r="Y27" s="10">
        <v>186.80600000000001</v>
      </c>
      <c r="Z27" s="10">
        <v>457.22899999999998</v>
      </c>
      <c r="AA27" s="10">
        <v>325.5</v>
      </c>
      <c r="AB27" s="10">
        <v>144.93</v>
      </c>
      <c r="AC27" s="10">
        <v>230.74199999999999</v>
      </c>
      <c r="AD27" s="10">
        <v>413.24799999999999</v>
      </c>
      <c r="AE27" s="10">
        <v>906.21199999999999</v>
      </c>
      <c r="AF27" s="10">
        <v>1282.646</v>
      </c>
      <c r="AG27" s="10">
        <v>619.27</v>
      </c>
      <c r="AH27" s="10">
        <v>1047.288</v>
      </c>
      <c r="AI27" s="10">
        <v>154.60900000000001</v>
      </c>
      <c r="AJ27" s="10">
        <v>2578.5790000000002</v>
      </c>
      <c r="AK27" s="10">
        <v>10803.034</v>
      </c>
      <c r="AL27" s="10">
        <v>1410.884</v>
      </c>
      <c r="AM27" s="10">
        <v>27.596</v>
      </c>
      <c r="AN27" s="10">
        <v>3.1720000000000002</v>
      </c>
      <c r="AO27" s="10">
        <v>20.378</v>
      </c>
      <c r="AP27" s="10">
        <v>95.94</v>
      </c>
      <c r="AQ27" s="10">
        <v>95.497</v>
      </c>
      <c r="AR27" s="10">
        <v>7.2450000000000001</v>
      </c>
      <c r="AS27" s="10">
        <v>1.4650000000000001</v>
      </c>
      <c r="AT27" s="10">
        <v>378.471</v>
      </c>
      <c r="AU27" s="10">
        <v>1.151</v>
      </c>
      <c r="AV27" s="10">
        <v>19.632999999999999</v>
      </c>
      <c r="AW27" s="10">
        <v>275.86799999999999</v>
      </c>
      <c r="AX27" s="10">
        <v>52.561</v>
      </c>
      <c r="AY27" s="10">
        <v>30.367000000000001</v>
      </c>
      <c r="AZ27" s="10">
        <v>61.156999999999996</v>
      </c>
      <c r="BA27" s="10">
        <v>81.805000000000007</v>
      </c>
      <c r="BB27" s="10">
        <v>8.7249999999999996</v>
      </c>
      <c r="BC27" s="10">
        <v>2.149</v>
      </c>
      <c r="BD27" s="10">
        <v>13.268000000000001</v>
      </c>
      <c r="BE27" s="10">
        <v>13084.733</v>
      </c>
      <c r="BF27" s="10">
        <v>123.87</v>
      </c>
      <c r="BG27" s="10">
        <v>724.96199999999999</v>
      </c>
      <c r="BH27" s="10">
        <v>1074.2149999999999</v>
      </c>
      <c r="BI27" s="10">
        <v>142.91800000000001</v>
      </c>
      <c r="BJ27" s="10">
        <v>0.255</v>
      </c>
      <c r="BK27" s="10">
        <v>6544.0770000000002</v>
      </c>
      <c r="BL27" s="10">
        <v>770.71400000000006</v>
      </c>
      <c r="BM27" s="10">
        <v>3747.076</v>
      </c>
      <c r="BN27" s="10">
        <v>10.641</v>
      </c>
      <c r="BO27" s="10">
        <v>3081.8119999999999</v>
      </c>
      <c r="BP27" s="10">
        <v>1227.2840000000001</v>
      </c>
      <c r="BQ27" s="10">
        <v>300.27499999999998</v>
      </c>
      <c r="BR27" s="10">
        <v>4.0010000000000003</v>
      </c>
      <c r="BS27" s="10">
        <v>37.813000000000002</v>
      </c>
      <c r="BT27" s="10">
        <v>13.451000000000001</v>
      </c>
      <c r="BU27" s="10">
        <v>37.564</v>
      </c>
      <c r="BV27" s="10">
        <v>131.27099999999999</v>
      </c>
      <c r="BW27" s="10">
        <v>179.81299999999999</v>
      </c>
      <c r="BX27" s="10">
        <v>110.036</v>
      </c>
      <c r="BY27" s="10">
        <v>129.565</v>
      </c>
      <c r="BZ27" s="10">
        <v>189.72300000000001</v>
      </c>
      <c r="CA27" s="10">
        <v>172.81</v>
      </c>
      <c r="CB27" s="10">
        <v>0</v>
      </c>
      <c r="CC27" s="10">
        <v>15875.341</v>
      </c>
      <c r="CD27" s="10">
        <v>10003.668</v>
      </c>
      <c r="CE27" s="10">
        <v>19353.722000000002</v>
      </c>
      <c r="CF27" s="10">
        <v>2487.7359999999999</v>
      </c>
      <c r="CG27" s="10">
        <v>235.02600000000001</v>
      </c>
      <c r="CH27" s="10">
        <v>214.745</v>
      </c>
      <c r="CI27" s="10">
        <v>11240.585999999999</v>
      </c>
      <c r="CJ27" s="10">
        <v>-23528.147000000001</v>
      </c>
      <c r="CK27" s="13" t="s">
        <v>94</v>
      </c>
    </row>
    <row r="28" spans="1:89" x14ac:dyDescent="0.3">
      <c r="A28" s="8" t="s">
        <v>115</v>
      </c>
      <c r="B28" s="11">
        <v>999295.071</v>
      </c>
      <c r="C28" s="11">
        <v>1186872.4550000001</v>
      </c>
      <c r="D28" s="11">
        <v>10460.665999999999</v>
      </c>
      <c r="E28" s="11">
        <v>3931.2190000000001</v>
      </c>
      <c r="F28" s="11">
        <v>295.16699999999997</v>
      </c>
      <c r="G28" s="11">
        <v>2388.0540000000001</v>
      </c>
      <c r="H28" s="11">
        <v>164.63900000000001</v>
      </c>
      <c r="I28" s="11">
        <v>14622.215</v>
      </c>
      <c r="J28" s="11">
        <v>44067.222000000002</v>
      </c>
      <c r="K28" s="11">
        <v>16273.968000000001</v>
      </c>
      <c r="L28" s="11">
        <v>133095.345</v>
      </c>
      <c r="M28" s="11">
        <v>17355.478999999999</v>
      </c>
      <c r="N28" s="11">
        <v>23207.955000000002</v>
      </c>
      <c r="O28" s="11">
        <v>3086.087</v>
      </c>
      <c r="P28" s="11">
        <v>19615.512999999999</v>
      </c>
      <c r="Q28" s="11">
        <v>3867.8240000000001</v>
      </c>
      <c r="R28" s="11">
        <v>477.26</v>
      </c>
      <c r="S28" s="11">
        <v>331.91399999999999</v>
      </c>
      <c r="T28" s="11">
        <v>877.00099999999998</v>
      </c>
      <c r="U28" s="11">
        <v>301.87599999999998</v>
      </c>
      <c r="V28" s="11">
        <v>1427.326</v>
      </c>
      <c r="W28" s="11">
        <v>5837.0450000000001</v>
      </c>
      <c r="X28" s="11">
        <v>996.38</v>
      </c>
      <c r="Y28" s="11">
        <v>304293.60600000003</v>
      </c>
      <c r="Z28" s="11">
        <v>46003.144999999997</v>
      </c>
      <c r="AA28" s="11">
        <v>5766.4070000000002</v>
      </c>
      <c r="AB28" s="11">
        <v>12714.119000000001</v>
      </c>
      <c r="AC28" s="11">
        <v>27162.492999999999</v>
      </c>
      <c r="AD28" s="11">
        <v>4446.3320000000003</v>
      </c>
      <c r="AE28" s="11">
        <v>1954.758</v>
      </c>
      <c r="AF28" s="11">
        <v>2059.2089999999998</v>
      </c>
      <c r="AG28" s="11">
        <v>1708.008</v>
      </c>
      <c r="AH28" s="11">
        <v>18388.807000000001</v>
      </c>
      <c r="AI28" s="11">
        <v>1010.437</v>
      </c>
      <c r="AJ28" s="11">
        <v>876.66700000000003</v>
      </c>
      <c r="AK28" s="11">
        <v>50084.561999999998</v>
      </c>
      <c r="AL28" s="11">
        <v>49352.232000000004</v>
      </c>
      <c r="AM28" s="11">
        <v>51664.156999999999</v>
      </c>
      <c r="AN28" s="11">
        <v>11641.636</v>
      </c>
      <c r="AO28" s="11">
        <v>3616.6689999999999</v>
      </c>
      <c r="AP28" s="11">
        <v>106868.05100000001</v>
      </c>
      <c r="AQ28" s="11">
        <v>114701.42</v>
      </c>
      <c r="AR28" s="11">
        <v>2159.7469999999998</v>
      </c>
      <c r="AS28" s="11">
        <v>764.12699999999995</v>
      </c>
      <c r="AT28" s="11">
        <v>1549.7380000000001</v>
      </c>
      <c r="AU28" s="11">
        <v>26.838000000000001</v>
      </c>
      <c r="AV28" s="11">
        <v>6121.1450000000004</v>
      </c>
      <c r="AW28" s="11">
        <v>1370.1469999999999</v>
      </c>
      <c r="AX28" s="11">
        <v>220.85599999999999</v>
      </c>
      <c r="AY28" s="11">
        <v>242.68299999999999</v>
      </c>
      <c r="AZ28" s="11">
        <v>758.24900000000002</v>
      </c>
      <c r="BA28" s="11">
        <v>5227.1670000000004</v>
      </c>
      <c r="BB28" s="11">
        <v>102.467</v>
      </c>
      <c r="BC28" s="11">
        <v>6.3879999999999999</v>
      </c>
      <c r="BD28" s="11">
        <v>10.818</v>
      </c>
      <c r="BE28" s="11">
        <v>1208.3979999999999</v>
      </c>
      <c r="BF28" s="11">
        <v>349.04700000000003</v>
      </c>
      <c r="BG28" s="11">
        <v>318.625</v>
      </c>
      <c r="BH28" s="11">
        <v>6141.08</v>
      </c>
      <c r="BI28" s="11">
        <v>1661.7929999999999</v>
      </c>
      <c r="BJ28" s="11">
        <v>12.108000000000001</v>
      </c>
      <c r="BK28" s="11">
        <v>5755.7190000000001</v>
      </c>
      <c r="BL28" s="11">
        <v>3687.4380000000001</v>
      </c>
      <c r="BM28" s="11">
        <v>8885.7379999999994</v>
      </c>
      <c r="BN28" s="11">
        <v>634.149</v>
      </c>
      <c r="BO28" s="11">
        <v>1807.798</v>
      </c>
      <c r="BP28" s="11">
        <v>1077.1189999999999</v>
      </c>
      <c r="BQ28" s="11">
        <v>598.97299999999996</v>
      </c>
      <c r="BR28" s="11">
        <v>48.796999999999997</v>
      </c>
      <c r="BS28" s="11">
        <v>140.58699999999999</v>
      </c>
      <c r="BT28" s="11">
        <v>64.646000000000001</v>
      </c>
      <c r="BU28" s="11">
        <v>53.22</v>
      </c>
      <c r="BV28" s="11">
        <v>390.55900000000003</v>
      </c>
      <c r="BW28" s="11">
        <v>1098.3130000000001</v>
      </c>
      <c r="BX28" s="11">
        <v>1739.1289999999999</v>
      </c>
      <c r="BY28" s="11">
        <v>2203.3209999999999</v>
      </c>
      <c r="BZ28" s="11">
        <v>640.84799999999996</v>
      </c>
      <c r="CA28" s="11">
        <v>489.80900000000003</v>
      </c>
      <c r="CB28" s="11">
        <v>0</v>
      </c>
      <c r="CC28" s="11">
        <v>12312.001</v>
      </c>
      <c r="CD28" s="11">
        <v>-187577.38399999999</v>
      </c>
      <c r="CE28" s="11">
        <v>452455.005</v>
      </c>
      <c r="CF28" s="11">
        <v>2.069</v>
      </c>
      <c r="CG28" s="11">
        <v>211.52600000000001</v>
      </c>
      <c r="CH28" s="11">
        <v>4262.6589999999997</v>
      </c>
      <c r="CI28" s="11">
        <v>58980.328999999998</v>
      </c>
      <c r="CJ28" s="11">
        <v>-703488.97199999995</v>
      </c>
      <c r="CK28" s="12" t="s">
        <v>94</v>
      </c>
    </row>
    <row r="29" spans="1:89" x14ac:dyDescent="0.3">
      <c r="A29" s="7" t="s">
        <v>116</v>
      </c>
      <c r="B29" s="10">
        <v>1116578.57</v>
      </c>
      <c r="C29" s="10">
        <v>1349490.757</v>
      </c>
      <c r="D29" s="10">
        <v>71178.633000000002</v>
      </c>
      <c r="E29" s="10">
        <v>2926.009</v>
      </c>
      <c r="F29" s="10">
        <v>609.04</v>
      </c>
      <c r="G29" s="10">
        <v>1365.201</v>
      </c>
      <c r="H29" s="10">
        <v>1330.415</v>
      </c>
      <c r="I29" s="10">
        <v>57363.538999999997</v>
      </c>
      <c r="J29" s="10">
        <v>6628.348</v>
      </c>
      <c r="K29" s="10">
        <v>4748.433</v>
      </c>
      <c r="L29" s="10">
        <v>8767.8709999999992</v>
      </c>
      <c r="M29" s="10">
        <v>13382.861999999999</v>
      </c>
      <c r="N29" s="10">
        <v>6221.03</v>
      </c>
      <c r="O29" s="10">
        <v>7083.5879999999997</v>
      </c>
      <c r="P29" s="10">
        <v>45031.15</v>
      </c>
      <c r="Q29" s="10">
        <v>44132.459000000003</v>
      </c>
      <c r="R29" s="10">
        <v>11851.934999999999</v>
      </c>
      <c r="S29" s="10">
        <v>2908.29</v>
      </c>
      <c r="T29" s="10">
        <v>3133.7539999999999</v>
      </c>
      <c r="U29" s="10">
        <v>1965.29</v>
      </c>
      <c r="V29" s="10">
        <v>4641.9359999999997</v>
      </c>
      <c r="W29" s="10">
        <v>16339.779</v>
      </c>
      <c r="X29" s="10">
        <v>8403.7219999999998</v>
      </c>
      <c r="Y29" s="10">
        <v>45965.713000000003</v>
      </c>
      <c r="Z29" s="10">
        <v>344861.109</v>
      </c>
      <c r="AA29" s="10">
        <v>176375.408</v>
      </c>
      <c r="AB29" s="10">
        <v>21157.22</v>
      </c>
      <c r="AC29" s="10">
        <v>10665.383</v>
      </c>
      <c r="AD29" s="10">
        <v>12865.718000000001</v>
      </c>
      <c r="AE29" s="10">
        <v>7274.4120000000003</v>
      </c>
      <c r="AF29" s="10">
        <v>16372.242</v>
      </c>
      <c r="AG29" s="10">
        <v>22089.413</v>
      </c>
      <c r="AH29" s="10">
        <v>90612.239000000001</v>
      </c>
      <c r="AI29" s="10">
        <v>2969.913</v>
      </c>
      <c r="AJ29" s="10">
        <v>28998.955999999998</v>
      </c>
      <c r="AK29" s="10">
        <v>5550.2510000000002</v>
      </c>
      <c r="AL29" s="10">
        <v>9986.5409999999993</v>
      </c>
      <c r="AM29" s="10">
        <v>796.48800000000006</v>
      </c>
      <c r="AN29" s="10">
        <v>991.65200000000004</v>
      </c>
      <c r="AO29" s="10">
        <v>746.5</v>
      </c>
      <c r="AP29" s="10">
        <v>39485.64</v>
      </c>
      <c r="AQ29" s="10">
        <v>20802.310000000001</v>
      </c>
      <c r="AR29" s="10">
        <v>386.06799999999998</v>
      </c>
      <c r="AS29" s="10">
        <v>128.124</v>
      </c>
      <c r="AT29" s="10">
        <v>1811.453</v>
      </c>
      <c r="AU29" s="10">
        <v>5.2279999999999998</v>
      </c>
      <c r="AV29" s="10">
        <v>318.91500000000002</v>
      </c>
      <c r="AW29" s="10">
        <v>794.19399999999996</v>
      </c>
      <c r="AX29" s="10">
        <v>258.74900000000002</v>
      </c>
      <c r="AY29" s="10">
        <v>424.12299999999999</v>
      </c>
      <c r="AZ29" s="10">
        <v>1956.652</v>
      </c>
      <c r="BA29" s="10">
        <v>3298.442</v>
      </c>
      <c r="BB29" s="10">
        <v>19.901</v>
      </c>
      <c r="BC29" s="10">
        <v>31.69</v>
      </c>
      <c r="BD29" s="10">
        <v>10.818</v>
      </c>
      <c r="BE29" s="10">
        <v>1149.1369999999999</v>
      </c>
      <c r="BF29" s="10">
        <v>148.536</v>
      </c>
      <c r="BG29" s="10">
        <v>127.47</v>
      </c>
      <c r="BH29" s="10">
        <v>6814.0739999999996</v>
      </c>
      <c r="BI29" s="10">
        <v>3364.009</v>
      </c>
      <c r="BJ29" s="10">
        <v>18.276</v>
      </c>
      <c r="BK29" s="10">
        <v>3107.2289999999998</v>
      </c>
      <c r="BL29" s="10">
        <v>1171.126</v>
      </c>
      <c r="BM29" s="10">
        <v>21485.248</v>
      </c>
      <c r="BN29" s="10">
        <v>3420.806</v>
      </c>
      <c r="BO29" s="10">
        <v>6372.7510000000002</v>
      </c>
      <c r="BP29" s="10">
        <v>23274.287</v>
      </c>
      <c r="BQ29" s="10">
        <v>46853.186000000002</v>
      </c>
      <c r="BR29" s="10">
        <v>82.183999999999997</v>
      </c>
      <c r="BS29" s="10">
        <v>2816.1170000000002</v>
      </c>
      <c r="BT29" s="10">
        <v>261.947</v>
      </c>
      <c r="BU29" s="10">
        <v>87.536000000000001</v>
      </c>
      <c r="BV29" s="10">
        <v>3210.393</v>
      </c>
      <c r="BW29" s="10">
        <v>10482.824000000001</v>
      </c>
      <c r="BX29" s="10">
        <v>1944.825</v>
      </c>
      <c r="BY29" s="10">
        <v>5566.7049999999999</v>
      </c>
      <c r="BZ29" s="10">
        <v>8054.4629999999997</v>
      </c>
      <c r="CA29" s="10">
        <v>1737.4549999999999</v>
      </c>
      <c r="CB29" s="10">
        <v>0</v>
      </c>
      <c r="CC29" s="10">
        <v>9915.4240000000009</v>
      </c>
      <c r="CD29" s="10">
        <v>-232912.18700000001</v>
      </c>
      <c r="CE29" s="10">
        <v>561435.90300000005</v>
      </c>
      <c r="CF29" s="10">
        <v>289.60500000000002</v>
      </c>
      <c r="CG29" s="10">
        <v>12526.212</v>
      </c>
      <c r="CH29" s="10">
        <v>15473.516</v>
      </c>
      <c r="CI29" s="10">
        <v>206173.345</v>
      </c>
      <c r="CJ29" s="10">
        <v>-1028810.768</v>
      </c>
      <c r="CK29" s="13" t="s">
        <v>94</v>
      </c>
    </row>
    <row r="30" spans="1:89" x14ac:dyDescent="0.3">
      <c r="A30" s="8" t="s">
        <v>117</v>
      </c>
      <c r="B30" s="11">
        <v>550282.59299999999</v>
      </c>
      <c r="C30" s="11">
        <v>623999.87600000005</v>
      </c>
      <c r="D30" s="11">
        <v>3087.0340000000001</v>
      </c>
      <c r="E30" s="11">
        <v>101.876</v>
      </c>
      <c r="F30" s="11">
        <v>136.01300000000001</v>
      </c>
      <c r="G30" s="11">
        <v>74.370999999999995</v>
      </c>
      <c r="H30" s="11">
        <v>17.876999999999999</v>
      </c>
      <c r="I30" s="11">
        <v>430.166</v>
      </c>
      <c r="J30" s="11">
        <v>223.39400000000001</v>
      </c>
      <c r="K30" s="11">
        <v>891.84500000000003</v>
      </c>
      <c r="L30" s="11">
        <v>505.93299999999999</v>
      </c>
      <c r="M30" s="11">
        <v>34796.627</v>
      </c>
      <c r="N30" s="11">
        <v>5341.1549999999997</v>
      </c>
      <c r="O30" s="11">
        <v>1756.0809999999999</v>
      </c>
      <c r="P30" s="11">
        <v>28803.981</v>
      </c>
      <c r="Q30" s="11">
        <v>8767.8880000000008</v>
      </c>
      <c r="R30" s="11">
        <v>827.11</v>
      </c>
      <c r="S30" s="11">
        <v>515.65200000000004</v>
      </c>
      <c r="T30" s="11">
        <v>2229.3310000000001</v>
      </c>
      <c r="U30" s="11">
        <v>2095.6790000000001</v>
      </c>
      <c r="V30" s="11">
        <v>350.64699999999999</v>
      </c>
      <c r="W30" s="11">
        <v>5510.317</v>
      </c>
      <c r="X30" s="11">
        <v>5496.1530000000002</v>
      </c>
      <c r="Y30" s="11">
        <v>1253.748</v>
      </c>
      <c r="Z30" s="11">
        <v>8173.5209999999997</v>
      </c>
      <c r="AA30" s="11">
        <v>45258.512999999999</v>
      </c>
      <c r="AB30" s="11">
        <v>4476.875</v>
      </c>
      <c r="AC30" s="11">
        <v>1834.3340000000001</v>
      </c>
      <c r="AD30" s="11">
        <v>9306.7309999999998</v>
      </c>
      <c r="AE30" s="11">
        <v>10397.047</v>
      </c>
      <c r="AF30" s="11">
        <v>51499.527999999998</v>
      </c>
      <c r="AG30" s="11">
        <v>24837.69</v>
      </c>
      <c r="AH30" s="11">
        <v>191793.62400000001</v>
      </c>
      <c r="AI30" s="11">
        <v>9504.2129999999997</v>
      </c>
      <c r="AJ30" s="11">
        <v>37800.370999999999</v>
      </c>
      <c r="AK30" s="11">
        <v>15130.358</v>
      </c>
      <c r="AL30" s="11">
        <v>23635.687000000002</v>
      </c>
      <c r="AM30" s="11">
        <v>2136.3960000000002</v>
      </c>
      <c r="AN30" s="11">
        <v>19.076000000000001</v>
      </c>
      <c r="AO30" s="11">
        <v>15.635999999999999</v>
      </c>
      <c r="AP30" s="11">
        <v>14884.483</v>
      </c>
      <c r="AQ30" s="11">
        <v>2639.0169999999998</v>
      </c>
      <c r="AR30" s="11">
        <v>9.6359999999999992</v>
      </c>
      <c r="AS30" s="11">
        <v>80.323999999999998</v>
      </c>
      <c r="AT30" s="11">
        <v>1896.296</v>
      </c>
      <c r="AU30" s="11">
        <v>1.2949999999999999</v>
      </c>
      <c r="AV30" s="11">
        <v>664.65</v>
      </c>
      <c r="AW30" s="11">
        <v>264.79000000000002</v>
      </c>
      <c r="AX30" s="11">
        <v>71.337000000000003</v>
      </c>
      <c r="AY30" s="11">
        <v>110.021</v>
      </c>
      <c r="AZ30" s="11">
        <v>122.551</v>
      </c>
      <c r="BA30" s="11">
        <v>620.32299999999998</v>
      </c>
      <c r="BB30" s="11">
        <v>16.202999999999999</v>
      </c>
      <c r="BC30" s="11">
        <v>2.234</v>
      </c>
      <c r="BD30" s="11">
        <v>98.001999999999995</v>
      </c>
      <c r="BE30" s="11">
        <v>1770.0719999999999</v>
      </c>
      <c r="BF30" s="11">
        <v>31.308</v>
      </c>
      <c r="BG30" s="11">
        <v>98.962999999999994</v>
      </c>
      <c r="BH30" s="11">
        <v>1313.03</v>
      </c>
      <c r="BI30" s="11">
        <v>229.75800000000001</v>
      </c>
      <c r="BJ30" s="11">
        <v>0.81899999999999995</v>
      </c>
      <c r="BK30" s="11">
        <v>616.33500000000004</v>
      </c>
      <c r="BL30" s="11">
        <v>157.654</v>
      </c>
      <c r="BM30" s="11">
        <v>24926.771000000001</v>
      </c>
      <c r="BN30" s="11">
        <v>1038.645</v>
      </c>
      <c r="BO30" s="11">
        <v>2911.37</v>
      </c>
      <c r="BP30" s="11">
        <v>1542.8409999999999</v>
      </c>
      <c r="BQ30" s="11">
        <v>4060.4140000000002</v>
      </c>
      <c r="BR30" s="11">
        <v>8.6910000000000007</v>
      </c>
      <c r="BS30" s="11">
        <v>54.164000000000001</v>
      </c>
      <c r="BT30" s="11">
        <v>471.32299999999998</v>
      </c>
      <c r="BU30" s="11">
        <v>306.25200000000001</v>
      </c>
      <c r="BV30" s="11">
        <v>4366.1090000000004</v>
      </c>
      <c r="BW30" s="11">
        <v>2418.3989999999999</v>
      </c>
      <c r="BX30" s="11">
        <v>6820.174</v>
      </c>
      <c r="BY30" s="11">
        <v>3639.7979999999998</v>
      </c>
      <c r="BZ30" s="11">
        <v>2925.4859999999999</v>
      </c>
      <c r="CA30" s="11">
        <v>1026.615</v>
      </c>
      <c r="CB30" s="11">
        <v>0</v>
      </c>
      <c r="CC30" s="11">
        <v>2751.2449999999999</v>
      </c>
      <c r="CD30" s="11">
        <v>-73717.283000000098</v>
      </c>
      <c r="CE30" s="11">
        <v>127498.913</v>
      </c>
      <c r="CF30" s="11">
        <v>62.86</v>
      </c>
      <c r="CG30" s="11">
        <v>21961.55</v>
      </c>
      <c r="CH30" s="11">
        <v>4660.6279999999997</v>
      </c>
      <c r="CI30" s="11">
        <v>173456.03899999999</v>
      </c>
      <c r="CJ30" s="11">
        <v>-401357.27299999999</v>
      </c>
      <c r="CK30" s="12" t="s">
        <v>94</v>
      </c>
    </row>
    <row r="31" spans="1:89" x14ac:dyDescent="0.3">
      <c r="A31" s="7" t="s">
        <v>118</v>
      </c>
      <c r="B31" s="10">
        <v>397924.75799999997</v>
      </c>
      <c r="C31" s="10">
        <v>380222.109</v>
      </c>
      <c r="D31" s="10">
        <v>848.92100000000005</v>
      </c>
      <c r="E31" s="10">
        <v>220.62899999999999</v>
      </c>
      <c r="F31" s="10">
        <v>5.9859999999999998</v>
      </c>
      <c r="G31" s="10">
        <v>239.59299999999999</v>
      </c>
      <c r="H31" s="10">
        <v>39.569000000000003</v>
      </c>
      <c r="I31" s="10">
        <v>716.351</v>
      </c>
      <c r="J31" s="10">
        <v>303.94900000000001</v>
      </c>
      <c r="K31" s="10">
        <v>2119.556</v>
      </c>
      <c r="L31" s="10">
        <v>123.202</v>
      </c>
      <c r="M31" s="10">
        <v>151941.22200000001</v>
      </c>
      <c r="N31" s="10">
        <v>33982.281000000003</v>
      </c>
      <c r="O31" s="10">
        <v>11414.677</v>
      </c>
      <c r="P31" s="10">
        <v>11387.206</v>
      </c>
      <c r="Q31" s="10">
        <v>18850.763999999999</v>
      </c>
      <c r="R31" s="10">
        <v>49.375999999999998</v>
      </c>
      <c r="S31" s="10">
        <v>65.47</v>
      </c>
      <c r="T31" s="10">
        <v>285.22399999999999</v>
      </c>
      <c r="U31" s="10">
        <v>73.546000000000006</v>
      </c>
      <c r="V31" s="10">
        <v>249.55699999999999</v>
      </c>
      <c r="W31" s="10">
        <v>272.17399999999998</v>
      </c>
      <c r="X31" s="10">
        <v>151.6</v>
      </c>
      <c r="Y31" s="10">
        <v>823.51499999999999</v>
      </c>
      <c r="Z31" s="10">
        <v>2947.9479999999999</v>
      </c>
      <c r="AA31" s="10">
        <v>1885.414</v>
      </c>
      <c r="AB31" s="10">
        <v>45668.767999999996</v>
      </c>
      <c r="AC31" s="10">
        <v>2372.3380000000002</v>
      </c>
      <c r="AD31" s="10">
        <v>3840.2910000000002</v>
      </c>
      <c r="AE31" s="10">
        <v>2217.337</v>
      </c>
      <c r="AF31" s="10">
        <v>5753.32</v>
      </c>
      <c r="AG31" s="10">
        <v>5025.0029999999997</v>
      </c>
      <c r="AH31" s="10">
        <v>21234.696</v>
      </c>
      <c r="AI31" s="10">
        <v>1517.48</v>
      </c>
      <c r="AJ31" s="10">
        <v>4378.9870000000001</v>
      </c>
      <c r="AK31" s="10">
        <v>2159.473</v>
      </c>
      <c r="AL31" s="10">
        <v>657.44399999999996</v>
      </c>
      <c r="AM31" s="10">
        <v>227.91</v>
      </c>
      <c r="AN31" s="10">
        <v>610.23900000000003</v>
      </c>
      <c r="AO31" s="10">
        <v>17.120999999999999</v>
      </c>
      <c r="AP31" s="10">
        <v>4792.2430000000004</v>
      </c>
      <c r="AQ31" s="10">
        <v>11377.813</v>
      </c>
      <c r="AR31" s="10">
        <v>489.09300000000002</v>
      </c>
      <c r="AS31" s="10">
        <v>43.438000000000002</v>
      </c>
      <c r="AT31" s="10">
        <v>945.81299999999999</v>
      </c>
      <c r="AU31" s="10">
        <v>0.85299999999999998</v>
      </c>
      <c r="AV31" s="10">
        <v>785.00900000000001</v>
      </c>
      <c r="AW31" s="10">
        <v>132.65799999999999</v>
      </c>
      <c r="AX31" s="10">
        <v>78.741</v>
      </c>
      <c r="AY31" s="10">
        <v>378.11500000000001</v>
      </c>
      <c r="AZ31" s="10">
        <v>1268.2729999999999</v>
      </c>
      <c r="BA31" s="10">
        <v>4223.0460000000003</v>
      </c>
      <c r="BB31" s="10">
        <v>100.877</v>
      </c>
      <c r="BC31" s="10">
        <v>15.23</v>
      </c>
      <c r="BD31" s="10">
        <v>2.2290000000000001</v>
      </c>
      <c r="BE31" s="10">
        <v>146.679</v>
      </c>
      <c r="BF31" s="10">
        <v>6.4580000000000002</v>
      </c>
      <c r="BG31" s="10">
        <v>34.274999999999999</v>
      </c>
      <c r="BH31" s="10">
        <v>8158.9560000000001</v>
      </c>
      <c r="BI31" s="10">
        <v>468.40699999999998</v>
      </c>
      <c r="BJ31" s="10">
        <v>11.279</v>
      </c>
      <c r="BK31" s="10">
        <v>1477.4760000000001</v>
      </c>
      <c r="BL31" s="10">
        <v>133.89500000000001</v>
      </c>
      <c r="BM31" s="10">
        <v>2111.3000000000002</v>
      </c>
      <c r="BN31" s="10">
        <v>61.31</v>
      </c>
      <c r="BO31" s="10">
        <v>879.44600000000003</v>
      </c>
      <c r="BP31" s="10">
        <v>388.51</v>
      </c>
      <c r="BQ31" s="10">
        <v>978.32299999999998</v>
      </c>
      <c r="BR31" s="10">
        <v>13.131</v>
      </c>
      <c r="BS31" s="10">
        <v>31.902000000000001</v>
      </c>
      <c r="BT31" s="10">
        <v>68.734999999999999</v>
      </c>
      <c r="BU31" s="10">
        <v>29.847999999999999</v>
      </c>
      <c r="BV31" s="10">
        <v>425.70400000000001</v>
      </c>
      <c r="BW31" s="10">
        <v>1622.84</v>
      </c>
      <c r="BX31" s="10">
        <v>1642.0129999999999</v>
      </c>
      <c r="BY31" s="10">
        <v>465.83</v>
      </c>
      <c r="BZ31" s="10">
        <v>411.589</v>
      </c>
      <c r="CA31" s="10">
        <v>72.89</v>
      </c>
      <c r="CB31" s="10">
        <v>0</v>
      </c>
      <c r="CC31" s="10">
        <v>1269.7449999999999</v>
      </c>
      <c r="CD31" s="10">
        <v>17702.649000000001</v>
      </c>
      <c r="CE31" s="10">
        <v>23281.567999999999</v>
      </c>
      <c r="CF31" s="10">
        <v>48.695999999999998</v>
      </c>
      <c r="CG31" s="10">
        <v>2668.1529999999998</v>
      </c>
      <c r="CH31" s="10">
        <v>691.85699999999997</v>
      </c>
      <c r="CI31" s="10">
        <v>67062.720000000001</v>
      </c>
      <c r="CJ31" s="10">
        <v>-76050.345000000001</v>
      </c>
      <c r="CK31" s="13" t="s">
        <v>94</v>
      </c>
    </row>
    <row r="32" spans="1:89" x14ac:dyDescent="0.3">
      <c r="A32" s="8" t="s">
        <v>119</v>
      </c>
      <c r="B32" s="11">
        <v>880705.75100000005</v>
      </c>
      <c r="C32" s="11">
        <v>949187.92500000005</v>
      </c>
      <c r="D32" s="11">
        <v>194.25200000000001</v>
      </c>
      <c r="E32" s="11">
        <v>2300.4209999999998</v>
      </c>
      <c r="F32" s="11">
        <v>174.51300000000001</v>
      </c>
      <c r="G32" s="11">
        <v>451.899</v>
      </c>
      <c r="H32" s="11">
        <v>25.231000000000002</v>
      </c>
      <c r="I32" s="11">
        <v>22769.724999999999</v>
      </c>
      <c r="J32" s="11">
        <v>481.315</v>
      </c>
      <c r="K32" s="11">
        <v>348.541</v>
      </c>
      <c r="L32" s="11">
        <v>6391.8919999999998</v>
      </c>
      <c r="M32" s="11">
        <v>145686.89799999999</v>
      </c>
      <c r="N32" s="11">
        <v>17334.919000000002</v>
      </c>
      <c r="O32" s="11">
        <v>1055.461</v>
      </c>
      <c r="P32" s="11">
        <v>3096.674</v>
      </c>
      <c r="Q32" s="11">
        <v>884.47199999999998</v>
      </c>
      <c r="R32" s="11">
        <v>90.616</v>
      </c>
      <c r="S32" s="11">
        <v>115.929</v>
      </c>
      <c r="T32" s="11">
        <v>261.53300000000002</v>
      </c>
      <c r="U32" s="11">
        <v>89.802999999999997</v>
      </c>
      <c r="V32" s="11">
        <v>79.813000000000002</v>
      </c>
      <c r="W32" s="11">
        <v>1448.57</v>
      </c>
      <c r="X32" s="11">
        <v>730.90899999999999</v>
      </c>
      <c r="Y32" s="11">
        <v>511.673</v>
      </c>
      <c r="Z32" s="11">
        <v>5911.558</v>
      </c>
      <c r="AA32" s="11">
        <v>3721.529</v>
      </c>
      <c r="AB32" s="11">
        <v>3772.357</v>
      </c>
      <c r="AC32" s="11">
        <v>166973.76500000001</v>
      </c>
      <c r="AD32" s="11">
        <v>99207.854999999996</v>
      </c>
      <c r="AE32" s="11">
        <v>52819.481</v>
      </c>
      <c r="AF32" s="11">
        <v>30663.671999999999</v>
      </c>
      <c r="AG32" s="11">
        <v>75821.69</v>
      </c>
      <c r="AH32" s="11">
        <v>222255.334</v>
      </c>
      <c r="AI32" s="11">
        <v>6724.5910000000003</v>
      </c>
      <c r="AJ32" s="11">
        <v>15289.108</v>
      </c>
      <c r="AK32" s="11">
        <v>858.28899999999999</v>
      </c>
      <c r="AL32" s="11">
        <v>1110.1469999999999</v>
      </c>
      <c r="AM32" s="11">
        <v>1027.1949999999999</v>
      </c>
      <c r="AN32" s="11">
        <v>397.51400000000001</v>
      </c>
      <c r="AO32" s="11">
        <v>126.497</v>
      </c>
      <c r="AP32" s="11">
        <v>1757.4359999999999</v>
      </c>
      <c r="AQ32" s="11">
        <v>7219.3540000000003</v>
      </c>
      <c r="AR32" s="11">
        <v>377.26900000000001</v>
      </c>
      <c r="AS32" s="11">
        <v>44.154000000000003</v>
      </c>
      <c r="AT32" s="11">
        <v>7786.0619999999999</v>
      </c>
      <c r="AU32" s="11">
        <v>20.361999999999998</v>
      </c>
      <c r="AV32" s="11">
        <v>716.61599999999999</v>
      </c>
      <c r="AW32" s="11">
        <v>3888.9879999999998</v>
      </c>
      <c r="AX32" s="11">
        <v>157.542</v>
      </c>
      <c r="AY32" s="11">
        <v>236.85300000000001</v>
      </c>
      <c r="AZ32" s="11">
        <v>289.92099999999999</v>
      </c>
      <c r="BA32" s="11">
        <v>3539.69</v>
      </c>
      <c r="BB32" s="11">
        <v>19.838000000000001</v>
      </c>
      <c r="BC32" s="11">
        <v>11.813000000000001</v>
      </c>
      <c r="BD32" s="11">
        <v>27.071999999999999</v>
      </c>
      <c r="BE32" s="11">
        <v>1328.9480000000001</v>
      </c>
      <c r="BF32" s="11">
        <v>74.899000000000001</v>
      </c>
      <c r="BG32" s="11">
        <v>360.73399999999998</v>
      </c>
      <c r="BH32" s="11">
        <v>4290.4870000000001</v>
      </c>
      <c r="BI32" s="11">
        <v>289.72000000000003</v>
      </c>
      <c r="BJ32" s="11">
        <v>3.6869999999999998</v>
      </c>
      <c r="BK32" s="11">
        <v>1291.4639999999999</v>
      </c>
      <c r="BL32" s="11">
        <v>834.82399999999996</v>
      </c>
      <c r="BM32" s="11">
        <v>3005.69</v>
      </c>
      <c r="BN32" s="11">
        <v>186.99700000000001</v>
      </c>
      <c r="BO32" s="11">
        <v>2249.0529999999999</v>
      </c>
      <c r="BP32" s="11">
        <v>722.39300000000003</v>
      </c>
      <c r="BQ32" s="11">
        <v>1009.754</v>
      </c>
      <c r="BR32" s="11">
        <v>22.556000000000001</v>
      </c>
      <c r="BS32" s="11">
        <v>171.55699999999999</v>
      </c>
      <c r="BT32" s="11">
        <v>87.040999999999997</v>
      </c>
      <c r="BU32" s="11">
        <v>162.07499999999999</v>
      </c>
      <c r="BV32" s="11">
        <v>763.41300000000001</v>
      </c>
      <c r="BW32" s="11">
        <v>548.03800000000001</v>
      </c>
      <c r="BX32" s="11">
        <v>413.06599999999997</v>
      </c>
      <c r="BY32" s="11">
        <v>7946.4560000000001</v>
      </c>
      <c r="BZ32" s="11">
        <v>308.548</v>
      </c>
      <c r="CA32" s="11">
        <v>136.364</v>
      </c>
      <c r="CB32" s="11">
        <v>0</v>
      </c>
      <c r="CC32" s="11">
        <v>5681.55</v>
      </c>
      <c r="CD32" s="11">
        <v>-68482.173999999999</v>
      </c>
      <c r="CE32" s="11">
        <v>15758.431</v>
      </c>
      <c r="CF32" s="11">
        <v>31.547999999999998</v>
      </c>
      <c r="CG32" s="11">
        <v>109287.505</v>
      </c>
      <c r="CH32" s="11">
        <v>5617.4520000000002</v>
      </c>
      <c r="CI32" s="11">
        <v>253609.38800000001</v>
      </c>
      <c r="CJ32" s="11">
        <v>-452786.49800000002</v>
      </c>
      <c r="CK32" s="12" t="s">
        <v>94</v>
      </c>
    </row>
    <row r="33" spans="1:89" x14ac:dyDescent="0.3">
      <c r="A33" s="7" t="s">
        <v>120</v>
      </c>
      <c r="B33" s="10">
        <v>512885.196</v>
      </c>
      <c r="C33" s="10">
        <v>552332.96400000004</v>
      </c>
      <c r="D33" s="10">
        <v>638.01599999999996</v>
      </c>
      <c r="E33" s="10">
        <v>2963.0340000000001</v>
      </c>
      <c r="F33" s="10">
        <v>122.59099999999999</v>
      </c>
      <c r="G33" s="10">
        <v>77.953999999999994</v>
      </c>
      <c r="H33" s="10">
        <v>269.11700000000002</v>
      </c>
      <c r="I33" s="10">
        <v>16614.175999999999</v>
      </c>
      <c r="J33" s="10">
        <v>2132.0439999999999</v>
      </c>
      <c r="K33" s="10">
        <v>2345.7040000000002</v>
      </c>
      <c r="L33" s="10">
        <v>15911.145</v>
      </c>
      <c r="M33" s="10">
        <v>58814.249000000003</v>
      </c>
      <c r="N33" s="10">
        <v>31877.416000000001</v>
      </c>
      <c r="O33" s="10">
        <v>10282.049999999999</v>
      </c>
      <c r="P33" s="10">
        <v>6534.78</v>
      </c>
      <c r="Q33" s="10">
        <v>11182.279</v>
      </c>
      <c r="R33" s="10">
        <v>82.138000000000005</v>
      </c>
      <c r="S33" s="10">
        <v>194.89699999999999</v>
      </c>
      <c r="T33" s="10">
        <v>468.35</v>
      </c>
      <c r="U33" s="10">
        <v>249.29499999999999</v>
      </c>
      <c r="V33" s="10">
        <v>1444.9870000000001</v>
      </c>
      <c r="W33" s="10">
        <v>994.53599999999994</v>
      </c>
      <c r="X33" s="10">
        <v>325.53500000000003</v>
      </c>
      <c r="Y33" s="10">
        <v>6810.6869999999999</v>
      </c>
      <c r="Z33" s="10">
        <v>3386.4639999999999</v>
      </c>
      <c r="AA33" s="10">
        <v>6613.0309999999999</v>
      </c>
      <c r="AB33" s="10">
        <v>2965.6640000000002</v>
      </c>
      <c r="AC33" s="10">
        <v>17146.052</v>
      </c>
      <c r="AD33" s="10">
        <v>65835.328999999998</v>
      </c>
      <c r="AE33" s="10">
        <v>25465.302</v>
      </c>
      <c r="AF33" s="10">
        <v>30451.127</v>
      </c>
      <c r="AG33" s="10">
        <v>28867.565999999999</v>
      </c>
      <c r="AH33" s="10">
        <v>113992.53599999999</v>
      </c>
      <c r="AI33" s="10">
        <v>4015.5709999999999</v>
      </c>
      <c r="AJ33" s="10">
        <v>11611.919</v>
      </c>
      <c r="AK33" s="10">
        <v>1057.5650000000001</v>
      </c>
      <c r="AL33" s="10">
        <v>3432.3040000000001</v>
      </c>
      <c r="AM33" s="10">
        <v>402.80900000000003</v>
      </c>
      <c r="AN33" s="10">
        <v>284.05399999999997</v>
      </c>
      <c r="AO33" s="10">
        <v>51.375999999999998</v>
      </c>
      <c r="AP33" s="10">
        <v>3790.681</v>
      </c>
      <c r="AQ33" s="10">
        <v>4648.6589999999997</v>
      </c>
      <c r="AR33" s="10">
        <v>430.08499999999998</v>
      </c>
      <c r="AS33" s="10">
        <v>26.026</v>
      </c>
      <c r="AT33" s="10">
        <v>4160.1729999999998</v>
      </c>
      <c r="AU33" s="10">
        <v>14.162000000000001</v>
      </c>
      <c r="AV33" s="10">
        <v>432.59800000000001</v>
      </c>
      <c r="AW33" s="10">
        <v>3149.3939999999998</v>
      </c>
      <c r="AX33" s="10">
        <v>276.24799999999999</v>
      </c>
      <c r="AY33" s="10">
        <v>241.68600000000001</v>
      </c>
      <c r="AZ33" s="10">
        <v>1426.27</v>
      </c>
      <c r="BA33" s="10">
        <v>4498.0529999999999</v>
      </c>
      <c r="BB33" s="10">
        <v>31.597999999999999</v>
      </c>
      <c r="BC33" s="10">
        <v>14.032999999999999</v>
      </c>
      <c r="BD33" s="10">
        <v>102.102</v>
      </c>
      <c r="BE33" s="10">
        <v>239.69800000000001</v>
      </c>
      <c r="BF33" s="10">
        <v>15.87</v>
      </c>
      <c r="BG33" s="10">
        <v>43.314999999999998</v>
      </c>
      <c r="BH33" s="10">
        <v>3440.0790000000002</v>
      </c>
      <c r="BI33" s="10">
        <v>575.67600000000004</v>
      </c>
      <c r="BJ33" s="10">
        <v>36.317</v>
      </c>
      <c r="BK33" s="10">
        <v>1602.4970000000001</v>
      </c>
      <c r="BL33" s="10">
        <v>494.05799999999999</v>
      </c>
      <c r="BM33" s="10">
        <v>5551.5550000000003</v>
      </c>
      <c r="BN33" s="10">
        <v>1077.146</v>
      </c>
      <c r="BO33" s="10">
        <v>9009.9189999999999</v>
      </c>
      <c r="BP33" s="10">
        <v>1883.798</v>
      </c>
      <c r="BQ33" s="10">
        <v>3845.31</v>
      </c>
      <c r="BR33" s="10">
        <v>11.019</v>
      </c>
      <c r="BS33" s="10">
        <v>378.68400000000003</v>
      </c>
      <c r="BT33" s="10">
        <v>243.381</v>
      </c>
      <c r="BU33" s="10">
        <v>38.700000000000003</v>
      </c>
      <c r="BV33" s="10">
        <v>887.61300000000006</v>
      </c>
      <c r="BW33" s="10">
        <v>974.66200000000003</v>
      </c>
      <c r="BX33" s="10">
        <v>702.05100000000004</v>
      </c>
      <c r="BY33" s="10">
        <v>6654.6580000000004</v>
      </c>
      <c r="BZ33" s="10">
        <v>3201.5030000000002</v>
      </c>
      <c r="CA33" s="10">
        <v>318.55500000000001</v>
      </c>
      <c r="CB33" s="10">
        <v>0</v>
      </c>
      <c r="CC33" s="10">
        <v>1951.4829999999999</v>
      </c>
      <c r="CD33" s="10">
        <v>-39447.767999999996</v>
      </c>
      <c r="CE33" s="10">
        <v>105068.283</v>
      </c>
      <c r="CF33" s="10">
        <v>48.317999999999998</v>
      </c>
      <c r="CG33" s="10">
        <v>64062.987000000001</v>
      </c>
      <c r="CH33" s="10">
        <v>4450.1440000000002</v>
      </c>
      <c r="CI33" s="10">
        <v>213109.42300000001</v>
      </c>
      <c r="CJ33" s="10">
        <v>-426186.92300000001</v>
      </c>
      <c r="CK33" s="13" t="s">
        <v>94</v>
      </c>
    </row>
    <row r="34" spans="1:89" x14ac:dyDescent="0.3">
      <c r="A34" s="8" t="s">
        <v>121</v>
      </c>
      <c r="B34" s="11">
        <v>600985.11899999995</v>
      </c>
      <c r="C34" s="11">
        <v>472715.17200000002</v>
      </c>
      <c r="D34" s="11">
        <v>2263.8809999999999</v>
      </c>
      <c r="E34" s="11">
        <v>314.68700000000001</v>
      </c>
      <c r="F34" s="11">
        <v>16.134</v>
      </c>
      <c r="G34" s="11">
        <v>53.92</v>
      </c>
      <c r="H34" s="11">
        <v>93.701999999999998</v>
      </c>
      <c r="I34" s="11">
        <v>8077.3379999999997</v>
      </c>
      <c r="J34" s="11">
        <v>2188.8240000000001</v>
      </c>
      <c r="K34" s="11">
        <v>6011.0450000000001</v>
      </c>
      <c r="L34" s="11">
        <v>1717.2190000000001</v>
      </c>
      <c r="M34" s="11">
        <v>23405.894</v>
      </c>
      <c r="N34" s="11">
        <v>5152.6750000000002</v>
      </c>
      <c r="O34" s="11">
        <v>1878.5229999999999</v>
      </c>
      <c r="P34" s="11">
        <v>6276.7089999999998</v>
      </c>
      <c r="Q34" s="11">
        <v>1610.652</v>
      </c>
      <c r="R34" s="11">
        <v>399.83199999999999</v>
      </c>
      <c r="S34" s="11">
        <v>416.38099999999997</v>
      </c>
      <c r="T34" s="11">
        <v>3348.6559999999999</v>
      </c>
      <c r="U34" s="11">
        <v>738.39200000000005</v>
      </c>
      <c r="V34" s="11">
        <v>425.90100000000001</v>
      </c>
      <c r="W34" s="11">
        <v>1107.241</v>
      </c>
      <c r="X34" s="11">
        <v>340.726</v>
      </c>
      <c r="Y34" s="11">
        <v>6328.8329999999996</v>
      </c>
      <c r="Z34" s="11">
        <v>3694.7089999999998</v>
      </c>
      <c r="AA34" s="11">
        <v>5527.3010000000004</v>
      </c>
      <c r="AB34" s="11">
        <v>2629.759</v>
      </c>
      <c r="AC34" s="11">
        <v>4447.4070000000002</v>
      </c>
      <c r="AD34" s="11">
        <v>10438.304</v>
      </c>
      <c r="AE34" s="11">
        <v>98366.415999999997</v>
      </c>
      <c r="AF34" s="11">
        <v>36365.192999999999</v>
      </c>
      <c r="AG34" s="11">
        <v>19943.311000000002</v>
      </c>
      <c r="AH34" s="11">
        <v>143195.49400000001</v>
      </c>
      <c r="AI34" s="11">
        <v>1960.0250000000001</v>
      </c>
      <c r="AJ34" s="11">
        <v>26955.356</v>
      </c>
      <c r="AK34" s="11">
        <v>1755.827</v>
      </c>
      <c r="AL34" s="11">
        <v>2374.8739999999998</v>
      </c>
      <c r="AM34" s="11">
        <v>322.012</v>
      </c>
      <c r="AN34" s="11">
        <v>572.47699999999998</v>
      </c>
      <c r="AO34" s="11">
        <v>656.20399999999995</v>
      </c>
      <c r="AP34" s="11">
        <v>5351.3059999999996</v>
      </c>
      <c r="AQ34" s="11">
        <v>9064.9840000000004</v>
      </c>
      <c r="AR34" s="11">
        <v>124.57599999999999</v>
      </c>
      <c r="AS34" s="11">
        <v>60.347000000000001</v>
      </c>
      <c r="AT34" s="11">
        <v>5196.6909999999998</v>
      </c>
      <c r="AU34" s="11">
        <v>6.3209999999999997</v>
      </c>
      <c r="AV34" s="11">
        <v>40.603000000000002</v>
      </c>
      <c r="AW34" s="11">
        <v>236.52099999999999</v>
      </c>
      <c r="AX34" s="11">
        <v>287.64100000000002</v>
      </c>
      <c r="AY34" s="11">
        <v>265.39999999999998</v>
      </c>
      <c r="AZ34" s="11">
        <v>825.48299999999995</v>
      </c>
      <c r="BA34" s="11">
        <v>1729.9179999999999</v>
      </c>
      <c r="BB34" s="11">
        <v>26.175999999999998</v>
      </c>
      <c r="BC34" s="11">
        <v>11.85</v>
      </c>
      <c r="BD34" s="11">
        <v>83.897999999999996</v>
      </c>
      <c r="BE34" s="11">
        <v>1004.75</v>
      </c>
      <c r="BF34" s="11">
        <v>19.992000000000001</v>
      </c>
      <c r="BG34" s="11">
        <v>79.091999999999999</v>
      </c>
      <c r="BH34" s="11">
        <v>2708.944</v>
      </c>
      <c r="BI34" s="11">
        <v>2548.5630000000001</v>
      </c>
      <c r="BJ34" s="11">
        <v>9.9979999999999993</v>
      </c>
      <c r="BK34" s="11">
        <v>788.73099999999999</v>
      </c>
      <c r="BL34" s="11">
        <v>121.979</v>
      </c>
      <c r="BM34" s="11">
        <v>600.41600000000005</v>
      </c>
      <c r="BN34" s="11">
        <v>174.00800000000001</v>
      </c>
      <c r="BO34" s="11">
        <v>641.11099999999999</v>
      </c>
      <c r="BP34" s="11">
        <v>231.62100000000001</v>
      </c>
      <c r="BQ34" s="11">
        <v>322.08100000000002</v>
      </c>
      <c r="BR34" s="11">
        <v>4.0419999999999998</v>
      </c>
      <c r="BS34" s="11">
        <v>19.521000000000001</v>
      </c>
      <c r="BT34" s="11">
        <v>34.286999999999999</v>
      </c>
      <c r="BU34" s="11">
        <v>8.8949999999999996</v>
      </c>
      <c r="BV34" s="11">
        <v>154.69200000000001</v>
      </c>
      <c r="BW34" s="11">
        <v>777.40099999999995</v>
      </c>
      <c r="BX34" s="11">
        <v>263.02300000000002</v>
      </c>
      <c r="BY34" s="11">
        <v>5215.0919999999996</v>
      </c>
      <c r="BZ34" s="11">
        <v>1063.7090000000001</v>
      </c>
      <c r="CA34" s="11">
        <v>75.459999999999994</v>
      </c>
      <c r="CB34" s="11">
        <v>0</v>
      </c>
      <c r="CC34" s="11">
        <v>1164.2149999999999</v>
      </c>
      <c r="CD34" s="11">
        <v>128269.947</v>
      </c>
      <c r="CE34" s="11">
        <v>23923.183000000001</v>
      </c>
      <c r="CF34" s="11">
        <v>154.85900000000001</v>
      </c>
      <c r="CG34" s="11">
        <v>477401.47</v>
      </c>
      <c r="CH34" s="11">
        <v>8634.9689999999991</v>
      </c>
      <c r="CI34" s="11">
        <v>420972.24800000002</v>
      </c>
      <c r="CJ34" s="11">
        <v>-802816.78200000001</v>
      </c>
      <c r="CK34" s="12" t="s">
        <v>94</v>
      </c>
    </row>
    <row r="35" spans="1:89" x14ac:dyDescent="0.3">
      <c r="A35" s="7" t="s">
        <v>122</v>
      </c>
      <c r="B35" s="10">
        <v>1916945.031</v>
      </c>
      <c r="C35" s="10">
        <v>1541660.577</v>
      </c>
      <c r="D35" s="10">
        <v>139.53100000000001</v>
      </c>
      <c r="E35" s="10">
        <v>80.177000000000007</v>
      </c>
      <c r="F35" s="10">
        <v>59.753</v>
      </c>
      <c r="G35" s="10">
        <v>8.5129999999999999</v>
      </c>
      <c r="H35" s="10">
        <v>106.38500000000001</v>
      </c>
      <c r="I35" s="10">
        <v>1119.6030000000001</v>
      </c>
      <c r="J35" s="10">
        <v>1127.0039999999999</v>
      </c>
      <c r="K35" s="10">
        <v>1489.855</v>
      </c>
      <c r="L35" s="10">
        <v>3752.3290000000002</v>
      </c>
      <c r="M35" s="10">
        <v>7825.7910000000002</v>
      </c>
      <c r="N35" s="10">
        <v>5732.5829999999996</v>
      </c>
      <c r="O35" s="10">
        <v>13720.076999999999</v>
      </c>
      <c r="P35" s="10">
        <v>1557.99</v>
      </c>
      <c r="Q35" s="10">
        <v>920.51800000000003</v>
      </c>
      <c r="R35" s="10">
        <v>82.116</v>
      </c>
      <c r="S35" s="10">
        <v>99.198999999999998</v>
      </c>
      <c r="T35" s="10">
        <v>664.84900000000005</v>
      </c>
      <c r="U35" s="10">
        <v>201.80799999999999</v>
      </c>
      <c r="V35" s="10">
        <v>230.477</v>
      </c>
      <c r="W35" s="10">
        <v>1221.192</v>
      </c>
      <c r="X35" s="10">
        <v>467.71300000000002</v>
      </c>
      <c r="Y35" s="10">
        <v>1438.375</v>
      </c>
      <c r="Z35" s="10">
        <v>5777.6440000000002</v>
      </c>
      <c r="AA35" s="10">
        <v>17782.787</v>
      </c>
      <c r="AB35" s="10">
        <v>2681.5430000000001</v>
      </c>
      <c r="AC35" s="10">
        <v>5595.5280000000002</v>
      </c>
      <c r="AD35" s="10">
        <v>10075.411</v>
      </c>
      <c r="AE35" s="10">
        <v>27383.669000000002</v>
      </c>
      <c r="AF35" s="10">
        <v>980517.11800000002</v>
      </c>
      <c r="AG35" s="10">
        <v>76352.054999999993</v>
      </c>
      <c r="AH35" s="10">
        <v>203891.065</v>
      </c>
      <c r="AI35" s="10">
        <v>993.21100000000001</v>
      </c>
      <c r="AJ35" s="10">
        <v>29327.807000000001</v>
      </c>
      <c r="AK35" s="10">
        <v>2696.681</v>
      </c>
      <c r="AL35" s="10">
        <v>3298.19</v>
      </c>
      <c r="AM35" s="10">
        <v>279.67399999999998</v>
      </c>
      <c r="AN35" s="10">
        <v>21.306999999999999</v>
      </c>
      <c r="AO35" s="10">
        <v>75.617000000000004</v>
      </c>
      <c r="AP35" s="10">
        <v>1880.8440000000001</v>
      </c>
      <c r="AQ35" s="10">
        <v>980.67700000000002</v>
      </c>
      <c r="AR35" s="10">
        <v>37.591999999999999</v>
      </c>
      <c r="AS35" s="10">
        <v>6.74</v>
      </c>
      <c r="AT35" s="10">
        <v>9807.9650000000001</v>
      </c>
      <c r="AU35" s="10">
        <v>3.7010000000000001</v>
      </c>
      <c r="AV35" s="10">
        <v>78.441999999999993</v>
      </c>
      <c r="AW35" s="10">
        <v>3746.3229999999999</v>
      </c>
      <c r="AX35" s="10">
        <v>5834.29</v>
      </c>
      <c r="AY35" s="10">
        <v>8308.1299999999992</v>
      </c>
      <c r="AZ35" s="10">
        <v>1090.662</v>
      </c>
      <c r="BA35" s="10">
        <v>22180.899000000001</v>
      </c>
      <c r="BB35" s="10">
        <v>1768.472</v>
      </c>
      <c r="BC35" s="10">
        <v>34.44</v>
      </c>
      <c r="BD35" s="10">
        <v>307.721</v>
      </c>
      <c r="BE35" s="10">
        <v>12656.574000000001</v>
      </c>
      <c r="BF35" s="10">
        <v>161.96700000000001</v>
      </c>
      <c r="BG35" s="10">
        <v>636.89200000000005</v>
      </c>
      <c r="BH35" s="10">
        <v>4509.9840000000004</v>
      </c>
      <c r="BI35" s="10">
        <v>1001.7329999999999</v>
      </c>
      <c r="BJ35" s="10">
        <v>2.964</v>
      </c>
      <c r="BK35" s="10">
        <v>21147.53</v>
      </c>
      <c r="BL35" s="10">
        <v>566.65200000000004</v>
      </c>
      <c r="BM35" s="10">
        <v>12563.358</v>
      </c>
      <c r="BN35" s="10">
        <v>107.032</v>
      </c>
      <c r="BO35" s="10">
        <v>3201.0369999999998</v>
      </c>
      <c r="BP35" s="10">
        <v>2059.0059999999999</v>
      </c>
      <c r="BQ35" s="10">
        <v>1570.864</v>
      </c>
      <c r="BR35" s="10">
        <v>15.435</v>
      </c>
      <c r="BS35" s="10">
        <v>199.768</v>
      </c>
      <c r="BT35" s="10">
        <v>1090.317</v>
      </c>
      <c r="BU35" s="10">
        <v>32.781999999999996</v>
      </c>
      <c r="BV35" s="10">
        <v>309.44499999999999</v>
      </c>
      <c r="BW35" s="10">
        <v>1194.354</v>
      </c>
      <c r="BX35" s="10">
        <v>258.84699999999998</v>
      </c>
      <c r="BY35" s="10">
        <v>3725.5990000000002</v>
      </c>
      <c r="BZ35" s="10">
        <v>2140.7950000000001</v>
      </c>
      <c r="CA35" s="10">
        <v>1209.23</v>
      </c>
      <c r="CB35" s="10">
        <v>0</v>
      </c>
      <c r="CC35" s="10">
        <v>6436.3689999999997</v>
      </c>
      <c r="CD35" s="10">
        <v>375284.45400000003</v>
      </c>
      <c r="CE35" s="10">
        <v>278342.027</v>
      </c>
      <c r="CF35" s="10">
        <v>74.555000000000007</v>
      </c>
      <c r="CG35" s="10">
        <v>321580.53600000002</v>
      </c>
      <c r="CH35" s="10">
        <v>3639.9270000000001</v>
      </c>
      <c r="CI35" s="10">
        <v>1508958.8870000001</v>
      </c>
      <c r="CJ35" s="10">
        <v>-1737311.4779999999</v>
      </c>
      <c r="CK35" s="13" t="s">
        <v>94</v>
      </c>
    </row>
    <row r="36" spans="1:89" x14ac:dyDescent="0.3">
      <c r="A36" s="8" t="s">
        <v>123</v>
      </c>
      <c r="B36" s="11">
        <v>610126.39899999998</v>
      </c>
      <c r="C36" s="11">
        <v>442842.42700000003</v>
      </c>
      <c r="D36" s="11">
        <v>172.626</v>
      </c>
      <c r="E36" s="11">
        <v>34.813000000000002</v>
      </c>
      <c r="F36" s="11">
        <v>114.565</v>
      </c>
      <c r="G36" s="11">
        <v>3.4260000000000002</v>
      </c>
      <c r="H36" s="11">
        <v>13.706</v>
      </c>
      <c r="I36" s="11">
        <v>1446.288</v>
      </c>
      <c r="J36" s="11">
        <v>1215.1489999999999</v>
      </c>
      <c r="K36" s="11">
        <v>2171.817</v>
      </c>
      <c r="L36" s="11">
        <v>2159.3200000000002</v>
      </c>
      <c r="M36" s="11">
        <v>16892.8</v>
      </c>
      <c r="N36" s="11">
        <v>4089.3780000000002</v>
      </c>
      <c r="O36" s="11">
        <v>7735.875</v>
      </c>
      <c r="P36" s="11">
        <v>1429.56</v>
      </c>
      <c r="Q36" s="11">
        <v>549.89099999999996</v>
      </c>
      <c r="R36" s="11">
        <v>95.653000000000006</v>
      </c>
      <c r="S36" s="11">
        <v>93.921000000000006</v>
      </c>
      <c r="T36" s="11">
        <v>497.71899999999999</v>
      </c>
      <c r="U36" s="11">
        <v>148.453</v>
      </c>
      <c r="V36" s="11">
        <v>177.35499999999999</v>
      </c>
      <c r="W36" s="11">
        <v>456.404</v>
      </c>
      <c r="X36" s="11">
        <v>149.23599999999999</v>
      </c>
      <c r="Y36" s="11">
        <v>837.73199999999997</v>
      </c>
      <c r="Z36" s="11">
        <v>1001.5069999999999</v>
      </c>
      <c r="AA36" s="11">
        <v>3535.8780000000002</v>
      </c>
      <c r="AB36" s="11">
        <v>767.72199999999998</v>
      </c>
      <c r="AC36" s="11">
        <v>6837.9780000000001</v>
      </c>
      <c r="AD36" s="11">
        <v>11850.674999999999</v>
      </c>
      <c r="AE36" s="11">
        <v>27496.91</v>
      </c>
      <c r="AF36" s="11">
        <v>117639.755</v>
      </c>
      <c r="AG36" s="11">
        <v>64133.718000000001</v>
      </c>
      <c r="AH36" s="11">
        <v>105097.205</v>
      </c>
      <c r="AI36" s="11">
        <v>1012.588</v>
      </c>
      <c r="AJ36" s="11">
        <v>13189.483</v>
      </c>
      <c r="AK36" s="11">
        <v>3409.79</v>
      </c>
      <c r="AL36" s="11">
        <v>4156.8249999999998</v>
      </c>
      <c r="AM36" s="11">
        <v>249.82900000000001</v>
      </c>
      <c r="AN36" s="11">
        <v>17.318999999999999</v>
      </c>
      <c r="AO36" s="11">
        <v>30.29</v>
      </c>
      <c r="AP36" s="11">
        <v>2168.9789999999998</v>
      </c>
      <c r="AQ36" s="11">
        <v>1374.596</v>
      </c>
      <c r="AR36" s="11">
        <v>26.27</v>
      </c>
      <c r="AS36" s="11">
        <v>2.4670000000000001</v>
      </c>
      <c r="AT36" s="11">
        <v>1904.8050000000001</v>
      </c>
      <c r="AU36" s="11">
        <v>1.4530000000000001</v>
      </c>
      <c r="AV36" s="11">
        <v>46.725999999999999</v>
      </c>
      <c r="AW36" s="11">
        <v>50.887</v>
      </c>
      <c r="AX36" s="11">
        <v>390.12200000000001</v>
      </c>
      <c r="AY36" s="11">
        <v>397.26400000000001</v>
      </c>
      <c r="AZ36" s="11">
        <v>514.22</v>
      </c>
      <c r="BA36" s="11">
        <v>13341.362999999999</v>
      </c>
      <c r="BB36" s="11">
        <v>65.983999999999995</v>
      </c>
      <c r="BC36" s="11">
        <v>3.2679999999999998</v>
      </c>
      <c r="BD36" s="11">
        <v>31.09</v>
      </c>
      <c r="BE36" s="11">
        <v>1005.612</v>
      </c>
      <c r="BF36" s="11">
        <v>9.4079999999999995</v>
      </c>
      <c r="BG36" s="11">
        <v>117.985</v>
      </c>
      <c r="BH36" s="11">
        <v>2604.375</v>
      </c>
      <c r="BI36" s="11">
        <v>187.208</v>
      </c>
      <c r="BJ36" s="11">
        <v>4.2160000000000002</v>
      </c>
      <c r="BK36" s="11">
        <v>6447.4030000000002</v>
      </c>
      <c r="BL36" s="11">
        <v>186.511</v>
      </c>
      <c r="BM36" s="11">
        <v>1306.146</v>
      </c>
      <c r="BN36" s="11">
        <v>63.948</v>
      </c>
      <c r="BO36" s="11">
        <v>574.10299999999995</v>
      </c>
      <c r="BP36" s="11">
        <v>208.976</v>
      </c>
      <c r="BQ36" s="11">
        <v>319.70499999999998</v>
      </c>
      <c r="BR36" s="11">
        <v>1.641</v>
      </c>
      <c r="BS36" s="11">
        <v>12.773999999999999</v>
      </c>
      <c r="BT36" s="11">
        <v>91.165999999999997</v>
      </c>
      <c r="BU36" s="11">
        <v>15.944000000000001</v>
      </c>
      <c r="BV36" s="11">
        <v>204.63900000000001</v>
      </c>
      <c r="BW36" s="11">
        <v>4471.8959999999997</v>
      </c>
      <c r="BX36" s="11">
        <v>465.83100000000002</v>
      </c>
      <c r="BY36" s="11">
        <v>1453.1010000000001</v>
      </c>
      <c r="BZ36" s="11">
        <v>609.23</v>
      </c>
      <c r="CA36" s="11">
        <v>135.67500000000001</v>
      </c>
      <c r="CB36" s="11">
        <v>0</v>
      </c>
      <c r="CC36" s="11">
        <v>1112.2809999999999</v>
      </c>
      <c r="CD36" s="11">
        <v>167283.97200000001</v>
      </c>
      <c r="CE36" s="11">
        <v>139697.77799999999</v>
      </c>
      <c r="CF36" s="11">
        <v>49.067999999999998</v>
      </c>
      <c r="CG36" s="11">
        <v>96999.163</v>
      </c>
      <c r="CH36" s="11">
        <v>4002.7179999999998</v>
      </c>
      <c r="CI36" s="11">
        <v>424424.47200000001</v>
      </c>
      <c r="CJ36" s="11">
        <v>-497889.22700000001</v>
      </c>
      <c r="CK36" s="12" t="s">
        <v>94</v>
      </c>
    </row>
    <row r="37" spans="1:89" x14ac:dyDescent="0.3">
      <c r="A37" s="7" t="s">
        <v>124</v>
      </c>
      <c r="B37" s="10">
        <v>4071491.5449999999</v>
      </c>
      <c r="C37" s="10">
        <v>1592431.1240000001</v>
      </c>
      <c r="D37" s="10">
        <v>1949.704</v>
      </c>
      <c r="E37" s="10">
        <v>700.21199999999999</v>
      </c>
      <c r="F37" s="10">
        <v>163.715</v>
      </c>
      <c r="G37" s="10">
        <v>41.271000000000001</v>
      </c>
      <c r="H37" s="10">
        <v>59.555</v>
      </c>
      <c r="I37" s="10">
        <v>2160.1790000000001</v>
      </c>
      <c r="J37" s="10">
        <v>3788.38</v>
      </c>
      <c r="K37" s="10">
        <v>5024.8370000000004</v>
      </c>
      <c r="L37" s="10">
        <v>3378.8620000000001</v>
      </c>
      <c r="M37" s="10">
        <v>22945.993999999999</v>
      </c>
      <c r="N37" s="10">
        <v>11814.14</v>
      </c>
      <c r="O37" s="10">
        <v>4379.4080000000004</v>
      </c>
      <c r="P37" s="10">
        <v>6270.4750000000004</v>
      </c>
      <c r="Q37" s="10">
        <v>2623.5709999999999</v>
      </c>
      <c r="R37" s="10">
        <v>320.18700000000001</v>
      </c>
      <c r="S37" s="10">
        <v>413.95699999999999</v>
      </c>
      <c r="T37" s="10">
        <v>746.81200000000001</v>
      </c>
      <c r="U37" s="10">
        <v>785.84100000000001</v>
      </c>
      <c r="V37" s="10">
        <v>982.548</v>
      </c>
      <c r="W37" s="10">
        <v>3484.4490000000001</v>
      </c>
      <c r="X37" s="10">
        <v>1313.521</v>
      </c>
      <c r="Y37" s="10">
        <v>2166.1480000000001</v>
      </c>
      <c r="Z37" s="10">
        <v>4045.393</v>
      </c>
      <c r="AA37" s="10">
        <v>10083.105</v>
      </c>
      <c r="AB37" s="10">
        <v>4460.2370000000001</v>
      </c>
      <c r="AC37" s="10">
        <v>12689.871999999999</v>
      </c>
      <c r="AD37" s="10">
        <v>20109.305</v>
      </c>
      <c r="AE37" s="10">
        <v>32744.510999999999</v>
      </c>
      <c r="AF37" s="10">
        <v>68605.138000000006</v>
      </c>
      <c r="AG37" s="10">
        <v>29623.815999999999</v>
      </c>
      <c r="AH37" s="10">
        <v>1050958.9720000001</v>
      </c>
      <c r="AI37" s="10">
        <v>2247.0300000000002</v>
      </c>
      <c r="AJ37" s="10">
        <v>24196.235000000001</v>
      </c>
      <c r="AK37" s="10">
        <v>39449.163999999997</v>
      </c>
      <c r="AL37" s="10">
        <v>43107.811000000002</v>
      </c>
      <c r="AM37" s="10">
        <v>2819.01</v>
      </c>
      <c r="AN37" s="10">
        <v>1765.008</v>
      </c>
      <c r="AO37" s="10">
        <v>609.67899999999997</v>
      </c>
      <c r="AP37" s="10">
        <v>72533.982000000004</v>
      </c>
      <c r="AQ37" s="10">
        <v>16123.332</v>
      </c>
      <c r="AR37" s="10">
        <v>344.755</v>
      </c>
      <c r="AS37" s="10">
        <v>147.20699999999999</v>
      </c>
      <c r="AT37" s="10">
        <v>2232.2460000000001</v>
      </c>
      <c r="AU37" s="10">
        <v>103.354</v>
      </c>
      <c r="AV37" s="10">
        <v>1535.732</v>
      </c>
      <c r="AW37" s="10">
        <v>312.22199999999998</v>
      </c>
      <c r="AX37" s="10">
        <v>529.43100000000004</v>
      </c>
      <c r="AY37" s="10">
        <v>407.27499999999998</v>
      </c>
      <c r="AZ37" s="10">
        <v>1463.8030000000001</v>
      </c>
      <c r="BA37" s="10">
        <v>6307.6</v>
      </c>
      <c r="BB37" s="10">
        <v>70.730999999999995</v>
      </c>
      <c r="BC37" s="10">
        <v>30.773</v>
      </c>
      <c r="BD37" s="10">
        <v>35.484000000000002</v>
      </c>
      <c r="BE37" s="10">
        <v>572.86599999999999</v>
      </c>
      <c r="BF37" s="10">
        <v>14.996</v>
      </c>
      <c r="BG37" s="10">
        <v>37.363999999999997</v>
      </c>
      <c r="BH37" s="10">
        <v>6477.0209999999997</v>
      </c>
      <c r="BI37" s="10">
        <v>7823.8410000000003</v>
      </c>
      <c r="BJ37" s="10">
        <v>7.1840000000000002</v>
      </c>
      <c r="BK37" s="10">
        <v>4680.7190000000001</v>
      </c>
      <c r="BL37" s="10">
        <v>1551.125</v>
      </c>
      <c r="BM37" s="10">
        <v>7053.2039999999997</v>
      </c>
      <c r="BN37" s="10">
        <v>289.46499999999997</v>
      </c>
      <c r="BO37" s="10">
        <v>2379.1669999999999</v>
      </c>
      <c r="BP37" s="10">
        <v>892.22</v>
      </c>
      <c r="BQ37" s="10">
        <v>1865.8409999999999</v>
      </c>
      <c r="BR37" s="10">
        <v>6.9669999999999996</v>
      </c>
      <c r="BS37" s="10">
        <v>88.064999999999998</v>
      </c>
      <c r="BT37" s="10">
        <v>267.66399999999999</v>
      </c>
      <c r="BU37" s="10">
        <v>68.012</v>
      </c>
      <c r="BV37" s="10">
        <v>1035.646</v>
      </c>
      <c r="BW37" s="10">
        <v>3693.4589999999998</v>
      </c>
      <c r="BX37" s="10">
        <v>1245.883</v>
      </c>
      <c r="BY37" s="10">
        <v>22674.263999999999</v>
      </c>
      <c r="BZ37" s="10">
        <v>1883.63</v>
      </c>
      <c r="CA37" s="10">
        <v>231.01599999999999</v>
      </c>
      <c r="CB37" s="10">
        <v>0</v>
      </c>
      <c r="CC37" s="10">
        <v>2385.5259999999998</v>
      </c>
      <c r="CD37" s="10">
        <v>2479060.4210000001</v>
      </c>
      <c r="CE37" s="10">
        <v>837792.08600000001</v>
      </c>
      <c r="CF37" s="10">
        <v>1764.116</v>
      </c>
      <c r="CG37" s="10">
        <v>638650.68400000001</v>
      </c>
      <c r="CH37" s="10">
        <v>27990.776999999998</v>
      </c>
      <c r="CI37" s="10">
        <v>2539621.0959999999</v>
      </c>
      <c r="CJ37" s="10">
        <v>-1566758.338</v>
      </c>
      <c r="CK37" s="13" t="s">
        <v>94</v>
      </c>
    </row>
    <row r="38" spans="1:89" x14ac:dyDescent="0.3">
      <c r="A38" s="8" t="s">
        <v>125</v>
      </c>
      <c r="B38" s="11">
        <v>138004.60399999999</v>
      </c>
      <c r="C38" s="11">
        <v>29620.31</v>
      </c>
      <c r="D38" s="11">
        <v>42.764000000000003</v>
      </c>
      <c r="E38" s="11">
        <v>11.323</v>
      </c>
      <c r="F38" s="11">
        <v>2.2269999999999999</v>
      </c>
      <c r="G38" s="11">
        <v>2.488</v>
      </c>
      <c r="H38" s="11">
        <v>2.2909999999999999</v>
      </c>
      <c r="I38" s="11">
        <v>52.244999999999997</v>
      </c>
      <c r="J38" s="11">
        <v>80.44</v>
      </c>
      <c r="K38" s="11">
        <v>56.384999999999998</v>
      </c>
      <c r="L38" s="11">
        <v>76.347999999999999</v>
      </c>
      <c r="M38" s="11">
        <v>4176.165</v>
      </c>
      <c r="N38" s="11">
        <v>310.83300000000003</v>
      </c>
      <c r="O38" s="11">
        <v>199.501</v>
      </c>
      <c r="P38" s="11">
        <v>167.875</v>
      </c>
      <c r="Q38" s="11">
        <v>164.03700000000001</v>
      </c>
      <c r="R38" s="11">
        <v>46.234000000000002</v>
      </c>
      <c r="S38" s="11">
        <v>563.84799999999996</v>
      </c>
      <c r="T38" s="11">
        <v>69.774000000000001</v>
      </c>
      <c r="U38" s="11">
        <v>581.73199999999997</v>
      </c>
      <c r="V38" s="11">
        <v>104.465</v>
      </c>
      <c r="W38" s="11">
        <v>42.581000000000003</v>
      </c>
      <c r="X38" s="11">
        <v>32.76</v>
      </c>
      <c r="Y38" s="11">
        <v>58.284999999999997</v>
      </c>
      <c r="Z38" s="11">
        <v>90.611999999999995</v>
      </c>
      <c r="AA38" s="11">
        <v>705.67499999999995</v>
      </c>
      <c r="AB38" s="11">
        <v>229.501</v>
      </c>
      <c r="AC38" s="11">
        <v>265.90300000000002</v>
      </c>
      <c r="AD38" s="11">
        <v>834.01599999999996</v>
      </c>
      <c r="AE38" s="11">
        <v>656.53200000000004</v>
      </c>
      <c r="AF38" s="11">
        <v>788.24800000000005</v>
      </c>
      <c r="AG38" s="11">
        <v>368.80099999999999</v>
      </c>
      <c r="AH38" s="11">
        <v>2020.125</v>
      </c>
      <c r="AI38" s="11">
        <v>5182.9279999999999</v>
      </c>
      <c r="AJ38" s="11">
        <v>1985.114</v>
      </c>
      <c r="AK38" s="11">
        <v>118.584</v>
      </c>
      <c r="AL38" s="11">
        <v>580.47900000000004</v>
      </c>
      <c r="AM38" s="11">
        <v>26.846</v>
      </c>
      <c r="AN38" s="11">
        <v>6.9020000000000001</v>
      </c>
      <c r="AO38" s="11">
        <v>0.76500000000000001</v>
      </c>
      <c r="AP38" s="11">
        <v>100.645</v>
      </c>
      <c r="AQ38" s="11">
        <v>109.371</v>
      </c>
      <c r="AR38" s="11">
        <v>8.9320000000000004</v>
      </c>
      <c r="AS38" s="11">
        <v>0.53</v>
      </c>
      <c r="AT38" s="11">
        <v>51.244</v>
      </c>
      <c r="AU38" s="11">
        <v>0.33</v>
      </c>
      <c r="AV38" s="11">
        <v>11.029</v>
      </c>
      <c r="AW38" s="11">
        <v>14.487</v>
      </c>
      <c r="AX38" s="11">
        <v>15.137</v>
      </c>
      <c r="AY38" s="11">
        <v>10.69</v>
      </c>
      <c r="AZ38" s="11">
        <v>28.79</v>
      </c>
      <c r="BA38" s="11">
        <v>89.429000000000002</v>
      </c>
      <c r="BB38" s="11">
        <v>1.8819999999999999</v>
      </c>
      <c r="BC38" s="11">
        <v>1.153</v>
      </c>
      <c r="BD38" s="11">
        <v>6.907</v>
      </c>
      <c r="BE38" s="11">
        <v>1310.7070000000001</v>
      </c>
      <c r="BF38" s="11">
        <v>221.625</v>
      </c>
      <c r="BG38" s="11">
        <v>75.561999999999998</v>
      </c>
      <c r="BH38" s="11">
        <v>277.84800000000001</v>
      </c>
      <c r="BI38" s="11">
        <v>17.417000000000002</v>
      </c>
      <c r="BJ38" s="11">
        <v>1.7230000000000001</v>
      </c>
      <c r="BK38" s="11">
        <v>161.94300000000001</v>
      </c>
      <c r="BL38" s="11">
        <v>199.09</v>
      </c>
      <c r="BM38" s="11">
        <v>722.53599999999994</v>
      </c>
      <c r="BN38" s="11">
        <v>15.835000000000001</v>
      </c>
      <c r="BO38" s="11">
        <v>1792.6859999999999</v>
      </c>
      <c r="BP38" s="11">
        <v>500.28199999999998</v>
      </c>
      <c r="BQ38" s="11">
        <v>344.94200000000001</v>
      </c>
      <c r="BR38" s="11">
        <v>1.3879999999999999</v>
      </c>
      <c r="BS38" s="11">
        <v>207.77500000000001</v>
      </c>
      <c r="BT38" s="11">
        <v>47.188000000000002</v>
      </c>
      <c r="BU38" s="11">
        <v>10.225</v>
      </c>
      <c r="BV38" s="11">
        <v>350.84399999999999</v>
      </c>
      <c r="BW38" s="11">
        <v>860.08600000000001</v>
      </c>
      <c r="BX38" s="11">
        <v>343.71499999999997</v>
      </c>
      <c r="BY38" s="11">
        <v>52.374000000000002</v>
      </c>
      <c r="BZ38" s="11">
        <v>186.26499999999999</v>
      </c>
      <c r="CA38" s="11">
        <v>79.064999999999998</v>
      </c>
      <c r="CB38" s="11">
        <v>0</v>
      </c>
      <c r="CC38" s="11">
        <v>683.00099999999998</v>
      </c>
      <c r="CD38" s="11">
        <v>108384.29399999999</v>
      </c>
      <c r="CE38" s="11">
        <v>63302.688000000002</v>
      </c>
      <c r="CF38" s="11">
        <v>7.4530000000000003</v>
      </c>
      <c r="CG38" s="11">
        <v>34565.019999999997</v>
      </c>
      <c r="CH38" s="11">
        <v>-57.956000000000003</v>
      </c>
      <c r="CI38" s="11">
        <v>48575.917000000001</v>
      </c>
      <c r="CJ38" s="11">
        <v>-38008.828000000001</v>
      </c>
      <c r="CK38" s="12" t="s">
        <v>94</v>
      </c>
    </row>
    <row r="39" spans="1:89" x14ac:dyDescent="0.3">
      <c r="A39" s="7" t="s">
        <v>126</v>
      </c>
      <c r="B39" s="10">
        <v>453375.07900000003</v>
      </c>
      <c r="C39" s="10">
        <v>276736.16800000001</v>
      </c>
      <c r="D39" s="10">
        <v>219.23599999999999</v>
      </c>
      <c r="E39" s="10">
        <v>53.69</v>
      </c>
      <c r="F39" s="10">
        <v>32.656999999999996</v>
      </c>
      <c r="G39" s="10">
        <v>10.772</v>
      </c>
      <c r="H39" s="10">
        <v>169.39</v>
      </c>
      <c r="I39" s="10">
        <v>626.80899999999997</v>
      </c>
      <c r="J39" s="10">
        <v>561.54100000000005</v>
      </c>
      <c r="K39" s="10">
        <v>853.995</v>
      </c>
      <c r="L39" s="10">
        <v>986.82600000000002</v>
      </c>
      <c r="M39" s="10">
        <v>6483.7920000000004</v>
      </c>
      <c r="N39" s="10">
        <v>8196.7880000000005</v>
      </c>
      <c r="O39" s="10">
        <v>12524.965</v>
      </c>
      <c r="P39" s="10">
        <v>2405.7289999999998</v>
      </c>
      <c r="Q39" s="10">
        <v>489.20299999999997</v>
      </c>
      <c r="R39" s="10">
        <v>259.05599999999998</v>
      </c>
      <c r="S39" s="10">
        <v>966.42100000000005</v>
      </c>
      <c r="T39" s="10">
        <v>4394.3980000000001</v>
      </c>
      <c r="U39" s="10">
        <v>494.38299999999998</v>
      </c>
      <c r="V39" s="10">
        <v>204.74199999999999</v>
      </c>
      <c r="W39" s="10">
        <v>1560.8969999999999</v>
      </c>
      <c r="X39" s="10">
        <v>766.64499999999998</v>
      </c>
      <c r="Y39" s="10">
        <v>955.86699999999996</v>
      </c>
      <c r="Z39" s="10">
        <v>4402.4790000000003</v>
      </c>
      <c r="AA39" s="10">
        <v>4676.3720000000003</v>
      </c>
      <c r="AB39" s="10">
        <v>2592.4490000000001</v>
      </c>
      <c r="AC39" s="10">
        <v>2425.1289999999999</v>
      </c>
      <c r="AD39" s="10">
        <v>4968.0940000000001</v>
      </c>
      <c r="AE39" s="10">
        <v>12108.737999999999</v>
      </c>
      <c r="AF39" s="10">
        <v>25323.542000000001</v>
      </c>
      <c r="AG39" s="10">
        <v>7199.3310000000001</v>
      </c>
      <c r="AH39" s="10">
        <v>37811.5</v>
      </c>
      <c r="AI39" s="10">
        <v>1256.384</v>
      </c>
      <c r="AJ39" s="10">
        <v>57668.66</v>
      </c>
      <c r="AK39" s="10">
        <v>2717.105</v>
      </c>
      <c r="AL39" s="10">
        <v>4215.5879999999997</v>
      </c>
      <c r="AM39" s="10">
        <v>313.173</v>
      </c>
      <c r="AN39" s="10">
        <v>24.748999999999999</v>
      </c>
      <c r="AO39" s="10">
        <v>79.31</v>
      </c>
      <c r="AP39" s="10">
        <v>1573.0820000000001</v>
      </c>
      <c r="AQ39" s="10">
        <v>658.72799999999995</v>
      </c>
      <c r="AR39" s="10">
        <v>15.215999999999999</v>
      </c>
      <c r="AS39" s="10">
        <v>6.8150000000000004</v>
      </c>
      <c r="AT39" s="10">
        <v>2127.8000000000002</v>
      </c>
      <c r="AU39" s="10">
        <v>3.7970000000000002</v>
      </c>
      <c r="AV39" s="10">
        <v>63.655999999999999</v>
      </c>
      <c r="AW39" s="10">
        <v>801.34199999999998</v>
      </c>
      <c r="AX39" s="10">
        <v>335.279</v>
      </c>
      <c r="AY39" s="10">
        <v>69.475999999999999</v>
      </c>
      <c r="AZ39" s="10">
        <v>1681.566</v>
      </c>
      <c r="BA39" s="10">
        <v>622.58500000000004</v>
      </c>
      <c r="BB39" s="10">
        <v>11.888</v>
      </c>
      <c r="BC39" s="10">
        <v>1.657</v>
      </c>
      <c r="BD39" s="10">
        <v>1991.701</v>
      </c>
      <c r="BE39" s="10">
        <v>1035.54</v>
      </c>
      <c r="BF39" s="10">
        <v>111.99</v>
      </c>
      <c r="BG39" s="10">
        <v>135.88300000000001</v>
      </c>
      <c r="BH39" s="10">
        <v>893.375</v>
      </c>
      <c r="BI39" s="10">
        <v>610.61</v>
      </c>
      <c r="BJ39" s="10">
        <v>2.3679999999999999</v>
      </c>
      <c r="BK39" s="10">
        <v>4383.4579999999996</v>
      </c>
      <c r="BL39" s="10">
        <v>356.649</v>
      </c>
      <c r="BM39" s="10">
        <v>1836.567</v>
      </c>
      <c r="BN39" s="10">
        <v>234.797</v>
      </c>
      <c r="BO39" s="10">
        <v>3770.1109999999999</v>
      </c>
      <c r="BP39" s="10">
        <v>10315.743</v>
      </c>
      <c r="BQ39" s="10">
        <v>11868.822</v>
      </c>
      <c r="BR39" s="10">
        <v>32.76</v>
      </c>
      <c r="BS39" s="10">
        <v>198.15100000000001</v>
      </c>
      <c r="BT39" s="10">
        <v>1025.337</v>
      </c>
      <c r="BU39" s="10">
        <v>186.596</v>
      </c>
      <c r="BV39" s="10">
        <v>1601.8969999999999</v>
      </c>
      <c r="BW39" s="10">
        <v>4780.0919999999996</v>
      </c>
      <c r="BX39" s="10">
        <v>1209.2090000000001</v>
      </c>
      <c r="BY39" s="10">
        <v>1529.492</v>
      </c>
      <c r="BZ39" s="10">
        <v>2058.9740000000002</v>
      </c>
      <c r="CA39" s="10">
        <v>1277.9770000000001</v>
      </c>
      <c r="CB39" s="10">
        <v>0</v>
      </c>
      <c r="CC39" s="10">
        <v>6314.777</v>
      </c>
      <c r="CD39" s="10">
        <v>176638.91099999999</v>
      </c>
      <c r="CE39" s="10">
        <v>119155.47100000001</v>
      </c>
      <c r="CF39" s="10">
        <v>72.2</v>
      </c>
      <c r="CG39" s="10">
        <v>74470.576000000001</v>
      </c>
      <c r="CH39" s="10">
        <v>2029.039</v>
      </c>
      <c r="CI39" s="10">
        <v>315790.913</v>
      </c>
      <c r="CJ39" s="10">
        <v>-334879.288</v>
      </c>
      <c r="CK39" s="13" t="s">
        <v>94</v>
      </c>
    </row>
    <row r="40" spans="1:89" x14ac:dyDescent="0.3">
      <c r="A40" s="8" t="s">
        <v>127</v>
      </c>
      <c r="B40" s="11">
        <v>2894323.6830000002</v>
      </c>
      <c r="C40" s="11">
        <v>854151.40399999998</v>
      </c>
      <c r="D40" s="11">
        <v>12262.244000000001</v>
      </c>
      <c r="E40" s="11">
        <v>21059.367999999999</v>
      </c>
      <c r="F40" s="11">
        <v>315.05099999999999</v>
      </c>
      <c r="G40" s="11">
        <v>572.60500000000002</v>
      </c>
      <c r="H40" s="11">
        <v>227.75200000000001</v>
      </c>
      <c r="I40" s="11">
        <v>9327.7900000000009</v>
      </c>
      <c r="J40" s="11">
        <v>4554.9449999999997</v>
      </c>
      <c r="K40" s="11">
        <v>2164.875</v>
      </c>
      <c r="L40" s="11">
        <v>8447.3289999999997</v>
      </c>
      <c r="M40" s="11">
        <v>92112.403000000006</v>
      </c>
      <c r="N40" s="11">
        <v>12588.387000000001</v>
      </c>
      <c r="O40" s="11">
        <v>6904.1350000000002</v>
      </c>
      <c r="P40" s="11">
        <v>88990.956000000006</v>
      </c>
      <c r="Q40" s="11">
        <v>9083.4150000000009</v>
      </c>
      <c r="R40" s="11">
        <v>2255.8760000000002</v>
      </c>
      <c r="S40" s="11">
        <v>1808.2639999999999</v>
      </c>
      <c r="T40" s="11">
        <v>3990.9479999999999</v>
      </c>
      <c r="U40" s="11">
        <v>2268.096</v>
      </c>
      <c r="V40" s="11">
        <v>2805.86</v>
      </c>
      <c r="W40" s="11">
        <v>13184.91</v>
      </c>
      <c r="X40" s="11">
        <v>3541.145</v>
      </c>
      <c r="Y40" s="11">
        <v>16588.019</v>
      </c>
      <c r="Z40" s="11">
        <v>43202.01</v>
      </c>
      <c r="AA40" s="11">
        <v>21801.955999999998</v>
      </c>
      <c r="AB40" s="11">
        <v>13787.768</v>
      </c>
      <c r="AC40" s="11">
        <v>32010.815999999999</v>
      </c>
      <c r="AD40" s="11">
        <v>20232.328000000001</v>
      </c>
      <c r="AE40" s="11">
        <v>22615.804</v>
      </c>
      <c r="AF40" s="11">
        <v>32147.859</v>
      </c>
      <c r="AG40" s="11">
        <v>16929.82</v>
      </c>
      <c r="AH40" s="11">
        <v>178044.851</v>
      </c>
      <c r="AI40" s="11">
        <v>5504.9309999999996</v>
      </c>
      <c r="AJ40" s="11">
        <v>8155.009</v>
      </c>
      <c r="AK40" s="11">
        <v>11231.102000000001</v>
      </c>
      <c r="AL40" s="11">
        <v>5881.3450000000003</v>
      </c>
      <c r="AM40" s="11">
        <v>5071.0940000000001</v>
      </c>
      <c r="AN40" s="11">
        <v>632.76199999999994</v>
      </c>
      <c r="AO40" s="11">
        <v>401.49700000000001</v>
      </c>
      <c r="AP40" s="11">
        <v>11393.692999999999</v>
      </c>
      <c r="AQ40" s="11">
        <v>8454.1239999999998</v>
      </c>
      <c r="AR40" s="11">
        <v>336.31200000000001</v>
      </c>
      <c r="AS40" s="11">
        <v>51.015000000000001</v>
      </c>
      <c r="AT40" s="11">
        <v>4015.0859999999998</v>
      </c>
      <c r="AU40" s="11">
        <v>11.72</v>
      </c>
      <c r="AV40" s="11">
        <v>776.02700000000004</v>
      </c>
      <c r="AW40" s="11">
        <v>505.10500000000002</v>
      </c>
      <c r="AX40" s="11">
        <v>182.39400000000001</v>
      </c>
      <c r="AY40" s="11">
        <v>454.06099999999998</v>
      </c>
      <c r="AZ40" s="11">
        <v>556.24900000000002</v>
      </c>
      <c r="BA40" s="11">
        <v>6656.576</v>
      </c>
      <c r="BB40" s="11">
        <v>93.311999999999998</v>
      </c>
      <c r="BC40" s="11">
        <v>8.6379999999999999</v>
      </c>
      <c r="BD40" s="11">
        <v>365.09399999999999</v>
      </c>
      <c r="BE40" s="11">
        <v>3395.1010000000001</v>
      </c>
      <c r="BF40" s="11">
        <v>116.20099999999999</v>
      </c>
      <c r="BG40" s="11">
        <v>235.702</v>
      </c>
      <c r="BH40" s="11">
        <v>6199.0479999999998</v>
      </c>
      <c r="BI40" s="11">
        <v>2249.2579999999998</v>
      </c>
      <c r="BJ40" s="11">
        <v>14.632999999999999</v>
      </c>
      <c r="BK40" s="11">
        <v>5323.5249999999996</v>
      </c>
      <c r="BL40" s="11">
        <v>763.85799999999995</v>
      </c>
      <c r="BM40" s="11">
        <v>9793.8719999999994</v>
      </c>
      <c r="BN40" s="11">
        <v>521.33500000000004</v>
      </c>
      <c r="BO40" s="11">
        <v>4268.3789999999999</v>
      </c>
      <c r="BP40" s="11">
        <v>6293.4409999999998</v>
      </c>
      <c r="BQ40" s="11">
        <v>11749.883</v>
      </c>
      <c r="BR40" s="11">
        <v>105.95099999999999</v>
      </c>
      <c r="BS40" s="11">
        <v>785.44399999999996</v>
      </c>
      <c r="BT40" s="11">
        <v>569.53200000000004</v>
      </c>
      <c r="BU40" s="11">
        <v>173.92400000000001</v>
      </c>
      <c r="BV40" s="11">
        <v>1948.29</v>
      </c>
      <c r="BW40" s="11">
        <v>6227.1689999999999</v>
      </c>
      <c r="BX40" s="11">
        <v>10857.664000000001</v>
      </c>
      <c r="BY40" s="11">
        <v>5229.9030000000002</v>
      </c>
      <c r="BZ40" s="11">
        <v>1910.69</v>
      </c>
      <c r="CA40" s="11">
        <v>1296.9780000000001</v>
      </c>
      <c r="CB40" s="11">
        <v>0</v>
      </c>
      <c r="CC40" s="11">
        <v>7556.8919999999998</v>
      </c>
      <c r="CD40" s="11">
        <v>2040172.2790000001</v>
      </c>
      <c r="CE40" s="11">
        <v>1362256.9029999999</v>
      </c>
      <c r="CF40" s="11">
        <v>231.01900000000001</v>
      </c>
      <c r="CG40" s="11">
        <v>254051.02799999999</v>
      </c>
      <c r="CH40" s="11">
        <v>94.117000000000004</v>
      </c>
      <c r="CI40" s="11">
        <v>432158.73100000003</v>
      </c>
      <c r="CJ40" s="11">
        <v>-8619.5190000000002</v>
      </c>
      <c r="CK40" s="12" t="s">
        <v>94</v>
      </c>
    </row>
    <row r="41" spans="1:89" x14ac:dyDescent="0.3">
      <c r="A41" s="7" t="s">
        <v>128</v>
      </c>
      <c r="B41" s="10">
        <v>2890288.2429999998</v>
      </c>
      <c r="C41" s="10">
        <v>846934.27500000002</v>
      </c>
      <c r="D41" s="10">
        <v>11442.165999999999</v>
      </c>
      <c r="E41" s="10">
        <v>20881.115000000002</v>
      </c>
      <c r="F41" s="10">
        <v>308.97199999999998</v>
      </c>
      <c r="G41" s="10">
        <v>567.46799999999996</v>
      </c>
      <c r="H41" s="10">
        <v>219.61699999999999</v>
      </c>
      <c r="I41" s="10">
        <v>9372.6620000000003</v>
      </c>
      <c r="J41" s="10">
        <v>4537.2830000000004</v>
      </c>
      <c r="K41" s="10">
        <v>2145.9380000000001</v>
      </c>
      <c r="L41" s="10">
        <v>8472.7440000000006</v>
      </c>
      <c r="M41" s="10">
        <v>91160.380999999994</v>
      </c>
      <c r="N41" s="10">
        <v>12450.415999999999</v>
      </c>
      <c r="O41" s="10">
        <v>6858.3149999999996</v>
      </c>
      <c r="P41" s="10">
        <v>88637.088000000003</v>
      </c>
      <c r="Q41" s="10">
        <v>9089.2000000000007</v>
      </c>
      <c r="R41" s="10">
        <v>2222.1610000000001</v>
      </c>
      <c r="S41" s="10">
        <v>1751.3340000000001</v>
      </c>
      <c r="T41" s="10">
        <v>3763.6219999999998</v>
      </c>
      <c r="U41" s="10">
        <v>2240.1280000000002</v>
      </c>
      <c r="V41" s="10">
        <v>2727.922</v>
      </c>
      <c r="W41" s="10">
        <v>13030.549000000001</v>
      </c>
      <c r="X41" s="10">
        <v>3523.6</v>
      </c>
      <c r="Y41" s="10">
        <v>16632.938999999998</v>
      </c>
      <c r="Z41" s="10">
        <v>43429.862000000001</v>
      </c>
      <c r="AA41" s="10">
        <v>21663.666000000001</v>
      </c>
      <c r="AB41" s="10">
        <v>13664.495000000001</v>
      </c>
      <c r="AC41" s="10">
        <v>31594.166000000001</v>
      </c>
      <c r="AD41" s="10">
        <v>19852.073</v>
      </c>
      <c r="AE41" s="10">
        <v>22331.264999999999</v>
      </c>
      <c r="AF41" s="10">
        <v>31306.903999999999</v>
      </c>
      <c r="AG41" s="10">
        <v>16649.287</v>
      </c>
      <c r="AH41" s="10">
        <v>176569</v>
      </c>
      <c r="AI41" s="10">
        <v>5196.6790000000001</v>
      </c>
      <c r="AJ41" s="10">
        <v>7931.4769999999999</v>
      </c>
      <c r="AK41" s="10">
        <v>11315.606</v>
      </c>
      <c r="AL41" s="10">
        <v>6085.5</v>
      </c>
      <c r="AM41" s="10">
        <v>5075.9979999999996</v>
      </c>
      <c r="AN41" s="10">
        <v>633.20100000000002</v>
      </c>
      <c r="AO41" s="10">
        <v>402.584</v>
      </c>
      <c r="AP41" s="10">
        <v>11435.246999999999</v>
      </c>
      <c r="AQ41" s="10">
        <v>8462.7029999999995</v>
      </c>
      <c r="AR41" s="10">
        <v>333.69600000000003</v>
      </c>
      <c r="AS41" s="10">
        <v>51.140999999999998</v>
      </c>
      <c r="AT41" s="10">
        <v>3991.6619999999998</v>
      </c>
      <c r="AU41" s="10">
        <v>11.651</v>
      </c>
      <c r="AV41" s="10">
        <v>769.68499999999995</v>
      </c>
      <c r="AW41" s="10">
        <v>499.39800000000002</v>
      </c>
      <c r="AX41" s="10">
        <v>190.84800000000001</v>
      </c>
      <c r="AY41" s="10">
        <v>472.923</v>
      </c>
      <c r="AZ41" s="10">
        <v>562.49099999999999</v>
      </c>
      <c r="BA41" s="10">
        <v>6689.7690000000002</v>
      </c>
      <c r="BB41" s="10">
        <v>93.141999999999996</v>
      </c>
      <c r="BC41" s="10">
        <v>8.8719999999999999</v>
      </c>
      <c r="BD41" s="10">
        <v>366.10199999999998</v>
      </c>
      <c r="BE41" s="10">
        <v>3456.3159999999998</v>
      </c>
      <c r="BF41" s="10">
        <v>118.36199999999999</v>
      </c>
      <c r="BG41" s="10">
        <v>240.846</v>
      </c>
      <c r="BH41" s="10">
        <v>6167.6180000000004</v>
      </c>
      <c r="BI41" s="10">
        <v>2241.8440000000001</v>
      </c>
      <c r="BJ41" s="10">
        <v>14.218</v>
      </c>
      <c r="BK41" s="10">
        <v>5321.817</v>
      </c>
      <c r="BL41" s="10">
        <v>769.68</v>
      </c>
      <c r="BM41" s="10">
        <v>9786.0310000000009</v>
      </c>
      <c r="BN41" s="10">
        <v>509.87200000000001</v>
      </c>
      <c r="BO41" s="10">
        <v>4234.2389999999996</v>
      </c>
      <c r="BP41" s="10">
        <v>6247.4870000000001</v>
      </c>
      <c r="BQ41" s="10">
        <v>11620.644</v>
      </c>
      <c r="BR41" s="10">
        <v>105.235</v>
      </c>
      <c r="BS41" s="10">
        <v>776.94200000000001</v>
      </c>
      <c r="BT41" s="10">
        <v>569.33799999999997</v>
      </c>
      <c r="BU41" s="10">
        <v>174.084</v>
      </c>
      <c r="BV41" s="10">
        <v>1932.0129999999999</v>
      </c>
      <c r="BW41" s="10">
        <v>6114.1059999999998</v>
      </c>
      <c r="BX41" s="10">
        <v>10840.407999999999</v>
      </c>
      <c r="BY41" s="10">
        <v>5195.2539999999999</v>
      </c>
      <c r="BZ41" s="10">
        <v>1866.778</v>
      </c>
      <c r="CA41" s="10">
        <v>1289.4690000000001</v>
      </c>
      <c r="CB41" s="10">
        <v>0</v>
      </c>
      <c r="CC41" s="10">
        <v>7664.9610000000002</v>
      </c>
      <c r="CD41" s="10">
        <v>2043353.9680000001</v>
      </c>
      <c r="CE41" s="10">
        <v>1362443.04</v>
      </c>
      <c r="CF41" s="10">
        <v>51.665999999999997</v>
      </c>
      <c r="CG41" s="10">
        <v>257544.34</v>
      </c>
      <c r="CH41" s="10">
        <v>19.686</v>
      </c>
      <c r="CI41" s="10">
        <v>429560.109</v>
      </c>
      <c r="CJ41" s="10">
        <v>-6264.8729999999996</v>
      </c>
      <c r="CK41" s="13" t="s">
        <v>94</v>
      </c>
    </row>
    <row r="42" spans="1:89" x14ac:dyDescent="0.3">
      <c r="A42" s="8" t="s">
        <v>129</v>
      </c>
      <c r="B42" s="11">
        <v>229421.38800000001</v>
      </c>
      <c r="C42" s="11">
        <v>24726.472000000002</v>
      </c>
      <c r="D42" s="11">
        <v>30.542999999999999</v>
      </c>
      <c r="E42" s="11">
        <v>42.594000000000001</v>
      </c>
      <c r="F42" s="11">
        <v>1.2609999999999999</v>
      </c>
      <c r="G42" s="11">
        <v>1.633</v>
      </c>
      <c r="H42" s="11">
        <v>0.69</v>
      </c>
      <c r="I42" s="11">
        <v>5452.2420000000002</v>
      </c>
      <c r="J42" s="11">
        <v>46.704999999999998</v>
      </c>
      <c r="K42" s="11">
        <v>1287.4259999999999</v>
      </c>
      <c r="L42" s="11">
        <v>35.826999999999998</v>
      </c>
      <c r="M42" s="11">
        <v>408.60599999999999</v>
      </c>
      <c r="N42" s="11">
        <v>363.714</v>
      </c>
      <c r="O42" s="11">
        <v>94.608000000000004</v>
      </c>
      <c r="P42" s="11">
        <v>288.596</v>
      </c>
      <c r="Q42" s="11">
        <v>40.088000000000001</v>
      </c>
      <c r="R42" s="11">
        <v>8.7170000000000005</v>
      </c>
      <c r="S42" s="11">
        <v>5.5449999999999999</v>
      </c>
      <c r="T42" s="11">
        <v>16.071999999999999</v>
      </c>
      <c r="U42" s="11">
        <v>6.774</v>
      </c>
      <c r="V42" s="11">
        <v>6.9669999999999996</v>
      </c>
      <c r="W42" s="11">
        <v>35.908999999999999</v>
      </c>
      <c r="X42" s="11">
        <v>10.005000000000001</v>
      </c>
      <c r="Y42" s="11">
        <v>259.77</v>
      </c>
      <c r="Z42" s="11">
        <v>308.47000000000003</v>
      </c>
      <c r="AA42" s="11">
        <v>108.90300000000001</v>
      </c>
      <c r="AB42" s="11">
        <v>59.255000000000003</v>
      </c>
      <c r="AC42" s="11">
        <v>97.962999999999994</v>
      </c>
      <c r="AD42" s="11">
        <v>48.052</v>
      </c>
      <c r="AE42" s="11">
        <v>74.037000000000006</v>
      </c>
      <c r="AF42" s="11">
        <v>75.061000000000007</v>
      </c>
      <c r="AG42" s="11">
        <v>37.332999999999998</v>
      </c>
      <c r="AH42" s="11">
        <v>558.26700000000005</v>
      </c>
      <c r="AI42" s="11">
        <v>9.5549999999999997</v>
      </c>
      <c r="AJ42" s="11">
        <v>14.76</v>
      </c>
      <c r="AK42" s="11">
        <v>3378.5439999999999</v>
      </c>
      <c r="AL42" s="11">
        <v>1825.1980000000001</v>
      </c>
      <c r="AM42" s="11">
        <v>535.76400000000001</v>
      </c>
      <c r="AN42" s="11">
        <v>11</v>
      </c>
      <c r="AO42" s="11">
        <v>10.893000000000001</v>
      </c>
      <c r="AP42" s="11">
        <v>266.84800000000001</v>
      </c>
      <c r="AQ42" s="11">
        <v>121.628</v>
      </c>
      <c r="AR42" s="11">
        <v>57.534999999999997</v>
      </c>
      <c r="AS42" s="11">
        <v>1.466</v>
      </c>
      <c r="AT42" s="11">
        <v>90.468999999999994</v>
      </c>
      <c r="AU42" s="11">
        <v>0.47299999999999998</v>
      </c>
      <c r="AV42" s="11">
        <v>25.571000000000002</v>
      </c>
      <c r="AW42" s="11">
        <v>61.255000000000003</v>
      </c>
      <c r="AX42" s="11">
        <v>22.847999999999999</v>
      </c>
      <c r="AY42" s="11">
        <v>63.914000000000001</v>
      </c>
      <c r="AZ42" s="11">
        <v>37.933999999999997</v>
      </c>
      <c r="BA42" s="11">
        <v>122.116</v>
      </c>
      <c r="BB42" s="11">
        <v>5.2910000000000004</v>
      </c>
      <c r="BC42" s="11">
        <v>7.1390000000000002</v>
      </c>
      <c r="BD42" s="11">
        <v>13.598000000000001</v>
      </c>
      <c r="BE42" s="11">
        <v>846.22900000000004</v>
      </c>
      <c r="BF42" s="11">
        <v>78.483000000000004</v>
      </c>
      <c r="BG42" s="11">
        <v>114.49299999999999</v>
      </c>
      <c r="BH42" s="11">
        <v>208.733</v>
      </c>
      <c r="BI42" s="11">
        <v>32.86</v>
      </c>
      <c r="BJ42" s="11">
        <v>1.0289999999999999</v>
      </c>
      <c r="BK42" s="11">
        <v>363.64600000000002</v>
      </c>
      <c r="BL42" s="11">
        <v>66.569999999999993</v>
      </c>
      <c r="BM42" s="11">
        <v>336.48599999999999</v>
      </c>
      <c r="BN42" s="11">
        <v>2.7210000000000001</v>
      </c>
      <c r="BO42" s="11">
        <v>1755.681</v>
      </c>
      <c r="BP42" s="11">
        <v>819.32500000000005</v>
      </c>
      <c r="BQ42" s="11">
        <v>104.47799999999999</v>
      </c>
      <c r="BR42" s="11">
        <v>1.655</v>
      </c>
      <c r="BS42" s="11">
        <v>11.238</v>
      </c>
      <c r="BT42" s="11">
        <v>26.631</v>
      </c>
      <c r="BU42" s="11">
        <v>21.158000000000001</v>
      </c>
      <c r="BV42" s="11">
        <v>21.611000000000001</v>
      </c>
      <c r="BW42" s="11">
        <v>42.258000000000003</v>
      </c>
      <c r="BX42" s="11">
        <v>26.204999999999998</v>
      </c>
      <c r="BY42" s="11">
        <v>12.881</v>
      </c>
      <c r="BZ42" s="11">
        <v>27.7</v>
      </c>
      <c r="CA42" s="11">
        <v>20.484999999999999</v>
      </c>
      <c r="CB42" s="11">
        <v>0</v>
      </c>
      <c r="CC42" s="11">
        <v>3288.4839999999999</v>
      </c>
      <c r="CD42" s="11">
        <v>204694.916</v>
      </c>
      <c r="CE42" s="11">
        <v>187793.364</v>
      </c>
      <c r="CF42" s="11">
        <v>3.1739999999999999</v>
      </c>
      <c r="CG42" s="11">
        <v>1296.2329999999999</v>
      </c>
      <c r="CH42" s="11">
        <v>0</v>
      </c>
      <c r="CI42" s="11">
        <v>16079.87</v>
      </c>
      <c r="CJ42" s="11">
        <v>-477.72500000000002</v>
      </c>
      <c r="CK42" s="12" t="s">
        <v>94</v>
      </c>
    </row>
    <row r="43" spans="1:89" x14ac:dyDescent="0.3">
      <c r="A43" s="7" t="s">
        <v>130</v>
      </c>
      <c r="B43" s="10">
        <v>69410.634999999995</v>
      </c>
      <c r="C43" s="10">
        <v>14791.35</v>
      </c>
      <c r="D43" s="10">
        <v>258.82299999999998</v>
      </c>
      <c r="E43" s="10">
        <v>359.77800000000002</v>
      </c>
      <c r="F43" s="10">
        <v>6.0750000000000002</v>
      </c>
      <c r="G43" s="10">
        <v>11.682</v>
      </c>
      <c r="H43" s="10">
        <v>4.8109999999999999</v>
      </c>
      <c r="I43" s="10">
        <v>306.887</v>
      </c>
      <c r="J43" s="10">
        <v>73.031000000000006</v>
      </c>
      <c r="K43" s="10">
        <v>64.694000000000003</v>
      </c>
      <c r="L43" s="10">
        <v>149.27799999999999</v>
      </c>
      <c r="M43" s="10">
        <v>1136.9570000000001</v>
      </c>
      <c r="N43" s="10">
        <v>311.262</v>
      </c>
      <c r="O43" s="10">
        <v>118.342</v>
      </c>
      <c r="P43" s="10">
        <v>1488.095</v>
      </c>
      <c r="Q43" s="10">
        <v>247.983</v>
      </c>
      <c r="R43" s="10">
        <v>53.353000000000002</v>
      </c>
      <c r="S43" s="10">
        <v>17.222000000000001</v>
      </c>
      <c r="T43" s="10">
        <v>48.195999999999998</v>
      </c>
      <c r="U43" s="10">
        <v>31.600999999999999</v>
      </c>
      <c r="V43" s="10">
        <v>42.573</v>
      </c>
      <c r="W43" s="10">
        <v>143.392</v>
      </c>
      <c r="X43" s="10">
        <v>41.267000000000003</v>
      </c>
      <c r="Y43" s="10">
        <v>316.74599999999998</v>
      </c>
      <c r="Z43" s="10">
        <v>775.71500000000003</v>
      </c>
      <c r="AA43" s="10">
        <v>284.07100000000003</v>
      </c>
      <c r="AB43" s="10">
        <v>256.57299999999998</v>
      </c>
      <c r="AC43" s="10">
        <v>668.40300000000002</v>
      </c>
      <c r="AD43" s="10">
        <v>263.67399999999998</v>
      </c>
      <c r="AE43" s="10">
        <v>251.83</v>
      </c>
      <c r="AF43" s="10">
        <v>293.41000000000003</v>
      </c>
      <c r="AG43" s="10">
        <v>211.06800000000001</v>
      </c>
      <c r="AH43" s="10">
        <v>2495.067</v>
      </c>
      <c r="AI43" s="10">
        <v>44.546999999999997</v>
      </c>
      <c r="AJ43" s="10">
        <v>83.143000000000001</v>
      </c>
      <c r="AK43" s="10">
        <v>191.73500000000001</v>
      </c>
      <c r="AL43" s="10">
        <v>202.03</v>
      </c>
      <c r="AM43" s="10">
        <v>41.368000000000002</v>
      </c>
      <c r="AN43" s="10">
        <v>1378.145</v>
      </c>
      <c r="AO43" s="10">
        <v>6.2510000000000003</v>
      </c>
      <c r="AP43" s="10">
        <v>501.64699999999999</v>
      </c>
      <c r="AQ43" s="10">
        <v>254.124</v>
      </c>
      <c r="AR43" s="10">
        <v>9.5079999999999991</v>
      </c>
      <c r="AS43" s="10">
        <v>1.6140000000000001</v>
      </c>
      <c r="AT43" s="10">
        <v>55.625999999999998</v>
      </c>
      <c r="AU43" s="10">
        <v>1.3879999999999999</v>
      </c>
      <c r="AV43" s="10">
        <v>16.43</v>
      </c>
      <c r="AW43" s="10">
        <v>25.437000000000001</v>
      </c>
      <c r="AX43" s="10">
        <v>6.4820000000000002</v>
      </c>
      <c r="AY43" s="10">
        <v>9.0050000000000008</v>
      </c>
      <c r="AZ43" s="10">
        <v>19.837</v>
      </c>
      <c r="BA43" s="10">
        <v>72.876999999999995</v>
      </c>
      <c r="BB43" s="10">
        <v>1.708</v>
      </c>
      <c r="BC43" s="10">
        <v>0.309</v>
      </c>
      <c r="BD43" s="10">
        <v>3.6659999999999999</v>
      </c>
      <c r="BE43" s="10">
        <v>32.887999999999998</v>
      </c>
      <c r="BF43" s="10">
        <v>1.359</v>
      </c>
      <c r="BG43" s="10">
        <v>2.1840000000000002</v>
      </c>
      <c r="BH43" s="10">
        <v>85.204999999999998</v>
      </c>
      <c r="BI43" s="10">
        <v>28.613</v>
      </c>
      <c r="BJ43" s="10">
        <v>0.14799999999999999</v>
      </c>
      <c r="BK43" s="10">
        <v>72.319000000000003</v>
      </c>
      <c r="BL43" s="10">
        <v>13.064</v>
      </c>
      <c r="BM43" s="10">
        <v>139.14099999999999</v>
      </c>
      <c r="BN43" s="10">
        <v>10.385</v>
      </c>
      <c r="BO43" s="10">
        <v>58.323999999999998</v>
      </c>
      <c r="BP43" s="10">
        <v>63.545000000000002</v>
      </c>
      <c r="BQ43" s="10">
        <v>102.752</v>
      </c>
      <c r="BR43" s="10">
        <v>1.0960000000000001</v>
      </c>
      <c r="BS43" s="10">
        <v>8.1479999999999997</v>
      </c>
      <c r="BT43" s="10">
        <v>9.2080000000000002</v>
      </c>
      <c r="BU43" s="10">
        <v>2.2090000000000001</v>
      </c>
      <c r="BV43" s="10">
        <v>28.506</v>
      </c>
      <c r="BW43" s="10">
        <v>103.946</v>
      </c>
      <c r="BX43" s="10">
        <v>134.81899999999999</v>
      </c>
      <c r="BY43" s="10">
        <v>86.97</v>
      </c>
      <c r="BZ43" s="10">
        <v>33.158000000000001</v>
      </c>
      <c r="CA43" s="10">
        <v>14.303000000000001</v>
      </c>
      <c r="CB43" s="10">
        <v>0</v>
      </c>
      <c r="CC43" s="10">
        <v>100.324</v>
      </c>
      <c r="CD43" s="10">
        <v>54619.285000000003</v>
      </c>
      <c r="CE43" s="10">
        <v>34341.241999999998</v>
      </c>
      <c r="CF43" s="10">
        <v>1.9E-2</v>
      </c>
      <c r="CG43" s="10">
        <v>7374.5150000000003</v>
      </c>
      <c r="CH43" s="10">
        <v>0</v>
      </c>
      <c r="CI43" s="10">
        <v>12905.578</v>
      </c>
      <c r="CJ43" s="10">
        <v>-2.069</v>
      </c>
      <c r="CK43" s="13" t="s">
        <v>94</v>
      </c>
    </row>
    <row r="44" spans="1:89" x14ac:dyDescent="0.3">
      <c r="A44" s="8" t="s">
        <v>131</v>
      </c>
      <c r="B44" s="11">
        <v>32128.171999999999</v>
      </c>
      <c r="C44" s="11">
        <v>10033.031999999999</v>
      </c>
      <c r="D44" s="11">
        <v>70.382000000000005</v>
      </c>
      <c r="E44" s="11">
        <v>97.817999999999998</v>
      </c>
      <c r="F44" s="11">
        <v>1.635</v>
      </c>
      <c r="G44" s="11">
        <v>3.1680000000000001</v>
      </c>
      <c r="H44" s="11">
        <v>1.3069999999999999</v>
      </c>
      <c r="I44" s="11">
        <v>5695.77</v>
      </c>
      <c r="J44" s="11">
        <v>19.564</v>
      </c>
      <c r="K44" s="11">
        <v>305.92500000000001</v>
      </c>
      <c r="L44" s="11">
        <v>40.466000000000001</v>
      </c>
      <c r="M44" s="11">
        <v>302.98500000000001</v>
      </c>
      <c r="N44" s="11">
        <v>82.436999999999998</v>
      </c>
      <c r="O44" s="11">
        <v>29.92</v>
      </c>
      <c r="P44" s="11">
        <v>405.19200000000001</v>
      </c>
      <c r="Q44" s="11">
        <v>67.534000000000006</v>
      </c>
      <c r="R44" s="11">
        <v>14.569000000000001</v>
      </c>
      <c r="S44" s="11">
        <v>4.7380000000000004</v>
      </c>
      <c r="T44" s="11">
        <v>13.271000000000001</v>
      </c>
      <c r="U44" s="11">
        <v>8.6280000000000001</v>
      </c>
      <c r="V44" s="11">
        <v>11.609</v>
      </c>
      <c r="W44" s="11">
        <v>39.07</v>
      </c>
      <c r="X44" s="11">
        <v>11.28</v>
      </c>
      <c r="Y44" s="11">
        <v>86.108000000000004</v>
      </c>
      <c r="Z44" s="11">
        <v>211.15100000000001</v>
      </c>
      <c r="AA44" s="11">
        <v>77.460999999999999</v>
      </c>
      <c r="AB44" s="11">
        <v>69.850999999999999</v>
      </c>
      <c r="AC44" s="11">
        <v>181.786</v>
      </c>
      <c r="AD44" s="11">
        <v>71.870999999999995</v>
      </c>
      <c r="AE44" s="11">
        <v>68.522999999999996</v>
      </c>
      <c r="AF44" s="11">
        <v>79.451999999999998</v>
      </c>
      <c r="AG44" s="11">
        <v>57.423999999999999</v>
      </c>
      <c r="AH44" s="11">
        <v>676.904</v>
      </c>
      <c r="AI44" s="11">
        <v>12.242000000000001</v>
      </c>
      <c r="AJ44" s="11">
        <v>22.702999999999999</v>
      </c>
      <c r="AK44" s="11">
        <v>52.826000000000001</v>
      </c>
      <c r="AL44" s="11">
        <v>58.87</v>
      </c>
      <c r="AM44" s="11">
        <v>11.204000000000001</v>
      </c>
      <c r="AN44" s="11">
        <v>4.5289999999999999</v>
      </c>
      <c r="AO44" s="11">
        <v>543.06700000000001</v>
      </c>
      <c r="AP44" s="11">
        <v>90.385000000000005</v>
      </c>
      <c r="AQ44" s="11">
        <v>61.497</v>
      </c>
      <c r="AR44" s="11">
        <v>2.5569999999999999</v>
      </c>
      <c r="AS44" s="11">
        <v>0.38500000000000001</v>
      </c>
      <c r="AT44" s="11">
        <v>15.07</v>
      </c>
      <c r="AU44" s="11">
        <v>0.36199999999999999</v>
      </c>
      <c r="AV44" s="11">
        <v>3.37</v>
      </c>
      <c r="AW44" s="11">
        <v>6.9450000000000003</v>
      </c>
      <c r="AX44" s="11">
        <v>1.7709999999999999</v>
      </c>
      <c r="AY44" s="11">
        <v>2.8889999999999998</v>
      </c>
      <c r="AZ44" s="11">
        <v>5.0910000000000002</v>
      </c>
      <c r="BA44" s="11">
        <v>21.774000000000001</v>
      </c>
      <c r="BB44" s="11">
        <v>0.46700000000000003</v>
      </c>
      <c r="BC44" s="11">
        <v>7.8E-2</v>
      </c>
      <c r="BD44" s="11">
        <v>1</v>
      </c>
      <c r="BE44" s="11">
        <v>10.51</v>
      </c>
      <c r="BF44" s="11">
        <v>0.40400000000000003</v>
      </c>
      <c r="BG44" s="11">
        <v>0.75900000000000001</v>
      </c>
      <c r="BH44" s="11">
        <v>21.902000000000001</v>
      </c>
      <c r="BI44" s="11">
        <v>7.7709999999999999</v>
      </c>
      <c r="BJ44" s="11">
        <v>3.9E-2</v>
      </c>
      <c r="BK44" s="11">
        <v>19.829999999999998</v>
      </c>
      <c r="BL44" s="11">
        <v>3.585</v>
      </c>
      <c r="BM44" s="11">
        <v>38.012</v>
      </c>
      <c r="BN44" s="11">
        <v>2.8319999999999999</v>
      </c>
      <c r="BO44" s="11">
        <v>15.244</v>
      </c>
      <c r="BP44" s="11">
        <v>16.635999999999999</v>
      </c>
      <c r="BQ44" s="11">
        <v>27.695</v>
      </c>
      <c r="BR44" s="11">
        <v>0.27400000000000002</v>
      </c>
      <c r="BS44" s="11">
        <v>2.1030000000000002</v>
      </c>
      <c r="BT44" s="11">
        <v>2.573</v>
      </c>
      <c r="BU44" s="11">
        <v>0.58799999999999997</v>
      </c>
      <c r="BV44" s="11">
        <v>8.0180000000000007</v>
      </c>
      <c r="BW44" s="11">
        <v>28.488</v>
      </c>
      <c r="BX44" s="11">
        <v>37.881</v>
      </c>
      <c r="BY44" s="11">
        <v>24.23</v>
      </c>
      <c r="BZ44" s="11">
        <v>9.3559999999999999</v>
      </c>
      <c r="CA44" s="11">
        <v>3.7149999999999999</v>
      </c>
      <c r="CB44" s="11">
        <v>0</v>
      </c>
      <c r="CC44" s="11">
        <v>23.706</v>
      </c>
      <c r="CD44" s="11">
        <v>22095.14</v>
      </c>
      <c r="CE44" s="11">
        <v>11857.504999999999</v>
      </c>
      <c r="CF44" s="11">
        <v>2.0329999999999999</v>
      </c>
      <c r="CG44" s="11">
        <v>1933.739</v>
      </c>
      <c r="CH44" s="11">
        <v>0</v>
      </c>
      <c r="CI44" s="11">
        <v>8308.93</v>
      </c>
      <c r="CJ44" s="11">
        <v>-7.0670000000000002</v>
      </c>
      <c r="CK44" s="12" t="s">
        <v>94</v>
      </c>
    </row>
    <row r="45" spans="1:89" x14ac:dyDescent="0.3">
      <c r="A45" s="7" t="s">
        <v>132</v>
      </c>
      <c r="B45" s="10">
        <v>1248045.513</v>
      </c>
      <c r="C45" s="10">
        <v>266733.14399999997</v>
      </c>
      <c r="D45" s="10">
        <v>5219.7020000000002</v>
      </c>
      <c r="E45" s="10">
        <v>7254.9110000000001</v>
      </c>
      <c r="F45" s="10">
        <v>121.155</v>
      </c>
      <c r="G45" s="10">
        <v>234.74600000000001</v>
      </c>
      <c r="H45" s="10">
        <v>96.688000000000002</v>
      </c>
      <c r="I45" s="10">
        <v>6019.26</v>
      </c>
      <c r="J45" s="10">
        <v>1447.424</v>
      </c>
      <c r="K45" s="10">
        <v>1043.3209999999999</v>
      </c>
      <c r="L45" s="10">
        <v>2988.9479999999999</v>
      </c>
      <c r="M45" s="10">
        <v>22445.102999999999</v>
      </c>
      <c r="N45" s="10">
        <v>6106.0110000000004</v>
      </c>
      <c r="O45" s="10">
        <v>2198.8960000000002</v>
      </c>
      <c r="P45" s="10">
        <v>29968.558000000001</v>
      </c>
      <c r="Q45" s="10">
        <v>4995.6980000000003</v>
      </c>
      <c r="R45" s="10">
        <v>1075.079</v>
      </c>
      <c r="S45" s="10">
        <v>346.303</v>
      </c>
      <c r="T45" s="10">
        <v>969.13199999999995</v>
      </c>
      <c r="U45" s="10">
        <v>636.34500000000003</v>
      </c>
      <c r="V45" s="10">
        <v>857.11500000000001</v>
      </c>
      <c r="W45" s="10">
        <v>2882.8969999999999</v>
      </c>
      <c r="X45" s="10">
        <v>964.85299999999995</v>
      </c>
      <c r="Y45" s="10">
        <v>6385.9740000000002</v>
      </c>
      <c r="Z45" s="10">
        <v>15632.516</v>
      </c>
      <c r="AA45" s="10">
        <v>5748.4570000000003</v>
      </c>
      <c r="AB45" s="10">
        <v>5177.4740000000002</v>
      </c>
      <c r="AC45" s="10">
        <v>13468.878000000001</v>
      </c>
      <c r="AD45" s="10">
        <v>5306.8109999999997</v>
      </c>
      <c r="AE45" s="10">
        <v>5065.2730000000001</v>
      </c>
      <c r="AF45" s="10">
        <v>5877.49</v>
      </c>
      <c r="AG45" s="10">
        <v>4250.2479999999996</v>
      </c>
      <c r="AH45" s="10">
        <v>50055.292000000001</v>
      </c>
      <c r="AI45" s="10">
        <v>895.67899999999997</v>
      </c>
      <c r="AJ45" s="10">
        <v>1673.4469999999999</v>
      </c>
      <c r="AK45" s="10">
        <v>3582.694</v>
      </c>
      <c r="AL45" s="10">
        <v>3766.76</v>
      </c>
      <c r="AM45" s="10">
        <v>824.024</v>
      </c>
      <c r="AN45" s="10">
        <v>334.64</v>
      </c>
      <c r="AO45" s="10">
        <v>130.93</v>
      </c>
      <c r="AP45" s="10">
        <v>7118.6549999999997</v>
      </c>
      <c r="AQ45" s="10">
        <v>4570.7939999999999</v>
      </c>
      <c r="AR45" s="10">
        <v>189.19399999999999</v>
      </c>
      <c r="AS45" s="10">
        <v>29.779</v>
      </c>
      <c r="AT45" s="10">
        <v>1101.769</v>
      </c>
      <c r="AU45" s="10">
        <v>26.702999999999999</v>
      </c>
      <c r="AV45" s="10">
        <v>258.48399999999998</v>
      </c>
      <c r="AW45" s="10">
        <v>496.77800000000002</v>
      </c>
      <c r="AX45" s="10">
        <v>129.06200000000001</v>
      </c>
      <c r="AY45" s="10">
        <v>169.29599999999999</v>
      </c>
      <c r="AZ45" s="10">
        <v>368.91899999999998</v>
      </c>
      <c r="BA45" s="10">
        <v>1421.912</v>
      </c>
      <c r="BB45" s="10">
        <v>33.584000000000003</v>
      </c>
      <c r="BC45" s="10">
        <v>5.859</v>
      </c>
      <c r="BD45" s="10">
        <v>139.898</v>
      </c>
      <c r="BE45" s="10">
        <v>933.67399999999998</v>
      </c>
      <c r="BF45" s="10">
        <v>30.2</v>
      </c>
      <c r="BG45" s="10">
        <v>56.917999999999999</v>
      </c>
      <c r="BH45" s="10">
        <v>1747.5830000000001</v>
      </c>
      <c r="BI45" s="10">
        <v>586.94200000000001</v>
      </c>
      <c r="BJ45" s="10">
        <v>2.7040000000000002</v>
      </c>
      <c r="BK45" s="10">
        <v>1502.72</v>
      </c>
      <c r="BL45" s="10">
        <v>253.63800000000001</v>
      </c>
      <c r="BM45" s="10">
        <v>2837.1469999999999</v>
      </c>
      <c r="BN45" s="10">
        <v>209.023</v>
      </c>
      <c r="BO45" s="10">
        <v>1216.5360000000001</v>
      </c>
      <c r="BP45" s="10">
        <v>1294.127</v>
      </c>
      <c r="BQ45" s="10">
        <v>2458.3380000000002</v>
      </c>
      <c r="BR45" s="10">
        <v>19.895</v>
      </c>
      <c r="BS45" s="10">
        <v>153.62100000000001</v>
      </c>
      <c r="BT45" s="10">
        <v>185.685</v>
      </c>
      <c r="BU45" s="10">
        <v>85.37</v>
      </c>
      <c r="BV45" s="10">
        <v>585.68299999999999</v>
      </c>
      <c r="BW45" s="10">
        <v>2089.384</v>
      </c>
      <c r="BX45" s="10">
        <v>2694.4940000000001</v>
      </c>
      <c r="BY45" s="10">
        <v>1753.944</v>
      </c>
      <c r="BZ45" s="10">
        <v>650.84799999999996</v>
      </c>
      <c r="CA45" s="10">
        <v>271.80599999999998</v>
      </c>
      <c r="CB45" s="10">
        <v>0</v>
      </c>
      <c r="CC45" s="10">
        <v>3003.4459999999999</v>
      </c>
      <c r="CD45" s="10">
        <v>981312.36899999995</v>
      </c>
      <c r="CE45" s="10">
        <v>575331.98499999999</v>
      </c>
      <c r="CF45" s="10">
        <v>44.872999999999998</v>
      </c>
      <c r="CG45" s="10">
        <v>143058.27299999999</v>
      </c>
      <c r="CH45" s="10">
        <v>0</v>
      </c>
      <c r="CI45" s="10">
        <v>263074.701</v>
      </c>
      <c r="CJ45" s="10">
        <v>-197.46299999999999</v>
      </c>
      <c r="CK45" s="13" t="s">
        <v>94</v>
      </c>
    </row>
    <row r="46" spans="1:89" x14ac:dyDescent="0.3">
      <c r="A46" s="8" t="s">
        <v>133</v>
      </c>
      <c r="B46" s="11">
        <v>729665.50399999996</v>
      </c>
      <c r="C46" s="11">
        <v>19615.913</v>
      </c>
      <c r="D46" s="11">
        <v>15.09</v>
      </c>
      <c r="E46" s="11">
        <v>20.756</v>
      </c>
      <c r="F46" s="11">
        <v>0.38900000000000001</v>
      </c>
      <c r="G46" s="11">
        <v>0.69699999999999995</v>
      </c>
      <c r="H46" s="11">
        <v>0.3</v>
      </c>
      <c r="I46" s="11">
        <v>420.077</v>
      </c>
      <c r="J46" s="11">
        <v>47.616999999999997</v>
      </c>
      <c r="K46" s="11">
        <v>1185.48</v>
      </c>
      <c r="L46" s="11">
        <v>24.484999999999999</v>
      </c>
      <c r="M46" s="11">
        <v>243.244</v>
      </c>
      <c r="N46" s="11">
        <v>215.79300000000001</v>
      </c>
      <c r="O46" s="11">
        <v>82.944999999999993</v>
      </c>
      <c r="P46" s="11">
        <v>219.166</v>
      </c>
      <c r="Q46" s="11">
        <v>26.614999999999998</v>
      </c>
      <c r="R46" s="11">
        <v>19.998000000000001</v>
      </c>
      <c r="S46" s="11">
        <v>27.946999999999999</v>
      </c>
      <c r="T46" s="11">
        <v>110.40900000000001</v>
      </c>
      <c r="U46" s="11">
        <v>31.134</v>
      </c>
      <c r="V46" s="11">
        <v>14.516</v>
      </c>
      <c r="W46" s="11">
        <v>134.334</v>
      </c>
      <c r="X46" s="11">
        <v>35.159999999999997</v>
      </c>
      <c r="Y46" s="11">
        <v>34.582999999999998</v>
      </c>
      <c r="Z46" s="11">
        <v>399.81900000000002</v>
      </c>
      <c r="AA46" s="11">
        <v>257.791</v>
      </c>
      <c r="AB46" s="11">
        <v>104.617</v>
      </c>
      <c r="AC46" s="11">
        <v>291.79599999999999</v>
      </c>
      <c r="AD46" s="11">
        <v>150.69999999999999</v>
      </c>
      <c r="AE46" s="11">
        <v>272.24200000000002</v>
      </c>
      <c r="AF46" s="11">
        <v>203.92</v>
      </c>
      <c r="AG46" s="11">
        <v>103.149</v>
      </c>
      <c r="AH46" s="11">
        <v>1771.8889999999999</v>
      </c>
      <c r="AI46" s="11">
        <v>26.08</v>
      </c>
      <c r="AJ46" s="11">
        <v>34.069000000000003</v>
      </c>
      <c r="AK46" s="11">
        <v>50.121000000000002</v>
      </c>
      <c r="AL46" s="11">
        <v>80.563999999999993</v>
      </c>
      <c r="AM46" s="11">
        <v>407.291</v>
      </c>
      <c r="AN46" s="11">
        <v>10.332000000000001</v>
      </c>
      <c r="AO46" s="11">
        <v>10.552</v>
      </c>
      <c r="AP46" s="11">
        <v>193.75700000000001</v>
      </c>
      <c r="AQ46" s="11">
        <v>221.017</v>
      </c>
      <c r="AR46" s="11">
        <v>28.91</v>
      </c>
      <c r="AS46" s="11">
        <v>2.3730000000000002</v>
      </c>
      <c r="AT46" s="11">
        <v>97.007999999999996</v>
      </c>
      <c r="AU46" s="11">
        <v>0.39600000000000002</v>
      </c>
      <c r="AV46" s="11">
        <v>28.289000000000001</v>
      </c>
      <c r="AW46" s="11">
        <v>66.025000000000006</v>
      </c>
      <c r="AX46" s="11">
        <v>26.83</v>
      </c>
      <c r="AY46" s="11">
        <v>71.908000000000001</v>
      </c>
      <c r="AZ46" s="11">
        <v>39.914000000000001</v>
      </c>
      <c r="BA46" s="11">
        <v>136.93700000000001</v>
      </c>
      <c r="BB46" s="11">
        <v>5.8049999999999997</v>
      </c>
      <c r="BC46" s="11">
        <v>8.1869999999999994</v>
      </c>
      <c r="BD46" s="11">
        <v>5.5659999999999998</v>
      </c>
      <c r="BE46" s="11">
        <v>361.28800000000001</v>
      </c>
      <c r="BF46" s="11">
        <v>32.045999999999999</v>
      </c>
      <c r="BG46" s="11">
        <v>44.26</v>
      </c>
      <c r="BH46" s="11">
        <v>378.488</v>
      </c>
      <c r="BI46" s="11">
        <v>52.808</v>
      </c>
      <c r="BJ46" s="11">
        <v>1.1180000000000001</v>
      </c>
      <c r="BK46" s="11">
        <v>436.57600000000002</v>
      </c>
      <c r="BL46" s="11">
        <v>363.93099999999998</v>
      </c>
      <c r="BM46" s="11">
        <v>1040.1690000000001</v>
      </c>
      <c r="BN46" s="11">
        <v>6.3029999999999999</v>
      </c>
      <c r="BO46" s="11">
        <v>1021.609</v>
      </c>
      <c r="BP46" s="11">
        <v>242.80799999999999</v>
      </c>
      <c r="BQ46" s="11">
        <v>154.25399999999999</v>
      </c>
      <c r="BR46" s="11">
        <v>2.5790000000000002</v>
      </c>
      <c r="BS46" s="11">
        <v>7.282</v>
      </c>
      <c r="BT46" s="11">
        <v>46.103000000000002</v>
      </c>
      <c r="BU46" s="11">
        <v>23.164000000000001</v>
      </c>
      <c r="BV46" s="11">
        <v>46.758000000000003</v>
      </c>
      <c r="BW46" s="11">
        <v>83.555999999999997</v>
      </c>
      <c r="BX46" s="11">
        <v>28.759</v>
      </c>
      <c r="BY46" s="11">
        <v>26.088000000000001</v>
      </c>
      <c r="BZ46" s="11">
        <v>59.610999999999997</v>
      </c>
      <c r="CA46" s="11">
        <v>102.39</v>
      </c>
      <c r="CB46" s="11">
        <v>0</v>
      </c>
      <c r="CC46" s="11">
        <v>7035.3760000000002</v>
      </c>
      <c r="CD46" s="11">
        <v>710049.59100000001</v>
      </c>
      <c r="CE46" s="11">
        <v>708758.20200000005</v>
      </c>
      <c r="CF46" s="11">
        <v>39.148000000000003</v>
      </c>
      <c r="CG46" s="11">
        <v>804.98199999999997</v>
      </c>
      <c r="CH46" s="11">
        <v>0</v>
      </c>
      <c r="CI46" s="11">
        <v>775.00300000000004</v>
      </c>
      <c r="CJ46" s="11">
        <v>-327.74400000000003</v>
      </c>
      <c r="CK46" s="12" t="s">
        <v>94</v>
      </c>
    </row>
    <row r="47" spans="1:89" x14ac:dyDescent="0.3">
      <c r="A47" s="7" t="s">
        <v>134</v>
      </c>
      <c r="B47" s="10">
        <v>25919.548999999999</v>
      </c>
      <c r="C47" s="10">
        <v>153.97</v>
      </c>
      <c r="D47" s="10">
        <v>0.96799999999999997</v>
      </c>
      <c r="E47" s="10">
        <v>1.7649999999999999</v>
      </c>
      <c r="F47" s="10">
        <v>2.5000000000000001E-2</v>
      </c>
      <c r="G47" s="10">
        <v>4.8000000000000001E-2</v>
      </c>
      <c r="H47" s="10">
        <v>1.7999999999999999E-2</v>
      </c>
      <c r="I47" s="10">
        <v>0.78100000000000003</v>
      </c>
      <c r="J47" s="10">
        <v>0.38200000000000001</v>
      </c>
      <c r="K47" s="10">
        <v>0.17899999999999999</v>
      </c>
      <c r="L47" s="10">
        <v>0.70899999999999996</v>
      </c>
      <c r="M47" s="10">
        <v>7.6989999999999998</v>
      </c>
      <c r="N47" s="10">
        <v>1.0489999999999999</v>
      </c>
      <c r="O47" s="10">
        <v>0.57599999999999996</v>
      </c>
      <c r="P47" s="10">
        <v>7.4710000000000001</v>
      </c>
      <c r="Q47" s="10">
        <v>0.754</v>
      </c>
      <c r="R47" s="10">
        <v>0.187</v>
      </c>
      <c r="S47" s="10">
        <v>0.14799999999999999</v>
      </c>
      <c r="T47" s="10">
        <v>0.314</v>
      </c>
      <c r="U47" s="10">
        <v>0.188</v>
      </c>
      <c r="V47" s="10">
        <v>0.23</v>
      </c>
      <c r="W47" s="10">
        <v>1.099</v>
      </c>
      <c r="X47" s="10">
        <v>0.29599999999999999</v>
      </c>
      <c r="Y47" s="10">
        <v>1.3919999999999999</v>
      </c>
      <c r="Z47" s="10">
        <v>86.558000000000007</v>
      </c>
      <c r="AA47" s="10">
        <v>1.8260000000000001</v>
      </c>
      <c r="AB47" s="10">
        <v>1.151</v>
      </c>
      <c r="AC47" s="10">
        <v>2.6680000000000001</v>
      </c>
      <c r="AD47" s="10">
        <v>1.675</v>
      </c>
      <c r="AE47" s="10">
        <v>1.885</v>
      </c>
      <c r="AF47" s="10">
        <v>2.6459999999999999</v>
      </c>
      <c r="AG47" s="10">
        <v>1.4059999999999999</v>
      </c>
      <c r="AH47" s="10">
        <v>14.906000000000001</v>
      </c>
      <c r="AI47" s="10">
        <v>0.438</v>
      </c>
      <c r="AJ47" s="10">
        <v>0.66400000000000003</v>
      </c>
      <c r="AK47" s="10">
        <v>0.90900000000000003</v>
      </c>
      <c r="AL47" s="10">
        <v>0.42799999999999999</v>
      </c>
      <c r="AM47" s="10">
        <v>0.42599999999999999</v>
      </c>
      <c r="AN47" s="10">
        <v>5.2999999999999999E-2</v>
      </c>
      <c r="AO47" s="10">
        <v>3.4000000000000002E-2</v>
      </c>
      <c r="AP47" s="10">
        <v>0.95399999999999996</v>
      </c>
      <c r="AQ47" s="10">
        <v>0.70099999999999996</v>
      </c>
      <c r="AR47" s="10">
        <v>2.8000000000000001E-2</v>
      </c>
      <c r="AS47" s="10">
        <v>4.0000000000000001E-3</v>
      </c>
      <c r="AT47" s="10">
        <v>0.33500000000000002</v>
      </c>
      <c r="AU47" s="10">
        <v>1E-3</v>
      </c>
      <c r="AV47" s="10">
        <v>6.4000000000000001E-2</v>
      </c>
      <c r="AW47" s="10">
        <v>0.04</v>
      </c>
      <c r="AX47" s="10">
        <v>1.4E-2</v>
      </c>
      <c r="AY47" s="10">
        <v>3.4000000000000002E-2</v>
      </c>
      <c r="AZ47" s="10">
        <v>4.4999999999999998E-2</v>
      </c>
      <c r="BA47" s="10">
        <v>0.54100000000000004</v>
      </c>
      <c r="BB47" s="10">
        <v>8.0000000000000002E-3</v>
      </c>
      <c r="BC47" s="10">
        <v>1E-3</v>
      </c>
      <c r="BD47" s="10">
        <v>3.1E-2</v>
      </c>
      <c r="BE47" s="10">
        <v>0.27</v>
      </c>
      <c r="BF47" s="10">
        <v>8.9999999999999993E-3</v>
      </c>
      <c r="BG47" s="10">
        <v>1.7999999999999999E-2</v>
      </c>
      <c r="BH47" s="10">
        <v>0.51300000000000001</v>
      </c>
      <c r="BI47" s="10">
        <v>0.188</v>
      </c>
      <c r="BJ47" s="10">
        <v>1E-3</v>
      </c>
      <c r="BK47" s="10">
        <v>0.442</v>
      </c>
      <c r="BL47" s="10">
        <v>6.2E-2</v>
      </c>
      <c r="BM47" s="10">
        <v>0.81399999999999995</v>
      </c>
      <c r="BN47" s="10">
        <v>4.2999999999999997E-2</v>
      </c>
      <c r="BO47" s="10">
        <v>0.34699999999999998</v>
      </c>
      <c r="BP47" s="10">
        <v>0.52100000000000002</v>
      </c>
      <c r="BQ47" s="10">
        <v>0.97599999999999998</v>
      </c>
      <c r="BR47" s="10">
        <v>8.0000000000000002E-3</v>
      </c>
      <c r="BS47" s="10">
        <v>6.5000000000000002E-2</v>
      </c>
      <c r="BT47" s="10">
        <v>4.7E-2</v>
      </c>
      <c r="BU47" s="10">
        <v>1.4E-2</v>
      </c>
      <c r="BV47" s="10">
        <v>0.16</v>
      </c>
      <c r="BW47" s="10">
        <v>0.51200000000000001</v>
      </c>
      <c r="BX47" s="10">
        <v>0.9</v>
      </c>
      <c r="BY47" s="10">
        <v>0.433</v>
      </c>
      <c r="BZ47" s="10">
        <v>0.151</v>
      </c>
      <c r="CA47" s="10">
        <v>0.108</v>
      </c>
      <c r="CB47" s="10">
        <v>0</v>
      </c>
      <c r="CC47" s="10">
        <v>0.61599999999999999</v>
      </c>
      <c r="CD47" s="10">
        <v>25765.579000000002</v>
      </c>
      <c r="CE47" s="10">
        <v>25782.588</v>
      </c>
      <c r="CF47" s="10">
        <v>0</v>
      </c>
      <c r="CG47" s="10">
        <v>21.170999999999999</v>
      </c>
      <c r="CH47" s="10">
        <v>0</v>
      </c>
      <c r="CI47" s="10">
        <v>44.753</v>
      </c>
      <c r="CJ47" s="10">
        <v>-82.933000000000007</v>
      </c>
      <c r="CK47" s="13" t="s">
        <v>94</v>
      </c>
    </row>
    <row r="48" spans="1:89" x14ac:dyDescent="0.3">
      <c r="A48" s="8" t="s">
        <v>135</v>
      </c>
      <c r="B48" s="11">
        <v>4856.0690000000004</v>
      </c>
      <c r="C48" s="11">
        <v>9.8409999999999993</v>
      </c>
      <c r="D48" s="11">
        <v>3.0000000000000001E-3</v>
      </c>
      <c r="E48" s="11">
        <v>0</v>
      </c>
      <c r="F48" s="11">
        <v>0</v>
      </c>
      <c r="G48" s="11">
        <v>0</v>
      </c>
      <c r="H48" s="11">
        <v>0</v>
      </c>
      <c r="I48" s="11">
        <v>8.9999999999999993E-3</v>
      </c>
      <c r="J48" s="11">
        <v>5.0000000000000001E-3</v>
      </c>
      <c r="K48" s="11">
        <v>3.0000000000000001E-3</v>
      </c>
      <c r="L48" s="11">
        <v>3.0000000000000001E-3</v>
      </c>
      <c r="M48" s="11">
        <v>0.01</v>
      </c>
      <c r="N48" s="11">
        <v>8.5999999999999993E-2</v>
      </c>
      <c r="O48" s="11">
        <v>0.05</v>
      </c>
      <c r="P48" s="11">
        <v>8.5999999999999993E-2</v>
      </c>
      <c r="Q48" s="11">
        <v>2E-3</v>
      </c>
      <c r="R48" s="11">
        <v>0</v>
      </c>
      <c r="S48" s="11">
        <v>0</v>
      </c>
      <c r="T48" s="11">
        <v>8.9999999999999993E-3</v>
      </c>
      <c r="U48" s="11">
        <v>0</v>
      </c>
      <c r="V48" s="11">
        <v>0</v>
      </c>
      <c r="W48" s="11">
        <v>8.0000000000000002E-3</v>
      </c>
      <c r="X48" s="11">
        <v>4.0000000000000001E-3</v>
      </c>
      <c r="Y48" s="11">
        <v>0</v>
      </c>
      <c r="Z48" s="11">
        <v>0.06</v>
      </c>
      <c r="AA48" s="11">
        <v>0.32300000000000001</v>
      </c>
      <c r="AB48" s="11">
        <v>0.10199999999999999</v>
      </c>
      <c r="AC48" s="11">
        <v>2E-3</v>
      </c>
      <c r="AD48" s="11">
        <v>7.0000000000000001E-3</v>
      </c>
      <c r="AE48" s="11">
        <v>2.1000000000000001E-2</v>
      </c>
      <c r="AF48" s="11">
        <v>2.1999999999999999E-2</v>
      </c>
      <c r="AG48" s="11">
        <v>8.9999999999999993E-3</v>
      </c>
      <c r="AH48" s="11">
        <v>0.25</v>
      </c>
      <c r="AI48" s="11">
        <v>0</v>
      </c>
      <c r="AJ48" s="11">
        <v>1E-3</v>
      </c>
      <c r="AK48" s="11">
        <v>0.19400000000000001</v>
      </c>
      <c r="AL48" s="11">
        <v>0.51200000000000001</v>
      </c>
      <c r="AM48" s="11">
        <v>1.6E-2</v>
      </c>
      <c r="AN48" s="11">
        <v>3.0000000000000001E-3</v>
      </c>
      <c r="AO48" s="11">
        <v>6.8000000000000005E-2</v>
      </c>
      <c r="AP48" s="11">
        <v>0.20899999999999999</v>
      </c>
      <c r="AQ48" s="11">
        <v>0.14099999999999999</v>
      </c>
      <c r="AR48" s="11">
        <v>0</v>
      </c>
      <c r="AS48" s="11">
        <v>1.4999999999999999E-2</v>
      </c>
      <c r="AT48" s="11">
        <v>3.0000000000000001E-3</v>
      </c>
      <c r="AU48" s="11">
        <v>0</v>
      </c>
      <c r="AV48" s="11">
        <v>0.03</v>
      </c>
      <c r="AW48" s="11">
        <v>2E-3</v>
      </c>
      <c r="AX48" s="11">
        <v>2.5000000000000001E-2</v>
      </c>
      <c r="AY48" s="11">
        <v>8.9999999999999993E-3</v>
      </c>
      <c r="AZ48" s="11">
        <v>1.2999999999999999E-2</v>
      </c>
      <c r="BA48" s="11">
        <v>3.1E-2</v>
      </c>
      <c r="BB48" s="11">
        <v>0</v>
      </c>
      <c r="BC48" s="11">
        <v>0</v>
      </c>
      <c r="BD48" s="11">
        <v>0</v>
      </c>
      <c r="BE48" s="11">
        <v>0.1</v>
      </c>
      <c r="BF48" s="11">
        <v>0</v>
      </c>
      <c r="BG48" s="11">
        <v>0.161</v>
      </c>
      <c r="BH48" s="11">
        <v>1.782</v>
      </c>
      <c r="BI48" s="11">
        <v>0.19</v>
      </c>
      <c r="BJ48" s="11">
        <v>0</v>
      </c>
      <c r="BK48" s="11">
        <v>0.54300000000000004</v>
      </c>
      <c r="BL48" s="11">
        <v>0.13200000000000001</v>
      </c>
      <c r="BM48" s="11">
        <v>0.83299999999999996</v>
      </c>
      <c r="BN48" s="11">
        <v>0</v>
      </c>
      <c r="BO48" s="11">
        <v>0.24099999999999999</v>
      </c>
      <c r="BP48" s="11">
        <v>0.16400000000000001</v>
      </c>
      <c r="BQ48" s="11">
        <v>7.2999999999999995E-2</v>
      </c>
      <c r="BR48" s="11">
        <v>0</v>
      </c>
      <c r="BS48" s="11">
        <v>1E-3</v>
      </c>
      <c r="BT48" s="11">
        <v>1.7000000000000001E-2</v>
      </c>
      <c r="BU48" s="11">
        <v>1E-3</v>
      </c>
      <c r="BV48" s="11">
        <v>0.20699999999999999</v>
      </c>
      <c r="BW48" s="11">
        <v>2.4E-2</v>
      </c>
      <c r="BX48" s="11">
        <v>1.7000000000000001E-2</v>
      </c>
      <c r="BY48" s="11">
        <v>5.1999999999999998E-2</v>
      </c>
      <c r="BZ48" s="11">
        <v>7.0000000000000001E-3</v>
      </c>
      <c r="CA48" s="11">
        <v>0.01</v>
      </c>
      <c r="CB48" s="11">
        <v>0</v>
      </c>
      <c r="CC48" s="11">
        <v>2.94</v>
      </c>
      <c r="CD48" s="11">
        <v>4846.2280000000001</v>
      </c>
      <c r="CE48" s="11">
        <v>4843.5990000000002</v>
      </c>
      <c r="CF48" s="11">
        <v>0.69399999999999995</v>
      </c>
      <c r="CG48" s="11">
        <v>6.8150000000000004</v>
      </c>
      <c r="CH48" s="11">
        <v>0</v>
      </c>
      <c r="CI48" s="11">
        <v>0.379</v>
      </c>
      <c r="CJ48" s="11">
        <v>-5.2590000000000003</v>
      </c>
      <c r="CK48" s="12" t="s">
        <v>94</v>
      </c>
    </row>
    <row r="49" spans="1:89" x14ac:dyDescent="0.3">
      <c r="A49" s="7" t="s">
        <v>136</v>
      </c>
      <c r="B49" s="10">
        <v>234215.204</v>
      </c>
      <c r="C49" s="10">
        <v>183019.185</v>
      </c>
      <c r="D49" s="10">
        <v>0.65500000000000003</v>
      </c>
      <c r="E49" s="10">
        <v>106.19199999999999</v>
      </c>
      <c r="F49" s="10">
        <v>0.34799999999999998</v>
      </c>
      <c r="G49" s="10">
        <v>2709.9960000000001</v>
      </c>
      <c r="H49" s="10">
        <v>0.69</v>
      </c>
      <c r="I49" s="10">
        <v>4.194</v>
      </c>
      <c r="J49" s="10">
        <v>3.004</v>
      </c>
      <c r="K49" s="10">
        <v>297.608</v>
      </c>
      <c r="L49" s="10">
        <v>8.5690000000000008</v>
      </c>
      <c r="M49" s="10">
        <v>22.742999999999999</v>
      </c>
      <c r="N49" s="10">
        <v>187.35499999999999</v>
      </c>
      <c r="O49" s="10">
        <v>6.8440000000000003</v>
      </c>
      <c r="P49" s="10">
        <v>808.92600000000004</v>
      </c>
      <c r="Q49" s="10">
        <v>80.930000000000007</v>
      </c>
      <c r="R49" s="10">
        <v>3.633</v>
      </c>
      <c r="S49" s="10">
        <v>3.4060000000000001</v>
      </c>
      <c r="T49" s="10">
        <v>17.811</v>
      </c>
      <c r="U49" s="10">
        <v>5.6779999999999999</v>
      </c>
      <c r="V49" s="10">
        <v>14.896000000000001</v>
      </c>
      <c r="W49" s="10">
        <v>131.08699999999999</v>
      </c>
      <c r="X49" s="10">
        <v>34.475999999999999</v>
      </c>
      <c r="Y49" s="10">
        <v>23.228999999999999</v>
      </c>
      <c r="Z49" s="10">
        <v>92.224999999999994</v>
      </c>
      <c r="AA49" s="10">
        <v>64.596000000000004</v>
      </c>
      <c r="AB49" s="10">
        <v>32.151000000000003</v>
      </c>
      <c r="AC49" s="10">
        <v>136.62700000000001</v>
      </c>
      <c r="AD49" s="10">
        <v>125.09099999999999</v>
      </c>
      <c r="AE49" s="10">
        <v>250.88</v>
      </c>
      <c r="AF49" s="10">
        <v>162.488</v>
      </c>
      <c r="AG49" s="10">
        <v>68.665000000000006</v>
      </c>
      <c r="AH49" s="10">
        <v>1049.703</v>
      </c>
      <c r="AI49" s="10">
        <v>33.448</v>
      </c>
      <c r="AJ49" s="10">
        <v>31.37</v>
      </c>
      <c r="AK49" s="10">
        <v>7010.2340000000004</v>
      </c>
      <c r="AL49" s="10">
        <v>6210.058</v>
      </c>
      <c r="AM49" s="10">
        <v>53268.968000000001</v>
      </c>
      <c r="AN49" s="10">
        <v>6154.3540000000003</v>
      </c>
      <c r="AO49" s="10">
        <v>2667.1669999999999</v>
      </c>
      <c r="AP49" s="10">
        <v>67399.539000000004</v>
      </c>
      <c r="AQ49" s="10">
        <v>14086.143</v>
      </c>
      <c r="AR49" s="10">
        <v>49.021000000000001</v>
      </c>
      <c r="AS49" s="10">
        <v>355.06599999999997</v>
      </c>
      <c r="AT49" s="10">
        <v>4373.7690000000002</v>
      </c>
      <c r="AU49" s="10">
        <v>25.507999999999999</v>
      </c>
      <c r="AV49" s="10">
        <v>1884.117</v>
      </c>
      <c r="AW49" s="10">
        <v>271.71899999999999</v>
      </c>
      <c r="AX49" s="10">
        <v>80.602000000000004</v>
      </c>
      <c r="AY49" s="10">
        <v>220.00299999999999</v>
      </c>
      <c r="AZ49" s="10">
        <v>1037.3</v>
      </c>
      <c r="BA49" s="10">
        <v>1201.664</v>
      </c>
      <c r="BB49" s="10">
        <v>18.652999999999999</v>
      </c>
      <c r="BC49" s="10">
        <v>19.478000000000002</v>
      </c>
      <c r="BD49" s="10">
        <v>1.1080000000000001</v>
      </c>
      <c r="BE49" s="10">
        <v>35.154000000000003</v>
      </c>
      <c r="BF49" s="10">
        <v>0.77400000000000002</v>
      </c>
      <c r="BG49" s="10">
        <v>1372.778</v>
      </c>
      <c r="BH49" s="10">
        <v>3693.2080000000001</v>
      </c>
      <c r="BI49" s="10">
        <v>225.952</v>
      </c>
      <c r="BJ49" s="10">
        <v>8.6959999999999997</v>
      </c>
      <c r="BK49" s="10">
        <v>782.35199999999998</v>
      </c>
      <c r="BL49" s="10">
        <v>475.21699999999998</v>
      </c>
      <c r="BM49" s="10">
        <v>932.476</v>
      </c>
      <c r="BN49" s="10">
        <v>2.879</v>
      </c>
      <c r="BO49" s="10">
        <v>288.66199999999998</v>
      </c>
      <c r="BP49" s="10">
        <v>21.457999999999998</v>
      </c>
      <c r="BQ49" s="10">
        <v>72.664000000000001</v>
      </c>
      <c r="BR49" s="10">
        <v>2.9089999999999998</v>
      </c>
      <c r="BS49" s="10">
        <v>7.1420000000000003</v>
      </c>
      <c r="BT49" s="10">
        <v>34.584000000000003</v>
      </c>
      <c r="BU49" s="10">
        <v>46.573999999999998</v>
      </c>
      <c r="BV49" s="10">
        <v>26.725999999999999</v>
      </c>
      <c r="BW49" s="10">
        <v>53.439</v>
      </c>
      <c r="BX49" s="10">
        <v>213.75700000000001</v>
      </c>
      <c r="BY49" s="10">
        <v>4.9829999999999997</v>
      </c>
      <c r="BZ49" s="10">
        <v>10.628</v>
      </c>
      <c r="CA49" s="10">
        <v>6.851</v>
      </c>
      <c r="CB49" s="10">
        <v>0</v>
      </c>
      <c r="CC49" s="10">
        <v>1845.337</v>
      </c>
      <c r="CD49" s="10">
        <v>51196.019</v>
      </c>
      <c r="CE49" s="10">
        <v>40948.561999999998</v>
      </c>
      <c r="CF49" s="10">
        <v>49.369</v>
      </c>
      <c r="CG49" s="10">
        <v>218.50399999999999</v>
      </c>
      <c r="CH49" s="10">
        <v>0</v>
      </c>
      <c r="CI49" s="10">
        <v>26973.233</v>
      </c>
      <c r="CJ49" s="10">
        <v>-16993.649000000001</v>
      </c>
      <c r="CK49" s="13" t="s">
        <v>94</v>
      </c>
    </row>
    <row r="50" spans="1:89" x14ac:dyDescent="0.3">
      <c r="A50" s="8" t="s">
        <v>137</v>
      </c>
      <c r="B50" s="11">
        <v>4897.5050000000001</v>
      </c>
      <c r="C50" s="11">
        <v>4546.308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2E-3</v>
      </c>
      <c r="N50" s="11">
        <v>15.164999999999999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0.13</v>
      </c>
      <c r="X50" s="11">
        <v>1.0109999999999999</v>
      </c>
      <c r="Y50" s="11">
        <v>0</v>
      </c>
      <c r="Z50" s="11">
        <v>0</v>
      </c>
      <c r="AA50" s="11">
        <v>0</v>
      </c>
      <c r="AB50" s="11">
        <v>0</v>
      </c>
      <c r="AC50" s="11">
        <v>0.3</v>
      </c>
      <c r="AD50" s="11">
        <v>0.156</v>
      </c>
      <c r="AE50" s="11">
        <v>0.255</v>
      </c>
      <c r="AF50" s="11">
        <v>0.38800000000000001</v>
      </c>
      <c r="AG50" s="11">
        <v>0.125</v>
      </c>
      <c r="AH50" s="11">
        <v>1.097</v>
      </c>
      <c r="AI50" s="11">
        <v>2.8000000000000001E-2</v>
      </c>
      <c r="AJ50" s="11">
        <v>4.5999999999999999E-2</v>
      </c>
      <c r="AK50" s="11">
        <v>149.27000000000001</v>
      </c>
      <c r="AL50" s="11">
        <v>201.42699999999999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96.382999999999996</v>
      </c>
      <c r="AV50" s="11">
        <v>0</v>
      </c>
      <c r="AW50" s="11">
        <v>0</v>
      </c>
      <c r="AX50" s="11">
        <v>0</v>
      </c>
      <c r="AY50" s="11">
        <v>0.39600000000000002</v>
      </c>
      <c r="AZ50" s="11">
        <v>3.3000000000000002E-2</v>
      </c>
      <c r="BA50" s="11">
        <v>0</v>
      </c>
      <c r="BB50" s="11">
        <v>0</v>
      </c>
      <c r="BC50" s="11">
        <v>0.307</v>
      </c>
      <c r="BD50" s="11">
        <v>94.924999999999997</v>
      </c>
      <c r="BE50" s="11">
        <v>1193.9829999999999</v>
      </c>
      <c r="BF50" s="11">
        <v>24.347999999999999</v>
      </c>
      <c r="BG50" s="11">
        <v>867.42</v>
      </c>
      <c r="BH50" s="11">
        <v>2.7490000000000001</v>
      </c>
      <c r="BI50" s="11">
        <v>0</v>
      </c>
      <c r="BJ50" s="11">
        <v>0</v>
      </c>
      <c r="BK50" s="11">
        <v>26.527000000000001</v>
      </c>
      <c r="BL50" s="11">
        <v>2.4990000000000001</v>
      </c>
      <c r="BM50" s="11">
        <v>31.262</v>
      </c>
      <c r="BN50" s="11">
        <v>0.17699999999999999</v>
      </c>
      <c r="BO50" s="11">
        <v>201.255</v>
      </c>
      <c r="BP50" s="11">
        <v>32.445</v>
      </c>
      <c r="BQ50" s="11">
        <v>38.292999999999999</v>
      </c>
      <c r="BR50" s="11">
        <v>2.5999999999999999E-2</v>
      </c>
      <c r="BS50" s="11">
        <v>1.88</v>
      </c>
      <c r="BT50" s="11">
        <v>2.1389999999999998</v>
      </c>
      <c r="BU50" s="11">
        <v>6.9370000000000003</v>
      </c>
      <c r="BV50" s="11">
        <v>2.9319999999999999</v>
      </c>
      <c r="BW50" s="11">
        <v>8.0820000000000007</v>
      </c>
      <c r="BX50" s="11">
        <v>0.24199999999999999</v>
      </c>
      <c r="BY50" s="11">
        <v>0.60899999999999999</v>
      </c>
      <c r="BZ50" s="11">
        <v>2.8380000000000001</v>
      </c>
      <c r="CA50" s="11">
        <v>3.661</v>
      </c>
      <c r="CB50" s="11">
        <v>0</v>
      </c>
      <c r="CC50" s="11">
        <v>1534.56</v>
      </c>
      <c r="CD50" s="11">
        <v>351.197</v>
      </c>
      <c r="CE50" s="11">
        <v>362.24299999999999</v>
      </c>
      <c r="CF50" s="11">
        <v>0</v>
      </c>
      <c r="CG50" s="11">
        <v>0</v>
      </c>
      <c r="CH50" s="11">
        <v>0</v>
      </c>
      <c r="CI50" s="11">
        <v>0</v>
      </c>
      <c r="CJ50" s="11">
        <v>-11.045999999999999</v>
      </c>
      <c r="CK50" s="12" t="s">
        <v>94</v>
      </c>
    </row>
    <row r="51" spans="1:89" x14ac:dyDescent="0.3">
      <c r="A51" s="7" t="s">
        <v>138</v>
      </c>
      <c r="B51" s="10">
        <v>46206.659</v>
      </c>
      <c r="C51" s="10">
        <v>17880.675999999999</v>
      </c>
      <c r="D51" s="10">
        <v>5.2999999999999999E-2</v>
      </c>
      <c r="E51" s="10">
        <v>5.0000000000000001E-3</v>
      </c>
      <c r="F51" s="10">
        <v>0</v>
      </c>
      <c r="G51" s="10">
        <v>2.1000000000000001E-2</v>
      </c>
      <c r="H51" s="10">
        <v>0.01</v>
      </c>
      <c r="I51" s="10">
        <v>393.03100000000001</v>
      </c>
      <c r="J51" s="10">
        <v>30.626000000000001</v>
      </c>
      <c r="K51" s="10">
        <v>218.72</v>
      </c>
      <c r="L51" s="10">
        <v>74.912000000000006</v>
      </c>
      <c r="M51" s="10">
        <v>92.769000000000005</v>
      </c>
      <c r="N51" s="10">
        <v>131.07599999999999</v>
      </c>
      <c r="O51" s="10">
        <v>7.399</v>
      </c>
      <c r="P51" s="10">
        <v>164.608</v>
      </c>
      <c r="Q51" s="10">
        <v>25.231999999999999</v>
      </c>
      <c r="R51" s="10">
        <v>2.601</v>
      </c>
      <c r="S51" s="10">
        <v>32.079000000000001</v>
      </c>
      <c r="T51" s="10">
        <v>19.228999999999999</v>
      </c>
      <c r="U51" s="10">
        <v>4.0330000000000004</v>
      </c>
      <c r="V51" s="10">
        <v>7.3999999999999996E-2</v>
      </c>
      <c r="W51" s="10">
        <v>0.255</v>
      </c>
      <c r="X51" s="10">
        <v>0.126</v>
      </c>
      <c r="Y51" s="10">
        <v>13.378</v>
      </c>
      <c r="Z51" s="10">
        <v>130.17400000000001</v>
      </c>
      <c r="AA51" s="10">
        <v>66.978999999999999</v>
      </c>
      <c r="AB51" s="10">
        <v>63.042999999999999</v>
      </c>
      <c r="AC51" s="10">
        <v>0.35399999999999998</v>
      </c>
      <c r="AD51" s="10">
        <v>0.25700000000000001</v>
      </c>
      <c r="AE51" s="10">
        <v>0.44600000000000001</v>
      </c>
      <c r="AF51" s="10">
        <v>0.53600000000000003</v>
      </c>
      <c r="AG51" s="10">
        <v>0.252</v>
      </c>
      <c r="AH51" s="10">
        <v>2.9790000000000001</v>
      </c>
      <c r="AI51" s="10">
        <v>9.8000000000000004E-2</v>
      </c>
      <c r="AJ51" s="10">
        <v>0.33700000000000002</v>
      </c>
      <c r="AK51" s="10">
        <v>153.43199999999999</v>
      </c>
      <c r="AL51" s="10">
        <v>171.18600000000001</v>
      </c>
      <c r="AM51" s="10">
        <v>704.87400000000002</v>
      </c>
      <c r="AN51" s="10">
        <v>40.182000000000002</v>
      </c>
      <c r="AO51" s="10">
        <v>4.867</v>
      </c>
      <c r="AP51" s="10">
        <v>131.108</v>
      </c>
      <c r="AQ51" s="10">
        <v>47.393000000000001</v>
      </c>
      <c r="AR51" s="10">
        <v>111.45099999999999</v>
      </c>
      <c r="AS51" s="10">
        <v>1.32</v>
      </c>
      <c r="AT51" s="10">
        <v>61.046999999999997</v>
      </c>
      <c r="AU51" s="10">
        <v>1.706</v>
      </c>
      <c r="AV51" s="10">
        <v>5368.2330000000002</v>
      </c>
      <c r="AW51" s="10">
        <v>73.335999999999999</v>
      </c>
      <c r="AX51" s="10">
        <v>33.537999999999997</v>
      </c>
      <c r="AY51" s="10">
        <v>41.908000000000001</v>
      </c>
      <c r="AZ51" s="10">
        <v>251.119</v>
      </c>
      <c r="BA51" s="10">
        <v>674.53599999999994</v>
      </c>
      <c r="BB51" s="10">
        <v>10.49</v>
      </c>
      <c r="BC51" s="10">
        <v>8.6289999999999996</v>
      </c>
      <c r="BD51" s="10">
        <v>13.303000000000001</v>
      </c>
      <c r="BE51" s="10">
        <v>4327.6779999999999</v>
      </c>
      <c r="BF51" s="10">
        <v>110.098</v>
      </c>
      <c r="BG51" s="10">
        <v>730.625</v>
      </c>
      <c r="BH51" s="10">
        <v>971.56500000000005</v>
      </c>
      <c r="BI51" s="10">
        <v>51.338999999999999</v>
      </c>
      <c r="BJ51" s="10">
        <v>1.2490000000000001</v>
      </c>
      <c r="BK51" s="10">
        <v>454.9</v>
      </c>
      <c r="BL51" s="10">
        <v>65.16</v>
      </c>
      <c r="BM51" s="10">
        <v>721.98099999999999</v>
      </c>
      <c r="BN51" s="10">
        <v>4.4340000000000002</v>
      </c>
      <c r="BO51" s="10">
        <v>150.02500000000001</v>
      </c>
      <c r="BP51" s="10">
        <v>22.603999999999999</v>
      </c>
      <c r="BQ51" s="10">
        <v>30.521999999999998</v>
      </c>
      <c r="BR51" s="10">
        <v>0.49099999999999999</v>
      </c>
      <c r="BS51" s="10">
        <v>3.161</v>
      </c>
      <c r="BT51" s="10">
        <v>5.8529999999999998</v>
      </c>
      <c r="BU51" s="10">
        <v>3.2530000000000001</v>
      </c>
      <c r="BV51" s="10">
        <v>46.694000000000003</v>
      </c>
      <c r="BW51" s="10">
        <v>199.554</v>
      </c>
      <c r="BX51" s="10">
        <v>6.8079999999999998</v>
      </c>
      <c r="BY51" s="10">
        <v>16.007000000000001</v>
      </c>
      <c r="BZ51" s="10">
        <v>69.838999999999999</v>
      </c>
      <c r="CA51" s="10">
        <v>87.231999999999999</v>
      </c>
      <c r="CB51" s="10">
        <v>0</v>
      </c>
      <c r="CC51" s="10">
        <v>420.25400000000002</v>
      </c>
      <c r="CD51" s="10">
        <v>28325.983</v>
      </c>
      <c r="CE51" s="10">
        <v>28286.267</v>
      </c>
      <c r="CF51" s="10">
        <v>10.442</v>
      </c>
      <c r="CG51" s="10">
        <v>83.042000000000002</v>
      </c>
      <c r="CH51" s="10">
        <v>0</v>
      </c>
      <c r="CI51" s="10">
        <v>3.331</v>
      </c>
      <c r="CJ51" s="10">
        <v>-57.098999999999997</v>
      </c>
      <c r="CK51" s="13" t="s">
        <v>94</v>
      </c>
    </row>
    <row r="52" spans="1:89" x14ac:dyDescent="0.3">
      <c r="A52" s="8" t="s">
        <v>139</v>
      </c>
      <c r="B52" s="11">
        <v>65406.046000000002</v>
      </c>
      <c r="C52" s="11">
        <v>65279.506999999998</v>
      </c>
      <c r="D52" s="11">
        <v>0.3</v>
      </c>
      <c r="E52" s="11">
        <v>0.52600000000000002</v>
      </c>
      <c r="F52" s="11">
        <v>7.0000000000000001E-3</v>
      </c>
      <c r="G52" s="11">
        <v>5.6529999999999996</v>
      </c>
      <c r="H52" s="11">
        <v>9.49</v>
      </c>
      <c r="I52" s="11">
        <v>0.32800000000000001</v>
      </c>
      <c r="J52" s="11">
        <v>55.886000000000003</v>
      </c>
      <c r="K52" s="11">
        <v>597.30100000000004</v>
      </c>
      <c r="L52" s="11">
        <v>1.2909999999999999</v>
      </c>
      <c r="M52" s="11">
        <v>51.134</v>
      </c>
      <c r="N52" s="11">
        <v>31.215</v>
      </c>
      <c r="O52" s="11">
        <v>46.72</v>
      </c>
      <c r="P52" s="11">
        <v>3200.89</v>
      </c>
      <c r="Q52" s="11">
        <v>802.899</v>
      </c>
      <c r="R52" s="11">
        <v>160.494</v>
      </c>
      <c r="S52" s="11">
        <v>86.76</v>
      </c>
      <c r="T52" s="11">
        <v>224.13</v>
      </c>
      <c r="U52" s="11">
        <v>67.492000000000004</v>
      </c>
      <c r="V52" s="11">
        <v>85.986000000000004</v>
      </c>
      <c r="W52" s="11">
        <v>459.45800000000003</v>
      </c>
      <c r="X52" s="11">
        <v>85.747</v>
      </c>
      <c r="Y52" s="11">
        <v>44.606999999999999</v>
      </c>
      <c r="Z52" s="11">
        <v>946.23900000000003</v>
      </c>
      <c r="AA52" s="11">
        <v>442.36399999999998</v>
      </c>
      <c r="AB52" s="11">
        <v>372.57499999999999</v>
      </c>
      <c r="AC52" s="11">
        <v>146.16300000000001</v>
      </c>
      <c r="AD52" s="11">
        <v>273.14800000000002</v>
      </c>
      <c r="AE52" s="11">
        <v>120.476</v>
      </c>
      <c r="AF52" s="11">
        <v>156.946</v>
      </c>
      <c r="AG52" s="11">
        <v>124.90600000000001</v>
      </c>
      <c r="AH52" s="11">
        <v>704.80399999999997</v>
      </c>
      <c r="AI52" s="11">
        <v>238.01499999999999</v>
      </c>
      <c r="AJ52" s="11">
        <v>141.15600000000001</v>
      </c>
      <c r="AK52" s="11">
        <v>23283.154999999999</v>
      </c>
      <c r="AL52" s="11">
        <v>21822.778999999999</v>
      </c>
      <c r="AM52" s="11">
        <v>0.13600000000000001</v>
      </c>
      <c r="AN52" s="11">
        <v>1.9E-2</v>
      </c>
      <c r="AO52" s="11">
        <v>2.9000000000000001E-2</v>
      </c>
      <c r="AP52" s="11">
        <v>17.151</v>
      </c>
      <c r="AQ52" s="11">
        <v>0.70399999999999996</v>
      </c>
      <c r="AR52" s="11">
        <v>1.7000000000000001E-2</v>
      </c>
      <c r="AS52" s="11">
        <v>1.9E-2</v>
      </c>
      <c r="AT52" s="11">
        <v>551.65800000000002</v>
      </c>
      <c r="AU52" s="11">
        <v>2E-3</v>
      </c>
      <c r="AV52" s="11">
        <v>1.1000000000000001</v>
      </c>
      <c r="AW52" s="11">
        <v>414.45299999999997</v>
      </c>
      <c r="AX52" s="11">
        <v>57.957999999999998</v>
      </c>
      <c r="AY52" s="11">
        <v>22.376000000000001</v>
      </c>
      <c r="AZ52" s="11">
        <v>1.9590000000000001</v>
      </c>
      <c r="BA52" s="11">
        <v>12.092000000000001</v>
      </c>
      <c r="BB52" s="11">
        <v>0.92800000000000005</v>
      </c>
      <c r="BC52" s="11">
        <v>5.0000000000000001E-3</v>
      </c>
      <c r="BD52" s="11">
        <v>8.9999999999999993E-3</v>
      </c>
      <c r="BE52" s="11">
        <v>2241.0430000000001</v>
      </c>
      <c r="BF52" s="11">
        <v>3.5000000000000003E-2</v>
      </c>
      <c r="BG52" s="11">
        <v>0.20399999999999999</v>
      </c>
      <c r="BH52" s="11">
        <v>337.87299999999999</v>
      </c>
      <c r="BI52" s="11">
        <v>113.083</v>
      </c>
      <c r="BJ52" s="11">
        <v>0.26100000000000001</v>
      </c>
      <c r="BK52" s="11">
        <v>1276.047</v>
      </c>
      <c r="BL52" s="11">
        <v>136.92400000000001</v>
      </c>
      <c r="BM52" s="11">
        <v>3169.1930000000002</v>
      </c>
      <c r="BN52" s="11">
        <v>9.0030000000000001</v>
      </c>
      <c r="BO52" s="11">
        <v>383.21899999999999</v>
      </c>
      <c r="BP52" s="11">
        <v>35.965000000000003</v>
      </c>
      <c r="BQ52" s="11">
        <v>829.63199999999995</v>
      </c>
      <c r="BR52" s="11">
        <v>0.82399999999999995</v>
      </c>
      <c r="BS52" s="11">
        <v>6.351</v>
      </c>
      <c r="BT52" s="11">
        <v>39.347000000000001</v>
      </c>
      <c r="BU52" s="11">
        <v>3.18</v>
      </c>
      <c r="BV52" s="11">
        <v>12.141</v>
      </c>
      <c r="BW52" s="11">
        <v>35.22</v>
      </c>
      <c r="BX52" s="11">
        <v>351.548</v>
      </c>
      <c r="BY52" s="11">
        <v>221.66499999999999</v>
      </c>
      <c r="BZ52" s="11">
        <v>91.832999999999998</v>
      </c>
      <c r="CA52" s="11">
        <v>69.266000000000005</v>
      </c>
      <c r="CB52" s="11">
        <v>0</v>
      </c>
      <c r="CC52" s="11">
        <v>43.994999999999997</v>
      </c>
      <c r="CD52" s="11">
        <v>126.539</v>
      </c>
      <c r="CE52" s="11">
        <v>87.475999999999999</v>
      </c>
      <c r="CF52" s="11">
        <v>12.81</v>
      </c>
      <c r="CG52" s="11">
        <v>45.814999999999998</v>
      </c>
      <c r="CH52" s="11">
        <v>0</v>
      </c>
      <c r="CI52" s="11">
        <v>8.5020000000000007</v>
      </c>
      <c r="CJ52" s="11">
        <v>-28.064</v>
      </c>
      <c r="CK52" s="12" t="s">
        <v>94</v>
      </c>
    </row>
    <row r="53" spans="1:89" x14ac:dyDescent="0.3">
      <c r="A53" s="7" t="s">
        <v>140</v>
      </c>
      <c r="B53" s="10">
        <v>32443.128000000001</v>
      </c>
      <c r="C53" s="10">
        <v>14410.572</v>
      </c>
      <c r="D53" s="10">
        <v>0.89400000000000002</v>
      </c>
      <c r="E53" s="10">
        <v>1.6140000000000001</v>
      </c>
      <c r="F53" s="10">
        <v>2.4E-2</v>
      </c>
      <c r="G53" s="10">
        <v>4.3999999999999997E-2</v>
      </c>
      <c r="H53" s="10">
        <v>1.7999999999999999E-2</v>
      </c>
      <c r="I53" s="10">
        <v>0.77500000000000002</v>
      </c>
      <c r="J53" s="10">
        <v>0.499</v>
      </c>
      <c r="K53" s="10">
        <v>0.249</v>
      </c>
      <c r="L53" s="10">
        <v>0.78</v>
      </c>
      <c r="M53" s="10">
        <v>7.0110000000000001</v>
      </c>
      <c r="N53" s="10">
        <v>31.541</v>
      </c>
      <c r="O53" s="10">
        <v>0.53700000000000003</v>
      </c>
      <c r="P53" s="10">
        <v>9.3699999999999992</v>
      </c>
      <c r="Q53" s="10">
        <v>0.79</v>
      </c>
      <c r="R53" s="10">
        <v>3.9409999999999998</v>
      </c>
      <c r="S53" s="10">
        <v>5.31</v>
      </c>
      <c r="T53" s="10">
        <v>26.047000000000001</v>
      </c>
      <c r="U53" s="10">
        <v>5.2060000000000004</v>
      </c>
      <c r="V53" s="10">
        <v>13.127000000000001</v>
      </c>
      <c r="W53" s="10">
        <v>120.723</v>
      </c>
      <c r="X53" s="10">
        <v>38.287999999999997</v>
      </c>
      <c r="Y53" s="10">
        <v>53.334000000000003</v>
      </c>
      <c r="Z53" s="10">
        <v>271.64800000000002</v>
      </c>
      <c r="AA53" s="10">
        <v>116.718</v>
      </c>
      <c r="AB53" s="10">
        <v>94.986999999999995</v>
      </c>
      <c r="AC53" s="10">
        <v>414.46199999999999</v>
      </c>
      <c r="AD53" s="10">
        <v>160.827</v>
      </c>
      <c r="AE53" s="10">
        <v>164.34399999999999</v>
      </c>
      <c r="AF53" s="10">
        <v>198.21</v>
      </c>
      <c r="AG53" s="10">
        <v>103.02500000000001</v>
      </c>
      <c r="AH53" s="10">
        <v>2065.94</v>
      </c>
      <c r="AI53" s="10">
        <v>15.532</v>
      </c>
      <c r="AJ53" s="10">
        <v>24.486000000000001</v>
      </c>
      <c r="AK53" s="10">
        <v>969.60799999999995</v>
      </c>
      <c r="AL53" s="10">
        <v>959.49</v>
      </c>
      <c r="AM53" s="10">
        <v>0.48599999999999999</v>
      </c>
      <c r="AN53" s="10">
        <v>8.1000000000000003E-2</v>
      </c>
      <c r="AO53" s="10">
        <v>4.3999999999999997E-2</v>
      </c>
      <c r="AP53" s="10">
        <v>1.002</v>
      </c>
      <c r="AQ53" s="10">
        <v>0.81100000000000005</v>
      </c>
      <c r="AR53" s="10">
        <v>7.1999999999999995E-2</v>
      </c>
      <c r="AS53" s="10">
        <v>6.0000000000000001E-3</v>
      </c>
      <c r="AT53" s="10">
        <v>0.57699999999999996</v>
      </c>
      <c r="AU53" s="10">
        <v>2.1000000000000001E-2</v>
      </c>
      <c r="AV53" s="10">
        <v>8.6999999999999994E-2</v>
      </c>
      <c r="AW53" s="10">
        <v>0.215</v>
      </c>
      <c r="AX53" s="10">
        <v>1428.1980000000001</v>
      </c>
      <c r="AY53" s="10">
        <v>28.512</v>
      </c>
      <c r="AZ53" s="10">
        <v>26.638999999999999</v>
      </c>
      <c r="BA53" s="10">
        <v>1.0589999999999999</v>
      </c>
      <c r="BB53" s="10">
        <v>1.4E-2</v>
      </c>
      <c r="BC53" s="10">
        <v>0.23599999999999999</v>
      </c>
      <c r="BD53" s="10">
        <v>0.57199999999999995</v>
      </c>
      <c r="BE53" s="10">
        <v>309.93900000000002</v>
      </c>
      <c r="BF53" s="10">
        <v>5.8380000000000001</v>
      </c>
      <c r="BG53" s="10">
        <v>10.69</v>
      </c>
      <c r="BH53" s="10">
        <v>21.702999999999999</v>
      </c>
      <c r="BI53" s="10">
        <v>0.26500000000000001</v>
      </c>
      <c r="BJ53" s="10">
        <v>7.0000000000000001E-3</v>
      </c>
      <c r="BK53" s="10">
        <v>181.404</v>
      </c>
      <c r="BL53" s="10">
        <v>217.68600000000001</v>
      </c>
      <c r="BM53" s="10">
        <v>1009.997</v>
      </c>
      <c r="BN53" s="10">
        <v>1.7190000000000001</v>
      </c>
      <c r="BO53" s="10">
        <v>1737.038</v>
      </c>
      <c r="BP53" s="10">
        <v>76.861999999999995</v>
      </c>
      <c r="BQ53" s="10">
        <v>76.215999999999994</v>
      </c>
      <c r="BR53" s="10">
        <v>1.175</v>
      </c>
      <c r="BS53" s="10">
        <v>3.254</v>
      </c>
      <c r="BT53" s="10">
        <v>53.207000000000001</v>
      </c>
      <c r="BU53" s="10">
        <v>37.598999999999997</v>
      </c>
      <c r="BV53" s="10">
        <v>69.876999999999995</v>
      </c>
      <c r="BW53" s="10">
        <v>251.68100000000001</v>
      </c>
      <c r="BX53" s="10">
        <v>5.28</v>
      </c>
      <c r="BY53" s="10">
        <v>5.6349999999999998</v>
      </c>
      <c r="BZ53" s="10">
        <v>58.173999999999999</v>
      </c>
      <c r="CA53" s="10">
        <v>168.60900000000001</v>
      </c>
      <c r="CB53" s="10">
        <v>0</v>
      </c>
      <c r="CC53" s="10">
        <v>2738.6860000000001</v>
      </c>
      <c r="CD53" s="10">
        <v>18032.556</v>
      </c>
      <c r="CE53" s="10">
        <v>12745.039000000001</v>
      </c>
      <c r="CF53" s="10">
        <v>0.184</v>
      </c>
      <c r="CG53" s="10">
        <v>14458.002</v>
      </c>
      <c r="CH53" s="10">
        <v>0</v>
      </c>
      <c r="CI53" s="10">
        <v>143.16900000000001</v>
      </c>
      <c r="CJ53" s="10">
        <v>-9313.8379999999997</v>
      </c>
      <c r="CK53" s="13" t="s">
        <v>94</v>
      </c>
    </row>
    <row r="54" spans="1:89" x14ac:dyDescent="0.3">
      <c r="A54" s="8" t="s">
        <v>141</v>
      </c>
      <c r="B54" s="11">
        <v>70590.353000000003</v>
      </c>
      <c r="C54" s="11">
        <v>17598.145</v>
      </c>
      <c r="D54" s="11">
        <v>0.36599999999999999</v>
      </c>
      <c r="E54" s="11">
        <v>0.66800000000000004</v>
      </c>
      <c r="F54" s="11">
        <v>1.0999999999999999E-2</v>
      </c>
      <c r="G54" s="11">
        <v>1.7999999999999999E-2</v>
      </c>
      <c r="H54" s="11">
        <v>8.0000000000000002E-3</v>
      </c>
      <c r="I54" s="11">
        <v>0.34399999999999997</v>
      </c>
      <c r="J54" s="11">
        <v>0.27200000000000002</v>
      </c>
      <c r="K54" s="11">
        <v>0.08</v>
      </c>
      <c r="L54" s="11">
        <v>0.28399999999999997</v>
      </c>
      <c r="M54" s="11">
        <v>2.96</v>
      </c>
      <c r="N54" s="11">
        <v>12.154999999999999</v>
      </c>
      <c r="O54" s="11">
        <v>0.22</v>
      </c>
      <c r="P54" s="11">
        <v>3.0310000000000001</v>
      </c>
      <c r="Q54" s="11">
        <v>0.29599999999999999</v>
      </c>
      <c r="R54" s="11">
        <v>7.8E-2</v>
      </c>
      <c r="S54" s="11">
        <v>5.7000000000000002E-2</v>
      </c>
      <c r="T54" s="11">
        <v>0.13</v>
      </c>
      <c r="U54" s="11">
        <v>7.4999999999999997E-2</v>
      </c>
      <c r="V54" s="11">
        <v>8.6999999999999994E-2</v>
      </c>
      <c r="W54" s="11">
        <v>0.497</v>
      </c>
      <c r="X54" s="11">
        <v>0.115</v>
      </c>
      <c r="Y54" s="11">
        <v>0.53600000000000003</v>
      </c>
      <c r="Z54" s="11">
        <v>1.452</v>
      </c>
      <c r="AA54" s="11">
        <v>0.79500000000000004</v>
      </c>
      <c r="AB54" s="11">
        <v>0.45100000000000001</v>
      </c>
      <c r="AC54" s="11">
        <v>1.0309999999999999</v>
      </c>
      <c r="AD54" s="11">
        <v>0.70499999999999996</v>
      </c>
      <c r="AE54" s="11">
        <v>0.91900000000000004</v>
      </c>
      <c r="AF54" s="11">
        <v>1.0089999999999999</v>
      </c>
      <c r="AG54" s="11">
        <v>0.61</v>
      </c>
      <c r="AH54" s="11">
        <v>7.6289999999999996</v>
      </c>
      <c r="AI54" s="11">
        <v>0.16900000000000001</v>
      </c>
      <c r="AJ54" s="11">
        <v>0.253</v>
      </c>
      <c r="AK54" s="11">
        <v>2.2330000000000001</v>
      </c>
      <c r="AL54" s="11">
        <v>6.8529999999999998</v>
      </c>
      <c r="AM54" s="11">
        <v>0.23300000000000001</v>
      </c>
      <c r="AN54" s="11">
        <v>4.1000000000000002E-2</v>
      </c>
      <c r="AO54" s="11">
        <v>2.3E-2</v>
      </c>
      <c r="AP54" s="11">
        <v>0.36399999999999999</v>
      </c>
      <c r="AQ54" s="11">
        <v>0.27600000000000002</v>
      </c>
      <c r="AR54" s="11">
        <v>1.0999999999999999E-2</v>
      </c>
      <c r="AS54" s="11">
        <v>1E-3</v>
      </c>
      <c r="AT54" s="11">
        <v>0.17599999999999999</v>
      </c>
      <c r="AU54" s="11">
        <v>0</v>
      </c>
      <c r="AV54" s="11">
        <v>3.3000000000000002E-2</v>
      </c>
      <c r="AW54" s="11">
        <v>1.9E-2</v>
      </c>
      <c r="AX54" s="11">
        <v>4.7E-2</v>
      </c>
      <c r="AY54" s="11">
        <v>5720.7740000000003</v>
      </c>
      <c r="AZ54" s="11">
        <v>5556.384</v>
      </c>
      <c r="BA54" s="11">
        <v>3968.53</v>
      </c>
      <c r="BB54" s="11">
        <v>4.0000000000000001E-3</v>
      </c>
      <c r="BC54" s="11">
        <v>1E-3</v>
      </c>
      <c r="BD54" s="11">
        <v>1.2E-2</v>
      </c>
      <c r="BE54" s="11">
        <v>1.1060000000000001</v>
      </c>
      <c r="BF54" s="11">
        <v>0.01</v>
      </c>
      <c r="BG54" s="11">
        <v>0.01</v>
      </c>
      <c r="BH54" s="11">
        <v>0.28100000000000003</v>
      </c>
      <c r="BI54" s="11">
        <v>0.105</v>
      </c>
      <c r="BJ54" s="11">
        <v>6.0000000000000001E-3</v>
      </c>
      <c r="BK54" s="11">
        <v>0.23300000000000001</v>
      </c>
      <c r="BL54" s="11">
        <v>35.473999999999997</v>
      </c>
      <c r="BM54" s="11">
        <v>0.34300000000000003</v>
      </c>
      <c r="BN54" s="11">
        <v>1.6E-2</v>
      </c>
      <c r="BO54" s="11">
        <v>36.375</v>
      </c>
      <c r="BP54" s="11">
        <v>9.9510000000000005</v>
      </c>
      <c r="BQ54" s="11">
        <v>88.722999999999999</v>
      </c>
      <c r="BR54" s="11">
        <v>3.0000000000000001E-3</v>
      </c>
      <c r="BS54" s="11">
        <v>2.5000000000000001E-2</v>
      </c>
      <c r="BT54" s="11">
        <v>85.259</v>
      </c>
      <c r="BU54" s="11">
        <v>50.189</v>
      </c>
      <c r="BV54" s="11">
        <v>289.17200000000003</v>
      </c>
      <c r="BW54" s="11">
        <v>632.82899999999995</v>
      </c>
      <c r="BX54" s="11">
        <v>437.75200000000001</v>
      </c>
      <c r="BY54" s="11">
        <v>14.084</v>
      </c>
      <c r="BZ54" s="11">
        <v>147.74199999999999</v>
      </c>
      <c r="CA54" s="11">
        <v>5.0110000000000001</v>
      </c>
      <c r="CB54" s="11">
        <v>0</v>
      </c>
      <c r="CC54" s="11">
        <v>470.12</v>
      </c>
      <c r="CD54" s="11">
        <v>52992.207999999999</v>
      </c>
      <c r="CE54" s="11">
        <v>52746.915000000001</v>
      </c>
      <c r="CF54" s="11">
        <v>583.86400000000003</v>
      </c>
      <c r="CG54" s="11">
        <v>572.94100000000003</v>
      </c>
      <c r="CH54" s="11">
        <v>0</v>
      </c>
      <c r="CI54" s="11">
        <v>18.420999999999999</v>
      </c>
      <c r="CJ54" s="11">
        <v>-929.93299999999999</v>
      </c>
      <c r="CK54" s="12" t="s">
        <v>94</v>
      </c>
    </row>
    <row r="55" spans="1:89" x14ac:dyDescent="0.3">
      <c r="A55" s="7" t="s">
        <v>142</v>
      </c>
      <c r="B55" s="10">
        <v>90550.338000000003</v>
      </c>
      <c r="C55" s="10">
        <v>22292.773000000001</v>
      </c>
      <c r="D55" s="10">
        <v>0.01</v>
      </c>
      <c r="E55" s="10">
        <v>1.4E-2</v>
      </c>
      <c r="F55" s="10">
        <v>0</v>
      </c>
      <c r="G55" s="10">
        <v>0</v>
      </c>
      <c r="H55" s="10">
        <v>1.4999999999999999E-2</v>
      </c>
      <c r="I55" s="10">
        <v>2.5510000000000002</v>
      </c>
      <c r="J55" s="10">
        <v>1.7909999999999999</v>
      </c>
      <c r="K55" s="10">
        <v>0.51300000000000001</v>
      </c>
      <c r="L55" s="10">
        <v>0.57999999999999996</v>
      </c>
      <c r="M55" s="10">
        <v>9.8000000000000004E-2</v>
      </c>
      <c r="N55" s="10">
        <v>0.113</v>
      </c>
      <c r="O55" s="10">
        <v>6.7000000000000004E-2</v>
      </c>
      <c r="P55" s="10">
        <v>1938.972</v>
      </c>
      <c r="Q55" s="10">
        <v>387.75900000000001</v>
      </c>
      <c r="R55" s="10">
        <v>0.183</v>
      </c>
      <c r="S55" s="10">
        <v>1.7000000000000001E-2</v>
      </c>
      <c r="T55" s="10">
        <v>0.51400000000000001</v>
      </c>
      <c r="U55" s="10">
        <v>0.11700000000000001</v>
      </c>
      <c r="V55" s="10">
        <v>3.0000000000000001E-3</v>
      </c>
      <c r="W55" s="10">
        <v>4.2510000000000003</v>
      </c>
      <c r="X55" s="10">
        <v>0.129</v>
      </c>
      <c r="Y55" s="10">
        <v>0.28199999999999997</v>
      </c>
      <c r="Z55" s="10">
        <v>4.1760000000000002</v>
      </c>
      <c r="AA55" s="10">
        <v>5.3639999999999999</v>
      </c>
      <c r="AB55" s="10">
        <v>0.69599999999999995</v>
      </c>
      <c r="AC55" s="10">
        <v>0.51100000000000001</v>
      </c>
      <c r="AD55" s="10">
        <v>3.7389999999999999</v>
      </c>
      <c r="AE55" s="10">
        <v>10.867000000000001</v>
      </c>
      <c r="AF55" s="10">
        <v>0.121</v>
      </c>
      <c r="AG55" s="10">
        <v>4.1509999999999998</v>
      </c>
      <c r="AH55" s="10">
        <v>106.023</v>
      </c>
      <c r="AI55" s="10">
        <v>0.128</v>
      </c>
      <c r="AJ55" s="10">
        <v>4.2000000000000003E-2</v>
      </c>
      <c r="AK55" s="10">
        <v>101.09</v>
      </c>
      <c r="AL55" s="10">
        <v>358.02800000000002</v>
      </c>
      <c r="AM55" s="10">
        <v>976.29899999999998</v>
      </c>
      <c r="AN55" s="10">
        <v>27.683</v>
      </c>
      <c r="AO55" s="10">
        <v>8.7260000000000009</v>
      </c>
      <c r="AP55" s="10">
        <v>125.071</v>
      </c>
      <c r="AQ55" s="10">
        <v>304.57299999999998</v>
      </c>
      <c r="AR55" s="10">
        <v>3.3010000000000002</v>
      </c>
      <c r="AS55" s="10">
        <v>7.7220000000000004</v>
      </c>
      <c r="AT55" s="10">
        <v>142.90199999999999</v>
      </c>
      <c r="AU55" s="10">
        <v>4.3869999999999996</v>
      </c>
      <c r="AV55" s="10">
        <v>170.78700000000001</v>
      </c>
      <c r="AW55" s="10">
        <v>300.39</v>
      </c>
      <c r="AX55" s="10">
        <v>284.85599999999999</v>
      </c>
      <c r="AY55" s="10">
        <v>1200.6279999999999</v>
      </c>
      <c r="AZ55" s="10">
        <v>3951.2620000000002</v>
      </c>
      <c r="BA55" s="10">
        <v>3859.5079999999998</v>
      </c>
      <c r="BB55" s="10">
        <v>6.665</v>
      </c>
      <c r="BC55" s="10">
        <v>47.767000000000003</v>
      </c>
      <c r="BD55" s="10">
        <v>0</v>
      </c>
      <c r="BE55" s="10">
        <v>92.756</v>
      </c>
      <c r="BF55" s="10">
        <v>15.756</v>
      </c>
      <c r="BG55" s="10">
        <v>0.17599999999999999</v>
      </c>
      <c r="BH55" s="10">
        <v>3584.2269999999999</v>
      </c>
      <c r="BI55" s="10">
        <v>164.953</v>
      </c>
      <c r="BJ55" s="10">
        <v>24.221</v>
      </c>
      <c r="BK55" s="10">
        <v>1345.5740000000001</v>
      </c>
      <c r="BL55" s="10">
        <v>1E-3</v>
      </c>
      <c r="BM55" s="10">
        <v>26.238</v>
      </c>
      <c r="BN55" s="10">
        <v>1E-3</v>
      </c>
      <c r="BO55" s="10">
        <v>3.6859999999999999</v>
      </c>
      <c r="BP55" s="10">
        <v>2.2749999999999999</v>
      </c>
      <c r="BQ55" s="10">
        <v>5.0720000000000001</v>
      </c>
      <c r="BR55" s="10">
        <v>1E-3</v>
      </c>
      <c r="BS55" s="10">
        <v>1.7999999999999999E-2</v>
      </c>
      <c r="BT55" s="10">
        <v>17.922999999999998</v>
      </c>
      <c r="BU55" s="10">
        <v>10.301</v>
      </c>
      <c r="BV55" s="10">
        <v>56.985999999999997</v>
      </c>
      <c r="BW55" s="10">
        <v>1618.723</v>
      </c>
      <c r="BX55" s="10">
        <v>80.441000000000003</v>
      </c>
      <c r="BY55" s="10">
        <v>2.294</v>
      </c>
      <c r="BZ55" s="10">
        <v>25.809000000000001</v>
      </c>
      <c r="CA55" s="10">
        <v>19.785</v>
      </c>
      <c r="CB55" s="10">
        <v>0</v>
      </c>
      <c r="CC55" s="10">
        <v>840.11400000000003</v>
      </c>
      <c r="CD55" s="10">
        <v>68257.565000000002</v>
      </c>
      <c r="CE55" s="10">
        <v>56955.909</v>
      </c>
      <c r="CF55" s="10">
        <v>91.745999999999995</v>
      </c>
      <c r="CG55" s="10">
        <v>2623.6419999999998</v>
      </c>
      <c r="CH55" s="10">
        <v>0</v>
      </c>
      <c r="CI55" s="10">
        <v>12214.425999999999</v>
      </c>
      <c r="CJ55" s="10">
        <v>-3628.1579999999999</v>
      </c>
      <c r="CK55" s="13" t="s">
        <v>94</v>
      </c>
    </row>
    <row r="56" spans="1:89" x14ac:dyDescent="0.3">
      <c r="A56" s="8" t="s">
        <v>143</v>
      </c>
      <c r="B56" s="11">
        <v>456700.01400000002</v>
      </c>
      <c r="C56" s="11">
        <v>136726.81400000001</v>
      </c>
      <c r="D56" s="11">
        <v>6.0069999999999997</v>
      </c>
      <c r="E56" s="11">
        <v>30.875</v>
      </c>
      <c r="F56" s="11">
        <v>122.36499999999999</v>
      </c>
      <c r="G56" s="11">
        <v>84.203000000000003</v>
      </c>
      <c r="H56" s="11">
        <v>41.136000000000003</v>
      </c>
      <c r="I56" s="11">
        <v>6367.34</v>
      </c>
      <c r="J56" s="11">
        <v>460.99799999999999</v>
      </c>
      <c r="K56" s="11">
        <v>709.17</v>
      </c>
      <c r="L56" s="11">
        <v>460.92500000000001</v>
      </c>
      <c r="M56" s="11">
        <v>3018.2489999999998</v>
      </c>
      <c r="N56" s="11">
        <v>1208.5809999999999</v>
      </c>
      <c r="O56" s="11">
        <v>734.06200000000001</v>
      </c>
      <c r="P56" s="11">
        <v>2408.8330000000001</v>
      </c>
      <c r="Q56" s="11">
        <v>227.69200000000001</v>
      </c>
      <c r="R56" s="11">
        <v>36.073</v>
      </c>
      <c r="S56" s="11">
        <v>98.613</v>
      </c>
      <c r="T56" s="11">
        <v>317.38299999999998</v>
      </c>
      <c r="U56" s="11">
        <v>59.401000000000003</v>
      </c>
      <c r="V56" s="11">
        <v>114.82899999999999</v>
      </c>
      <c r="W56" s="11">
        <v>392.05700000000002</v>
      </c>
      <c r="X56" s="11">
        <v>268.17</v>
      </c>
      <c r="Y56" s="11">
        <v>118.27500000000001</v>
      </c>
      <c r="Z56" s="11">
        <v>1098.221</v>
      </c>
      <c r="AA56" s="11">
        <v>562.53</v>
      </c>
      <c r="AB56" s="11">
        <v>580.89200000000005</v>
      </c>
      <c r="AC56" s="11">
        <v>821.72199999999998</v>
      </c>
      <c r="AD56" s="11">
        <v>541.40700000000004</v>
      </c>
      <c r="AE56" s="11">
        <v>652.61500000000001</v>
      </c>
      <c r="AF56" s="11">
        <v>760.23699999999997</v>
      </c>
      <c r="AG56" s="11">
        <v>210.636</v>
      </c>
      <c r="AH56" s="11">
        <v>2468.0030000000002</v>
      </c>
      <c r="AI56" s="11">
        <v>190.93899999999999</v>
      </c>
      <c r="AJ56" s="11">
        <v>242.29300000000001</v>
      </c>
      <c r="AK56" s="11">
        <v>17545.493999999999</v>
      </c>
      <c r="AL56" s="11">
        <v>13372.083000000001</v>
      </c>
      <c r="AM56" s="11">
        <v>3800.2440000000001</v>
      </c>
      <c r="AN56" s="11">
        <v>329.34899999999999</v>
      </c>
      <c r="AO56" s="11">
        <v>74.569999999999993</v>
      </c>
      <c r="AP56" s="11">
        <v>792.57</v>
      </c>
      <c r="AQ56" s="11">
        <v>862.86800000000005</v>
      </c>
      <c r="AR56" s="11">
        <v>913.06799999999998</v>
      </c>
      <c r="AS56" s="11">
        <v>13.087999999999999</v>
      </c>
      <c r="AT56" s="11">
        <v>522.66</v>
      </c>
      <c r="AU56" s="11">
        <v>13.882</v>
      </c>
      <c r="AV56" s="11">
        <v>132.82</v>
      </c>
      <c r="AW56" s="11">
        <v>607.48199999999997</v>
      </c>
      <c r="AX56" s="11">
        <v>276.11799999999999</v>
      </c>
      <c r="AY56" s="11">
        <v>362.87</v>
      </c>
      <c r="AZ56" s="11">
        <v>2154.6930000000002</v>
      </c>
      <c r="BA56" s="11">
        <v>3884.0259999999998</v>
      </c>
      <c r="BB56" s="11">
        <v>85.588999999999999</v>
      </c>
      <c r="BC56" s="11">
        <v>100.999</v>
      </c>
      <c r="BD56" s="11">
        <v>287.69400000000002</v>
      </c>
      <c r="BE56" s="11">
        <v>3039.5329999999999</v>
      </c>
      <c r="BF56" s="11">
        <v>1156.8340000000001</v>
      </c>
      <c r="BG56" s="11">
        <v>1448.7650000000001</v>
      </c>
      <c r="BH56" s="11">
        <v>6762.942</v>
      </c>
      <c r="BI56" s="11">
        <v>463.43599999999998</v>
      </c>
      <c r="BJ56" s="11">
        <v>10.193</v>
      </c>
      <c r="BK56" s="11">
        <v>4579.6170000000002</v>
      </c>
      <c r="BL56" s="11">
        <v>8791.0910000000003</v>
      </c>
      <c r="BM56" s="11">
        <v>10432.4</v>
      </c>
      <c r="BN56" s="11">
        <v>76.644999999999996</v>
      </c>
      <c r="BO56" s="11">
        <v>3456.3429999999998</v>
      </c>
      <c r="BP56" s="11">
        <v>1183.71</v>
      </c>
      <c r="BQ56" s="11">
        <v>1033.749</v>
      </c>
      <c r="BR56" s="11">
        <v>28.541</v>
      </c>
      <c r="BS56" s="11">
        <v>61.536999999999999</v>
      </c>
      <c r="BT56" s="11">
        <v>145.32499999999999</v>
      </c>
      <c r="BU56" s="11">
        <v>88.575000000000003</v>
      </c>
      <c r="BV56" s="11">
        <v>756.245</v>
      </c>
      <c r="BW56" s="11">
        <v>2638.5859999999998</v>
      </c>
      <c r="BX56" s="11">
        <v>726.32399999999996</v>
      </c>
      <c r="BY56" s="11">
        <v>762.09699999999998</v>
      </c>
      <c r="BZ56" s="11">
        <v>1192.5550000000001</v>
      </c>
      <c r="CA56" s="11">
        <v>289.733</v>
      </c>
      <c r="CB56" s="11">
        <v>0</v>
      </c>
      <c r="CC56" s="11">
        <v>16055.138999999999</v>
      </c>
      <c r="CD56" s="11">
        <v>319973.2</v>
      </c>
      <c r="CE56" s="11">
        <v>329470.74300000002</v>
      </c>
      <c r="CF56" s="11">
        <v>1.865</v>
      </c>
      <c r="CG56" s="11">
        <v>3097.6480000000001</v>
      </c>
      <c r="CH56" s="11">
        <v>0</v>
      </c>
      <c r="CI56" s="11">
        <v>12983.814</v>
      </c>
      <c r="CJ56" s="11">
        <v>-25580.87</v>
      </c>
      <c r="CK56" s="12" t="s">
        <v>94</v>
      </c>
    </row>
    <row r="57" spans="1:89" x14ac:dyDescent="0.3">
      <c r="A57" s="7" t="s">
        <v>144</v>
      </c>
      <c r="B57" s="10">
        <v>13472.011</v>
      </c>
      <c r="C57" s="10">
        <v>11276.013000000001</v>
      </c>
      <c r="D57" s="10">
        <v>0.2</v>
      </c>
      <c r="E57" s="10">
        <v>0.35399999999999998</v>
      </c>
      <c r="F57" s="10">
        <v>1.2999999999999999E-2</v>
      </c>
      <c r="G57" s="10">
        <v>1.4999999999999999E-2</v>
      </c>
      <c r="H57" s="10">
        <v>6.0000000000000001E-3</v>
      </c>
      <c r="I57" s="10">
        <v>0.60799999999999998</v>
      </c>
      <c r="J57" s="10">
        <v>0.104</v>
      </c>
      <c r="K57" s="10">
        <v>8.1000000000000003E-2</v>
      </c>
      <c r="L57" s="10">
        <v>0.16200000000000001</v>
      </c>
      <c r="M57" s="10">
        <v>1.7410000000000001</v>
      </c>
      <c r="N57" s="10">
        <v>21.783000000000001</v>
      </c>
      <c r="O57" s="10">
        <v>0.16500000000000001</v>
      </c>
      <c r="P57" s="10">
        <v>39.530999999999999</v>
      </c>
      <c r="Q57" s="10">
        <v>6</v>
      </c>
      <c r="R57" s="10">
        <v>0.64100000000000001</v>
      </c>
      <c r="S57" s="10">
        <v>1.5620000000000001</v>
      </c>
      <c r="T57" s="10">
        <v>4.5110000000000001</v>
      </c>
      <c r="U57" s="10">
        <v>0.97099999999999997</v>
      </c>
      <c r="V57" s="10">
        <v>3.0019999999999998</v>
      </c>
      <c r="W57" s="10">
        <v>17.207999999999998</v>
      </c>
      <c r="X57" s="10">
        <v>13.971</v>
      </c>
      <c r="Y57" s="10">
        <v>3.3860000000000001</v>
      </c>
      <c r="Z57" s="10">
        <v>30.927</v>
      </c>
      <c r="AA57" s="10">
        <v>15.855</v>
      </c>
      <c r="AB57" s="10">
        <v>14.856999999999999</v>
      </c>
      <c r="AC57" s="10">
        <v>41.805999999999997</v>
      </c>
      <c r="AD57" s="10">
        <v>20.99</v>
      </c>
      <c r="AE57" s="10">
        <v>33.841999999999999</v>
      </c>
      <c r="AF57" s="10">
        <v>42.652000000000001</v>
      </c>
      <c r="AG57" s="10">
        <v>12.516</v>
      </c>
      <c r="AH57" s="10">
        <v>138.49299999999999</v>
      </c>
      <c r="AI57" s="10">
        <v>3.8330000000000002</v>
      </c>
      <c r="AJ57" s="10">
        <v>4.6989999999999998</v>
      </c>
      <c r="AK57" s="10">
        <v>710.572</v>
      </c>
      <c r="AL57" s="10">
        <v>670.84900000000005</v>
      </c>
      <c r="AM57" s="10">
        <v>163.55699999999999</v>
      </c>
      <c r="AN57" s="10">
        <v>9.3330000000000002</v>
      </c>
      <c r="AO57" s="10">
        <v>1.6379999999999999</v>
      </c>
      <c r="AP57" s="10">
        <v>23.14</v>
      </c>
      <c r="AQ57" s="10">
        <v>9.8810000000000002</v>
      </c>
      <c r="AR57" s="10">
        <v>25.876999999999999</v>
      </c>
      <c r="AS57" s="10">
        <v>0.29799999999999999</v>
      </c>
      <c r="AT57" s="10">
        <v>14.2</v>
      </c>
      <c r="AU57" s="10">
        <v>0.39300000000000002</v>
      </c>
      <c r="AV57" s="10">
        <v>3.746</v>
      </c>
      <c r="AW57" s="10">
        <v>17.077000000000002</v>
      </c>
      <c r="AX57" s="10">
        <v>18.277999999999999</v>
      </c>
      <c r="AY57" s="10">
        <v>17.484999999999999</v>
      </c>
      <c r="AZ57" s="10">
        <v>64.180999999999997</v>
      </c>
      <c r="BA57" s="10">
        <v>156.47800000000001</v>
      </c>
      <c r="BB57" s="10">
        <v>2.4350000000000001</v>
      </c>
      <c r="BC57" s="10">
        <v>2.1560000000000001</v>
      </c>
      <c r="BD57" s="10">
        <v>9.484</v>
      </c>
      <c r="BE57" s="10">
        <v>1846.2449999999999</v>
      </c>
      <c r="BF57" s="10">
        <v>21.72</v>
      </c>
      <c r="BG57" s="10">
        <v>496.91300000000001</v>
      </c>
      <c r="BH57" s="10">
        <v>254.95</v>
      </c>
      <c r="BI57" s="10">
        <v>11.920999999999999</v>
      </c>
      <c r="BJ57" s="10">
        <v>0.28899999999999998</v>
      </c>
      <c r="BK57" s="10">
        <v>147.85599999999999</v>
      </c>
      <c r="BL57" s="10">
        <v>11.122999999999999</v>
      </c>
      <c r="BM57" s="10">
        <v>251.453</v>
      </c>
      <c r="BN57" s="10">
        <v>1.548</v>
      </c>
      <c r="BO57" s="10">
        <v>1119.55</v>
      </c>
      <c r="BP57" s="10">
        <v>36.591999999999999</v>
      </c>
      <c r="BQ57" s="10">
        <v>137.85</v>
      </c>
      <c r="BR57" s="10">
        <v>4.2000000000000003E-2</v>
      </c>
      <c r="BS57" s="10">
        <v>0.69899999999999995</v>
      </c>
      <c r="BT57" s="10">
        <v>2.8220000000000001</v>
      </c>
      <c r="BU57" s="10">
        <v>10.462</v>
      </c>
      <c r="BV57" s="10">
        <v>42.046999999999997</v>
      </c>
      <c r="BW57" s="10">
        <v>69.495000000000005</v>
      </c>
      <c r="BX57" s="10">
        <v>2.302</v>
      </c>
      <c r="BY57" s="10">
        <v>5.41</v>
      </c>
      <c r="BZ57" s="10">
        <v>49.914000000000001</v>
      </c>
      <c r="CA57" s="10">
        <v>343.90899999999999</v>
      </c>
      <c r="CB57" s="10">
        <v>0</v>
      </c>
      <c r="CC57" s="10">
        <v>4013.3580000000002</v>
      </c>
      <c r="CD57" s="10">
        <v>2195.998</v>
      </c>
      <c r="CE57" s="10">
        <v>857.60799999999995</v>
      </c>
      <c r="CF57" s="10">
        <v>1.1279999999999999</v>
      </c>
      <c r="CG57" s="10">
        <v>3586.8229999999999</v>
      </c>
      <c r="CH57" s="10">
        <v>0</v>
      </c>
      <c r="CI57" s="10">
        <v>2933.0070000000001</v>
      </c>
      <c r="CJ57" s="10">
        <v>-5182.5680000000002</v>
      </c>
      <c r="CK57" s="13" t="s">
        <v>94</v>
      </c>
    </row>
    <row r="58" spans="1:89" x14ac:dyDescent="0.3">
      <c r="A58" s="8" t="s">
        <v>145</v>
      </c>
      <c r="B58" s="11">
        <v>2915.1190000000001</v>
      </c>
      <c r="C58" s="11">
        <v>2163.6590000000001</v>
      </c>
      <c r="D58" s="11">
        <v>6.0000000000000001E-3</v>
      </c>
      <c r="E58" s="11">
        <v>1.0999999999999999E-2</v>
      </c>
      <c r="F58" s="11">
        <v>0</v>
      </c>
      <c r="G58" s="11">
        <v>0</v>
      </c>
      <c r="H58" s="11">
        <v>0.34100000000000003</v>
      </c>
      <c r="I58" s="11">
        <v>5.0000000000000001E-3</v>
      </c>
      <c r="J58" s="11">
        <v>7.0000000000000001E-3</v>
      </c>
      <c r="K58" s="11">
        <v>1E-3</v>
      </c>
      <c r="L58" s="11">
        <v>5.0000000000000001E-3</v>
      </c>
      <c r="M58" s="11">
        <v>9.2999999999999999E-2</v>
      </c>
      <c r="N58" s="11">
        <v>0.35599999999999998</v>
      </c>
      <c r="O58" s="11">
        <v>3.0000000000000001E-3</v>
      </c>
      <c r="P58" s="11">
        <v>170.09299999999999</v>
      </c>
      <c r="Q58" s="11">
        <v>10.89</v>
      </c>
      <c r="R58" s="11">
        <v>0.16400000000000001</v>
      </c>
      <c r="S58" s="11">
        <v>4.1500000000000004</v>
      </c>
      <c r="T58" s="11">
        <v>2.68</v>
      </c>
      <c r="U58" s="11">
        <v>0.89</v>
      </c>
      <c r="V58" s="11">
        <v>0.183</v>
      </c>
      <c r="W58" s="11">
        <v>1.071</v>
      </c>
      <c r="X58" s="11">
        <v>0.498</v>
      </c>
      <c r="Y58" s="11">
        <v>2.141</v>
      </c>
      <c r="Z58" s="11">
        <v>29</v>
      </c>
      <c r="AA58" s="11">
        <v>3.0880000000000001</v>
      </c>
      <c r="AB58" s="11">
        <v>5.0880000000000001</v>
      </c>
      <c r="AC58" s="11">
        <v>1.407</v>
      </c>
      <c r="AD58" s="11">
        <v>0.83199999999999996</v>
      </c>
      <c r="AE58" s="11">
        <v>1.26</v>
      </c>
      <c r="AF58" s="11">
        <v>2.8919999999999999</v>
      </c>
      <c r="AG58" s="11">
        <v>1.1120000000000001</v>
      </c>
      <c r="AH58" s="11">
        <v>7.1920000000000002</v>
      </c>
      <c r="AI58" s="11">
        <v>0.60799999999999998</v>
      </c>
      <c r="AJ58" s="11">
        <v>2.0049999999999999</v>
      </c>
      <c r="AK58" s="11">
        <v>20.448</v>
      </c>
      <c r="AL58" s="11">
        <v>27.672000000000001</v>
      </c>
      <c r="AM58" s="11">
        <v>27.228000000000002</v>
      </c>
      <c r="AN58" s="11">
        <v>0.74399999999999999</v>
      </c>
      <c r="AO58" s="11">
        <v>2.0019999999999998</v>
      </c>
      <c r="AP58" s="11">
        <v>6.0570000000000004</v>
      </c>
      <c r="AQ58" s="11">
        <v>8.74</v>
      </c>
      <c r="AR58" s="11">
        <v>2.3E-2</v>
      </c>
      <c r="AS58" s="11">
        <v>0.217</v>
      </c>
      <c r="AT58" s="11">
        <v>3.9580000000000002</v>
      </c>
      <c r="AU58" s="11">
        <v>0.123</v>
      </c>
      <c r="AV58" s="11">
        <v>4.7850000000000001</v>
      </c>
      <c r="AW58" s="11">
        <v>8.7449999999999992</v>
      </c>
      <c r="AX58" s="11">
        <v>5.7409999999999997</v>
      </c>
      <c r="AY58" s="11">
        <v>11.629</v>
      </c>
      <c r="AZ58" s="11">
        <v>186.92400000000001</v>
      </c>
      <c r="BA58" s="11">
        <v>25.318000000000001</v>
      </c>
      <c r="BB58" s="11">
        <v>0.32400000000000001</v>
      </c>
      <c r="BC58" s="11">
        <v>1.375</v>
      </c>
      <c r="BD58" s="11">
        <v>18.266999999999999</v>
      </c>
      <c r="BE58" s="11">
        <v>53.618000000000002</v>
      </c>
      <c r="BF58" s="11">
        <v>8.5999999999999993E-2</v>
      </c>
      <c r="BG58" s="11">
        <v>20.077999999999999</v>
      </c>
      <c r="BH58" s="11">
        <v>648.91899999999998</v>
      </c>
      <c r="BI58" s="11">
        <v>4.5750000000000002</v>
      </c>
      <c r="BJ58" s="11">
        <v>0.67</v>
      </c>
      <c r="BK58" s="11">
        <v>144.10300000000001</v>
      </c>
      <c r="BL58" s="11">
        <v>12.114000000000001</v>
      </c>
      <c r="BM58" s="11">
        <v>49.262</v>
      </c>
      <c r="BN58" s="11">
        <v>28.725999999999999</v>
      </c>
      <c r="BO58" s="11">
        <v>93.468999999999994</v>
      </c>
      <c r="BP58" s="11">
        <v>19.63</v>
      </c>
      <c r="BQ58" s="11">
        <v>10.545999999999999</v>
      </c>
      <c r="BR58" s="11">
        <v>0.30499999999999999</v>
      </c>
      <c r="BS58" s="11">
        <v>2.4169999999999998</v>
      </c>
      <c r="BT58" s="11">
        <v>2.6480000000000001</v>
      </c>
      <c r="BU58" s="11">
        <v>1.5680000000000001</v>
      </c>
      <c r="BV58" s="11">
        <v>7.43</v>
      </c>
      <c r="BW58" s="11">
        <v>11.874000000000001</v>
      </c>
      <c r="BX58" s="11">
        <v>8.19</v>
      </c>
      <c r="BY58" s="11">
        <v>0.26</v>
      </c>
      <c r="BZ58" s="11">
        <v>2.8650000000000002</v>
      </c>
      <c r="CA58" s="11">
        <v>3.774</v>
      </c>
      <c r="CB58" s="11">
        <v>0</v>
      </c>
      <c r="CC58" s="11">
        <v>428.14</v>
      </c>
      <c r="CD58" s="11">
        <v>751.46</v>
      </c>
      <c r="CE58" s="11">
        <v>505.84</v>
      </c>
      <c r="CF58" s="11">
        <v>327.60199999999998</v>
      </c>
      <c r="CG58" s="11">
        <v>0.88900000000000001</v>
      </c>
      <c r="CH58" s="11">
        <v>0</v>
      </c>
      <c r="CI58" s="11">
        <v>0.24399999999999999</v>
      </c>
      <c r="CJ58" s="11">
        <v>-83.114999999999995</v>
      </c>
      <c r="CK58" s="12" t="s">
        <v>94</v>
      </c>
    </row>
    <row r="59" spans="1:89" x14ac:dyDescent="0.3">
      <c r="A59" s="7" t="s">
        <v>146</v>
      </c>
      <c r="B59" s="10">
        <v>43137.453999999998</v>
      </c>
      <c r="C59" s="10">
        <v>35970.326999999997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35970.326999999997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7167.1270000000004</v>
      </c>
      <c r="CE59" s="10">
        <v>0</v>
      </c>
      <c r="CF59" s="10">
        <v>7167.1270000000004</v>
      </c>
      <c r="CG59" s="10">
        <v>0</v>
      </c>
      <c r="CH59" s="10">
        <v>0</v>
      </c>
      <c r="CI59" s="10">
        <v>0</v>
      </c>
      <c r="CJ59" s="10">
        <v>0</v>
      </c>
      <c r="CK59" s="13" t="s">
        <v>94</v>
      </c>
    </row>
    <row r="60" spans="1:89" x14ac:dyDescent="0.3">
      <c r="A60" s="8" t="s">
        <v>147</v>
      </c>
      <c r="B60" s="11">
        <v>940460.33400000003</v>
      </c>
      <c r="C60" s="11">
        <v>184935.473</v>
      </c>
      <c r="D60" s="11">
        <v>1729.306</v>
      </c>
      <c r="E60" s="11">
        <v>472.6</v>
      </c>
      <c r="F60" s="11">
        <v>1.1459999999999999</v>
      </c>
      <c r="G60" s="11">
        <v>35.228000000000002</v>
      </c>
      <c r="H60" s="11">
        <v>32.25</v>
      </c>
      <c r="I60" s="11">
        <v>477.13499999999999</v>
      </c>
      <c r="J60" s="11">
        <v>366.41</v>
      </c>
      <c r="K60" s="11">
        <v>3025.2649999999999</v>
      </c>
      <c r="L60" s="11">
        <v>524.76099999999997</v>
      </c>
      <c r="M60" s="11">
        <v>3310.1819999999998</v>
      </c>
      <c r="N60" s="11">
        <v>2699.4259999999999</v>
      </c>
      <c r="O60" s="11">
        <v>241.65899999999999</v>
      </c>
      <c r="P60" s="11">
        <v>4482.991</v>
      </c>
      <c r="Q60" s="11">
        <v>362.709</v>
      </c>
      <c r="R60" s="11">
        <v>292.47699999999998</v>
      </c>
      <c r="S60" s="11">
        <v>78.878</v>
      </c>
      <c r="T60" s="11">
        <v>289.56</v>
      </c>
      <c r="U60" s="11">
        <v>242.05799999999999</v>
      </c>
      <c r="V60" s="11">
        <v>177.846</v>
      </c>
      <c r="W60" s="11">
        <v>954.81700000000001</v>
      </c>
      <c r="X60" s="11">
        <v>275.48200000000003</v>
      </c>
      <c r="Y60" s="11">
        <v>62.683999999999997</v>
      </c>
      <c r="Z60" s="11">
        <v>2102.61</v>
      </c>
      <c r="AA60" s="11">
        <v>1617.175</v>
      </c>
      <c r="AB60" s="11">
        <v>1459.5840000000001</v>
      </c>
      <c r="AC60" s="11">
        <v>3502.8130000000001</v>
      </c>
      <c r="AD60" s="11">
        <v>1403.7090000000001</v>
      </c>
      <c r="AE60" s="11">
        <v>566.69899999999996</v>
      </c>
      <c r="AF60" s="11">
        <v>143.84</v>
      </c>
      <c r="AG60" s="11">
        <v>355.35399999999998</v>
      </c>
      <c r="AH60" s="11">
        <v>3162.192</v>
      </c>
      <c r="AI60" s="11">
        <v>186.95599999999999</v>
      </c>
      <c r="AJ60" s="11">
        <v>257.04199999999997</v>
      </c>
      <c r="AK60" s="11">
        <v>43605.106</v>
      </c>
      <c r="AL60" s="11">
        <v>58381.521999999997</v>
      </c>
      <c r="AM60" s="11">
        <v>810.31799999999998</v>
      </c>
      <c r="AN60" s="11">
        <v>239.91499999999999</v>
      </c>
      <c r="AO60" s="11">
        <v>37.006</v>
      </c>
      <c r="AP60" s="11">
        <v>378.49799999999999</v>
      </c>
      <c r="AQ60" s="11">
        <v>577.66</v>
      </c>
      <c r="AR60" s="11">
        <v>109.58</v>
      </c>
      <c r="AS60" s="11">
        <v>10.808999999999999</v>
      </c>
      <c r="AT60" s="11">
        <v>405.65300000000002</v>
      </c>
      <c r="AU60" s="11">
        <v>5.1239999999999997</v>
      </c>
      <c r="AV60" s="11">
        <v>40.817999999999998</v>
      </c>
      <c r="AW60" s="11">
        <v>279.16000000000003</v>
      </c>
      <c r="AX60" s="11">
        <v>61.511000000000003</v>
      </c>
      <c r="AY60" s="11">
        <v>58.253999999999998</v>
      </c>
      <c r="AZ60" s="11">
        <v>742.34400000000005</v>
      </c>
      <c r="BA60" s="11">
        <v>1342.29</v>
      </c>
      <c r="BB60" s="11">
        <v>21.285</v>
      </c>
      <c r="BC60" s="11">
        <v>0.70099999999999996</v>
      </c>
      <c r="BD60" s="11">
        <v>109.447</v>
      </c>
      <c r="BE60" s="11">
        <v>11083.545</v>
      </c>
      <c r="BF60" s="11">
        <v>814.65700000000004</v>
      </c>
      <c r="BG60" s="11">
        <v>4962.241</v>
      </c>
      <c r="BH60" s="11">
        <v>1255.6869999999999</v>
      </c>
      <c r="BI60" s="11">
        <v>203.80600000000001</v>
      </c>
      <c r="BJ60" s="11">
        <v>1.296</v>
      </c>
      <c r="BK60" s="11">
        <v>2522.701</v>
      </c>
      <c r="BL60" s="11">
        <v>2133.951</v>
      </c>
      <c r="BM60" s="11">
        <v>1537.492</v>
      </c>
      <c r="BN60" s="11">
        <v>63.353000000000002</v>
      </c>
      <c r="BO60" s="11">
        <v>549.99699999999996</v>
      </c>
      <c r="BP60" s="11">
        <v>180.93100000000001</v>
      </c>
      <c r="BQ60" s="11">
        <v>384.43900000000002</v>
      </c>
      <c r="BR60" s="11">
        <v>9.6000000000000002E-2</v>
      </c>
      <c r="BS60" s="11">
        <v>5.5090000000000003</v>
      </c>
      <c r="BT60" s="11">
        <v>16.63</v>
      </c>
      <c r="BU60" s="11">
        <v>13.593</v>
      </c>
      <c r="BV60" s="11">
        <v>43.195999999999998</v>
      </c>
      <c r="BW60" s="11">
        <v>1604.47</v>
      </c>
      <c r="BX60" s="11">
        <v>417.76299999999998</v>
      </c>
      <c r="BY60" s="11">
        <v>78.147999999999996</v>
      </c>
      <c r="BZ60" s="11">
        <v>33.357999999999997</v>
      </c>
      <c r="CA60" s="11">
        <v>31.681999999999999</v>
      </c>
      <c r="CB60" s="11">
        <v>0</v>
      </c>
      <c r="CC60" s="11">
        <v>14887.087</v>
      </c>
      <c r="CD60" s="11">
        <v>755524.86100000003</v>
      </c>
      <c r="CE60" s="11">
        <v>811867.66399999999</v>
      </c>
      <c r="CF60" s="11">
        <v>0</v>
      </c>
      <c r="CG60" s="11">
        <v>0</v>
      </c>
      <c r="CH60" s="11">
        <v>0</v>
      </c>
      <c r="CI60" s="11">
        <v>10188.58</v>
      </c>
      <c r="CJ60" s="11">
        <v>-66531.383000000002</v>
      </c>
      <c r="CK60" s="12" t="s">
        <v>94</v>
      </c>
    </row>
    <row r="61" spans="1:89" x14ac:dyDescent="0.3">
      <c r="A61" s="7" t="s">
        <v>148</v>
      </c>
      <c r="B61" s="10">
        <v>37495.010999999999</v>
      </c>
      <c r="C61" s="10">
        <v>28117.102999999999</v>
      </c>
      <c r="D61" s="10">
        <v>0</v>
      </c>
      <c r="E61" s="10">
        <v>0.35099999999999998</v>
      </c>
      <c r="F61" s="10">
        <v>0</v>
      </c>
      <c r="G61" s="10">
        <v>0</v>
      </c>
      <c r="H61" s="10">
        <v>0</v>
      </c>
      <c r="I61" s="10">
        <v>0</v>
      </c>
      <c r="J61" s="10">
        <v>10.621</v>
      </c>
      <c r="K61" s="10">
        <v>225.04</v>
      </c>
      <c r="L61" s="10">
        <v>176.76</v>
      </c>
      <c r="M61" s="10">
        <v>48.774999999999999</v>
      </c>
      <c r="N61" s="10">
        <v>46.097000000000001</v>
      </c>
      <c r="O61" s="10">
        <v>0.13200000000000001</v>
      </c>
      <c r="P61" s="10">
        <v>121.268</v>
      </c>
      <c r="Q61" s="10">
        <v>56.6</v>
      </c>
      <c r="R61" s="10">
        <v>0.46100000000000002</v>
      </c>
      <c r="S61" s="10">
        <v>0</v>
      </c>
      <c r="T61" s="10">
        <v>0.69599999999999995</v>
      </c>
      <c r="U61" s="10">
        <v>0</v>
      </c>
      <c r="V61" s="10">
        <v>0</v>
      </c>
      <c r="W61" s="10">
        <v>50.982999999999997</v>
      </c>
      <c r="X61" s="10">
        <v>21.625</v>
      </c>
      <c r="Y61" s="10">
        <v>0</v>
      </c>
      <c r="Z61" s="10">
        <v>127.292</v>
      </c>
      <c r="AA61" s="10">
        <v>37.104999999999997</v>
      </c>
      <c r="AB61" s="10">
        <v>100.367</v>
      </c>
      <c r="AC61" s="10">
        <v>132.59899999999999</v>
      </c>
      <c r="AD61" s="10">
        <v>49.167000000000002</v>
      </c>
      <c r="AE61" s="10">
        <v>20.780999999999999</v>
      </c>
      <c r="AF61" s="10">
        <v>18.7</v>
      </c>
      <c r="AG61" s="10">
        <v>51.158000000000001</v>
      </c>
      <c r="AH61" s="10">
        <v>132.25200000000001</v>
      </c>
      <c r="AI61" s="10">
        <v>13.638999999999999</v>
      </c>
      <c r="AJ61" s="10">
        <v>3.8479999999999999</v>
      </c>
      <c r="AK61" s="10">
        <v>0</v>
      </c>
      <c r="AL61" s="10">
        <v>179.35300000000001</v>
      </c>
      <c r="AM61" s="10">
        <v>1408.6610000000001</v>
      </c>
      <c r="AN61" s="10">
        <v>10.092000000000001</v>
      </c>
      <c r="AO61" s="10">
        <v>0</v>
      </c>
      <c r="AP61" s="10">
        <v>0.26400000000000001</v>
      </c>
      <c r="AQ61" s="10">
        <v>38.996000000000002</v>
      </c>
      <c r="AR61" s="10">
        <v>0</v>
      </c>
      <c r="AS61" s="10">
        <v>1.123</v>
      </c>
      <c r="AT61" s="10">
        <v>102.568</v>
      </c>
      <c r="AU61" s="10">
        <v>1.5489999999999999</v>
      </c>
      <c r="AV61" s="10">
        <v>6.6029999999999998</v>
      </c>
      <c r="AW61" s="10">
        <v>14.834</v>
      </c>
      <c r="AX61" s="10">
        <v>0</v>
      </c>
      <c r="AY61" s="10">
        <v>14.039</v>
      </c>
      <c r="AZ61" s="10">
        <v>26.69</v>
      </c>
      <c r="BA61" s="10">
        <v>525.30899999999997</v>
      </c>
      <c r="BB61" s="10">
        <v>5.9530000000000003</v>
      </c>
      <c r="BC61" s="10">
        <v>0</v>
      </c>
      <c r="BD61" s="10">
        <v>0</v>
      </c>
      <c r="BE61" s="10">
        <v>1203.701</v>
      </c>
      <c r="BF61" s="10">
        <v>1973.7159999999999</v>
      </c>
      <c r="BG61" s="10">
        <v>1220.421</v>
      </c>
      <c r="BH61" s="10">
        <v>94.763999999999996</v>
      </c>
      <c r="BI61" s="10">
        <v>15.618</v>
      </c>
      <c r="BJ61" s="10">
        <v>0</v>
      </c>
      <c r="BK61" s="10">
        <v>90.481999999999999</v>
      </c>
      <c r="BL61" s="10">
        <v>19115.168000000001</v>
      </c>
      <c r="BM61" s="10">
        <v>315.21199999999999</v>
      </c>
      <c r="BN61" s="10">
        <v>0</v>
      </c>
      <c r="BO61" s="10">
        <v>36.978000000000002</v>
      </c>
      <c r="BP61" s="10">
        <v>11.817</v>
      </c>
      <c r="BQ61" s="10">
        <v>17.091000000000001</v>
      </c>
      <c r="BR61" s="10">
        <v>0</v>
      </c>
      <c r="BS61" s="10">
        <v>0.97499999999999998</v>
      </c>
      <c r="BT61" s="10">
        <v>1.587</v>
      </c>
      <c r="BU61" s="10">
        <v>0</v>
      </c>
      <c r="BV61" s="10">
        <v>11.933</v>
      </c>
      <c r="BW61" s="10">
        <v>88.227999999999994</v>
      </c>
      <c r="BX61" s="10">
        <v>106.706</v>
      </c>
      <c r="BY61" s="10">
        <v>13.602</v>
      </c>
      <c r="BZ61" s="10">
        <v>14.944000000000001</v>
      </c>
      <c r="CA61" s="10">
        <v>1.8089999999999999</v>
      </c>
      <c r="CB61" s="10">
        <v>0</v>
      </c>
      <c r="CC61" s="10">
        <v>0</v>
      </c>
      <c r="CD61" s="10">
        <v>9377.9079999999994</v>
      </c>
      <c r="CE61" s="10">
        <v>9377.9079999999994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3" t="s">
        <v>94</v>
      </c>
    </row>
    <row r="62" spans="1:89" x14ac:dyDescent="0.3">
      <c r="A62" s="8" t="s">
        <v>149</v>
      </c>
      <c r="B62" s="11">
        <v>350698.9</v>
      </c>
      <c r="C62" s="11">
        <v>171343.37</v>
      </c>
      <c r="D62" s="11">
        <v>1909.4</v>
      </c>
      <c r="E62" s="11">
        <v>14.074999999999999</v>
      </c>
      <c r="F62" s="11">
        <v>0</v>
      </c>
      <c r="G62" s="11">
        <v>29.571000000000002</v>
      </c>
      <c r="H62" s="11">
        <v>17.535</v>
      </c>
      <c r="I62" s="11">
        <v>13477.102000000001</v>
      </c>
      <c r="J62" s="11">
        <v>454.04899999999998</v>
      </c>
      <c r="K62" s="11">
        <v>3009.7460000000001</v>
      </c>
      <c r="L62" s="11">
        <v>1386.9860000000001</v>
      </c>
      <c r="M62" s="11">
        <v>947.36500000000001</v>
      </c>
      <c r="N62" s="11">
        <v>962.93600000000004</v>
      </c>
      <c r="O62" s="11">
        <v>129.56899999999999</v>
      </c>
      <c r="P62" s="11">
        <v>953.41399999999999</v>
      </c>
      <c r="Q62" s="11">
        <v>97.555999999999997</v>
      </c>
      <c r="R62" s="11">
        <v>65.989999999999995</v>
      </c>
      <c r="S62" s="11">
        <v>59.689</v>
      </c>
      <c r="T62" s="11">
        <v>214.999</v>
      </c>
      <c r="U62" s="11">
        <v>48.552999999999997</v>
      </c>
      <c r="V62" s="11">
        <v>34.171999999999997</v>
      </c>
      <c r="W62" s="11">
        <v>281.92700000000002</v>
      </c>
      <c r="X62" s="11">
        <v>82.105000000000004</v>
      </c>
      <c r="Y62" s="11">
        <v>6156.1040000000003</v>
      </c>
      <c r="Z62" s="11">
        <v>1038.5129999999999</v>
      </c>
      <c r="AA62" s="11">
        <v>490.084</v>
      </c>
      <c r="AB62" s="11">
        <v>840.68799999999999</v>
      </c>
      <c r="AC62" s="11">
        <v>418.84300000000002</v>
      </c>
      <c r="AD62" s="11">
        <v>303.58499999999998</v>
      </c>
      <c r="AE62" s="11">
        <v>283.06900000000002</v>
      </c>
      <c r="AF62" s="11">
        <v>704.63499999999999</v>
      </c>
      <c r="AG62" s="11">
        <v>214.053</v>
      </c>
      <c r="AH62" s="11">
        <v>2690.913</v>
      </c>
      <c r="AI62" s="11">
        <v>56.637999999999998</v>
      </c>
      <c r="AJ62" s="11">
        <v>70.822999999999993</v>
      </c>
      <c r="AK62" s="11">
        <v>10174.101000000001</v>
      </c>
      <c r="AL62" s="11">
        <v>4731.5690000000004</v>
      </c>
      <c r="AM62" s="11">
        <v>497.28399999999999</v>
      </c>
      <c r="AN62" s="11">
        <v>239.964</v>
      </c>
      <c r="AO62" s="11">
        <v>137.69300000000001</v>
      </c>
      <c r="AP62" s="11">
        <v>3524.5619999999999</v>
      </c>
      <c r="AQ62" s="11">
        <v>1671.5250000000001</v>
      </c>
      <c r="AR62" s="11">
        <v>356.88400000000001</v>
      </c>
      <c r="AS62" s="11">
        <v>16.561</v>
      </c>
      <c r="AT62" s="11">
        <v>475.05599999999998</v>
      </c>
      <c r="AU62" s="11">
        <v>5.2229999999999999</v>
      </c>
      <c r="AV62" s="11">
        <v>202.90199999999999</v>
      </c>
      <c r="AW62" s="11">
        <v>327.66800000000001</v>
      </c>
      <c r="AX62" s="11">
        <v>36.764000000000003</v>
      </c>
      <c r="AY62" s="11">
        <v>70.834000000000003</v>
      </c>
      <c r="AZ62" s="11">
        <v>877.12800000000004</v>
      </c>
      <c r="BA62" s="11">
        <v>2602.1320000000001</v>
      </c>
      <c r="BB62" s="11">
        <v>3.9129999999999998</v>
      </c>
      <c r="BC62" s="11">
        <v>3.1890000000000001</v>
      </c>
      <c r="BD62" s="11">
        <v>12.083</v>
      </c>
      <c r="BE62" s="11">
        <v>3783.3609999999999</v>
      </c>
      <c r="BF62" s="11">
        <v>29.460999999999999</v>
      </c>
      <c r="BG62" s="11">
        <v>86712.198999999993</v>
      </c>
      <c r="BH62" s="11">
        <v>2099.0360000000001</v>
      </c>
      <c r="BI62" s="11">
        <v>208.92400000000001</v>
      </c>
      <c r="BJ62" s="11">
        <v>3.5110000000000001</v>
      </c>
      <c r="BK62" s="11">
        <v>636.58299999999997</v>
      </c>
      <c r="BL62" s="11">
        <v>547.01700000000005</v>
      </c>
      <c r="BM62" s="11">
        <v>1190.8879999999999</v>
      </c>
      <c r="BN62" s="11">
        <v>17.347000000000001</v>
      </c>
      <c r="BO62" s="11">
        <v>1133.049</v>
      </c>
      <c r="BP62" s="11">
        <v>1297.0329999999999</v>
      </c>
      <c r="BQ62" s="11">
        <v>1228.097</v>
      </c>
      <c r="BR62" s="11">
        <v>8.4269999999999996</v>
      </c>
      <c r="BS62" s="11">
        <v>422.108</v>
      </c>
      <c r="BT62" s="11">
        <v>67.165000000000006</v>
      </c>
      <c r="BU62" s="11">
        <v>30.670999999999999</v>
      </c>
      <c r="BV62" s="11">
        <v>92.061000000000007</v>
      </c>
      <c r="BW62" s="11">
        <v>798.45799999999997</v>
      </c>
      <c r="BX62" s="11">
        <v>49.94</v>
      </c>
      <c r="BY62" s="11">
        <v>20.93</v>
      </c>
      <c r="BZ62" s="11">
        <v>90.147999999999996</v>
      </c>
      <c r="CA62" s="11">
        <v>37.597000000000001</v>
      </c>
      <c r="CB62" s="11">
        <v>0</v>
      </c>
      <c r="CC62" s="11">
        <v>7427.6369999999997</v>
      </c>
      <c r="CD62" s="11">
        <v>179355.53</v>
      </c>
      <c r="CE62" s="11">
        <v>205261.14600000001</v>
      </c>
      <c r="CF62" s="11">
        <v>0</v>
      </c>
      <c r="CG62" s="11">
        <v>0</v>
      </c>
      <c r="CH62" s="11">
        <v>0</v>
      </c>
      <c r="CI62" s="11">
        <v>63157.139000000003</v>
      </c>
      <c r="CJ62" s="11">
        <v>-89062.755000000005</v>
      </c>
      <c r="CK62" s="12" t="s">
        <v>94</v>
      </c>
    </row>
    <row r="63" spans="1:89" x14ac:dyDescent="0.3">
      <c r="A63" s="7" t="s">
        <v>150</v>
      </c>
      <c r="B63" s="10">
        <v>2223705.0279999999</v>
      </c>
      <c r="C63" s="10">
        <v>449867.93800000002</v>
      </c>
      <c r="D63" s="10">
        <v>5.0000000000000001E-3</v>
      </c>
      <c r="E63" s="10">
        <v>81.834999999999994</v>
      </c>
      <c r="F63" s="10">
        <v>0</v>
      </c>
      <c r="G63" s="10">
        <v>24.608000000000001</v>
      </c>
      <c r="H63" s="10">
        <v>48.021999999999998</v>
      </c>
      <c r="I63" s="10">
        <v>306.63099999999997</v>
      </c>
      <c r="J63" s="10">
        <v>442.27199999999999</v>
      </c>
      <c r="K63" s="10">
        <v>2156.8519999999999</v>
      </c>
      <c r="L63" s="10">
        <v>1678.259</v>
      </c>
      <c r="M63" s="10">
        <v>868.80399999999997</v>
      </c>
      <c r="N63" s="10">
        <v>1020.707</v>
      </c>
      <c r="O63" s="10">
        <v>2016.0940000000001</v>
      </c>
      <c r="P63" s="10">
        <v>14322.478999999999</v>
      </c>
      <c r="Q63" s="10">
        <v>2060.0140000000001</v>
      </c>
      <c r="R63" s="10">
        <v>829.86699999999996</v>
      </c>
      <c r="S63" s="10">
        <v>727.40800000000002</v>
      </c>
      <c r="T63" s="10">
        <v>2321.1039999999998</v>
      </c>
      <c r="U63" s="10">
        <v>553.61599999999999</v>
      </c>
      <c r="V63" s="10">
        <v>586.673</v>
      </c>
      <c r="W63" s="10">
        <v>2260.4259999999999</v>
      </c>
      <c r="X63" s="10">
        <v>1312.7670000000001</v>
      </c>
      <c r="Y63" s="10">
        <v>153.84100000000001</v>
      </c>
      <c r="Z63" s="10">
        <v>5043.4290000000001</v>
      </c>
      <c r="AA63" s="10">
        <v>4168.8720000000003</v>
      </c>
      <c r="AB63" s="10">
        <v>1918.549</v>
      </c>
      <c r="AC63" s="10">
        <v>2235.864</v>
      </c>
      <c r="AD63" s="10">
        <v>3502.4720000000002</v>
      </c>
      <c r="AE63" s="10">
        <v>2636.3040000000001</v>
      </c>
      <c r="AF63" s="10">
        <v>2385.018</v>
      </c>
      <c r="AG63" s="10">
        <v>1347.356</v>
      </c>
      <c r="AH63" s="10">
        <v>22161.081999999999</v>
      </c>
      <c r="AI63" s="10">
        <v>1793.7840000000001</v>
      </c>
      <c r="AJ63" s="10">
        <v>1557.1369999999999</v>
      </c>
      <c r="AK63" s="10">
        <v>61951.241000000002</v>
      </c>
      <c r="AL63" s="10">
        <v>109132.439</v>
      </c>
      <c r="AM63" s="10">
        <v>1449.154</v>
      </c>
      <c r="AN63" s="10">
        <v>211.19900000000001</v>
      </c>
      <c r="AO63" s="10">
        <v>171.42699999999999</v>
      </c>
      <c r="AP63" s="10">
        <v>986.17499999999995</v>
      </c>
      <c r="AQ63" s="10">
        <v>9162.4719999999998</v>
      </c>
      <c r="AR63" s="10">
        <v>133.31100000000001</v>
      </c>
      <c r="AS63" s="10">
        <v>38.850999999999999</v>
      </c>
      <c r="AT63" s="10">
        <v>2836.4560000000001</v>
      </c>
      <c r="AU63" s="10">
        <v>57.478999999999999</v>
      </c>
      <c r="AV63" s="10">
        <v>341.13099999999997</v>
      </c>
      <c r="AW63" s="10">
        <v>3274.7069999999999</v>
      </c>
      <c r="AX63" s="10">
        <v>452.06700000000001</v>
      </c>
      <c r="AY63" s="10">
        <v>6957.6040000000003</v>
      </c>
      <c r="AZ63" s="10">
        <v>1878.3969999999999</v>
      </c>
      <c r="BA63" s="10">
        <v>31773.958999999999</v>
      </c>
      <c r="BB63" s="10">
        <v>166.065</v>
      </c>
      <c r="BC63" s="10">
        <v>136.893</v>
      </c>
      <c r="BD63" s="10">
        <v>25.986000000000001</v>
      </c>
      <c r="BE63" s="10">
        <v>22686.911</v>
      </c>
      <c r="BF63" s="10">
        <v>774.19299999999998</v>
      </c>
      <c r="BG63" s="10">
        <v>2816.8270000000002</v>
      </c>
      <c r="BH63" s="10">
        <v>9910.027</v>
      </c>
      <c r="BI63" s="10">
        <v>1272.9459999999999</v>
      </c>
      <c r="BJ63" s="10">
        <v>34.948</v>
      </c>
      <c r="BK63" s="10">
        <v>9696.8490000000002</v>
      </c>
      <c r="BL63" s="10">
        <v>3947.819</v>
      </c>
      <c r="BM63" s="10">
        <v>9913.7540000000008</v>
      </c>
      <c r="BN63" s="10">
        <v>165.96</v>
      </c>
      <c r="BO63" s="10">
        <v>8737.3639999999996</v>
      </c>
      <c r="BP63" s="10">
        <v>6596.3879999999999</v>
      </c>
      <c r="BQ63" s="10">
        <v>3038.12</v>
      </c>
      <c r="BR63" s="10">
        <v>68.888999999999996</v>
      </c>
      <c r="BS63" s="10">
        <v>485.827</v>
      </c>
      <c r="BT63" s="10">
        <v>1032.152</v>
      </c>
      <c r="BU63" s="10">
        <v>387.387</v>
      </c>
      <c r="BV63" s="10">
        <v>4205.4470000000001</v>
      </c>
      <c r="BW63" s="10">
        <v>3869.3980000000001</v>
      </c>
      <c r="BX63" s="10">
        <v>16851.038</v>
      </c>
      <c r="BY63" s="10">
        <v>6860.5550000000003</v>
      </c>
      <c r="BZ63" s="10">
        <v>6381.473</v>
      </c>
      <c r="CA63" s="10">
        <v>454.78699999999998</v>
      </c>
      <c r="CB63" s="10">
        <v>0</v>
      </c>
      <c r="CC63" s="10">
        <v>16019.715</v>
      </c>
      <c r="CD63" s="10">
        <v>1773837.09</v>
      </c>
      <c r="CE63" s="10">
        <v>1783017.703</v>
      </c>
      <c r="CF63" s="10">
        <v>227.27699999999999</v>
      </c>
      <c r="CG63" s="10">
        <v>212.31700000000001</v>
      </c>
      <c r="CH63" s="10">
        <v>0</v>
      </c>
      <c r="CI63" s="10">
        <v>12584.977000000001</v>
      </c>
      <c r="CJ63" s="10">
        <v>-22205.184000000001</v>
      </c>
      <c r="CK63" s="13" t="s">
        <v>94</v>
      </c>
    </row>
    <row r="64" spans="1:89" x14ac:dyDescent="0.3">
      <c r="A64" s="8" t="s">
        <v>151</v>
      </c>
      <c r="B64" s="11">
        <v>67478.703999999998</v>
      </c>
      <c r="C64" s="11">
        <v>59706.036</v>
      </c>
      <c r="D64" s="11">
        <v>4.3970000000000002</v>
      </c>
      <c r="E64" s="11">
        <v>7.1980000000000004</v>
      </c>
      <c r="F64" s="11">
        <v>22.285</v>
      </c>
      <c r="G64" s="11">
        <v>32.752000000000002</v>
      </c>
      <c r="H64" s="11">
        <v>4.992</v>
      </c>
      <c r="I64" s="11">
        <v>2802.8409999999999</v>
      </c>
      <c r="J64" s="11">
        <v>434.43200000000002</v>
      </c>
      <c r="K64" s="11">
        <v>3964.0839999999998</v>
      </c>
      <c r="L64" s="11">
        <v>358.93799999999999</v>
      </c>
      <c r="M64" s="11">
        <v>6696.3810000000003</v>
      </c>
      <c r="N64" s="11">
        <v>3071.817</v>
      </c>
      <c r="O64" s="11">
        <v>3185.913</v>
      </c>
      <c r="P64" s="11">
        <v>237.76300000000001</v>
      </c>
      <c r="Q64" s="11">
        <v>17.369</v>
      </c>
      <c r="R64" s="11">
        <v>6.05</v>
      </c>
      <c r="S64" s="11">
        <v>10.644</v>
      </c>
      <c r="T64" s="11">
        <v>43.314</v>
      </c>
      <c r="U64" s="11">
        <v>7.2160000000000002</v>
      </c>
      <c r="V64" s="11">
        <v>13.909000000000001</v>
      </c>
      <c r="W64" s="11">
        <v>88.804000000000002</v>
      </c>
      <c r="X64" s="11">
        <v>54.936</v>
      </c>
      <c r="Y64" s="11">
        <v>9.9260000000000002</v>
      </c>
      <c r="Z64" s="11">
        <v>266.88799999999998</v>
      </c>
      <c r="AA64" s="11">
        <v>741.21400000000006</v>
      </c>
      <c r="AB64" s="11">
        <v>266.44499999999999</v>
      </c>
      <c r="AC64" s="11">
        <v>116.357</v>
      </c>
      <c r="AD64" s="11">
        <v>106.55800000000001</v>
      </c>
      <c r="AE64" s="11">
        <v>158.226</v>
      </c>
      <c r="AF64" s="11">
        <v>666.26199999999994</v>
      </c>
      <c r="AG64" s="11">
        <v>87.584000000000003</v>
      </c>
      <c r="AH64" s="11">
        <v>4128.8149999999996</v>
      </c>
      <c r="AI64" s="11">
        <v>19.672000000000001</v>
      </c>
      <c r="AJ64" s="11">
        <v>37.700000000000003</v>
      </c>
      <c r="AK64" s="11">
        <v>1463.55</v>
      </c>
      <c r="AL64" s="11">
        <v>1447.1990000000001</v>
      </c>
      <c r="AM64" s="11">
        <v>47.883000000000003</v>
      </c>
      <c r="AN64" s="11">
        <v>41.209000000000003</v>
      </c>
      <c r="AO64" s="11">
        <v>151.95099999999999</v>
      </c>
      <c r="AP64" s="11">
        <v>442.62099999999998</v>
      </c>
      <c r="AQ64" s="11">
        <v>323.90600000000001</v>
      </c>
      <c r="AR64" s="11">
        <v>2.0099999999999998</v>
      </c>
      <c r="AS64" s="11">
        <v>20.533999999999999</v>
      </c>
      <c r="AT64" s="11">
        <v>45.47</v>
      </c>
      <c r="AU64" s="11">
        <v>0.499</v>
      </c>
      <c r="AV64" s="11">
        <v>61.686</v>
      </c>
      <c r="AW64" s="11">
        <v>81.802000000000007</v>
      </c>
      <c r="AX64" s="11">
        <v>37.220999999999997</v>
      </c>
      <c r="AY64" s="11">
        <v>51.212000000000003</v>
      </c>
      <c r="AZ64" s="11">
        <v>31.247</v>
      </c>
      <c r="BA64" s="11">
        <v>40.298999999999999</v>
      </c>
      <c r="BB64" s="11">
        <v>2.7570000000000001</v>
      </c>
      <c r="BC64" s="11">
        <v>6.2679999999999998</v>
      </c>
      <c r="BD64" s="11">
        <v>0.24399999999999999</v>
      </c>
      <c r="BE64" s="11">
        <v>405.82900000000001</v>
      </c>
      <c r="BF64" s="11">
        <v>37.476999999999997</v>
      </c>
      <c r="BG64" s="11">
        <v>411.69600000000003</v>
      </c>
      <c r="BH64" s="11">
        <v>3830.1709999999998</v>
      </c>
      <c r="BI64" s="11">
        <v>399.69900000000001</v>
      </c>
      <c r="BJ64" s="11">
        <v>0.437</v>
      </c>
      <c r="BK64" s="11">
        <v>1298.9939999999999</v>
      </c>
      <c r="BL64" s="11">
        <v>272.72800000000001</v>
      </c>
      <c r="BM64" s="11">
        <v>1838.2729999999999</v>
      </c>
      <c r="BN64" s="11">
        <v>6.65</v>
      </c>
      <c r="BO64" s="11">
        <v>2346.7910000000002</v>
      </c>
      <c r="BP64" s="11">
        <v>2015.2650000000001</v>
      </c>
      <c r="BQ64" s="11">
        <v>797.01300000000003</v>
      </c>
      <c r="BR64" s="11">
        <v>35.082000000000001</v>
      </c>
      <c r="BS64" s="11">
        <v>205.06899999999999</v>
      </c>
      <c r="BT64" s="11">
        <v>192.73</v>
      </c>
      <c r="BU64" s="11">
        <v>19.838000000000001</v>
      </c>
      <c r="BV64" s="11">
        <v>511.32799999999997</v>
      </c>
      <c r="BW64" s="11">
        <v>103.65300000000001</v>
      </c>
      <c r="BX64" s="11">
        <v>249.84899999999999</v>
      </c>
      <c r="BY64" s="11">
        <v>128.691</v>
      </c>
      <c r="BZ64" s="11">
        <v>264.142</v>
      </c>
      <c r="CA64" s="11">
        <v>343.91199999999998</v>
      </c>
      <c r="CB64" s="11">
        <v>0</v>
      </c>
      <c r="CC64" s="11">
        <v>12019.468999999999</v>
      </c>
      <c r="CD64" s="11">
        <v>7772.6679999999997</v>
      </c>
      <c r="CE64" s="11">
        <v>7627.0709999999999</v>
      </c>
      <c r="CF64" s="11">
        <v>8.2870000000000008</v>
      </c>
      <c r="CG64" s="11">
        <v>563.50900000000001</v>
      </c>
      <c r="CH64" s="11">
        <v>0</v>
      </c>
      <c r="CI64" s="11">
        <v>92.638000000000005</v>
      </c>
      <c r="CJ64" s="11">
        <v>-518.83699999999999</v>
      </c>
      <c r="CK64" s="12" t="s">
        <v>94</v>
      </c>
    </row>
    <row r="65" spans="1:89" x14ac:dyDescent="0.3">
      <c r="A65" s="7" t="s">
        <v>152</v>
      </c>
      <c r="B65" s="10">
        <v>49973.080999999998</v>
      </c>
      <c r="C65" s="10">
        <v>29836.058000000001</v>
      </c>
      <c r="D65" s="10">
        <v>0</v>
      </c>
      <c r="E65" s="10">
        <v>0</v>
      </c>
      <c r="F65" s="10">
        <v>0</v>
      </c>
      <c r="G65" s="10">
        <v>0</v>
      </c>
      <c r="H65" s="10">
        <v>0.59699999999999998</v>
      </c>
      <c r="I65" s="10">
        <v>100.73699999999999</v>
      </c>
      <c r="J65" s="10">
        <v>70.480999999999995</v>
      </c>
      <c r="K65" s="10">
        <v>20.033999999999999</v>
      </c>
      <c r="L65" s="10">
        <v>22.312000000000001</v>
      </c>
      <c r="M65" s="10">
        <v>4.0000000000000001E-3</v>
      </c>
      <c r="N65" s="10">
        <v>3.56</v>
      </c>
      <c r="O65" s="10">
        <v>2.4540000000000002</v>
      </c>
      <c r="P65" s="10">
        <v>420.73099999999999</v>
      </c>
      <c r="Q65" s="10">
        <v>21.024999999999999</v>
      </c>
      <c r="R65" s="10">
        <v>6.9349999999999996</v>
      </c>
      <c r="S65" s="10">
        <v>0.61899999999999999</v>
      </c>
      <c r="T65" s="10">
        <v>20.141999999999999</v>
      </c>
      <c r="U65" s="10">
        <v>4.5279999999999996</v>
      </c>
      <c r="V65" s="10">
        <v>2.5000000000000001E-2</v>
      </c>
      <c r="W65" s="10">
        <v>168.078</v>
      </c>
      <c r="X65" s="10">
        <v>4.9359999999999999</v>
      </c>
      <c r="Y65" s="10">
        <v>10.377000000000001</v>
      </c>
      <c r="Z65" s="10">
        <v>164.08500000000001</v>
      </c>
      <c r="AA65" s="10">
        <v>211.74799999999999</v>
      </c>
      <c r="AB65" s="10">
        <v>26.965</v>
      </c>
      <c r="AC65" s="10">
        <v>18.402000000000001</v>
      </c>
      <c r="AD65" s="10">
        <v>147.613</v>
      </c>
      <c r="AE65" s="10">
        <v>430.17899999999997</v>
      </c>
      <c r="AF65" s="10">
        <v>3.3959999999999999</v>
      </c>
      <c r="AG65" s="10">
        <v>164.07599999999999</v>
      </c>
      <c r="AH65" s="10">
        <v>4198.9430000000002</v>
      </c>
      <c r="AI65" s="10">
        <v>4.915</v>
      </c>
      <c r="AJ65" s="10">
        <v>1.39</v>
      </c>
      <c r="AK65" s="10">
        <v>4009.3389999999999</v>
      </c>
      <c r="AL65" s="10">
        <v>14199.632</v>
      </c>
      <c r="AM65" s="10">
        <v>153.417</v>
      </c>
      <c r="AN65" s="10">
        <v>44.959000000000003</v>
      </c>
      <c r="AO65" s="10">
        <v>23.135999999999999</v>
      </c>
      <c r="AP65" s="10">
        <v>8.0039999999999996</v>
      </c>
      <c r="AQ65" s="10">
        <v>21.233000000000001</v>
      </c>
      <c r="AR65" s="10">
        <v>0</v>
      </c>
      <c r="AS65" s="10">
        <v>9.5000000000000001E-2</v>
      </c>
      <c r="AT65" s="10">
        <v>102.997</v>
      </c>
      <c r="AU65" s="10">
        <v>0</v>
      </c>
      <c r="AV65" s="10">
        <v>17.597000000000001</v>
      </c>
      <c r="AW65" s="10">
        <v>7.0339999999999998</v>
      </c>
      <c r="AX65" s="10">
        <v>55.609000000000002</v>
      </c>
      <c r="AY65" s="10">
        <v>105.154</v>
      </c>
      <c r="AZ65" s="10">
        <v>246.82</v>
      </c>
      <c r="BA65" s="10">
        <v>757.96500000000003</v>
      </c>
      <c r="BB65" s="10">
        <v>2.5030000000000001</v>
      </c>
      <c r="BC65" s="10">
        <v>1.0029999999999999</v>
      </c>
      <c r="BD65" s="10">
        <v>0</v>
      </c>
      <c r="BE65" s="10">
        <v>2036.627</v>
      </c>
      <c r="BF65" s="10">
        <v>11.016</v>
      </c>
      <c r="BG65" s="10">
        <v>6.94</v>
      </c>
      <c r="BH65" s="10">
        <v>156.47999999999999</v>
      </c>
      <c r="BI65" s="10">
        <v>73.238</v>
      </c>
      <c r="BJ65" s="10">
        <v>11.249000000000001</v>
      </c>
      <c r="BK65" s="10">
        <v>124.913</v>
      </c>
      <c r="BL65" s="10">
        <v>0</v>
      </c>
      <c r="BM65" s="10">
        <v>61.959000000000003</v>
      </c>
      <c r="BN65" s="10">
        <v>3.1E-2</v>
      </c>
      <c r="BO65" s="10">
        <v>105.622</v>
      </c>
      <c r="BP65" s="10">
        <v>11.337</v>
      </c>
      <c r="BQ65" s="10">
        <v>30.355</v>
      </c>
      <c r="BR65" s="10">
        <v>3.5999999999999997E-2</v>
      </c>
      <c r="BS65" s="10">
        <v>0.67400000000000004</v>
      </c>
      <c r="BT65" s="10">
        <v>17.707000000000001</v>
      </c>
      <c r="BU65" s="10">
        <v>0.80800000000000005</v>
      </c>
      <c r="BV65" s="10">
        <v>68.064999999999998</v>
      </c>
      <c r="BW65" s="10">
        <v>224.803</v>
      </c>
      <c r="BX65" s="10">
        <v>376.94099999999997</v>
      </c>
      <c r="BY65" s="10">
        <v>2.1560000000000001</v>
      </c>
      <c r="BZ65" s="10">
        <v>49.670999999999999</v>
      </c>
      <c r="CA65" s="10">
        <v>8.6010000000000009</v>
      </c>
      <c r="CB65" s="10">
        <v>0</v>
      </c>
      <c r="CC65" s="10">
        <v>451.04500000000002</v>
      </c>
      <c r="CD65" s="10">
        <v>20137.023000000001</v>
      </c>
      <c r="CE65" s="10">
        <v>0</v>
      </c>
      <c r="CF65" s="10">
        <v>0</v>
      </c>
      <c r="CG65" s="10">
        <v>103492.139</v>
      </c>
      <c r="CH65" s="10">
        <v>0</v>
      </c>
      <c r="CI65" s="10">
        <v>9981.5550000000003</v>
      </c>
      <c r="CJ65" s="10">
        <v>-93336.671000000002</v>
      </c>
      <c r="CK65" s="13" t="s">
        <v>94</v>
      </c>
    </row>
    <row r="66" spans="1:89" x14ac:dyDescent="0.3">
      <c r="A66" s="8" t="s">
        <v>153</v>
      </c>
      <c r="B66" s="11">
        <v>585847.027</v>
      </c>
      <c r="C66" s="11">
        <v>493792.05599999998</v>
      </c>
      <c r="D66" s="11">
        <v>161.72499999999999</v>
      </c>
      <c r="E66" s="11">
        <v>425.35199999999998</v>
      </c>
      <c r="F66" s="11">
        <v>261.928</v>
      </c>
      <c r="G66" s="11">
        <v>190.886</v>
      </c>
      <c r="H66" s="11">
        <v>350.14299999999997</v>
      </c>
      <c r="I66" s="11">
        <v>8995.1980000000003</v>
      </c>
      <c r="J66" s="11">
        <v>6999.7150000000001</v>
      </c>
      <c r="K66" s="11">
        <v>4027.2489999999998</v>
      </c>
      <c r="L66" s="11">
        <v>10509.505999999999</v>
      </c>
      <c r="M66" s="11">
        <v>28352.621999999999</v>
      </c>
      <c r="N66" s="11">
        <v>14350.965</v>
      </c>
      <c r="O66" s="11">
        <v>6102.93</v>
      </c>
      <c r="P66" s="11">
        <v>17731.830999999998</v>
      </c>
      <c r="Q66" s="11">
        <v>1817.539</v>
      </c>
      <c r="R66" s="11">
        <v>166.17099999999999</v>
      </c>
      <c r="S66" s="11">
        <v>159.14599999999999</v>
      </c>
      <c r="T66" s="11">
        <v>795.96600000000001</v>
      </c>
      <c r="U66" s="11">
        <v>195.41200000000001</v>
      </c>
      <c r="V66" s="11">
        <v>242.08500000000001</v>
      </c>
      <c r="W66" s="11">
        <v>1645.8230000000001</v>
      </c>
      <c r="X66" s="11">
        <v>1175.55</v>
      </c>
      <c r="Y66" s="11">
        <v>793.827</v>
      </c>
      <c r="Z66" s="11">
        <v>6731.8410000000003</v>
      </c>
      <c r="AA66" s="11">
        <v>2573.4589999999998</v>
      </c>
      <c r="AB66" s="11">
        <v>1412.8009999999999</v>
      </c>
      <c r="AC66" s="11">
        <v>2704.951</v>
      </c>
      <c r="AD66" s="11">
        <v>2440.826</v>
      </c>
      <c r="AE66" s="11">
        <v>3209.6219999999998</v>
      </c>
      <c r="AF66" s="11">
        <v>2726.5309999999999</v>
      </c>
      <c r="AG66" s="11">
        <v>875.34900000000005</v>
      </c>
      <c r="AH66" s="11">
        <v>15909.063</v>
      </c>
      <c r="AI66" s="11">
        <v>674.26900000000001</v>
      </c>
      <c r="AJ66" s="11">
        <v>452.923</v>
      </c>
      <c r="AK66" s="11">
        <v>45286.125</v>
      </c>
      <c r="AL66" s="11">
        <v>45733.512999999999</v>
      </c>
      <c r="AM66" s="11">
        <v>1379.4680000000001</v>
      </c>
      <c r="AN66" s="11">
        <v>388.17</v>
      </c>
      <c r="AO66" s="11">
        <v>186.07</v>
      </c>
      <c r="AP66" s="11">
        <v>2635.973</v>
      </c>
      <c r="AQ66" s="11">
        <v>3515.335</v>
      </c>
      <c r="AR66" s="11">
        <v>2248.4639999999999</v>
      </c>
      <c r="AS66" s="11">
        <v>58.786999999999999</v>
      </c>
      <c r="AT66" s="11">
        <v>5977.2709999999997</v>
      </c>
      <c r="AU66" s="11">
        <v>380.48</v>
      </c>
      <c r="AV66" s="11">
        <v>575.79600000000005</v>
      </c>
      <c r="AW66" s="11">
        <v>4096.4530000000004</v>
      </c>
      <c r="AX66" s="11">
        <v>1093.924</v>
      </c>
      <c r="AY66" s="11">
        <v>2031.5630000000001</v>
      </c>
      <c r="AZ66" s="11">
        <v>4959.1809999999996</v>
      </c>
      <c r="BA66" s="11">
        <v>8058.8779999999997</v>
      </c>
      <c r="BB66" s="11">
        <v>430.28699999999998</v>
      </c>
      <c r="BC66" s="11">
        <v>315.99099999999999</v>
      </c>
      <c r="BD66" s="11">
        <v>135.054</v>
      </c>
      <c r="BE66" s="11">
        <v>17968.8</v>
      </c>
      <c r="BF66" s="11">
        <v>909.36</v>
      </c>
      <c r="BG66" s="11">
        <v>8179.13</v>
      </c>
      <c r="BH66" s="11">
        <v>41758.516000000003</v>
      </c>
      <c r="BI66" s="11">
        <v>1714.951</v>
      </c>
      <c r="BJ66" s="11">
        <v>54.362000000000002</v>
      </c>
      <c r="BK66" s="11">
        <v>23871.714</v>
      </c>
      <c r="BL66" s="11">
        <v>12359.208000000001</v>
      </c>
      <c r="BM66" s="11">
        <v>16146.391</v>
      </c>
      <c r="BN66" s="11">
        <v>68.759</v>
      </c>
      <c r="BO66" s="11">
        <v>9708.8510000000006</v>
      </c>
      <c r="BP66" s="11">
        <v>4804.482</v>
      </c>
      <c r="BQ66" s="11">
        <v>5256.4790000000003</v>
      </c>
      <c r="BR66" s="11">
        <v>27.823</v>
      </c>
      <c r="BS66" s="11">
        <v>423.98099999999999</v>
      </c>
      <c r="BT66" s="11">
        <v>286.49400000000003</v>
      </c>
      <c r="BU66" s="11">
        <v>175.68199999999999</v>
      </c>
      <c r="BV66" s="11">
        <v>1172.6320000000001</v>
      </c>
      <c r="BW66" s="11">
        <v>2062.451</v>
      </c>
      <c r="BX66" s="11">
        <v>2146.3719999999998</v>
      </c>
      <c r="BY66" s="11">
        <v>720.23199999999997</v>
      </c>
      <c r="BZ66" s="11">
        <v>1208.2059999999999</v>
      </c>
      <c r="CA66" s="11">
        <v>4611.2780000000002</v>
      </c>
      <c r="CB66" s="11">
        <v>0</v>
      </c>
      <c r="CC66" s="11">
        <v>63505.915000000001</v>
      </c>
      <c r="CD66" s="11">
        <v>92054.971000000005</v>
      </c>
      <c r="CE66" s="11">
        <v>46497.292999999998</v>
      </c>
      <c r="CF66" s="11">
        <v>23932.361000000001</v>
      </c>
      <c r="CG66" s="11">
        <v>67000.875</v>
      </c>
      <c r="CH66" s="11">
        <v>0</v>
      </c>
      <c r="CI66" s="11">
        <v>44888.118999999999</v>
      </c>
      <c r="CJ66" s="11">
        <v>-90263.676999999996</v>
      </c>
      <c r="CK66" s="12" t="s">
        <v>94</v>
      </c>
    </row>
    <row r="67" spans="1:89" x14ac:dyDescent="0.3">
      <c r="A67" s="7" t="s">
        <v>154</v>
      </c>
      <c r="B67" s="10">
        <v>213764.20300000001</v>
      </c>
      <c r="C67" s="10">
        <v>213565.19899999999</v>
      </c>
      <c r="D67" s="10">
        <v>0.59599999999999997</v>
      </c>
      <c r="E67" s="10">
        <v>3.7999999999999999E-2</v>
      </c>
      <c r="F67" s="10">
        <v>0</v>
      </c>
      <c r="G67" s="10">
        <v>0</v>
      </c>
      <c r="H67" s="10">
        <v>0</v>
      </c>
      <c r="I67" s="10">
        <v>18109.978999999999</v>
      </c>
      <c r="J67" s="10">
        <v>68.256</v>
      </c>
      <c r="K67" s="10">
        <v>1912.88</v>
      </c>
      <c r="L67" s="10">
        <v>0</v>
      </c>
      <c r="M67" s="10">
        <v>1.6E-2</v>
      </c>
      <c r="N67" s="10">
        <v>113.91800000000001</v>
      </c>
      <c r="O67" s="10">
        <v>19.61</v>
      </c>
      <c r="P67" s="10">
        <v>157.61600000000001</v>
      </c>
      <c r="Q67" s="10">
        <v>10.093999999999999</v>
      </c>
      <c r="R67" s="10">
        <v>0</v>
      </c>
      <c r="S67" s="10">
        <v>0</v>
      </c>
      <c r="T67" s="10">
        <v>0</v>
      </c>
      <c r="U67" s="10">
        <v>0</v>
      </c>
      <c r="V67" s="10">
        <v>0.01</v>
      </c>
      <c r="W67" s="10">
        <v>4.8000000000000001E-2</v>
      </c>
      <c r="X67" s="10">
        <v>5.6000000000000001E-2</v>
      </c>
      <c r="Y67" s="10">
        <v>40471.146000000001</v>
      </c>
      <c r="Z67" s="10">
        <v>10487.009</v>
      </c>
      <c r="AA67" s="10">
        <v>1.5269999999999999</v>
      </c>
      <c r="AB67" s="10">
        <v>0</v>
      </c>
      <c r="AC67" s="10">
        <v>915.024</v>
      </c>
      <c r="AD67" s="10">
        <v>0.124</v>
      </c>
      <c r="AE67" s="10">
        <v>5.7000000000000002E-2</v>
      </c>
      <c r="AF67" s="10">
        <v>6.4000000000000001E-2</v>
      </c>
      <c r="AG67" s="10">
        <v>0.105</v>
      </c>
      <c r="AH67" s="10">
        <v>1.1990000000000001</v>
      </c>
      <c r="AI67" s="10">
        <v>2.7E-2</v>
      </c>
      <c r="AJ67" s="10">
        <v>7.2130000000000001</v>
      </c>
      <c r="AK67" s="10">
        <v>54662.012000000002</v>
      </c>
      <c r="AL67" s="10">
        <v>32824.642999999996</v>
      </c>
      <c r="AM67" s="10">
        <v>9.3859999999999992</v>
      </c>
      <c r="AN67" s="10">
        <v>40.173000000000002</v>
      </c>
      <c r="AO67" s="10">
        <v>25.326000000000001</v>
      </c>
      <c r="AP67" s="10">
        <v>49.182000000000002</v>
      </c>
      <c r="AQ67" s="10">
        <v>1130.51</v>
      </c>
      <c r="AR67" s="10">
        <v>0</v>
      </c>
      <c r="AS67" s="10">
        <v>2.0640000000000001</v>
      </c>
      <c r="AT67" s="10">
        <v>121.333</v>
      </c>
      <c r="AU67" s="10">
        <v>6.2</v>
      </c>
      <c r="AV67" s="10">
        <v>154.376</v>
      </c>
      <c r="AW67" s="10">
        <v>33.36</v>
      </c>
      <c r="AX67" s="10">
        <v>55.470999999999997</v>
      </c>
      <c r="AY67" s="10">
        <v>51.917000000000002</v>
      </c>
      <c r="AZ67" s="10">
        <v>1057.404</v>
      </c>
      <c r="BA67" s="10">
        <v>871.36300000000006</v>
      </c>
      <c r="BB67" s="10">
        <v>19.959</v>
      </c>
      <c r="BC67" s="10">
        <v>2.9350000000000001</v>
      </c>
      <c r="BD67" s="10">
        <v>3.0000000000000001E-3</v>
      </c>
      <c r="BE67" s="10">
        <v>4730.5730000000003</v>
      </c>
      <c r="BF67" s="10">
        <v>1311.0619999999999</v>
      </c>
      <c r="BG67" s="10">
        <v>17814.991999999998</v>
      </c>
      <c r="BH67" s="10">
        <v>338.85899999999998</v>
      </c>
      <c r="BI67" s="10">
        <v>0</v>
      </c>
      <c r="BJ67" s="10">
        <v>0</v>
      </c>
      <c r="BK67" s="10">
        <v>368.87400000000002</v>
      </c>
      <c r="BL67" s="10">
        <v>18643.624</v>
      </c>
      <c r="BM67" s="10">
        <v>5064.3149999999996</v>
      </c>
      <c r="BN67" s="10">
        <v>45.463999999999999</v>
      </c>
      <c r="BO67" s="10">
        <v>7.2889999999999997</v>
      </c>
      <c r="BP67" s="10">
        <v>0.156</v>
      </c>
      <c r="BQ67" s="10">
        <v>0.255</v>
      </c>
      <c r="BR67" s="10">
        <v>0</v>
      </c>
      <c r="BS67" s="10">
        <v>0.37</v>
      </c>
      <c r="BT67" s="10">
        <v>53.399000000000001</v>
      </c>
      <c r="BU67" s="10">
        <v>4.0000000000000001E-3</v>
      </c>
      <c r="BV67" s="10">
        <v>129.702</v>
      </c>
      <c r="BW67" s="10">
        <v>1640.7380000000001</v>
      </c>
      <c r="BX67" s="10">
        <v>6.0229999999999997</v>
      </c>
      <c r="BY67" s="10">
        <v>0.14199999999999999</v>
      </c>
      <c r="BZ67" s="10">
        <v>0</v>
      </c>
      <c r="CA67" s="10">
        <v>7.3179999999999996</v>
      </c>
      <c r="CB67" s="10">
        <v>0</v>
      </c>
      <c r="CC67" s="10">
        <v>7.8109999999999999</v>
      </c>
      <c r="CD67" s="10">
        <v>199.00399999999999</v>
      </c>
      <c r="CE67" s="10">
        <v>0</v>
      </c>
      <c r="CF67" s="10">
        <v>118.592</v>
      </c>
      <c r="CG67" s="10">
        <v>228.02500000000001</v>
      </c>
      <c r="CH67" s="10">
        <v>0</v>
      </c>
      <c r="CI67" s="10">
        <v>0.84599999999999997</v>
      </c>
      <c r="CJ67" s="10">
        <v>-148.459</v>
      </c>
      <c r="CK67" s="13" t="s">
        <v>94</v>
      </c>
    </row>
    <row r="68" spans="1:89" x14ac:dyDescent="0.3">
      <c r="A68" s="8" t="s">
        <v>155</v>
      </c>
      <c r="B68" s="11">
        <v>1004832.714</v>
      </c>
      <c r="C68" s="11">
        <v>946771.53599999996</v>
      </c>
      <c r="D68" s="11">
        <v>0.17799999999999999</v>
      </c>
      <c r="E68" s="11">
        <v>176.036</v>
      </c>
      <c r="F68" s="11">
        <v>0</v>
      </c>
      <c r="G68" s="11">
        <v>474.68599999999998</v>
      </c>
      <c r="H68" s="11">
        <v>398.83</v>
      </c>
      <c r="I68" s="11">
        <v>2784.8539999999998</v>
      </c>
      <c r="J68" s="11">
        <v>17786.03</v>
      </c>
      <c r="K68" s="11">
        <v>4457.1629999999996</v>
      </c>
      <c r="L68" s="11">
        <v>5980.7820000000002</v>
      </c>
      <c r="M68" s="11">
        <v>6543.2049999999999</v>
      </c>
      <c r="N68" s="11">
        <v>6978.951</v>
      </c>
      <c r="O68" s="11">
        <v>1231.3599999999999</v>
      </c>
      <c r="P68" s="11">
        <v>31919.81</v>
      </c>
      <c r="Q68" s="11">
        <v>11399.61</v>
      </c>
      <c r="R68" s="11">
        <v>2339.8989999999999</v>
      </c>
      <c r="S68" s="11">
        <v>889.952</v>
      </c>
      <c r="T68" s="11">
        <v>3867.6680000000001</v>
      </c>
      <c r="U68" s="11">
        <v>1742.825</v>
      </c>
      <c r="V68" s="11">
        <v>858.37400000000002</v>
      </c>
      <c r="W68" s="11">
        <v>8302.8729999999996</v>
      </c>
      <c r="X68" s="11">
        <v>3043.9110000000001</v>
      </c>
      <c r="Y68" s="11">
        <v>4594.3239999999996</v>
      </c>
      <c r="Z68" s="11">
        <v>17757.935000000001</v>
      </c>
      <c r="AA68" s="11">
        <v>23560.42</v>
      </c>
      <c r="AB68" s="11">
        <v>11028.254000000001</v>
      </c>
      <c r="AC68" s="11">
        <v>21168.669000000002</v>
      </c>
      <c r="AD68" s="11">
        <v>11106.611000000001</v>
      </c>
      <c r="AE68" s="11">
        <v>12501.805</v>
      </c>
      <c r="AF68" s="11">
        <v>13256.458000000001</v>
      </c>
      <c r="AG68" s="11">
        <v>12569.532999999999</v>
      </c>
      <c r="AH68" s="11">
        <v>61235.146999999997</v>
      </c>
      <c r="AI68" s="11">
        <v>1668.73</v>
      </c>
      <c r="AJ68" s="11">
        <v>3231.7629999999999</v>
      </c>
      <c r="AK68" s="11">
        <v>139292.204</v>
      </c>
      <c r="AL68" s="11">
        <v>70205.043999999994</v>
      </c>
      <c r="AM68" s="11">
        <v>7902.2340000000004</v>
      </c>
      <c r="AN68" s="11">
        <v>1596.827</v>
      </c>
      <c r="AO68" s="11">
        <v>367.32799999999997</v>
      </c>
      <c r="AP68" s="11">
        <v>3326.384</v>
      </c>
      <c r="AQ68" s="11">
        <v>4528.5720000000001</v>
      </c>
      <c r="AR68" s="11">
        <v>1198.904</v>
      </c>
      <c r="AS68" s="11">
        <v>111.702</v>
      </c>
      <c r="AT68" s="11">
        <v>8854.9760000000006</v>
      </c>
      <c r="AU68" s="11">
        <v>48.427999999999997</v>
      </c>
      <c r="AV68" s="11">
        <v>1189.79</v>
      </c>
      <c r="AW68" s="11">
        <v>3247.37</v>
      </c>
      <c r="AX68" s="11">
        <v>2215.5349999999999</v>
      </c>
      <c r="AY68" s="11">
        <v>1878.8779999999999</v>
      </c>
      <c r="AZ68" s="11">
        <v>7248.1589999999997</v>
      </c>
      <c r="BA68" s="11">
        <v>30275.23</v>
      </c>
      <c r="BB68" s="11">
        <v>1511.5830000000001</v>
      </c>
      <c r="BC68" s="11">
        <v>242.541</v>
      </c>
      <c r="BD68" s="11">
        <v>602.84400000000005</v>
      </c>
      <c r="BE68" s="11">
        <v>92043.626000000004</v>
      </c>
      <c r="BF68" s="11">
        <v>4570.8280000000004</v>
      </c>
      <c r="BG68" s="11">
        <v>42984.754999999997</v>
      </c>
      <c r="BH68" s="11">
        <v>10241.674999999999</v>
      </c>
      <c r="BI68" s="11">
        <v>1775.7090000000001</v>
      </c>
      <c r="BJ68" s="11">
        <v>52.645000000000003</v>
      </c>
      <c r="BK68" s="11">
        <v>13973.438</v>
      </c>
      <c r="BL68" s="11">
        <v>2929.317</v>
      </c>
      <c r="BM68" s="11">
        <v>23592.125</v>
      </c>
      <c r="BN68" s="11">
        <v>694.35599999999999</v>
      </c>
      <c r="BO68" s="11">
        <v>14553.338</v>
      </c>
      <c r="BP68" s="11">
        <v>8188.3280000000004</v>
      </c>
      <c r="BQ68" s="11">
        <v>14549.922</v>
      </c>
      <c r="BR68" s="11">
        <v>67.334999999999994</v>
      </c>
      <c r="BS68" s="11">
        <v>2073.8240000000001</v>
      </c>
      <c r="BT68" s="11">
        <v>2884.3470000000002</v>
      </c>
      <c r="BU68" s="11">
        <v>1300.9549999999999</v>
      </c>
      <c r="BV68" s="11">
        <v>5939.7049999999999</v>
      </c>
      <c r="BW68" s="11">
        <v>30029.850999999999</v>
      </c>
      <c r="BX68" s="11">
        <v>16390.351999999999</v>
      </c>
      <c r="BY68" s="11">
        <v>1516.9269999999999</v>
      </c>
      <c r="BZ68" s="11">
        <v>1332.557</v>
      </c>
      <c r="CA68" s="11">
        <v>2473.3910000000001</v>
      </c>
      <c r="CB68" s="11">
        <v>0</v>
      </c>
      <c r="CC68" s="11">
        <v>61911.050999999999</v>
      </c>
      <c r="CD68" s="11">
        <v>58061.178</v>
      </c>
      <c r="CE68" s="11">
        <v>60911.514999999999</v>
      </c>
      <c r="CF68" s="11">
        <v>35.780999999999999</v>
      </c>
      <c r="CG68" s="11">
        <v>841.54700000000003</v>
      </c>
      <c r="CH68" s="11">
        <v>0</v>
      </c>
      <c r="CI68" s="11">
        <v>23890.275000000001</v>
      </c>
      <c r="CJ68" s="11">
        <v>-27617.94</v>
      </c>
      <c r="CK68" s="12" t="s">
        <v>94</v>
      </c>
    </row>
    <row r="69" spans="1:89" x14ac:dyDescent="0.3">
      <c r="A69" s="7" t="s">
        <v>156</v>
      </c>
      <c r="B69" s="10">
        <v>25565.493999999999</v>
      </c>
      <c r="C69" s="10">
        <v>25496.883999999998</v>
      </c>
      <c r="D69" s="10">
        <v>1E-3</v>
      </c>
      <c r="E69" s="10">
        <v>0</v>
      </c>
      <c r="F69" s="10">
        <v>0</v>
      </c>
      <c r="G69" s="10">
        <v>0</v>
      </c>
      <c r="H69" s="10">
        <v>0</v>
      </c>
      <c r="I69" s="10">
        <v>2E-3</v>
      </c>
      <c r="J69" s="10">
        <v>13.1</v>
      </c>
      <c r="K69" s="10">
        <v>0</v>
      </c>
      <c r="L69" s="10">
        <v>0</v>
      </c>
      <c r="M69" s="10">
        <v>1318.5119999999999</v>
      </c>
      <c r="N69" s="10">
        <v>2194.1469999999999</v>
      </c>
      <c r="O69" s="10">
        <v>5.4969999999999999</v>
      </c>
      <c r="P69" s="10">
        <v>2801.1350000000002</v>
      </c>
      <c r="Q69" s="10">
        <v>479.428</v>
      </c>
      <c r="R69" s="10">
        <v>6.0000000000000001E-3</v>
      </c>
      <c r="S69" s="10">
        <v>0</v>
      </c>
      <c r="T69" s="10">
        <v>0</v>
      </c>
      <c r="U69" s="10">
        <v>0</v>
      </c>
      <c r="V69" s="10">
        <v>25.619</v>
      </c>
      <c r="W69" s="10">
        <v>240.279</v>
      </c>
      <c r="X69" s="10">
        <v>73.168999999999997</v>
      </c>
      <c r="Y69" s="10">
        <v>86.471999999999994</v>
      </c>
      <c r="Z69" s="10">
        <v>446.24</v>
      </c>
      <c r="AA69" s="10">
        <v>191.16900000000001</v>
      </c>
      <c r="AB69" s="10">
        <v>3.0000000000000001E-3</v>
      </c>
      <c r="AC69" s="10">
        <v>866.16899999999998</v>
      </c>
      <c r="AD69" s="10">
        <v>338.55900000000003</v>
      </c>
      <c r="AE69" s="10">
        <v>305.78399999999999</v>
      </c>
      <c r="AF69" s="10">
        <v>255.471</v>
      </c>
      <c r="AG69" s="10">
        <v>108.828</v>
      </c>
      <c r="AH69" s="10">
        <v>3721.6030000000001</v>
      </c>
      <c r="AI69" s="10">
        <v>26.85</v>
      </c>
      <c r="AJ69" s="10">
        <v>34.497999999999998</v>
      </c>
      <c r="AK69" s="10">
        <v>15.173999999999999</v>
      </c>
      <c r="AL69" s="10">
        <v>0.22500000000000001</v>
      </c>
      <c r="AM69" s="10">
        <v>722.75900000000001</v>
      </c>
      <c r="AN69" s="10">
        <v>213.97200000000001</v>
      </c>
      <c r="AO69" s="10">
        <v>24.478000000000002</v>
      </c>
      <c r="AP69" s="10">
        <v>256.22300000000001</v>
      </c>
      <c r="AQ69" s="10">
        <v>851.46799999999996</v>
      </c>
      <c r="AR69" s="10">
        <v>293.75</v>
      </c>
      <c r="AS69" s="10">
        <v>1.4690000000000001</v>
      </c>
      <c r="AT69" s="10">
        <v>618.37400000000002</v>
      </c>
      <c r="AU69" s="10">
        <v>12.058</v>
      </c>
      <c r="AV69" s="10">
        <v>66.39</v>
      </c>
      <c r="AW69" s="10">
        <v>238.32499999999999</v>
      </c>
      <c r="AX69" s="10">
        <v>66.799000000000007</v>
      </c>
      <c r="AY69" s="10">
        <v>171.76599999999999</v>
      </c>
      <c r="AZ69" s="10">
        <v>660.01599999999996</v>
      </c>
      <c r="BA69" s="10">
        <v>3602.5070000000001</v>
      </c>
      <c r="BB69" s="10">
        <v>19.591999999999999</v>
      </c>
      <c r="BC69" s="10">
        <v>109.994</v>
      </c>
      <c r="BD69" s="10">
        <v>0</v>
      </c>
      <c r="BE69" s="10">
        <v>6.9000000000000006E-2</v>
      </c>
      <c r="BF69" s="10">
        <v>1E-3</v>
      </c>
      <c r="BG69" s="10">
        <v>999.95799999999997</v>
      </c>
      <c r="BH69" s="10">
        <v>1494.98</v>
      </c>
      <c r="BI69" s="10">
        <v>30.645</v>
      </c>
      <c r="BJ69" s="10">
        <v>1.8160000000000001</v>
      </c>
      <c r="BK69" s="10">
        <v>292.29500000000002</v>
      </c>
      <c r="BL69" s="10">
        <v>0</v>
      </c>
      <c r="BM69" s="10">
        <v>8.9999999999999993E-3</v>
      </c>
      <c r="BN69" s="10">
        <v>0.66700000000000004</v>
      </c>
      <c r="BO69" s="10">
        <v>29.873000000000001</v>
      </c>
      <c r="BP69" s="10">
        <v>540.298</v>
      </c>
      <c r="BQ69" s="10">
        <v>287.012</v>
      </c>
      <c r="BR69" s="10">
        <v>8.0000000000000002E-3</v>
      </c>
      <c r="BS69" s="10">
        <v>7.2539999999999996</v>
      </c>
      <c r="BT69" s="10">
        <v>47.500999999999998</v>
      </c>
      <c r="BU69" s="10">
        <v>0.71699999999999997</v>
      </c>
      <c r="BV69" s="10">
        <v>4.7460000000000004</v>
      </c>
      <c r="BW69" s="10">
        <v>21.658000000000001</v>
      </c>
      <c r="BX69" s="10">
        <v>0.156</v>
      </c>
      <c r="BY69" s="10">
        <v>0.04</v>
      </c>
      <c r="BZ69" s="10">
        <v>6.093</v>
      </c>
      <c r="CA69" s="10">
        <v>4.3999999999999997E-2</v>
      </c>
      <c r="CB69" s="10">
        <v>0</v>
      </c>
      <c r="CC69" s="10">
        <v>253.16399999999999</v>
      </c>
      <c r="CD69" s="10">
        <v>68.61</v>
      </c>
      <c r="CE69" s="10">
        <v>60.002000000000002</v>
      </c>
      <c r="CF69" s="10">
        <v>0.32300000000000001</v>
      </c>
      <c r="CG69" s="10">
        <v>12.71</v>
      </c>
      <c r="CH69" s="10">
        <v>0</v>
      </c>
      <c r="CI69" s="10">
        <v>4.9000000000000002E-2</v>
      </c>
      <c r="CJ69" s="10">
        <v>-4.4740000000000002</v>
      </c>
      <c r="CK69" s="13" t="s">
        <v>94</v>
      </c>
    </row>
    <row r="70" spans="1:89" x14ac:dyDescent="0.3">
      <c r="A70" s="8" t="s">
        <v>157</v>
      </c>
      <c r="B70" s="11">
        <v>1019391.83</v>
      </c>
      <c r="C70" s="11">
        <v>13043.199000000001</v>
      </c>
      <c r="D70" s="11">
        <v>0.17599999999999999</v>
      </c>
      <c r="E70" s="11">
        <v>0.57399999999999995</v>
      </c>
      <c r="F70" s="11">
        <v>0</v>
      </c>
      <c r="G70" s="11">
        <v>1.59</v>
      </c>
      <c r="H70" s="11">
        <v>8.4469999999999992</v>
      </c>
      <c r="I70" s="11">
        <v>46.082000000000001</v>
      </c>
      <c r="J70" s="11">
        <v>16.161000000000001</v>
      </c>
      <c r="K70" s="11">
        <v>0.89</v>
      </c>
      <c r="L70" s="11">
        <v>5.08</v>
      </c>
      <c r="M70" s="11">
        <v>23.952999999999999</v>
      </c>
      <c r="N70" s="11">
        <v>41.411999999999999</v>
      </c>
      <c r="O70" s="11">
        <v>4.8570000000000002</v>
      </c>
      <c r="P70" s="11">
        <v>171.697</v>
      </c>
      <c r="Q70" s="11">
        <v>25.878</v>
      </c>
      <c r="R70" s="11">
        <v>0</v>
      </c>
      <c r="S70" s="11">
        <v>7.4470000000000001</v>
      </c>
      <c r="T70" s="11">
        <v>3.2639999999999998</v>
      </c>
      <c r="U70" s="11">
        <v>0.71699999999999997</v>
      </c>
      <c r="V70" s="11">
        <v>1.2609999999999999</v>
      </c>
      <c r="W70" s="11">
        <v>16.936</v>
      </c>
      <c r="X70" s="11">
        <v>5.6360000000000001</v>
      </c>
      <c r="Y70" s="11">
        <v>0</v>
      </c>
      <c r="Z70" s="11">
        <v>45.322000000000003</v>
      </c>
      <c r="AA70" s="11">
        <v>0.11</v>
      </c>
      <c r="AB70" s="11">
        <v>1.728</v>
      </c>
      <c r="AC70" s="11">
        <v>39.828000000000003</v>
      </c>
      <c r="AD70" s="11">
        <v>20.603999999999999</v>
      </c>
      <c r="AE70" s="11">
        <v>30.77</v>
      </c>
      <c r="AF70" s="11">
        <v>329.63200000000001</v>
      </c>
      <c r="AG70" s="11">
        <v>91.105999999999995</v>
      </c>
      <c r="AH70" s="11">
        <v>4141.799</v>
      </c>
      <c r="AI70" s="11">
        <v>2.6150000000000002</v>
      </c>
      <c r="AJ70" s="11">
        <v>12.983000000000001</v>
      </c>
      <c r="AK70" s="11">
        <v>8.9700000000000006</v>
      </c>
      <c r="AL70" s="11">
        <v>5.6349999999999998</v>
      </c>
      <c r="AM70" s="11">
        <v>196.494</v>
      </c>
      <c r="AN70" s="11">
        <v>1.171</v>
      </c>
      <c r="AO70" s="11">
        <v>0.71699999999999997</v>
      </c>
      <c r="AP70" s="11">
        <v>86.378</v>
      </c>
      <c r="AQ70" s="11">
        <v>105.36499999999999</v>
      </c>
      <c r="AR70" s="11">
        <v>15.327999999999999</v>
      </c>
      <c r="AS70" s="11">
        <v>1.466</v>
      </c>
      <c r="AT70" s="11">
        <v>163.54900000000001</v>
      </c>
      <c r="AU70" s="11">
        <v>1.946</v>
      </c>
      <c r="AV70" s="11">
        <v>23.884</v>
      </c>
      <c r="AW70" s="11">
        <v>88.722999999999999</v>
      </c>
      <c r="AX70" s="11">
        <v>24.443999999999999</v>
      </c>
      <c r="AY70" s="11">
        <v>54.433</v>
      </c>
      <c r="AZ70" s="11">
        <v>35.875</v>
      </c>
      <c r="BA70" s="11">
        <v>778.01800000000003</v>
      </c>
      <c r="BB70" s="11">
        <v>5.6660000000000004</v>
      </c>
      <c r="BC70" s="11">
        <v>2.5209999999999999</v>
      </c>
      <c r="BD70" s="11">
        <v>8.9999999999999993E-3</v>
      </c>
      <c r="BE70" s="11">
        <v>47.335000000000001</v>
      </c>
      <c r="BF70" s="11">
        <v>6.8000000000000005E-2</v>
      </c>
      <c r="BG70" s="11">
        <v>0.67100000000000004</v>
      </c>
      <c r="BH70" s="11">
        <v>756.63800000000003</v>
      </c>
      <c r="BI70" s="11">
        <v>60.945</v>
      </c>
      <c r="BJ70" s="11">
        <v>0.60599999999999998</v>
      </c>
      <c r="BK70" s="11">
        <v>728.46100000000001</v>
      </c>
      <c r="BL70" s="11">
        <v>0</v>
      </c>
      <c r="BM70" s="11">
        <v>727.69299999999998</v>
      </c>
      <c r="BN70" s="11">
        <v>0.115</v>
      </c>
      <c r="BO70" s="11">
        <v>941.58</v>
      </c>
      <c r="BP70" s="11">
        <v>141.96899999999999</v>
      </c>
      <c r="BQ70" s="11">
        <v>76.683000000000007</v>
      </c>
      <c r="BR70" s="11">
        <v>7.3559999999999999</v>
      </c>
      <c r="BS70" s="11">
        <v>14.004</v>
      </c>
      <c r="BT70" s="11">
        <v>21.030999999999999</v>
      </c>
      <c r="BU70" s="11">
        <v>20.72</v>
      </c>
      <c r="BV70" s="11">
        <v>93.733000000000004</v>
      </c>
      <c r="BW70" s="11">
        <v>3.9319999999999999</v>
      </c>
      <c r="BX70" s="11">
        <v>7.7619999999999996</v>
      </c>
      <c r="BY70" s="11">
        <v>1.5840000000000001</v>
      </c>
      <c r="BZ70" s="11">
        <v>0.71499999999999997</v>
      </c>
      <c r="CA70" s="11">
        <v>89.706000000000003</v>
      </c>
      <c r="CB70" s="11">
        <v>0</v>
      </c>
      <c r="CC70" s="11">
        <v>2600.7449999999999</v>
      </c>
      <c r="CD70" s="11">
        <v>1006348.6310000001</v>
      </c>
      <c r="CE70" s="11">
        <v>251202.796</v>
      </c>
      <c r="CF70" s="11">
        <v>754403.06099999999</v>
      </c>
      <c r="CG70" s="11">
        <v>486.15100000000001</v>
      </c>
      <c r="CH70" s="11">
        <v>0</v>
      </c>
      <c r="CI70" s="11">
        <v>605.06200000000001</v>
      </c>
      <c r="CJ70" s="11">
        <v>-348.43900000000002</v>
      </c>
      <c r="CK70" s="12" t="s">
        <v>94</v>
      </c>
    </row>
    <row r="71" spans="1:89" x14ac:dyDescent="0.3">
      <c r="A71" s="7" t="s">
        <v>158</v>
      </c>
      <c r="B71" s="10">
        <v>355508.67099999997</v>
      </c>
      <c r="C71" s="10">
        <v>13376.071</v>
      </c>
      <c r="D71" s="10">
        <v>0.13700000000000001</v>
      </c>
      <c r="E71" s="10">
        <v>8.0000000000000002E-3</v>
      </c>
      <c r="F71" s="10">
        <v>0</v>
      </c>
      <c r="G71" s="10">
        <v>0</v>
      </c>
      <c r="H71" s="10">
        <v>0</v>
      </c>
      <c r="I71" s="10">
        <v>0.19400000000000001</v>
      </c>
      <c r="J71" s="10">
        <v>2.226</v>
      </c>
      <c r="K71" s="10">
        <v>0</v>
      </c>
      <c r="L71" s="10">
        <v>0</v>
      </c>
      <c r="M71" s="10">
        <v>1.85</v>
      </c>
      <c r="N71" s="10">
        <v>0.28299999999999997</v>
      </c>
      <c r="O71" s="10">
        <v>0</v>
      </c>
      <c r="P71" s="10">
        <v>8.5000000000000006E-2</v>
      </c>
      <c r="Q71" s="10">
        <v>5.0000000000000001E-3</v>
      </c>
      <c r="R71" s="10">
        <v>0</v>
      </c>
      <c r="S71" s="10">
        <v>0</v>
      </c>
      <c r="T71" s="10">
        <v>2E-3</v>
      </c>
      <c r="U71" s="10">
        <v>0</v>
      </c>
      <c r="V71" s="10">
        <v>1E-3</v>
      </c>
      <c r="W71" s="10">
        <v>1.0999999999999999E-2</v>
      </c>
      <c r="X71" s="10">
        <v>5.5E-2</v>
      </c>
      <c r="Y71" s="10">
        <v>0</v>
      </c>
      <c r="Z71" s="10">
        <v>7.0000000000000001E-3</v>
      </c>
      <c r="AA71" s="10">
        <v>0</v>
      </c>
      <c r="AB71" s="10">
        <v>0</v>
      </c>
      <c r="AC71" s="10">
        <v>0.189</v>
      </c>
      <c r="AD71" s="10">
        <v>5.2999999999999999E-2</v>
      </c>
      <c r="AE71" s="10">
        <v>0.01</v>
      </c>
      <c r="AF71" s="10">
        <v>1.4E-2</v>
      </c>
      <c r="AG71" s="10">
        <v>2.3E-2</v>
      </c>
      <c r="AH71" s="10">
        <v>0.60299999999999998</v>
      </c>
      <c r="AI71" s="10">
        <v>6.0000000000000001E-3</v>
      </c>
      <c r="AJ71" s="10">
        <v>2E-3</v>
      </c>
      <c r="AK71" s="10">
        <v>5.0000000000000001E-3</v>
      </c>
      <c r="AL71" s="10">
        <v>5.0369999999999999</v>
      </c>
      <c r="AM71" s="10">
        <v>0</v>
      </c>
      <c r="AN71" s="10">
        <v>0</v>
      </c>
      <c r="AO71" s="10">
        <v>0</v>
      </c>
      <c r="AP71" s="10">
        <v>1188.211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0.64800000000000002</v>
      </c>
      <c r="AY71" s="10">
        <v>0.38600000000000001</v>
      </c>
      <c r="AZ71" s="10">
        <v>0.36199999999999999</v>
      </c>
      <c r="BA71" s="10">
        <v>0</v>
      </c>
      <c r="BB71" s="10">
        <v>0</v>
      </c>
      <c r="BC71" s="10">
        <v>0</v>
      </c>
      <c r="BD71" s="10">
        <v>6.0000000000000001E-3</v>
      </c>
      <c r="BE71" s="10">
        <v>2.1080000000000001</v>
      </c>
      <c r="BF71" s="10">
        <v>4.2000000000000003E-2</v>
      </c>
      <c r="BG71" s="10">
        <v>4968.9889999999996</v>
      </c>
      <c r="BH71" s="10">
        <v>0.26500000000000001</v>
      </c>
      <c r="BI71" s="10">
        <v>8.9999999999999993E-3</v>
      </c>
      <c r="BJ71" s="10">
        <v>0</v>
      </c>
      <c r="BK71" s="10">
        <v>2.609</v>
      </c>
      <c r="BL71" s="10">
        <v>2.1429999999999998</v>
      </c>
      <c r="BM71" s="10">
        <v>1.2350000000000001</v>
      </c>
      <c r="BN71" s="10">
        <v>0</v>
      </c>
      <c r="BO71" s="10">
        <v>20.122</v>
      </c>
      <c r="BP71" s="10">
        <v>1253.481</v>
      </c>
      <c r="BQ71" s="10">
        <v>5663.96</v>
      </c>
      <c r="BR71" s="10">
        <v>167.74799999999999</v>
      </c>
      <c r="BS71" s="10">
        <v>26.594999999999999</v>
      </c>
      <c r="BT71" s="10">
        <v>0</v>
      </c>
      <c r="BU71" s="10">
        <v>6.0000000000000001E-3</v>
      </c>
      <c r="BV71" s="10">
        <v>2.4E-2</v>
      </c>
      <c r="BW71" s="10">
        <v>48.704999999999998</v>
      </c>
      <c r="BX71" s="10">
        <v>0.376</v>
      </c>
      <c r="BY71" s="10">
        <v>8.3000000000000004E-2</v>
      </c>
      <c r="BZ71" s="10">
        <v>0.26700000000000002</v>
      </c>
      <c r="CA71" s="10">
        <v>5.9749999999999996</v>
      </c>
      <c r="CB71" s="10">
        <v>0</v>
      </c>
      <c r="CC71" s="10">
        <v>10.91</v>
      </c>
      <c r="CD71" s="10">
        <v>342132.6</v>
      </c>
      <c r="CE71" s="10">
        <v>122650.50900000001</v>
      </c>
      <c r="CF71" s="10">
        <v>219250.40400000001</v>
      </c>
      <c r="CG71" s="10">
        <v>375.16399999999999</v>
      </c>
      <c r="CH71" s="10">
        <v>0</v>
      </c>
      <c r="CI71" s="10">
        <v>1.462</v>
      </c>
      <c r="CJ71" s="10">
        <v>-144.93899999999999</v>
      </c>
      <c r="CK71" s="13" t="s">
        <v>94</v>
      </c>
    </row>
    <row r="72" spans="1:89" x14ac:dyDescent="0.3">
      <c r="A72" s="8" t="s">
        <v>159</v>
      </c>
      <c r="B72" s="11">
        <v>458773.20400000003</v>
      </c>
      <c r="C72" s="11">
        <v>28920.841</v>
      </c>
      <c r="D72" s="11">
        <v>4.1000000000000002E-2</v>
      </c>
      <c r="E72" s="11">
        <v>2E-3</v>
      </c>
      <c r="F72" s="11">
        <v>0</v>
      </c>
      <c r="G72" s="11">
        <v>0</v>
      </c>
      <c r="H72" s="11">
        <v>0</v>
      </c>
      <c r="I72" s="11">
        <v>5.8999999999999997E-2</v>
      </c>
      <c r="J72" s="11">
        <v>0</v>
      </c>
      <c r="K72" s="11">
        <v>0</v>
      </c>
      <c r="L72" s="11">
        <v>0</v>
      </c>
      <c r="M72" s="11">
        <v>0.14399999999999999</v>
      </c>
      <c r="N72" s="11">
        <v>0.1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3.0000000000000001E-3</v>
      </c>
      <c r="X72" s="11">
        <v>7.0000000000000001E-3</v>
      </c>
      <c r="Y72" s="11">
        <v>0</v>
      </c>
      <c r="Z72" s="11">
        <v>64.771000000000001</v>
      </c>
      <c r="AA72" s="11">
        <v>0</v>
      </c>
      <c r="AB72" s="11">
        <v>0</v>
      </c>
      <c r="AC72" s="11">
        <v>8.9999999999999993E-3</v>
      </c>
      <c r="AD72" s="11">
        <v>7.0000000000000001E-3</v>
      </c>
      <c r="AE72" s="11">
        <v>2E-3</v>
      </c>
      <c r="AF72" s="11">
        <v>3.0000000000000001E-3</v>
      </c>
      <c r="AG72" s="11">
        <v>7.0000000000000001E-3</v>
      </c>
      <c r="AH72" s="11">
        <v>0.21099999999999999</v>
      </c>
      <c r="AI72" s="11">
        <v>2E-3</v>
      </c>
      <c r="AJ72" s="11">
        <v>1E-3</v>
      </c>
      <c r="AK72" s="11">
        <v>0</v>
      </c>
      <c r="AL72" s="11">
        <v>0.16600000000000001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0.24299999999999999</v>
      </c>
      <c r="AY72" s="11">
        <v>0.14499999999999999</v>
      </c>
      <c r="AZ72" s="11">
        <v>0.13500000000000001</v>
      </c>
      <c r="BA72" s="11">
        <v>0</v>
      </c>
      <c r="BB72" s="11">
        <v>0</v>
      </c>
      <c r="BC72" s="11">
        <v>0</v>
      </c>
      <c r="BD72" s="11">
        <v>2E-3</v>
      </c>
      <c r="BE72" s="11">
        <v>0.78400000000000003</v>
      </c>
      <c r="BF72" s="11">
        <v>1.7000000000000001E-2</v>
      </c>
      <c r="BG72" s="11">
        <v>20712.918000000001</v>
      </c>
      <c r="BH72" s="11">
        <v>9.7000000000000003E-2</v>
      </c>
      <c r="BI72" s="11">
        <v>0</v>
      </c>
      <c r="BJ72" s="11">
        <v>0</v>
      </c>
      <c r="BK72" s="11">
        <v>8.7999999999999995E-2</v>
      </c>
      <c r="BL72" s="11">
        <v>0</v>
      </c>
      <c r="BM72" s="11">
        <v>1.2999999999999999E-2</v>
      </c>
      <c r="BN72" s="11">
        <v>0</v>
      </c>
      <c r="BO72" s="11">
        <v>1.127</v>
      </c>
      <c r="BP72" s="11">
        <v>5.8369999999999997</v>
      </c>
      <c r="BQ72" s="11">
        <v>7894.0940000000001</v>
      </c>
      <c r="BR72" s="11">
        <v>22.928999999999998</v>
      </c>
      <c r="BS72" s="11">
        <v>6.0000000000000001E-3</v>
      </c>
      <c r="BT72" s="11">
        <v>0</v>
      </c>
      <c r="BU72" s="11">
        <v>2E-3</v>
      </c>
      <c r="BV72" s="11">
        <v>0</v>
      </c>
      <c r="BW72" s="11">
        <v>0</v>
      </c>
      <c r="BX72" s="11">
        <v>1.7000000000000001E-2</v>
      </c>
      <c r="BY72" s="11">
        <v>0</v>
      </c>
      <c r="BZ72" s="11">
        <v>1.4999999999999999E-2</v>
      </c>
      <c r="CA72" s="11">
        <v>0.219</v>
      </c>
      <c r="CB72" s="11">
        <v>0</v>
      </c>
      <c r="CC72" s="11">
        <v>216.61799999999999</v>
      </c>
      <c r="CD72" s="11">
        <v>429852.36300000001</v>
      </c>
      <c r="CE72" s="11">
        <v>78196.873000000007</v>
      </c>
      <c r="CF72" s="11">
        <v>350854.49200000003</v>
      </c>
      <c r="CG72" s="11">
        <v>92.698999999999998</v>
      </c>
      <c r="CH72" s="11">
        <v>0</v>
      </c>
      <c r="CI72" s="11">
        <v>831.24099999999999</v>
      </c>
      <c r="CJ72" s="11">
        <v>-122.94199999999999</v>
      </c>
      <c r="CK72" s="12" t="s">
        <v>94</v>
      </c>
    </row>
    <row r="73" spans="1:89" x14ac:dyDescent="0.3">
      <c r="A73" s="7" t="s">
        <v>160</v>
      </c>
      <c r="B73" s="10">
        <v>4578.88</v>
      </c>
      <c r="C73" s="10">
        <v>44.575000000000003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0.129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0.04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0.01</v>
      </c>
      <c r="BN73" s="10">
        <v>0</v>
      </c>
      <c r="BO73" s="10">
        <v>0</v>
      </c>
      <c r="BP73" s="10">
        <v>8.5000000000000006E-2</v>
      </c>
      <c r="BQ73" s="10">
        <v>8.9999999999999993E-3</v>
      </c>
      <c r="BR73" s="10">
        <v>44.253</v>
      </c>
      <c r="BS73" s="10">
        <v>4.7E-2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1E-3</v>
      </c>
      <c r="BZ73" s="10">
        <v>0</v>
      </c>
      <c r="CA73" s="10">
        <v>1E-3</v>
      </c>
      <c r="CB73" s="10">
        <v>0</v>
      </c>
      <c r="CC73" s="10">
        <v>0</v>
      </c>
      <c r="CD73" s="10">
        <v>4534.3050000000003</v>
      </c>
      <c r="CE73" s="10">
        <v>3458.9380000000001</v>
      </c>
      <c r="CF73" s="10">
        <v>1064.4939999999999</v>
      </c>
      <c r="CG73" s="10">
        <v>10.872999999999999</v>
      </c>
      <c r="CH73" s="10">
        <v>0</v>
      </c>
      <c r="CI73" s="10">
        <v>0</v>
      </c>
      <c r="CJ73" s="10">
        <v>0</v>
      </c>
      <c r="CK73" s="13" t="s">
        <v>94</v>
      </c>
    </row>
    <row r="74" spans="1:89" x14ac:dyDescent="0.3">
      <c r="A74" s="8" t="s">
        <v>161</v>
      </c>
      <c r="B74" s="11">
        <v>33948.315999999999</v>
      </c>
      <c r="C74" s="11">
        <v>3524.6469999999999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0.187</v>
      </c>
      <c r="N74" s="11">
        <v>3.0000000000000001E-3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7.0000000000000001E-3</v>
      </c>
      <c r="AI74" s="11">
        <v>0</v>
      </c>
      <c r="AJ74" s="11">
        <v>0</v>
      </c>
      <c r="AK74" s="11">
        <v>0</v>
      </c>
      <c r="AL74" s="11">
        <v>2.4E-2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1.0999999999999999E-2</v>
      </c>
      <c r="AY74" s="11">
        <v>7.0000000000000001E-3</v>
      </c>
      <c r="AZ74" s="11">
        <v>6.0000000000000001E-3</v>
      </c>
      <c r="BA74" s="11">
        <v>0</v>
      </c>
      <c r="BB74" s="11">
        <v>0</v>
      </c>
      <c r="BC74" s="11">
        <v>0</v>
      </c>
      <c r="BD74" s="11">
        <v>0</v>
      </c>
      <c r="BE74" s="11">
        <v>3.7999999999999999E-2</v>
      </c>
      <c r="BF74" s="11">
        <v>0</v>
      </c>
      <c r="BG74" s="11">
        <v>0</v>
      </c>
      <c r="BH74" s="11">
        <v>5.0000000000000001E-3</v>
      </c>
      <c r="BI74" s="11">
        <v>3.0000000000000001E-3</v>
      </c>
      <c r="BJ74" s="11">
        <v>0</v>
      </c>
      <c r="BK74" s="11">
        <v>4.0000000000000001E-3</v>
      </c>
      <c r="BL74" s="11">
        <v>0</v>
      </c>
      <c r="BM74" s="11">
        <v>1.4999999999999999E-2</v>
      </c>
      <c r="BN74" s="11">
        <v>0</v>
      </c>
      <c r="BO74" s="11">
        <v>1.3660000000000001</v>
      </c>
      <c r="BP74" s="11">
        <v>5.0000000000000001E-3</v>
      </c>
      <c r="BQ74" s="11">
        <v>8.0000000000000002E-3</v>
      </c>
      <c r="BR74" s="11">
        <v>0.38200000000000001</v>
      </c>
      <c r="BS74" s="11">
        <v>3521.6880000000001</v>
      </c>
      <c r="BT74" s="11">
        <v>0</v>
      </c>
      <c r="BU74" s="11">
        <v>0</v>
      </c>
      <c r="BV74" s="11">
        <v>0</v>
      </c>
      <c r="BW74" s="11">
        <v>0</v>
      </c>
      <c r="BX74" s="11">
        <v>8.6999999999999994E-2</v>
      </c>
      <c r="BY74" s="11">
        <v>0</v>
      </c>
      <c r="BZ74" s="11">
        <v>3.1E-2</v>
      </c>
      <c r="CA74" s="11">
        <v>5.5E-2</v>
      </c>
      <c r="CB74" s="11">
        <v>0</v>
      </c>
      <c r="CC74" s="11">
        <v>0.71499999999999997</v>
      </c>
      <c r="CD74" s="11">
        <v>30423.669000000002</v>
      </c>
      <c r="CE74" s="11">
        <v>13105.179</v>
      </c>
      <c r="CF74" s="11">
        <v>17301.433000000001</v>
      </c>
      <c r="CG74" s="11">
        <v>19.41</v>
      </c>
      <c r="CH74" s="11">
        <v>0</v>
      </c>
      <c r="CI74" s="11">
        <v>2.7E-2</v>
      </c>
      <c r="CJ74" s="11">
        <v>-2.38</v>
      </c>
      <c r="CK74" s="12" t="s">
        <v>94</v>
      </c>
    </row>
    <row r="75" spans="1:89" x14ac:dyDescent="0.3">
      <c r="A75" s="7" t="s">
        <v>162</v>
      </c>
      <c r="B75" s="10">
        <v>66550.428</v>
      </c>
      <c r="C75" s="10">
        <v>161.655</v>
      </c>
      <c r="D75" s="10">
        <v>1E-3</v>
      </c>
      <c r="E75" s="10">
        <v>0</v>
      </c>
      <c r="F75" s="10">
        <v>0</v>
      </c>
      <c r="G75" s="10">
        <v>0</v>
      </c>
      <c r="H75" s="10">
        <v>0</v>
      </c>
      <c r="I75" s="10">
        <v>2E-3</v>
      </c>
      <c r="J75" s="10">
        <v>0</v>
      </c>
      <c r="K75" s="10">
        <v>0</v>
      </c>
      <c r="L75" s="10">
        <v>0</v>
      </c>
      <c r="M75" s="10">
        <v>3.4000000000000002E-2</v>
      </c>
      <c r="N75" s="10">
        <v>0.498</v>
      </c>
      <c r="O75" s="10">
        <v>0</v>
      </c>
      <c r="P75" s="10">
        <v>1E-3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0.01</v>
      </c>
      <c r="AI75" s="10">
        <v>0</v>
      </c>
      <c r="AJ75" s="10">
        <v>0</v>
      </c>
      <c r="AK75" s="10">
        <v>3.0000000000000001E-3</v>
      </c>
      <c r="AL75" s="10">
        <v>7.0000000000000001E-3</v>
      </c>
      <c r="AM75" s="10">
        <v>0</v>
      </c>
      <c r="AN75" s="10">
        <v>0</v>
      </c>
      <c r="AO75" s="10">
        <v>0</v>
      </c>
      <c r="AP75" s="10">
        <v>0</v>
      </c>
      <c r="AQ75" s="10">
        <v>1E-3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0.7</v>
      </c>
      <c r="AY75" s="10">
        <v>8.0000000000000002E-3</v>
      </c>
      <c r="AZ75" s="10">
        <v>6.0000000000000001E-3</v>
      </c>
      <c r="BA75" s="10">
        <v>2E-3</v>
      </c>
      <c r="BB75" s="10">
        <v>0</v>
      </c>
      <c r="BC75" s="10">
        <v>0</v>
      </c>
      <c r="BD75" s="10">
        <v>0</v>
      </c>
      <c r="BE75" s="10">
        <v>3.9E-2</v>
      </c>
      <c r="BF75" s="10">
        <v>1E-3</v>
      </c>
      <c r="BG75" s="10">
        <v>0</v>
      </c>
      <c r="BH75" s="10">
        <v>4.1000000000000002E-2</v>
      </c>
      <c r="BI75" s="10">
        <v>0</v>
      </c>
      <c r="BJ75" s="10">
        <v>0</v>
      </c>
      <c r="BK75" s="10">
        <v>5.0000000000000001E-3</v>
      </c>
      <c r="BL75" s="10">
        <v>1.8320000000000001</v>
      </c>
      <c r="BM75" s="10">
        <v>2.1309999999999998</v>
      </c>
      <c r="BN75" s="10">
        <v>5.0000000000000001E-3</v>
      </c>
      <c r="BO75" s="10">
        <v>1.1319999999999999</v>
      </c>
      <c r="BP75" s="10">
        <v>9.8000000000000004E-2</v>
      </c>
      <c r="BQ75" s="10">
        <v>0.252</v>
      </c>
      <c r="BR75" s="10">
        <v>0</v>
      </c>
      <c r="BS75" s="10">
        <v>0</v>
      </c>
      <c r="BT75" s="10">
        <v>2.4060000000000001</v>
      </c>
      <c r="BU75" s="10">
        <v>1.7999999999999999E-2</v>
      </c>
      <c r="BV75" s="10">
        <v>1.0209999999999999</v>
      </c>
      <c r="BW75" s="10">
        <v>2.4809999999999999</v>
      </c>
      <c r="BX75" s="10">
        <v>4.9000000000000002E-2</v>
      </c>
      <c r="BY75" s="10">
        <v>7.0000000000000001E-3</v>
      </c>
      <c r="BZ75" s="10">
        <v>0.126</v>
      </c>
      <c r="CA75" s="10">
        <v>0.314</v>
      </c>
      <c r="CB75" s="10">
        <v>0</v>
      </c>
      <c r="CC75" s="10">
        <v>148.42400000000001</v>
      </c>
      <c r="CD75" s="10">
        <v>66388.773000000001</v>
      </c>
      <c r="CE75" s="10">
        <v>62632.381000000001</v>
      </c>
      <c r="CF75" s="10">
        <v>3835.5120000000002</v>
      </c>
      <c r="CG75" s="10">
        <v>6.5759999999999996</v>
      </c>
      <c r="CH75" s="10">
        <v>0</v>
      </c>
      <c r="CI75" s="10">
        <v>358.36599999999999</v>
      </c>
      <c r="CJ75" s="10">
        <v>-444.06200000000001</v>
      </c>
      <c r="CK75" s="13" t="s">
        <v>94</v>
      </c>
    </row>
    <row r="76" spans="1:89" x14ac:dyDescent="0.3">
      <c r="A76" s="8" t="s">
        <v>163</v>
      </c>
      <c r="B76" s="11">
        <v>12787.403</v>
      </c>
      <c r="C76" s="11">
        <v>20.547000000000001</v>
      </c>
      <c r="D76" s="11">
        <v>1.0999999999999999E-2</v>
      </c>
      <c r="E76" s="11">
        <v>1E-3</v>
      </c>
      <c r="F76" s="11">
        <v>0</v>
      </c>
      <c r="G76" s="11">
        <v>0</v>
      </c>
      <c r="H76" s="11">
        <v>0</v>
      </c>
      <c r="I76" s="11">
        <v>1.4999999999999999E-2</v>
      </c>
      <c r="J76" s="11">
        <v>0</v>
      </c>
      <c r="K76" s="11">
        <v>0</v>
      </c>
      <c r="L76" s="11">
        <v>0</v>
      </c>
      <c r="M76" s="11">
        <v>0.1</v>
      </c>
      <c r="N76" s="11">
        <v>1.0999999999999999E-2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1E-3</v>
      </c>
      <c r="X76" s="11">
        <v>1E-3</v>
      </c>
      <c r="Y76" s="11">
        <v>0</v>
      </c>
      <c r="Z76" s="11">
        <v>1E-3</v>
      </c>
      <c r="AA76" s="11">
        <v>0</v>
      </c>
      <c r="AB76" s="11">
        <v>0</v>
      </c>
      <c r="AC76" s="11">
        <v>3.0000000000000001E-3</v>
      </c>
      <c r="AD76" s="11">
        <v>2E-3</v>
      </c>
      <c r="AE76" s="11">
        <v>0</v>
      </c>
      <c r="AF76" s="11">
        <v>1E-3</v>
      </c>
      <c r="AG76" s="11">
        <v>1E-3</v>
      </c>
      <c r="AH76" s="11">
        <v>2.4E-2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1.2999999999999999E-2</v>
      </c>
      <c r="AY76" s="11">
        <v>8.0000000000000002E-3</v>
      </c>
      <c r="AZ76" s="11">
        <v>7.0000000000000001E-3</v>
      </c>
      <c r="BA76" s="11">
        <v>0</v>
      </c>
      <c r="BB76" s="11">
        <v>0</v>
      </c>
      <c r="BC76" s="11">
        <v>0</v>
      </c>
      <c r="BD76" s="11">
        <v>0</v>
      </c>
      <c r="BE76" s="11">
        <v>4.1000000000000002E-2</v>
      </c>
      <c r="BF76" s="11">
        <v>0</v>
      </c>
      <c r="BG76" s="11">
        <v>0</v>
      </c>
      <c r="BH76" s="11">
        <v>5.0000000000000001E-3</v>
      </c>
      <c r="BI76" s="11">
        <v>0</v>
      </c>
      <c r="BJ76" s="11">
        <v>0</v>
      </c>
      <c r="BK76" s="11">
        <v>5.0000000000000001E-3</v>
      </c>
      <c r="BL76" s="11">
        <v>6.8220000000000001</v>
      </c>
      <c r="BM76" s="11">
        <v>7.875</v>
      </c>
      <c r="BN76" s="11">
        <v>0</v>
      </c>
      <c r="BO76" s="11">
        <v>3.8210000000000002</v>
      </c>
      <c r="BP76" s="11">
        <v>5.0000000000000001E-3</v>
      </c>
      <c r="BQ76" s="11">
        <v>8.0000000000000002E-3</v>
      </c>
      <c r="BR76" s="11">
        <v>0</v>
      </c>
      <c r="BS76" s="11">
        <v>0</v>
      </c>
      <c r="BT76" s="11">
        <v>0.91500000000000004</v>
      </c>
      <c r="BU76" s="11">
        <v>0.06</v>
      </c>
      <c r="BV76" s="11">
        <v>0.46100000000000002</v>
      </c>
      <c r="BW76" s="11">
        <v>0</v>
      </c>
      <c r="BX76" s="11">
        <v>1E-3</v>
      </c>
      <c r="BY76" s="11">
        <v>0</v>
      </c>
      <c r="BZ76" s="11">
        <v>0</v>
      </c>
      <c r="CA76" s="11">
        <v>9.9000000000000005E-2</v>
      </c>
      <c r="CB76" s="11">
        <v>0</v>
      </c>
      <c r="CC76" s="11">
        <v>0.22900000000000001</v>
      </c>
      <c r="CD76" s="11">
        <v>12766.856</v>
      </c>
      <c r="CE76" s="11">
        <v>4860.107</v>
      </c>
      <c r="CF76" s="11">
        <v>7896.3010000000004</v>
      </c>
      <c r="CG76" s="11">
        <v>14.279</v>
      </c>
      <c r="CH76" s="11">
        <v>0</v>
      </c>
      <c r="CI76" s="11">
        <v>2.9000000000000001E-2</v>
      </c>
      <c r="CJ76" s="11">
        <v>-3.86</v>
      </c>
      <c r="CK76" s="12" t="s">
        <v>94</v>
      </c>
    </row>
    <row r="77" spans="1:89" x14ac:dyDescent="0.3">
      <c r="A77" s="7" t="s">
        <v>164</v>
      </c>
      <c r="B77" s="10">
        <v>99810.115000000005</v>
      </c>
      <c r="C77" s="10">
        <v>655.53800000000001</v>
      </c>
      <c r="D77" s="10">
        <v>4.0000000000000001E-3</v>
      </c>
      <c r="E77" s="10">
        <v>0</v>
      </c>
      <c r="F77" s="10">
        <v>0</v>
      </c>
      <c r="G77" s="10">
        <v>0</v>
      </c>
      <c r="H77" s="10">
        <v>0</v>
      </c>
      <c r="I77" s="10">
        <v>6.0000000000000001E-3</v>
      </c>
      <c r="J77" s="10">
        <v>8.6289999999999996</v>
      </c>
      <c r="K77" s="10">
        <v>0</v>
      </c>
      <c r="L77" s="10">
        <v>0</v>
      </c>
      <c r="M77" s="10">
        <v>1.633</v>
      </c>
      <c r="N77" s="10">
        <v>1.2E-2</v>
      </c>
      <c r="O77" s="10">
        <v>0</v>
      </c>
      <c r="P77" s="10">
        <v>0.13300000000000001</v>
      </c>
      <c r="Q77" s="10">
        <v>8.0000000000000002E-3</v>
      </c>
      <c r="R77" s="10">
        <v>0.23400000000000001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1E-3</v>
      </c>
      <c r="Y77" s="10">
        <v>0</v>
      </c>
      <c r="Z77" s="10">
        <v>0.89500000000000002</v>
      </c>
      <c r="AA77" s="10">
        <v>0</v>
      </c>
      <c r="AB77" s="10">
        <v>0.13500000000000001</v>
      </c>
      <c r="AC77" s="10">
        <v>3.2890000000000001</v>
      </c>
      <c r="AD77" s="10">
        <v>0.1</v>
      </c>
      <c r="AE77" s="10">
        <v>0</v>
      </c>
      <c r="AF77" s="10">
        <v>0</v>
      </c>
      <c r="AG77" s="10">
        <v>0</v>
      </c>
      <c r="AH77" s="10">
        <v>1.3520000000000001</v>
      </c>
      <c r="AI77" s="10">
        <v>0.39200000000000002</v>
      </c>
      <c r="AJ77" s="10">
        <v>0</v>
      </c>
      <c r="AK77" s="10">
        <v>0.109</v>
      </c>
      <c r="AL77" s="10">
        <v>1.988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3.2000000000000001E-2</v>
      </c>
      <c r="AY77" s="10">
        <v>1.9E-2</v>
      </c>
      <c r="AZ77" s="10">
        <v>2.3E-2</v>
      </c>
      <c r="BA77" s="10">
        <v>0</v>
      </c>
      <c r="BB77" s="10">
        <v>0</v>
      </c>
      <c r="BC77" s="10">
        <v>0</v>
      </c>
      <c r="BD77" s="10">
        <v>0</v>
      </c>
      <c r="BE77" s="10">
        <v>0.10299999999999999</v>
      </c>
      <c r="BF77" s="10">
        <v>2E-3</v>
      </c>
      <c r="BG77" s="10">
        <v>0</v>
      </c>
      <c r="BH77" s="10">
        <v>1.2999999999999999E-2</v>
      </c>
      <c r="BI77" s="10">
        <v>0</v>
      </c>
      <c r="BJ77" s="10">
        <v>0</v>
      </c>
      <c r="BK77" s="10">
        <v>1.0999999999999999E-2</v>
      </c>
      <c r="BL77" s="10">
        <v>70.573999999999998</v>
      </c>
      <c r="BM77" s="10">
        <v>232.398</v>
      </c>
      <c r="BN77" s="10">
        <v>0.995</v>
      </c>
      <c r="BO77" s="10">
        <v>92.518000000000001</v>
      </c>
      <c r="BP77" s="10">
        <v>10.757</v>
      </c>
      <c r="BQ77" s="10">
        <v>62.948</v>
      </c>
      <c r="BR77" s="10">
        <v>4.0000000000000001E-3</v>
      </c>
      <c r="BS77" s="10">
        <v>2E-3</v>
      </c>
      <c r="BT77" s="10">
        <v>22.856999999999999</v>
      </c>
      <c r="BU77" s="10">
        <v>2.1999999999999999E-2</v>
      </c>
      <c r="BV77" s="10">
        <v>64.113</v>
      </c>
      <c r="BW77" s="10">
        <v>39.927999999999997</v>
      </c>
      <c r="BX77" s="10">
        <v>9.1460000000000008</v>
      </c>
      <c r="BY77" s="10">
        <v>2.6360000000000001</v>
      </c>
      <c r="BZ77" s="10">
        <v>17.372</v>
      </c>
      <c r="CA77" s="10">
        <v>9.6539999999999999</v>
      </c>
      <c r="CB77" s="10">
        <v>0</v>
      </c>
      <c r="CC77" s="10">
        <v>0.49099999999999999</v>
      </c>
      <c r="CD77" s="10">
        <v>99154.577000000005</v>
      </c>
      <c r="CE77" s="10">
        <v>98203.578999999998</v>
      </c>
      <c r="CF77" s="10">
        <v>834.23099999999999</v>
      </c>
      <c r="CG77" s="10">
        <v>123.551</v>
      </c>
      <c r="CH77" s="10">
        <v>0</v>
      </c>
      <c r="CI77" s="10">
        <v>7.2999999999999995E-2</v>
      </c>
      <c r="CJ77" s="10">
        <v>-6.8570000000000002</v>
      </c>
      <c r="CK77" s="13" t="s">
        <v>94</v>
      </c>
    </row>
    <row r="78" spans="1:89" x14ac:dyDescent="0.3">
      <c r="A78" s="8" t="s">
        <v>165</v>
      </c>
      <c r="B78" s="11">
        <v>405706.826</v>
      </c>
      <c r="C78" s="11">
        <v>22181.807000000001</v>
      </c>
      <c r="D78" s="11">
        <v>1.6E-2</v>
      </c>
      <c r="E78" s="11">
        <v>3.3559999999999999</v>
      </c>
      <c r="F78" s="11">
        <v>0</v>
      </c>
      <c r="G78" s="11">
        <v>35.688000000000002</v>
      </c>
      <c r="H78" s="11">
        <v>7.4130000000000003</v>
      </c>
      <c r="I78" s="11">
        <v>3545.259</v>
      </c>
      <c r="J78" s="11">
        <v>61.091999999999999</v>
      </c>
      <c r="K78" s="11">
        <v>777.87699999999995</v>
      </c>
      <c r="L78" s="11">
        <v>20.995000000000001</v>
      </c>
      <c r="M78" s="11">
        <v>496.9</v>
      </c>
      <c r="N78" s="11">
        <v>418.71100000000001</v>
      </c>
      <c r="O78" s="11">
        <v>135.858</v>
      </c>
      <c r="P78" s="11">
        <v>438.93</v>
      </c>
      <c r="Q78" s="11">
        <v>37.503</v>
      </c>
      <c r="R78" s="11">
        <v>6.2859999999999996</v>
      </c>
      <c r="S78" s="11">
        <v>9.1530000000000005</v>
      </c>
      <c r="T78" s="11">
        <v>26.797999999999998</v>
      </c>
      <c r="U78" s="11">
        <v>7.9669999999999996</v>
      </c>
      <c r="V78" s="11">
        <v>0.126</v>
      </c>
      <c r="W78" s="11">
        <v>2.8000000000000001E-2</v>
      </c>
      <c r="X78" s="11">
        <v>0.56299999999999994</v>
      </c>
      <c r="Y78" s="11">
        <v>582.005</v>
      </c>
      <c r="Z78" s="11">
        <v>415.7</v>
      </c>
      <c r="AA78" s="11">
        <v>201.89599999999999</v>
      </c>
      <c r="AB78" s="11">
        <v>76.453999999999994</v>
      </c>
      <c r="AC78" s="11">
        <v>0.58099999999999996</v>
      </c>
      <c r="AD78" s="11">
        <v>2.5999999999999999E-2</v>
      </c>
      <c r="AE78" s="11">
        <v>6.6000000000000003E-2</v>
      </c>
      <c r="AF78" s="11">
        <v>3.6999999999999998E-2</v>
      </c>
      <c r="AG78" s="11">
        <v>1.9E-2</v>
      </c>
      <c r="AH78" s="11">
        <v>0.44500000000000001</v>
      </c>
      <c r="AI78" s="11">
        <v>5.0000000000000001E-3</v>
      </c>
      <c r="AJ78" s="11">
        <v>2.7E-2</v>
      </c>
      <c r="AK78" s="11">
        <v>1075.278</v>
      </c>
      <c r="AL78" s="11">
        <v>549.74599999999998</v>
      </c>
      <c r="AM78" s="11">
        <v>1300.6780000000001</v>
      </c>
      <c r="AN78" s="11">
        <v>28.937000000000001</v>
      </c>
      <c r="AO78" s="11">
        <v>25.385999999999999</v>
      </c>
      <c r="AP78" s="11">
        <v>495.72800000000001</v>
      </c>
      <c r="AQ78" s="11">
        <v>280.80399999999997</v>
      </c>
      <c r="AR78" s="11">
        <v>205.54599999999999</v>
      </c>
      <c r="AS78" s="11">
        <v>4.3170000000000002</v>
      </c>
      <c r="AT78" s="11">
        <v>298.95400000000001</v>
      </c>
      <c r="AU78" s="11">
        <v>0.98199999999999998</v>
      </c>
      <c r="AV78" s="11">
        <v>79.512</v>
      </c>
      <c r="AW78" s="11">
        <v>204.05</v>
      </c>
      <c r="AX78" s="11">
        <v>78.811999999999998</v>
      </c>
      <c r="AY78" s="11">
        <v>222.267</v>
      </c>
      <c r="AZ78" s="11">
        <v>119.773</v>
      </c>
      <c r="BA78" s="11">
        <v>395.49700000000001</v>
      </c>
      <c r="BB78" s="11">
        <v>18.236999999999998</v>
      </c>
      <c r="BC78" s="11">
        <v>23.151</v>
      </c>
      <c r="BD78" s="11">
        <v>23.096</v>
      </c>
      <c r="BE78" s="11">
        <v>1068.0640000000001</v>
      </c>
      <c r="BF78" s="11">
        <v>135.774</v>
      </c>
      <c r="BG78" s="11">
        <v>197.221</v>
      </c>
      <c r="BH78" s="11">
        <v>673.99599999999998</v>
      </c>
      <c r="BI78" s="11">
        <v>104.637</v>
      </c>
      <c r="BJ78" s="11">
        <v>3.4540000000000002</v>
      </c>
      <c r="BK78" s="11">
        <v>849.25300000000004</v>
      </c>
      <c r="BL78" s="11">
        <v>19.346</v>
      </c>
      <c r="BM78" s="11">
        <v>9.5359999999999996</v>
      </c>
      <c r="BN78" s="11">
        <v>0</v>
      </c>
      <c r="BO78" s="11">
        <v>1142.9259999999999</v>
      </c>
      <c r="BP78" s="11">
        <v>116.059</v>
      </c>
      <c r="BQ78" s="11">
        <v>120.946</v>
      </c>
      <c r="BR78" s="11">
        <v>1.454</v>
      </c>
      <c r="BS78" s="11">
        <v>3.6280000000000001</v>
      </c>
      <c r="BT78" s="11">
        <v>16.876999999999999</v>
      </c>
      <c r="BU78" s="11">
        <v>9.8979999999999997</v>
      </c>
      <c r="BV78" s="11">
        <v>9.69</v>
      </c>
      <c r="BW78" s="11">
        <v>37.225999999999999</v>
      </c>
      <c r="BX78" s="11">
        <v>0.20899999999999999</v>
      </c>
      <c r="BY78" s="11">
        <v>4.0000000000000001E-3</v>
      </c>
      <c r="BZ78" s="11">
        <v>0.40799999999999997</v>
      </c>
      <c r="CA78" s="11">
        <v>153.458</v>
      </c>
      <c r="CB78" s="11">
        <v>0</v>
      </c>
      <c r="CC78" s="11">
        <v>4769.2120000000004</v>
      </c>
      <c r="CD78" s="11">
        <v>383525.01899999997</v>
      </c>
      <c r="CE78" s="11">
        <v>383381.25699999998</v>
      </c>
      <c r="CF78" s="11">
        <v>3.327</v>
      </c>
      <c r="CG78" s="11">
        <v>198.01900000000001</v>
      </c>
      <c r="CH78" s="11">
        <v>0</v>
      </c>
      <c r="CI78" s="11">
        <v>0.64200000000000002</v>
      </c>
      <c r="CJ78" s="11">
        <v>-58.225999999999999</v>
      </c>
      <c r="CK78" s="12" t="s">
        <v>94</v>
      </c>
    </row>
    <row r="79" spans="1:89" x14ac:dyDescent="0.3">
      <c r="A79" s="7" t="s">
        <v>166</v>
      </c>
      <c r="B79" s="10">
        <v>524505.33100000001</v>
      </c>
      <c r="C79" s="10">
        <v>31980.03</v>
      </c>
      <c r="D79" s="10">
        <v>1.2E-2</v>
      </c>
      <c r="E79" s="10">
        <v>2.75</v>
      </c>
      <c r="F79" s="10">
        <v>25.181000000000001</v>
      </c>
      <c r="G79" s="10">
        <v>30.347999999999999</v>
      </c>
      <c r="H79" s="10">
        <v>6.274</v>
      </c>
      <c r="I79" s="10">
        <v>903.61199999999997</v>
      </c>
      <c r="J79" s="10">
        <v>45.637999999999998</v>
      </c>
      <c r="K79" s="10">
        <v>9.3369999999999997</v>
      </c>
      <c r="L79" s="10">
        <v>215.99700000000001</v>
      </c>
      <c r="M79" s="10">
        <v>128.33000000000001</v>
      </c>
      <c r="N79" s="10">
        <v>248.84899999999999</v>
      </c>
      <c r="O79" s="10">
        <v>45.506999999999998</v>
      </c>
      <c r="P79" s="10">
        <v>322.40300000000002</v>
      </c>
      <c r="Q79" s="10">
        <v>27.271000000000001</v>
      </c>
      <c r="R79" s="10">
        <v>7.9610000000000003</v>
      </c>
      <c r="S79" s="10">
        <v>11.445</v>
      </c>
      <c r="T79" s="10">
        <v>38.801000000000002</v>
      </c>
      <c r="U79" s="10">
        <v>10.555</v>
      </c>
      <c r="V79" s="10">
        <v>31.259</v>
      </c>
      <c r="W79" s="10">
        <v>312.98099999999999</v>
      </c>
      <c r="X79" s="10">
        <v>83.838999999999999</v>
      </c>
      <c r="Y79" s="10">
        <v>49.454999999999998</v>
      </c>
      <c r="Z79" s="10">
        <v>516.346</v>
      </c>
      <c r="AA79" s="10">
        <v>253.06899999999999</v>
      </c>
      <c r="AB79" s="10">
        <v>127.983</v>
      </c>
      <c r="AC79" s="10">
        <v>540.78399999999999</v>
      </c>
      <c r="AD79" s="10">
        <v>308.83</v>
      </c>
      <c r="AE79" s="10">
        <v>662.95100000000002</v>
      </c>
      <c r="AF79" s="10">
        <v>520.077</v>
      </c>
      <c r="AG79" s="10">
        <v>227.00700000000001</v>
      </c>
      <c r="AH79" s="10">
        <v>3633.93</v>
      </c>
      <c r="AI79" s="10">
        <v>62.14</v>
      </c>
      <c r="AJ79" s="10">
        <v>74.525999999999996</v>
      </c>
      <c r="AK79" s="10">
        <v>9.6999999999999993</v>
      </c>
      <c r="AL79" s="10">
        <v>8.2129999999999992</v>
      </c>
      <c r="AM79" s="10">
        <v>945.56299999999999</v>
      </c>
      <c r="AN79" s="10">
        <v>21.036000000000001</v>
      </c>
      <c r="AO79" s="10">
        <v>8.3439999999999994</v>
      </c>
      <c r="AP79" s="10">
        <v>352.02600000000001</v>
      </c>
      <c r="AQ79" s="10">
        <v>203.97200000000001</v>
      </c>
      <c r="AR79" s="10">
        <v>149.423</v>
      </c>
      <c r="AS79" s="10">
        <v>3.1389999999999998</v>
      </c>
      <c r="AT79" s="10">
        <v>217.69200000000001</v>
      </c>
      <c r="AU79" s="10">
        <v>0.71499999999999997</v>
      </c>
      <c r="AV79" s="10">
        <v>57.802999999999997</v>
      </c>
      <c r="AW79" s="10">
        <v>148.32599999999999</v>
      </c>
      <c r="AX79" s="10">
        <v>57.12</v>
      </c>
      <c r="AY79" s="10">
        <v>162.34800000000001</v>
      </c>
      <c r="AZ79" s="10">
        <v>87.004999999999995</v>
      </c>
      <c r="BA79" s="10">
        <v>287.517</v>
      </c>
      <c r="BB79" s="10">
        <v>7.577</v>
      </c>
      <c r="BC79" s="10">
        <v>17.736999999999998</v>
      </c>
      <c r="BD79" s="10">
        <v>28.347999999999999</v>
      </c>
      <c r="BE79" s="10">
        <v>1005.2430000000001</v>
      </c>
      <c r="BF79" s="10">
        <v>115.934</v>
      </c>
      <c r="BG79" s="10">
        <v>166.501</v>
      </c>
      <c r="BH79" s="10">
        <v>494.72</v>
      </c>
      <c r="BI79" s="10">
        <v>76.075999999999993</v>
      </c>
      <c r="BJ79" s="10">
        <v>2.5089999999999999</v>
      </c>
      <c r="BK79" s="10">
        <v>727.05100000000004</v>
      </c>
      <c r="BL79" s="10">
        <v>226.977</v>
      </c>
      <c r="BM79" s="10">
        <v>705.47799999999995</v>
      </c>
      <c r="BN79" s="10">
        <v>5.1420000000000003</v>
      </c>
      <c r="BO79" s="10">
        <v>1980.5619999999999</v>
      </c>
      <c r="BP79" s="10">
        <v>1012.42</v>
      </c>
      <c r="BQ79" s="10">
        <v>384.78100000000001</v>
      </c>
      <c r="BR79" s="10">
        <v>4.8550000000000004</v>
      </c>
      <c r="BS79" s="10">
        <v>274.221</v>
      </c>
      <c r="BT79" s="10">
        <v>39.658999999999999</v>
      </c>
      <c r="BU79" s="10">
        <v>24.856999999999999</v>
      </c>
      <c r="BV79" s="10">
        <v>26.111000000000001</v>
      </c>
      <c r="BW79" s="10">
        <v>130.03299999999999</v>
      </c>
      <c r="BX79" s="10">
        <v>569.74400000000003</v>
      </c>
      <c r="BY79" s="10">
        <v>8.1590000000000007</v>
      </c>
      <c r="BZ79" s="10">
        <v>69.167000000000002</v>
      </c>
      <c r="CA79" s="10">
        <v>152.82499999999999</v>
      </c>
      <c r="CB79" s="10">
        <v>0</v>
      </c>
      <c r="CC79" s="10">
        <v>11517.953</v>
      </c>
      <c r="CD79" s="10">
        <v>492525.30099999998</v>
      </c>
      <c r="CE79" s="10">
        <v>492211.68400000001</v>
      </c>
      <c r="CF79" s="10">
        <v>2.319</v>
      </c>
      <c r="CG79" s="10">
        <v>330.13799999999998</v>
      </c>
      <c r="CH79" s="10">
        <v>0</v>
      </c>
      <c r="CI79" s="10">
        <v>0.09</v>
      </c>
      <c r="CJ79" s="10">
        <v>-18.93</v>
      </c>
      <c r="CK79" s="13" t="s">
        <v>94</v>
      </c>
    </row>
    <row r="80" spans="1:89" x14ac:dyDescent="0.3">
      <c r="A80" s="8" t="s">
        <v>167</v>
      </c>
      <c r="B80" s="11">
        <v>207186.86300000001</v>
      </c>
      <c r="C80" s="11">
        <v>126726.558</v>
      </c>
      <c r="D80" s="11">
        <v>638.97299999999996</v>
      </c>
      <c r="E80" s="11">
        <v>363.935</v>
      </c>
      <c r="F80" s="11">
        <v>24.349</v>
      </c>
      <c r="G80" s="11">
        <v>114.04900000000001</v>
      </c>
      <c r="H80" s="11">
        <v>30.661999999999999</v>
      </c>
      <c r="I80" s="11">
        <v>31766.004000000001</v>
      </c>
      <c r="J80" s="11">
        <v>3611.9879999999998</v>
      </c>
      <c r="K80" s="11">
        <v>501.27800000000002</v>
      </c>
      <c r="L80" s="11">
        <v>6112.69</v>
      </c>
      <c r="M80" s="11">
        <v>4024.6889999999999</v>
      </c>
      <c r="N80" s="11">
        <v>2070.011</v>
      </c>
      <c r="O80" s="11">
        <v>1551.5219999999999</v>
      </c>
      <c r="P80" s="11">
        <v>2758.5549999999998</v>
      </c>
      <c r="Q80" s="11">
        <v>500.32499999999999</v>
      </c>
      <c r="R80" s="11">
        <v>33.798000000000002</v>
      </c>
      <c r="S80" s="11">
        <v>58.100999999999999</v>
      </c>
      <c r="T80" s="11">
        <v>63.917999999999999</v>
      </c>
      <c r="U80" s="11">
        <v>28.789000000000001</v>
      </c>
      <c r="V80" s="11">
        <v>46.881999999999998</v>
      </c>
      <c r="W80" s="11">
        <v>216.87799999999999</v>
      </c>
      <c r="X80" s="11">
        <v>290.56299999999999</v>
      </c>
      <c r="Y80" s="11">
        <v>595.27099999999996</v>
      </c>
      <c r="Z80" s="11">
        <v>2401.1460000000002</v>
      </c>
      <c r="AA80" s="11">
        <v>335.86399999999998</v>
      </c>
      <c r="AB80" s="11">
        <v>407.36399999999998</v>
      </c>
      <c r="AC80" s="11">
        <v>541.64099999999996</v>
      </c>
      <c r="AD80" s="11">
        <v>238.84899999999999</v>
      </c>
      <c r="AE80" s="11">
        <v>265.40600000000001</v>
      </c>
      <c r="AF80" s="11">
        <v>245.82900000000001</v>
      </c>
      <c r="AG80" s="11">
        <v>89.271000000000001</v>
      </c>
      <c r="AH80" s="11">
        <v>2111.3530000000001</v>
      </c>
      <c r="AI80" s="11">
        <v>52.844999999999999</v>
      </c>
      <c r="AJ80" s="11">
        <v>40.031999999999996</v>
      </c>
      <c r="AK80" s="11">
        <v>1442.425</v>
      </c>
      <c r="AL80" s="11">
        <v>1734.6189999999999</v>
      </c>
      <c r="AM80" s="11">
        <v>4710.83</v>
      </c>
      <c r="AN80" s="11">
        <v>244.196</v>
      </c>
      <c r="AO80" s="11">
        <v>774.34500000000003</v>
      </c>
      <c r="AP80" s="11">
        <v>2705.5120000000002</v>
      </c>
      <c r="AQ80" s="11">
        <v>13155.546</v>
      </c>
      <c r="AR80" s="11">
        <v>840.68200000000002</v>
      </c>
      <c r="AS80" s="11">
        <v>154.392</v>
      </c>
      <c r="AT80" s="11">
        <v>1510.452</v>
      </c>
      <c r="AU80" s="11">
        <v>28.234000000000002</v>
      </c>
      <c r="AV80" s="11">
        <v>381.96</v>
      </c>
      <c r="AW80" s="11">
        <v>2252.8710000000001</v>
      </c>
      <c r="AX80" s="11">
        <v>159.535</v>
      </c>
      <c r="AY80" s="11">
        <v>232.73400000000001</v>
      </c>
      <c r="AZ80" s="11">
        <v>201.69300000000001</v>
      </c>
      <c r="BA80" s="11">
        <v>2754.0740000000001</v>
      </c>
      <c r="BB80" s="11">
        <v>11.321</v>
      </c>
      <c r="BC80" s="11">
        <v>7.21</v>
      </c>
      <c r="BD80" s="11">
        <v>3.7160000000000002</v>
      </c>
      <c r="BE80" s="11">
        <v>1402.9739999999999</v>
      </c>
      <c r="BF80" s="11">
        <v>59.122999999999998</v>
      </c>
      <c r="BG80" s="11">
        <v>1283.7719999999999</v>
      </c>
      <c r="BH80" s="11">
        <v>2121.1669999999999</v>
      </c>
      <c r="BI80" s="11">
        <v>238.03800000000001</v>
      </c>
      <c r="BJ80" s="11">
        <v>1.333</v>
      </c>
      <c r="BK80" s="11">
        <v>1110.7460000000001</v>
      </c>
      <c r="BL80" s="11">
        <v>19.773</v>
      </c>
      <c r="BM80" s="11">
        <v>740.24099999999999</v>
      </c>
      <c r="BN80" s="11">
        <v>35.753</v>
      </c>
      <c r="BO80" s="11">
        <v>2377.904</v>
      </c>
      <c r="BP80" s="11">
        <v>1883.576</v>
      </c>
      <c r="BQ80" s="11">
        <v>2462.8690000000001</v>
      </c>
      <c r="BR80" s="11">
        <v>31.212</v>
      </c>
      <c r="BS80" s="11">
        <v>93.197000000000003</v>
      </c>
      <c r="BT80" s="11">
        <v>34.862000000000002</v>
      </c>
      <c r="BU80" s="11">
        <v>175.48099999999999</v>
      </c>
      <c r="BV80" s="11">
        <v>310.27699999999999</v>
      </c>
      <c r="BW80" s="11">
        <v>490.53300000000002</v>
      </c>
      <c r="BX80" s="11">
        <v>173.655</v>
      </c>
      <c r="BY80" s="11">
        <v>552.39099999999996</v>
      </c>
      <c r="BZ80" s="11">
        <v>283.93700000000001</v>
      </c>
      <c r="CA80" s="11">
        <v>82.206999999999994</v>
      </c>
      <c r="CB80" s="11">
        <v>0</v>
      </c>
      <c r="CC80" s="11">
        <v>15322.36</v>
      </c>
      <c r="CD80" s="11">
        <v>80460.304999999993</v>
      </c>
      <c r="CE80" s="11">
        <v>81041.118000000002</v>
      </c>
      <c r="CF80" s="11">
        <v>13.455</v>
      </c>
      <c r="CG80" s="11">
        <v>484.70699999999999</v>
      </c>
      <c r="CH80" s="11">
        <v>0</v>
      </c>
      <c r="CI80" s="11">
        <v>6811.2049999999999</v>
      </c>
      <c r="CJ80" s="11">
        <v>-7890.18</v>
      </c>
      <c r="CK80" s="12" t="s">
        <v>94</v>
      </c>
    </row>
    <row r="81" spans="1:89" x14ac:dyDescent="0.3">
      <c r="A81" s="7" t="s">
        <v>168</v>
      </c>
      <c r="B81" s="10">
        <v>223393.353</v>
      </c>
      <c r="C81" s="10">
        <v>10041.001</v>
      </c>
      <c r="D81" s="10">
        <v>0</v>
      </c>
      <c r="E81" s="10">
        <v>0</v>
      </c>
      <c r="F81" s="10">
        <v>0</v>
      </c>
      <c r="G81" s="10">
        <v>1.7000000000000001E-2</v>
      </c>
      <c r="H81" s="10">
        <v>0.10199999999999999</v>
      </c>
      <c r="I81" s="10">
        <v>0</v>
      </c>
      <c r="J81" s="10">
        <v>4.524</v>
      </c>
      <c r="K81" s="10">
        <v>8.4000000000000005E-2</v>
      </c>
      <c r="L81" s="10">
        <v>0</v>
      </c>
      <c r="M81" s="10">
        <v>2.319</v>
      </c>
      <c r="N81" s="10">
        <v>9.2260000000000009</v>
      </c>
      <c r="O81" s="10">
        <v>0.371</v>
      </c>
      <c r="P81" s="10">
        <v>718.52</v>
      </c>
      <c r="Q81" s="10">
        <v>71.763000000000005</v>
      </c>
      <c r="R81" s="10">
        <v>12.106</v>
      </c>
      <c r="S81" s="10">
        <v>4.3970000000000002</v>
      </c>
      <c r="T81" s="10">
        <v>23.206</v>
      </c>
      <c r="U81" s="10">
        <v>4.7320000000000002</v>
      </c>
      <c r="V81" s="10">
        <v>4.4130000000000003</v>
      </c>
      <c r="W81" s="10">
        <v>36.326000000000001</v>
      </c>
      <c r="X81" s="10">
        <v>13.09</v>
      </c>
      <c r="Y81" s="10">
        <v>42.526000000000003</v>
      </c>
      <c r="Z81" s="10">
        <v>242.66800000000001</v>
      </c>
      <c r="AA81" s="10">
        <v>94.805999999999997</v>
      </c>
      <c r="AB81" s="10">
        <v>77.39</v>
      </c>
      <c r="AC81" s="10">
        <v>127.60299999999999</v>
      </c>
      <c r="AD81" s="10">
        <v>52.121000000000002</v>
      </c>
      <c r="AE81" s="10">
        <v>50.279000000000003</v>
      </c>
      <c r="AF81" s="10">
        <v>80.713999999999999</v>
      </c>
      <c r="AG81" s="10">
        <v>39.119999999999997</v>
      </c>
      <c r="AH81" s="10">
        <v>1001.509</v>
      </c>
      <c r="AI81" s="10">
        <v>7.6550000000000002</v>
      </c>
      <c r="AJ81" s="10">
        <v>7.9340000000000002</v>
      </c>
      <c r="AK81" s="10">
        <v>236.739</v>
      </c>
      <c r="AL81" s="10">
        <v>599.74599999999998</v>
      </c>
      <c r="AM81" s="10">
        <v>106.562</v>
      </c>
      <c r="AN81" s="10">
        <v>31.547000000000001</v>
      </c>
      <c r="AO81" s="10">
        <v>4.2969999999999997</v>
      </c>
      <c r="AP81" s="10">
        <v>38.838000000000001</v>
      </c>
      <c r="AQ81" s="10">
        <v>216.17099999999999</v>
      </c>
      <c r="AR81" s="10">
        <v>43.305999999999997</v>
      </c>
      <c r="AS81" s="10">
        <v>0.63900000000000001</v>
      </c>
      <c r="AT81" s="10">
        <v>99.108000000000004</v>
      </c>
      <c r="AU81" s="10">
        <v>1.778</v>
      </c>
      <c r="AV81" s="10">
        <v>14.038</v>
      </c>
      <c r="AW81" s="10">
        <v>35.253</v>
      </c>
      <c r="AX81" s="10">
        <v>10.48</v>
      </c>
      <c r="AY81" s="10">
        <v>20.332999999999998</v>
      </c>
      <c r="AZ81" s="10">
        <v>53.914999999999999</v>
      </c>
      <c r="BA81" s="10">
        <v>533.73500000000001</v>
      </c>
      <c r="BB81" s="10">
        <v>5.056</v>
      </c>
      <c r="BC81" s="10">
        <v>2.6219999999999999</v>
      </c>
      <c r="BD81" s="10">
        <v>17.544</v>
      </c>
      <c r="BE81" s="10">
        <v>454.61599999999999</v>
      </c>
      <c r="BF81" s="10">
        <v>13.657999999999999</v>
      </c>
      <c r="BG81" s="10">
        <v>82.576999999999998</v>
      </c>
      <c r="BH81" s="10">
        <v>75.141000000000005</v>
      </c>
      <c r="BI81" s="10">
        <v>5.7919999999999998</v>
      </c>
      <c r="BJ81" s="10">
        <v>0.45200000000000001</v>
      </c>
      <c r="BK81" s="10">
        <v>140.90899999999999</v>
      </c>
      <c r="BL81" s="10">
        <v>9.7910000000000004</v>
      </c>
      <c r="BM81" s="10">
        <v>94.135000000000005</v>
      </c>
      <c r="BN81" s="10">
        <v>0.22</v>
      </c>
      <c r="BO81" s="10">
        <v>515.35799999999995</v>
      </c>
      <c r="BP81" s="10">
        <v>856.40300000000002</v>
      </c>
      <c r="BQ81" s="10">
        <v>544.54499999999996</v>
      </c>
      <c r="BR81" s="10">
        <v>5.7140000000000004</v>
      </c>
      <c r="BS81" s="10">
        <v>9.1340000000000003</v>
      </c>
      <c r="BT81" s="10">
        <v>1.6890000000000001</v>
      </c>
      <c r="BU81" s="10">
        <v>7.0019999999999998</v>
      </c>
      <c r="BV81" s="10">
        <v>31.687000000000001</v>
      </c>
      <c r="BW81" s="10">
        <v>286.75299999999999</v>
      </c>
      <c r="BX81" s="10">
        <v>31.448</v>
      </c>
      <c r="BY81" s="10">
        <v>6.569</v>
      </c>
      <c r="BZ81" s="10">
        <v>39.704000000000001</v>
      </c>
      <c r="CA81" s="10">
        <v>76.480999999999995</v>
      </c>
      <c r="CB81" s="10">
        <v>0</v>
      </c>
      <c r="CC81" s="10">
        <v>1949.9949999999999</v>
      </c>
      <c r="CD81" s="10">
        <v>213352.35200000001</v>
      </c>
      <c r="CE81" s="10">
        <v>213254.353</v>
      </c>
      <c r="CF81" s="10">
        <v>0.04</v>
      </c>
      <c r="CG81" s="10">
        <v>100.099</v>
      </c>
      <c r="CH81" s="10">
        <v>0</v>
      </c>
      <c r="CI81" s="10">
        <v>2.5000000000000001E-2</v>
      </c>
      <c r="CJ81" s="10">
        <v>-2.165</v>
      </c>
      <c r="CK81" s="13" t="s">
        <v>94</v>
      </c>
    </row>
    <row r="82" spans="1:89" x14ac:dyDescent="0.3">
      <c r="A82" s="8" t="s">
        <v>169</v>
      </c>
      <c r="B82" s="11">
        <v>82999.915999999997</v>
      </c>
      <c r="C82" s="11">
        <v>12562.486000000001</v>
      </c>
      <c r="D82" s="11">
        <v>1E-3</v>
      </c>
      <c r="E82" s="11">
        <v>14.901</v>
      </c>
      <c r="F82" s="11">
        <v>11.016</v>
      </c>
      <c r="G82" s="11">
        <v>15.352</v>
      </c>
      <c r="H82" s="11">
        <v>3.5910000000000002</v>
      </c>
      <c r="I82" s="11">
        <v>4.0000000000000001E-3</v>
      </c>
      <c r="J82" s="11">
        <v>0.56100000000000005</v>
      </c>
      <c r="K82" s="11">
        <v>0</v>
      </c>
      <c r="L82" s="11">
        <v>0</v>
      </c>
      <c r="M82" s="11">
        <v>0.21099999999999999</v>
      </c>
      <c r="N82" s="11">
        <v>15.420999999999999</v>
      </c>
      <c r="O82" s="11">
        <v>9.3369999999999997</v>
      </c>
      <c r="P82" s="11">
        <v>0.26</v>
      </c>
      <c r="Q82" s="11">
        <v>0.61499999999999999</v>
      </c>
      <c r="R82" s="11">
        <v>9.5579999999999998</v>
      </c>
      <c r="S82" s="11">
        <v>13.545</v>
      </c>
      <c r="T82" s="11">
        <v>60.505000000000003</v>
      </c>
      <c r="U82" s="11">
        <v>11.093999999999999</v>
      </c>
      <c r="V82" s="11">
        <v>36.963999999999999</v>
      </c>
      <c r="W82" s="11">
        <v>344.98099999999999</v>
      </c>
      <c r="X82" s="11">
        <v>104.974</v>
      </c>
      <c r="Y82" s="11">
        <v>134.32599999999999</v>
      </c>
      <c r="Z82" s="11">
        <v>693.22199999999998</v>
      </c>
      <c r="AA82" s="11">
        <v>296.96499999999997</v>
      </c>
      <c r="AB82" s="11">
        <v>242.67</v>
      </c>
      <c r="AC82" s="11">
        <v>1202.508</v>
      </c>
      <c r="AD82" s="11">
        <v>455.8</v>
      </c>
      <c r="AE82" s="11">
        <v>440.94499999999999</v>
      </c>
      <c r="AF82" s="11">
        <v>383.4</v>
      </c>
      <c r="AG82" s="11">
        <v>167.40600000000001</v>
      </c>
      <c r="AH82" s="11">
        <v>5380.7280000000001</v>
      </c>
      <c r="AI82" s="11">
        <v>39.146000000000001</v>
      </c>
      <c r="AJ82" s="11">
        <v>55.103000000000002</v>
      </c>
      <c r="AK82" s="11">
        <v>0.13500000000000001</v>
      </c>
      <c r="AL82" s="11">
        <v>1.03</v>
      </c>
      <c r="AM82" s="11">
        <v>0</v>
      </c>
      <c r="AN82" s="11">
        <v>0</v>
      </c>
      <c r="AO82" s="11">
        <v>0</v>
      </c>
      <c r="AP82" s="11">
        <v>0</v>
      </c>
      <c r="AQ82" s="11">
        <v>0.59099999999999997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8.9999999999999993E-3</v>
      </c>
      <c r="AY82" s="11">
        <v>5.0000000000000001E-3</v>
      </c>
      <c r="AZ82" s="11">
        <v>0.76700000000000002</v>
      </c>
      <c r="BA82" s="11">
        <v>0</v>
      </c>
      <c r="BB82" s="11">
        <v>0</v>
      </c>
      <c r="BC82" s="11">
        <v>0</v>
      </c>
      <c r="BD82" s="11">
        <v>0</v>
      </c>
      <c r="BE82" s="11">
        <v>1057.296</v>
      </c>
      <c r="BF82" s="11">
        <v>479.84199999999998</v>
      </c>
      <c r="BG82" s="11">
        <v>0</v>
      </c>
      <c r="BH82" s="11">
        <v>9.1999999999999998E-2</v>
      </c>
      <c r="BI82" s="11">
        <v>0</v>
      </c>
      <c r="BJ82" s="11">
        <v>0</v>
      </c>
      <c r="BK82" s="11">
        <v>0.13700000000000001</v>
      </c>
      <c r="BL82" s="11">
        <v>0</v>
      </c>
      <c r="BM82" s="11">
        <v>41.912999999999997</v>
      </c>
      <c r="BN82" s="11">
        <v>0</v>
      </c>
      <c r="BO82" s="11">
        <v>6.0709999999999997</v>
      </c>
      <c r="BP82" s="11">
        <v>3.18</v>
      </c>
      <c r="BQ82" s="11">
        <v>7.2859999999999996</v>
      </c>
      <c r="BR82" s="11">
        <v>1E-3</v>
      </c>
      <c r="BS82" s="11">
        <v>0.20200000000000001</v>
      </c>
      <c r="BT82" s="11">
        <v>575.66499999999996</v>
      </c>
      <c r="BU82" s="11">
        <v>0</v>
      </c>
      <c r="BV82" s="11">
        <v>1.0999999999999999E-2</v>
      </c>
      <c r="BW82" s="11">
        <v>237.35300000000001</v>
      </c>
      <c r="BX82" s="11">
        <v>0.36799999999999999</v>
      </c>
      <c r="BY82" s="11">
        <v>8.2000000000000003E-2</v>
      </c>
      <c r="BZ82" s="11">
        <v>1.6639999999999999</v>
      </c>
      <c r="CA82" s="11">
        <v>3.528</v>
      </c>
      <c r="CB82" s="11">
        <v>0</v>
      </c>
      <c r="CC82" s="11">
        <v>0.14799999999999999</v>
      </c>
      <c r="CD82" s="11">
        <v>70437.429999999993</v>
      </c>
      <c r="CE82" s="11">
        <v>70418.039000000004</v>
      </c>
      <c r="CF82" s="11">
        <v>0.54900000000000004</v>
      </c>
      <c r="CG82" s="11">
        <v>21.001999999999999</v>
      </c>
      <c r="CH82" s="11">
        <v>0</v>
      </c>
      <c r="CI82" s="11">
        <v>2.1000000000000001E-2</v>
      </c>
      <c r="CJ82" s="11">
        <v>-2.181</v>
      </c>
      <c r="CK82" s="12" t="s">
        <v>94</v>
      </c>
    </row>
    <row r="83" spans="1:89" x14ac:dyDescent="0.3">
      <c r="A83" s="7" t="s">
        <v>170</v>
      </c>
      <c r="B83" s="10">
        <v>100065.28599999999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100065.28599999999</v>
      </c>
      <c r="CE83" s="10">
        <v>100065.28599999999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3" t="s">
        <v>94</v>
      </c>
    </row>
    <row r="84" spans="1:89" x14ac:dyDescent="0.3">
      <c r="A84" s="8" t="s">
        <v>171</v>
      </c>
      <c r="B84" s="11">
        <v>1305939.253</v>
      </c>
      <c r="C84" s="11">
        <v>499.61900000000003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41.317</v>
      </c>
      <c r="BF84" s="11">
        <v>21.135999999999999</v>
      </c>
      <c r="BG84" s="11">
        <v>437.166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1305439.6340000001</v>
      </c>
      <c r="CE84" s="11">
        <v>6950.0969999999998</v>
      </c>
      <c r="CF84" s="11">
        <v>1298489.537</v>
      </c>
      <c r="CG84" s="11">
        <v>0</v>
      </c>
      <c r="CH84" s="11">
        <v>0</v>
      </c>
      <c r="CI84" s="11">
        <v>0</v>
      </c>
      <c r="CJ84" s="11">
        <v>0</v>
      </c>
      <c r="CK84" s="12" t="s">
        <v>94</v>
      </c>
    </row>
    <row r="85" spans="1:89" x14ac:dyDescent="0.3">
      <c r="A85" s="7" t="s">
        <v>172</v>
      </c>
      <c r="B85" s="10">
        <v>41959242.141999997</v>
      </c>
      <c r="C85" s="10">
        <v>18773095.561000001</v>
      </c>
      <c r="D85" s="10">
        <v>165184.981</v>
      </c>
      <c r="E85" s="10">
        <v>252628.636</v>
      </c>
      <c r="F85" s="10">
        <v>6080.69</v>
      </c>
      <c r="G85" s="10">
        <v>13159.222</v>
      </c>
      <c r="H85" s="10">
        <v>4448.99</v>
      </c>
      <c r="I85" s="10">
        <v>262200.12400000001</v>
      </c>
      <c r="J85" s="10">
        <v>152354.44200000001</v>
      </c>
      <c r="K85" s="10">
        <v>89202.819000000003</v>
      </c>
      <c r="L85" s="10">
        <v>256368.932</v>
      </c>
      <c r="M85" s="10">
        <v>1022404.906</v>
      </c>
      <c r="N85" s="10">
        <v>350571.31400000001</v>
      </c>
      <c r="O85" s="10">
        <v>122622.345</v>
      </c>
      <c r="P85" s="10">
        <v>1472875.378</v>
      </c>
      <c r="Q85" s="10">
        <v>222513.514</v>
      </c>
      <c r="R85" s="10">
        <v>66073.974000000002</v>
      </c>
      <c r="S85" s="10">
        <v>29825.38</v>
      </c>
      <c r="T85" s="10">
        <v>101845.906</v>
      </c>
      <c r="U85" s="10">
        <v>52640.034</v>
      </c>
      <c r="V85" s="10">
        <v>50610.722000000002</v>
      </c>
      <c r="W85" s="10">
        <v>187234.88</v>
      </c>
      <c r="X85" s="10">
        <v>60822.838000000003</v>
      </c>
      <c r="Y85" s="10">
        <v>760591.50899999996</v>
      </c>
      <c r="Z85" s="10">
        <v>750152.16200000001</v>
      </c>
      <c r="AA85" s="10">
        <v>396752.28700000001</v>
      </c>
      <c r="AB85" s="10">
        <v>238615.777</v>
      </c>
      <c r="AC85" s="10">
        <v>621121.79700000002</v>
      </c>
      <c r="AD85" s="10">
        <v>340880.57400000002</v>
      </c>
      <c r="AE85" s="10">
        <v>391587.41800000001</v>
      </c>
      <c r="AF85" s="10">
        <v>1506816.645</v>
      </c>
      <c r="AG85" s="10">
        <v>430844.00599999999</v>
      </c>
      <c r="AH85" s="10">
        <v>2897708.344</v>
      </c>
      <c r="AI85" s="10">
        <v>82230.259000000005</v>
      </c>
      <c r="AJ85" s="10">
        <v>320207.19</v>
      </c>
      <c r="AK85" s="10">
        <v>611251.64099999995</v>
      </c>
      <c r="AL85" s="10">
        <v>640062.83900000004</v>
      </c>
      <c r="AM85" s="10">
        <v>155945.976</v>
      </c>
      <c r="AN85" s="10">
        <v>29764.341</v>
      </c>
      <c r="AO85" s="10">
        <v>12624.89</v>
      </c>
      <c r="AP85" s="10">
        <v>378990.08100000001</v>
      </c>
      <c r="AQ85" s="10">
        <v>269178.67099999997</v>
      </c>
      <c r="AR85" s="10">
        <v>12967.682000000001</v>
      </c>
      <c r="AS85" s="10">
        <v>2310.2289999999998</v>
      </c>
      <c r="AT85" s="10">
        <v>79153.881999999998</v>
      </c>
      <c r="AU85" s="10">
        <v>985.45</v>
      </c>
      <c r="AV85" s="10">
        <v>24038.16</v>
      </c>
      <c r="AW85" s="10">
        <v>35245.084000000003</v>
      </c>
      <c r="AX85" s="10">
        <v>16026.21</v>
      </c>
      <c r="AY85" s="10">
        <v>33439.718000000001</v>
      </c>
      <c r="AZ85" s="10">
        <v>48831.756000000001</v>
      </c>
      <c r="BA85" s="10">
        <v>189450.383</v>
      </c>
      <c r="BB85" s="10">
        <v>5140.2889999999998</v>
      </c>
      <c r="BC85" s="10">
        <v>1345.739</v>
      </c>
      <c r="BD85" s="10">
        <v>5106.9449999999997</v>
      </c>
      <c r="BE85" s="10">
        <v>262021.005</v>
      </c>
      <c r="BF85" s="10">
        <v>14522.532999999999</v>
      </c>
      <c r="BG85" s="10">
        <v>204263.75700000001</v>
      </c>
      <c r="BH85" s="10">
        <v>184790.353</v>
      </c>
      <c r="BI85" s="10">
        <v>32986.730000000003</v>
      </c>
      <c r="BJ85" s="10">
        <v>395.33499999999998</v>
      </c>
      <c r="BK85" s="10">
        <v>148287.12700000001</v>
      </c>
      <c r="BL85" s="10">
        <v>85720.451000000001</v>
      </c>
      <c r="BM85" s="10">
        <v>224689.43799999999</v>
      </c>
      <c r="BN85" s="10">
        <v>10737.968000000001</v>
      </c>
      <c r="BO85" s="10">
        <v>132736.17300000001</v>
      </c>
      <c r="BP85" s="10">
        <v>103246.548</v>
      </c>
      <c r="BQ85" s="10">
        <v>167213.04500000001</v>
      </c>
      <c r="BR85" s="10">
        <v>1792.1890000000001</v>
      </c>
      <c r="BS85" s="10">
        <v>16994.985000000001</v>
      </c>
      <c r="BT85" s="10">
        <v>14493.534</v>
      </c>
      <c r="BU85" s="10">
        <v>4990.0339999999997</v>
      </c>
      <c r="BV85" s="10">
        <v>42763.678999999996</v>
      </c>
      <c r="BW85" s="10">
        <v>143973.39499999999</v>
      </c>
      <c r="BX85" s="10">
        <v>188900.28400000001</v>
      </c>
      <c r="BY85" s="10">
        <v>88604.201000000001</v>
      </c>
      <c r="BZ85" s="10">
        <v>47532.466999999997</v>
      </c>
      <c r="CA85" s="10">
        <v>26215.994999999999</v>
      </c>
      <c r="CB85" s="10">
        <v>0</v>
      </c>
      <c r="CC85" s="10">
        <v>394186.37400000001</v>
      </c>
      <c r="CD85" s="10">
        <v>23186146.581</v>
      </c>
      <c r="CE85" s="10">
        <v>15571568.642000001</v>
      </c>
      <c r="CF85" s="10">
        <v>2714421.74</v>
      </c>
      <c r="CG85" s="10">
        <v>5533104.9400000004</v>
      </c>
      <c r="CH85" s="10">
        <v>103964.583</v>
      </c>
      <c r="CI85" s="10">
        <v>8933758.5200000107</v>
      </c>
      <c r="CJ85" s="10">
        <v>-9670671.8439999893</v>
      </c>
      <c r="CK85" s="10">
        <v>0</v>
      </c>
    </row>
    <row r="86" spans="1:89" x14ac:dyDescent="0.3">
      <c r="A86" s="8" t="s">
        <v>173</v>
      </c>
      <c r="B86" s="11">
        <v>0</v>
      </c>
      <c r="C86" s="12" t="s">
        <v>94</v>
      </c>
      <c r="D86" s="12" t="s">
        <v>94</v>
      </c>
      <c r="E86" s="12" t="s">
        <v>94</v>
      </c>
      <c r="F86" s="12" t="s">
        <v>94</v>
      </c>
      <c r="G86" s="12" t="s">
        <v>94</v>
      </c>
      <c r="H86" s="12" t="s">
        <v>94</v>
      </c>
      <c r="I86" s="12" t="s">
        <v>94</v>
      </c>
      <c r="J86" s="12" t="s">
        <v>94</v>
      </c>
      <c r="K86" s="12" t="s">
        <v>94</v>
      </c>
      <c r="L86" s="12" t="s">
        <v>94</v>
      </c>
      <c r="M86" s="12" t="s">
        <v>94</v>
      </c>
      <c r="N86" s="12" t="s">
        <v>94</v>
      </c>
      <c r="O86" s="12" t="s">
        <v>94</v>
      </c>
      <c r="P86" s="12" t="s">
        <v>94</v>
      </c>
      <c r="Q86" s="12" t="s">
        <v>94</v>
      </c>
      <c r="R86" s="12" t="s">
        <v>94</v>
      </c>
      <c r="S86" s="12" t="s">
        <v>94</v>
      </c>
      <c r="T86" s="12" t="s">
        <v>94</v>
      </c>
      <c r="U86" s="12" t="s">
        <v>94</v>
      </c>
      <c r="V86" s="12" t="s">
        <v>94</v>
      </c>
      <c r="W86" s="12" t="s">
        <v>94</v>
      </c>
      <c r="X86" s="12" t="s">
        <v>94</v>
      </c>
      <c r="Y86" s="12" t="s">
        <v>94</v>
      </c>
      <c r="Z86" s="12" t="s">
        <v>94</v>
      </c>
      <c r="AA86" s="12" t="s">
        <v>94</v>
      </c>
      <c r="AB86" s="12" t="s">
        <v>94</v>
      </c>
      <c r="AC86" s="12" t="s">
        <v>94</v>
      </c>
      <c r="AD86" s="12" t="s">
        <v>94</v>
      </c>
      <c r="AE86" s="12" t="s">
        <v>94</v>
      </c>
      <c r="AF86" s="12" t="s">
        <v>94</v>
      </c>
      <c r="AG86" s="12" t="s">
        <v>94</v>
      </c>
      <c r="AH86" s="12" t="s">
        <v>94</v>
      </c>
      <c r="AI86" s="12" t="s">
        <v>94</v>
      </c>
      <c r="AJ86" s="12" t="s">
        <v>94</v>
      </c>
      <c r="AK86" s="12" t="s">
        <v>94</v>
      </c>
      <c r="AL86" s="12" t="s">
        <v>94</v>
      </c>
      <c r="AM86" s="12" t="s">
        <v>94</v>
      </c>
      <c r="AN86" s="12" t="s">
        <v>94</v>
      </c>
      <c r="AO86" s="12" t="s">
        <v>94</v>
      </c>
      <c r="AP86" s="12" t="s">
        <v>94</v>
      </c>
      <c r="AQ86" s="12" t="s">
        <v>94</v>
      </c>
      <c r="AR86" s="12" t="s">
        <v>94</v>
      </c>
      <c r="AS86" s="12" t="s">
        <v>94</v>
      </c>
      <c r="AT86" s="12" t="s">
        <v>94</v>
      </c>
      <c r="AU86" s="12" t="s">
        <v>94</v>
      </c>
      <c r="AV86" s="12" t="s">
        <v>94</v>
      </c>
      <c r="AW86" s="12" t="s">
        <v>94</v>
      </c>
      <c r="AX86" s="12" t="s">
        <v>94</v>
      </c>
      <c r="AY86" s="12" t="s">
        <v>94</v>
      </c>
      <c r="AZ86" s="12" t="s">
        <v>94</v>
      </c>
      <c r="BA86" s="12" t="s">
        <v>94</v>
      </c>
      <c r="BB86" s="12" t="s">
        <v>94</v>
      </c>
      <c r="BC86" s="12" t="s">
        <v>94</v>
      </c>
      <c r="BD86" s="12" t="s">
        <v>94</v>
      </c>
      <c r="BE86" s="12" t="s">
        <v>94</v>
      </c>
      <c r="BF86" s="12" t="s">
        <v>94</v>
      </c>
      <c r="BG86" s="12" t="s">
        <v>94</v>
      </c>
      <c r="BH86" s="12" t="s">
        <v>94</v>
      </c>
      <c r="BI86" s="12" t="s">
        <v>94</v>
      </c>
      <c r="BJ86" s="12" t="s">
        <v>94</v>
      </c>
      <c r="BK86" s="12" t="s">
        <v>94</v>
      </c>
      <c r="BL86" s="12" t="s">
        <v>94</v>
      </c>
      <c r="BM86" s="12" t="s">
        <v>94</v>
      </c>
      <c r="BN86" s="12" t="s">
        <v>94</v>
      </c>
      <c r="BO86" s="12" t="s">
        <v>94</v>
      </c>
      <c r="BP86" s="12" t="s">
        <v>94</v>
      </c>
      <c r="BQ86" s="12" t="s">
        <v>94</v>
      </c>
      <c r="BR86" s="12" t="s">
        <v>94</v>
      </c>
      <c r="BS86" s="12" t="s">
        <v>94</v>
      </c>
      <c r="BT86" s="12" t="s">
        <v>94</v>
      </c>
      <c r="BU86" s="12" t="s">
        <v>94</v>
      </c>
      <c r="BV86" s="12" t="s">
        <v>94</v>
      </c>
      <c r="BW86" s="12" t="s">
        <v>94</v>
      </c>
      <c r="BX86" s="12" t="s">
        <v>94</v>
      </c>
      <c r="BY86" s="12" t="s">
        <v>94</v>
      </c>
      <c r="BZ86" s="12" t="s">
        <v>94</v>
      </c>
      <c r="CA86" s="12" t="s">
        <v>94</v>
      </c>
      <c r="CB86" s="12" t="s">
        <v>94</v>
      </c>
      <c r="CC86" s="12" t="s">
        <v>94</v>
      </c>
      <c r="CD86" s="11">
        <v>0</v>
      </c>
      <c r="CE86" s="11">
        <v>270999.24300000002</v>
      </c>
      <c r="CF86" s="11">
        <v>11557.36</v>
      </c>
      <c r="CG86" s="11">
        <v>0</v>
      </c>
      <c r="CH86" s="11">
        <v>0</v>
      </c>
      <c r="CI86" s="11">
        <v>0</v>
      </c>
      <c r="CJ86" s="11">
        <v>-282556.603</v>
      </c>
      <c r="CK86" s="12" t="s">
        <v>94</v>
      </c>
    </row>
    <row r="87" spans="1:89" x14ac:dyDescent="0.3">
      <c r="A87" s="7" t="s">
        <v>174</v>
      </c>
      <c r="B87" s="10">
        <v>5.8207660913467401E-11</v>
      </c>
      <c r="C87" s="13" t="s">
        <v>94</v>
      </c>
      <c r="D87" s="13" t="s">
        <v>94</v>
      </c>
      <c r="E87" s="13" t="s">
        <v>94</v>
      </c>
      <c r="F87" s="13" t="s">
        <v>94</v>
      </c>
      <c r="G87" s="13" t="s">
        <v>94</v>
      </c>
      <c r="H87" s="13" t="s">
        <v>94</v>
      </c>
      <c r="I87" s="13" t="s">
        <v>94</v>
      </c>
      <c r="J87" s="13" t="s">
        <v>94</v>
      </c>
      <c r="K87" s="13" t="s">
        <v>94</v>
      </c>
      <c r="L87" s="13" t="s">
        <v>94</v>
      </c>
      <c r="M87" s="13" t="s">
        <v>94</v>
      </c>
      <c r="N87" s="13" t="s">
        <v>94</v>
      </c>
      <c r="O87" s="13" t="s">
        <v>94</v>
      </c>
      <c r="P87" s="13" t="s">
        <v>94</v>
      </c>
      <c r="Q87" s="13" t="s">
        <v>94</v>
      </c>
      <c r="R87" s="13" t="s">
        <v>94</v>
      </c>
      <c r="S87" s="13" t="s">
        <v>94</v>
      </c>
      <c r="T87" s="13" t="s">
        <v>94</v>
      </c>
      <c r="U87" s="13" t="s">
        <v>94</v>
      </c>
      <c r="V87" s="13" t="s">
        <v>94</v>
      </c>
      <c r="W87" s="13" t="s">
        <v>94</v>
      </c>
      <c r="X87" s="13" t="s">
        <v>94</v>
      </c>
      <c r="Y87" s="13" t="s">
        <v>94</v>
      </c>
      <c r="Z87" s="13" t="s">
        <v>94</v>
      </c>
      <c r="AA87" s="13" t="s">
        <v>94</v>
      </c>
      <c r="AB87" s="13" t="s">
        <v>94</v>
      </c>
      <c r="AC87" s="13" t="s">
        <v>94</v>
      </c>
      <c r="AD87" s="13" t="s">
        <v>94</v>
      </c>
      <c r="AE87" s="13" t="s">
        <v>94</v>
      </c>
      <c r="AF87" s="13" t="s">
        <v>94</v>
      </c>
      <c r="AG87" s="13" t="s">
        <v>94</v>
      </c>
      <c r="AH87" s="13" t="s">
        <v>94</v>
      </c>
      <c r="AI87" s="13" t="s">
        <v>94</v>
      </c>
      <c r="AJ87" s="13" t="s">
        <v>94</v>
      </c>
      <c r="AK87" s="13" t="s">
        <v>94</v>
      </c>
      <c r="AL87" s="13" t="s">
        <v>94</v>
      </c>
      <c r="AM87" s="13" t="s">
        <v>94</v>
      </c>
      <c r="AN87" s="13" t="s">
        <v>94</v>
      </c>
      <c r="AO87" s="13" t="s">
        <v>94</v>
      </c>
      <c r="AP87" s="13" t="s">
        <v>94</v>
      </c>
      <c r="AQ87" s="13" t="s">
        <v>94</v>
      </c>
      <c r="AR87" s="13" t="s">
        <v>94</v>
      </c>
      <c r="AS87" s="13" t="s">
        <v>94</v>
      </c>
      <c r="AT87" s="13" t="s">
        <v>94</v>
      </c>
      <c r="AU87" s="13" t="s">
        <v>94</v>
      </c>
      <c r="AV87" s="13" t="s">
        <v>94</v>
      </c>
      <c r="AW87" s="13" t="s">
        <v>94</v>
      </c>
      <c r="AX87" s="13" t="s">
        <v>94</v>
      </c>
      <c r="AY87" s="13" t="s">
        <v>94</v>
      </c>
      <c r="AZ87" s="13" t="s">
        <v>94</v>
      </c>
      <c r="BA87" s="13" t="s">
        <v>94</v>
      </c>
      <c r="BB87" s="13" t="s">
        <v>94</v>
      </c>
      <c r="BC87" s="13" t="s">
        <v>94</v>
      </c>
      <c r="BD87" s="13" t="s">
        <v>94</v>
      </c>
      <c r="BE87" s="13" t="s">
        <v>94</v>
      </c>
      <c r="BF87" s="13" t="s">
        <v>94</v>
      </c>
      <c r="BG87" s="13" t="s">
        <v>94</v>
      </c>
      <c r="BH87" s="13" t="s">
        <v>94</v>
      </c>
      <c r="BI87" s="13" t="s">
        <v>94</v>
      </c>
      <c r="BJ87" s="13" t="s">
        <v>94</v>
      </c>
      <c r="BK87" s="13" t="s">
        <v>94</v>
      </c>
      <c r="BL87" s="13" t="s">
        <v>94</v>
      </c>
      <c r="BM87" s="13" t="s">
        <v>94</v>
      </c>
      <c r="BN87" s="13" t="s">
        <v>94</v>
      </c>
      <c r="BO87" s="13" t="s">
        <v>94</v>
      </c>
      <c r="BP87" s="13" t="s">
        <v>94</v>
      </c>
      <c r="BQ87" s="13" t="s">
        <v>94</v>
      </c>
      <c r="BR87" s="13" t="s">
        <v>94</v>
      </c>
      <c r="BS87" s="13" t="s">
        <v>94</v>
      </c>
      <c r="BT87" s="13" t="s">
        <v>94</v>
      </c>
      <c r="BU87" s="13" t="s">
        <v>94</v>
      </c>
      <c r="BV87" s="13" t="s">
        <v>94</v>
      </c>
      <c r="BW87" s="13" t="s">
        <v>94</v>
      </c>
      <c r="BX87" s="13" t="s">
        <v>94</v>
      </c>
      <c r="BY87" s="13" t="s">
        <v>94</v>
      </c>
      <c r="BZ87" s="13" t="s">
        <v>94</v>
      </c>
      <c r="CA87" s="13" t="s">
        <v>94</v>
      </c>
      <c r="CB87" s="13" t="s">
        <v>94</v>
      </c>
      <c r="CC87" s="13" t="s">
        <v>94</v>
      </c>
      <c r="CD87" s="10">
        <v>5.8207660913467401E-11</v>
      </c>
      <c r="CE87" s="10">
        <v>-501182.33399999997</v>
      </c>
      <c r="CF87" s="10">
        <v>-4581.3329999999996</v>
      </c>
      <c r="CG87" s="10">
        <v>0</v>
      </c>
      <c r="CH87" s="10">
        <v>0</v>
      </c>
      <c r="CI87" s="10">
        <v>505763.66700000002</v>
      </c>
      <c r="CJ87" s="10">
        <v>0</v>
      </c>
      <c r="CK87" s="13" t="s">
        <v>94</v>
      </c>
    </row>
    <row r="88" spans="1:89" x14ac:dyDescent="0.3">
      <c r="A88" s="8" t="s">
        <v>175</v>
      </c>
      <c r="B88" s="11">
        <v>5.8207660913467401E-11</v>
      </c>
      <c r="C88" s="12" t="s">
        <v>94</v>
      </c>
      <c r="D88" s="12" t="s">
        <v>94</v>
      </c>
      <c r="E88" s="12" t="s">
        <v>94</v>
      </c>
      <c r="F88" s="12" t="s">
        <v>94</v>
      </c>
      <c r="G88" s="12" t="s">
        <v>94</v>
      </c>
      <c r="H88" s="12" t="s">
        <v>94</v>
      </c>
      <c r="I88" s="12" t="s">
        <v>94</v>
      </c>
      <c r="J88" s="12" t="s">
        <v>94</v>
      </c>
      <c r="K88" s="12" t="s">
        <v>94</v>
      </c>
      <c r="L88" s="12" t="s">
        <v>94</v>
      </c>
      <c r="M88" s="12" t="s">
        <v>94</v>
      </c>
      <c r="N88" s="12" t="s">
        <v>94</v>
      </c>
      <c r="O88" s="12" t="s">
        <v>94</v>
      </c>
      <c r="P88" s="12" t="s">
        <v>94</v>
      </c>
      <c r="Q88" s="12" t="s">
        <v>94</v>
      </c>
      <c r="R88" s="12" t="s">
        <v>94</v>
      </c>
      <c r="S88" s="12" t="s">
        <v>94</v>
      </c>
      <c r="T88" s="12" t="s">
        <v>94</v>
      </c>
      <c r="U88" s="12" t="s">
        <v>94</v>
      </c>
      <c r="V88" s="12" t="s">
        <v>94</v>
      </c>
      <c r="W88" s="12" t="s">
        <v>94</v>
      </c>
      <c r="X88" s="12" t="s">
        <v>94</v>
      </c>
      <c r="Y88" s="12" t="s">
        <v>94</v>
      </c>
      <c r="Z88" s="12" t="s">
        <v>94</v>
      </c>
      <c r="AA88" s="12" t="s">
        <v>94</v>
      </c>
      <c r="AB88" s="12" t="s">
        <v>94</v>
      </c>
      <c r="AC88" s="12" t="s">
        <v>94</v>
      </c>
      <c r="AD88" s="12" t="s">
        <v>94</v>
      </c>
      <c r="AE88" s="12" t="s">
        <v>94</v>
      </c>
      <c r="AF88" s="12" t="s">
        <v>94</v>
      </c>
      <c r="AG88" s="12" t="s">
        <v>94</v>
      </c>
      <c r="AH88" s="12" t="s">
        <v>94</v>
      </c>
      <c r="AI88" s="12" t="s">
        <v>94</v>
      </c>
      <c r="AJ88" s="12" t="s">
        <v>94</v>
      </c>
      <c r="AK88" s="12" t="s">
        <v>94</v>
      </c>
      <c r="AL88" s="12" t="s">
        <v>94</v>
      </c>
      <c r="AM88" s="12" t="s">
        <v>94</v>
      </c>
      <c r="AN88" s="12" t="s">
        <v>94</v>
      </c>
      <c r="AO88" s="12" t="s">
        <v>94</v>
      </c>
      <c r="AP88" s="12" t="s">
        <v>94</v>
      </c>
      <c r="AQ88" s="12" t="s">
        <v>94</v>
      </c>
      <c r="AR88" s="12" t="s">
        <v>94</v>
      </c>
      <c r="AS88" s="12" t="s">
        <v>94</v>
      </c>
      <c r="AT88" s="12" t="s">
        <v>94</v>
      </c>
      <c r="AU88" s="12" t="s">
        <v>94</v>
      </c>
      <c r="AV88" s="12" t="s">
        <v>94</v>
      </c>
      <c r="AW88" s="12" t="s">
        <v>94</v>
      </c>
      <c r="AX88" s="12" t="s">
        <v>94</v>
      </c>
      <c r="AY88" s="12" t="s">
        <v>94</v>
      </c>
      <c r="AZ88" s="12" t="s">
        <v>94</v>
      </c>
      <c r="BA88" s="12" t="s">
        <v>94</v>
      </c>
      <c r="BB88" s="12" t="s">
        <v>94</v>
      </c>
      <c r="BC88" s="12" t="s">
        <v>94</v>
      </c>
      <c r="BD88" s="12" t="s">
        <v>94</v>
      </c>
      <c r="BE88" s="12" t="s">
        <v>94</v>
      </c>
      <c r="BF88" s="12" t="s">
        <v>94</v>
      </c>
      <c r="BG88" s="12" t="s">
        <v>94</v>
      </c>
      <c r="BH88" s="12" t="s">
        <v>94</v>
      </c>
      <c r="BI88" s="12" t="s">
        <v>94</v>
      </c>
      <c r="BJ88" s="12" t="s">
        <v>94</v>
      </c>
      <c r="BK88" s="12" t="s">
        <v>94</v>
      </c>
      <c r="BL88" s="12" t="s">
        <v>94</v>
      </c>
      <c r="BM88" s="12" t="s">
        <v>94</v>
      </c>
      <c r="BN88" s="12" t="s">
        <v>94</v>
      </c>
      <c r="BO88" s="12" t="s">
        <v>94</v>
      </c>
      <c r="BP88" s="12" t="s">
        <v>94</v>
      </c>
      <c r="BQ88" s="12" t="s">
        <v>94</v>
      </c>
      <c r="BR88" s="12" t="s">
        <v>94</v>
      </c>
      <c r="BS88" s="12" t="s">
        <v>94</v>
      </c>
      <c r="BT88" s="12" t="s">
        <v>94</v>
      </c>
      <c r="BU88" s="12" t="s">
        <v>94</v>
      </c>
      <c r="BV88" s="12" t="s">
        <v>94</v>
      </c>
      <c r="BW88" s="12" t="s">
        <v>94</v>
      </c>
      <c r="BX88" s="12" t="s">
        <v>94</v>
      </c>
      <c r="BY88" s="12" t="s">
        <v>94</v>
      </c>
      <c r="BZ88" s="12" t="s">
        <v>94</v>
      </c>
      <c r="CA88" s="12" t="s">
        <v>94</v>
      </c>
      <c r="CB88" s="12" t="s">
        <v>94</v>
      </c>
      <c r="CC88" s="12" t="s">
        <v>94</v>
      </c>
      <c r="CD88" s="11">
        <v>5.8207660913467401E-11</v>
      </c>
      <c r="CE88" s="11">
        <v>-230183.09099999999</v>
      </c>
      <c r="CF88" s="11">
        <v>6976.027</v>
      </c>
      <c r="CG88" s="11">
        <v>0</v>
      </c>
      <c r="CH88" s="11">
        <v>0</v>
      </c>
      <c r="CI88" s="11">
        <v>505763.66700000002</v>
      </c>
      <c r="CJ88" s="11">
        <v>-282556.603</v>
      </c>
      <c r="CK88" s="11">
        <v>0</v>
      </c>
    </row>
    <row r="89" spans="1:89" x14ac:dyDescent="0.3">
      <c r="A89" s="7" t="s">
        <v>176</v>
      </c>
      <c r="B89" s="10">
        <v>41959242.141999997</v>
      </c>
      <c r="C89" s="10">
        <v>18773095.561000001</v>
      </c>
      <c r="D89" s="10">
        <v>165184.981</v>
      </c>
      <c r="E89" s="10">
        <v>252628.636</v>
      </c>
      <c r="F89" s="10">
        <v>6080.69</v>
      </c>
      <c r="G89" s="10">
        <v>13159.222</v>
      </c>
      <c r="H89" s="10">
        <v>4448.99</v>
      </c>
      <c r="I89" s="10">
        <v>262200.12400000001</v>
      </c>
      <c r="J89" s="10">
        <v>152354.44200000001</v>
      </c>
      <c r="K89" s="10">
        <v>89202.819000000003</v>
      </c>
      <c r="L89" s="10">
        <v>256368.932</v>
      </c>
      <c r="M89" s="10">
        <v>1022404.906</v>
      </c>
      <c r="N89" s="10">
        <v>350571.31400000001</v>
      </c>
      <c r="O89" s="10">
        <v>122622.345</v>
      </c>
      <c r="P89" s="10">
        <v>1472875.378</v>
      </c>
      <c r="Q89" s="10">
        <v>222513.514</v>
      </c>
      <c r="R89" s="10">
        <v>66073.974000000002</v>
      </c>
      <c r="S89" s="10">
        <v>29825.38</v>
      </c>
      <c r="T89" s="10">
        <v>101845.906</v>
      </c>
      <c r="U89" s="10">
        <v>52640.034</v>
      </c>
      <c r="V89" s="10">
        <v>50610.722000000002</v>
      </c>
      <c r="W89" s="10">
        <v>187234.88</v>
      </c>
      <c r="X89" s="10">
        <v>60822.838000000003</v>
      </c>
      <c r="Y89" s="10">
        <v>760591.50899999996</v>
      </c>
      <c r="Z89" s="10">
        <v>750152.16200000001</v>
      </c>
      <c r="AA89" s="10">
        <v>396752.28700000001</v>
      </c>
      <c r="AB89" s="10">
        <v>238615.777</v>
      </c>
      <c r="AC89" s="10">
        <v>621121.79700000002</v>
      </c>
      <c r="AD89" s="10">
        <v>340880.57400000002</v>
      </c>
      <c r="AE89" s="10">
        <v>391587.41800000001</v>
      </c>
      <c r="AF89" s="10">
        <v>1506816.645</v>
      </c>
      <c r="AG89" s="10">
        <v>430844.00599999999</v>
      </c>
      <c r="AH89" s="10">
        <v>2897708.344</v>
      </c>
      <c r="AI89" s="10">
        <v>82230.259000000005</v>
      </c>
      <c r="AJ89" s="10">
        <v>320207.19</v>
      </c>
      <c r="AK89" s="10">
        <v>611251.64099999995</v>
      </c>
      <c r="AL89" s="10">
        <v>640062.83900000004</v>
      </c>
      <c r="AM89" s="10">
        <v>155945.976</v>
      </c>
      <c r="AN89" s="10">
        <v>29764.341</v>
      </c>
      <c r="AO89" s="10">
        <v>12624.89</v>
      </c>
      <c r="AP89" s="10">
        <v>378990.08100000001</v>
      </c>
      <c r="AQ89" s="10">
        <v>269178.67099999997</v>
      </c>
      <c r="AR89" s="10">
        <v>12967.682000000001</v>
      </c>
      <c r="AS89" s="10">
        <v>2310.2289999999998</v>
      </c>
      <c r="AT89" s="10">
        <v>79153.881999999998</v>
      </c>
      <c r="AU89" s="10">
        <v>985.45</v>
      </c>
      <c r="AV89" s="10">
        <v>24038.16</v>
      </c>
      <c r="AW89" s="10">
        <v>35245.084000000003</v>
      </c>
      <c r="AX89" s="10">
        <v>16026.21</v>
      </c>
      <c r="AY89" s="10">
        <v>33439.718000000001</v>
      </c>
      <c r="AZ89" s="10">
        <v>48831.756000000001</v>
      </c>
      <c r="BA89" s="10">
        <v>189450.383</v>
      </c>
      <c r="BB89" s="10">
        <v>5140.2889999999998</v>
      </c>
      <c r="BC89" s="10">
        <v>1345.739</v>
      </c>
      <c r="BD89" s="10">
        <v>5106.9449999999997</v>
      </c>
      <c r="BE89" s="10">
        <v>262021.005</v>
      </c>
      <c r="BF89" s="10">
        <v>14522.532999999999</v>
      </c>
      <c r="BG89" s="10">
        <v>204263.75700000001</v>
      </c>
      <c r="BH89" s="10">
        <v>184790.353</v>
      </c>
      <c r="BI89" s="10">
        <v>32986.730000000003</v>
      </c>
      <c r="BJ89" s="10">
        <v>395.33499999999998</v>
      </c>
      <c r="BK89" s="10">
        <v>148287.12700000001</v>
      </c>
      <c r="BL89" s="10">
        <v>85720.451000000001</v>
      </c>
      <c r="BM89" s="10">
        <v>224689.43799999999</v>
      </c>
      <c r="BN89" s="10">
        <v>10737.968000000001</v>
      </c>
      <c r="BO89" s="10">
        <v>132736.17300000001</v>
      </c>
      <c r="BP89" s="10">
        <v>103246.548</v>
      </c>
      <c r="BQ89" s="10">
        <v>167213.04500000001</v>
      </c>
      <c r="BR89" s="10">
        <v>1792.1890000000001</v>
      </c>
      <c r="BS89" s="10">
        <v>16994.985000000001</v>
      </c>
      <c r="BT89" s="10">
        <v>14493.534</v>
      </c>
      <c r="BU89" s="10">
        <v>4990.0339999999997</v>
      </c>
      <c r="BV89" s="10">
        <v>42763.678999999996</v>
      </c>
      <c r="BW89" s="10">
        <v>143973.39499999999</v>
      </c>
      <c r="BX89" s="10">
        <v>188900.28400000001</v>
      </c>
      <c r="BY89" s="10">
        <v>88604.201000000001</v>
      </c>
      <c r="BZ89" s="10">
        <v>47532.466999999997</v>
      </c>
      <c r="CA89" s="10">
        <v>26215.994999999999</v>
      </c>
      <c r="CB89" s="10">
        <v>0</v>
      </c>
      <c r="CC89" s="10">
        <v>394186.37400000001</v>
      </c>
      <c r="CD89" s="10">
        <v>23186146.581</v>
      </c>
      <c r="CE89" s="10">
        <v>15341385.551000001</v>
      </c>
      <c r="CF89" s="10">
        <v>2721397.767</v>
      </c>
      <c r="CG89" s="10">
        <v>5533104.9400000004</v>
      </c>
      <c r="CH89" s="10">
        <v>103964.583</v>
      </c>
      <c r="CI89" s="10">
        <v>9439522.1870000008</v>
      </c>
      <c r="CJ89" s="10">
        <v>-9953228.4470000006</v>
      </c>
      <c r="CK89" s="10">
        <v>0</v>
      </c>
    </row>
    <row r="90" spans="1:89" x14ac:dyDescent="0.3">
      <c r="A90" s="8" t="s">
        <v>177</v>
      </c>
      <c r="B90" s="11">
        <v>1393818.827</v>
      </c>
      <c r="C90" s="11">
        <v>316020.91499999998</v>
      </c>
      <c r="D90" s="11">
        <v>1306.8979999999999</v>
      </c>
      <c r="E90" s="11">
        <v>312.005</v>
      </c>
      <c r="F90" s="11">
        <v>56.494999999999997</v>
      </c>
      <c r="G90" s="11">
        <v>237.708</v>
      </c>
      <c r="H90" s="11">
        <v>31.071000000000002</v>
      </c>
      <c r="I90" s="11">
        <v>2795.3609999999999</v>
      </c>
      <c r="J90" s="11">
        <v>4291.201</v>
      </c>
      <c r="K90" s="11">
        <v>2013.14</v>
      </c>
      <c r="L90" s="11">
        <v>22558.955000000002</v>
      </c>
      <c r="M90" s="11">
        <v>2982.864</v>
      </c>
      <c r="N90" s="11">
        <v>3570.3609999999999</v>
      </c>
      <c r="O90" s="11">
        <v>349.786</v>
      </c>
      <c r="P90" s="11">
        <v>6473.3069999999998</v>
      </c>
      <c r="Q90" s="11">
        <v>1480.3209999999999</v>
      </c>
      <c r="R90" s="11">
        <v>184.55</v>
      </c>
      <c r="S90" s="11">
        <v>95.783000000000001</v>
      </c>
      <c r="T90" s="11">
        <v>378.85899999999998</v>
      </c>
      <c r="U90" s="11">
        <v>164.24100000000001</v>
      </c>
      <c r="V90" s="11">
        <v>143.733</v>
      </c>
      <c r="W90" s="11">
        <v>1068.6969999999999</v>
      </c>
      <c r="X90" s="11">
        <v>421.91</v>
      </c>
      <c r="Y90" s="11">
        <v>74266.668000000005</v>
      </c>
      <c r="Z90" s="11">
        <v>10021.325999999999</v>
      </c>
      <c r="AA90" s="11">
        <v>1927.1389999999999</v>
      </c>
      <c r="AB90" s="11">
        <v>1713.18</v>
      </c>
      <c r="AC90" s="11">
        <v>2309.5430000000001</v>
      </c>
      <c r="AD90" s="11">
        <v>1292.634</v>
      </c>
      <c r="AE90" s="11">
        <v>560.99</v>
      </c>
      <c r="AF90" s="11">
        <v>834.19799999999998</v>
      </c>
      <c r="AG90" s="11">
        <v>668.49400000000003</v>
      </c>
      <c r="AH90" s="11">
        <v>5283.8980000000001</v>
      </c>
      <c r="AI90" s="11">
        <v>234.804</v>
      </c>
      <c r="AJ90" s="11">
        <v>310.73500000000001</v>
      </c>
      <c r="AK90" s="11">
        <v>14821.402</v>
      </c>
      <c r="AL90" s="11">
        <v>8958.1790000000001</v>
      </c>
      <c r="AM90" s="11">
        <v>9903.7019999999993</v>
      </c>
      <c r="AN90" s="11">
        <v>1145.789</v>
      </c>
      <c r="AO90" s="11">
        <v>567.66899999999998</v>
      </c>
      <c r="AP90" s="11">
        <v>12725.16</v>
      </c>
      <c r="AQ90" s="11">
        <v>9315.6290000000008</v>
      </c>
      <c r="AR90" s="11">
        <v>200.57300000000001</v>
      </c>
      <c r="AS90" s="11">
        <v>61.499000000000002</v>
      </c>
      <c r="AT90" s="11">
        <v>504.952</v>
      </c>
      <c r="AU90" s="11">
        <v>5.2939999999999996</v>
      </c>
      <c r="AV90" s="11">
        <v>604.38099999999997</v>
      </c>
      <c r="AW90" s="11">
        <v>314.12900000000002</v>
      </c>
      <c r="AX90" s="11">
        <v>68.557000000000002</v>
      </c>
      <c r="AY90" s="11">
        <v>210.51499999999999</v>
      </c>
      <c r="AZ90" s="11">
        <v>517.01800000000003</v>
      </c>
      <c r="BA90" s="11">
        <v>1225.02</v>
      </c>
      <c r="BB90" s="11">
        <v>12.37</v>
      </c>
      <c r="BC90" s="11">
        <v>28.966999999999999</v>
      </c>
      <c r="BD90" s="11">
        <v>6.3559999999999999</v>
      </c>
      <c r="BE90" s="11">
        <v>340.46800000000002</v>
      </c>
      <c r="BF90" s="11">
        <v>56.386000000000003</v>
      </c>
      <c r="BG90" s="11">
        <v>82.381</v>
      </c>
      <c r="BH90" s="11">
        <v>2043.191</v>
      </c>
      <c r="BI90" s="11">
        <v>281.85000000000002</v>
      </c>
      <c r="BJ90" s="11">
        <v>4.9290000000000003</v>
      </c>
      <c r="BK90" s="11">
        <v>1896.396</v>
      </c>
      <c r="BL90" s="11">
        <v>1161.2670000000001</v>
      </c>
      <c r="BM90" s="11">
        <v>1411.3209999999999</v>
      </c>
      <c r="BN90" s="11">
        <v>62.231999999999999</v>
      </c>
      <c r="BO90" s="11">
        <v>8837.6190000000006</v>
      </c>
      <c r="BP90" s="11">
        <v>6752.0460000000003</v>
      </c>
      <c r="BQ90" s="11">
        <v>8396.3880000000008</v>
      </c>
      <c r="BR90" s="11">
        <v>28.166</v>
      </c>
      <c r="BS90" s="11">
        <v>747.39099999999996</v>
      </c>
      <c r="BT90" s="11">
        <v>531.37</v>
      </c>
      <c r="BU90" s="11">
        <v>269.61700000000002</v>
      </c>
      <c r="BV90" s="11">
        <v>581.60199999999998</v>
      </c>
      <c r="BW90" s="11">
        <v>7037.4110000000001</v>
      </c>
      <c r="BX90" s="11">
        <v>6332.317</v>
      </c>
      <c r="BY90" s="11">
        <v>183.45599999999999</v>
      </c>
      <c r="BZ90" s="11">
        <v>169.50800000000001</v>
      </c>
      <c r="CA90" s="11">
        <v>89.682000000000002</v>
      </c>
      <c r="CB90" s="11">
        <v>0</v>
      </c>
      <c r="CC90" s="11">
        <v>57185.904999999999</v>
      </c>
      <c r="CD90" s="11">
        <v>1077797.912</v>
      </c>
      <c r="CE90" s="11">
        <v>1038457.4449999999</v>
      </c>
      <c r="CF90" s="11">
        <v>0</v>
      </c>
      <c r="CG90" s="11">
        <v>39340.29</v>
      </c>
      <c r="CH90" s="11">
        <v>0</v>
      </c>
      <c r="CI90" s="11">
        <v>0.17699999999999999</v>
      </c>
      <c r="CJ90" s="12" t="s">
        <v>94</v>
      </c>
      <c r="CK90" s="12" t="s">
        <v>94</v>
      </c>
    </row>
    <row r="91" spans="1:89" x14ac:dyDescent="0.3">
      <c r="A91" s="7" t="s">
        <v>178</v>
      </c>
      <c r="B91" s="10">
        <v>90793.994000000006</v>
      </c>
      <c r="C91" s="10">
        <v>3519.875</v>
      </c>
      <c r="D91" s="10">
        <v>0</v>
      </c>
      <c r="E91" s="10">
        <v>4.5439999999999996</v>
      </c>
      <c r="F91" s="10">
        <v>0.115</v>
      </c>
      <c r="G91" s="10">
        <v>27.097999999999999</v>
      </c>
      <c r="H91" s="10">
        <v>2.1999999999999999E-2</v>
      </c>
      <c r="I91" s="10">
        <v>2.87</v>
      </c>
      <c r="J91" s="10">
        <v>0.21299999999999999</v>
      </c>
      <c r="K91" s="10">
        <v>0.20499999999999999</v>
      </c>
      <c r="L91" s="10">
        <v>0.19600000000000001</v>
      </c>
      <c r="M91" s="10">
        <v>1.5329999999999999</v>
      </c>
      <c r="N91" s="10">
        <v>26.393000000000001</v>
      </c>
      <c r="O91" s="10">
        <v>0.14299999999999999</v>
      </c>
      <c r="P91" s="10">
        <v>1.103</v>
      </c>
      <c r="Q91" s="10">
        <v>0.105</v>
      </c>
      <c r="R91" s="10">
        <v>2.4E-2</v>
      </c>
      <c r="S91" s="10">
        <v>7.1999999999999995E-2</v>
      </c>
      <c r="T91" s="10">
        <v>0.155</v>
      </c>
      <c r="U91" s="10">
        <v>2.8000000000000001E-2</v>
      </c>
      <c r="V91" s="10">
        <v>0.04</v>
      </c>
      <c r="W91" s="10">
        <v>0.222</v>
      </c>
      <c r="X91" s="10">
        <v>0.58199999999999996</v>
      </c>
      <c r="Y91" s="10">
        <v>5.2999999999999999E-2</v>
      </c>
      <c r="Z91" s="10">
        <v>0.52</v>
      </c>
      <c r="AA91" s="10">
        <v>0.26600000000000001</v>
      </c>
      <c r="AB91" s="10">
        <v>0.30099999999999999</v>
      </c>
      <c r="AC91" s="10">
        <v>0.46899999999999997</v>
      </c>
      <c r="AD91" s="10">
        <v>0.28999999999999998</v>
      </c>
      <c r="AE91" s="10">
        <v>0.38200000000000001</v>
      </c>
      <c r="AF91" s="10">
        <v>0.47</v>
      </c>
      <c r="AG91" s="10">
        <v>0.13500000000000001</v>
      </c>
      <c r="AH91" s="10">
        <v>1.4530000000000001</v>
      </c>
      <c r="AI91" s="10">
        <v>9.1999999999999998E-2</v>
      </c>
      <c r="AJ91" s="10">
        <v>0.11600000000000001</v>
      </c>
      <c r="AK91" s="10">
        <v>10.808</v>
      </c>
      <c r="AL91" s="10">
        <v>177.251</v>
      </c>
      <c r="AM91" s="10">
        <v>2.7850000000000001</v>
      </c>
      <c r="AN91" s="10">
        <v>0.159</v>
      </c>
      <c r="AO91" s="10">
        <v>28.561</v>
      </c>
      <c r="AP91" s="10">
        <v>0.37</v>
      </c>
      <c r="AQ91" s="10">
        <v>0.16700000000000001</v>
      </c>
      <c r="AR91" s="10">
        <v>0.44</v>
      </c>
      <c r="AS91" s="10">
        <v>2.835</v>
      </c>
      <c r="AT91" s="10">
        <v>0.248</v>
      </c>
      <c r="AU91" s="10">
        <v>54.938000000000002</v>
      </c>
      <c r="AV91" s="10">
        <v>6.4000000000000001E-2</v>
      </c>
      <c r="AW91" s="10">
        <v>0.29199999999999998</v>
      </c>
      <c r="AX91" s="10">
        <v>0.13200000000000001</v>
      </c>
      <c r="AY91" s="10">
        <v>0.38</v>
      </c>
      <c r="AZ91" s="10">
        <v>416.20299999999997</v>
      </c>
      <c r="BA91" s="10">
        <v>469.29399999999998</v>
      </c>
      <c r="BB91" s="10">
        <v>4.1000000000000002E-2</v>
      </c>
      <c r="BC91" s="10">
        <v>0.20399999999999999</v>
      </c>
      <c r="BD91" s="10">
        <v>54.212000000000003</v>
      </c>
      <c r="BE91" s="10">
        <v>683.36800000000005</v>
      </c>
      <c r="BF91" s="10">
        <v>15.574</v>
      </c>
      <c r="BG91" s="10">
        <v>514.98500000000001</v>
      </c>
      <c r="BH91" s="10">
        <v>5.4459999999999997</v>
      </c>
      <c r="BI91" s="10">
        <v>0.218</v>
      </c>
      <c r="BJ91" s="10">
        <v>5.0000000000000001E-3</v>
      </c>
      <c r="BK91" s="10">
        <v>16.094000000000001</v>
      </c>
      <c r="BL91" s="10">
        <v>5.9749999999999996</v>
      </c>
      <c r="BM91" s="10">
        <v>19.596</v>
      </c>
      <c r="BN91" s="10">
        <v>0.13400000000000001</v>
      </c>
      <c r="BO91" s="10">
        <v>106.133</v>
      </c>
      <c r="BP91" s="10">
        <v>17.675999999999998</v>
      </c>
      <c r="BQ91" s="10">
        <v>20.309000000000001</v>
      </c>
      <c r="BR91" s="10">
        <v>2.1999999999999999E-2</v>
      </c>
      <c r="BS91" s="10">
        <v>1.016</v>
      </c>
      <c r="BT91" s="10">
        <v>1.1779999999999999</v>
      </c>
      <c r="BU91" s="10">
        <v>3.6739999999999999</v>
      </c>
      <c r="BV91" s="10">
        <v>1.782</v>
      </c>
      <c r="BW91" s="10">
        <v>5.149</v>
      </c>
      <c r="BX91" s="10">
        <v>0.59399999999999997</v>
      </c>
      <c r="BY91" s="10">
        <v>0.68300000000000005</v>
      </c>
      <c r="BZ91" s="10">
        <v>1.946</v>
      </c>
      <c r="CA91" s="10">
        <v>2.2890000000000001</v>
      </c>
      <c r="CB91" s="10">
        <v>0</v>
      </c>
      <c r="CC91" s="10">
        <v>806.43499999999995</v>
      </c>
      <c r="CD91" s="10">
        <v>87274.119000000006</v>
      </c>
      <c r="CE91" s="10">
        <v>86940.415999999997</v>
      </c>
      <c r="CF91" s="10">
        <v>0</v>
      </c>
      <c r="CG91" s="10">
        <v>333.70299999999997</v>
      </c>
      <c r="CH91" s="10">
        <v>0</v>
      </c>
      <c r="CI91" s="10">
        <v>0</v>
      </c>
      <c r="CJ91" s="13" t="s">
        <v>94</v>
      </c>
      <c r="CK91" s="13" t="s">
        <v>94</v>
      </c>
    </row>
    <row r="92" spans="1:89" x14ac:dyDescent="0.3">
      <c r="A92" s="8" t="s">
        <v>179</v>
      </c>
      <c r="B92" s="11">
        <v>1303024.8330000001</v>
      </c>
      <c r="C92" s="11">
        <v>312501.03999999998</v>
      </c>
      <c r="D92" s="11">
        <v>1306.8979999999999</v>
      </c>
      <c r="E92" s="11">
        <v>307.46100000000001</v>
      </c>
      <c r="F92" s="11">
        <v>56.38</v>
      </c>
      <c r="G92" s="11">
        <v>210.61</v>
      </c>
      <c r="H92" s="11">
        <v>31.048999999999999</v>
      </c>
      <c r="I92" s="11">
        <v>2792.491</v>
      </c>
      <c r="J92" s="11">
        <v>4290.9880000000003</v>
      </c>
      <c r="K92" s="11">
        <v>2012.9349999999999</v>
      </c>
      <c r="L92" s="11">
        <v>22558.758999999998</v>
      </c>
      <c r="M92" s="11">
        <v>2981.3310000000001</v>
      </c>
      <c r="N92" s="11">
        <v>3543.9679999999998</v>
      </c>
      <c r="O92" s="11">
        <v>349.64299999999997</v>
      </c>
      <c r="P92" s="11">
        <v>6472.2039999999997</v>
      </c>
      <c r="Q92" s="11">
        <v>1480.2159999999999</v>
      </c>
      <c r="R92" s="11">
        <v>184.52600000000001</v>
      </c>
      <c r="S92" s="11">
        <v>95.710999999999999</v>
      </c>
      <c r="T92" s="11">
        <v>378.70400000000001</v>
      </c>
      <c r="U92" s="11">
        <v>164.21299999999999</v>
      </c>
      <c r="V92" s="11">
        <v>143.69300000000001</v>
      </c>
      <c r="W92" s="11">
        <v>1068.4749999999999</v>
      </c>
      <c r="X92" s="11">
        <v>421.32799999999997</v>
      </c>
      <c r="Y92" s="11">
        <v>74266.615000000005</v>
      </c>
      <c r="Z92" s="11">
        <v>10020.806</v>
      </c>
      <c r="AA92" s="11">
        <v>1926.873</v>
      </c>
      <c r="AB92" s="11">
        <v>1712.8789999999999</v>
      </c>
      <c r="AC92" s="11">
        <v>2309.0740000000001</v>
      </c>
      <c r="AD92" s="11">
        <v>1292.3440000000001</v>
      </c>
      <c r="AE92" s="11">
        <v>560.60799999999995</v>
      </c>
      <c r="AF92" s="11">
        <v>833.72799999999995</v>
      </c>
      <c r="AG92" s="11">
        <v>668.35900000000004</v>
      </c>
      <c r="AH92" s="11">
        <v>5282.4449999999997</v>
      </c>
      <c r="AI92" s="11">
        <v>234.71199999999999</v>
      </c>
      <c r="AJ92" s="11">
        <v>310.61900000000003</v>
      </c>
      <c r="AK92" s="11">
        <v>14810.593999999999</v>
      </c>
      <c r="AL92" s="11">
        <v>8780.9279999999999</v>
      </c>
      <c r="AM92" s="11">
        <v>9900.9169999999995</v>
      </c>
      <c r="AN92" s="11">
        <v>1145.6300000000001</v>
      </c>
      <c r="AO92" s="11">
        <v>539.10799999999995</v>
      </c>
      <c r="AP92" s="11">
        <v>12724.79</v>
      </c>
      <c r="AQ92" s="11">
        <v>9315.4619999999995</v>
      </c>
      <c r="AR92" s="11">
        <v>200.13300000000001</v>
      </c>
      <c r="AS92" s="11">
        <v>58.664000000000001</v>
      </c>
      <c r="AT92" s="11">
        <v>504.70400000000001</v>
      </c>
      <c r="AU92" s="11">
        <v>-49.643999999999998</v>
      </c>
      <c r="AV92" s="11">
        <v>604.31700000000001</v>
      </c>
      <c r="AW92" s="11">
        <v>313.83699999999999</v>
      </c>
      <c r="AX92" s="11">
        <v>68.424999999999997</v>
      </c>
      <c r="AY92" s="11">
        <v>210.13499999999999</v>
      </c>
      <c r="AZ92" s="11">
        <v>100.815</v>
      </c>
      <c r="BA92" s="11">
        <v>755.726</v>
      </c>
      <c r="BB92" s="11">
        <v>12.329000000000001</v>
      </c>
      <c r="BC92" s="11">
        <v>28.763000000000002</v>
      </c>
      <c r="BD92" s="11">
        <v>-47.856000000000002</v>
      </c>
      <c r="BE92" s="11">
        <v>-342.9</v>
      </c>
      <c r="BF92" s="11">
        <v>40.811999999999998</v>
      </c>
      <c r="BG92" s="11">
        <v>-432.60399999999998</v>
      </c>
      <c r="BH92" s="11">
        <v>2037.7449999999999</v>
      </c>
      <c r="BI92" s="11">
        <v>281.63200000000001</v>
      </c>
      <c r="BJ92" s="11">
        <v>4.9240000000000004</v>
      </c>
      <c r="BK92" s="11">
        <v>1880.3019999999999</v>
      </c>
      <c r="BL92" s="11">
        <v>1155.2919999999999</v>
      </c>
      <c r="BM92" s="11">
        <v>1391.7249999999999</v>
      </c>
      <c r="BN92" s="11">
        <v>62.097999999999999</v>
      </c>
      <c r="BO92" s="11">
        <v>8731.4860000000008</v>
      </c>
      <c r="BP92" s="11">
        <v>6734.37</v>
      </c>
      <c r="BQ92" s="11">
        <v>8376.0789999999997</v>
      </c>
      <c r="BR92" s="11">
        <v>28.143999999999998</v>
      </c>
      <c r="BS92" s="11">
        <v>746.375</v>
      </c>
      <c r="BT92" s="11">
        <v>530.19200000000001</v>
      </c>
      <c r="BU92" s="11">
        <v>265.94299999999998</v>
      </c>
      <c r="BV92" s="11">
        <v>579.82000000000005</v>
      </c>
      <c r="BW92" s="11">
        <v>7032.2619999999997</v>
      </c>
      <c r="BX92" s="11">
        <v>6331.723</v>
      </c>
      <c r="BY92" s="11">
        <v>182.773</v>
      </c>
      <c r="BZ92" s="11">
        <v>167.56200000000001</v>
      </c>
      <c r="CA92" s="11">
        <v>87.393000000000001</v>
      </c>
      <c r="CB92" s="11">
        <v>0</v>
      </c>
      <c r="CC92" s="11">
        <v>56379.47</v>
      </c>
      <c r="CD92" s="11">
        <v>990523.79299999995</v>
      </c>
      <c r="CE92" s="11">
        <v>951517.02899999998</v>
      </c>
      <c r="CF92" s="11">
        <v>0</v>
      </c>
      <c r="CG92" s="11">
        <v>39006.587</v>
      </c>
      <c r="CH92" s="11">
        <v>0</v>
      </c>
      <c r="CI92" s="11">
        <v>0.17699999999999999</v>
      </c>
      <c r="CJ92" s="11">
        <v>0</v>
      </c>
      <c r="CK92" s="11">
        <v>0</v>
      </c>
    </row>
    <row r="93" spans="1:89" x14ac:dyDescent="0.3">
      <c r="A93" s="7" t="s">
        <v>180</v>
      </c>
      <c r="B93" s="10">
        <v>43262266.975000001</v>
      </c>
      <c r="C93" s="10">
        <v>19085596.601</v>
      </c>
      <c r="D93" s="10">
        <v>166491.87899999999</v>
      </c>
      <c r="E93" s="10">
        <v>252936.09700000001</v>
      </c>
      <c r="F93" s="10">
        <v>6137.07</v>
      </c>
      <c r="G93" s="10">
        <v>13369.832</v>
      </c>
      <c r="H93" s="10">
        <v>4480.0389999999998</v>
      </c>
      <c r="I93" s="10">
        <v>264992.61499999999</v>
      </c>
      <c r="J93" s="10">
        <v>156645.43</v>
      </c>
      <c r="K93" s="10">
        <v>91215.754000000001</v>
      </c>
      <c r="L93" s="10">
        <v>278927.69099999999</v>
      </c>
      <c r="M93" s="10">
        <v>1025386.237</v>
      </c>
      <c r="N93" s="10">
        <v>354115.28200000001</v>
      </c>
      <c r="O93" s="10">
        <v>122971.988</v>
      </c>
      <c r="P93" s="10">
        <v>1479347.5819999999</v>
      </c>
      <c r="Q93" s="10">
        <v>223993.73</v>
      </c>
      <c r="R93" s="10">
        <v>66258.5</v>
      </c>
      <c r="S93" s="10">
        <v>29921.091</v>
      </c>
      <c r="T93" s="10">
        <v>102224.61</v>
      </c>
      <c r="U93" s="10">
        <v>52804.247000000003</v>
      </c>
      <c r="V93" s="10">
        <v>50754.415000000001</v>
      </c>
      <c r="W93" s="10">
        <v>188303.35500000001</v>
      </c>
      <c r="X93" s="10">
        <v>61244.165999999997</v>
      </c>
      <c r="Y93" s="10">
        <v>834858.12399999995</v>
      </c>
      <c r="Z93" s="10">
        <v>760172.96799999999</v>
      </c>
      <c r="AA93" s="10">
        <v>398679.16</v>
      </c>
      <c r="AB93" s="10">
        <v>240328.65599999999</v>
      </c>
      <c r="AC93" s="10">
        <v>623430.87100000004</v>
      </c>
      <c r="AD93" s="10">
        <v>342172.91800000001</v>
      </c>
      <c r="AE93" s="10">
        <v>392148.02600000001</v>
      </c>
      <c r="AF93" s="10">
        <v>1507650.3729999999</v>
      </c>
      <c r="AG93" s="10">
        <v>431512.36499999999</v>
      </c>
      <c r="AH93" s="10">
        <v>2902990.7889999999</v>
      </c>
      <c r="AI93" s="10">
        <v>82464.971000000005</v>
      </c>
      <c r="AJ93" s="10">
        <v>320517.80900000001</v>
      </c>
      <c r="AK93" s="10">
        <v>626062.23499999999</v>
      </c>
      <c r="AL93" s="10">
        <v>648843.76699999999</v>
      </c>
      <c r="AM93" s="10">
        <v>165846.89300000001</v>
      </c>
      <c r="AN93" s="10">
        <v>30909.971000000001</v>
      </c>
      <c r="AO93" s="10">
        <v>13163.998</v>
      </c>
      <c r="AP93" s="10">
        <v>391714.87099999998</v>
      </c>
      <c r="AQ93" s="10">
        <v>278494.13299999997</v>
      </c>
      <c r="AR93" s="10">
        <v>13167.815000000001</v>
      </c>
      <c r="AS93" s="10">
        <v>2368.893</v>
      </c>
      <c r="AT93" s="10">
        <v>79658.585999999996</v>
      </c>
      <c r="AU93" s="10">
        <v>935.80600000000004</v>
      </c>
      <c r="AV93" s="10">
        <v>24642.476999999999</v>
      </c>
      <c r="AW93" s="10">
        <v>35558.921000000002</v>
      </c>
      <c r="AX93" s="10">
        <v>16094.635</v>
      </c>
      <c r="AY93" s="10">
        <v>33649.853000000003</v>
      </c>
      <c r="AZ93" s="10">
        <v>48932.571000000004</v>
      </c>
      <c r="BA93" s="10">
        <v>190206.109</v>
      </c>
      <c r="BB93" s="10">
        <v>5152.6180000000004</v>
      </c>
      <c r="BC93" s="10">
        <v>1374.502</v>
      </c>
      <c r="BD93" s="10">
        <v>5059.0889999999999</v>
      </c>
      <c r="BE93" s="10">
        <v>261678.10500000001</v>
      </c>
      <c r="BF93" s="10">
        <v>14563.344999999999</v>
      </c>
      <c r="BG93" s="10">
        <v>203831.15299999999</v>
      </c>
      <c r="BH93" s="10">
        <v>186828.098</v>
      </c>
      <c r="BI93" s="10">
        <v>33268.362000000001</v>
      </c>
      <c r="BJ93" s="10">
        <v>400.25900000000001</v>
      </c>
      <c r="BK93" s="10">
        <v>150167.429</v>
      </c>
      <c r="BL93" s="10">
        <v>86875.743000000002</v>
      </c>
      <c r="BM93" s="10">
        <v>226081.163</v>
      </c>
      <c r="BN93" s="10">
        <v>10800.066000000001</v>
      </c>
      <c r="BO93" s="10">
        <v>141467.65900000001</v>
      </c>
      <c r="BP93" s="10">
        <v>109980.91800000001</v>
      </c>
      <c r="BQ93" s="10">
        <v>175589.12400000001</v>
      </c>
      <c r="BR93" s="10">
        <v>1820.3330000000001</v>
      </c>
      <c r="BS93" s="10">
        <v>17741.36</v>
      </c>
      <c r="BT93" s="10">
        <v>15023.726000000001</v>
      </c>
      <c r="BU93" s="10">
        <v>5255.9769999999999</v>
      </c>
      <c r="BV93" s="10">
        <v>43343.499000000003</v>
      </c>
      <c r="BW93" s="10">
        <v>151005.65700000001</v>
      </c>
      <c r="BX93" s="10">
        <v>195232.00700000001</v>
      </c>
      <c r="BY93" s="10">
        <v>88786.974000000002</v>
      </c>
      <c r="BZ93" s="10">
        <v>47700.029000000002</v>
      </c>
      <c r="CA93" s="10">
        <v>26303.387999999999</v>
      </c>
      <c r="CB93" s="10">
        <v>0</v>
      </c>
      <c r="CC93" s="10">
        <v>450565.84399999998</v>
      </c>
      <c r="CD93" s="10">
        <v>24176670.374000002</v>
      </c>
      <c r="CE93" s="10">
        <v>16292902.58</v>
      </c>
      <c r="CF93" s="10">
        <v>2721397.767</v>
      </c>
      <c r="CG93" s="10">
        <v>5572111.5269999998</v>
      </c>
      <c r="CH93" s="10">
        <v>103964.583</v>
      </c>
      <c r="CI93" s="10">
        <v>9439522.3640000001</v>
      </c>
      <c r="CJ93" s="10">
        <v>-9953228.4470000006</v>
      </c>
      <c r="CK93" s="10">
        <v>0</v>
      </c>
    </row>
    <row r="94" spans="1:89" x14ac:dyDescent="0.3">
      <c r="A94" s="8" t="s">
        <v>181</v>
      </c>
      <c r="B94" s="12" t="s">
        <v>94</v>
      </c>
      <c r="C94" s="11">
        <v>22873645.541000001</v>
      </c>
      <c r="D94" s="11">
        <v>516354.55499999999</v>
      </c>
      <c r="E94" s="11">
        <v>242533.095</v>
      </c>
      <c r="F94" s="11">
        <v>22690.785</v>
      </c>
      <c r="G94" s="11">
        <v>9602.6630000000005</v>
      </c>
      <c r="H94" s="11">
        <v>5913.9210000000003</v>
      </c>
      <c r="I94" s="11">
        <v>621540.6</v>
      </c>
      <c r="J94" s="11">
        <v>265067.55099999998</v>
      </c>
      <c r="K94" s="11">
        <v>61718.432999999997</v>
      </c>
      <c r="L94" s="11">
        <v>456907.22100000002</v>
      </c>
      <c r="M94" s="11">
        <v>1064926.253</v>
      </c>
      <c r="N94" s="11">
        <v>214062.02100000001</v>
      </c>
      <c r="O94" s="11">
        <v>181801.25099999999</v>
      </c>
      <c r="P94" s="11">
        <v>911713.76800000097</v>
      </c>
      <c r="Q94" s="11">
        <v>240174.372</v>
      </c>
      <c r="R94" s="11">
        <v>32513.579000000002</v>
      </c>
      <c r="S94" s="11">
        <v>17328.629000000001</v>
      </c>
      <c r="T94" s="11">
        <v>71182.811000000002</v>
      </c>
      <c r="U94" s="11">
        <v>31436.956999999999</v>
      </c>
      <c r="V94" s="11">
        <v>38837.811999999998</v>
      </c>
      <c r="W94" s="11">
        <v>101611.97199999999</v>
      </c>
      <c r="X94" s="11">
        <v>24643.809000000001</v>
      </c>
      <c r="Y94" s="11">
        <v>164436.94699999999</v>
      </c>
      <c r="Z94" s="11">
        <v>356405.60200000001</v>
      </c>
      <c r="AA94" s="11">
        <v>151603.43299999999</v>
      </c>
      <c r="AB94" s="11">
        <v>157596.10200000001</v>
      </c>
      <c r="AC94" s="11">
        <v>257274.88</v>
      </c>
      <c r="AD94" s="11">
        <v>170712.27799999999</v>
      </c>
      <c r="AE94" s="11">
        <v>208837.09299999999</v>
      </c>
      <c r="AF94" s="11">
        <v>409294.65800000099</v>
      </c>
      <c r="AG94" s="11">
        <v>178614.03400000001</v>
      </c>
      <c r="AH94" s="11">
        <v>1168500.7560000001</v>
      </c>
      <c r="AI94" s="11">
        <v>55539.633000000002</v>
      </c>
      <c r="AJ94" s="11">
        <v>132857.26999999999</v>
      </c>
      <c r="AK94" s="11">
        <v>2268261.4479999999</v>
      </c>
      <c r="AL94" s="11">
        <v>2241444.4759999998</v>
      </c>
      <c r="AM94" s="11">
        <v>63574.495000000003</v>
      </c>
      <c r="AN94" s="11">
        <v>38500.663999999997</v>
      </c>
      <c r="AO94" s="11">
        <v>18964.173999999999</v>
      </c>
      <c r="AP94" s="11">
        <v>856330.64199999999</v>
      </c>
      <c r="AQ94" s="11">
        <v>451171.37099999998</v>
      </c>
      <c r="AR94" s="11">
        <v>12751.734</v>
      </c>
      <c r="AS94" s="11">
        <v>2487.1759999999999</v>
      </c>
      <c r="AT94" s="11">
        <v>154556.61799999999</v>
      </c>
      <c r="AU94" s="11">
        <v>3961.6990000000001</v>
      </c>
      <c r="AV94" s="11">
        <v>21564.182000000001</v>
      </c>
      <c r="AW94" s="11">
        <v>29847.125</v>
      </c>
      <c r="AX94" s="11">
        <v>16348.493</v>
      </c>
      <c r="AY94" s="11">
        <v>36940.5</v>
      </c>
      <c r="AZ94" s="11">
        <v>41617.767</v>
      </c>
      <c r="BA94" s="11">
        <v>266493.90500000003</v>
      </c>
      <c r="BB94" s="11">
        <v>8319.393</v>
      </c>
      <c r="BC94" s="11">
        <v>1540.617</v>
      </c>
      <c r="BD94" s="11">
        <v>38078.364999999998</v>
      </c>
      <c r="BE94" s="11">
        <v>678782.22900000005</v>
      </c>
      <c r="BF94" s="11">
        <v>22931.666000000001</v>
      </c>
      <c r="BG94" s="11">
        <v>146867.747</v>
      </c>
      <c r="BH94" s="11">
        <v>2036876.93</v>
      </c>
      <c r="BI94" s="11">
        <v>34210.341999999997</v>
      </c>
      <c r="BJ94" s="11">
        <v>49572.822</v>
      </c>
      <c r="BK94" s="11">
        <v>435679.598</v>
      </c>
      <c r="BL94" s="11">
        <v>126888.46</v>
      </c>
      <c r="BM94" s="11">
        <v>778751.55099999998</v>
      </c>
      <c r="BN94" s="11">
        <v>14765.428</v>
      </c>
      <c r="BO94" s="11">
        <v>877924.17099999997</v>
      </c>
      <c r="BP94" s="11">
        <v>245527.753</v>
      </c>
      <c r="BQ94" s="11">
        <v>283184.08</v>
      </c>
      <c r="BR94" s="11">
        <v>2758.547</v>
      </c>
      <c r="BS94" s="11">
        <v>16206.956</v>
      </c>
      <c r="BT94" s="11">
        <v>51526.701999999997</v>
      </c>
      <c r="BU94" s="11">
        <v>7531.4260000000004</v>
      </c>
      <c r="BV94" s="11">
        <v>56466.616000000002</v>
      </c>
      <c r="BW94" s="11">
        <v>254701.16899999999</v>
      </c>
      <c r="BX94" s="11">
        <v>329273.32400000002</v>
      </c>
      <c r="BY94" s="11">
        <v>118399.889</v>
      </c>
      <c r="BZ94" s="11">
        <v>175693.32399999999</v>
      </c>
      <c r="CA94" s="11">
        <v>56696.527999999998</v>
      </c>
      <c r="CB94" s="11">
        <v>100065.28599999999</v>
      </c>
      <c r="CC94" s="11">
        <v>855373.40899999999</v>
      </c>
      <c r="CD94" s="12" t="s">
        <v>94</v>
      </c>
      <c r="CE94" s="12" t="s">
        <v>94</v>
      </c>
      <c r="CF94" s="12" t="s">
        <v>94</v>
      </c>
      <c r="CG94" s="12" t="s">
        <v>94</v>
      </c>
      <c r="CH94" s="12" t="s">
        <v>94</v>
      </c>
      <c r="CI94" s="12" t="s">
        <v>94</v>
      </c>
      <c r="CJ94" s="12" t="s">
        <v>94</v>
      </c>
      <c r="CK94" s="12" t="s">
        <v>94</v>
      </c>
    </row>
    <row r="95" spans="1:89" x14ac:dyDescent="0.3">
      <c r="A95" s="7" t="s">
        <v>182</v>
      </c>
      <c r="B95" s="13" t="s">
        <v>94</v>
      </c>
      <c r="C95" s="10">
        <v>41959242.141999997</v>
      </c>
      <c r="D95" s="10">
        <v>682846.43400000001</v>
      </c>
      <c r="E95" s="10">
        <v>495469.19199999998</v>
      </c>
      <c r="F95" s="10">
        <v>28827.855</v>
      </c>
      <c r="G95" s="10">
        <v>22972.494999999999</v>
      </c>
      <c r="H95" s="10">
        <v>10393.959999999999</v>
      </c>
      <c r="I95" s="10">
        <v>886533.21499999997</v>
      </c>
      <c r="J95" s="10">
        <v>421712.98100000003</v>
      </c>
      <c r="K95" s="10">
        <v>152934.18700000001</v>
      </c>
      <c r="L95" s="10">
        <v>735834.91200000001</v>
      </c>
      <c r="M95" s="10">
        <v>2090312.49</v>
      </c>
      <c r="N95" s="10">
        <v>568177.30299999996</v>
      </c>
      <c r="O95" s="10">
        <v>304773.239</v>
      </c>
      <c r="P95" s="10">
        <v>2391061.35</v>
      </c>
      <c r="Q95" s="10">
        <v>464168.10200000001</v>
      </c>
      <c r="R95" s="10">
        <v>98772.078999999998</v>
      </c>
      <c r="S95" s="10">
        <v>47249.72</v>
      </c>
      <c r="T95" s="10">
        <v>173407.421</v>
      </c>
      <c r="U95" s="10">
        <v>84241.203999999998</v>
      </c>
      <c r="V95" s="10">
        <v>89592.226999999999</v>
      </c>
      <c r="W95" s="10">
        <v>289915.32699999999</v>
      </c>
      <c r="X95" s="10">
        <v>85887.975000000006</v>
      </c>
      <c r="Y95" s="10">
        <v>999295.071</v>
      </c>
      <c r="Z95" s="10">
        <v>1116578.57</v>
      </c>
      <c r="AA95" s="10">
        <v>550282.59299999999</v>
      </c>
      <c r="AB95" s="10">
        <v>397924.75799999997</v>
      </c>
      <c r="AC95" s="10">
        <v>880705.75100000005</v>
      </c>
      <c r="AD95" s="10">
        <v>512885.196</v>
      </c>
      <c r="AE95" s="10">
        <v>600985.11899999995</v>
      </c>
      <c r="AF95" s="10">
        <v>1916945.031</v>
      </c>
      <c r="AG95" s="10">
        <v>610126.39899999998</v>
      </c>
      <c r="AH95" s="10">
        <v>4071491.5449999999</v>
      </c>
      <c r="AI95" s="10">
        <v>138004.60399999999</v>
      </c>
      <c r="AJ95" s="10">
        <v>453375.07900000003</v>
      </c>
      <c r="AK95" s="10">
        <v>2894323.6830000002</v>
      </c>
      <c r="AL95" s="10">
        <v>2890288.2429999998</v>
      </c>
      <c r="AM95" s="10">
        <v>229421.38800000001</v>
      </c>
      <c r="AN95" s="10">
        <v>69410.634999999995</v>
      </c>
      <c r="AO95" s="10">
        <v>32128.171999999999</v>
      </c>
      <c r="AP95" s="10">
        <v>1248045.513</v>
      </c>
      <c r="AQ95" s="10">
        <v>729665.50399999996</v>
      </c>
      <c r="AR95" s="10">
        <v>25919.548999999999</v>
      </c>
      <c r="AS95" s="10">
        <v>4856.0690000000004</v>
      </c>
      <c r="AT95" s="10">
        <v>234215.204</v>
      </c>
      <c r="AU95" s="10">
        <v>4897.5050000000001</v>
      </c>
      <c r="AV95" s="10">
        <v>46206.659</v>
      </c>
      <c r="AW95" s="10">
        <v>65406.046000000002</v>
      </c>
      <c r="AX95" s="10">
        <v>32443.128000000001</v>
      </c>
      <c r="AY95" s="10">
        <v>70590.353000000003</v>
      </c>
      <c r="AZ95" s="10">
        <v>90550.338000000003</v>
      </c>
      <c r="BA95" s="10">
        <v>456700.01400000002</v>
      </c>
      <c r="BB95" s="10">
        <v>13472.011</v>
      </c>
      <c r="BC95" s="10">
        <v>2915.1190000000001</v>
      </c>
      <c r="BD95" s="10">
        <v>43137.453999999998</v>
      </c>
      <c r="BE95" s="10">
        <v>940460.33400000003</v>
      </c>
      <c r="BF95" s="10">
        <v>37495.010999999999</v>
      </c>
      <c r="BG95" s="10">
        <v>350698.9</v>
      </c>
      <c r="BH95" s="10">
        <v>2223705.0279999999</v>
      </c>
      <c r="BI95" s="10">
        <v>67478.703999999998</v>
      </c>
      <c r="BJ95" s="10">
        <v>49973.080999999998</v>
      </c>
      <c r="BK95" s="10">
        <v>585847.027</v>
      </c>
      <c r="BL95" s="10">
        <v>213764.20300000001</v>
      </c>
      <c r="BM95" s="10">
        <v>1004832.714</v>
      </c>
      <c r="BN95" s="10">
        <v>25565.493999999999</v>
      </c>
      <c r="BO95" s="10">
        <v>1019391.83</v>
      </c>
      <c r="BP95" s="10">
        <v>355508.67099999997</v>
      </c>
      <c r="BQ95" s="10">
        <v>458773.20400000003</v>
      </c>
      <c r="BR95" s="10">
        <v>4578.88</v>
      </c>
      <c r="BS95" s="10">
        <v>33948.315999999999</v>
      </c>
      <c r="BT95" s="10">
        <v>66550.428</v>
      </c>
      <c r="BU95" s="10">
        <v>12787.403</v>
      </c>
      <c r="BV95" s="10">
        <v>99810.115000000005</v>
      </c>
      <c r="BW95" s="10">
        <v>405706.826</v>
      </c>
      <c r="BX95" s="10">
        <v>524505.33100000001</v>
      </c>
      <c r="BY95" s="10">
        <v>207186.86300000001</v>
      </c>
      <c r="BZ95" s="10">
        <v>223393.353</v>
      </c>
      <c r="CA95" s="10">
        <v>82999.915999999997</v>
      </c>
      <c r="CB95" s="10">
        <v>100065.28599999999</v>
      </c>
      <c r="CC95" s="10">
        <v>1305939.253</v>
      </c>
      <c r="CD95" s="13" t="s">
        <v>94</v>
      </c>
      <c r="CE95" s="13" t="s">
        <v>94</v>
      </c>
      <c r="CF95" s="13" t="s">
        <v>94</v>
      </c>
      <c r="CG95" s="13" t="s">
        <v>94</v>
      </c>
      <c r="CH95" s="13" t="s">
        <v>94</v>
      </c>
      <c r="CI95" s="13" t="s">
        <v>94</v>
      </c>
      <c r="CJ95" s="13" t="s">
        <v>94</v>
      </c>
      <c r="CK95" s="13" t="s">
        <v>94</v>
      </c>
    </row>
    <row r="96" spans="1:89" x14ac:dyDescent="0.3">
      <c r="A96" s="8" t="s">
        <v>183</v>
      </c>
      <c r="B96" s="11">
        <v>24176670.374000002</v>
      </c>
      <c r="C96" s="11">
        <v>23186146.581</v>
      </c>
      <c r="D96" s="11">
        <v>517661.45299999998</v>
      </c>
      <c r="E96" s="11">
        <v>242840.55600000001</v>
      </c>
      <c r="F96" s="11">
        <v>22747.165000000001</v>
      </c>
      <c r="G96" s="11">
        <v>9813.2729999999992</v>
      </c>
      <c r="H96" s="11">
        <v>5944.97</v>
      </c>
      <c r="I96" s="11">
        <v>624333.09100000001</v>
      </c>
      <c r="J96" s="11">
        <v>269358.53899999999</v>
      </c>
      <c r="K96" s="11">
        <v>63731.368000000002</v>
      </c>
      <c r="L96" s="11">
        <v>479465.98</v>
      </c>
      <c r="M96" s="11">
        <v>1067907.584</v>
      </c>
      <c r="N96" s="11">
        <v>217605.989</v>
      </c>
      <c r="O96" s="11">
        <v>182150.894</v>
      </c>
      <c r="P96" s="11">
        <v>918185.972000001</v>
      </c>
      <c r="Q96" s="11">
        <v>241654.58799999999</v>
      </c>
      <c r="R96" s="11">
        <v>32698.105</v>
      </c>
      <c r="S96" s="11">
        <v>17424.34</v>
      </c>
      <c r="T96" s="11">
        <v>71561.514999999999</v>
      </c>
      <c r="U96" s="11">
        <v>31601.17</v>
      </c>
      <c r="V96" s="11">
        <v>38981.504999999997</v>
      </c>
      <c r="W96" s="11">
        <v>102680.447</v>
      </c>
      <c r="X96" s="11">
        <v>25065.136999999999</v>
      </c>
      <c r="Y96" s="11">
        <v>238703.56200000001</v>
      </c>
      <c r="Z96" s="11">
        <v>366426.408</v>
      </c>
      <c r="AA96" s="11">
        <v>153530.30600000001</v>
      </c>
      <c r="AB96" s="11">
        <v>159308.981</v>
      </c>
      <c r="AC96" s="11">
        <v>259583.954</v>
      </c>
      <c r="AD96" s="11">
        <v>172004.622</v>
      </c>
      <c r="AE96" s="11">
        <v>209397.701</v>
      </c>
      <c r="AF96" s="11">
        <v>410128.38600000099</v>
      </c>
      <c r="AG96" s="11">
        <v>179282.39300000001</v>
      </c>
      <c r="AH96" s="11">
        <v>1173783.2009999999</v>
      </c>
      <c r="AI96" s="11">
        <v>55774.345000000001</v>
      </c>
      <c r="AJ96" s="11">
        <v>133167.889</v>
      </c>
      <c r="AK96" s="11">
        <v>2283072.0419999999</v>
      </c>
      <c r="AL96" s="11">
        <v>2250225.4040000001</v>
      </c>
      <c r="AM96" s="11">
        <v>73475.411999999997</v>
      </c>
      <c r="AN96" s="11">
        <v>39646.294000000002</v>
      </c>
      <c r="AO96" s="11">
        <v>19503.281999999999</v>
      </c>
      <c r="AP96" s="11">
        <v>869055.43200000003</v>
      </c>
      <c r="AQ96" s="11">
        <v>460486.83299999998</v>
      </c>
      <c r="AR96" s="11">
        <v>12951.867</v>
      </c>
      <c r="AS96" s="11">
        <v>2545.84</v>
      </c>
      <c r="AT96" s="11">
        <v>155061.32199999999</v>
      </c>
      <c r="AU96" s="11">
        <v>3912.0549999999998</v>
      </c>
      <c r="AV96" s="11">
        <v>22168.499</v>
      </c>
      <c r="AW96" s="11">
        <v>30160.962</v>
      </c>
      <c r="AX96" s="11">
        <v>16416.918000000001</v>
      </c>
      <c r="AY96" s="11">
        <v>37150.635000000002</v>
      </c>
      <c r="AZ96" s="11">
        <v>41718.582000000002</v>
      </c>
      <c r="BA96" s="11">
        <v>267249.63099999999</v>
      </c>
      <c r="BB96" s="11">
        <v>8331.7219999999998</v>
      </c>
      <c r="BC96" s="11">
        <v>1569.38</v>
      </c>
      <c r="BD96" s="11">
        <v>38030.508999999998</v>
      </c>
      <c r="BE96" s="11">
        <v>678439.32900000003</v>
      </c>
      <c r="BF96" s="11">
        <v>22972.477999999999</v>
      </c>
      <c r="BG96" s="11">
        <v>146435.14300000001</v>
      </c>
      <c r="BH96" s="11">
        <v>2038914.675</v>
      </c>
      <c r="BI96" s="11">
        <v>34491.974000000002</v>
      </c>
      <c r="BJ96" s="11">
        <v>49577.745999999999</v>
      </c>
      <c r="BK96" s="11">
        <v>437559.9</v>
      </c>
      <c r="BL96" s="11">
        <v>128043.75199999999</v>
      </c>
      <c r="BM96" s="11">
        <v>780143.27599999995</v>
      </c>
      <c r="BN96" s="11">
        <v>14827.526</v>
      </c>
      <c r="BO96" s="11">
        <v>886655.65700000001</v>
      </c>
      <c r="BP96" s="11">
        <v>252262.12299999999</v>
      </c>
      <c r="BQ96" s="11">
        <v>291560.15899999999</v>
      </c>
      <c r="BR96" s="11">
        <v>2786.6909999999998</v>
      </c>
      <c r="BS96" s="11">
        <v>16953.330999999998</v>
      </c>
      <c r="BT96" s="11">
        <v>52056.894</v>
      </c>
      <c r="BU96" s="11">
        <v>7797.3689999999997</v>
      </c>
      <c r="BV96" s="11">
        <v>57046.436000000002</v>
      </c>
      <c r="BW96" s="11">
        <v>261733.43100000001</v>
      </c>
      <c r="BX96" s="11">
        <v>335605.04700000002</v>
      </c>
      <c r="BY96" s="11">
        <v>118582.662</v>
      </c>
      <c r="BZ96" s="11">
        <v>175860.886</v>
      </c>
      <c r="CA96" s="11">
        <v>56783.921000000002</v>
      </c>
      <c r="CB96" s="11">
        <v>100065.28599999999</v>
      </c>
      <c r="CC96" s="11">
        <v>911752.87899999996</v>
      </c>
      <c r="CD96" s="11">
        <v>990523.79299999995</v>
      </c>
      <c r="CE96" s="11">
        <v>951517.02899999998</v>
      </c>
      <c r="CF96" s="11">
        <v>0</v>
      </c>
      <c r="CG96" s="11">
        <v>39006.587</v>
      </c>
      <c r="CH96" s="11">
        <v>0</v>
      </c>
      <c r="CI96" s="11">
        <v>0.17699999999999999</v>
      </c>
      <c r="CJ96" s="11">
        <v>0</v>
      </c>
      <c r="CK96" s="11">
        <v>0</v>
      </c>
    </row>
    <row r="97" spans="1:89" ht="16.8" x14ac:dyDescent="0.3">
      <c r="A97" s="7" t="s">
        <v>184</v>
      </c>
      <c r="B97" s="13" t="s">
        <v>94</v>
      </c>
      <c r="C97" s="10">
        <v>5974564.1449999996</v>
      </c>
      <c r="D97" s="10">
        <v>81952.982000000004</v>
      </c>
      <c r="E97" s="10">
        <v>43031.241000000002</v>
      </c>
      <c r="F97" s="10">
        <v>737.32</v>
      </c>
      <c r="G97" s="10">
        <v>3298.3609999999999</v>
      </c>
      <c r="H97" s="10">
        <v>1494.1030000000001</v>
      </c>
      <c r="I97" s="10">
        <v>31707.356</v>
      </c>
      <c r="J97" s="10">
        <v>34467.606</v>
      </c>
      <c r="K97" s="10">
        <v>5404.55</v>
      </c>
      <c r="L97" s="10">
        <v>80611.857999999993</v>
      </c>
      <c r="M97" s="10">
        <v>306662.63699999999</v>
      </c>
      <c r="N97" s="10">
        <v>47285.398000000001</v>
      </c>
      <c r="O97" s="10">
        <v>40442.470999999998</v>
      </c>
      <c r="P97" s="10">
        <v>101965.913</v>
      </c>
      <c r="Q97" s="10">
        <v>22523.696</v>
      </c>
      <c r="R97" s="10">
        <v>10797.038</v>
      </c>
      <c r="S97" s="10">
        <v>6271.6210000000001</v>
      </c>
      <c r="T97" s="10">
        <v>29620.008000000002</v>
      </c>
      <c r="U97" s="10">
        <v>14107.86</v>
      </c>
      <c r="V97" s="10">
        <v>10442.215</v>
      </c>
      <c r="W97" s="10">
        <v>20457.366999999998</v>
      </c>
      <c r="X97" s="10">
        <v>10714.06</v>
      </c>
      <c r="Y97" s="10">
        <v>17586.133000000002</v>
      </c>
      <c r="Z97" s="10">
        <v>60324.339</v>
      </c>
      <c r="AA97" s="10">
        <v>45326.682999999997</v>
      </c>
      <c r="AB97" s="10">
        <v>25120.79</v>
      </c>
      <c r="AC97" s="10">
        <v>24772.187000000002</v>
      </c>
      <c r="AD97" s="10">
        <v>53298.487000000001</v>
      </c>
      <c r="AE97" s="10">
        <v>58863.987999999998</v>
      </c>
      <c r="AF97" s="10">
        <v>191288.82199999999</v>
      </c>
      <c r="AG97" s="10">
        <v>59237.737000000001</v>
      </c>
      <c r="AH97" s="10">
        <v>170394.66699999999</v>
      </c>
      <c r="AI97" s="10">
        <v>22042.646000000001</v>
      </c>
      <c r="AJ97" s="10">
        <v>51567.493999999999</v>
      </c>
      <c r="AK97" s="10">
        <v>92635.907000000007</v>
      </c>
      <c r="AL97" s="10">
        <v>481440.26500000001</v>
      </c>
      <c r="AM97" s="10">
        <v>14192.194</v>
      </c>
      <c r="AN97" s="10">
        <v>4005.5369999999998</v>
      </c>
      <c r="AO97" s="10">
        <v>3476.7370000000001</v>
      </c>
      <c r="AP97" s="10">
        <v>149044.31200000001</v>
      </c>
      <c r="AQ97" s="10">
        <v>167321.96</v>
      </c>
      <c r="AR97" s="10">
        <v>2463.319</v>
      </c>
      <c r="AS97" s="10">
        <v>953.77300000000002</v>
      </c>
      <c r="AT97" s="10">
        <v>28166.273000000001</v>
      </c>
      <c r="AU97" s="10">
        <v>3663.6790000000001</v>
      </c>
      <c r="AV97" s="10">
        <v>8213.0660000000007</v>
      </c>
      <c r="AW97" s="10">
        <v>14327.91</v>
      </c>
      <c r="AX97" s="10">
        <v>5852.1229999999996</v>
      </c>
      <c r="AY97" s="10">
        <v>5883.84</v>
      </c>
      <c r="AZ97" s="10">
        <v>2560.248</v>
      </c>
      <c r="BA97" s="10">
        <v>49401.885000000002</v>
      </c>
      <c r="BB97" s="10">
        <v>2601.8180000000002</v>
      </c>
      <c r="BC97" s="10">
        <v>611.29499999999996</v>
      </c>
      <c r="BD97" s="10">
        <v>2586</v>
      </c>
      <c r="BE97" s="10">
        <v>163352.296</v>
      </c>
      <c r="BF97" s="10">
        <v>6203.9650000000001</v>
      </c>
      <c r="BG97" s="10">
        <v>33450.741999999998</v>
      </c>
      <c r="BH97" s="10">
        <v>48351.87</v>
      </c>
      <c r="BI97" s="10">
        <v>5260.59</v>
      </c>
      <c r="BJ97" s="10">
        <v>94.009</v>
      </c>
      <c r="BK97" s="10">
        <v>141873.21900000001</v>
      </c>
      <c r="BL97" s="10">
        <v>19319.039000000001</v>
      </c>
      <c r="BM97" s="10">
        <v>489320.16499999998</v>
      </c>
      <c r="BN97" s="10">
        <v>3815.52</v>
      </c>
      <c r="BO97" s="10">
        <v>756662.076</v>
      </c>
      <c r="BP97" s="10">
        <v>168780.851</v>
      </c>
      <c r="BQ97" s="10">
        <v>249279.04300000001</v>
      </c>
      <c r="BR97" s="10">
        <v>2222.7130000000002</v>
      </c>
      <c r="BS97" s="10">
        <v>9365.7639999999992</v>
      </c>
      <c r="BT97" s="10">
        <v>16104.22</v>
      </c>
      <c r="BU97" s="10">
        <v>6455.4129999999996</v>
      </c>
      <c r="BV97" s="10">
        <v>10525.85</v>
      </c>
      <c r="BW97" s="10">
        <v>49994.966</v>
      </c>
      <c r="BX97" s="10">
        <v>70204.152000000002</v>
      </c>
      <c r="BY97" s="10">
        <v>24456.582999999999</v>
      </c>
      <c r="BZ97" s="10">
        <v>17336.449000000001</v>
      </c>
      <c r="CA97" s="10">
        <v>25190.881000000001</v>
      </c>
      <c r="CB97" s="10">
        <v>100065.28599999999</v>
      </c>
      <c r="CC97" s="10">
        <v>833656.70799999998</v>
      </c>
      <c r="CD97" s="13" t="s">
        <v>94</v>
      </c>
      <c r="CE97" s="13" t="s">
        <v>94</v>
      </c>
      <c r="CF97" s="13" t="s">
        <v>94</v>
      </c>
      <c r="CG97" s="13" t="s">
        <v>94</v>
      </c>
      <c r="CH97" s="13" t="s">
        <v>94</v>
      </c>
      <c r="CI97" s="13" t="s">
        <v>94</v>
      </c>
      <c r="CJ97" s="13" t="s">
        <v>94</v>
      </c>
      <c r="CK97" s="13" t="s">
        <v>94</v>
      </c>
    </row>
    <row r="98" spans="1:89" x14ac:dyDescent="0.3">
      <c r="A98" s="8" t="s">
        <v>185</v>
      </c>
      <c r="B98" s="12" t="s">
        <v>94</v>
      </c>
      <c r="C98" s="11">
        <v>4889091.2050000001</v>
      </c>
      <c r="D98" s="11">
        <v>81952.982000000004</v>
      </c>
      <c r="E98" s="11">
        <v>42849.339</v>
      </c>
      <c r="F98" s="11">
        <v>737.32</v>
      </c>
      <c r="G98" s="11">
        <v>2998.8629999999998</v>
      </c>
      <c r="H98" s="11">
        <v>1285.2529999999999</v>
      </c>
      <c r="I98" s="11">
        <v>26914.038</v>
      </c>
      <c r="J98" s="11">
        <v>26518.322</v>
      </c>
      <c r="K98" s="11">
        <v>4641.0919999999996</v>
      </c>
      <c r="L98" s="11">
        <v>74736.36</v>
      </c>
      <c r="M98" s="11">
        <v>287809.37800000003</v>
      </c>
      <c r="N98" s="11">
        <v>39374.137999999999</v>
      </c>
      <c r="O98" s="11">
        <v>37804.951999999997</v>
      </c>
      <c r="P98" s="11">
        <v>84080.995999999999</v>
      </c>
      <c r="Q98" s="11">
        <v>17605.641</v>
      </c>
      <c r="R98" s="11">
        <v>8890.8529999999992</v>
      </c>
      <c r="S98" s="11">
        <v>5342.402</v>
      </c>
      <c r="T98" s="11">
        <v>24918.473000000002</v>
      </c>
      <c r="U98" s="11">
        <v>11916.927</v>
      </c>
      <c r="V98" s="11">
        <v>9376.1589999999997</v>
      </c>
      <c r="W98" s="11">
        <v>15799.88</v>
      </c>
      <c r="X98" s="11">
        <v>8776.82</v>
      </c>
      <c r="Y98" s="11">
        <v>8632.9549999999999</v>
      </c>
      <c r="Z98" s="11">
        <v>36132.603999999999</v>
      </c>
      <c r="AA98" s="11">
        <v>35322.324999999997</v>
      </c>
      <c r="AB98" s="11">
        <v>18777.223999999998</v>
      </c>
      <c r="AC98" s="11">
        <v>16575.587</v>
      </c>
      <c r="AD98" s="11">
        <v>41773.586000000003</v>
      </c>
      <c r="AE98" s="11">
        <v>41500.406000000003</v>
      </c>
      <c r="AF98" s="11">
        <v>145311.198</v>
      </c>
      <c r="AG98" s="11">
        <v>40696.154000000002</v>
      </c>
      <c r="AH98" s="11">
        <v>122065.33100000001</v>
      </c>
      <c r="AI98" s="11">
        <v>18444.418000000001</v>
      </c>
      <c r="AJ98" s="11">
        <v>40220.072</v>
      </c>
      <c r="AK98" s="11">
        <v>77519.531000000003</v>
      </c>
      <c r="AL98" s="11">
        <v>427135.58899999998</v>
      </c>
      <c r="AM98" s="11">
        <v>12209.939</v>
      </c>
      <c r="AN98" s="11">
        <v>2960.5940000000001</v>
      </c>
      <c r="AO98" s="11">
        <v>2747.8119999999999</v>
      </c>
      <c r="AP98" s="11">
        <v>122553.496</v>
      </c>
      <c r="AQ98" s="11">
        <v>155578.30499999999</v>
      </c>
      <c r="AR98" s="11">
        <v>2074.3850000000002</v>
      </c>
      <c r="AS98" s="11">
        <v>922.67600000000004</v>
      </c>
      <c r="AT98" s="11">
        <v>22181.063999999998</v>
      </c>
      <c r="AU98" s="11">
        <v>3137.7860000000001</v>
      </c>
      <c r="AV98" s="11">
        <v>5793.3280000000004</v>
      </c>
      <c r="AW98" s="11">
        <v>11651.682000000001</v>
      </c>
      <c r="AX98" s="11">
        <v>4693.1390000000001</v>
      </c>
      <c r="AY98" s="11">
        <v>4803.1109999999999</v>
      </c>
      <c r="AZ98" s="11">
        <v>2143.5100000000002</v>
      </c>
      <c r="BA98" s="11">
        <v>35973.281999999999</v>
      </c>
      <c r="BB98" s="11">
        <v>2288.636</v>
      </c>
      <c r="BC98" s="11">
        <v>426.267</v>
      </c>
      <c r="BD98" s="11">
        <v>1970</v>
      </c>
      <c r="BE98" s="11">
        <v>132396.52499999999</v>
      </c>
      <c r="BF98" s="11">
        <v>5314.0709999999999</v>
      </c>
      <c r="BG98" s="11">
        <v>28196.328000000001</v>
      </c>
      <c r="BH98" s="11">
        <v>41978.97</v>
      </c>
      <c r="BI98" s="11">
        <v>3926.0239999999999</v>
      </c>
      <c r="BJ98" s="11">
        <v>84.394999999999996</v>
      </c>
      <c r="BK98" s="11">
        <v>119003.79399999999</v>
      </c>
      <c r="BL98" s="11">
        <v>10740.822</v>
      </c>
      <c r="BM98" s="11">
        <v>387623.842</v>
      </c>
      <c r="BN98" s="11">
        <v>3156.154</v>
      </c>
      <c r="BO98" s="11">
        <v>638785.00199999998</v>
      </c>
      <c r="BP98" s="11">
        <v>120209.569</v>
      </c>
      <c r="BQ98" s="11">
        <v>152118.747</v>
      </c>
      <c r="BR98" s="11">
        <v>1826.6579999999999</v>
      </c>
      <c r="BS98" s="11">
        <v>7058.4049999999997</v>
      </c>
      <c r="BT98" s="11">
        <v>15012.547</v>
      </c>
      <c r="BU98" s="11">
        <v>4789.2370000000001</v>
      </c>
      <c r="BV98" s="11">
        <v>8713.7849999999999</v>
      </c>
      <c r="BW98" s="11">
        <v>41367.995999999999</v>
      </c>
      <c r="BX98" s="11">
        <v>63216.224999999999</v>
      </c>
      <c r="BY98" s="11">
        <v>21037.554</v>
      </c>
      <c r="BZ98" s="11">
        <v>16097.380999999999</v>
      </c>
      <c r="CA98" s="11">
        <v>23464.444</v>
      </c>
      <c r="CB98" s="11">
        <v>100065.28599999999</v>
      </c>
      <c r="CC98" s="11">
        <v>664361.26399999997</v>
      </c>
      <c r="CD98" s="12" t="s">
        <v>94</v>
      </c>
      <c r="CE98" s="12" t="s">
        <v>94</v>
      </c>
      <c r="CF98" s="12" t="s">
        <v>94</v>
      </c>
      <c r="CG98" s="12" t="s">
        <v>94</v>
      </c>
      <c r="CH98" s="12" t="s">
        <v>94</v>
      </c>
      <c r="CI98" s="12" t="s">
        <v>94</v>
      </c>
      <c r="CJ98" s="12" t="s">
        <v>94</v>
      </c>
      <c r="CK98" s="12" t="s">
        <v>94</v>
      </c>
    </row>
    <row r="99" spans="1:89" x14ac:dyDescent="0.3">
      <c r="A99" s="7" t="s">
        <v>186</v>
      </c>
      <c r="B99" s="13" t="s">
        <v>94</v>
      </c>
      <c r="C99" s="10">
        <v>2613159.9670000002</v>
      </c>
      <c r="D99" s="10">
        <v>81952.982000000004</v>
      </c>
      <c r="E99" s="10">
        <v>42793.47</v>
      </c>
      <c r="F99" s="10">
        <v>737.32</v>
      </c>
      <c r="G99" s="10">
        <v>2891.846</v>
      </c>
      <c r="H99" s="10">
        <v>1117.799</v>
      </c>
      <c r="I99" s="10">
        <v>8544.1880000000001</v>
      </c>
      <c r="J99" s="10">
        <v>21819.321</v>
      </c>
      <c r="K99" s="10">
        <v>3701.4319999999998</v>
      </c>
      <c r="L99" s="10">
        <v>65104.482000000004</v>
      </c>
      <c r="M99" s="10">
        <v>264066.58600000001</v>
      </c>
      <c r="N99" s="10">
        <v>25617.465</v>
      </c>
      <c r="O99" s="10">
        <v>33228.838000000003</v>
      </c>
      <c r="P99" s="10">
        <v>62342.684000000001</v>
      </c>
      <c r="Q99" s="10">
        <v>12380.844999999999</v>
      </c>
      <c r="R99" s="10">
        <v>7456.7870000000003</v>
      </c>
      <c r="S99" s="10">
        <v>4395.3760000000002</v>
      </c>
      <c r="T99" s="10">
        <v>21321.574000000001</v>
      </c>
      <c r="U99" s="10">
        <v>9963.9789999999994</v>
      </c>
      <c r="V99" s="10">
        <v>8380.1440000000002</v>
      </c>
      <c r="W99" s="10">
        <v>10885.648999999999</v>
      </c>
      <c r="X99" s="10">
        <v>6307.5370000000003</v>
      </c>
      <c r="Y99" s="10">
        <v>6296.585</v>
      </c>
      <c r="Z99" s="10">
        <v>23660.273000000001</v>
      </c>
      <c r="AA99" s="10">
        <v>25272.132000000001</v>
      </c>
      <c r="AB99" s="10">
        <v>14587.248</v>
      </c>
      <c r="AC99" s="10">
        <v>11409.396000000001</v>
      </c>
      <c r="AD99" s="10">
        <v>28626.519</v>
      </c>
      <c r="AE99" s="10">
        <v>30211.871999999999</v>
      </c>
      <c r="AF99" s="10">
        <v>109410.148</v>
      </c>
      <c r="AG99" s="10">
        <v>30159.433000000001</v>
      </c>
      <c r="AH99" s="10">
        <v>92633.5</v>
      </c>
      <c r="AI99" s="10">
        <v>14601.376</v>
      </c>
      <c r="AJ99" s="10">
        <v>32265.816999999999</v>
      </c>
      <c r="AK99" s="10">
        <v>63329.159</v>
      </c>
      <c r="AL99" s="10">
        <v>376259.033</v>
      </c>
      <c r="AM99" s="10">
        <v>9615.7980000000007</v>
      </c>
      <c r="AN99" s="10">
        <v>1911.636</v>
      </c>
      <c r="AO99" s="10">
        <v>2323.3029999999999</v>
      </c>
      <c r="AP99" s="10">
        <v>89600.398000000001</v>
      </c>
      <c r="AQ99" s="10">
        <v>147553.66500000001</v>
      </c>
      <c r="AR99" s="10">
        <v>1472.71</v>
      </c>
      <c r="AS99" s="10">
        <v>794.18700000000001</v>
      </c>
      <c r="AT99" s="10">
        <v>12556.525</v>
      </c>
      <c r="AU99" s="10">
        <v>1960.2719999999999</v>
      </c>
      <c r="AV99" s="10">
        <v>3782.5219999999999</v>
      </c>
      <c r="AW99" s="10">
        <v>7239.35</v>
      </c>
      <c r="AX99" s="10">
        <v>2750.442</v>
      </c>
      <c r="AY99" s="10">
        <v>2917.8240000000001</v>
      </c>
      <c r="AZ99" s="10">
        <v>1539.3050000000001</v>
      </c>
      <c r="BA99" s="10">
        <v>26169.241000000002</v>
      </c>
      <c r="BB99" s="10">
        <v>1706.432</v>
      </c>
      <c r="BC99" s="10">
        <v>217.39400000000001</v>
      </c>
      <c r="BD99" s="10">
        <v>0</v>
      </c>
      <c r="BE99" s="10">
        <v>0</v>
      </c>
      <c r="BF99" s="10">
        <v>0</v>
      </c>
      <c r="BG99" s="10">
        <v>0</v>
      </c>
      <c r="BH99" s="10">
        <v>39305.883999999998</v>
      </c>
      <c r="BI99" s="10">
        <v>3063.6260000000002</v>
      </c>
      <c r="BJ99" s="10">
        <v>84.394999999999996</v>
      </c>
      <c r="BK99" s="10">
        <v>65505.137999999999</v>
      </c>
      <c r="BL99" s="10">
        <v>276.10199999999998</v>
      </c>
      <c r="BM99" s="10">
        <v>298992.45699999999</v>
      </c>
      <c r="BN99" s="10">
        <v>2815.6759999999999</v>
      </c>
      <c r="BO99" s="10">
        <v>41941.841999999997</v>
      </c>
      <c r="BP99" s="10">
        <v>13016.295</v>
      </c>
      <c r="BQ99" s="10">
        <v>13552.696</v>
      </c>
      <c r="BR99" s="10">
        <v>952.23199999999997</v>
      </c>
      <c r="BS99" s="10">
        <v>3524.63</v>
      </c>
      <c r="BT99" s="10">
        <v>10863.134</v>
      </c>
      <c r="BU99" s="10">
        <v>562.08500000000004</v>
      </c>
      <c r="BV99" s="10">
        <v>6680.732</v>
      </c>
      <c r="BW99" s="10">
        <v>32316.7</v>
      </c>
      <c r="BX99" s="10">
        <v>59205.34</v>
      </c>
      <c r="BY99" s="10">
        <v>18434.807000000001</v>
      </c>
      <c r="BZ99" s="10">
        <v>14538.441000000001</v>
      </c>
      <c r="CA99" s="10">
        <v>19618.669999999998</v>
      </c>
      <c r="CB99" s="10">
        <v>100065.28599999999</v>
      </c>
      <c r="CC99" s="10">
        <v>0</v>
      </c>
      <c r="CD99" s="13" t="s">
        <v>94</v>
      </c>
      <c r="CE99" s="13" t="s">
        <v>94</v>
      </c>
      <c r="CF99" s="13" t="s">
        <v>94</v>
      </c>
      <c r="CG99" s="13" t="s">
        <v>94</v>
      </c>
      <c r="CH99" s="13" t="s">
        <v>94</v>
      </c>
      <c r="CI99" s="13" t="s">
        <v>94</v>
      </c>
      <c r="CJ99" s="13" t="s">
        <v>94</v>
      </c>
      <c r="CK99" s="13" t="s">
        <v>94</v>
      </c>
    </row>
    <row r="100" spans="1:89" x14ac:dyDescent="0.3">
      <c r="A100" s="8" t="s">
        <v>187</v>
      </c>
      <c r="B100" s="12" t="s">
        <v>94</v>
      </c>
      <c r="C100" s="11">
        <v>2275931.2379999999</v>
      </c>
      <c r="D100" s="11">
        <v>0</v>
      </c>
      <c r="E100" s="11">
        <v>55.869</v>
      </c>
      <c r="F100" s="11">
        <v>0</v>
      </c>
      <c r="G100" s="11">
        <v>107.017</v>
      </c>
      <c r="H100" s="11">
        <v>167.45400000000001</v>
      </c>
      <c r="I100" s="11">
        <v>18369.849999999999</v>
      </c>
      <c r="J100" s="11">
        <v>4699.0010000000002</v>
      </c>
      <c r="K100" s="11">
        <v>939.66</v>
      </c>
      <c r="L100" s="11">
        <v>9631.8780000000006</v>
      </c>
      <c r="M100" s="11">
        <v>23742.792000000001</v>
      </c>
      <c r="N100" s="11">
        <v>13756.673000000001</v>
      </c>
      <c r="O100" s="11">
        <v>4576.1139999999996</v>
      </c>
      <c r="P100" s="11">
        <v>21738.312000000002</v>
      </c>
      <c r="Q100" s="11">
        <v>5224.7960000000003</v>
      </c>
      <c r="R100" s="11">
        <v>1434.066</v>
      </c>
      <c r="S100" s="11">
        <v>947.02599999999995</v>
      </c>
      <c r="T100" s="11">
        <v>3596.8989999999999</v>
      </c>
      <c r="U100" s="11">
        <v>1952.9480000000001</v>
      </c>
      <c r="V100" s="11">
        <v>996.01499999999999</v>
      </c>
      <c r="W100" s="11">
        <v>4914.2309999999998</v>
      </c>
      <c r="X100" s="11">
        <v>2469.2829999999999</v>
      </c>
      <c r="Y100" s="11">
        <v>2336.37</v>
      </c>
      <c r="Z100" s="11">
        <v>12472.331</v>
      </c>
      <c r="AA100" s="11">
        <v>10050.192999999999</v>
      </c>
      <c r="AB100" s="11">
        <v>4189.9759999999997</v>
      </c>
      <c r="AC100" s="11">
        <v>5166.1909999999998</v>
      </c>
      <c r="AD100" s="11">
        <v>13147.066999999999</v>
      </c>
      <c r="AE100" s="11">
        <v>11288.534</v>
      </c>
      <c r="AF100" s="11">
        <v>35901.050000000003</v>
      </c>
      <c r="AG100" s="11">
        <v>10536.721</v>
      </c>
      <c r="AH100" s="11">
        <v>29431.830999999998</v>
      </c>
      <c r="AI100" s="11">
        <v>3843.0419999999999</v>
      </c>
      <c r="AJ100" s="11">
        <v>7954.2550000000001</v>
      </c>
      <c r="AK100" s="11">
        <v>14190.371999999999</v>
      </c>
      <c r="AL100" s="11">
        <v>50876.555999999997</v>
      </c>
      <c r="AM100" s="11">
        <v>2594.1410000000001</v>
      </c>
      <c r="AN100" s="11">
        <v>1048.9580000000001</v>
      </c>
      <c r="AO100" s="11">
        <v>424.50900000000001</v>
      </c>
      <c r="AP100" s="11">
        <v>32953.097999999998</v>
      </c>
      <c r="AQ100" s="11">
        <v>8024.64</v>
      </c>
      <c r="AR100" s="11">
        <v>601.67499999999995</v>
      </c>
      <c r="AS100" s="11">
        <v>128.489</v>
      </c>
      <c r="AT100" s="11">
        <v>9624.5390000000007</v>
      </c>
      <c r="AU100" s="11">
        <v>1177.5139999999999</v>
      </c>
      <c r="AV100" s="11">
        <v>2010.806</v>
      </c>
      <c r="AW100" s="11">
        <v>4412.3320000000003</v>
      </c>
      <c r="AX100" s="11">
        <v>1942.6969999999999</v>
      </c>
      <c r="AY100" s="11">
        <v>1885.287</v>
      </c>
      <c r="AZ100" s="11">
        <v>604.20500000000004</v>
      </c>
      <c r="BA100" s="11">
        <v>9804.0409999999993</v>
      </c>
      <c r="BB100" s="11">
        <v>582.20399999999995</v>
      </c>
      <c r="BC100" s="11">
        <v>208.87299999999999</v>
      </c>
      <c r="BD100" s="11">
        <v>1970</v>
      </c>
      <c r="BE100" s="11">
        <v>132396.52499999999</v>
      </c>
      <c r="BF100" s="11">
        <v>5314.0709999999999</v>
      </c>
      <c r="BG100" s="11">
        <v>28196.328000000001</v>
      </c>
      <c r="BH100" s="11">
        <v>2673.0859999999998</v>
      </c>
      <c r="BI100" s="11">
        <v>862.39800000000002</v>
      </c>
      <c r="BJ100" s="11">
        <v>0</v>
      </c>
      <c r="BK100" s="11">
        <v>53498.656000000003</v>
      </c>
      <c r="BL100" s="11">
        <v>10464.719999999999</v>
      </c>
      <c r="BM100" s="11">
        <v>88631.384999999995</v>
      </c>
      <c r="BN100" s="11">
        <v>340.47800000000001</v>
      </c>
      <c r="BO100" s="11">
        <v>596843.16</v>
      </c>
      <c r="BP100" s="11">
        <v>107193.274</v>
      </c>
      <c r="BQ100" s="11">
        <v>138566.05100000001</v>
      </c>
      <c r="BR100" s="11">
        <v>874.42600000000004</v>
      </c>
      <c r="BS100" s="11">
        <v>3533.7750000000001</v>
      </c>
      <c r="BT100" s="11">
        <v>4149.4129999999996</v>
      </c>
      <c r="BU100" s="11">
        <v>4227.152</v>
      </c>
      <c r="BV100" s="11">
        <v>2033.0530000000001</v>
      </c>
      <c r="BW100" s="11">
        <v>9051.2960000000003</v>
      </c>
      <c r="BX100" s="11">
        <v>4010.8850000000002</v>
      </c>
      <c r="BY100" s="11">
        <v>2602.7469999999998</v>
      </c>
      <c r="BZ100" s="11">
        <v>1558.94</v>
      </c>
      <c r="CA100" s="11">
        <v>3845.7739999999999</v>
      </c>
      <c r="CB100" s="11">
        <v>0</v>
      </c>
      <c r="CC100" s="11">
        <v>664361.26399999997</v>
      </c>
      <c r="CD100" s="12" t="s">
        <v>94</v>
      </c>
      <c r="CE100" s="12" t="s">
        <v>94</v>
      </c>
      <c r="CF100" s="12" t="s">
        <v>94</v>
      </c>
      <c r="CG100" s="12" t="s">
        <v>94</v>
      </c>
      <c r="CH100" s="12" t="s">
        <v>94</v>
      </c>
      <c r="CI100" s="12" t="s">
        <v>94</v>
      </c>
      <c r="CJ100" s="12" t="s">
        <v>94</v>
      </c>
      <c r="CK100" s="12" t="s">
        <v>94</v>
      </c>
    </row>
    <row r="101" spans="1:89" x14ac:dyDescent="0.3">
      <c r="A101" s="7" t="s">
        <v>188</v>
      </c>
      <c r="B101" s="13" t="s">
        <v>94</v>
      </c>
      <c r="C101" s="10">
        <v>721349.28700000001</v>
      </c>
      <c r="D101" s="10">
        <v>0</v>
      </c>
      <c r="E101" s="10">
        <v>134.578</v>
      </c>
      <c r="F101" s="10">
        <v>0</v>
      </c>
      <c r="G101" s="10">
        <v>193.42400000000001</v>
      </c>
      <c r="H101" s="10">
        <v>155.88999999999999</v>
      </c>
      <c r="I101" s="10">
        <v>0</v>
      </c>
      <c r="J101" s="10">
        <v>2683.8879999999999</v>
      </c>
      <c r="K101" s="10">
        <v>543.74199999999996</v>
      </c>
      <c r="L101" s="10">
        <v>4721.0600000000004</v>
      </c>
      <c r="M101" s="10">
        <v>13208.656000000001</v>
      </c>
      <c r="N101" s="10">
        <v>5437.4679999999998</v>
      </c>
      <c r="O101" s="10">
        <v>1845.4960000000001</v>
      </c>
      <c r="P101" s="10">
        <v>7792.9030000000002</v>
      </c>
      <c r="Q101" s="10">
        <v>1766.2070000000001</v>
      </c>
      <c r="R101" s="10">
        <v>1249.81</v>
      </c>
      <c r="S101" s="10">
        <v>497.83800000000002</v>
      </c>
      <c r="T101" s="10">
        <v>2877.5920000000001</v>
      </c>
      <c r="U101" s="10">
        <v>1426.857</v>
      </c>
      <c r="V101" s="10">
        <v>738.92399999999998</v>
      </c>
      <c r="W101" s="10">
        <v>2369.6190000000001</v>
      </c>
      <c r="X101" s="10">
        <v>1195.5050000000001</v>
      </c>
      <c r="Y101" s="10">
        <v>187.578</v>
      </c>
      <c r="Z101" s="10">
        <v>4839.9620000000004</v>
      </c>
      <c r="AA101" s="10">
        <v>4958.9399999999996</v>
      </c>
      <c r="AB101" s="10">
        <v>2113.4119999999998</v>
      </c>
      <c r="AC101" s="10">
        <v>3395.21</v>
      </c>
      <c r="AD101" s="10">
        <v>5709.0410000000002</v>
      </c>
      <c r="AE101" s="10">
        <v>8012.0150000000003</v>
      </c>
      <c r="AF101" s="10">
        <v>20521.103999999999</v>
      </c>
      <c r="AG101" s="10">
        <v>7357.5959999999995</v>
      </c>
      <c r="AH101" s="10">
        <v>20233.585999999999</v>
      </c>
      <c r="AI101" s="10">
        <v>2256.0410000000002</v>
      </c>
      <c r="AJ101" s="10">
        <v>5285.875</v>
      </c>
      <c r="AK101" s="10">
        <v>8587.7860000000001</v>
      </c>
      <c r="AL101" s="10">
        <v>34489.728999999999</v>
      </c>
      <c r="AM101" s="10">
        <v>1196.2270000000001</v>
      </c>
      <c r="AN101" s="10">
        <v>833.202</v>
      </c>
      <c r="AO101" s="10">
        <v>18.797000000000001</v>
      </c>
      <c r="AP101" s="10">
        <v>17757.157999999999</v>
      </c>
      <c r="AQ101" s="10">
        <v>7010.9610000000002</v>
      </c>
      <c r="AR101" s="10">
        <v>21.513000000000002</v>
      </c>
      <c r="AS101" s="10">
        <v>18.018999999999998</v>
      </c>
      <c r="AT101" s="10">
        <v>3673.0549999999998</v>
      </c>
      <c r="AU101" s="10">
        <v>516.38</v>
      </c>
      <c r="AV101" s="10">
        <v>1270.9359999999999</v>
      </c>
      <c r="AW101" s="10">
        <v>1080.8579999999999</v>
      </c>
      <c r="AX101" s="10">
        <v>689.52700000000004</v>
      </c>
      <c r="AY101" s="10">
        <v>706.84799999999996</v>
      </c>
      <c r="AZ101" s="10">
        <v>256.82499999999999</v>
      </c>
      <c r="BA101" s="10">
        <v>6517.6409999999996</v>
      </c>
      <c r="BB101" s="10">
        <v>126.07599999999999</v>
      </c>
      <c r="BC101" s="10">
        <v>98.367000000000004</v>
      </c>
      <c r="BD101" s="10">
        <v>265</v>
      </c>
      <c r="BE101" s="10">
        <v>17531.329000000002</v>
      </c>
      <c r="BF101" s="10">
        <v>670.24</v>
      </c>
      <c r="BG101" s="10">
        <v>2868.1320000000001</v>
      </c>
      <c r="BH101" s="10">
        <v>4174.3069999999998</v>
      </c>
      <c r="BI101" s="10">
        <v>456.94099999999997</v>
      </c>
      <c r="BJ101" s="10">
        <v>8.4830000000000005</v>
      </c>
      <c r="BK101" s="10">
        <v>13235.111000000001</v>
      </c>
      <c r="BL101" s="10">
        <v>2940.951</v>
      </c>
      <c r="BM101" s="10">
        <v>27795.339</v>
      </c>
      <c r="BN101" s="10">
        <v>265.85899999999998</v>
      </c>
      <c r="BO101" s="10">
        <v>109787.8</v>
      </c>
      <c r="BP101" s="10">
        <v>47694.900999999998</v>
      </c>
      <c r="BQ101" s="10">
        <v>92886.770999999993</v>
      </c>
      <c r="BR101" s="10">
        <v>356.27</v>
      </c>
      <c r="BS101" s="10">
        <v>2184.3380000000002</v>
      </c>
      <c r="BT101" s="10">
        <v>893.77300000000002</v>
      </c>
      <c r="BU101" s="10">
        <v>1526.242</v>
      </c>
      <c r="BV101" s="10">
        <v>1079.377</v>
      </c>
      <c r="BW101" s="10">
        <v>5894.1139999999996</v>
      </c>
      <c r="BX101" s="10">
        <v>3504.9250000000002</v>
      </c>
      <c r="BY101" s="10">
        <v>1074.921</v>
      </c>
      <c r="BZ101" s="10">
        <v>951.06100000000004</v>
      </c>
      <c r="CA101" s="10">
        <v>1056.924</v>
      </c>
      <c r="CB101" s="10">
        <v>0</v>
      </c>
      <c r="CC101" s="10">
        <v>163666.45600000001</v>
      </c>
      <c r="CD101" s="13" t="s">
        <v>94</v>
      </c>
      <c r="CE101" s="13" t="s">
        <v>94</v>
      </c>
      <c r="CF101" s="13" t="s">
        <v>94</v>
      </c>
      <c r="CG101" s="13" t="s">
        <v>94</v>
      </c>
      <c r="CH101" s="13" t="s">
        <v>94</v>
      </c>
      <c r="CI101" s="13" t="s">
        <v>94</v>
      </c>
      <c r="CJ101" s="13" t="s">
        <v>94</v>
      </c>
      <c r="CK101" s="13" t="s">
        <v>94</v>
      </c>
    </row>
    <row r="102" spans="1:89" x14ac:dyDescent="0.3">
      <c r="A102" s="8" t="s">
        <v>189</v>
      </c>
      <c r="B102" s="12" t="s">
        <v>94</v>
      </c>
      <c r="C102" s="11">
        <v>364123.65299999999</v>
      </c>
      <c r="D102" s="11">
        <v>0</v>
      </c>
      <c r="E102" s="11">
        <v>47.323999999999998</v>
      </c>
      <c r="F102" s="11">
        <v>0</v>
      </c>
      <c r="G102" s="11">
        <v>106.074</v>
      </c>
      <c r="H102" s="11">
        <v>52.96</v>
      </c>
      <c r="I102" s="11">
        <v>4793.3180000000002</v>
      </c>
      <c r="J102" s="11">
        <v>5265.3959999999997</v>
      </c>
      <c r="K102" s="11">
        <v>219.71600000000001</v>
      </c>
      <c r="L102" s="11">
        <v>1154.4380000000001</v>
      </c>
      <c r="M102" s="11">
        <v>5644.6030000000001</v>
      </c>
      <c r="N102" s="11">
        <v>2473.7919999999999</v>
      </c>
      <c r="O102" s="11">
        <v>792.02300000000002</v>
      </c>
      <c r="P102" s="11">
        <v>10092.013999999999</v>
      </c>
      <c r="Q102" s="11">
        <v>3151.848</v>
      </c>
      <c r="R102" s="11">
        <v>656.375</v>
      </c>
      <c r="S102" s="11">
        <v>431.38099999999997</v>
      </c>
      <c r="T102" s="11">
        <v>1823.943</v>
      </c>
      <c r="U102" s="11">
        <v>764.07600000000002</v>
      </c>
      <c r="V102" s="11">
        <v>327.13200000000001</v>
      </c>
      <c r="W102" s="11">
        <v>2287.8679999999999</v>
      </c>
      <c r="X102" s="11">
        <v>741.73500000000001</v>
      </c>
      <c r="Y102" s="11">
        <v>8765.6</v>
      </c>
      <c r="Z102" s="11">
        <v>19351.773000000001</v>
      </c>
      <c r="AA102" s="11">
        <v>5045.4179999999997</v>
      </c>
      <c r="AB102" s="11">
        <v>4230.1540000000005</v>
      </c>
      <c r="AC102" s="11">
        <v>4801.3900000000003</v>
      </c>
      <c r="AD102" s="11">
        <v>5815.86</v>
      </c>
      <c r="AE102" s="11">
        <v>9351.5669999999991</v>
      </c>
      <c r="AF102" s="11">
        <v>25456.52</v>
      </c>
      <c r="AG102" s="11">
        <v>11183.986999999999</v>
      </c>
      <c r="AH102" s="11">
        <v>28095.75</v>
      </c>
      <c r="AI102" s="11">
        <v>1342.1869999999999</v>
      </c>
      <c r="AJ102" s="11">
        <v>6061.5469999999996</v>
      </c>
      <c r="AK102" s="11">
        <v>6528.59</v>
      </c>
      <c r="AL102" s="11">
        <v>19814.947</v>
      </c>
      <c r="AM102" s="11">
        <v>786.02800000000002</v>
      </c>
      <c r="AN102" s="11">
        <v>211.74100000000001</v>
      </c>
      <c r="AO102" s="11">
        <v>710.12800000000004</v>
      </c>
      <c r="AP102" s="11">
        <v>8733.6579999999994</v>
      </c>
      <c r="AQ102" s="11">
        <v>4732.6940000000004</v>
      </c>
      <c r="AR102" s="11">
        <v>367.42099999999999</v>
      </c>
      <c r="AS102" s="11">
        <v>13.077999999999999</v>
      </c>
      <c r="AT102" s="11">
        <v>2312.154</v>
      </c>
      <c r="AU102" s="11">
        <v>9.5129999999999999</v>
      </c>
      <c r="AV102" s="11">
        <v>1148.8019999999999</v>
      </c>
      <c r="AW102" s="11">
        <v>1595.37</v>
      </c>
      <c r="AX102" s="11">
        <v>469.45699999999999</v>
      </c>
      <c r="AY102" s="11">
        <v>373.88099999999997</v>
      </c>
      <c r="AZ102" s="11">
        <v>159.91300000000001</v>
      </c>
      <c r="BA102" s="11">
        <v>6910.9620000000004</v>
      </c>
      <c r="BB102" s="11">
        <v>187.10599999999999</v>
      </c>
      <c r="BC102" s="11">
        <v>86.661000000000001</v>
      </c>
      <c r="BD102" s="11">
        <v>351</v>
      </c>
      <c r="BE102" s="11">
        <v>13424.441999999999</v>
      </c>
      <c r="BF102" s="11">
        <v>219.654</v>
      </c>
      <c r="BG102" s="11">
        <v>2386.2820000000002</v>
      </c>
      <c r="BH102" s="11">
        <v>2198.5929999999998</v>
      </c>
      <c r="BI102" s="11">
        <v>877.625</v>
      </c>
      <c r="BJ102" s="11">
        <v>1.131</v>
      </c>
      <c r="BK102" s="11">
        <v>9634.3140000000003</v>
      </c>
      <c r="BL102" s="11">
        <v>5637.2659999999996</v>
      </c>
      <c r="BM102" s="11">
        <v>73900.983999999997</v>
      </c>
      <c r="BN102" s="11">
        <v>393.50700000000001</v>
      </c>
      <c r="BO102" s="11">
        <v>8089.2740000000003</v>
      </c>
      <c r="BP102" s="11">
        <v>876.38099999999997</v>
      </c>
      <c r="BQ102" s="11">
        <v>4273.5249999999996</v>
      </c>
      <c r="BR102" s="11">
        <v>39.784999999999997</v>
      </c>
      <c r="BS102" s="11">
        <v>123.021</v>
      </c>
      <c r="BT102" s="11">
        <v>197.9</v>
      </c>
      <c r="BU102" s="11">
        <v>139.934</v>
      </c>
      <c r="BV102" s="11">
        <v>732.68799999999999</v>
      </c>
      <c r="BW102" s="11">
        <v>2732.8560000000002</v>
      </c>
      <c r="BX102" s="11">
        <v>3483.002</v>
      </c>
      <c r="BY102" s="11">
        <v>2344.1080000000002</v>
      </c>
      <c r="BZ102" s="11">
        <v>288.00700000000001</v>
      </c>
      <c r="CA102" s="11">
        <v>669.51300000000003</v>
      </c>
      <c r="CB102" s="11">
        <v>0</v>
      </c>
      <c r="CC102" s="11">
        <v>5628.9880000000003</v>
      </c>
      <c r="CD102" s="12" t="s">
        <v>94</v>
      </c>
      <c r="CE102" s="12" t="s">
        <v>94</v>
      </c>
      <c r="CF102" s="12" t="s">
        <v>94</v>
      </c>
      <c r="CG102" s="12" t="s">
        <v>94</v>
      </c>
      <c r="CH102" s="12" t="s">
        <v>94</v>
      </c>
      <c r="CI102" s="12" t="s">
        <v>94</v>
      </c>
      <c r="CJ102" s="12" t="s">
        <v>94</v>
      </c>
      <c r="CK102" s="12" t="s">
        <v>94</v>
      </c>
    </row>
    <row r="103" spans="1:89" x14ac:dyDescent="0.3">
      <c r="A103" s="7" t="s">
        <v>190</v>
      </c>
      <c r="B103" s="13" t="s">
        <v>94</v>
      </c>
      <c r="C103" s="10">
        <v>130685.83199999999</v>
      </c>
      <c r="D103" s="10">
        <v>14.564</v>
      </c>
      <c r="E103" s="10">
        <v>6.923</v>
      </c>
      <c r="F103" s="10">
        <v>0.67500000000000004</v>
      </c>
      <c r="G103" s="10">
        <v>0.63600000000000001</v>
      </c>
      <c r="H103" s="10">
        <v>9.0999999999999998E-2</v>
      </c>
      <c r="I103" s="10">
        <v>2133.83</v>
      </c>
      <c r="J103" s="10">
        <v>1039.7270000000001</v>
      </c>
      <c r="K103" s="10">
        <v>367.10899999999998</v>
      </c>
      <c r="L103" s="10">
        <v>5730.5169999999998</v>
      </c>
      <c r="M103" s="10">
        <v>5014.5469999999996</v>
      </c>
      <c r="N103" s="10">
        <v>1516.221</v>
      </c>
      <c r="O103" s="10">
        <v>733.33199999999999</v>
      </c>
      <c r="P103" s="10">
        <v>5752.415</v>
      </c>
      <c r="Q103" s="10">
        <v>1081.8420000000001</v>
      </c>
      <c r="R103" s="10">
        <v>237.352</v>
      </c>
      <c r="S103" s="10">
        <v>113.46</v>
      </c>
      <c r="T103" s="10">
        <v>416.26400000000001</v>
      </c>
      <c r="U103" s="10">
        <v>202.47300000000001</v>
      </c>
      <c r="V103" s="10">
        <v>215.58099999999999</v>
      </c>
      <c r="W103" s="10">
        <v>696.89499999999998</v>
      </c>
      <c r="X103" s="10">
        <v>176.93</v>
      </c>
      <c r="Y103" s="10">
        <v>1379.21</v>
      </c>
      <c r="Z103" s="10">
        <v>2575.0610000000001</v>
      </c>
      <c r="AA103" s="10">
        <v>1323.4849999999999</v>
      </c>
      <c r="AB103" s="10">
        <v>955.26400000000001</v>
      </c>
      <c r="AC103" s="10">
        <v>2111.1979999999999</v>
      </c>
      <c r="AD103" s="10">
        <v>1231.8989999999999</v>
      </c>
      <c r="AE103" s="10">
        <v>1401.028</v>
      </c>
      <c r="AF103" s="10">
        <v>4578.8720000000003</v>
      </c>
      <c r="AG103" s="10">
        <v>1466.2329999999999</v>
      </c>
      <c r="AH103" s="10">
        <v>9791.4650000000001</v>
      </c>
      <c r="AI103" s="10">
        <v>332.12</v>
      </c>
      <c r="AJ103" s="10">
        <v>1086.9480000000001</v>
      </c>
      <c r="AK103" s="10">
        <v>7834.1459999999997</v>
      </c>
      <c r="AL103" s="10">
        <v>10878.934999999999</v>
      </c>
      <c r="AM103" s="10">
        <v>552.20399999999995</v>
      </c>
      <c r="AN103" s="10">
        <v>167.065</v>
      </c>
      <c r="AO103" s="10">
        <v>290.52699999999999</v>
      </c>
      <c r="AP103" s="10">
        <v>2463.8829999999998</v>
      </c>
      <c r="AQ103" s="10">
        <v>-5966.3280000000004</v>
      </c>
      <c r="AR103" s="10">
        <v>62.298000000000002</v>
      </c>
      <c r="AS103" s="10">
        <v>11.676</v>
      </c>
      <c r="AT103" s="10">
        <v>563.27800000000002</v>
      </c>
      <c r="AU103" s="10">
        <v>120.27800000000001</v>
      </c>
      <c r="AV103" s="10">
        <v>111.155</v>
      </c>
      <c r="AW103" s="10">
        <v>153.30799999999999</v>
      </c>
      <c r="AX103" s="10">
        <v>78.037999999999997</v>
      </c>
      <c r="AY103" s="10">
        <v>165.827</v>
      </c>
      <c r="AZ103" s="10">
        <v>186.41399999999999</v>
      </c>
      <c r="BA103" s="10">
        <v>1098.961</v>
      </c>
      <c r="BB103" s="10">
        <v>32.423000000000002</v>
      </c>
      <c r="BC103" s="10">
        <v>10.266999999999999</v>
      </c>
      <c r="BD103" s="10">
        <v>79</v>
      </c>
      <c r="BE103" s="10">
        <v>19653.374</v>
      </c>
      <c r="BF103" s="10">
        <v>293.73200000000003</v>
      </c>
      <c r="BG103" s="10">
        <v>616.48699999999997</v>
      </c>
      <c r="BH103" s="10">
        <v>4804.9229999999998</v>
      </c>
      <c r="BI103" s="10">
        <v>162.28299999999999</v>
      </c>
      <c r="BJ103" s="10">
        <v>120.289</v>
      </c>
      <c r="BK103" s="10">
        <v>1287.8689999999999</v>
      </c>
      <c r="BL103" s="10">
        <v>1507.53</v>
      </c>
      <c r="BM103" s="10">
        <v>2416.36</v>
      </c>
      <c r="BN103" s="10">
        <v>61.524000000000001</v>
      </c>
      <c r="BO103" s="10">
        <v>3987.759</v>
      </c>
      <c r="BP103" s="10">
        <v>1185.6679999999999</v>
      </c>
      <c r="BQ103" s="10">
        <v>1368.6869999999999</v>
      </c>
      <c r="BR103" s="10">
        <v>34.090000000000003</v>
      </c>
      <c r="BS103" s="10">
        <v>37.472000000000001</v>
      </c>
      <c r="BT103" s="10">
        <v>134.24299999999999</v>
      </c>
      <c r="BU103" s="10">
        <v>118.72499999999999</v>
      </c>
      <c r="BV103" s="10">
        <v>244.57599999999999</v>
      </c>
      <c r="BW103" s="10">
        <v>1058.2940000000001</v>
      </c>
      <c r="BX103" s="10">
        <v>1324.0119999999999</v>
      </c>
      <c r="BY103" s="10">
        <v>498.66399999999999</v>
      </c>
      <c r="BZ103" s="10">
        <v>314.88400000000001</v>
      </c>
      <c r="CA103" s="10">
        <v>199.78399999999999</v>
      </c>
      <c r="CB103" s="10">
        <v>0</v>
      </c>
      <c r="CC103" s="10">
        <v>16677.080999999998</v>
      </c>
      <c r="CD103" s="13" t="s">
        <v>94</v>
      </c>
      <c r="CE103" s="13" t="s">
        <v>94</v>
      </c>
      <c r="CF103" s="13" t="s">
        <v>94</v>
      </c>
      <c r="CG103" s="13" t="s">
        <v>94</v>
      </c>
      <c r="CH103" s="13" t="s">
        <v>94</v>
      </c>
      <c r="CI103" s="13" t="s">
        <v>94</v>
      </c>
      <c r="CJ103" s="13" t="s">
        <v>94</v>
      </c>
      <c r="CK103" s="13" t="s">
        <v>94</v>
      </c>
    </row>
    <row r="104" spans="1:89" x14ac:dyDescent="0.3">
      <c r="A104" s="8" t="s">
        <v>191</v>
      </c>
      <c r="B104" s="12" t="s">
        <v>94</v>
      </c>
      <c r="C104" s="11">
        <v>138714.606</v>
      </c>
      <c r="D104" s="11">
        <v>14.564</v>
      </c>
      <c r="E104" s="11">
        <v>6.923</v>
      </c>
      <c r="F104" s="11">
        <v>0.67500000000000004</v>
      </c>
      <c r="G104" s="11">
        <v>0.63600000000000001</v>
      </c>
      <c r="H104" s="11">
        <v>9.0999999999999998E-2</v>
      </c>
      <c r="I104" s="11">
        <v>2133.83</v>
      </c>
      <c r="J104" s="11">
        <v>1039.7270000000001</v>
      </c>
      <c r="K104" s="11">
        <v>367.10899999999998</v>
      </c>
      <c r="L104" s="11">
        <v>5730.5169999999998</v>
      </c>
      <c r="M104" s="11">
        <v>5014.5469999999996</v>
      </c>
      <c r="N104" s="11">
        <v>1516.221</v>
      </c>
      <c r="O104" s="11">
        <v>733.33199999999999</v>
      </c>
      <c r="P104" s="11">
        <v>5752.415</v>
      </c>
      <c r="Q104" s="11">
        <v>1081.8420000000001</v>
      </c>
      <c r="R104" s="11">
        <v>237.352</v>
      </c>
      <c r="S104" s="11">
        <v>113.46</v>
      </c>
      <c r="T104" s="11">
        <v>416.26400000000001</v>
      </c>
      <c r="U104" s="11">
        <v>202.47300000000001</v>
      </c>
      <c r="V104" s="11">
        <v>215.58099999999999</v>
      </c>
      <c r="W104" s="11">
        <v>696.89499999999998</v>
      </c>
      <c r="X104" s="11">
        <v>176.93</v>
      </c>
      <c r="Y104" s="11">
        <v>1379.21</v>
      </c>
      <c r="Z104" s="11">
        <v>2575.0610000000001</v>
      </c>
      <c r="AA104" s="11">
        <v>1323.4849999999999</v>
      </c>
      <c r="AB104" s="11">
        <v>955.26400000000001</v>
      </c>
      <c r="AC104" s="11">
        <v>2111.1979999999999</v>
      </c>
      <c r="AD104" s="11">
        <v>1231.8989999999999</v>
      </c>
      <c r="AE104" s="11">
        <v>1401.028</v>
      </c>
      <c r="AF104" s="11">
        <v>4578.8720000000003</v>
      </c>
      <c r="AG104" s="11">
        <v>1466.2329999999999</v>
      </c>
      <c r="AH104" s="11">
        <v>9791.4650000000001</v>
      </c>
      <c r="AI104" s="11">
        <v>332.12</v>
      </c>
      <c r="AJ104" s="11">
        <v>1086.9480000000001</v>
      </c>
      <c r="AK104" s="11">
        <v>7834.1459999999997</v>
      </c>
      <c r="AL104" s="11">
        <v>10878.934999999999</v>
      </c>
      <c r="AM104" s="11">
        <v>552.20399999999995</v>
      </c>
      <c r="AN104" s="11">
        <v>167.065</v>
      </c>
      <c r="AO104" s="11">
        <v>290.52699999999999</v>
      </c>
      <c r="AP104" s="11">
        <v>2463.8829999999998</v>
      </c>
      <c r="AQ104" s="11">
        <v>1754.646</v>
      </c>
      <c r="AR104" s="11">
        <v>62.298000000000002</v>
      </c>
      <c r="AS104" s="11">
        <v>11.676</v>
      </c>
      <c r="AT104" s="11">
        <v>563.27800000000002</v>
      </c>
      <c r="AU104" s="11">
        <v>120.27800000000001</v>
      </c>
      <c r="AV104" s="11">
        <v>111.155</v>
      </c>
      <c r="AW104" s="11">
        <v>153.30799999999999</v>
      </c>
      <c r="AX104" s="11">
        <v>78.037999999999997</v>
      </c>
      <c r="AY104" s="11">
        <v>165.827</v>
      </c>
      <c r="AZ104" s="11">
        <v>186.41399999999999</v>
      </c>
      <c r="BA104" s="11">
        <v>1098.961</v>
      </c>
      <c r="BB104" s="11">
        <v>32.423000000000002</v>
      </c>
      <c r="BC104" s="11">
        <v>10.266999999999999</v>
      </c>
      <c r="BD104" s="11">
        <v>79</v>
      </c>
      <c r="BE104" s="11">
        <v>19653.374</v>
      </c>
      <c r="BF104" s="11">
        <v>293.73200000000003</v>
      </c>
      <c r="BG104" s="11">
        <v>616.48699999999997</v>
      </c>
      <c r="BH104" s="11">
        <v>4804.9229999999998</v>
      </c>
      <c r="BI104" s="11">
        <v>162.28299999999999</v>
      </c>
      <c r="BJ104" s="11">
        <v>120.289</v>
      </c>
      <c r="BK104" s="11">
        <v>1595.6690000000001</v>
      </c>
      <c r="BL104" s="11">
        <v>1507.53</v>
      </c>
      <c r="BM104" s="11">
        <v>2416.36</v>
      </c>
      <c r="BN104" s="11">
        <v>61.524000000000001</v>
      </c>
      <c r="BO104" s="11">
        <v>3987.759</v>
      </c>
      <c r="BP104" s="11">
        <v>1185.6679999999999</v>
      </c>
      <c r="BQ104" s="11">
        <v>1368.6869999999999</v>
      </c>
      <c r="BR104" s="11">
        <v>34.090000000000003</v>
      </c>
      <c r="BS104" s="11">
        <v>37.472000000000001</v>
      </c>
      <c r="BT104" s="11">
        <v>134.24299999999999</v>
      </c>
      <c r="BU104" s="11">
        <v>118.72499999999999</v>
      </c>
      <c r="BV104" s="11">
        <v>244.57599999999999</v>
      </c>
      <c r="BW104" s="11">
        <v>1058.2940000000001</v>
      </c>
      <c r="BX104" s="11">
        <v>1324.0119999999999</v>
      </c>
      <c r="BY104" s="11">
        <v>498.66399999999999</v>
      </c>
      <c r="BZ104" s="11">
        <v>314.88400000000001</v>
      </c>
      <c r="CA104" s="11">
        <v>199.78399999999999</v>
      </c>
      <c r="CB104" s="11">
        <v>0</v>
      </c>
      <c r="CC104" s="11">
        <v>16677.080999999998</v>
      </c>
      <c r="CD104" s="12" t="s">
        <v>94</v>
      </c>
      <c r="CE104" s="12" t="s">
        <v>94</v>
      </c>
      <c r="CF104" s="12" t="s">
        <v>94</v>
      </c>
      <c r="CG104" s="12" t="s">
        <v>94</v>
      </c>
      <c r="CH104" s="12" t="s">
        <v>94</v>
      </c>
      <c r="CI104" s="12" t="s">
        <v>94</v>
      </c>
      <c r="CJ104" s="12" t="s">
        <v>94</v>
      </c>
      <c r="CK104" s="12" t="s">
        <v>94</v>
      </c>
    </row>
    <row r="105" spans="1:89" x14ac:dyDescent="0.3">
      <c r="A105" s="7" t="s">
        <v>192</v>
      </c>
      <c r="B105" s="13" t="s">
        <v>94</v>
      </c>
      <c r="C105" s="10">
        <v>8028.7740000000003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7720.9740000000002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307.8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3" t="s">
        <v>94</v>
      </c>
      <c r="CE105" s="13" t="s">
        <v>94</v>
      </c>
      <c r="CF105" s="13" t="s">
        <v>94</v>
      </c>
      <c r="CG105" s="13" t="s">
        <v>94</v>
      </c>
      <c r="CH105" s="13" t="s">
        <v>94</v>
      </c>
      <c r="CI105" s="13" t="s">
        <v>94</v>
      </c>
      <c r="CJ105" s="13" t="s">
        <v>94</v>
      </c>
      <c r="CK105" s="13" t="s">
        <v>94</v>
      </c>
    </row>
    <row r="106" spans="1:89" x14ac:dyDescent="0.3">
      <c r="A106" s="8" t="s">
        <v>193</v>
      </c>
      <c r="B106" s="12" t="s">
        <v>94</v>
      </c>
      <c r="C106" s="11">
        <v>16768395.563999999</v>
      </c>
      <c r="D106" s="11">
        <v>434387.00900000002</v>
      </c>
      <c r="E106" s="11">
        <v>199494.93100000001</v>
      </c>
      <c r="F106" s="11">
        <v>21952.79</v>
      </c>
      <c r="G106" s="11">
        <v>6303.6660000000002</v>
      </c>
      <c r="H106" s="11">
        <v>4419.7269999999999</v>
      </c>
      <c r="I106" s="11">
        <v>587699.41399999999</v>
      </c>
      <c r="J106" s="11">
        <v>229560.21799999999</v>
      </c>
      <c r="K106" s="11">
        <v>55946.773999999998</v>
      </c>
      <c r="L106" s="11">
        <v>370564.84600000002</v>
      </c>
      <c r="M106" s="11">
        <v>753249.06900000002</v>
      </c>
      <c r="N106" s="11">
        <v>165260.402</v>
      </c>
      <c r="O106" s="11">
        <v>140625.448</v>
      </c>
      <c r="P106" s="11">
        <v>803995.44000000099</v>
      </c>
      <c r="Q106" s="11">
        <v>216568.834</v>
      </c>
      <c r="R106" s="11">
        <v>21479.188999999998</v>
      </c>
      <c r="S106" s="11">
        <v>10943.548000000001</v>
      </c>
      <c r="T106" s="11">
        <v>41146.538999999997</v>
      </c>
      <c r="U106" s="11">
        <v>17126.624</v>
      </c>
      <c r="V106" s="11">
        <v>28180.016</v>
      </c>
      <c r="W106" s="11">
        <v>80457.709999999905</v>
      </c>
      <c r="X106" s="11">
        <v>13752.819</v>
      </c>
      <c r="Y106" s="11">
        <v>145471.60399999999</v>
      </c>
      <c r="Z106" s="11">
        <v>293506.20199999999</v>
      </c>
      <c r="AA106" s="11">
        <v>104953.265</v>
      </c>
      <c r="AB106" s="11">
        <v>131520.04800000001</v>
      </c>
      <c r="AC106" s="11">
        <v>230391.495</v>
      </c>
      <c r="AD106" s="11">
        <v>116181.89200000001</v>
      </c>
      <c r="AE106" s="11">
        <v>148572.07699999999</v>
      </c>
      <c r="AF106" s="11">
        <v>213426.964000001</v>
      </c>
      <c r="AG106" s="11">
        <v>117910.064</v>
      </c>
      <c r="AH106" s="11">
        <v>988314.624000001</v>
      </c>
      <c r="AI106" s="11">
        <v>33164.866999999998</v>
      </c>
      <c r="AJ106" s="11">
        <v>80202.827999999994</v>
      </c>
      <c r="AK106" s="11">
        <v>2167791.395</v>
      </c>
      <c r="AL106" s="11">
        <v>1749125.2760000001</v>
      </c>
      <c r="AM106" s="11">
        <v>48830.097000000002</v>
      </c>
      <c r="AN106" s="11">
        <v>34328.061999999998</v>
      </c>
      <c r="AO106" s="11">
        <v>15196.91</v>
      </c>
      <c r="AP106" s="11">
        <v>704822.44700000004</v>
      </c>
      <c r="AQ106" s="11">
        <v>289815.739</v>
      </c>
      <c r="AR106" s="11">
        <v>10226.117</v>
      </c>
      <c r="AS106" s="11">
        <v>1521.7270000000001</v>
      </c>
      <c r="AT106" s="11">
        <v>125827.067</v>
      </c>
      <c r="AU106" s="11">
        <v>177.74199999999999</v>
      </c>
      <c r="AV106" s="11">
        <v>13239.960999999999</v>
      </c>
      <c r="AW106" s="11">
        <v>15365.906999999999</v>
      </c>
      <c r="AX106" s="11">
        <v>10418.332</v>
      </c>
      <c r="AY106" s="11">
        <v>30890.832999999999</v>
      </c>
      <c r="AZ106" s="11">
        <v>38871.105000000003</v>
      </c>
      <c r="BA106" s="11">
        <v>215993.05900000001</v>
      </c>
      <c r="BB106" s="11">
        <v>5685.152</v>
      </c>
      <c r="BC106" s="11">
        <v>919.05499999999995</v>
      </c>
      <c r="BD106" s="11">
        <v>35413.364999999998</v>
      </c>
      <c r="BE106" s="11">
        <v>495776.55900000001</v>
      </c>
      <c r="BF106" s="11">
        <v>16433.969000000001</v>
      </c>
      <c r="BG106" s="11">
        <v>112800.518</v>
      </c>
      <c r="BH106" s="11">
        <v>1983720.1370000001</v>
      </c>
      <c r="BI106" s="11">
        <v>28787.469000000001</v>
      </c>
      <c r="BJ106" s="11">
        <v>49358.523999999998</v>
      </c>
      <c r="BK106" s="11">
        <v>292518.51</v>
      </c>
      <c r="BL106" s="11">
        <v>106061.891</v>
      </c>
      <c r="BM106" s="11">
        <v>287015.02600000001</v>
      </c>
      <c r="BN106" s="11">
        <v>10888.384</v>
      </c>
      <c r="BO106" s="11">
        <v>117274.336</v>
      </c>
      <c r="BP106" s="11">
        <v>75561.233999999997</v>
      </c>
      <c r="BQ106" s="11">
        <v>32536.35</v>
      </c>
      <c r="BR106" s="11">
        <v>501.74400000000003</v>
      </c>
      <c r="BS106" s="11">
        <v>6803.72</v>
      </c>
      <c r="BT106" s="11">
        <v>35288.239000000001</v>
      </c>
      <c r="BU106" s="11">
        <v>957.28799999999796</v>
      </c>
      <c r="BV106" s="11">
        <v>45696.19</v>
      </c>
      <c r="BW106" s="11">
        <v>203647.90900000001</v>
      </c>
      <c r="BX106" s="11">
        <v>257745.16</v>
      </c>
      <c r="BY106" s="11">
        <v>93444.642000000007</v>
      </c>
      <c r="BZ106" s="11">
        <v>158041.99100000001</v>
      </c>
      <c r="CA106" s="11">
        <v>31305.863000000001</v>
      </c>
      <c r="CB106" s="11">
        <v>0</v>
      </c>
      <c r="CC106" s="11">
        <v>5039.6200000001199</v>
      </c>
      <c r="CD106" s="12" t="s">
        <v>94</v>
      </c>
      <c r="CE106" s="12" t="s">
        <v>94</v>
      </c>
      <c r="CF106" s="12" t="s">
        <v>94</v>
      </c>
      <c r="CG106" s="12" t="s">
        <v>94</v>
      </c>
      <c r="CH106" s="12" t="s">
        <v>94</v>
      </c>
      <c r="CI106" s="12" t="s">
        <v>94</v>
      </c>
      <c r="CJ106" s="12" t="s">
        <v>94</v>
      </c>
      <c r="CK106" s="12" t="s">
        <v>94</v>
      </c>
    </row>
    <row r="107" spans="1:89" x14ac:dyDescent="0.3">
      <c r="A107" s="7" t="s">
        <v>194</v>
      </c>
      <c r="B107" s="13" t="s">
        <v>94</v>
      </c>
      <c r="C107" s="10">
        <v>59505022</v>
      </c>
      <c r="D107" s="10">
        <v>6412119</v>
      </c>
      <c r="E107" s="10">
        <v>1204660</v>
      </c>
      <c r="F107" s="10">
        <v>72310</v>
      </c>
      <c r="G107" s="10">
        <v>179676</v>
      </c>
      <c r="H107" s="10">
        <v>20080</v>
      </c>
      <c r="I107" s="10">
        <v>38020</v>
      </c>
      <c r="J107" s="10">
        <v>198950</v>
      </c>
      <c r="K107" s="10">
        <v>24322</v>
      </c>
      <c r="L107" s="10">
        <v>215438</v>
      </c>
      <c r="M107" s="10">
        <v>3388685</v>
      </c>
      <c r="N107" s="10">
        <v>485188</v>
      </c>
      <c r="O107" s="10">
        <v>1122289</v>
      </c>
      <c r="P107" s="10">
        <v>1728806</v>
      </c>
      <c r="Q107" s="10">
        <v>182083</v>
      </c>
      <c r="R107" s="10">
        <v>133466</v>
      </c>
      <c r="S107" s="10">
        <v>225523</v>
      </c>
      <c r="T107" s="10">
        <v>596975</v>
      </c>
      <c r="U107" s="10">
        <v>187414</v>
      </c>
      <c r="V107" s="10">
        <v>197584</v>
      </c>
      <c r="W107" s="10">
        <v>149383</v>
      </c>
      <c r="X107" s="10">
        <v>114009</v>
      </c>
      <c r="Y107" s="10">
        <v>29875</v>
      </c>
      <c r="Z107" s="10">
        <v>215415</v>
      </c>
      <c r="AA107" s="10">
        <v>279254</v>
      </c>
      <c r="AB107" s="10">
        <v>391866</v>
      </c>
      <c r="AC107" s="10">
        <v>94523</v>
      </c>
      <c r="AD107" s="10">
        <v>561602</v>
      </c>
      <c r="AE107" s="10">
        <v>318587</v>
      </c>
      <c r="AF107" s="10">
        <v>917547</v>
      </c>
      <c r="AG107" s="10">
        <v>340577</v>
      </c>
      <c r="AH107" s="10">
        <v>896614</v>
      </c>
      <c r="AI107" s="10">
        <v>374427</v>
      </c>
      <c r="AJ107" s="10">
        <v>526211</v>
      </c>
      <c r="AK107" s="10">
        <v>1594832</v>
      </c>
      <c r="AL107" s="10">
        <v>9973725</v>
      </c>
      <c r="AM107" s="10">
        <v>33574</v>
      </c>
      <c r="AN107" s="10">
        <v>11382</v>
      </c>
      <c r="AO107" s="10">
        <v>7646</v>
      </c>
      <c r="AP107" s="10">
        <v>1099711</v>
      </c>
      <c r="AQ107" s="10">
        <v>1592721</v>
      </c>
      <c r="AR107" s="10">
        <v>4097</v>
      </c>
      <c r="AS107" s="10">
        <v>19490</v>
      </c>
      <c r="AT107" s="10">
        <v>180047</v>
      </c>
      <c r="AU107" s="10">
        <v>14929</v>
      </c>
      <c r="AV107" s="10">
        <v>60933</v>
      </c>
      <c r="AW107" s="10">
        <v>152695</v>
      </c>
      <c r="AX107" s="10">
        <v>35089</v>
      </c>
      <c r="AY107" s="10">
        <v>38582</v>
      </c>
      <c r="AZ107" s="10">
        <v>22781</v>
      </c>
      <c r="BA107" s="10">
        <v>113906</v>
      </c>
      <c r="BB107" s="10">
        <v>11214</v>
      </c>
      <c r="BC107" s="10">
        <v>3843</v>
      </c>
      <c r="BD107" s="10">
        <v>3317</v>
      </c>
      <c r="BE107" s="10">
        <v>214283</v>
      </c>
      <c r="BF107" s="10">
        <v>13362</v>
      </c>
      <c r="BG107" s="10">
        <v>135021</v>
      </c>
      <c r="BH107" s="10">
        <v>610938</v>
      </c>
      <c r="BI107" s="10">
        <v>108525</v>
      </c>
      <c r="BJ107" s="10">
        <v>779</v>
      </c>
      <c r="BK107" s="10">
        <v>988290</v>
      </c>
      <c r="BL107" s="10">
        <v>41691</v>
      </c>
      <c r="BM107" s="10">
        <v>5028012</v>
      </c>
      <c r="BN107" s="10">
        <v>104238</v>
      </c>
      <c r="BO107" s="10">
        <v>2572328</v>
      </c>
      <c r="BP107" s="10">
        <v>782009</v>
      </c>
      <c r="BQ107" s="10">
        <v>614384</v>
      </c>
      <c r="BR107" s="10">
        <v>32812</v>
      </c>
      <c r="BS107" s="10">
        <v>204921</v>
      </c>
      <c r="BT107" s="10">
        <v>168594</v>
      </c>
      <c r="BU107" s="10">
        <v>17687</v>
      </c>
      <c r="BV107" s="10">
        <v>171118</v>
      </c>
      <c r="BW107" s="10">
        <v>582491</v>
      </c>
      <c r="BX107" s="10">
        <v>2627312</v>
      </c>
      <c r="BY107" s="10">
        <v>1166324</v>
      </c>
      <c r="BZ107" s="10">
        <v>1120214</v>
      </c>
      <c r="CA107" s="10">
        <v>310459</v>
      </c>
      <c r="CB107" s="10">
        <v>2374735</v>
      </c>
      <c r="CC107" s="10">
        <v>2716503</v>
      </c>
      <c r="CD107" s="13" t="s">
        <v>94</v>
      </c>
      <c r="CE107" s="13" t="s">
        <v>94</v>
      </c>
      <c r="CF107" s="13" t="s">
        <v>94</v>
      </c>
      <c r="CG107" s="13" t="s">
        <v>94</v>
      </c>
      <c r="CH107" s="13" t="s">
        <v>94</v>
      </c>
      <c r="CI107" s="13" t="s">
        <v>94</v>
      </c>
      <c r="CJ107" s="13" t="s">
        <v>94</v>
      </c>
      <c r="CK107" s="13" t="s">
        <v>94</v>
      </c>
    </row>
    <row r="108" spans="1:89" x14ac:dyDescent="0.3">
      <c r="A108" s="8" t="s">
        <v>195</v>
      </c>
      <c r="B108" s="12" t="s">
        <v>94</v>
      </c>
      <c r="C108" s="11">
        <v>58517123</v>
      </c>
      <c r="D108" s="11">
        <v>6412119</v>
      </c>
      <c r="E108" s="11">
        <v>1204660</v>
      </c>
      <c r="F108" s="11">
        <v>72310</v>
      </c>
      <c r="G108" s="11">
        <v>179676</v>
      </c>
      <c r="H108" s="11">
        <v>19152</v>
      </c>
      <c r="I108" s="11">
        <v>38012</v>
      </c>
      <c r="J108" s="11">
        <v>197426</v>
      </c>
      <c r="K108" s="11">
        <v>23620</v>
      </c>
      <c r="L108" s="11">
        <v>214478</v>
      </c>
      <c r="M108" s="11">
        <v>3359925</v>
      </c>
      <c r="N108" s="11">
        <v>478984</v>
      </c>
      <c r="O108" s="11">
        <v>1118666</v>
      </c>
      <c r="P108" s="11">
        <v>1722825</v>
      </c>
      <c r="Q108" s="11">
        <v>179629</v>
      </c>
      <c r="R108" s="11">
        <v>132957</v>
      </c>
      <c r="S108" s="11">
        <v>225043</v>
      </c>
      <c r="T108" s="11">
        <v>594172</v>
      </c>
      <c r="U108" s="11">
        <v>184682</v>
      </c>
      <c r="V108" s="11">
        <v>196113</v>
      </c>
      <c r="W108" s="11">
        <v>148589</v>
      </c>
      <c r="X108" s="11">
        <v>112096</v>
      </c>
      <c r="Y108" s="11">
        <v>29794</v>
      </c>
      <c r="Z108" s="11">
        <v>213674</v>
      </c>
      <c r="AA108" s="11">
        <v>277855</v>
      </c>
      <c r="AB108" s="11">
        <v>387787</v>
      </c>
      <c r="AC108" s="11">
        <v>90651</v>
      </c>
      <c r="AD108" s="11">
        <v>551546</v>
      </c>
      <c r="AE108" s="11">
        <v>303835</v>
      </c>
      <c r="AF108" s="11">
        <v>897834</v>
      </c>
      <c r="AG108" s="11">
        <v>325693</v>
      </c>
      <c r="AH108" s="11">
        <v>875587</v>
      </c>
      <c r="AI108" s="11">
        <v>372105</v>
      </c>
      <c r="AJ108" s="11">
        <v>520100</v>
      </c>
      <c r="AK108" s="11">
        <v>1558759</v>
      </c>
      <c r="AL108" s="11">
        <v>9656826</v>
      </c>
      <c r="AM108" s="11">
        <v>33447</v>
      </c>
      <c r="AN108" s="11">
        <v>11361</v>
      </c>
      <c r="AO108" s="11">
        <v>7608</v>
      </c>
      <c r="AP108" s="11">
        <v>1095705</v>
      </c>
      <c r="AQ108" s="11">
        <v>1586404</v>
      </c>
      <c r="AR108" s="11">
        <v>4093</v>
      </c>
      <c r="AS108" s="11">
        <v>19010</v>
      </c>
      <c r="AT108" s="11">
        <v>176598</v>
      </c>
      <c r="AU108" s="11">
        <v>14929</v>
      </c>
      <c r="AV108" s="11">
        <v>60933</v>
      </c>
      <c r="AW108" s="11">
        <v>150853</v>
      </c>
      <c r="AX108" s="11">
        <v>32818</v>
      </c>
      <c r="AY108" s="11">
        <v>33898</v>
      </c>
      <c r="AZ108" s="11">
        <v>19632</v>
      </c>
      <c r="BA108" s="11">
        <v>106907</v>
      </c>
      <c r="BB108" s="11">
        <v>10744</v>
      </c>
      <c r="BC108" s="11">
        <v>3488</v>
      </c>
      <c r="BD108" s="11">
        <v>3317</v>
      </c>
      <c r="BE108" s="11">
        <v>204216</v>
      </c>
      <c r="BF108" s="11">
        <v>12973</v>
      </c>
      <c r="BG108" s="11">
        <v>114758</v>
      </c>
      <c r="BH108" s="11">
        <v>590784</v>
      </c>
      <c r="BI108" s="11">
        <v>105686</v>
      </c>
      <c r="BJ108" s="11">
        <v>761</v>
      </c>
      <c r="BK108" s="11">
        <v>946614</v>
      </c>
      <c r="BL108" s="11">
        <v>41505</v>
      </c>
      <c r="BM108" s="11">
        <v>4997262</v>
      </c>
      <c r="BN108" s="11">
        <v>104040</v>
      </c>
      <c r="BO108" s="11">
        <v>2430209</v>
      </c>
      <c r="BP108" s="11">
        <v>758231</v>
      </c>
      <c r="BQ108" s="11">
        <v>603900</v>
      </c>
      <c r="BR108" s="11">
        <v>31386</v>
      </c>
      <c r="BS108" s="11">
        <v>202487</v>
      </c>
      <c r="BT108" s="11">
        <v>162651</v>
      </c>
      <c r="BU108" s="11">
        <v>17096</v>
      </c>
      <c r="BV108" s="11">
        <v>162274</v>
      </c>
      <c r="BW108" s="11">
        <v>577870</v>
      </c>
      <c r="BX108" s="11">
        <v>2584814</v>
      </c>
      <c r="BY108" s="11">
        <v>1135737</v>
      </c>
      <c r="BZ108" s="11">
        <v>1095123</v>
      </c>
      <c r="CA108" s="11">
        <v>296583</v>
      </c>
      <c r="CB108" s="11">
        <v>2374735</v>
      </c>
      <c r="CC108" s="11">
        <v>2716503</v>
      </c>
      <c r="CD108" s="12" t="s">
        <v>94</v>
      </c>
      <c r="CE108" s="12" t="s">
        <v>94</v>
      </c>
      <c r="CF108" s="12" t="s">
        <v>94</v>
      </c>
      <c r="CG108" s="12" t="s">
        <v>94</v>
      </c>
      <c r="CH108" s="12" t="s">
        <v>94</v>
      </c>
      <c r="CI108" s="12" t="s">
        <v>94</v>
      </c>
      <c r="CJ108" s="12" t="s">
        <v>94</v>
      </c>
      <c r="CK108" s="12" t="s">
        <v>94</v>
      </c>
    </row>
    <row r="109" spans="1:89" x14ac:dyDescent="0.3">
      <c r="A109" s="7" t="s">
        <v>196</v>
      </c>
      <c r="B109" s="13" t="s">
        <v>94</v>
      </c>
      <c r="C109" s="10">
        <v>39705347</v>
      </c>
      <c r="D109" s="10">
        <v>2385928</v>
      </c>
      <c r="E109" s="10">
        <v>513059</v>
      </c>
      <c r="F109" s="10">
        <v>16409</v>
      </c>
      <c r="G109" s="10">
        <v>72286</v>
      </c>
      <c r="H109" s="10">
        <v>17759</v>
      </c>
      <c r="I109" s="10">
        <v>38012</v>
      </c>
      <c r="J109" s="10">
        <v>180039</v>
      </c>
      <c r="K109" s="10">
        <v>23512</v>
      </c>
      <c r="L109" s="10">
        <v>210012</v>
      </c>
      <c r="M109" s="10">
        <v>2729134</v>
      </c>
      <c r="N109" s="10">
        <v>466923</v>
      </c>
      <c r="O109" s="10">
        <v>594423</v>
      </c>
      <c r="P109" s="10">
        <v>1051781</v>
      </c>
      <c r="Q109" s="10">
        <v>133883</v>
      </c>
      <c r="R109" s="10">
        <v>89647</v>
      </c>
      <c r="S109" s="10">
        <v>92463</v>
      </c>
      <c r="T109" s="10">
        <v>389797</v>
      </c>
      <c r="U109" s="10">
        <v>158292</v>
      </c>
      <c r="V109" s="10">
        <v>125002</v>
      </c>
      <c r="W109" s="10">
        <v>120675</v>
      </c>
      <c r="X109" s="10">
        <v>92455</v>
      </c>
      <c r="Y109" s="10">
        <v>29684</v>
      </c>
      <c r="Z109" s="10">
        <v>198833</v>
      </c>
      <c r="AA109" s="10">
        <v>272043</v>
      </c>
      <c r="AB109" s="10">
        <v>184321</v>
      </c>
      <c r="AC109" s="10">
        <v>87481</v>
      </c>
      <c r="AD109" s="10">
        <v>405040</v>
      </c>
      <c r="AE109" s="10">
        <v>295091</v>
      </c>
      <c r="AF109" s="10">
        <v>870461</v>
      </c>
      <c r="AG109" s="10">
        <v>318309</v>
      </c>
      <c r="AH109" s="10">
        <v>862524</v>
      </c>
      <c r="AI109" s="10">
        <v>216395</v>
      </c>
      <c r="AJ109" s="10">
        <v>374874</v>
      </c>
      <c r="AK109" s="10">
        <v>1287819</v>
      </c>
      <c r="AL109" s="10">
        <v>3765302</v>
      </c>
      <c r="AM109" s="10">
        <v>33405</v>
      </c>
      <c r="AN109" s="10">
        <v>11361</v>
      </c>
      <c r="AO109" s="10">
        <v>6636</v>
      </c>
      <c r="AP109" s="10">
        <v>986425</v>
      </c>
      <c r="AQ109" s="10">
        <v>1277114</v>
      </c>
      <c r="AR109" s="10">
        <v>4093</v>
      </c>
      <c r="AS109" s="10">
        <v>11051</v>
      </c>
      <c r="AT109" s="10">
        <v>163298</v>
      </c>
      <c r="AU109" s="10">
        <v>14929</v>
      </c>
      <c r="AV109" s="10">
        <v>39795</v>
      </c>
      <c r="AW109" s="10">
        <v>139124</v>
      </c>
      <c r="AX109" s="10">
        <v>31229</v>
      </c>
      <c r="AY109" s="10">
        <v>32951</v>
      </c>
      <c r="AZ109" s="10">
        <v>16549</v>
      </c>
      <c r="BA109" s="10">
        <v>95479</v>
      </c>
      <c r="BB109" s="10">
        <v>10648</v>
      </c>
      <c r="BC109" s="10">
        <v>2855</v>
      </c>
      <c r="BD109" s="10">
        <v>3317</v>
      </c>
      <c r="BE109" s="10">
        <v>204216</v>
      </c>
      <c r="BF109" s="10">
        <v>12973</v>
      </c>
      <c r="BG109" s="10">
        <v>114758</v>
      </c>
      <c r="BH109" s="10">
        <v>512555</v>
      </c>
      <c r="BI109" s="10">
        <v>52795</v>
      </c>
      <c r="BJ109" s="10">
        <v>741</v>
      </c>
      <c r="BK109" s="10">
        <v>689558</v>
      </c>
      <c r="BL109" s="10">
        <v>33134</v>
      </c>
      <c r="BM109" s="10">
        <v>4840076</v>
      </c>
      <c r="BN109" s="10">
        <v>39593</v>
      </c>
      <c r="BO109" s="10">
        <v>2296654</v>
      </c>
      <c r="BP109" s="10">
        <v>558044</v>
      </c>
      <c r="BQ109" s="10">
        <v>598437</v>
      </c>
      <c r="BR109" s="10">
        <v>19181</v>
      </c>
      <c r="BS109" s="10">
        <v>89993</v>
      </c>
      <c r="BT109" s="10">
        <v>86570</v>
      </c>
      <c r="BU109" s="10">
        <v>15399</v>
      </c>
      <c r="BV109" s="10">
        <v>104020</v>
      </c>
      <c r="BW109" s="10">
        <v>534615</v>
      </c>
      <c r="BX109" s="10">
        <v>1338598</v>
      </c>
      <c r="BY109" s="10">
        <v>411252</v>
      </c>
      <c r="BZ109" s="10">
        <v>306203</v>
      </c>
      <c r="CA109" s="10">
        <v>204817</v>
      </c>
      <c r="CB109" s="10">
        <v>2374735</v>
      </c>
      <c r="CC109" s="10">
        <v>2716503</v>
      </c>
      <c r="CD109" s="13" t="s">
        <v>94</v>
      </c>
      <c r="CE109" s="13" t="s">
        <v>94</v>
      </c>
      <c r="CF109" s="13" t="s">
        <v>94</v>
      </c>
      <c r="CG109" s="13" t="s">
        <v>94</v>
      </c>
      <c r="CH109" s="13" t="s">
        <v>94</v>
      </c>
      <c r="CI109" s="13" t="s">
        <v>94</v>
      </c>
      <c r="CJ109" s="13" t="s">
        <v>94</v>
      </c>
      <c r="CK109" s="13" t="s">
        <v>94</v>
      </c>
    </row>
    <row r="110" spans="1:89" x14ac:dyDescent="0.3">
      <c r="A110" s="8" t="s">
        <v>197</v>
      </c>
      <c r="B110" s="12" t="s">
        <v>94</v>
      </c>
      <c r="C110" s="11">
        <v>30007952</v>
      </c>
      <c r="D110" s="11">
        <v>2385928</v>
      </c>
      <c r="E110" s="11">
        <v>512488</v>
      </c>
      <c r="F110" s="11">
        <v>16409</v>
      </c>
      <c r="G110" s="11">
        <v>70925</v>
      </c>
      <c r="H110" s="11">
        <v>15690</v>
      </c>
      <c r="I110" s="11">
        <v>27306</v>
      </c>
      <c r="J110" s="11">
        <v>152579</v>
      </c>
      <c r="K110" s="11">
        <v>19305</v>
      </c>
      <c r="L110" s="11">
        <v>165861</v>
      </c>
      <c r="M110" s="11">
        <v>2491112</v>
      </c>
      <c r="N110" s="11">
        <v>371806</v>
      </c>
      <c r="O110" s="11">
        <v>541637</v>
      </c>
      <c r="P110" s="11">
        <v>907415</v>
      </c>
      <c r="Q110" s="11">
        <v>109774</v>
      </c>
      <c r="R110" s="11">
        <v>81755</v>
      </c>
      <c r="S110" s="11">
        <v>85668</v>
      </c>
      <c r="T110" s="11">
        <v>353382</v>
      </c>
      <c r="U110" s="11">
        <v>142418</v>
      </c>
      <c r="V110" s="11">
        <v>116578</v>
      </c>
      <c r="W110" s="11">
        <v>98130</v>
      </c>
      <c r="X110" s="11">
        <v>75445</v>
      </c>
      <c r="Y110" s="11">
        <v>26132</v>
      </c>
      <c r="Z110" s="11">
        <v>149878</v>
      </c>
      <c r="AA110" s="11">
        <v>231544</v>
      </c>
      <c r="AB110" s="11">
        <v>165094</v>
      </c>
      <c r="AC110" s="11">
        <v>68758</v>
      </c>
      <c r="AD110" s="11">
        <v>327926</v>
      </c>
      <c r="AE110" s="11">
        <v>242135</v>
      </c>
      <c r="AF110" s="11">
        <v>730520</v>
      </c>
      <c r="AG110" s="11">
        <v>272461</v>
      </c>
      <c r="AH110" s="11">
        <v>735882</v>
      </c>
      <c r="AI110" s="11">
        <v>187678</v>
      </c>
      <c r="AJ110" s="11">
        <v>333193</v>
      </c>
      <c r="AK110" s="11">
        <v>1203170</v>
      </c>
      <c r="AL110" s="11">
        <v>3576391</v>
      </c>
      <c r="AM110" s="11">
        <v>25362</v>
      </c>
      <c r="AN110" s="11">
        <v>9083</v>
      </c>
      <c r="AO110" s="11">
        <v>5926</v>
      </c>
      <c r="AP110" s="11">
        <v>791091</v>
      </c>
      <c r="AQ110" s="11">
        <v>1225563</v>
      </c>
      <c r="AR110" s="11">
        <v>3660</v>
      </c>
      <c r="AS110" s="11">
        <v>9763</v>
      </c>
      <c r="AT110" s="11">
        <v>114063</v>
      </c>
      <c r="AU110" s="11">
        <v>13360</v>
      </c>
      <c r="AV110" s="11">
        <v>26416</v>
      </c>
      <c r="AW110" s="11">
        <v>103546</v>
      </c>
      <c r="AX110" s="11">
        <v>21484</v>
      </c>
      <c r="AY110" s="11">
        <v>25012</v>
      </c>
      <c r="AZ110" s="11">
        <v>12337</v>
      </c>
      <c r="BA110" s="11">
        <v>73363</v>
      </c>
      <c r="BB110" s="11">
        <v>8669</v>
      </c>
      <c r="BC110" s="11">
        <v>1852</v>
      </c>
      <c r="BD110" s="11">
        <v>0</v>
      </c>
      <c r="BE110" s="11">
        <v>0</v>
      </c>
      <c r="BF110" s="11">
        <v>0</v>
      </c>
      <c r="BG110" s="11">
        <v>0</v>
      </c>
      <c r="BH110" s="11">
        <v>486201</v>
      </c>
      <c r="BI110" s="11">
        <v>43713</v>
      </c>
      <c r="BJ110" s="11">
        <v>741</v>
      </c>
      <c r="BK110" s="11">
        <v>442771</v>
      </c>
      <c r="BL110" s="11">
        <v>3207</v>
      </c>
      <c r="BM110" s="11">
        <v>3681796</v>
      </c>
      <c r="BN110" s="11">
        <v>36061</v>
      </c>
      <c r="BO110" s="11">
        <v>406507</v>
      </c>
      <c r="BP110" s="11">
        <v>186289</v>
      </c>
      <c r="BQ110" s="11">
        <v>81127</v>
      </c>
      <c r="BR110" s="11">
        <v>14719</v>
      </c>
      <c r="BS110" s="11">
        <v>67590</v>
      </c>
      <c r="BT110" s="11">
        <v>66839</v>
      </c>
      <c r="BU110" s="11">
        <v>3820</v>
      </c>
      <c r="BV110" s="11">
        <v>91316</v>
      </c>
      <c r="BW110" s="11">
        <v>457843</v>
      </c>
      <c r="BX110" s="11">
        <v>1285885</v>
      </c>
      <c r="BY110" s="11">
        <v>365585</v>
      </c>
      <c r="BZ110" s="11">
        <v>282579</v>
      </c>
      <c r="CA110" s="11">
        <v>165705</v>
      </c>
      <c r="CB110" s="11">
        <v>2374735</v>
      </c>
      <c r="CC110" s="11">
        <v>0</v>
      </c>
      <c r="CD110" s="12" t="s">
        <v>94</v>
      </c>
      <c r="CE110" s="12" t="s">
        <v>94</v>
      </c>
      <c r="CF110" s="12" t="s">
        <v>94</v>
      </c>
      <c r="CG110" s="12" t="s">
        <v>94</v>
      </c>
      <c r="CH110" s="12" t="s">
        <v>94</v>
      </c>
      <c r="CI110" s="12" t="s">
        <v>94</v>
      </c>
      <c r="CJ110" s="12" t="s">
        <v>94</v>
      </c>
      <c r="CK110" s="12" t="s">
        <v>94</v>
      </c>
    </row>
    <row r="111" spans="1:89" x14ac:dyDescent="0.3">
      <c r="A111" s="7" t="s">
        <v>198</v>
      </c>
      <c r="B111" s="13" t="s">
        <v>94</v>
      </c>
      <c r="C111" s="10">
        <v>9697395</v>
      </c>
      <c r="D111" s="10">
        <v>0</v>
      </c>
      <c r="E111" s="10">
        <v>571</v>
      </c>
      <c r="F111" s="10">
        <v>0</v>
      </c>
      <c r="G111" s="10">
        <v>1361</v>
      </c>
      <c r="H111" s="10">
        <v>2069</v>
      </c>
      <c r="I111" s="10">
        <v>10706</v>
      </c>
      <c r="J111" s="10">
        <v>27460</v>
      </c>
      <c r="K111" s="10">
        <v>4207</v>
      </c>
      <c r="L111" s="10">
        <v>44151</v>
      </c>
      <c r="M111" s="10">
        <v>238022</v>
      </c>
      <c r="N111" s="10">
        <v>95117</v>
      </c>
      <c r="O111" s="10">
        <v>52786</v>
      </c>
      <c r="P111" s="10">
        <v>144366</v>
      </c>
      <c r="Q111" s="10">
        <v>24109</v>
      </c>
      <c r="R111" s="10">
        <v>7892</v>
      </c>
      <c r="S111" s="10">
        <v>6795</v>
      </c>
      <c r="T111" s="10">
        <v>36415</v>
      </c>
      <c r="U111" s="10">
        <v>15874</v>
      </c>
      <c r="V111" s="10">
        <v>8424</v>
      </c>
      <c r="W111" s="10">
        <v>22545</v>
      </c>
      <c r="X111" s="10">
        <v>17010</v>
      </c>
      <c r="Y111" s="10">
        <v>3552</v>
      </c>
      <c r="Z111" s="10">
        <v>48955</v>
      </c>
      <c r="AA111" s="10">
        <v>40499</v>
      </c>
      <c r="AB111" s="10">
        <v>19227</v>
      </c>
      <c r="AC111" s="10">
        <v>18723</v>
      </c>
      <c r="AD111" s="10">
        <v>77114</v>
      </c>
      <c r="AE111" s="10">
        <v>52956</v>
      </c>
      <c r="AF111" s="10">
        <v>139941</v>
      </c>
      <c r="AG111" s="10">
        <v>45848</v>
      </c>
      <c r="AH111" s="10">
        <v>126642</v>
      </c>
      <c r="AI111" s="10">
        <v>28717</v>
      </c>
      <c r="AJ111" s="10">
        <v>41681</v>
      </c>
      <c r="AK111" s="10">
        <v>84649</v>
      </c>
      <c r="AL111" s="10">
        <v>188911</v>
      </c>
      <c r="AM111" s="10">
        <v>8043</v>
      </c>
      <c r="AN111" s="10">
        <v>2278</v>
      </c>
      <c r="AO111" s="10">
        <v>710</v>
      </c>
      <c r="AP111" s="10">
        <v>195334</v>
      </c>
      <c r="AQ111" s="10">
        <v>51551</v>
      </c>
      <c r="AR111" s="10">
        <v>433</v>
      </c>
      <c r="AS111" s="10">
        <v>1288</v>
      </c>
      <c r="AT111" s="10">
        <v>49235</v>
      </c>
      <c r="AU111" s="10">
        <v>1569</v>
      </c>
      <c r="AV111" s="10">
        <v>13379</v>
      </c>
      <c r="AW111" s="10">
        <v>35578</v>
      </c>
      <c r="AX111" s="10">
        <v>9745</v>
      </c>
      <c r="AY111" s="10">
        <v>7939</v>
      </c>
      <c r="AZ111" s="10">
        <v>4212</v>
      </c>
      <c r="BA111" s="10">
        <v>22116</v>
      </c>
      <c r="BB111" s="10">
        <v>1979</v>
      </c>
      <c r="BC111" s="10">
        <v>1003</v>
      </c>
      <c r="BD111" s="10">
        <v>3317</v>
      </c>
      <c r="BE111" s="10">
        <v>204216</v>
      </c>
      <c r="BF111" s="10">
        <v>12973</v>
      </c>
      <c r="BG111" s="10">
        <v>114758</v>
      </c>
      <c r="BH111" s="10">
        <v>26354</v>
      </c>
      <c r="BI111" s="10">
        <v>9082</v>
      </c>
      <c r="BJ111" s="10">
        <v>0</v>
      </c>
      <c r="BK111" s="10">
        <v>246787</v>
      </c>
      <c r="BL111" s="10">
        <v>29927</v>
      </c>
      <c r="BM111" s="10">
        <v>1158280</v>
      </c>
      <c r="BN111" s="10">
        <v>3532</v>
      </c>
      <c r="BO111" s="10">
        <v>1890147</v>
      </c>
      <c r="BP111" s="10">
        <v>371755</v>
      </c>
      <c r="BQ111" s="10">
        <v>517310</v>
      </c>
      <c r="BR111" s="10">
        <v>4462</v>
      </c>
      <c r="BS111" s="10">
        <v>22403</v>
      </c>
      <c r="BT111" s="10">
        <v>19731</v>
      </c>
      <c r="BU111" s="10">
        <v>11579</v>
      </c>
      <c r="BV111" s="10">
        <v>12704</v>
      </c>
      <c r="BW111" s="10">
        <v>76772</v>
      </c>
      <c r="BX111" s="10">
        <v>52713</v>
      </c>
      <c r="BY111" s="10">
        <v>45667</v>
      </c>
      <c r="BZ111" s="10">
        <v>23624</v>
      </c>
      <c r="CA111" s="10">
        <v>39112</v>
      </c>
      <c r="CB111" s="10">
        <v>0</v>
      </c>
      <c r="CC111" s="10">
        <v>2716503</v>
      </c>
      <c r="CD111" s="13" t="s">
        <v>94</v>
      </c>
      <c r="CE111" s="13" t="s">
        <v>94</v>
      </c>
      <c r="CF111" s="13" t="s">
        <v>94</v>
      </c>
      <c r="CG111" s="13" t="s">
        <v>94</v>
      </c>
      <c r="CH111" s="13" t="s">
        <v>94</v>
      </c>
      <c r="CI111" s="13" t="s">
        <v>94</v>
      </c>
      <c r="CJ111" s="13" t="s">
        <v>94</v>
      </c>
      <c r="CK111" s="13" t="s">
        <v>94</v>
      </c>
    </row>
    <row r="112" spans="1:89" x14ac:dyDescent="0.3">
      <c r="A112" s="8" t="s">
        <v>199</v>
      </c>
      <c r="B112" s="12" t="s">
        <v>94</v>
      </c>
      <c r="C112" s="11">
        <v>18811776</v>
      </c>
      <c r="D112" s="11">
        <v>4026191</v>
      </c>
      <c r="E112" s="11">
        <v>691601</v>
      </c>
      <c r="F112" s="11">
        <v>55901</v>
      </c>
      <c r="G112" s="11">
        <v>107390</v>
      </c>
      <c r="H112" s="11">
        <v>1393</v>
      </c>
      <c r="I112" s="11">
        <v>0</v>
      </c>
      <c r="J112" s="11">
        <v>17387</v>
      </c>
      <c r="K112" s="11">
        <v>108</v>
      </c>
      <c r="L112" s="11">
        <v>4466</v>
      </c>
      <c r="M112" s="11">
        <v>630791</v>
      </c>
      <c r="N112" s="11">
        <v>12061</v>
      </c>
      <c r="O112" s="11">
        <v>524243</v>
      </c>
      <c r="P112" s="11">
        <v>671044</v>
      </c>
      <c r="Q112" s="11">
        <v>45746</v>
      </c>
      <c r="R112" s="11">
        <v>43310</v>
      </c>
      <c r="S112" s="11">
        <v>132580</v>
      </c>
      <c r="T112" s="11">
        <v>204375</v>
      </c>
      <c r="U112" s="11">
        <v>26390</v>
      </c>
      <c r="V112" s="11">
        <v>71111</v>
      </c>
      <c r="W112" s="11">
        <v>27914</v>
      </c>
      <c r="X112" s="11">
        <v>19641</v>
      </c>
      <c r="Y112" s="11">
        <v>110</v>
      </c>
      <c r="Z112" s="11">
        <v>14841</v>
      </c>
      <c r="AA112" s="11">
        <v>5812</v>
      </c>
      <c r="AB112" s="11">
        <v>203466</v>
      </c>
      <c r="AC112" s="11">
        <v>3170</v>
      </c>
      <c r="AD112" s="11">
        <v>146506</v>
      </c>
      <c r="AE112" s="11">
        <v>8744</v>
      </c>
      <c r="AF112" s="11">
        <v>27373</v>
      </c>
      <c r="AG112" s="11">
        <v>7384</v>
      </c>
      <c r="AH112" s="11">
        <v>13063</v>
      </c>
      <c r="AI112" s="11">
        <v>155710</v>
      </c>
      <c r="AJ112" s="11">
        <v>145226</v>
      </c>
      <c r="AK112" s="11">
        <v>270940</v>
      </c>
      <c r="AL112" s="11">
        <v>5891524</v>
      </c>
      <c r="AM112" s="11">
        <v>42</v>
      </c>
      <c r="AN112" s="11">
        <v>0</v>
      </c>
      <c r="AO112" s="11">
        <v>972</v>
      </c>
      <c r="AP112" s="11">
        <v>109280</v>
      </c>
      <c r="AQ112" s="11">
        <v>309290</v>
      </c>
      <c r="AR112" s="11">
        <v>0</v>
      </c>
      <c r="AS112" s="11">
        <v>7959</v>
      </c>
      <c r="AT112" s="11">
        <v>13300</v>
      </c>
      <c r="AU112" s="11">
        <v>0</v>
      </c>
      <c r="AV112" s="11">
        <v>21138</v>
      </c>
      <c r="AW112" s="11">
        <v>11729</v>
      </c>
      <c r="AX112" s="11">
        <v>1589</v>
      </c>
      <c r="AY112" s="11">
        <v>947</v>
      </c>
      <c r="AZ112" s="11">
        <v>3083</v>
      </c>
      <c r="BA112" s="11">
        <v>11428</v>
      </c>
      <c r="BB112" s="11">
        <v>96</v>
      </c>
      <c r="BC112" s="11">
        <v>633</v>
      </c>
      <c r="BD112" s="11">
        <v>0</v>
      </c>
      <c r="BE112" s="11">
        <v>0</v>
      </c>
      <c r="BF112" s="11">
        <v>0</v>
      </c>
      <c r="BG112" s="11">
        <v>0</v>
      </c>
      <c r="BH112" s="11">
        <v>78229</v>
      </c>
      <c r="BI112" s="11">
        <v>52891</v>
      </c>
      <c r="BJ112" s="11">
        <v>20</v>
      </c>
      <c r="BK112" s="11">
        <v>257056</v>
      </c>
      <c r="BL112" s="11">
        <v>8371</v>
      </c>
      <c r="BM112" s="11">
        <v>157186</v>
      </c>
      <c r="BN112" s="11">
        <v>64447</v>
      </c>
      <c r="BO112" s="11">
        <v>133555</v>
      </c>
      <c r="BP112" s="11">
        <v>200187</v>
      </c>
      <c r="BQ112" s="11">
        <v>5463</v>
      </c>
      <c r="BR112" s="11">
        <v>12205</v>
      </c>
      <c r="BS112" s="11">
        <v>112494</v>
      </c>
      <c r="BT112" s="11">
        <v>76081</v>
      </c>
      <c r="BU112" s="11">
        <v>1697</v>
      </c>
      <c r="BV112" s="11">
        <v>58254</v>
      </c>
      <c r="BW112" s="11">
        <v>43255</v>
      </c>
      <c r="BX112" s="11">
        <v>1246216</v>
      </c>
      <c r="BY112" s="11">
        <v>724485</v>
      </c>
      <c r="BZ112" s="11">
        <v>788920</v>
      </c>
      <c r="CA112" s="11">
        <v>91766</v>
      </c>
      <c r="CB112" s="11">
        <v>0</v>
      </c>
      <c r="CC112" s="11">
        <v>0</v>
      </c>
      <c r="CD112" s="12" t="s">
        <v>94</v>
      </c>
      <c r="CE112" s="12" t="s">
        <v>94</v>
      </c>
      <c r="CF112" s="12" t="s">
        <v>94</v>
      </c>
      <c r="CG112" s="12" t="s">
        <v>94</v>
      </c>
      <c r="CH112" s="12" t="s">
        <v>94</v>
      </c>
      <c r="CI112" s="12" t="s">
        <v>94</v>
      </c>
      <c r="CJ112" s="12" t="s">
        <v>94</v>
      </c>
      <c r="CK112" s="12" t="s">
        <v>94</v>
      </c>
    </row>
    <row r="113" spans="1:89" x14ac:dyDescent="0.3">
      <c r="A113" s="7" t="s">
        <v>200</v>
      </c>
      <c r="B113" s="13" t="s">
        <v>94</v>
      </c>
      <c r="C113" s="10">
        <v>3801864</v>
      </c>
      <c r="D113" s="10">
        <v>0</v>
      </c>
      <c r="E113" s="10">
        <v>1023</v>
      </c>
      <c r="F113" s="10">
        <v>0</v>
      </c>
      <c r="G113" s="10">
        <v>2002</v>
      </c>
      <c r="H113" s="10">
        <v>3205</v>
      </c>
      <c r="I113" s="10">
        <v>28</v>
      </c>
      <c r="J113" s="10">
        <v>48222</v>
      </c>
      <c r="K113" s="10">
        <v>12930</v>
      </c>
      <c r="L113" s="10">
        <v>2767</v>
      </c>
      <c r="M113" s="10">
        <v>59147</v>
      </c>
      <c r="N113" s="10">
        <v>58631</v>
      </c>
      <c r="O113" s="10">
        <v>1598</v>
      </c>
      <c r="P113" s="10">
        <v>159632</v>
      </c>
      <c r="Q113" s="10">
        <v>45034</v>
      </c>
      <c r="R113" s="10">
        <v>14760</v>
      </c>
      <c r="S113" s="10">
        <v>5277</v>
      </c>
      <c r="T113" s="10">
        <v>32260</v>
      </c>
      <c r="U113" s="10">
        <v>10086</v>
      </c>
      <c r="V113" s="10">
        <v>4206</v>
      </c>
      <c r="W113" s="10">
        <v>30128</v>
      </c>
      <c r="X113" s="10">
        <v>13575</v>
      </c>
      <c r="Y113" s="10">
        <v>2418</v>
      </c>
      <c r="Z113" s="10">
        <v>64033</v>
      </c>
      <c r="AA113" s="10">
        <v>103292</v>
      </c>
      <c r="AB113" s="10">
        <v>59908</v>
      </c>
      <c r="AC113" s="10">
        <v>49067</v>
      </c>
      <c r="AD113" s="10">
        <v>65121</v>
      </c>
      <c r="AE113" s="10">
        <v>37541</v>
      </c>
      <c r="AF113" s="10">
        <v>53972</v>
      </c>
      <c r="AG113" s="10">
        <v>57231</v>
      </c>
      <c r="AH113" s="10">
        <v>270412</v>
      </c>
      <c r="AI113" s="10">
        <v>12765</v>
      </c>
      <c r="AJ113" s="10">
        <v>26637</v>
      </c>
      <c r="AK113" s="10">
        <v>771852</v>
      </c>
      <c r="AL113" s="10">
        <v>307115</v>
      </c>
      <c r="AM113" s="10">
        <v>11769</v>
      </c>
      <c r="AN113" s="10">
        <v>4365</v>
      </c>
      <c r="AO113" s="10">
        <v>3473</v>
      </c>
      <c r="AP113" s="10">
        <v>23484</v>
      </c>
      <c r="AQ113" s="10">
        <v>12675</v>
      </c>
      <c r="AR113" s="10">
        <v>767</v>
      </c>
      <c r="AS113" s="10">
        <v>1087</v>
      </c>
      <c r="AT113" s="10">
        <v>73787</v>
      </c>
      <c r="AU113" s="10">
        <v>0</v>
      </c>
      <c r="AV113" s="10">
        <v>15269</v>
      </c>
      <c r="AW113" s="10">
        <v>24952</v>
      </c>
      <c r="AX113" s="10">
        <v>11848</v>
      </c>
      <c r="AY113" s="10">
        <v>13747</v>
      </c>
      <c r="AZ113" s="10">
        <v>20911</v>
      </c>
      <c r="BA113" s="10">
        <v>74723</v>
      </c>
      <c r="BB113" s="10">
        <v>4026</v>
      </c>
      <c r="BC113" s="10">
        <v>1158</v>
      </c>
      <c r="BD113" s="10">
        <v>0</v>
      </c>
      <c r="BE113" s="10">
        <v>170706</v>
      </c>
      <c r="BF113" s="10">
        <v>3172</v>
      </c>
      <c r="BG113" s="10">
        <v>34365</v>
      </c>
      <c r="BH113" s="10">
        <v>36104</v>
      </c>
      <c r="BI113" s="10">
        <v>18138</v>
      </c>
      <c r="BJ113" s="10">
        <v>357</v>
      </c>
      <c r="BK113" s="10">
        <v>105435</v>
      </c>
      <c r="BL113" s="10">
        <v>14410</v>
      </c>
      <c r="BM113" s="10">
        <v>161622</v>
      </c>
      <c r="BN113" s="10">
        <v>6222</v>
      </c>
      <c r="BO113" s="10">
        <v>42348</v>
      </c>
      <c r="BP113" s="10">
        <v>13614</v>
      </c>
      <c r="BQ113" s="10">
        <v>35183</v>
      </c>
      <c r="BR113" s="10">
        <v>495</v>
      </c>
      <c r="BS113" s="10">
        <v>773</v>
      </c>
      <c r="BT113" s="10">
        <v>4107</v>
      </c>
      <c r="BU113" s="10">
        <v>2853</v>
      </c>
      <c r="BV113" s="10">
        <v>33884</v>
      </c>
      <c r="BW113" s="10">
        <v>212809</v>
      </c>
      <c r="BX113" s="10">
        <v>183614</v>
      </c>
      <c r="BY113" s="10">
        <v>21066</v>
      </c>
      <c r="BZ113" s="10">
        <v>11970</v>
      </c>
      <c r="CA113" s="10">
        <v>4701</v>
      </c>
      <c r="CB113" s="10">
        <v>0</v>
      </c>
      <c r="CC113" s="10">
        <v>0</v>
      </c>
      <c r="CD113" s="13" t="s">
        <v>94</v>
      </c>
      <c r="CE113" s="13" t="s">
        <v>94</v>
      </c>
      <c r="CF113" s="13" t="s">
        <v>94</v>
      </c>
      <c r="CG113" s="13" t="s">
        <v>94</v>
      </c>
      <c r="CH113" s="13" t="s">
        <v>94</v>
      </c>
      <c r="CI113" s="13" t="s">
        <v>94</v>
      </c>
      <c r="CJ113" s="13" t="s">
        <v>94</v>
      </c>
      <c r="CK113" s="13" t="s">
        <v>94</v>
      </c>
    </row>
    <row r="114" spans="1:89" x14ac:dyDescent="0.3">
      <c r="A114" s="8" t="s">
        <v>201</v>
      </c>
      <c r="B114" s="12" t="s">
        <v>94</v>
      </c>
      <c r="C114" s="11">
        <v>987899</v>
      </c>
      <c r="D114" s="11">
        <v>0</v>
      </c>
      <c r="E114" s="11">
        <v>0</v>
      </c>
      <c r="F114" s="11">
        <v>0</v>
      </c>
      <c r="G114" s="11">
        <v>0</v>
      </c>
      <c r="H114" s="11">
        <v>928</v>
      </c>
      <c r="I114" s="11">
        <v>8</v>
      </c>
      <c r="J114" s="11">
        <v>1524</v>
      </c>
      <c r="K114" s="11">
        <v>702</v>
      </c>
      <c r="L114" s="11">
        <v>960</v>
      </c>
      <c r="M114" s="11">
        <v>28760</v>
      </c>
      <c r="N114" s="11">
        <v>6204</v>
      </c>
      <c r="O114" s="11">
        <v>3623</v>
      </c>
      <c r="P114" s="11">
        <v>5981</v>
      </c>
      <c r="Q114" s="11">
        <v>2454</v>
      </c>
      <c r="R114" s="11">
        <v>509</v>
      </c>
      <c r="S114" s="11">
        <v>480</v>
      </c>
      <c r="T114" s="11">
        <v>2803</v>
      </c>
      <c r="U114" s="11">
        <v>2732</v>
      </c>
      <c r="V114" s="11">
        <v>1471</v>
      </c>
      <c r="W114" s="11">
        <v>794</v>
      </c>
      <c r="X114" s="11">
        <v>1913</v>
      </c>
      <c r="Y114" s="11">
        <v>81</v>
      </c>
      <c r="Z114" s="11">
        <v>1741</v>
      </c>
      <c r="AA114" s="11">
        <v>1399</v>
      </c>
      <c r="AB114" s="11">
        <v>4079</v>
      </c>
      <c r="AC114" s="11">
        <v>3872</v>
      </c>
      <c r="AD114" s="11">
        <v>10056</v>
      </c>
      <c r="AE114" s="11">
        <v>14752</v>
      </c>
      <c r="AF114" s="11">
        <v>19713</v>
      </c>
      <c r="AG114" s="11">
        <v>14884</v>
      </c>
      <c r="AH114" s="11">
        <v>21027</v>
      </c>
      <c r="AI114" s="11">
        <v>2322</v>
      </c>
      <c r="AJ114" s="11">
        <v>6111</v>
      </c>
      <c r="AK114" s="11">
        <v>36073</v>
      </c>
      <c r="AL114" s="11">
        <v>316899</v>
      </c>
      <c r="AM114" s="11">
        <v>127</v>
      </c>
      <c r="AN114" s="11">
        <v>21</v>
      </c>
      <c r="AO114" s="11">
        <v>38</v>
      </c>
      <c r="AP114" s="11">
        <v>4006</v>
      </c>
      <c r="AQ114" s="11">
        <v>6317</v>
      </c>
      <c r="AR114" s="11">
        <v>4</v>
      </c>
      <c r="AS114" s="11">
        <v>480</v>
      </c>
      <c r="AT114" s="11">
        <v>3449</v>
      </c>
      <c r="AU114" s="11">
        <v>0</v>
      </c>
      <c r="AV114" s="11">
        <v>0</v>
      </c>
      <c r="AW114" s="11">
        <v>1842</v>
      </c>
      <c r="AX114" s="11">
        <v>2271</v>
      </c>
      <c r="AY114" s="11">
        <v>4684</v>
      </c>
      <c r="AZ114" s="11">
        <v>3149</v>
      </c>
      <c r="BA114" s="11">
        <v>6999</v>
      </c>
      <c r="BB114" s="11">
        <v>470</v>
      </c>
      <c r="BC114" s="11">
        <v>355</v>
      </c>
      <c r="BD114" s="11">
        <v>0</v>
      </c>
      <c r="BE114" s="11">
        <v>10067</v>
      </c>
      <c r="BF114" s="11">
        <v>389</v>
      </c>
      <c r="BG114" s="11">
        <v>20263</v>
      </c>
      <c r="BH114" s="11">
        <v>20154</v>
      </c>
      <c r="BI114" s="11">
        <v>2839</v>
      </c>
      <c r="BJ114" s="11">
        <v>18</v>
      </c>
      <c r="BK114" s="11">
        <v>41676</v>
      </c>
      <c r="BL114" s="11">
        <v>186</v>
      </c>
      <c r="BM114" s="11">
        <v>30750</v>
      </c>
      <c r="BN114" s="11">
        <v>198</v>
      </c>
      <c r="BO114" s="11">
        <v>142119</v>
      </c>
      <c r="BP114" s="11">
        <v>23778</v>
      </c>
      <c r="BQ114" s="11">
        <v>10484</v>
      </c>
      <c r="BR114" s="11">
        <v>1426</v>
      </c>
      <c r="BS114" s="11">
        <v>2434</v>
      </c>
      <c r="BT114" s="11">
        <v>5943</v>
      </c>
      <c r="BU114" s="11">
        <v>591</v>
      </c>
      <c r="BV114" s="11">
        <v>8844</v>
      </c>
      <c r="BW114" s="11">
        <v>4621</v>
      </c>
      <c r="BX114" s="11">
        <v>42498</v>
      </c>
      <c r="BY114" s="11">
        <v>30587</v>
      </c>
      <c r="BZ114" s="11">
        <v>25091</v>
      </c>
      <c r="CA114" s="11">
        <v>13876</v>
      </c>
      <c r="CB114" s="11">
        <v>0</v>
      </c>
      <c r="CC114" s="11">
        <v>0</v>
      </c>
      <c r="CD114" s="12" t="s">
        <v>94</v>
      </c>
      <c r="CE114" s="12" t="s">
        <v>94</v>
      </c>
      <c r="CF114" s="12" t="s">
        <v>94</v>
      </c>
      <c r="CG114" s="12" t="s">
        <v>94</v>
      </c>
      <c r="CH114" s="12" t="s">
        <v>94</v>
      </c>
      <c r="CI114" s="12" t="s">
        <v>94</v>
      </c>
      <c r="CJ114" s="12" t="s">
        <v>94</v>
      </c>
      <c r="CK114" s="12" t="s">
        <v>94</v>
      </c>
    </row>
    <row r="118" spans="1:89" ht="16.8" x14ac:dyDescent="0.3">
      <c r="A118" s="2" t="s">
        <v>202</v>
      </c>
    </row>
    <row r="119" spans="1:89" ht="16.8" x14ac:dyDescent="0.3">
      <c r="A119" s="2" t="s">
        <v>203</v>
      </c>
    </row>
    <row r="120" spans="1:89" ht="16.8" x14ac:dyDescent="0.3">
      <c r="A120" s="2" t="s">
        <v>204</v>
      </c>
    </row>
    <row r="121" spans="1:89" x14ac:dyDescent="0.3">
      <c r="A121" s="5" t="s">
        <v>205</v>
      </c>
    </row>
    <row r="122" spans="1:89" x14ac:dyDescent="0.3">
      <c r="A122" s="3"/>
    </row>
  </sheetData>
  <mergeCells count="4">
    <mergeCell ref="B5:B6"/>
    <mergeCell ref="C5:CC5"/>
    <mergeCell ref="CD5:CK5"/>
    <mergeCell ref="A5:A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681-0B74-44CB-B19A-2CF3BC088AD1}">
  <dimension ref="A1:CA93"/>
  <sheetViews>
    <sheetView topLeftCell="A44" workbookViewId="0">
      <selection activeCell="C71" sqref="C71"/>
    </sheetView>
  </sheetViews>
  <sheetFormatPr defaultRowHeight="14.4" x14ac:dyDescent="0.3"/>
  <cols>
    <col min="1" max="1" width="35" customWidth="1"/>
    <col min="2" max="79" width="14" customWidth="1"/>
  </cols>
  <sheetData>
    <row r="1" spans="1:79" ht="15.6" x14ac:dyDescent="0.3">
      <c r="A1" s="1" t="s">
        <v>0</v>
      </c>
    </row>
    <row r="2" spans="1:79" x14ac:dyDescent="0.3">
      <c r="A2" s="2" t="s">
        <v>1</v>
      </c>
    </row>
    <row r="3" spans="1:79" x14ac:dyDescent="0.3">
      <c r="A3" s="4" t="s">
        <v>215</v>
      </c>
    </row>
    <row r="5" spans="1:79" ht="171.6" x14ac:dyDescent="0.3">
      <c r="A5" s="6" t="s">
        <v>3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9" t="s">
        <v>43</v>
      </c>
      <c r="AL5" s="9" t="s">
        <v>44</v>
      </c>
      <c r="AM5" s="9" t="s">
        <v>45</v>
      </c>
      <c r="AN5" s="9" t="s">
        <v>46</v>
      </c>
      <c r="AO5" s="9" t="s">
        <v>47</v>
      </c>
      <c r="AP5" s="9" t="s">
        <v>48</v>
      </c>
      <c r="AQ5" s="9" t="s">
        <v>49</v>
      </c>
      <c r="AR5" s="9" t="s">
        <v>50</v>
      </c>
      <c r="AS5" s="9" t="s">
        <v>51</v>
      </c>
      <c r="AT5" s="9" t="s">
        <v>52</v>
      </c>
      <c r="AU5" s="9" t="s">
        <v>53</v>
      </c>
      <c r="AV5" s="9" t="s">
        <v>54</v>
      </c>
      <c r="AW5" s="9" t="s">
        <v>55</v>
      </c>
      <c r="AX5" s="9" t="s">
        <v>56</v>
      </c>
      <c r="AY5" s="9" t="s">
        <v>57</v>
      </c>
      <c r="AZ5" s="9" t="s">
        <v>58</v>
      </c>
      <c r="BA5" s="9" t="s">
        <v>59</v>
      </c>
      <c r="BB5" s="9" t="s">
        <v>60</v>
      </c>
      <c r="BC5" s="9" t="s">
        <v>61</v>
      </c>
      <c r="BD5" s="9" t="s">
        <v>62</v>
      </c>
      <c r="BE5" s="9" t="s">
        <v>63</v>
      </c>
      <c r="BF5" s="9" t="s">
        <v>64</v>
      </c>
      <c r="BG5" s="9" t="s">
        <v>65</v>
      </c>
      <c r="BH5" s="9" t="s">
        <v>66</v>
      </c>
      <c r="BI5" s="9" t="s">
        <v>67</v>
      </c>
      <c r="BJ5" s="9" t="s">
        <v>68</v>
      </c>
      <c r="BK5" s="9" t="s">
        <v>69</v>
      </c>
      <c r="BL5" s="9" t="s">
        <v>70</v>
      </c>
      <c r="BM5" s="9" t="s">
        <v>71</v>
      </c>
      <c r="BN5" s="9" t="s">
        <v>72</v>
      </c>
      <c r="BO5" s="9" t="s">
        <v>73</v>
      </c>
      <c r="BP5" s="9" t="s">
        <v>74</v>
      </c>
      <c r="BQ5" s="9" t="s">
        <v>75</v>
      </c>
      <c r="BR5" s="9" t="s">
        <v>76</v>
      </c>
      <c r="BS5" s="9" t="s">
        <v>77</v>
      </c>
      <c r="BT5" s="9" t="s">
        <v>78</v>
      </c>
      <c r="BU5" s="9" t="s">
        <v>79</v>
      </c>
      <c r="BV5" s="9" t="s">
        <v>80</v>
      </c>
      <c r="BW5" s="9" t="s">
        <v>81</v>
      </c>
      <c r="BX5" s="9" t="s">
        <v>82</v>
      </c>
      <c r="BY5" s="9" t="s">
        <v>83</v>
      </c>
      <c r="BZ5" s="9" t="s">
        <v>84</v>
      </c>
      <c r="CA5" s="9" t="s">
        <v>85</v>
      </c>
    </row>
    <row r="6" spans="1:79" x14ac:dyDescent="0.3">
      <c r="A6" s="8" t="s">
        <v>93</v>
      </c>
      <c r="B6" s="15">
        <f>Domestic!E7/Domestic!E$96</f>
        <v>1.9041663473049635E-2</v>
      </c>
      <c r="C6" s="15">
        <f>Domestic!F7/Domestic!F$96</f>
        <v>0.11379988485742218</v>
      </c>
      <c r="D6" s="15">
        <f>Domestic!G7/Domestic!G$96</f>
        <v>6.1249440861971868E-3</v>
      </c>
      <c r="E6" s="15">
        <f>Domestic!H7/Domestic!H$96</f>
        <v>5.1679192878265946E-4</v>
      </c>
      <c r="F6" s="15">
        <f>Domestic!I7/Domestic!I$96</f>
        <v>3.0232558139534887E-2</v>
      </c>
      <c r="G6" s="15">
        <f>Domestic!J7/Domestic!J$96</f>
        <v>0</v>
      </c>
      <c r="H6" s="15">
        <f>Domestic!K7/Domestic!K$96</f>
        <v>0</v>
      </c>
      <c r="I6" s="15">
        <f>Domestic!L7/Domestic!L$96</f>
        <v>0</v>
      </c>
      <c r="J6" s="15">
        <f>Domestic!M7/Domestic!M$96</f>
        <v>0</v>
      </c>
      <c r="K6" s="15">
        <f>Domestic!N7/Domestic!N$96</f>
        <v>1.6611391916813355E-5</v>
      </c>
      <c r="L6" s="15">
        <f>Domestic!O7/Domestic!O$96</f>
        <v>2.3882351386359411E-3</v>
      </c>
      <c r="M6" s="15">
        <f>Domestic!P7/Domestic!P$96</f>
        <v>2.7039775628069496E-5</v>
      </c>
      <c r="N6" s="15">
        <f>Domestic!Q7/Domestic!Q$96</f>
        <v>7.3765619188315687E-2</v>
      </c>
      <c r="O6" s="15">
        <f>Domestic!R7/Domestic!R$96</f>
        <v>5.535307120263943E-2</v>
      </c>
      <c r="P6" s="15">
        <f>Domestic!S7/Domestic!S$96</f>
        <v>0.11208536979362357</v>
      </c>
      <c r="Q6" s="15">
        <f>Domestic!T7/Domestic!T$96</f>
        <v>0</v>
      </c>
      <c r="R6" s="15">
        <f>Domestic!U7/Domestic!U$96</f>
        <v>2.743412001958094E-3</v>
      </c>
      <c r="S6" s="15">
        <f>Domestic!V7/Domestic!V$96</f>
        <v>1.7924720069290557E-6</v>
      </c>
      <c r="T6" s="15">
        <f>Domestic!W7/Domestic!W$96</f>
        <v>4.7115248067223512E-3</v>
      </c>
      <c r="U6" s="15">
        <f>Domestic!X7/Domestic!X$96</f>
        <v>1.8150126985180056E-5</v>
      </c>
      <c r="V6" s="15">
        <f>Domestic!Y7/Domestic!Y$96</f>
        <v>0</v>
      </c>
      <c r="W6" s="15">
        <f>Domestic!Z7/Domestic!Z$96</f>
        <v>0</v>
      </c>
      <c r="X6" s="15">
        <f>Domestic!AA7/Domestic!AA$96</f>
        <v>1.1899323842477112E-3</v>
      </c>
      <c r="Y6" s="15">
        <f>Domestic!AB7/Domestic!AB$96</f>
        <v>6.2024858562080673E-4</v>
      </c>
      <c r="Z6" s="15">
        <f>Domestic!AC7/Domestic!AC$96</f>
        <v>5.4080575705219129E-6</v>
      </c>
      <c r="AA6" s="15">
        <f>Domestic!AD7/Domestic!AD$96</f>
        <v>0</v>
      </c>
      <c r="AB6" s="15">
        <f>Domestic!AE7/Domestic!AE$96</f>
        <v>0</v>
      </c>
      <c r="AC6" s="15">
        <f>Domestic!AF7/Domestic!AF$96</f>
        <v>0</v>
      </c>
      <c r="AD6" s="15">
        <f>Domestic!AG7/Domestic!AG$96</f>
        <v>0</v>
      </c>
      <c r="AE6" s="15">
        <f>Domestic!AH7/Domestic!AH$96</f>
        <v>0</v>
      </c>
      <c r="AF6" s="15">
        <f>Domestic!AI7/Domestic!AI$96</f>
        <v>0</v>
      </c>
      <c r="AG6" s="15">
        <f>Domestic!AJ7/Domestic!AJ$96</f>
        <v>0</v>
      </c>
      <c r="AH6" s="15">
        <f>Domestic!AK7/Domestic!AK$96</f>
        <v>3.6687945082221866E-4</v>
      </c>
      <c r="AI6" s="15">
        <f>Domestic!AL7/Domestic!AL$96</f>
        <v>0</v>
      </c>
      <c r="AJ6" s="15">
        <f>Domestic!AM7/Domestic!AM$96</f>
        <v>4.8784061707855063E-8</v>
      </c>
      <c r="AK6" s="15">
        <f>Domestic!AN7/Domestic!AN$96</f>
        <v>0</v>
      </c>
      <c r="AL6" s="15">
        <f>Domestic!AO7/Domestic!AO$96</f>
        <v>0</v>
      </c>
      <c r="AM6" s="15">
        <f>Domestic!AP7/Domestic!AP$96</f>
        <v>0</v>
      </c>
      <c r="AN6" s="15">
        <f>Domestic!AQ7/Domestic!AQ$96</f>
        <v>0</v>
      </c>
      <c r="AO6" s="15">
        <f>Domestic!AR7/Domestic!AR$96</f>
        <v>0</v>
      </c>
      <c r="AP6" s="15">
        <f>Domestic!AS7/Domestic!AS$96</f>
        <v>0</v>
      </c>
      <c r="AQ6" s="15">
        <f>Domestic!AT7/Domestic!AT$96</f>
        <v>0</v>
      </c>
      <c r="AR6" s="15">
        <f>Domestic!AU7/Domestic!AU$96</f>
        <v>0</v>
      </c>
      <c r="AS6" s="15">
        <f>Domestic!AV7/Domestic!AV$96</f>
        <v>0</v>
      </c>
      <c r="AT6" s="15">
        <f>Domestic!AW7/Domestic!AW$96</f>
        <v>0</v>
      </c>
      <c r="AU6" s="15">
        <f>Domestic!AX7/Domestic!AX$96</f>
        <v>0</v>
      </c>
      <c r="AV6" s="15">
        <f>Domestic!AY7/Domestic!AY$96</f>
        <v>0</v>
      </c>
      <c r="AW6" s="15">
        <f>Domestic!AZ7/Domestic!AZ$96</f>
        <v>0</v>
      </c>
      <c r="AX6" s="15">
        <f>Domestic!BA7/Domestic!BA$96</f>
        <v>5.5217905426261355E-8</v>
      </c>
      <c r="AY6" s="15">
        <f>Domestic!BB7/Domestic!BB$96</f>
        <v>0</v>
      </c>
      <c r="AZ6" s="15">
        <f>Domestic!BC7/Domestic!BC$96</f>
        <v>0</v>
      </c>
      <c r="BA6" s="15">
        <f>Domestic!BD7/Domestic!BD$96</f>
        <v>3.4303916924146149E-7</v>
      </c>
      <c r="BB6" s="15">
        <f>Domestic!BE7/Domestic!BE$96</f>
        <v>0</v>
      </c>
      <c r="BC6" s="15">
        <f>Domestic!BF7/Domestic!BF$96</f>
        <v>0</v>
      </c>
      <c r="BD6" s="15">
        <f>Domestic!BG7/Domestic!BG$96</f>
        <v>0</v>
      </c>
      <c r="BE6" s="15">
        <f>Domestic!BH7/Domestic!BH$96</f>
        <v>0</v>
      </c>
      <c r="BF6" s="15">
        <f>Domestic!BI7/Domestic!BI$96</f>
        <v>6.2957990487576486E-9</v>
      </c>
      <c r="BG6" s="15">
        <f>Domestic!BJ7/Domestic!BJ$96</f>
        <v>0</v>
      </c>
      <c r="BH6" s="15">
        <f>Domestic!BK7/Domestic!BK$96</f>
        <v>0</v>
      </c>
      <c r="BI6" s="15">
        <f>Domestic!BL7/Domestic!BL$96</f>
        <v>1.128280881418555E-6</v>
      </c>
      <c r="BJ6" s="15">
        <f>Domestic!BM7/Domestic!BM$96</f>
        <v>0</v>
      </c>
      <c r="BK6" s="15">
        <f>Domestic!BN7/Domestic!BN$96</f>
        <v>1.9346503879848799E-6</v>
      </c>
      <c r="BL6" s="15">
        <f>Domestic!BO7/Domestic!BO$96</f>
        <v>0</v>
      </c>
      <c r="BM6" s="15">
        <f>Domestic!BP7/Domestic!BP$96</f>
        <v>2.6908200745536681E-6</v>
      </c>
      <c r="BN6" s="15">
        <f>Domestic!BQ7/Domestic!BQ$96</f>
        <v>2.840999622200495E-7</v>
      </c>
      <c r="BO6" s="15">
        <f>Domestic!BR7/Domestic!BR$96</f>
        <v>1.2339953490396096E-3</v>
      </c>
      <c r="BP6" s="15">
        <f>Domestic!BS7/Domestic!BS$96</f>
        <v>1.0726203787825843E-2</v>
      </c>
      <c r="BQ6" s="15">
        <f>Domestic!BT7/Domestic!BT$96</f>
        <v>7.6923403210928049E-3</v>
      </c>
      <c r="BR6" s="15">
        <f>Domestic!BU7/Domestic!BU$96</f>
        <v>0</v>
      </c>
      <c r="BS6" s="15">
        <f>Domestic!BV7/Domestic!BV$96</f>
        <v>0</v>
      </c>
      <c r="BT6" s="15">
        <f>Domestic!BW7/Domestic!BW$96</f>
        <v>8.5161709311726577E-7</v>
      </c>
      <c r="BU6" s="15">
        <f>Domestic!BX7/Domestic!BX$96</f>
        <v>2.5358750064510872E-2</v>
      </c>
      <c r="BV6" s="15">
        <f>Domestic!BY7/Domestic!BY$96</f>
        <v>4.1714719959633738E-2</v>
      </c>
      <c r="BW6" s="15">
        <f>Domestic!BZ7/Domestic!BZ$96</f>
        <v>4.8265608423252204E-9</v>
      </c>
      <c r="BX6" s="15">
        <f>Domestic!CA7/Domestic!CA$96</f>
        <v>5.8694673874204306E-5</v>
      </c>
      <c r="BY6" s="15">
        <f>Domestic!CB7/Domestic!CB$96</f>
        <v>2.4420747606539749E-3</v>
      </c>
      <c r="BZ6" s="15">
        <f>Domestic!CC7/Domestic!CC$96</f>
        <v>0</v>
      </c>
      <c r="CA6" s="15">
        <f>Domestic!CD7/Domestic!CD$96</f>
        <v>3.1286294447571826E-5</v>
      </c>
    </row>
    <row r="7" spans="1:79" x14ac:dyDescent="0.3">
      <c r="A7" s="7" t="s">
        <v>95</v>
      </c>
      <c r="B7" s="15">
        <f>Domestic!E8/Domestic!E$96</f>
        <v>7.3783822381358437E-3</v>
      </c>
      <c r="C7" s="15">
        <f>Domestic!F8/Domestic!F$96</f>
        <v>2.323782423993781E-2</v>
      </c>
      <c r="D7" s="15">
        <f>Domestic!G8/Domestic!G$96</f>
        <v>0</v>
      </c>
      <c r="E7" s="15">
        <f>Domestic!H8/Domestic!H$96</f>
        <v>0</v>
      </c>
      <c r="F7" s="15">
        <f>Domestic!I8/Domestic!I$96</f>
        <v>0</v>
      </c>
      <c r="G7" s="15">
        <f>Domestic!J8/Domestic!J$96</f>
        <v>9.0239145749321984E-9</v>
      </c>
      <c r="H7" s="15">
        <f>Domestic!K8/Domestic!K$96</f>
        <v>2.3712810490886927E-9</v>
      </c>
      <c r="I7" s="15">
        <f>Domestic!L8/Domestic!L$96</f>
        <v>7.846512434790005E-8</v>
      </c>
      <c r="J7" s="15">
        <f>Domestic!M8/Domestic!M$96</f>
        <v>2.7180009637813979E-9</v>
      </c>
      <c r="K7" s="15">
        <f>Domestic!N8/Domestic!N$96</f>
        <v>2.9611696957329093E-4</v>
      </c>
      <c r="L7" s="15">
        <f>Domestic!O8/Domestic!O$96</f>
        <v>1.7600139863383456E-8</v>
      </c>
      <c r="M7" s="15">
        <f>Domestic!P8/Domestic!P$96</f>
        <v>3.6092407706439081E-8</v>
      </c>
      <c r="N7" s="15">
        <f>Domestic!Q8/Domestic!Q$96</f>
        <v>0.14535202076684481</v>
      </c>
      <c r="O7" s="15">
        <f>Domestic!R8/Domestic!R$96</f>
        <v>7.210749695161086E-6</v>
      </c>
      <c r="P7" s="15">
        <f>Domestic!S8/Domestic!S$96</f>
        <v>5.9721432005091233E-3</v>
      </c>
      <c r="Q7" s="15">
        <f>Domestic!T8/Domestic!T$96</f>
        <v>0</v>
      </c>
      <c r="R7" s="15">
        <f>Domestic!U8/Domestic!U$96</f>
        <v>5.7667658871415893E-9</v>
      </c>
      <c r="S7" s="15">
        <f>Domestic!V8/Domestic!V$96</f>
        <v>0</v>
      </c>
      <c r="T7" s="15">
        <f>Domestic!W8/Domestic!W$96</f>
        <v>0</v>
      </c>
      <c r="U7" s="15">
        <f>Domestic!X8/Domestic!X$96</f>
        <v>3.4492829694374871E-9</v>
      </c>
      <c r="V7" s="15">
        <f>Domestic!Y8/Domestic!Y$96</f>
        <v>1.1643073433737376E-8</v>
      </c>
      <c r="W7" s="15">
        <f>Domestic!Z8/Domestic!Z$96</f>
        <v>0</v>
      </c>
      <c r="X7" s="15">
        <f>Domestic!AA8/Domestic!AA$96</f>
        <v>2.5776869423528343E-4</v>
      </c>
      <c r="Y7" s="15">
        <f>Domestic!AB8/Domestic!AB$96</f>
        <v>3.6344962123851882E-9</v>
      </c>
      <c r="Z7" s="15">
        <f>Domestic!AC8/Domestic!AC$96</f>
        <v>0</v>
      </c>
      <c r="AA7" s="15">
        <f>Domestic!AD8/Domestic!AD$96</f>
        <v>1.1354530146584678E-9</v>
      </c>
      <c r="AB7" s="15">
        <f>Domestic!AE8/Domestic!AE$96</f>
        <v>1.9497540732292845E-9</v>
      </c>
      <c r="AC7" s="15">
        <f>Domestic!AF8/Domestic!AF$96</f>
        <v>1.6639347105032066E-9</v>
      </c>
      <c r="AD7" s="15">
        <f>Domestic!AG8/Domestic!AG$96</f>
        <v>1.0433267348081824E-9</v>
      </c>
      <c r="AE7" s="15">
        <f>Domestic!AH8/Domestic!AH$96</f>
        <v>0</v>
      </c>
      <c r="AF7" s="15">
        <f>Domestic!AI8/Domestic!AI$96</f>
        <v>5.1578149599227531E-9</v>
      </c>
      <c r="AG7" s="15">
        <f>Domestic!AJ8/Domestic!AJ$96</f>
        <v>7.2461350637258455E-9</v>
      </c>
      <c r="AH7" s="15">
        <f>Domestic!AK8/Domestic!AK$96</f>
        <v>3.8648793927202157E-4</v>
      </c>
      <c r="AI7" s="15">
        <f>Domestic!AL8/Domestic!AL$96</f>
        <v>9.3286041774063721E-9</v>
      </c>
      <c r="AJ7" s="15">
        <f>Domestic!AM8/Domestic!AM$96</f>
        <v>1.522339514287676E-8</v>
      </c>
      <c r="AK7" s="15">
        <f>Domestic!AN8/Domestic!AN$96</f>
        <v>4.3587915177289398E-9</v>
      </c>
      <c r="AL7" s="15">
        <f>Domestic!AO8/Domestic!AO$96</f>
        <v>0</v>
      </c>
      <c r="AM7" s="15">
        <f>Domestic!AP8/Domestic!AP$96</f>
        <v>0</v>
      </c>
      <c r="AN7" s="15">
        <f>Domestic!AQ8/Domestic!AQ$96</f>
        <v>0</v>
      </c>
      <c r="AO7" s="15">
        <f>Domestic!AR8/Domestic!AR$96</f>
        <v>5.4819639657790376E-9</v>
      </c>
      <c r="AP7" s="15">
        <f>Domestic!AS8/Domestic!AS$96</f>
        <v>0</v>
      </c>
      <c r="AQ7" s="15">
        <f>Domestic!AT8/Domestic!AT$96</f>
        <v>0</v>
      </c>
      <c r="AR7" s="15">
        <f>Domestic!AU8/Domestic!AU$96</f>
        <v>4.2695776487678398E-9</v>
      </c>
      <c r="AS7" s="15">
        <f>Domestic!AV8/Domestic!AV$96</f>
        <v>0</v>
      </c>
      <c r="AT7" s="15">
        <f>Domestic!AW8/Domestic!AW$96</f>
        <v>0</v>
      </c>
      <c r="AU7" s="15">
        <f>Domestic!AX8/Domestic!AX$96</f>
        <v>3.0578212907106475E-8</v>
      </c>
      <c r="AV7" s="15">
        <f>Domestic!AY8/Domestic!AY$96</f>
        <v>0</v>
      </c>
      <c r="AW7" s="15">
        <f>Domestic!AZ8/Domestic!AZ$96</f>
        <v>1.983273833465601E-7</v>
      </c>
      <c r="AX7" s="15">
        <f>Domestic!BA8/Domestic!BA$96</f>
        <v>1.2479246626335066E-6</v>
      </c>
      <c r="AY7" s="15">
        <f>Domestic!BB8/Domestic!BB$96</f>
        <v>3.0654695797754017E-8</v>
      </c>
      <c r="AZ7" s="15">
        <f>Domestic!BC8/Domestic!BC$96</f>
        <v>0</v>
      </c>
      <c r="BA7" s="15">
        <f>Domestic!BD8/Domestic!BD$96</f>
        <v>1.2692449261934075E-5</v>
      </c>
      <c r="BB7" s="15">
        <f>Domestic!BE8/Domestic!BE$96</f>
        <v>0</v>
      </c>
      <c r="BC7" s="15">
        <f>Domestic!BF8/Domestic!BF$96</f>
        <v>1.1696399733537299E-8</v>
      </c>
      <c r="BD7" s="15">
        <f>Domestic!BG8/Domestic!BG$96</f>
        <v>0</v>
      </c>
      <c r="BE7" s="15">
        <f>Domestic!BH8/Domestic!BH$96</f>
        <v>5.7028978419949418E-9</v>
      </c>
      <c r="BF7" s="15">
        <f>Domestic!BI8/Domestic!BI$96</f>
        <v>1.7718177322932239E-7</v>
      </c>
      <c r="BG7" s="15">
        <f>Domestic!BJ8/Domestic!BJ$96</f>
        <v>0</v>
      </c>
      <c r="BH7" s="15">
        <f>Domestic!BK8/Domestic!BK$96</f>
        <v>0</v>
      </c>
      <c r="BI7" s="15">
        <f>Domestic!BL8/Domestic!BL$96</f>
        <v>3.4138604581499394E-9</v>
      </c>
      <c r="BJ7" s="15">
        <f>Domestic!BM8/Domestic!BM$96</f>
        <v>9.3561034632164307E-9</v>
      </c>
      <c r="BK7" s="15">
        <f>Domestic!BN8/Domestic!BN$96</f>
        <v>5.2269396953570915E-5</v>
      </c>
      <c r="BL7" s="15">
        <f>Domestic!BO8/Domestic!BO$96</f>
        <v>0</v>
      </c>
      <c r="BM7" s="15">
        <f>Domestic!BP8/Domestic!BP$96</f>
        <v>7.5535233591189365E-8</v>
      </c>
      <c r="BN7" s="15">
        <f>Domestic!BQ8/Domestic!BQ$96</f>
        <v>7.7916524292033383E-6</v>
      </c>
      <c r="BO7" s="15">
        <f>Domestic!BR8/Domestic!BR$96</f>
        <v>6.1925805065110118E-4</v>
      </c>
      <c r="BP7" s="15">
        <f>Domestic!BS8/Domestic!BS$96</f>
        <v>4.5912974351806557E-3</v>
      </c>
      <c r="BQ7" s="15">
        <f>Domestic!BT8/Domestic!BT$96</f>
        <v>8.6658201249216612E-4</v>
      </c>
      <c r="BR7" s="15">
        <f>Domestic!BU8/Domestic!BU$96</f>
        <v>0</v>
      </c>
      <c r="BS7" s="15">
        <f>Domestic!BV8/Domestic!BV$96</f>
        <v>0</v>
      </c>
      <c r="BT7" s="15">
        <f>Domestic!BW8/Domestic!BW$96</f>
        <v>2.3103870785040173E-5</v>
      </c>
      <c r="BU7" s="15">
        <f>Domestic!BX8/Domestic!BX$96</f>
        <v>4.9296681047215116E-9</v>
      </c>
      <c r="BV7" s="15">
        <f>Domestic!BY8/Domestic!BY$96</f>
        <v>2.4306082791749548E-3</v>
      </c>
      <c r="BW7" s="15">
        <f>Domestic!BZ8/Domestic!BZ$96</f>
        <v>2.2202179874696012E-7</v>
      </c>
      <c r="BX7" s="15">
        <f>Domestic!CA8/Domestic!CA$96</f>
        <v>1.4118593761381968E-5</v>
      </c>
      <c r="BY7" s="15">
        <f>Domestic!CB8/Domestic!CB$96</f>
        <v>1.2048204964448398E-8</v>
      </c>
      <c r="BZ7" s="15">
        <f>Domestic!CC8/Domestic!CC$96</f>
        <v>0</v>
      </c>
      <c r="CA7" s="15">
        <f>Domestic!CD8/Domestic!CD$96</f>
        <v>2.5261511915056894E-6</v>
      </c>
    </row>
    <row r="8" spans="1:79" x14ac:dyDescent="0.3">
      <c r="A8" s="8" t="s">
        <v>96</v>
      </c>
      <c r="B8" s="15">
        <f>Domestic!E9/Domestic!E$96</f>
        <v>0</v>
      </c>
      <c r="C8" s="15">
        <f>Domestic!F9/Domestic!F$96</f>
        <v>0</v>
      </c>
      <c r="D8" s="15">
        <f>Domestic!G9/Domestic!G$96</f>
        <v>4.381040490178683E-2</v>
      </c>
      <c r="E8" s="15">
        <f>Domestic!H9/Domestic!H$96</f>
        <v>0</v>
      </c>
      <c r="F8" s="15">
        <f>Domestic!I9/Domestic!I$96</f>
        <v>5.483954142598202E-6</v>
      </c>
      <c r="G8" s="15">
        <f>Domestic!J9/Domestic!J$96</f>
        <v>0</v>
      </c>
      <c r="H8" s="15">
        <f>Domestic!K9/Domestic!K$96</f>
        <v>1.5911295839385129E-6</v>
      </c>
      <c r="I8" s="15">
        <f>Domestic!L9/Domestic!L$96</f>
        <v>0</v>
      </c>
      <c r="J8" s="15">
        <f>Domestic!M9/Domestic!M$96</f>
        <v>0</v>
      </c>
      <c r="K8" s="15">
        <f>Domestic!N9/Domestic!N$96</f>
        <v>0</v>
      </c>
      <c r="L8" s="15">
        <f>Domestic!O9/Domestic!O$96</f>
        <v>0</v>
      </c>
      <c r="M8" s="15">
        <f>Domestic!P9/Domestic!P$96</f>
        <v>0</v>
      </c>
      <c r="N8" s="15">
        <f>Domestic!Q9/Domestic!Q$96</f>
        <v>3.167835906845301E-4</v>
      </c>
      <c r="O8" s="15">
        <f>Domestic!R9/Domestic!R$96</f>
        <v>0</v>
      </c>
      <c r="P8" s="15">
        <f>Domestic!S9/Domestic!S$96</f>
        <v>0</v>
      </c>
      <c r="Q8" s="15">
        <f>Domestic!T9/Domestic!T$96</f>
        <v>0</v>
      </c>
      <c r="R8" s="15">
        <f>Domestic!U9/Domestic!U$96</f>
        <v>0</v>
      </c>
      <c r="S8" s="15">
        <f>Domestic!V9/Domestic!V$96</f>
        <v>1.3889283918591666E-3</v>
      </c>
      <c r="T8" s="15">
        <f>Domestic!W9/Domestic!W$96</f>
        <v>0.17273883592602293</v>
      </c>
      <c r="U8" s="15">
        <f>Domestic!X9/Domestic!X$96</f>
        <v>4.0439428026514792E-3</v>
      </c>
      <c r="V8" s="15">
        <f>Domestic!Y9/Domestic!Y$96</f>
        <v>0</v>
      </c>
      <c r="W8" s="15">
        <f>Domestic!Z9/Domestic!Z$96</f>
        <v>0</v>
      </c>
      <c r="X8" s="15">
        <f>Domestic!AA9/Domestic!AA$96</f>
        <v>3.0286404296654195E-3</v>
      </c>
      <c r="Y8" s="15">
        <f>Domestic!AB9/Domestic!AB$96</f>
        <v>1.2126950924649729E-3</v>
      </c>
      <c r="Z8" s="15">
        <f>Domestic!AC9/Domestic!AC$96</f>
        <v>1.6496837324205899E-4</v>
      </c>
      <c r="AA8" s="15">
        <f>Domestic!AD9/Domestic!AD$96</f>
        <v>0</v>
      </c>
      <c r="AB8" s="15">
        <f>Domestic!AE9/Domestic!AE$96</f>
        <v>0</v>
      </c>
      <c r="AC8" s="15">
        <f>Domestic!AF9/Domestic!AF$96</f>
        <v>0</v>
      </c>
      <c r="AD8" s="15">
        <f>Domestic!AG9/Domestic!AG$96</f>
        <v>0</v>
      </c>
      <c r="AE8" s="15">
        <f>Domestic!AH9/Domestic!AH$96</f>
        <v>0</v>
      </c>
      <c r="AF8" s="15">
        <f>Domestic!AI9/Domestic!AI$96</f>
        <v>0</v>
      </c>
      <c r="AG8" s="15">
        <f>Domestic!AJ9/Domestic!AJ$96</f>
        <v>4.5173275523474566E-3</v>
      </c>
      <c r="AH8" s="15">
        <f>Domestic!AK9/Domestic!AK$96</f>
        <v>1.5624568548462277E-3</v>
      </c>
      <c r="AI8" s="15">
        <f>Domestic!AL9/Domestic!AL$96</f>
        <v>0</v>
      </c>
      <c r="AJ8" s="15">
        <f>Domestic!AM9/Domestic!AM$96</f>
        <v>0</v>
      </c>
      <c r="AK8" s="15">
        <f>Domestic!AN9/Domestic!AN$96</f>
        <v>0</v>
      </c>
      <c r="AL8" s="15">
        <f>Domestic!AO9/Domestic!AO$96</f>
        <v>0</v>
      </c>
      <c r="AM8" s="15">
        <f>Domestic!AP9/Domestic!AP$96</f>
        <v>0</v>
      </c>
      <c r="AN8" s="15">
        <f>Domestic!AQ9/Domestic!AQ$96</f>
        <v>0</v>
      </c>
      <c r="AO8" s="15">
        <f>Domestic!AR9/Domestic!AR$96</f>
        <v>0</v>
      </c>
      <c r="AP8" s="15">
        <f>Domestic!AS9/Domestic!AS$96</f>
        <v>0</v>
      </c>
      <c r="AQ8" s="15">
        <f>Domestic!AT9/Domestic!AT$96</f>
        <v>0</v>
      </c>
      <c r="AR8" s="15">
        <f>Domestic!AU9/Domestic!AU$96</f>
        <v>0</v>
      </c>
      <c r="AS8" s="15">
        <f>Domestic!AV9/Domestic!AV$96</f>
        <v>0</v>
      </c>
      <c r="AT8" s="15">
        <f>Domestic!AW9/Domestic!AW$96</f>
        <v>0</v>
      </c>
      <c r="AU8" s="15">
        <f>Domestic!AX9/Domestic!AX$96</f>
        <v>0</v>
      </c>
      <c r="AV8" s="15">
        <f>Domestic!AY9/Domestic!AY$96</f>
        <v>0</v>
      </c>
      <c r="AW8" s="15">
        <f>Domestic!AZ9/Domestic!AZ$96</f>
        <v>0</v>
      </c>
      <c r="AX8" s="15">
        <f>Domestic!BA9/Domestic!BA$96</f>
        <v>0</v>
      </c>
      <c r="AY8" s="15">
        <f>Domestic!BB9/Domestic!BB$96</f>
        <v>0</v>
      </c>
      <c r="AZ8" s="15">
        <f>Domestic!BC9/Domestic!BC$96</f>
        <v>0</v>
      </c>
      <c r="BA8" s="15">
        <f>Domestic!BD9/Domestic!BD$96</f>
        <v>0</v>
      </c>
      <c r="BB8" s="15">
        <f>Domestic!BE9/Domestic!BE$96</f>
        <v>0</v>
      </c>
      <c r="BC8" s="15">
        <f>Domestic!BF9/Domestic!BF$96</f>
        <v>0</v>
      </c>
      <c r="BD8" s="15">
        <f>Domestic!BG9/Domestic!BG$96</f>
        <v>0</v>
      </c>
      <c r="BE8" s="15">
        <f>Domestic!BH9/Domestic!BH$96</f>
        <v>0</v>
      </c>
      <c r="BF8" s="15">
        <f>Domestic!BI9/Domestic!BI$96</f>
        <v>0</v>
      </c>
      <c r="BG8" s="15">
        <f>Domestic!BJ9/Domestic!BJ$96</f>
        <v>0</v>
      </c>
      <c r="BH8" s="15">
        <f>Domestic!BK9/Domestic!BK$96</f>
        <v>0</v>
      </c>
      <c r="BI8" s="15">
        <f>Domestic!BL9/Domestic!BL$96</f>
        <v>1.3655441832599758E-8</v>
      </c>
      <c r="BJ8" s="15">
        <f>Domestic!BM9/Domestic!BM$96</f>
        <v>0</v>
      </c>
      <c r="BK8" s="15">
        <f>Domestic!BN9/Domestic!BN$96</f>
        <v>0</v>
      </c>
      <c r="BL8" s="15">
        <f>Domestic!BO9/Domestic!BO$96</f>
        <v>0</v>
      </c>
      <c r="BM8" s="15">
        <f>Domestic!BP9/Domestic!BP$96</f>
        <v>9.8097705962583605E-9</v>
      </c>
      <c r="BN8" s="15">
        <f>Domestic!BQ9/Domestic!BQ$96</f>
        <v>0</v>
      </c>
      <c r="BO8" s="15">
        <f>Domestic!BR9/Domestic!BR$96</f>
        <v>0</v>
      </c>
      <c r="BP8" s="15">
        <f>Domestic!BS9/Domestic!BS$96</f>
        <v>0</v>
      </c>
      <c r="BQ8" s="15">
        <f>Domestic!BT9/Domestic!BT$96</f>
        <v>0</v>
      </c>
      <c r="BR8" s="15">
        <f>Domestic!BU9/Domestic!BU$96</f>
        <v>0</v>
      </c>
      <c r="BS8" s="15">
        <f>Domestic!BV9/Domestic!BV$96</f>
        <v>0</v>
      </c>
      <c r="BT8" s="15">
        <f>Domestic!BW9/Domestic!BW$96</f>
        <v>0</v>
      </c>
      <c r="BU8" s="15">
        <f>Domestic!BX9/Domestic!BX$96</f>
        <v>0</v>
      </c>
      <c r="BV8" s="15">
        <f>Domestic!BY9/Domestic!BY$96</f>
        <v>0</v>
      </c>
      <c r="BW8" s="15">
        <f>Domestic!BZ9/Domestic!BZ$96</f>
        <v>0</v>
      </c>
      <c r="BX8" s="15">
        <f>Domestic!CA9/Domestic!CA$96</f>
        <v>0</v>
      </c>
      <c r="BY8" s="15">
        <f>Domestic!CB9/Domestic!CB$96</f>
        <v>0</v>
      </c>
      <c r="BZ8" s="15">
        <f>Domestic!CC9/Domestic!CC$96</f>
        <v>0</v>
      </c>
      <c r="CA8" s="15">
        <f>Domestic!CD9/Domestic!CD$96</f>
        <v>0</v>
      </c>
    </row>
    <row r="9" spans="1:79" x14ac:dyDescent="0.3">
      <c r="A9" s="7" t="s">
        <v>97</v>
      </c>
      <c r="B9" s="15">
        <f>Domestic!E10/Domestic!E$96</f>
        <v>0</v>
      </c>
      <c r="C9" s="15">
        <f>Domestic!F10/Domestic!F$96</f>
        <v>6.4585246704905118E-8</v>
      </c>
      <c r="D9" s="15">
        <f>Domestic!G10/Domestic!G$96</f>
        <v>5.8970742013236855E-7</v>
      </c>
      <c r="E9" s="15">
        <f>Domestic!H10/Domestic!H$96</f>
        <v>7.030581571570698E-4</v>
      </c>
      <c r="F9" s="15">
        <f>Domestic!I10/Domestic!I$96</f>
        <v>6.734680525997792E-7</v>
      </c>
      <c r="G9" s="15">
        <f>Domestic!J10/Domestic!J$96</f>
        <v>2.4138971487943633E-6</v>
      </c>
      <c r="H9" s="15">
        <f>Domestic!K10/Domestic!K$96</f>
        <v>8.2283452403377635E-7</v>
      </c>
      <c r="I9" s="15">
        <f>Domestic!L10/Domestic!L$96</f>
        <v>2.0937110680164662E-5</v>
      </c>
      <c r="J9" s="15">
        <f>Domestic!M10/Domestic!M$96</f>
        <v>5.1098418119090276E-7</v>
      </c>
      <c r="K9" s="15">
        <f>Domestic!N10/Domestic!N$96</f>
        <v>2.6407534884891777E-6</v>
      </c>
      <c r="L9" s="15">
        <f>Domestic!O10/Domestic!O$96</f>
        <v>4.0726723643869315E-6</v>
      </c>
      <c r="M9" s="15">
        <f>Domestic!P10/Domestic!P$96</f>
        <v>8.2914103885610508E-6</v>
      </c>
      <c r="N9" s="15">
        <f>Domestic!Q10/Domestic!Q$96</f>
        <v>2.0329177250094396E-3</v>
      </c>
      <c r="O9" s="15">
        <f>Domestic!R10/Domestic!R$96</f>
        <v>3.188500014591696E-7</v>
      </c>
      <c r="P9" s="15">
        <f>Domestic!S10/Domestic!S$96</f>
        <v>6.0745911807728577E-7</v>
      </c>
      <c r="Q9" s="15">
        <f>Domestic!T10/Domestic!T$96</f>
        <v>1.185192208546421E-6</v>
      </c>
      <c r="R9" s="15">
        <f>Domestic!U10/Domestic!U$96</f>
        <v>1.0034172643626363E-6</v>
      </c>
      <c r="S9" s="15">
        <f>Domestic!V10/Domestic!V$96</f>
        <v>4.9856837278821426E-7</v>
      </c>
      <c r="T9" s="15">
        <f>Domestic!W10/Domestic!W$96</f>
        <v>5.46922446743064E-7</v>
      </c>
      <c r="U9" s="15">
        <f>Domestic!X10/Domestic!X$96</f>
        <v>2.9280963127554829E-5</v>
      </c>
      <c r="V9" s="15">
        <f>Domestic!Y10/Domestic!Y$96</f>
        <v>1.4204549589159599E-6</v>
      </c>
      <c r="W9" s="15">
        <f>Domestic!Z10/Domestic!Z$96</f>
        <v>1.6011286820407024E-8</v>
      </c>
      <c r="X9" s="15">
        <f>Domestic!AA10/Domestic!AA$96</f>
        <v>3.9495653225728663E-7</v>
      </c>
      <c r="Y9" s="15">
        <f>Domestic!AB10/Domestic!AB$96</f>
        <v>5.9969187504355604E-7</v>
      </c>
      <c r="Z9" s="15">
        <f>Domestic!AC10/Domestic!AC$96</f>
        <v>4.2972948167251266E-7</v>
      </c>
      <c r="AA9" s="15">
        <f>Domestic!AD10/Domestic!AD$96</f>
        <v>2.588832873421307E-7</v>
      </c>
      <c r="AB9" s="15">
        <f>Domestic!AE10/Domestic!AE$96</f>
        <v>5.9857450048139033E-7</v>
      </c>
      <c r="AC9" s="15">
        <f>Domestic!AF10/Domestic!AF$96</f>
        <v>4.6756565365140106E-7</v>
      </c>
      <c r="AD9" s="15">
        <f>Domestic!AG10/Domestic!AG$96</f>
        <v>3.2708293136236517E-7</v>
      </c>
      <c r="AE9" s="15">
        <f>Domestic!AH10/Domestic!AH$96</f>
        <v>2.442116916170349E-7</v>
      </c>
      <c r="AF9" s="15">
        <f>Domestic!AI10/Domestic!AI$96</f>
        <v>1.0885445667798877E-6</v>
      </c>
      <c r="AG9" s="15">
        <f>Domestic!AJ10/Domestic!AJ$96</f>
        <v>9.7098209853926328E-7</v>
      </c>
      <c r="AH9" s="15">
        <f>Domestic!AK10/Domestic!AK$96</f>
        <v>2.8894398053140452E-7</v>
      </c>
      <c r="AI9" s="15">
        <f>Domestic!AL10/Domestic!AL$96</f>
        <v>1.4248579121342178E-6</v>
      </c>
      <c r="AJ9" s="15">
        <f>Domestic!AM10/Domestic!AM$96</f>
        <v>2.244066838561333E-6</v>
      </c>
      <c r="AK9" s="15">
        <f>Domestic!AN10/Domestic!AN$96</f>
        <v>4.5331431784380974E-7</v>
      </c>
      <c r="AL9" s="15">
        <f>Domestic!AO10/Domestic!AO$96</f>
        <v>5.906875797923475E-7</v>
      </c>
      <c r="AM9" s="15">
        <f>Domestic!AP10/Domestic!AP$96</f>
        <v>6.2250662751680993E-7</v>
      </c>
      <c r="AN9" s="15">
        <f>Domestic!AQ10/Domestic!AQ$96</f>
        <v>5.0478928327351793E-8</v>
      </c>
      <c r="AO9" s="15">
        <f>Domestic!AR10/Domestic!AR$96</f>
        <v>8.4833392370430611E-7</v>
      </c>
      <c r="AP9" s="15">
        <f>Domestic!AS10/Domestic!AS$96</f>
        <v>3.0864734567719528E-7</v>
      </c>
      <c r="AQ9" s="15">
        <f>Domestic!AT10/Domestic!AT$96</f>
        <v>6.1778364351906856E-7</v>
      </c>
      <c r="AR9" s="15">
        <f>Domestic!AU10/Domestic!AU$96</f>
        <v>8.5818510740233585E-7</v>
      </c>
      <c r="AS9" s="15">
        <f>Domestic!AV10/Domestic!AV$96</f>
        <v>8.1674240250903263E-7</v>
      </c>
      <c r="AT9" s="15">
        <f>Domestic!AW10/Domestic!AW$96</f>
        <v>4.3283804613529838E-7</v>
      </c>
      <c r="AU9" s="15">
        <f>Domestic!AX10/Domestic!AX$96</f>
        <v>3.5929400165850108E-6</v>
      </c>
      <c r="AV9" s="15">
        <f>Domestic!AY10/Domestic!AY$96</f>
        <v>8.9387188559623476E-7</v>
      </c>
      <c r="AW9" s="15">
        <f>Domestic!AZ10/Domestic!AZ$96</f>
        <v>6.5589698921040951E-6</v>
      </c>
      <c r="AX9" s="15">
        <f>Domestic!BA10/Domestic!BA$96</f>
        <v>1.3694040545712816E-6</v>
      </c>
      <c r="AY9" s="15">
        <f>Domestic!BB10/Domestic!BB$96</f>
        <v>4.101160373513805E-6</v>
      </c>
      <c r="AZ9" s="15">
        <f>Domestic!BC10/Domestic!BC$96</f>
        <v>8.9073561474972074E-7</v>
      </c>
      <c r="BA9" s="15">
        <f>Domestic!BD10/Domestic!BD$96</f>
        <v>4.4595092001389987E-6</v>
      </c>
      <c r="BB9" s="15">
        <f>Domestic!BE10/Domestic!BE$96</f>
        <v>4.6363422375367824E-8</v>
      </c>
      <c r="BC9" s="15">
        <f>Domestic!BF10/Domestic!BF$96</f>
        <v>1.8182585040317075E-6</v>
      </c>
      <c r="BD9" s="15">
        <f>Domestic!BG10/Domestic!BG$96</f>
        <v>2.0802767600201532E-6</v>
      </c>
      <c r="BE9" s="15">
        <f>Domestic!BH10/Domestic!BH$96</f>
        <v>6.5583325182941832E-7</v>
      </c>
      <c r="BF9" s="15">
        <f>Domestic!BI10/Domestic!BI$96</f>
        <v>2.7161875896068713E-7</v>
      </c>
      <c r="BG9" s="15">
        <f>Domestic!BJ10/Domestic!BJ$96</f>
        <v>1.2744761665843494E-6</v>
      </c>
      <c r="BH9" s="15">
        <f>Domestic!BK10/Domestic!BK$96</f>
        <v>4.0021546800366382E-8</v>
      </c>
      <c r="BI9" s="15">
        <f>Domestic!BL10/Domestic!BL$96</f>
        <v>1.2665422299736276E-6</v>
      </c>
      <c r="BJ9" s="15">
        <f>Domestic!BM10/Domestic!BM$96</f>
        <v>1.2303276054129605E-6</v>
      </c>
      <c r="BK9" s="15">
        <f>Domestic!BN10/Domestic!BN$96</f>
        <v>7.2250832390793354E-7</v>
      </c>
      <c r="BL9" s="15">
        <f>Domestic!BO10/Domestic!BO$96</f>
        <v>5.4761312259407155E-7</v>
      </c>
      <c r="BM9" s="15">
        <f>Domestic!BP10/Domestic!BP$96</f>
        <v>1.6637370931254177E-6</v>
      </c>
      <c r="BN9" s="15">
        <f>Domestic!BQ10/Domestic!BQ$96</f>
        <v>4.5962310719560477E-6</v>
      </c>
      <c r="BO9" s="15">
        <f>Domestic!BR10/Domestic!BR$96</f>
        <v>1.4865733091072163E-6</v>
      </c>
      <c r="BP9" s="15">
        <f>Domestic!BS10/Domestic!BS$96</f>
        <v>6.1150324970298413E-6</v>
      </c>
      <c r="BQ9" s="15">
        <f>Domestic!BT10/Domestic!BT$96</f>
        <v>5.3021775807671876E-6</v>
      </c>
      <c r="BR9" s="15">
        <f>Domestic!BU10/Domestic!BU$96</f>
        <v>1.1720435516958658E-6</v>
      </c>
      <c r="BS9" s="15">
        <f>Domestic!BV10/Domestic!BV$96</f>
        <v>3.597290239464573E-5</v>
      </c>
      <c r="BT9" s="15">
        <f>Domestic!BW10/Domestic!BW$96</f>
        <v>3.4265064217188811E-6</v>
      </c>
      <c r="BU9" s="15">
        <f>Domestic!BX10/Domestic!BX$96</f>
        <v>1.6201970434680339E-3</v>
      </c>
      <c r="BV9" s="15">
        <f>Domestic!BY10/Domestic!BY$96</f>
        <v>1.0814151286481395E-3</v>
      </c>
      <c r="BW9" s="15">
        <f>Domestic!BZ10/Domestic!BZ$96</f>
        <v>2.350535130212382E-6</v>
      </c>
      <c r="BX9" s="15">
        <f>Domestic!CA10/Domestic!CA$96</f>
        <v>2.6858453572698735E-6</v>
      </c>
      <c r="BY9" s="15">
        <f>Domestic!CB10/Domestic!CB$96</f>
        <v>2.939762011325409E-6</v>
      </c>
      <c r="BZ9" s="15">
        <f>Domestic!CC10/Domestic!CC$96</f>
        <v>0</v>
      </c>
      <c r="CA9" s="15">
        <f>Domestic!CD10/Domestic!CD$96</f>
        <v>4.2329687137446041E-6</v>
      </c>
    </row>
    <row r="10" spans="1:79" x14ac:dyDescent="0.3">
      <c r="A10" s="8" t="s">
        <v>98</v>
      </c>
      <c r="B10" s="15">
        <f>Domestic!E11/Domestic!E$96</f>
        <v>5.6527394854931617E-3</v>
      </c>
      <c r="C10" s="15">
        <f>Domestic!F11/Domestic!F$96</f>
        <v>1.472751508634668E-3</v>
      </c>
      <c r="D10" s="15">
        <f>Domestic!G11/Domestic!G$96</f>
        <v>2.6827871862127794E-3</v>
      </c>
      <c r="E10" s="15">
        <f>Domestic!H11/Domestic!H$96</f>
        <v>8.4527170427069415E-4</v>
      </c>
      <c r="F10" s="15">
        <f>Domestic!I11/Domestic!I$96</f>
        <v>2.5110737389791767E-5</v>
      </c>
      <c r="G10" s="15">
        <f>Domestic!J11/Domestic!J$96</f>
        <v>1.8047829149864397E-8</v>
      </c>
      <c r="H10" s="15">
        <f>Domestic!K11/Domestic!K$96</f>
        <v>7.1138431472660784E-9</v>
      </c>
      <c r="I10" s="15">
        <f>Domestic!L11/Domestic!L$96</f>
        <v>6.5387603623250048E-9</v>
      </c>
      <c r="J10" s="15">
        <f>Domestic!M11/Domestic!M$96</f>
        <v>6.7950024094534946E-9</v>
      </c>
      <c r="K10" s="15">
        <f>Domestic!N11/Domestic!N$96</f>
        <v>1.0763940849820019E-7</v>
      </c>
      <c r="L10" s="15">
        <f>Domestic!O11/Domestic!O$96</f>
        <v>3.6960293713105258E-8</v>
      </c>
      <c r="M10" s="15">
        <f>Domestic!P11/Domestic!P$96</f>
        <v>1.9686767839875864E-8</v>
      </c>
      <c r="N10" s="15">
        <f>Domestic!Q11/Domestic!Q$96</f>
        <v>1.7167225759389235E-3</v>
      </c>
      <c r="O10" s="15">
        <f>Domestic!R11/Domestic!R$96</f>
        <v>2.5852702821013754E-8</v>
      </c>
      <c r="P10" s="15">
        <f>Domestic!S11/Domestic!S$96</f>
        <v>5.340527458169631E-3</v>
      </c>
      <c r="Q10" s="15">
        <f>Domestic!T11/Domestic!T$96</f>
        <v>4.2328293162372177E-8</v>
      </c>
      <c r="R10" s="15">
        <f>Domestic!U11/Domestic!U$96</f>
        <v>1.2972397530783876E-3</v>
      </c>
      <c r="S10" s="15">
        <f>Domestic!V11/Domestic!V$96</f>
        <v>1.1870675542576528E-8</v>
      </c>
      <c r="T10" s="15">
        <f>Domestic!W11/Domestic!W$96</f>
        <v>2.2323365173186287E-8</v>
      </c>
      <c r="U10" s="15">
        <f>Domestic!X11/Domestic!X$96</f>
        <v>3.4492829694374871E-8</v>
      </c>
      <c r="V10" s="15">
        <f>Domestic!Y11/Domestic!Y$96</f>
        <v>3.4929220301212128E-8</v>
      </c>
      <c r="W10" s="15">
        <f>Domestic!Z11/Domestic!Z$96</f>
        <v>1.4009875967856145E-8</v>
      </c>
      <c r="X10" s="15">
        <f>Domestic!AA11/Domestic!AA$96</f>
        <v>3.7614907834027302E-8</v>
      </c>
      <c r="Y10" s="15">
        <f>Domestic!AB11/Domestic!AB$96</f>
        <v>2.9075969699081506E-8</v>
      </c>
      <c r="Z10" s="15">
        <f>Domestic!AC11/Domestic!AC$96</f>
        <v>2.5130379045176177E-8</v>
      </c>
      <c r="AA10" s="15">
        <f>Domestic!AD11/Domestic!AD$96</f>
        <v>2.4979966322486293E-8</v>
      </c>
      <c r="AB10" s="15">
        <f>Domestic!AE11/Domestic!AE$96</f>
        <v>2.924631109843927E-8</v>
      </c>
      <c r="AC10" s="15">
        <f>Domestic!AF11/Domestic!AF$96</f>
        <v>2.4959020657548095E-8</v>
      </c>
      <c r="AD10" s="15">
        <f>Domestic!AG11/Domestic!AG$96</f>
        <v>1.1476594082890006E-8</v>
      </c>
      <c r="AE10" s="15">
        <f>Domestic!AH11/Domestic!AH$96</f>
        <v>1.9668055700700801E-8</v>
      </c>
      <c r="AF10" s="15">
        <f>Domestic!AI11/Domestic!AI$96</f>
        <v>3.831519684514045E-8</v>
      </c>
      <c r="AG10" s="15">
        <f>Domestic!AJ11/Domestic!AJ$96</f>
        <v>2.8984540254903382E-8</v>
      </c>
      <c r="AH10" s="15">
        <f>Domestic!AK11/Domestic!AK$96</f>
        <v>1.7910115434465686E-6</v>
      </c>
      <c r="AI10" s="15">
        <f>Domestic!AL11/Domestic!AL$96</f>
        <v>2.4185270089572081E-8</v>
      </c>
      <c r="AJ10" s="15">
        <f>Domestic!AM11/Domestic!AM$96</f>
        <v>1.6953326409112755E-8</v>
      </c>
      <c r="AK10" s="15">
        <f>Domestic!AN11/Domestic!AN$96</f>
        <v>1.7435166070915759E-8</v>
      </c>
      <c r="AL10" s="15">
        <f>Domestic!AO11/Domestic!AO$96</f>
        <v>1.4407014141276767E-8</v>
      </c>
      <c r="AM10" s="15">
        <f>Domestic!AP11/Domestic!AP$96</f>
        <v>0</v>
      </c>
      <c r="AN10" s="15">
        <f>Domestic!AQ11/Domestic!AQ$96</f>
        <v>6.410022644743085E-9</v>
      </c>
      <c r="AO10" s="15">
        <f>Domestic!AR11/Domestic!AR$96</f>
        <v>6.8524549572237974E-9</v>
      </c>
      <c r="AP10" s="15">
        <f>Domestic!AS11/Domestic!AS$96</f>
        <v>0</v>
      </c>
      <c r="AQ10" s="15">
        <f>Domestic!AT11/Domestic!AT$96</f>
        <v>0</v>
      </c>
      <c r="AR10" s="15">
        <f>Domestic!AU11/Domestic!AU$96</f>
        <v>8.5391552975356795E-9</v>
      </c>
      <c r="AS10" s="15">
        <f>Domestic!AV11/Domestic!AV$96</f>
        <v>0</v>
      </c>
      <c r="AT10" s="15">
        <f>Domestic!AW11/Domestic!AW$96</f>
        <v>2.1641902306764921E-8</v>
      </c>
      <c r="AU10" s="15">
        <f>Domestic!AX11/Domestic!AX$96</f>
        <v>0</v>
      </c>
      <c r="AV10" s="15">
        <f>Domestic!AY11/Domestic!AY$96</f>
        <v>0</v>
      </c>
      <c r="AW10" s="15">
        <f>Domestic!AZ11/Domestic!AZ$96</f>
        <v>3.116573166874516E-7</v>
      </c>
      <c r="AX10" s="15">
        <f>Domestic!BA11/Domestic!BA$96</f>
        <v>1.1043581085252271E-8</v>
      </c>
      <c r="AY10" s="15">
        <f>Domestic!BB11/Domestic!BB$96</f>
        <v>1.3137726770466006E-8</v>
      </c>
      <c r="AZ10" s="15">
        <f>Domestic!BC11/Domestic!BC$96</f>
        <v>0</v>
      </c>
      <c r="BA10" s="15">
        <f>Domestic!BD11/Domestic!BD$96</f>
        <v>0</v>
      </c>
      <c r="BB10" s="15">
        <f>Domestic!BE11/Domestic!BE$96</f>
        <v>2.3181711187683912E-8</v>
      </c>
      <c r="BC10" s="15">
        <f>Domestic!BF11/Domestic!BF$96</f>
        <v>1.4142010586913282E-7</v>
      </c>
      <c r="BD10" s="15">
        <f>Domestic!BG11/Domestic!BG$96</f>
        <v>8.0010644616159738E-8</v>
      </c>
      <c r="BE10" s="15">
        <f>Domestic!BH11/Domestic!BH$96</f>
        <v>2.8514489209974709E-9</v>
      </c>
      <c r="BF10" s="15">
        <f>Domestic!BI11/Domestic!BI$96</f>
        <v>7.6448988449200026E-9</v>
      </c>
      <c r="BG10" s="15">
        <f>Domestic!BJ11/Domestic!BJ$96</f>
        <v>2.9638980618240684E-8</v>
      </c>
      <c r="BH10" s="15">
        <f>Domestic!BK11/Domestic!BK$96</f>
        <v>0</v>
      </c>
      <c r="BI10" s="15">
        <f>Domestic!BL11/Domestic!BL$96</f>
        <v>5.9742558017623942E-8</v>
      </c>
      <c r="BJ10" s="15">
        <f>Domestic!BM11/Domestic!BM$96</f>
        <v>4.6780517316082153E-9</v>
      </c>
      <c r="BK10" s="15">
        <f>Domestic!BN11/Domestic!BN$96</f>
        <v>2.1894191633573745E-8</v>
      </c>
      <c r="BL10" s="15">
        <f>Domestic!BO11/Domestic!BO$96</f>
        <v>0</v>
      </c>
      <c r="BM10" s="15">
        <f>Domestic!BP11/Domestic!BP$96</f>
        <v>9.2211843604828579E-8</v>
      </c>
      <c r="BN10" s="15">
        <f>Domestic!BQ11/Domestic!BQ$96</f>
        <v>5.3444547348326144E-8</v>
      </c>
      <c r="BO10" s="15">
        <f>Domestic!BR11/Domestic!BR$96</f>
        <v>7.4110692829392019E-8</v>
      </c>
      <c r="BP10" s="15">
        <f>Domestic!BS11/Domestic!BS$96</f>
        <v>0</v>
      </c>
      <c r="BQ10" s="15">
        <f>Domestic!BT11/Domestic!BT$96</f>
        <v>0</v>
      </c>
      <c r="BR10" s="15">
        <f>Domestic!BU11/Domestic!BU$96</f>
        <v>0</v>
      </c>
      <c r="BS10" s="15">
        <f>Domestic!BV11/Domestic!BV$96</f>
        <v>7.8201961727490716E-8</v>
      </c>
      <c r="BT10" s="15">
        <f>Domestic!BW11/Domestic!BW$96</f>
        <v>2.0038049249818017E-8</v>
      </c>
      <c r="BU10" s="15">
        <f>Domestic!BX11/Domestic!BX$96</f>
        <v>1.2324170261803779E-8</v>
      </c>
      <c r="BV10" s="15">
        <f>Domestic!BY11/Domestic!BY$96</f>
        <v>2.8598374722715638E-8</v>
      </c>
      <c r="BW10" s="15">
        <f>Domestic!BZ11/Domestic!BZ$96</f>
        <v>2.4132804211626099E-8</v>
      </c>
      <c r="BX10" s="15">
        <f>Domestic!CA11/Domestic!CA$96</f>
        <v>4.4764089287831229E-9</v>
      </c>
      <c r="BY10" s="15">
        <f>Domestic!CB11/Domestic!CB$96</f>
        <v>5.5421742836462633E-7</v>
      </c>
      <c r="BZ10" s="15">
        <f>Domestic!CC11/Domestic!CC$96</f>
        <v>0</v>
      </c>
      <c r="CA10" s="15">
        <f>Domestic!CD11/Domestic!CD$96</f>
        <v>4.3263880666890403E-7</v>
      </c>
    </row>
    <row r="11" spans="1:79" x14ac:dyDescent="0.3">
      <c r="A11" s="7" t="s">
        <v>99</v>
      </c>
      <c r="B11" s="15">
        <f>Domestic!E12/Domestic!E$96</f>
        <v>6.4685114837987125E-6</v>
      </c>
      <c r="C11" s="15">
        <f>Domestic!F12/Domestic!F$96</f>
        <v>1.6261354146919393E-5</v>
      </c>
      <c r="D11" s="15">
        <f>Domestic!G12/Domestic!G$96</f>
        <v>4.1279519409265794E-6</v>
      </c>
      <c r="E11" s="15">
        <f>Domestic!H12/Domestic!H$96</f>
        <v>9.4896092043985651E-6</v>
      </c>
      <c r="F11" s="15">
        <f>Domestic!I12/Domestic!I$96</f>
        <v>8.0816166311973508E-6</v>
      </c>
      <c r="G11" s="15">
        <f>Domestic!J12/Domestic!J$96</f>
        <v>4.0912172704098852E-6</v>
      </c>
      <c r="H11" s="15">
        <f>Domestic!K12/Domestic!K$96</f>
        <v>4.1473705548561242E-6</v>
      </c>
      <c r="I11" s="15">
        <f>Domestic!L12/Domestic!L$96</f>
        <v>5.8979618468171538E-6</v>
      </c>
      <c r="J11" s="15">
        <f>Domestic!M12/Domestic!M$96</f>
        <v>4.4072385627715359E-6</v>
      </c>
      <c r="K11" s="15">
        <f>Domestic!N12/Domestic!N$96</f>
        <v>1.6879294444631101E-5</v>
      </c>
      <c r="L11" s="15">
        <f>Domestic!O12/Domestic!O$96</f>
        <v>8.5343078197546389E-6</v>
      </c>
      <c r="M11" s="15">
        <f>Domestic!P12/Domestic!P$96</f>
        <v>8.8459210160508883E-6</v>
      </c>
      <c r="N11" s="15">
        <f>Domestic!Q12/Domestic!Q$96</f>
        <v>1.4261867433890811E-5</v>
      </c>
      <c r="O11" s="15">
        <f>Domestic!R12/Domestic!R$96</f>
        <v>7.415416925827445E-6</v>
      </c>
      <c r="P11" s="15">
        <f>Domestic!S12/Domestic!S$96</f>
        <v>8.6360437953320798E-6</v>
      </c>
      <c r="Q11" s="15">
        <f>Domestic!T12/Domestic!T$96</f>
        <v>1.4264634795719426E-5</v>
      </c>
      <c r="R11" s="15">
        <f>Domestic!U12/Domestic!U$96</f>
        <v>8.2637755162738967E-6</v>
      </c>
      <c r="S11" s="15">
        <f>Domestic!V12/Domestic!V$96</f>
        <v>1.0232522317700968E-5</v>
      </c>
      <c r="T11" s="15">
        <f>Domestic!W12/Domestic!W$96</f>
        <v>1.1730928398509393E-5</v>
      </c>
      <c r="U11" s="15">
        <f>Domestic!X12/Domestic!X$96</f>
        <v>1.7318849789545622E-5</v>
      </c>
      <c r="V11" s="15">
        <f>Domestic!Y12/Domestic!Y$96</f>
        <v>1.576472142928041E-5</v>
      </c>
      <c r="W11" s="15">
        <f>Domestic!Z12/Domestic!Z$96</f>
        <v>0.28103962998532594</v>
      </c>
      <c r="X11" s="15">
        <f>Domestic!AA12/Domestic!AA$96</f>
        <v>9.9700387407578486E-2</v>
      </c>
      <c r="Y11" s="15">
        <f>Domestic!AB12/Domestic!AB$96</f>
        <v>1.5150397461327657E-5</v>
      </c>
      <c r="Z11" s="15">
        <f>Domestic!AC12/Domestic!AC$96</f>
        <v>1.3213553301953634E-5</v>
      </c>
      <c r="AA11" s="15">
        <f>Domestic!AD12/Domestic!AD$96</f>
        <v>1.3834359530598772E-5</v>
      </c>
      <c r="AB11" s="15">
        <f>Domestic!AE12/Domestic!AE$96</f>
        <v>1.4915618660204028E-5</v>
      </c>
      <c r="AC11" s="15">
        <f>Domestic!AF12/Domestic!AF$96</f>
        <v>1.4321486053301097E-5</v>
      </c>
      <c r="AD11" s="15">
        <f>Domestic!AG12/Domestic!AG$96</f>
        <v>6.3048234584458463E-6</v>
      </c>
      <c r="AE11" s="15">
        <f>Domestic!AH12/Domestic!AH$96</f>
        <v>1.0520770795233202E-5</v>
      </c>
      <c r="AF11" s="15">
        <f>Domestic!AI12/Domestic!AI$96</f>
        <v>1.6730723678808475E-5</v>
      </c>
      <c r="AG11" s="15">
        <f>Domestic!AJ12/Domestic!AJ$96</f>
        <v>1.449227012745169E-5</v>
      </c>
      <c r="AH11" s="15">
        <f>Domestic!AK12/Domestic!AK$96</f>
        <v>6.6920308162769565E-6</v>
      </c>
      <c r="AI11" s="15">
        <f>Domestic!AL12/Domestic!AL$96</f>
        <v>1.4442061282058755E-6</v>
      </c>
      <c r="AJ11" s="15">
        <f>Domestic!AM12/Domestic!AM$96</f>
        <v>6.8609074018919578E-7</v>
      </c>
      <c r="AK11" s="15">
        <f>Domestic!AN12/Domestic!AN$96</f>
        <v>8.46913191894733E-6</v>
      </c>
      <c r="AL11" s="15">
        <f>Domestic!AO12/Domestic!AO$96</f>
        <v>3.4720904080477008E-6</v>
      </c>
      <c r="AM11" s="15">
        <f>Domestic!AP12/Domestic!AP$96</f>
        <v>4.7933010318794357E-6</v>
      </c>
      <c r="AN11" s="15">
        <f>Domestic!AQ12/Domestic!AQ$96</f>
        <v>3.4894560772320172E-6</v>
      </c>
      <c r="AO11" s="15">
        <f>Domestic!AR12/Domestic!AR$96</f>
        <v>4.3773482266745616E-6</v>
      </c>
      <c r="AP11" s="15">
        <f>Domestic!AS12/Domestic!AS$96</f>
        <v>4.9383575308351244E-6</v>
      </c>
      <c r="AQ11" s="15">
        <f>Domestic!AT12/Domestic!AT$96</f>
        <v>3.912629742287434E-6</v>
      </c>
      <c r="AR11" s="15">
        <f>Domestic!AU12/Domestic!AU$96</f>
        <v>6.5367233802635629E-6</v>
      </c>
      <c r="AS11" s="15">
        <f>Domestic!AV12/Domestic!AV$96</f>
        <v>8.1674240250903263E-7</v>
      </c>
      <c r="AT11" s="15">
        <f>Domestic!AW12/Domestic!AW$96</f>
        <v>6.3843611804956511E-6</v>
      </c>
      <c r="AU11" s="15">
        <f>Domestic!AX12/Domestic!AX$96</f>
        <v>2.7979064810002427E-6</v>
      </c>
      <c r="AV11" s="15">
        <f>Domestic!AY12/Domestic!AY$96</f>
        <v>2.0343291189431548E-6</v>
      </c>
      <c r="AW11" s="15">
        <f>Domestic!AZ12/Domestic!AZ$96</f>
        <v>2.1957674584797727E-6</v>
      </c>
      <c r="AX11" s="15">
        <f>Domestic!BA12/Domestic!BA$96</f>
        <v>2.2749777035619678E-6</v>
      </c>
      <c r="AY11" s="15">
        <f>Domestic!BB12/Domestic!BB$96</f>
        <v>5.4105538083035839E-6</v>
      </c>
      <c r="AZ11" s="15">
        <f>Domestic!BC12/Domestic!BC$96</f>
        <v>2.5979788763533525E-6</v>
      </c>
      <c r="BA11" s="15">
        <f>Domestic!BD12/Domestic!BD$96</f>
        <v>1.0291175077243844E-6</v>
      </c>
      <c r="BB11" s="15">
        <f>Domestic!BE12/Domestic!BE$96</f>
        <v>3.2222578550880636E-6</v>
      </c>
      <c r="BC11" s="15">
        <f>Domestic!BF12/Domestic!BF$96</f>
        <v>1.3163766245562888E-6</v>
      </c>
      <c r="BD11" s="15">
        <f>Domestic!BG12/Domestic!BG$96</f>
        <v>1.1734894543703426E-6</v>
      </c>
      <c r="BE11" s="15">
        <f>Domestic!BH12/Domestic!BH$96</f>
        <v>2.4237315828478506E-7</v>
      </c>
      <c r="BF11" s="15">
        <f>Domestic!BI12/Domestic!BI$96</f>
        <v>1.0549960405989604E-6</v>
      </c>
      <c r="BG11" s="15">
        <f>Domestic!BJ12/Domestic!BJ$96</f>
        <v>1.2744761665843493E-5</v>
      </c>
      <c r="BH11" s="15">
        <f>Domestic!BK12/Domestic!BK$96</f>
        <v>1.0005386700091596E-7</v>
      </c>
      <c r="BI11" s="15">
        <f>Domestic!BL12/Domestic!BL$96</f>
        <v>3.4445852022732887E-6</v>
      </c>
      <c r="BJ11" s="15">
        <f>Domestic!BM12/Domestic!BM$96</f>
        <v>1.3145325365819086E-6</v>
      </c>
      <c r="BK11" s="15">
        <f>Domestic!BN12/Domestic!BN$96</f>
        <v>3.7011135766027615E-6</v>
      </c>
      <c r="BL11" s="15">
        <f>Domestic!BO12/Domestic!BO$96</f>
        <v>7.6274684932745685E-6</v>
      </c>
      <c r="BM11" s="15">
        <f>Domestic!BP12/Domestic!BP$96</f>
        <v>1.5931067448323576E-6</v>
      </c>
      <c r="BN11" s="15">
        <f>Domestic!BQ12/Domestic!BQ$96</f>
        <v>6.7846446423243503E-6</v>
      </c>
      <c r="BO11" s="15">
        <f>Domestic!BR12/Domestic!BR$96</f>
        <v>9.7520952858441131E-6</v>
      </c>
      <c r="BP11" s="15">
        <f>Domestic!BS12/Domestic!BS$96</f>
        <v>8.9541547277936957E-6</v>
      </c>
      <c r="BQ11" s="15">
        <f>Domestic!BT12/Domestic!BT$96</f>
        <v>8.8664191767273519E-6</v>
      </c>
      <c r="BR11" s="15">
        <f>Domestic!BU12/Domestic!BU$96</f>
        <v>3.2306328668539892E-6</v>
      </c>
      <c r="BS11" s="15">
        <f>Domestic!BV12/Domestic!BV$96</f>
        <v>5.1613294740143877E-6</v>
      </c>
      <c r="BT11" s="15">
        <f>Domestic!BW12/Domestic!BW$96</f>
        <v>7.2938499269337577E-6</v>
      </c>
      <c r="BU11" s="15">
        <f>Domestic!BX12/Domestic!BX$96</f>
        <v>5.7627820144194468E-6</v>
      </c>
      <c r="BV11" s="15">
        <f>Domestic!BY12/Domestic!BY$96</f>
        <v>7.8493005822280197E-6</v>
      </c>
      <c r="BW11" s="15">
        <f>Domestic!BZ12/Domestic!BZ$96</f>
        <v>9.5517639069616102E-6</v>
      </c>
      <c r="BX11" s="15">
        <f>Domestic!CA12/Domestic!CA$96</f>
        <v>3.1200570233618364E-6</v>
      </c>
      <c r="BY11" s="15">
        <f>Domestic!CB12/Domestic!CB$96</f>
        <v>6.0241024822241994E-6</v>
      </c>
      <c r="BZ11" s="15">
        <f>Domestic!CC12/Domestic!CC$96</f>
        <v>0</v>
      </c>
      <c r="CA11" s="15">
        <f>Domestic!CD12/Domestic!CD$96</f>
        <v>2.25737911869014E-6</v>
      </c>
    </row>
    <row r="12" spans="1:79" x14ac:dyDescent="0.3">
      <c r="A12" s="8" t="s">
        <v>100</v>
      </c>
      <c r="B12" s="15">
        <f>Domestic!E13/Domestic!E$96</f>
        <v>7.5139295521311903E-4</v>
      </c>
      <c r="C12" s="15">
        <f>Domestic!F13/Domestic!F$96</f>
        <v>4.0295744563670068E-4</v>
      </c>
      <c r="D12" s="15">
        <f>Domestic!G13/Domestic!G$96</f>
        <v>5.4599969369902826E-4</v>
      </c>
      <c r="E12" s="15">
        <f>Domestic!H13/Domestic!H$96</f>
        <v>5.9423236352864586E-4</v>
      </c>
      <c r="F12" s="15">
        <f>Domestic!I13/Domestic!I$96</f>
        <v>1.9434363803593627E-4</v>
      </c>
      <c r="G12" s="15">
        <f>Domestic!J13/Domestic!J$96</f>
        <v>8.3997755233570126E-4</v>
      </c>
      <c r="H12" s="15">
        <f>Domestic!K13/Domestic!K$96</f>
        <v>9.808410426901228E-3</v>
      </c>
      <c r="I12" s="15">
        <f>Domestic!L13/Domestic!L$96</f>
        <v>2.1631984743868942E-3</v>
      </c>
      <c r="J12" s="15">
        <f>Domestic!M13/Domestic!M$96</f>
        <v>1.4855424527614692E-2</v>
      </c>
      <c r="K12" s="15">
        <f>Domestic!N13/Domestic!N$96</f>
        <v>1.2481807923369391E-2</v>
      </c>
      <c r="L12" s="15">
        <f>Domestic!O13/Domestic!O$96</f>
        <v>2.535974408678553E-2</v>
      </c>
      <c r="M12" s="15">
        <f>Domestic!P13/Domestic!P$96</f>
        <v>1.6239175119965175E-2</v>
      </c>
      <c r="N12" s="15">
        <f>Domestic!Q13/Domestic!Q$96</f>
        <v>3.1681286638671983E-4</v>
      </c>
      <c r="O12" s="15">
        <f>Domestic!R13/Domestic!R$96</f>
        <v>1.7453827535955926E-3</v>
      </c>
      <c r="P12" s="15">
        <f>Domestic!S13/Domestic!S$96</f>
        <v>1.450814860341251E-5</v>
      </c>
      <c r="Q12" s="15">
        <f>Domestic!T13/Domestic!T$96</f>
        <v>4.3428828784593856E-5</v>
      </c>
      <c r="R12" s="15">
        <f>Domestic!U13/Domestic!U$96</f>
        <v>2.5148866033824468E-5</v>
      </c>
      <c r="S12" s="15">
        <f>Domestic!V13/Domestic!V$96</f>
        <v>2.7480613881064662E-5</v>
      </c>
      <c r="T12" s="15">
        <f>Domestic!W13/Domestic!W$96</f>
        <v>2.84846139609857E-5</v>
      </c>
      <c r="U12" s="15">
        <f>Domestic!X13/Domestic!X$96</f>
        <v>6.0830864592405632E-4</v>
      </c>
      <c r="V12" s="15">
        <f>Domestic!Y13/Domestic!Y$96</f>
        <v>7.2105553775135572E-5</v>
      </c>
      <c r="W12" s="15">
        <f>Domestic!Z13/Domestic!Z$96</f>
        <v>7.8893414255617805E-4</v>
      </c>
      <c r="X12" s="15">
        <f>Domestic!AA13/Domestic!AA$96</f>
        <v>4.2207500006022861E-3</v>
      </c>
      <c r="Y12" s="15">
        <f>Domestic!AB13/Domestic!AB$96</f>
        <v>2.1455884940194719E-4</v>
      </c>
      <c r="Z12" s="15">
        <f>Domestic!AC13/Domestic!AC$96</f>
        <v>0.14647051189511562</v>
      </c>
      <c r="AA12" s="15">
        <f>Domestic!AD13/Domestic!AD$96</f>
        <v>0.21678140602944693</v>
      </c>
      <c r="AB12" s="15">
        <f>Domestic!AE13/Domestic!AE$96</f>
        <v>1.2757260398679944E-3</v>
      </c>
      <c r="AC12" s="15">
        <f>Domestic!AF13/Domestic!AF$96</f>
        <v>3.1328562729354368E-5</v>
      </c>
      <c r="AD12" s="15">
        <f>Domestic!AG13/Domestic!AG$96</f>
        <v>2.1905688124032596E-5</v>
      </c>
      <c r="AE12" s="15">
        <f>Domestic!AH13/Domestic!AH$96</f>
        <v>1.2061926859847283E-4</v>
      </c>
      <c r="AF12" s="15">
        <f>Domestic!AI13/Domestic!AI$96</f>
        <v>9.8148552092842427E-5</v>
      </c>
      <c r="AG12" s="15">
        <f>Domestic!AJ13/Domestic!AJ$96</f>
        <v>1.6513941810231202E-5</v>
      </c>
      <c r="AH12" s="15">
        <f>Domestic!AK13/Domestic!AK$96</f>
        <v>1.2621624489421923E-3</v>
      </c>
      <c r="AI12" s="15">
        <f>Domestic!AL13/Domestic!AL$96</f>
        <v>6.2289163115692881E-5</v>
      </c>
      <c r="AJ12" s="15">
        <f>Domestic!AM13/Domestic!AM$96</f>
        <v>6.3354580790854365E-5</v>
      </c>
      <c r="AK12" s="15">
        <f>Domestic!AN13/Domestic!AN$96</f>
        <v>4.6177037338820385E-5</v>
      </c>
      <c r="AL12" s="15">
        <f>Domestic!AO13/Domestic!AO$96</f>
        <v>4.2561201176159828E-4</v>
      </c>
      <c r="AM12" s="15">
        <f>Domestic!AP13/Domestic!AP$96</f>
        <v>4.0151677474834237E-5</v>
      </c>
      <c r="AN12" s="15">
        <f>Domestic!AQ13/Domestic!AQ$96</f>
        <v>1.5296237037150422E-4</v>
      </c>
      <c r="AO12" s="15">
        <f>Domestic!AR13/Domestic!AR$96</f>
        <v>4.9368100592021413E-4</v>
      </c>
      <c r="AP12" s="15">
        <f>Domestic!AS13/Domestic!AS$96</f>
        <v>8.4438197593638689E-4</v>
      </c>
      <c r="AQ12" s="15">
        <f>Domestic!AT13/Domestic!AT$96</f>
        <v>3.9723488278276112E-4</v>
      </c>
      <c r="AR12" s="15">
        <f>Domestic!AU13/Domestic!AU$96</f>
        <v>1.4908511233967543E-4</v>
      </c>
      <c r="AS12" s="15">
        <f>Domestic!AV13/Domestic!AV$96</f>
        <v>5.9213824181904868E-6</v>
      </c>
      <c r="AT12" s="15">
        <f>Domestic!AW13/Domestic!AW$96</f>
        <v>7.5688224937448955E-4</v>
      </c>
      <c r="AU12" s="15">
        <f>Domestic!AX13/Domestic!AX$96</f>
        <v>7.0926164838033473E-5</v>
      </c>
      <c r="AV12" s="15">
        <f>Domestic!AY13/Domestic!AY$96</f>
        <v>3.6402161961694939E-5</v>
      </c>
      <c r="AW12" s="15">
        <f>Domestic!AZ13/Domestic!AZ$96</f>
        <v>2.0444719974696825E-4</v>
      </c>
      <c r="AX12" s="15">
        <f>Domestic!BA13/Domestic!BA$96</f>
        <v>2.1807759569047661E-4</v>
      </c>
      <c r="AY12" s="15">
        <f>Domestic!BB13/Domestic!BB$96</f>
        <v>3.5334791997619684E-4</v>
      </c>
      <c r="AZ12" s="15">
        <f>Domestic!BC13/Domestic!BC$96</f>
        <v>9.7684005750886036E-5</v>
      </c>
      <c r="BA12" s="15">
        <f>Domestic!BD13/Domestic!BD$96</f>
        <v>1.7494997631314535E-4</v>
      </c>
      <c r="BB12" s="15">
        <f>Domestic!BE13/Domestic!BE$96</f>
        <v>7.6499646919356904E-7</v>
      </c>
      <c r="BC12" s="15">
        <f>Domestic!BF13/Domestic!BF$96</f>
        <v>3.6308814700099835E-5</v>
      </c>
      <c r="BD12" s="15">
        <f>Domestic!BG13/Domestic!BG$96</f>
        <v>6.8249079857584267E-5</v>
      </c>
      <c r="BE12" s="15">
        <f>Domestic!BH13/Domestic!BH$96</f>
        <v>1.5126936525891582E-5</v>
      </c>
      <c r="BF12" s="15">
        <f>Domestic!BI13/Domestic!BI$96</f>
        <v>8.5954295913027911E-5</v>
      </c>
      <c r="BG12" s="15">
        <f>Domestic!BJ13/Domestic!BJ$96</f>
        <v>2.2272211985576961E-4</v>
      </c>
      <c r="BH12" s="15">
        <f>Domestic!BK13/Domestic!BK$96</f>
        <v>2.9215729164267459E-6</v>
      </c>
      <c r="BI12" s="15">
        <f>Domestic!BL13/Domestic!BL$96</f>
        <v>1.1123552223812856E-4</v>
      </c>
      <c r="BJ12" s="15">
        <f>Domestic!BM13/Domestic!BM$96</f>
        <v>1.8422167719073151E-5</v>
      </c>
      <c r="BK12" s="15">
        <f>Domestic!BN13/Domestic!BN$96</f>
        <v>5.7549877899377388E-5</v>
      </c>
      <c r="BL12" s="15">
        <f>Domestic!BO13/Domestic!BO$96</f>
        <v>4.6390654528326342E-5</v>
      </c>
      <c r="BM12" s="15">
        <f>Domestic!BP13/Domestic!BP$96</f>
        <v>1.1953794057776586E-4</v>
      </c>
      <c r="BN12" s="15">
        <f>Domestic!BQ13/Domestic!BQ$96</f>
        <v>3.642695961134518E-4</v>
      </c>
      <c r="BO12" s="15">
        <f>Domestic!BR13/Domestic!BR$96</f>
        <v>9.6298126426756168E-5</v>
      </c>
      <c r="BP12" s="15">
        <f>Domestic!BS13/Domestic!BS$96</f>
        <v>5.5035292473268576E-4</v>
      </c>
      <c r="BQ12" s="15">
        <f>Domestic!BT13/Domestic!BT$96</f>
        <v>3.748344984181248E-4</v>
      </c>
      <c r="BR12" s="15">
        <f>Domestic!BU13/Domestic!BU$96</f>
        <v>3.2982507640672124E-5</v>
      </c>
      <c r="BS12" s="15">
        <f>Domestic!BV13/Domestic!BV$96</f>
        <v>1.6797781379065008E-4</v>
      </c>
      <c r="BT12" s="15">
        <f>Domestic!BW13/Domestic!BW$96</f>
        <v>2.2107979737324217E-4</v>
      </c>
      <c r="BU12" s="15">
        <f>Domestic!BX13/Domestic!BX$96</f>
        <v>1.1771800950669734E-4</v>
      </c>
      <c r="BV12" s="15">
        <f>Domestic!BY13/Domestic!BY$96</f>
        <v>1.478555038747547E-4</v>
      </c>
      <c r="BW12" s="15">
        <f>Domestic!BZ13/Domestic!BZ$96</f>
        <v>1.3031714274278095E-5</v>
      </c>
      <c r="BX12" s="15">
        <f>Domestic!CA13/Domestic!CA$96</f>
        <v>9.5871250027748143E-5</v>
      </c>
      <c r="BY12" s="15">
        <f>Domestic!CB13/Domestic!CB$96</f>
        <v>2.3683156498616217E-4</v>
      </c>
      <c r="BZ12" s="15">
        <f>Domestic!CC13/Domestic!CC$96</f>
        <v>0</v>
      </c>
      <c r="CA12" s="15">
        <f>Domestic!CD13/Domestic!CD$96</f>
        <v>3.3834651878711852E-4</v>
      </c>
    </row>
    <row r="13" spans="1:79" x14ac:dyDescent="0.3">
      <c r="A13" s="7" t="s">
        <v>101</v>
      </c>
      <c r="B13" s="15">
        <f>Domestic!E14/Domestic!E$96</f>
        <v>0</v>
      </c>
      <c r="C13" s="15">
        <f>Domestic!F14/Domestic!F$96</f>
        <v>1.4128022716697995E-8</v>
      </c>
      <c r="D13" s="15">
        <f>Domestic!G14/Domestic!G$96</f>
        <v>7.9783945076732214E-7</v>
      </c>
      <c r="E13" s="15">
        <f>Domestic!H14/Domestic!H$96</f>
        <v>4.7883349196506521E-7</v>
      </c>
      <c r="F13" s="15">
        <f>Domestic!I14/Domestic!I$96</f>
        <v>4.8104860899984231E-7</v>
      </c>
      <c r="G13" s="15">
        <f>Domestic!J14/Domestic!J$96</f>
        <v>3.5008784188644304E-3</v>
      </c>
      <c r="H13" s="15">
        <f>Domestic!K14/Domestic!K$96</f>
        <v>7.1178031866180557E-4</v>
      </c>
      <c r="I13" s="15">
        <f>Domestic!L14/Domestic!L$96</f>
        <v>2.871954326340388E-4</v>
      </c>
      <c r="J13" s="15">
        <f>Domestic!M14/Domestic!M$96</f>
        <v>4.8516317203497945E-7</v>
      </c>
      <c r="K13" s="15">
        <f>Domestic!N14/Domestic!N$96</f>
        <v>3.4358499192625503E-6</v>
      </c>
      <c r="L13" s="15">
        <f>Domestic!O14/Domestic!O$96</f>
        <v>5.4366832037991495E-6</v>
      </c>
      <c r="M13" s="15">
        <f>Domestic!P14/Domestic!P$96</f>
        <v>1.0683352681105968E-5</v>
      </c>
      <c r="N13" s="15">
        <f>Domestic!Q14/Domestic!Q$96</f>
        <v>3.7640188529666959E-8</v>
      </c>
      <c r="O13" s="15">
        <f>Domestic!R14/Domestic!R$96</f>
        <v>3.4470270428018338E-8</v>
      </c>
      <c r="P13" s="15">
        <f>Domestic!S14/Domestic!S$96</f>
        <v>7.0870230442350012E-8</v>
      </c>
      <c r="Q13" s="15">
        <f>Domestic!T14/Domestic!T$96</f>
        <v>2.1164146581186089E-7</v>
      </c>
      <c r="R13" s="15">
        <f>Domestic!U14/Domestic!U$96</f>
        <v>1.6723621072710608E-7</v>
      </c>
      <c r="S13" s="15">
        <f>Domestic!V14/Domestic!V$96</f>
        <v>8.3094728798035701E-8</v>
      </c>
      <c r="T13" s="15">
        <f>Domestic!W14/Domestic!W$96</f>
        <v>1.56263556212304E-7</v>
      </c>
      <c r="U13" s="15">
        <f>Domestic!X14/Domestic!X$96</f>
        <v>3.0353690131049884E-7</v>
      </c>
      <c r="V13" s="15">
        <f>Domestic!Y14/Domestic!Y$96</f>
        <v>6.0543981855434355E-7</v>
      </c>
      <c r="W13" s="15">
        <f>Domestic!Z14/Domestic!Z$96</f>
        <v>9.0063488364789496E-9</v>
      </c>
      <c r="X13" s="15">
        <f>Domestic!AA14/Domestic!AA$96</f>
        <v>1.4239929394310335E-7</v>
      </c>
      <c r="Y13" s="15">
        <f>Domestic!AB14/Domestic!AB$96</f>
        <v>1.7263857008829643E-7</v>
      </c>
      <c r="Z13" s="15">
        <f>Domestic!AC14/Domestic!AC$96</f>
        <v>1.6334746379364515E-7</v>
      </c>
      <c r="AA13" s="15">
        <f>Domestic!AD14/Domestic!AD$96</f>
        <v>3.2928137425095564E-7</v>
      </c>
      <c r="AB13" s="15">
        <f>Domestic!AE14/Domestic!AE$96</f>
        <v>2.0862368583553344E-7</v>
      </c>
      <c r="AC13" s="15">
        <f>Domestic!AF14/Domestic!AF$96</f>
        <v>2.4792627186497776E-7</v>
      </c>
      <c r="AD13" s="15">
        <f>Domestic!AG14/Domestic!AG$96</f>
        <v>3.4168950564967977E-7</v>
      </c>
      <c r="AE13" s="15">
        <f>Domestic!AH14/Domestic!AH$96</f>
        <v>1.3603738526318053E-7</v>
      </c>
      <c r="AF13" s="15">
        <f>Domestic!AI14/Domestic!AI$96</f>
        <v>1.0266507872608145E-6</v>
      </c>
      <c r="AG13" s="15">
        <f>Domestic!AJ14/Domestic!AJ$96</f>
        <v>1.449227012745169E-7</v>
      </c>
      <c r="AH13" s="15">
        <f>Domestic!AK14/Domestic!AK$96</f>
        <v>7.9404452665118791E-8</v>
      </c>
      <c r="AI13" s="15">
        <f>Domestic!AL14/Domestic!AL$96</f>
        <v>4.8785144809251101E-7</v>
      </c>
      <c r="AJ13" s="15">
        <f>Domestic!AM14/Domestic!AM$96</f>
        <v>4.8265082327984271E-7</v>
      </c>
      <c r="AK13" s="15">
        <f>Domestic!AN14/Domestic!AN$96</f>
        <v>1.0461099642549456E-7</v>
      </c>
      <c r="AL13" s="15">
        <f>Domestic!AO14/Domestic!AO$96</f>
        <v>5.4746653736851714E-7</v>
      </c>
      <c r="AM13" s="15">
        <f>Domestic!AP14/Domestic!AP$96</f>
        <v>3.7350397651008591E-7</v>
      </c>
      <c r="AN13" s="15">
        <f>Domestic!AQ14/Domestic!AQ$96</f>
        <v>9.6150339671146271E-9</v>
      </c>
      <c r="AO13" s="15">
        <f>Domestic!AR14/Domestic!AR$96</f>
        <v>1.6445891897337114E-8</v>
      </c>
      <c r="AP13" s="15">
        <f>Domestic!AS14/Domestic!AS$96</f>
        <v>3.8580918209649409E-8</v>
      </c>
      <c r="AQ13" s="15">
        <f>Domestic!AT14/Domestic!AT$96</f>
        <v>0</v>
      </c>
      <c r="AR13" s="15">
        <f>Domestic!AU14/Domestic!AU$96</f>
        <v>1.8786141654578496E-7</v>
      </c>
      <c r="AS13" s="15">
        <f>Domestic!AV14/Domestic!AV$96</f>
        <v>0</v>
      </c>
      <c r="AT13" s="15">
        <f>Domestic!AW14/Domestic!AW$96</f>
        <v>4.3283804613529842E-8</v>
      </c>
      <c r="AU13" s="15">
        <f>Domestic!AX14/Domestic!AX$96</f>
        <v>1.1772611969235994E-6</v>
      </c>
      <c r="AV13" s="15">
        <f>Domestic!AY14/Domestic!AY$96</f>
        <v>1.2329267387534272E-7</v>
      </c>
      <c r="AW13" s="15">
        <f>Domestic!AZ14/Domestic!AZ$96</f>
        <v>1.2749617500850292E-6</v>
      </c>
      <c r="AX13" s="15">
        <f>Domestic!BA14/Domestic!BA$96</f>
        <v>3.4235101364282041E-7</v>
      </c>
      <c r="AY13" s="15">
        <f>Domestic!BB14/Domestic!BB$96</f>
        <v>7.4447118365974041E-8</v>
      </c>
      <c r="AZ13" s="15">
        <f>Domestic!BC14/Domestic!BC$96</f>
        <v>2.2268390368743018E-7</v>
      </c>
      <c r="BA13" s="15">
        <f>Domestic!BD14/Domestic!BD$96</f>
        <v>2.0582350154487688E-6</v>
      </c>
      <c r="BB13" s="15">
        <f>Domestic!BE14/Domestic!BE$96</f>
        <v>2.3181711187683912E-8</v>
      </c>
      <c r="BC13" s="15">
        <f>Domestic!BF14/Domestic!BF$96</f>
        <v>6.9859405681218242E-7</v>
      </c>
      <c r="BD13" s="15">
        <f>Domestic!BG14/Domestic!BG$96</f>
        <v>1.1734894543703426E-6</v>
      </c>
      <c r="BE13" s="15">
        <f>Domestic!BH14/Domestic!BH$96</f>
        <v>2.2526446475880021E-7</v>
      </c>
      <c r="BF13" s="15">
        <f>Domestic!BI14/Domestic!BI$96</f>
        <v>9.4886685663418839E-8</v>
      </c>
      <c r="BG13" s="15">
        <f>Domestic!BJ14/Domestic!BJ$96</f>
        <v>2.2229235463680512E-7</v>
      </c>
      <c r="BH13" s="15">
        <f>Domestic!BK14/Domestic!BK$96</f>
        <v>0</v>
      </c>
      <c r="BI13" s="15">
        <f>Domestic!BL14/Domestic!BL$96</f>
        <v>3.9088702245816809E-7</v>
      </c>
      <c r="BJ13" s="15">
        <f>Domestic!BM14/Domestic!BM$96</f>
        <v>1.8712206926432861E-8</v>
      </c>
      <c r="BK13" s="15">
        <f>Domestic!BN14/Domestic!BN$96</f>
        <v>1.3634110244543651E-7</v>
      </c>
      <c r="BL13" s="15">
        <f>Domestic!BO14/Domestic!BO$96</f>
        <v>1.9557611521216841E-7</v>
      </c>
      <c r="BM13" s="15">
        <f>Domestic!BP14/Domestic!BP$96</f>
        <v>1.7863592255786473E-6</v>
      </c>
      <c r="BN13" s="15">
        <f>Domestic!BQ14/Domestic!BQ$96</f>
        <v>4.6215469101736763E-6</v>
      </c>
      <c r="BO13" s="15">
        <f>Domestic!BR14/Domestic!BR$96</f>
        <v>1.5519650968978561E-6</v>
      </c>
      <c r="BP13" s="15">
        <f>Domestic!BS14/Domestic!BS$96</f>
        <v>7.6437906212873019E-6</v>
      </c>
      <c r="BQ13" s="15">
        <f>Domestic!BT14/Domestic!BT$96</f>
        <v>5.8913084230746528E-6</v>
      </c>
      <c r="BR13" s="15">
        <f>Domestic!BU14/Domestic!BU$96</f>
        <v>2.2539299071074344E-7</v>
      </c>
      <c r="BS13" s="15">
        <f>Domestic!BV14/Domestic!BV$96</f>
        <v>1.4076353110948327E-6</v>
      </c>
      <c r="BT13" s="15">
        <f>Domestic!BW14/Domestic!BW$96</f>
        <v>9.2175026549162874E-7</v>
      </c>
      <c r="BU13" s="15">
        <f>Domestic!BX14/Domestic!BX$96</f>
        <v>1.7993288582233514E-7</v>
      </c>
      <c r="BV13" s="15">
        <f>Domestic!BY14/Domestic!BY$96</f>
        <v>3.5652640487652167E-7</v>
      </c>
      <c r="BW13" s="15">
        <f>Domestic!BZ14/Domestic!BZ$96</f>
        <v>1.2549058190045572E-7</v>
      </c>
      <c r="BX13" s="15">
        <f>Domestic!CA14/Domestic!CA$96</f>
        <v>1.13253145898213E-6</v>
      </c>
      <c r="BY13" s="15">
        <f>Domestic!CB14/Domestic!CB$96</f>
        <v>3.5662686694767256E-6</v>
      </c>
      <c r="BZ13" s="15">
        <f>Domestic!CC14/Domestic!CC$96</f>
        <v>0</v>
      </c>
      <c r="CA13" s="15">
        <f>Domestic!CD14/Domestic!CD$96</f>
        <v>5.7766852345313485E-6</v>
      </c>
    </row>
    <row r="14" spans="1:79" x14ac:dyDescent="0.3">
      <c r="A14" s="8" t="s">
        <v>102</v>
      </c>
      <c r="B14" s="15">
        <f>Domestic!E15/Domestic!E$96</f>
        <v>1.5589172718737519E-2</v>
      </c>
      <c r="C14" s="15">
        <f>Domestic!F15/Domestic!F$96</f>
        <v>1.0828848870183639E-2</v>
      </c>
      <c r="D14" s="15">
        <f>Domestic!G15/Domestic!G$96</f>
        <v>3.5911100565754893E-3</v>
      </c>
      <c r="E14" s="15">
        <f>Domestic!H15/Domestic!H$96</f>
        <v>4.1258470183582587E-3</v>
      </c>
      <c r="F14" s="15">
        <f>Domestic!I15/Domestic!I$96</f>
        <v>1.5860076429002997E-2</v>
      </c>
      <c r="G14" s="15">
        <f>Domestic!J15/Domestic!J$96</f>
        <v>3.6380678641578026E-3</v>
      </c>
      <c r="H14" s="15">
        <f>Domestic!K15/Domestic!K$96</f>
        <v>3.2504178475834013E-2</v>
      </c>
      <c r="I14" s="15">
        <f>Domestic!L15/Domestic!L$96</f>
        <v>3.9817225431747316E-2</v>
      </c>
      <c r="J14" s="15">
        <f>Domestic!M15/Domestic!M$96</f>
        <v>1.5919784192028118E-2</v>
      </c>
      <c r="K14" s="15">
        <f>Domestic!N15/Domestic!N$96</f>
        <v>1.1337084820270101E-3</v>
      </c>
      <c r="L14" s="15">
        <f>Domestic!O15/Domestic!O$96</f>
        <v>6.2812628754373183E-3</v>
      </c>
      <c r="M14" s="15">
        <f>Domestic!P15/Domestic!P$96</f>
        <v>5.1701914681557722E-3</v>
      </c>
      <c r="N14" s="15">
        <f>Domestic!Q15/Domestic!Q$96</f>
        <v>1.0299162754648683E-2</v>
      </c>
      <c r="O14" s="15">
        <f>Domestic!R15/Domestic!R$96</f>
        <v>9.9336834653924594E-3</v>
      </c>
      <c r="P14" s="15">
        <f>Domestic!S15/Domestic!S$96</f>
        <v>6.571673964663638E-2</v>
      </c>
      <c r="Q14" s="15">
        <f>Domestic!T15/Domestic!T$96</f>
        <v>2.7129938547783988E-2</v>
      </c>
      <c r="R14" s="15">
        <f>Domestic!U15/Domestic!U$96</f>
        <v>2.5428536879053176E-2</v>
      </c>
      <c r="S14" s="15">
        <f>Domestic!V15/Domestic!V$96</f>
        <v>1.8142582577523467E-2</v>
      </c>
      <c r="T14" s="15">
        <f>Domestic!W15/Domestic!W$96</f>
        <v>1.4465272751842636E-2</v>
      </c>
      <c r="U14" s="15">
        <f>Domestic!X15/Domestic!X$96</f>
        <v>1.941438922268501E-2</v>
      </c>
      <c r="V14" s="15">
        <f>Domestic!Y15/Domestic!Y$96</f>
        <v>1.4327290869298058E-2</v>
      </c>
      <c r="W14" s="15">
        <f>Domestic!Z15/Domestic!Z$96</f>
        <v>1.0720075892378739E-2</v>
      </c>
      <c r="X14" s="15">
        <f>Domestic!AA15/Domestic!AA$96</f>
        <v>1.1737881553646511E-2</v>
      </c>
      <c r="Y14" s="15">
        <f>Domestic!AB15/Domestic!AB$96</f>
        <v>2.2428557902793776E-2</v>
      </c>
      <c r="Z14" s="15">
        <f>Domestic!AC15/Domestic!AC$96</f>
        <v>2.0556828484645333E-2</v>
      </c>
      <c r="AA14" s="15">
        <f>Domestic!AD15/Domestic!AD$96</f>
        <v>3.1263976610503591E-2</v>
      </c>
      <c r="AB14" s="15">
        <f>Domestic!AE15/Domestic!AE$96</f>
        <v>1.283431857916211E-2</v>
      </c>
      <c r="AC14" s="15">
        <f>Domestic!AF15/Domestic!AF$96</f>
        <v>1.3934308413383528E-2</v>
      </c>
      <c r="AD14" s="15">
        <f>Domestic!AG15/Domestic!AG$96</f>
        <v>7.9529296633232462E-3</v>
      </c>
      <c r="AE14" s="15">
        <f>Domestic!AH15/Domestic!AH$96</f>
        <v>6.2686240199877011E-3</v>
      </c>
      <c r="AF14" s="15">
        <f>Domestic!AI15/Domestic!AI$96</f>
        <v>1.0081642205645303E-2</v>
      </c>
      <c r="AG14" s="15">
        <f>Domestic!AJ15/Domestic!AJ$96</f>
        <v>7.1704057061748464E-3</v>
      </c>
      <c r="AH14" s="15">
        <f>Domestic!AK15/Domestic!AK$96</f>
        <v>4.8609134071967812E-3</v>
      </c>
      <c r="AI14" s="15">
        <f>Domestic!AL15/Domestic!AL$96</f>
        <v>5.4061990688551468E-3</v>
      </c>
      <c r="AJ14" s="15">
        <f>Domestic!AM15/Domestic!AM$96</f>
        <v>2.2864712251469379E-2</v>
      </c>
      <c r="AK14" s="15">
        <f>Domestic!AN15/Domestic!AN$96</f>
        <v>4.8118007201665083E-4</v>
      </c>
      <c r="AL14" s="15">
        <f>Domestic!AO15/Domestic!AO$96</f>
        <v>1.3025669625411152E-3</v>
      </c>
      <c r="AM14" s="15">
        <f>Domestic!AP15/Domestic!AP$96</f>
        <v>4.9150322028903484E-3</v>
      </c>
      <c r="AN14" s="15">
        <f>Domestic!AQ15/Domestic!AQ$96</f>
        <v>5.1474725345212633E-4</v>
      </c>
      <c r="AO14" s="15">
        <f>Domestic!AR15/Domestic!AR$96</f>
        <v>2.3552175491086394E-3</v>
      </c>
      <c r="AP14" s="15">
        <f>Domestic!AS15/Domestic!AS$96</f>
        <v>1.3557527563461848E-2</v>
      </c>
      <c r="AQ14" s="15">
        <f>Domestic!AT15/Domestic!AT$96</f>
        <v>3.8016346143351747E-3</v>
      </c>
      <c r="AR14" s="15">
        <f>Domestic!AU15/Domestic!AU$96</f>
        <v>4.3953380584122962E-3</v>
      </c>
      <c r="AS14" s="15">
        <f>Domestic!AV15/Domestic!AV$96</f>
        <v>3.2093892706592437E-3</v>
      </c>
      <c r="AT14" s="15">
        <f>Domestic!AW15/Domestic!AW$96</f>
        <v>2.4840359048681707E-3</v>
      </c>
      <c r="AU14" s="15">
        <f>Domestic!AX15/Domestic!AX$96</f>
        <v>2.835193553819168E-2</v>
      </c>
      <c r="AV14" s="15">
        <f>Domestic!AY15/Domestic!AY$96</f>
        <v>4.614659844143265E-3</v>
      </c>
      <c r="AW14" s="15">
        <f>Domestic!AZ15/Domestic!AZ$96</f>
        <v>8.7389703236078146E-3</v>
      </c>
      <c r="AX14" s="15">
        <f>Domestic!BA15/Domestic!BA$96</f>
        <v>1.0963724950424813E-2</v>
      </c>
      <c r="AY14" s="15">
        <f>Domestic!BB15/Domestic!BB$96</f>
        <v>1.0890868945758341E-2</v>
      </c>
      <c r="AZ14" s="15">
        <f>Domestic!BC15/Domestic!BC$96</f>
        <v>1.9816492133208623E-2</v>
      </c>
      <c r="BA14" s="15">
        <f>Domestic!BD15/Domestic!BD$96</f>
        <v>8.9485197688327633E-3</v>
      </c>
      <c r="BB14" s="15">
        <f>Domestic!BE15/Domestic!BE$96</f>
        <v>7.7948503868587146E-4</v>
      </c>
      <c r="BC14" s="15">
        <f>Domestic!BF15/Domestic!BF$96</f>
        <v>4.0200834243797031E-3</v>
      </c>
      <c r="BD14" s="15">
        <f>Domestic!BG15/Domestic!BG$96</f>
        <v>4.2046660554386824E-3</v>
      </c>
      <c r="BE14" s="15">
        <f>Domestic!BH15/Domestic!BH$96</f>
        <v>4.0279025682715278E-3</v>
      </c>
      <c r="BF14" s="15">
        <f>Domestic!BI15/Domestic!BI$96</f>
        <v>8.2816779960080203E-3</v>
      </c>
      <c r="BG14" s="15">
        <f>Domestic!BJ15/Domestic!BJ$96</f>
        <v>8.7238634577214164E-3</v>
      </c>
      <c r="BH14" s="15">
        <f>Domestic!BK15/Domestic!BK$96</f>
        <v>1.7099205870456537E-4</v>
      </c>
      <c r="BI14" s="15">
        <f>Domestic!BL15/Domestic!BL$96</f>
        <v>6.837482850279959E-3</v>
      </c>
      <c r="BJ14" s="15">
        <f>Domestic!BM15/Domestic!BM$96</f>
        <v>2.3020271546588182E-3</v>
      </c>
      <c r="BK14" s="15">
        <f>Domestic!BN15/Domestic!BN$96</f>
        <v>5.8315458069371729E-3</v>
      </c>
      <c r="BL14" s="15">
        <f>Domestic!BO15/Domestic!BO$96</f>
        <v>4.5567670235513542E-3</v>
      </c>
      <c r="BM14" s="15">
        <f>Domestic!BP15/Domestic!BP$96</f>
        <v>1.1884061303493084E-2</v>
      </c>
      <c r="BN14" s="15">
        <f>Domestic!BQ15/Domestic!BQ$96</f>
        <v>1.1033339887228799E-2</v>
      </c>
      <c r="BO14" s="15">
        <f>Domestic!BR15/Domestic!BR$96</f>
        <v>9.3774591944127579E-3</v>
      </c>
      <c r="BP14" s="15">
        <f>Domestic!BS15/Domestic!BS$96</f>
        <v>3.2204381857572156E-2</v>
      </c>
      <c r="BQ14" s="15">
        <f>Domestic!BT15/Domestic!BT$96</f>
        <v>1.4366721459762541E-2</v>
      </c>
      <c r="BR14" s="15">
        <f>Domestic!BU15/Domestic!BU$96</f>
        <v>5.123678543434762E-3</v>
      </c>
      <c r="BS14" s="15">
        <f>Domestic!BV15/Domestic!BV$96</f>
        <v>1.5565944077933573E-2</v>
      </c>
      <c r="BT14" s="15">
        <f>Domestic!BW15/Domestic!BW$96</f>
        <v>2.1581820640122495E-2</v>
      </c>
      <c r="BU14" s="15">
        <f>Domestic!BX15/Domestic!BX$96</f>
        <v>1.2559653112664168E-2</v>
      </c>
      <c r="BV14" s="15">
        <f>Domestic!BY15/Domestic!BY$96</f>
        <v>9.2277994406123574E-3</v>
      </c>
      <c r="BW14" s="15">
        <f>Domestic!BZ15/Domestic!BZ$96</f>
        <v>9.6073948472302512E-3</v>
      </c>
      <c r="BX14" s="15">
        <f>Domestic!CA15/Domestic!CA$96</f>
        <v>1.2886099614611183E-2</v>
      </c>
      <c r="BY14" s="15">
        <f>Domestic!CB15/Domestic!CB$96</f>
        <v>1.4221062585171773E-2</v>
      </c>
      <c r="BZ14" s="15">
        <f>Domestic!CC15/Domestic!CC$96</f>
        <v>0</v>
      </c>
      <c r="CA14" s="15">
        <f>Domestic!CD15/Domestic!CD$96</f>
        <v>1.2008736979131142E-2</v>
      </c>
    </row>
    <row r="15" spans="1:79" x14ac:dyDescent="0.3">
      <c r="A15" s="7" t="s">
        <v>103</v>
      </c>
      <c r="B15" s="15">
        <f>Domestic!E16/Domestic!E$96</f>
        <v>1.7286463562318319E-5</v>
      </c>
      <c r="C15" s="15">
        <f>Domestic!F16/Domestic!F$96</f>
        <v>3.565509275902668E-5</v>
      </c>
      <c r="D15" s="15">
        <f>Domestic!G16/Domestic!G$96</f>
        <v>5.2345205704690824E-5</v>
      </c>
      <c r="E15" s="15">
        <f>Domestic!H16/Domestic!H$96</f>
        <v>2.6657966407218718E-4</v>
      </c>
      <c r="F15" s="15">
        <f>Domestic!I16/Domestic!I$96</f>
        <v>9.4093107920369142E-5</v>
      </c>
      <c r="G15" s="15">
        <f>Domestic!J16/Domestic!J$96</f>
        <v>4.9823288346844395E-4</v>
      </c>
      <c r="H15" s="15">
        <f>Domestic!K16/Domestic!K$96</f>
        <v>6.1802697982398598E-4</v>
      </c>
      <c r="I15" s="15">
        <f>Domestic!L16/Domestic!L$96</f>
        <v>2.5510188902367523E-3</v>
      </c>
      <c r="J15" s="15">
        <f>Domestic!M16/Domestic!M$96</f>
        <v>6.111262087004646E-4</v>
      </c>
      <c r="K15" s="15">
        <f>Domestic!N16/Domestic!N$96</f>
        <v>7.4518776855225129E-3</v>
      </c>
      <c r="L15" s="15">
        <f>Domestic!O16/Domestic!O$96</f>
        <v>2.0139910446229144E-3</v>
      </c>
      <c r="M15" s="15">
        <f>Domestic!P16/Domestic!P$96</f>
        <v>1.8879479113322018E-3</v>
      </c>
      <c r="N15" s="15">
        <f>Domestic!Q16/Domestic!Q$96</f>
        <v>4.9599731098493144E-5</v>
      </c>
      <c r="O15" s="15">
        <f>Domestic!R16/Domestic!R$96</f>
        <v>3.5241542728845247E-5</v>
      </c>
      <c r="P15" s="15">
        <f>Domestic!S16/Domestic!S$96</f>
        <v>4.5134212473142337E-5</v>
      </c>
      <c r="Q15" s="15">
        <f>Domestic!T16/Domestic!T$96</f>
        <v>7.8836446014918184E-5</v>
      </c>
      <c r="R15" s="15">
        <f>Domestic!U16/Domestic!U$96</f>
        <v>7.1727034104267085E-5</v>
      </c>
      <c r="S15" s="15">
        <f>Domestic!V16/Domestic!V$96</f>
        <v>4.907337269301137E-5</v>
      </c>
      <c r="T15" s="15">
        <f>Domestic!W16/Domestic!W$96</f>
        <v>8.0431084718990195E-5</v>
      </c>
      <c r="U15" s="15">
        <f>Domestic!X16/Domestic!X$96</f>
        <v>1.1695138836174742E-4</v>
      </c>
      <c r="V15" s="15">
        <f>Domestic!Y16/Domestic!Y$96</f>
        <v>3.0337192138946107E-4</v>
      </c>
      <c r="W15" s="15">
        <f>Domestic!Z16/Domestic!Z$96</f>
        <v>1.3010171247006981E-5</v>
      </c>
      <c r="X15" s="15">
        <f>Domestic!AA16/Domestic!AA$96</f>
        <v>3.84924994575169E-4</v>
      </c>
      <c r="Y15" s="15">
        <f>Domestic!AB16/Domestic!AB$96</f>
        <v>1.03942957178004E-4</v>
      </c>
      <c r="Z15" s="15">
        <f>Domestic!AC16/Domestic!AC$96</f>
        <v>8.6194687087049767E-5</v>
      </c>
      <c r="AA15" s="15">
        <f>Domestic!AD16/Domestic!AD$96</f>
        <v>8.3589780033127082E-5</v>
      </c>
      <c r="AB15" s="15">
        <f>Domestic!AE16/Domestic!AE$96</f>
        <v>1.3124379593128284E-4</v>
      </c>
      <c r="AC15" s="15">
        <f>Domestic!AF16/Domestic!AF$96</f>
        <v>7.5266422694902051E-5</v>
      </c>
      <c r="AD15" s="15">
        <f>Domestic!AG16/Domestic!AG$96</f>
        <v>3.9792481665584081E-5</v>
      </c>
      <c r="AE15" s="15">
        <f>Domestic!AH16/Domestic!AH$96</f>
        <v>4.4077751829912215E-5</v>
      </c>
      <c r="AF15" s="15">
        <f>Domestic!AI16/Domestic!AI$96</f>
        <v>2.353397985504106E-4</v>
      </c>
      <c r="AG15" s="15">
        <f>Domestic!AJ16/Domestic!AJ$96</f>
        <v>1.1894530707105975E-4</v>
      </c>
      <c r="AH15" s="15">
        <f>Domestic!AK16/Domestic!AK$96</f>
        <v>2.8040800186990425E-5</v>
      </c>
      <c r="AI15" s="15">
        <f>Domestic!AL16/Domestic!AL$96</f>
        <v>5.8401553700723379E-5</v>
      </c>
      <c r="AJ15" s="15">
        <f>Domestic!AM16/Domestic!AM$96</f>
        <v>7.8721560228828708E-5</v>
      </c>
      <c r="AK15" s="15">
        <f>Domestic!AN16/Domestic!AN$96</f>
        <v>2.6065573276019062E-5</v>
      </c>
      <c r="AL15" s="15">
        <f>Domestic!AO16/Domestic!AO$96</f>
        <v>4.0815071062237083E-5</v>
      </c>
      <c r="AM15" s="15">
        <f>Domestic!AP16/Domestic!AP$96</f>
        <v>3.6790141686243465E-5</v>
      </c>
      <c r="AN15" s="15">
        <f>Domestic!AQ16/Domestic!AQ$96</f>
        <v>5.7994679878313062E-6</v>
      </c>
      <c r="AO15" s="15">
        <f>Domestic!AR16/Domestic!AR$96</f>
        <v>2.8127957108412243E-5</v>
      </c>
      <c r="AP15" s="15">
        <f>Domestic!AS16/Domestic!AS$96</f>
        <v>4.7111159225802892E-3</v>
      </c>
      <c r="AQ15" s="15">
        <f>Domestic!AT16/Domestic!AT$96</f>
        <v>2.100464387964833E-5</v>
      </c>
      <c r="AR15" s="15">
        <f>Domestic!AU16/Domestic!AU$96</f>
        <v>4.1841860957924834E-5</v>
      </c>
      <c r="AS15" s="15">
        <f>Domestic!AV16/Domestic!AV$96</f>
        <v>2.5523200078407272E-5</v>
      </c>
      <c r="AT15" s="15">
        <f>Domestic!AW16/Domestic!AW$96</f>
        <v>2.1793395622912271E-5</v>
      </c>
      <c r="AU15" s="15">
        <f>Domestic!AX16/Domestic!AX$96</f>
        <v>2.7884272349990393E-4</v>
      </c>
      <c r="AV15" s="15">
        <f>Domestic!AY16/Domestic!AY$96</f>
        <v>4.8114965979852498E-5</v>
      </c>
      <c r="AW15" s="15">
        <f>Domestic!AZ16/Domestic!AZ$96</f>
        <v>2.5281074880019369E-4</v>
      </c>
      <c r="AX15" s="15">
        <f>Domestic!BA16/Domestic!BA$96</f>
        <v>1.2930929092721884E-4</v>
      </c>
      <c r="AY15" s="15">
        <f>Domestic!BB16/Domestic!BB$96</f>
        <v>1.262688816120772E-4</v>
      </c>
      <c r="AZ15" s="15">
        <f>Domestic!BC16/Domestic!BC$96</f>
        <v>4.1716117957445256E-5</v>
      </c>
      <c r="BA15" s="15">
        <f>Domestic!BD16/Domestic!BD$96</f>
        <v>4.5006739004479747E-4</v>
      </c>
      <c r="BB15" s="15">
        <f>Domestic!BE16/Domestic!BE$96</f>
        <v>5.239066728416564E-6</v>
      </c>
      <c r="BC15" s="15">
        <f>Domestic!BF16/Domestic!BF$96</f>
        <v>6.7877397580917001E-5</v>
      </c>
      <c r="BD15" s="15">
        <f>Domestic!BG16/Domestic!BG$96</f>
        <v>2.4947318991318604E-4</v>
      </c>
      <c r="BE15" s="15">
        <f>Domestic!BH16/Domestic!BH$96</f>
        <v>3.7165785236281039E-4</v>
      </c>
      <c r="BF15" s="15">
        <f>Domestic!BI16/Domestic!BI$96</f>
        <v>4.5130536081155097E-5</v>
      </c>
      <c r="BG15" s="15">
        <f>Domestic!BJ16/Domestic!BJ$96</f>
        <v>1.0847866906276091E-4</v>
      </c>
      <c r="BH15" s="15">
        <f>Domestic!BK16/Domestic!BK$96</f>
        <v>2.2412066208205175E-6</v>
      </c>
      <c r="BI15" s="15">
        <f>Domestic!BL16/Domestic!BL$96</f>
        <v>1.860212563645902E-4</v>
      </c>
      <c r="BJ15" s="15">
        <f>Domestic!BM16/Domestic!BM$96</f>
        <v>3.4706465796801347E-5</v>
      </c>
      <c r="BK15" s="15">
        <f>Domestic!BN16/Domestic!BN$96</f>
        <v>7.2603129837988127E-4</v>
      </c>
      <c r="BL15" s="15">
        <f>Domestic!BO16/Domestic!BO$96</f>
        <v>1.3393052369729293E-4</v>
      </c>
      <c r="BM15" s="15">
        <f>Domestic!BP16/Domestic!BP$96</f>
        <v>1.7676912321339678E-4</v>
      </c>
      <c r="BN15" s="15">
        <f>Domestic!BQ16/Domestic!BQ$96</f>
        <v>5.275989456808496E-4</v>
      </c>
      <c r="BO15" s="15">
        <f>Domestic!BR16/Domestic!BR$96</f>
        <v>1.1383184445968644E-4</v>
      </c>
      <c r="BP15" s="15">
        <f>Domestic!BS16/Domestic!BS$96</f>
        <v>5.9337654622964567E-4</v>
      </c>
      <c r="BQ15" s="15">
        <f>Domestic!BT16/Domestic!BT$96</f>
        <v>7.0194939860934486E-4</v>
      </c>
      <c r="BR15" s="15">
        <f>Domestic!BU16/Domestic!BU$96</f>
        <v>1.1128403261358439E-4</v>
      </c>
      <c r="BS15" s="15">
        <f>Domestic!BV16/Domestic!BV$96</f>
        <v>1.9691253962982161E-4</v>
      </c>
      <c r="BT15" s="15">
        <f>Domestic!BW16/Domestic!BW$96</f>
        <v>4.9699371651861131E-4</v>
      </c>
      <c r="BU15" s="15">
        <f>Domestic!BX16/Domestic!BX$96</f>
        <v>8.5660377821693341E-5</v>
      </c>
      <c r="BV15" s="15">
        <f>Domestic!BY16/Domestic!BY$96</f>
        <v>1.7465599410656897E-4</v>
      </c>
      <c r="BW15" s="15">
        <f>Domestic!BZ16/Domestic!BZ$96</f>
        <v>1.3249392168266961E-4</v>
      </c>
      <c r="BX15" s="15">
        <f>Domestic!CA16/Domestic!CA$96</f>
        <v>4.2257747928605555E-4</v>
      </c>
      <c r="BY15" s="15">
        <f>Domestic!CB16/Domestic!CB$96</f>
        <v>5.0269930393664496E-4</v>
      </c>
      <c r="BZ15" s="15">
        <f>Domestic!CC16/Domestic!CC$96</f>
        <v>0</v>
      </c>
      <c r="CA15" s="15">
        <f>Domestic!CD16/Domestic!CD$96</f>
        <v>4.5795774851404978E-4</v>
      </c>
    </row>
    <row r="16" spans="1:79" x14ac:dyDescent="0.3">
      <c r="A16" s="8" t="s">
        <v>104</v>
      </c>
      <c r="B16" s="15">
        <f>Domestic!E17/Domestic!E$96</f>
        <v>1.2980956710978446E-5</v>
      </c>
      <c r="C16" s="15">
        <f>Domestic!F17/Domestic!F$96</f>
        <v>2.5775568302135727E-5</v>
      </c>
      <c r="D16" s="15">
        <f>Domestic!G17/Domestic!G$96</f>
        <v>9.1890291525332008E-5</v>
      </c>
      <c r="E16" s="15">
        <f>Domestic!H17/Domestic!H$96</f>
        <v>2.7297862073753852E-4</v>
      </c>
      <c r="F16" s="15">
        <f>Domestic!I17/Domestic!I$96</f>
        <v>1.0640795231076512E-4</v>
      </c>
      <c r="G16" s="15">
        <f>Domestic!J17/Domestic!J$96</f>
        <v>6.4903490389810149E-4</v>
      </c>
      <c r="H16" s="15">
        <f>Domestic!K17/Domestic!K$96</f>
        <v>6.4090272810454459E-4</v>
      </c>
      <c r="I16" s="15">
        <f>Domestic!L17/Domestic!L$96</f>
        <v>3.8973496488394709E-3</v>
      </c>
      <c r="J16" s="15">
        <f>Domestic!M17/Domestic!M$96</f>
        <v>6.0286484477105101E-4</v>
      </c>
      <c r="K16" s="15">
        <f>Domestic!N17/Domestic!N$96</f>
        <v>1.1248806153380444E-3</v>
      </c>
      <c r="L16" s="15">
        <f>Domestic!O17/Domestic!O$96</f>
        <v>5.9270574206657461E-2</v>
      </c>
      <c r="M16" s="15">
        <f>Domestic!P17/Domestic!P$96</f>
        <v>2.3664708960880912E-3</v>
      </c>
      <c r="N16" s="15">
        <f>Domestic!Q17/Domestic!Q$96</f>
        <v>3.397988930731535E-5</v>
      </c>
      <c r="O16" s="15">
        <f>Domestic!R17/Domestic!R$96</f>
        <v>2.5587712617098364E-5</v>
      </c>
      <c r="P16" s="15">
        <f>Domestic!S17/Domestic!S$96</f>
        <v>3.0504572046114367E-5</v>
      </c>
      <c r="Q16" s="15">
        <f>Domestic!T17/Domestic!T$96</f>
        <v>5.84130445640736E-5</v>
      </c>
      <c r="R16" s="15">
        <f>Domestic!U17/Domestic!U$96</f>
        <v>5.5689658172126326E-5</v>
      </c>
      <c r="S16" s="15">
        <f>Domestic!V17/Domestic!V$96</f>
        <v>3.7178955799349689E-5</v>
      </c>
      <c r="T16" s="15">
        <f>Domestic!W17/Domestic!W$96</f>
        <v>7.0296276930363616E-5</v>
      </c>
      <c r="U16" s="15">
        <f>Domestic!X17/Domestic!X$96</f>
        <v>1.0894560258968303E-4</v>
      </c>
      <c r="V16" s="15">
        <f>Domestic!Y17/Domestic!Y$96</f>
        <v>2.9333559208957944E-4</v>
      </c>
      <c r="W16" s="15">
        <f>Domestic!Z17/Domestic!Z$96</f>
        <v>9.2905491775411764E-6</v>
      </c>
      <c r="X16" s="15">
        <f>Domestic!AA17/Domestic!AA$96</f>
        <v>3.6058814920655337E-4</v>
      </c>
      <c r="Y16" s="15">
        <f>Domestic!AB17/Domestic!AB$96</f>
        <v>9.0915105504709291E-5</v>
      </c>
      <c r="Z16" s="15">
        <f>Domestic!AC17/Domestic!AC$96</f>
        <v>7.7690566818162146E-5</v>
      </c>
      <c r="AA16" s="15">
        <f>Domestic!AD17/Domestic!AD$96</f>
        <v>7.6137801897923572E-5</v>
      </c>
      <c r="AB16" s="15">
        <f>Domestic!AE17/Domestic!AE$96</f>
        <v>1.1947508034527087E-4</v>
      </c>
      <c r="AC16" s="15">
        <f>Domestic!AF17/Domestic!AF$96</f>
        <v>7.2168176263945067E-5</v>
      </c>
      <c r="AD16" s="15">
        <f>Domestic!AG17/Domestic!AG$96</f>
        <v>5.1564337214424803E-5</v>
      </c>
      <c r="AE16" s="15">
        <f>Domestic!AH17/Domestic!AH$96</f>
        <v>4.0970199029201488E-5</v>
      </c>
      <c r="AF16" s="15">
        <f>Domestic!AI17/Domestic!AI$96</f>
        <v>2.6408847669607524E-4</v>
      </c>
      <c r="AG16" s="15">
        <f>Domestic!AJ17/Domestic!AJ$96</f>
        <v>9.6105489350195892E-5</v>
      </c>
      <c r="AH16" s="15">
        <f>Domestic!AK17/Domestic!AK$96</f>
        <v>2.2842014216665841E-5</v>
      </c>
      <c r="AI16" s="15">
        <f>Domestic!AL17/Domestic!AL$96</f>
        <v>6.0671514050558938E-5</v>
      </c>
      <c r="AJ16" s="15">
        <f>Domestic!AM17/Domestic!AM$96</f>
        <v>6.4817756655836768E-5</v>
      </c>
      <c r="AK16" s="15">
        <f>Domestic!AN17/Domestic!AN$96</f>
        <v>1.8934590353014516E-5</v>
      </c>
      <c r="AL16" s="15">
        <f>Domestic!AO17/Domestic!AO$96</f>
        <v>6.2929837769096927E-5</v>
      </c>
      <c r="AM16" s="15">
        <f>Domestic!AP17/Domestic!AP$96</f>
        <v>4.6127741098995615E-5</v>
      </c>
      <c r="AN16" s="15">
        <f>Domestic!AQ17/Domestic!AQ$96</f>
        <v>3.3019629148732819E-6</v>
      </c>
      <c r="AO16" s="15">
        <f>Domestic!AR17/Domestic!AR$96</f>
        <v>8.8081456020154681E-6</v>
      </c>
      <c r="AP16" s="15">
        <f>Domestic!AS17/Domestic!AS$96</f>
        <v>4.4802862889319565E-3</v>
      </c>
      <c r="AQ16" s="15">
        <f>Domestic!AT17/Domestic!AT$96</f>
        <v>1.1326033464516256E-5</v>
      </c>
      <c r="AR16" s="15">
        <f>Domestic!AU17/Domestic!AU$96</f>
        <v>3.2435981397689281E-5</v>
      </c>
      <c r="AS16" s="15">
        <f>Domestic!AV17/Domestic!AV$96</f>
        <v>1.4905548845789845E-5</v>
      </c>
      <c r="AT16" s="15">
        <f>Domestic!AW17/Domestic!AW$96</f>
        <v>1.1751552952573352E-5</v>
      </c>
      <c r="AU16" s="15">
        <f>Domestic!AX17/Domestic!AX$96</f>
        <v>2.744241717348271E-4</v>
      </c>
      <c r="AV16" s="15">
        <f>Domestic!AY17/Domestic!AY$96</f>
        <v>3.63713387932261E-5</v>
      </c>
      <c r="AW16" s="15">
        <f>Domestic!AZ17/Domestic!AZ$96</f>
        <v>1.6199097346913677E-4</v>
      </c>
      <c r="AX16" s="15">
        <f>Domestic!BA17/Domestic!BA$96</f>
        <v>1.0523428416136889E-4</v>
      </c>
      <c r="AY16" s="15">
        <f>Domestic!BB17/Domestic!BB$96</f>
        <v>4.1554629774983982E-5</v>
      </c>
      <c r="AZ16" s="15">
        <f>Domestic!BC17/Domestic!BC$96</f>
        <v>3.4367549135760062E-5</v>
      </c>
      <c r="BA16" s="15">
        <f>Domestic!BD17/Domestic!BD$96</f>
        <v>3.5916201019581013E-4</v>
      </c>
      <c r="BB16" s="15">
        <f>Domestic!BE17/Domestic!BE$96</f>
        <v>2.9672590320235407E-6</v>
      </c>
      <c r="BC16" s="15">
        <f>Domestic!BF17/Domestic!BF$96</f>
        <v>6.1539012234406476E-5</v>
      </c>
      <c r="BD16" s="15">
        <f>Domestic!BG17/Domestic!BG$96</f>
        <v>2.691291382738893E-4</v>
      </c>
      <c r="BE16" s="15">
        <f>Domestic!BH17/Domestic!BH$96</f>
        <v>3.5610604994769016E-4</v>
      </c>
      <c r="BF16" s="15">
        <f>Domestic!BI17/Domestic!BI$96</f>
        <v>4.1054905596948624E-5</v>
      </c>
      <c r="BG16" s="15">
        <f>Domestic!BJ17/Domestic!BJ$96</f>
        <v>8.5878946341352375E-5</v>
      </c>
      <c r="BH16" s="15">
        <f>Domestic!BK17/Domestic!BK$96</f>
        <v>1.8409911528168535E-6</v>
      </c>
      <c r="BI16" s="15">
        <f>Domestic!BL17/Domestic!BL$96</f>
        <v>1.7435780210932095E-4</v>
      </c>
      <c r="BJ16" s="15">
        <f>Domestic!BM17/Domestic!BM$96</f>
        <v>9.1502691870256689E-6</v>
      </c>
      <c r="BK16" s="15">
        <f>Domestic!BN17/Domestic!BN$96</f>
        <v>1.235747983420054E-4</v>
      </c>
      <c r="BL16" s="15">
        <f>Domestic!BO17/Domestic!BO$96</f>
        <v>1.255207507431697E-4</v>
      </c>
      <c r="BM16" s="15">
        <f>Domestic!BP17/Domestic!BP$96</f>
        <v>2.4705416758146864E-4</v>
      </c>
      <c r="BN16" s="15">
        <f>Domestic!BQ17/Domestic!BQ$96</f>
        <v>6.3938243576624326E-4</v>
      </c>
      <c r="BO16" s="15">
        <f>Domestic!BR17/Domestic!BR$96</f>
        <v>1.74615690937346E-4</v>
      </c>
      <c r="BP16" s="15">
        <f>Domestic!BS17/Domestic!BS$96</f>
        <v>9.5853134390942762E-4</v>
      </c>
      <c r="BQ16" s="15">
        <f>Domestic!BT17/Domestic!BT$96</f>
        <v>6.94703089248963E-4</v>
      </c>
      <c r="BR16" s="15">
        <f>Domestic!BU17/Domestic!BU$96</f>
        <v>9.5882178248350258E-5</v>
      </c>
      <c r="BS16" s="15">
        <f>Domestic!BV17/Domestic!BV$96</f>
        <v>2.2178076345916365E-4</v>
      </c>
      <c r="BT16" s="15">
        <f>Domestic!BW17/Domestic!BW$96</f>
        <v>2.1736273923740092E-4</v>
      </c>
      <c r="BU16" s="15">
        <f>Domestic!BX17/Domestic!BX$96</f>
        <v>7.6680987368943107E-5</v>
      </c>
      <c r="BV16" s="15">
        <f>Domestic!BY17/Domestic!BY$96</f>
        <v>1.3919019633377186E-4</v>
      </c>
      <c r="BW16" s="15">
        <f>Domestic!BZ17/Domestic!BZ$96</f>
        <v>8.0758016013785582E-5</v>
      </c>
      <c r="BX16" s="15">
        <f>Domestic!CA17/Domestic!CA$96</f>
        <v>3.5139810090947511E-4</v>
      </c>
      <c r="BY16" s="15">
        <f>Domestic!CB17/Domestic!CB$96</f>
        <v>6.5885608848086064E-4</v>
      </c>
      <c r="BZ16" s="15">
        <f>Domestic!CC17/Domestic!CC$96</f>
        <v>0</v>
      </c>
      <c r="CA16" s="15">
        <f>Domestic!CD17/Domestic!CD$96</f>
        <v>7.032294939372651E-4</v>
      </c>
    </row>
    <row r="17" spans="1:79" x14ac:dyDescent="0.3">
      <c r="A17" s="7" t="s">
        <v>105</v>
      </c>
      <c r="B17" s="15">
        <f>Domestic!E18/Domestic!E$96</f>
        <v>1.1572148006560433E-5</v>
      </c>
      <c r="C17" s="15">
        <f>Domestic!F18/Domestic!F$96</f>
        <v>4.3239822668933976E-5</v>
      </c>
      <c r="D17" s="15">
        <f>Domestic!G18/Domestic!G$96</f>
        <v>4.4530368284424908E-2</v>
      </c>
      <c r="E17" s="15">
        <f>Domestic!H18/Domestic!H$96</f>
        <v>3.7914906500142891E-5</v>
      </c>
      <c r="F17" s="15">
        <f>Domestic!I18/Domestic!I$96</f>
        <v>1.1675049740426172E-3</v>
      </c>
      <c r="G17" s="15">
        <f>Domestic!J18/Domestic!J$96</f>
        <v>1.8711650865782845E-4</v>
      </c>
      <c r="H17" s="15">
        <f>Domestic!K18/Domestic!K$96</f>
        <v>1.1618067787199558E-2</v>
      </c>
      <c r="I17" s="15">
        <f>Domestic!L18/Domestic!L$96</f>
        <v>7.661158194799178E-3</v>
      </c>
      <c r="J17" s="15">
        <f>Domestic!M18/Domestic!M$96</f>
        <v>7.9220215090854501E-5</v>
      </c>
      <c r="K17" s="15">
        <f>Domestic!N18/Domestic!N$96</f>
        <v>8.7758324593850551E-2</v>
      </c>
      <c r="L17" s="15">
        <f>Domestic!O18/Domestic!O$96</f>
        <v>0.12157332514917443</v>
      </c>
      <c r="M17" s="15">
        <f>Domestic!P18/Domestic!P$96</f>
        <v>4.4395794212102723E-3</v>
      </c>
      <c r="N17" s="15">
        <f>Domestic!Q18/Domestic!Q$96</f>
        <v>3.8526824081699116E-4</v>
      </c>
      <c r="O17" s="15">
        <f>Domestic!R18/Domestic!R$96</f>
        <v>6.4584360430695859E-5</v>
      </c>
      <c r="P17" s="15">
        <f>Domestic!S18/Domestic!S$96</f>
        <v>2.7669762828420371E-5</v>
      </c>
      <c r="Q17" s="15">
        <f>Domestic!T18/Domestic!T$96</f>
        <v>2.8034028561439093E-4</v>
      </c>
      <c r="R17" s="15">
        <f>Domestic!U18/Domestic!U$96</f>
        <v>2.4210036547397818E-4</v>
      </c>
      <c r="S17" s="15">
        <f>Domestic!V18/Domestic!V$96</f>
        <v>1.2901050179672173E-4</v>
      </c>
      <c r="T17" s="15">
        <f>Domestic!W18/Domestic!W$96</f>
        <v>5.3029153968904022E-5</v>
      </c>
      <c r="U17" s="15">
        <f>Domestic!X18/Domestic!X$96</f>
        <v>7.7105271498805576E-5</v>
      </c>
      <c r="V17" s="15">
        <f>Domestic!Y18/Domestic!Y$96</f>
        <v>2.8255410608993867E-4</v>
      </c>
      <c r="W17" s="15">
        <f>Domestic!Z18/Domestic!Z$96</f>
        <v>1.3739085079506012E-4</v>
      </c>
      <c r="X17" s="15">
        <f>Domestic!AA18/Domestic!AA$96</f>
        <v>4.6085426841032778E-5</v>
      </c>
      <c r="Y17" s="15">
        <f>Domestic!AB18/Domestic!AB$96</f>
        <v>4.1524119226500774E-5</v>
      </c>
      <c r="Z17" s="15">
        <f>Domestic!AC18/Domestic!AC$96</f>
        <v>5.670670031544004E-5</v>
      </c>
      <c r="AA17" s="15">
        <f>Domestic!AD18/Domestic!AD$96</f>
        <v>3.7499471262110561E-5</v>
      </c>
      <c r="AB17" s="15">
        <f>Domestic!AE18/Domestic!AE$96</f>
        <v>4.8108232002859369E-5</v>
      </c>
      <c r="AC17" s="15">
        <f>Domestic!AF18/Domestic!AF$96</f>
        <v>5.0340680731564009E-5</v>
      </c>
      <c r="AD17" s="15">
        <f>Domestic!AG18/Domestic!AG$96</f>
        <v>1.940900724763662E-5</v>
      </c>
      <c r="AE17" s="15">
        <f>Domestic!AH18/Domestic!AH$96</f>
        <v>2.27674134782029E-5</v>
      </c>
      <c r="AF17" s="15">
        <f>Domestic!AI18/Domestic!AI$96</f>
        <v>5.7105853574847593E-5</v>
      </c>
      <c r="AG17" s="15">
        <f>Domestic!AJ18/Domestic!AJ$96</f>
        <v>7.0345479198650505E-5</v>
      </c>
      <c r="AH17" s="15">
        <f>Domestic!AK18/Domestic!AK$96</f>
        <v>3.2785216233731277E-5</v>
      </c>
      <c r="AI17" s="15">
        <f>Domestic!AL18/Domestic!AL$96</f>
        <v>3.4395392811357512E-4</v>
      </c>
      <c r="AJ17" s="15">
        <f>Domestic!AM18/Domestic!AM$96</f>
        <v>3.5607728830940689E-4</v>
      </c>
      <c r="AK17" s="15">
        <f>Domestic!AN18/Domestic!AN$96</f>
        <v>3.5827958638276567E-4</v>
      </c>
      <c r="AL17" s="15">
        <f>Domestic!AO18/Domestic!AO$96</f>
        <v>7.5492754100290257E-5</v>
      </c>
      <c r="AM17" s="15">
        <f>Domestic!AP18/Domestic!AP$96</f>
        <v>4.7385204486579568E-4</v>
      </c>
      <c r="AN17" s="15">
        <f>Domestic!AQ18/Domestic!AQ$96</f>
        <v>2.9488507924309965E-5</v>
      </c>
      <c r="AO17" s="15">
        <f>Domestic!AR18/Domestic!AR$96</f>
        <v>1.7096463970975941E-4</v>
      </c>
      <c r="AP17" s="15">
        <f>Domestic!AS18/Domestic!AS$96</f>
        <v>6.1081309709516945E-4</v>
      </c>
      <c r="AQ17" s="15">
        <f>Domestic!AT18/Domestic!AT$96</f>
        <v>3.134222351453408E-4</v>
      </c>
      <c r="AR17" s="15">
        <f>Domestic!AU18/Domestic!AU$96</f>
        <v>1.0247413314807694E-4</v>
      </c>
      <c r="AS17" s="15">
        <f>Domestic!AV18/Domestic!AV$96</f>
        <v>8.2899353854666821E-5</v>
      </c>
      <c r="AT17" s="15">
        <f>Domestic!AW18/Domestic!AW$96</f>
        <v>1.2422451924083065E-4</v>
      </c>
      <c r="AU17" s="15">
        <f>Domestic!AX18/Domestic!AX$96</f>
        <v>5.0548843756737709E-4</v>
      </c>
      <c r="AV17" s="15">
        <f>Domestic!AY18/Domestic!AY$96</f>
        <v>7.4900299379270714E-5</v>
      </c>
      <c r="AW17" s="15">
        <f>Domestic!AZ18/Domestic!AZ$96</f>
        <v>1.143357364992919E-4</v>
      </c>
      <c r="AX17" s="15">
        <f>Domestic!BA18/Domestic!BA$96</f>
        <v>6.9088643269338214E-5</v>
      </c>
      <c r="AY17" s="15">
        <f>Domestic!BB18/Domestic!BB$96</f>
        <v>9.6444052221990946E-5</v>
      </c>
      <c r="AZ17" s="15">
        <f>Domestic!BC18/Domestic!BC$96</f>
        <v>2.2713758176117877E-5</v>
      </c>
      <c r="BA17" s="15">
        <f>Domestic!BD18/Domestic!BD$96</f>
        <v>1.1821129772060764E-3</v>
      </c>
      <c r="BB17" s="15">
        <f>Domestic!BE18/Domestic!BE$96</f>
        <v>5.5867923962318223E-6</v>
      </c>
      <c r="BC17" s="15">
        <f>Domestic!BF18/Domestic!BF$96</f>
        <v>1.1859543243638812E-3</v>
      </c>
      <c r="BD17" s="15">
        <f>Domestic!BG18/Domestic!BG$96</f>
        <v>3.4671279333669219E-5</v>
      </c>
      <c r="BE17" s="15">
        <f>Domestic!BH18/Domestic!BH$96</f>
        <v>4.7411041209424942E-5</v>
      </c>
      <c r="BF17" s="15">
        <f>Domestic!BI18/Domestic!BI$96</f>
        <v>4.0235552320746021E-5</v>
      </c>
      <c r="BG17" s="15">
        <f>Domestic!BJ18/Domestic!BJ$96</f>
        <v>6.9029185859882558E-5</v>
      </c>
      <c r="BH17" s="15">
        <f>Domestic!BK18/Domestic!BK$96</f>
        <v>7.4039861580677802E-7</v>
      </c>
      <c r="BI17" s="15">
        <f>Domestic!BL18/Domestic!BL$96</f>
        <v>7.2344994591907357E-4</v>
      </c>
      <c r="BJ17" s="15">
        <f>Domestic!BM18/Domestic!BM$96</f>
        <v>1.3210818090061598E-5</v>
      </c>
      <c r="BK17" s="15">
        <f>Domestic!BN18/Domestic!BN$96</f>
        <v>5.5012142050940429E-5</v>
      </c>
      <c r="BL17" s="15">
        <f>Domestic!BO18/Domestic!BO$96</f>
        <v>4.5608350067477672E-5</v>
      </c>
      <c r="BM17" s="15">
        <f>Domestic!BP18/Domestic!BP$96</f>
        <v>4.3169514120983297E-3</v>
      </c>
      <c r="BN17" s="15">
        <f>Domestic!BQ18/Domestic!BQ$96</f>
        <v>5.0417504443935213E-3</v>
      </c>
      <c r="BO17" s="15">
        <f>Domestic!BR18/Domestic!BR$96</f>
        <v>2.6307595767951606E-3</v>
      </c>
      <c r="BP17" s="15">
        <f>Domestic!BS18/Domestic!BS$96</f>
        <v>3.4877524634845201E-4</v>
      </c>
      <c r="BQ17" s="15">
        <f>Domestic!BT18/Domestic!BT$96</f>
        <v>2.0578340321799763E-3</v>
      </c>
      <c r="BR17" s="15">
        <f>Domestic!BU18/Domestic!BU$96</f>
        <v>4.2772076537208746E-4</v>
      </c>
      <c r="BS17" s="15">
        <f>Domestic!BV18/Domestic!BV$96</f>
        <v>2.7064056712688262E-2</v>
      </c>
      <c r="BT17" s="15">
        <f>Domestic!BW18/Domestic!BW$96</f>
        <v>1.3227517070789868E-3</v>
      </c>
      <c r="BU17" s="15">
        <f>Domestic!BX18/Domestic!BX$96</f>
        <v>8.2155383799236358E-5</v>
      </c>
      <c r="BV17" s="15">
        <f>Domestic!BY18/Domestic!BY$96</f>
        <v>3.1645054909842278E-4</v>
      </c>
      <c r="BW17" s="15">
        <f>Domestic!BZ18/Domestic!BZ$96</f>
        <v>5.5416640967241246E-4</v>
      </c>
      <c r="BX17" s="15">
        <f>Domestic!CA18/Domestic!CA$96</f>
        <v>1.0544628872641525E-4</v>
      </c>
      <c r="BY17" s="15">
        <f>Domestic!CB18/Domestic!CB$96</f>
        <v>1.0444588883680317E-4</v>
      </c>
      <c r="BZ17" s="15">
        <f>Domestic!CC18/Domestic!CC$96</f>
        <v>0</v>
      </c>
      <c r="CA17" s="15">
        <f>Domestic!CD18/Domestic!CD$96</f>
        <v>8.1878341396328328E-3</v>
      </c>
    </row>
    <row r="18" spans="1:79" x14ac:dyDescent="0.3">
      <c r="A18" s="8" t="s">
        <v>106</v>
      </c>
      <c r="B18" s="15">
        <f>Domestic!E19/Domestic!E$96</f>
        <v>3.2946646390482579E-4</v>
      </c>
      <c r="C18" s="15">
        <f>Domestic!F19/Domestic!F$96</f>
        <v>0.2120163991952097</v>
      </c>
      <c r="D18" s="15">
        <f>Domestic!G19/Domestic!G$96</f>
        <v>2.5926313282760718E-4</v>
      </c>
      <c r="E18" s="15">
        <f>Domestic!H19/Domestic!H$96</f>
        <v>0.12574363385431142</v>
      </c>
      <c r="F18" s="15">
        <f>Domestic!I19/Domestic!I$96</f>
        <v>2.8420351819710682E-4</v>
      </c>
      <c r="G18" s="15">
        <f>Domestic!J19/Domestic!J$96</f>
        <v>1.0739811931355557E-4</v>
      </c>
      <c r="H18" s="15">
        <f>Domestic!K19/Domestic!K$96</f>
        <v>3.002397500303648E-4</v>
      </c>
      <c r="I18" s="15">
        <f>Domestic!L19/Domestic!L$96</f>
        <v>4.960238223256125E-4</v>
      </c>
      <c r="J18" s="15">
        <f>Domestic!M19/Domestic!M$96</f>
        <v>1.7511672509498978E-4</v>
      </c>
      <c r="K18" s="15">
        <f>Domestic!N19/Domestic!N$96</f>
        <v>1.7679701086223716E-4</v>
      </c>
      <c r="L18" s="15">
        <f>Domestic!O19/Domestic!O$96</f>
        <v>2.6799908971372619E-4</v>
      </c>
      <c r="M18" s="15">
        <f>Domestic!P19/Domestic!P$96</f>
        <v>2.2100037464247314E-4</v>
      </c>
      <c r="N18" s="15">
        <f>Domestic!Q19/Domestic!Q$96</f>
        <v>0.10104634078084195</v>
      </c>
      <c r="O18" s="15">
        <f>Domestic!R19/Domestic!R$96</f>
        <v>3.0103695061751569E-2</v>
      </c>
      <c r="P18" s="15">
        <f>Domestic!S19/Domestic!S$96</f>
        <v>8.462614217121015E-4</v>
      </c>
      <c r="Q18" s="15">
        <f>Domestic!T19/Domestic!T$96</f>
        <v>3.7962129722673489E-4</v>
      </c>
      <c r="R18" s="15">
        <f>Domestic!U19/Domestic!U$96</f>
        <v>8.9294909702855216E-4</v>
      </c>
      <c r="S18" s="15">
        <f>Domestic!V19/Domestic!V$96</f>
        <v>2.7406813891216464E-2</v>
      </c>
      <c r="T18" s="15">
        <f>Domestic!W19/Domestic!W$96</f>
        <v>2.3090172766885236E-4</v>
      </c>
      <c r="U18" s="15">
        <f>Domestic!X19/Domestic!X$96</f>
        <v>4.960924332227527E-3</v>
      </c>
      <c r="V18" s="15">
        <f>Domestic!Y19/Domestic!Y$96</f>
        <v>1.0906998331256499E-3</v>
      </c>
      <c r="W18" s="15">
        <f>Domestic!Z19/Domestic!Z$96</f>
        <v>1.422802975078419E-4</v>
      </c>
      <c r="X18" s="15">
        <f>Domestic!AA19/Domestic!AA$96</f>
        <v>5.4568493106580043E-3</v>
      </c>
      <c r="Y18" s="15">
        <f>Domestic!AB19/Domestic!AB$96</f>
        <v>5.0980714921505799E-4</v>
      </c>
      <c r="Z18" s="15">
        <f>Domestic!AC19/Domestic!AC$96</f>
        <v>1.631612476849204E-3</v>
      </c>
      <c r="AA18" s="15">
        <f>Domestic!AD19/Domestic!AD$96</f>
        <v>3.8921853253573219E-4</v>
      </c>
      <c r="AB18" s="15">
        <f>Domestic!AE19/Domestic!AE$96</f>
        <v>2.9076877469475643E-4</v>
      </c>
      <c r="AC18" s="15">
        <f>Domestic!AF19/Domestic!AF$96</f>
        <v>2.8163758909977271E-4</v>
      </c>
      <c r="AD18" s="15">
        <f>Domestic!AG19/Domestic!AG$96</f>
        <v>1.332834253816431E-4</v>
      </c>
      <c r="AE18" s="15">
        <f>Domestic!AH19/Domestic!AH$96</f>
        <v>1.6470849346087712E-4</v>
      </c>
      <c r="AF18" s="15">
        <f>Domestic!AI19/Domestic!AI$96</f>
        <v>2.5060742205225433E-4</v>
      </c>
      <c r="AG18" s="15">
        <f>Domestic!AJ19/Domestic!AJ$96</f>
        <v>2.3533997459968803E-4</v>
      </c>
      <c r="AH18" s="15">
        <f>Domestic!AK19/Domestic!AK$96</f>
        <v>1.6462528148795757E-4</v>
      </c>
      <c r="AI18" s="15">
        <f>Domestic!AL19/Domestic!AL$96</f>
        <v>7.7407029944825969E-5</v>
      </c>
      <c r="AJ18" s="15">
        <f>Domestic!AM19/Domestic!AM$96</f>
        <v>2.3359192690733998E-4</v>
      </c>
      <c r="AK18" s="15">
        <f>Domestic!AN19/Domestic!AN$96</f>
        <v>1.1809897166170053E-2</v>
      </c>
      <c r="AL18" s="15">
        <f>Domestic!AO19/Domestic!AO$96</f>
        <v>3.0079828545006111E-3</v>
      </c>
      <c r="AM18" s="15">
        <f>Domestic!AP19/Domestic!AP$96</f>
        <v>5.7172564937712613E-3</v>
      </c>
      <c r="AN18" s="15">
        <f>Domestic!AQ19/Domestic!AQ$96</f>
        <v>5.0813371258841256E-4</v>
      </c>
      <c r="AO18" s="15">
        <f>Domestic!AR19/Domestic!AR$96</f>
        <v>2.2852978397071106E-3</v>
      </c>
      <c r="AP18" s="15">
        <f>Domestic!AS19/Domestic!AS$96</f>
        <v>2.4155512891061494E-4</v>
      </c>
      <c r="AQ18" s="15">
        <f>Domestic!AT19/Domestic!AT$96</f>
        <v>4.0349509037042102E-3</v>
      </c>
      <c r="AR18" s="15">
        <f>Domestic!AU19/Domestic!AU$96</f>
        <v>1.597377085733512E-3</v>
      </c>
      <c r="AS18" s="15">
        <f>Domestic!AV19/Domestic!AV$96</f>
        <v>2.6380779601041754E-4</v>
      </c>
      <c r="AT18" s="15">
        <f>Domestic!AW19/Domestic!AW$96</f>
        <v>1.6920937737567221E-3</v>
      </c>
      <c r="AU18" s="15">
        <f>Domestic!AX19/Domestic!AX$96</f>
        <v>2.5294450607823015E-3</v>
      </c>
      <c r="AV18" s="15">
        <f>Domestic!AY19/Domestic!AY$96</f>
        <v>1.9675969592081255E-3</v>
      </c>
      <c r="AW18" s="15">
        <f>Domestic!AZ19/Domestic!AZ$96</f>
        <v>3.1341109740590191E-3</v>
      </c>
      <c r="AX18" s="15">
        <f>Domestic!BA19/Domestic!BA$96</f>
        <v>1.227302983673015E-2</v>
      </c>
      <c r="AY18" s="15">
        <f>Domestic!BB19/Domestic!BB$96</f>
        <v>3.0979460403519937E-3</v>
      </c>
      <c r="AZ18" s="15">
        <f>Domestic!BC19/Domestic!BC$96</f>
        <v>7.9542690397150053E-4</v>
      </c>
      <c r="BA18" s="15">
        <f>Domestic!BD19/Domestic!BD$96</f>
        <v>5.1497040086528195E-3</v>
      </c>
      <c r="BB18" s="15">
        <f>Domestic!BE19/Domestic!BE$96</f>
        <v>4.6859510994784253E-4</v>
      </c>
      <c r="BC18" s="15">
        <f>Domestic!BF19/Domestic!BF$96</f>
        <v>2.1482352066961281E-4</v>
      </c>
      <c r="BD18" s="15">
        <f>Domestic!BG19/Domestic!BG$96</f>
        <v>2.9078535274999653E-4</v>
      </c>
      <c r="BE18" s="15">
        <f>Domestic!BH19/Domestic!BH$96</f>
        <v>1.3548944693011583E-4</v>
      </c>
      <c r="BF18" s="15">
        <f>Domestic!BI19/Domestic!BI$96</f>
        <v>1.3548752923897242E-3</v>
      </c>
      <c r="BG18" s="15">
        <f>Domestic!BJ19/Domestic!BJ$96</f>
        <v>3.6367473803290591E-3</v>
      </c>
      <c r="BH18" s="15">
        <f>Domestic!BK19/Domestic!BK$96</f>
        <v>1.8592009566110204E-4</v>
      </c>
      <c r="BI18" s="15">
        <f>Domestic!BL19/Domestic!BL$96</f>
        <v>1.1463555656142299E-3</v>
      </c>
      <c r="BJ18" s="15">
        <f>Domestic!BM19/Domestic!BM$96</f>
        <v>2.4350475556470974E-3</v>
      </c>
      <c r="BK18" s="15">
        <f>Domestic!BN19/Domestic!BN$96</f>
        <v>9.6826485288973169E-3</v>
      </c>
      <c r="BL18" s="15">
        <f>Domestic!BO19/Domestic!BO$96</f>
        <v>3.0727745765444627E-3</v>
      </c>
      <c r="BM18" s="15">
        <f>Domestic!BP19/Domestic!BP$96</f>
        <v>1.7716337789366039E-3</v>
      </c>
      <c r="BN18" s="15">
        <f>Domestic!BQ19/Domestic!BQ$96</f>
        <v>1.3178581514823307E-3</v>
      </c>
      <c r="BO18" s="15">
        <f>Domestic!BR19/Domestic!BR$96</f>
        <v>1.7389352583024879E-2</v>
      </c>
      <c r="BP18" s="15">
        <f>Domestic!BS19/Domestic!BS$96</f>
        <v>8.0154535606960647E-2</v>
      </c>
      <c r="BQ18" s="15">
        <f>Domestic!BT19/Domestic!BT$96</f>
        <v>4.0788827345662741E-2</v>
      </c>
      <c r="BR18" s="15">
        <f>Domestic!BU19/Domestic!BU$96</f>
        <v>5.3515809094420849E-3</v>
      </c>
      <c r="BS18" s="15">
        <f>Domestic!BV19/Domestic!BV$96</f>
        <v>5.7227413572560433E-3</v>
      </c>
      <c r="BT18" s="15">
        <f>Domestic!BW19/Domestic!BW$96</f>
        <v>1.4119260357529894E-2</v>
      </c>
      <c r="BU18" s="15">
        <f>Domestic!BX19/Domestic!BX$96</f>
        <v>2.4906588581775548E-2</v>
      </c>
      <c r="BV18" s="15">
        <f>Domestic!BY19/Domestic!BY$96</f>
        <v>7.2515705278884957E-2</v>
      </c>
      <c r="BW18" s="15">
        <f>Domestic!BZ19/Domestic!BZ$96</f>
        <v>5.3294402164870847E-4</v>
      </c>
      <c r="BX18" s="15">
        <f>Domestic!CA19/Domestic!CA$96</f>
        <v>3.7124784102237811E-3</v>
      </c>
      <c r="BY18" s="15">
        <f>Domestic!CB19/Domestic!CB$96</f>
        <v>3.3714757012525173E-2</v>
      </c>
      <c r="BZ18" s="15">
        <f>Domestic!CC19/Domestic!CC$96</f>
        <v>0</v>
      </c>
      <c r="CA18" s="15">
        <f>Domestic!CD19/Domestic!CD$96</f>
        <v>7.2223520185436983E-3</v>
      </c>
    </row>
    <row r="19" spans="1:79" x14ac:dyDescent="0.3">
      <c r="A19" s="7" t="s">
        <v>107</v>
      </c>
      <c r="B19" s="15">
        <f>Domestic!E20/Domestic!E$96</f>
        <v>1.8213465547657821E-5</v>
      </c>
      <c r="C19" s="15">
        <f>Domestic!F20/Domestic!F$96</f>
        <v>1.186935554208989E-4</v>
      </c>
      <c r="D19" s="15">
        <f>Domestic!G20/Domestic!G$96</f>
        <v>1.2741149142036408E-4</v>
      </c>
      <c r="E19" s="15">
        <f>Domestic!H20/Domestic!H$96</f>
        <v>1.4484713131943223E-3</v>
      </c>
      <c r="F19" s="15">
        <f>Domestic!I20/Domestic!I$96</f>
        <v>5.2145669215582902E-5</v>
      </c>
      <c r="G19" s="15">
        <f>Domestic!J20/Domestic!J$96</f>
        <v>3.8094455378076276E-5</v>
      </c>
      <c r="H19" s="15">
        <f>Domestic!K20/Domestic!K$96</f>
        <v>5.1535051039844558E-5</v>
      </c>
      <c r="I19" s="15">
        <f>Domestic!L20/Domestic!L$96</f>
        <v>1.1511487617873171E-4</v>
      </c>
      <c r="J19" s="15">
        <f>Domestic!M20/Domestic!M$96</f>
        <v>3.643072591804396E-5</v>
      </c>
      <c r="K19" s="15">
        <f>Domestic!N20/Domestic!N$96</f>
        <v>4.4634953121291452E-5</v>
      </c>
      <c r="L19" s="15">
        <f>Domestic!O20/Domestic!O$96</f>
        <v>1.056307594180685E-4</v>
      </c>
      <c r="M19" s="15">
        <f>Domestic!P20/Domestic!P$96</f>
        <v>6.7328746012375453E-5</v>
      </c>
      <c r="N19" s="15">
        <f>Domestic!Q20/Domestic!Q$96</f>
        <v>5.4712523373772902E-4</v>
      </c>
      <c r="O19" s="15">
        <f>Domestic!R20/Domestic!R$96</f>
        <v>3.0706978654039437E-3</v>
      </c>
      <c r="P19" s="15">
        <f>Domestic!S20/Domestic!S$96</f>
        <v>5.0152837220324175E-4</v>
      </c>
      <c r="Q19" s="15">
        <f>Domestic!T20/Domestic!T$96</f>
        <v>1.2114357503070917E-3</v>
      </c>
      <c r="R19" s="15">
        <f>Domestic!U20/Domestic!U$96</f>
        <v>1.465381346049775E-3</v>
      </c>
      <c r="S19" s="15">
        <f>Domestic!V20/Domestic!V$96</f>
        <v>5.8134259334660036E-4</v>
      </c>
      <c r="T19" s="15">
        <f>Domestic!W20/Domestic!W$96</f>
        <v>2.4168391304750132E-4</v>
      </c>
      <c r="U19" s="15">
        <f>Domestic!X20/Domestic!X$96</f>
        <v>3.8041796941629103E-4</v>
      </c>
      <c r="V19" s="15">
        <f>Domestic!Y20/Domestic!Y$96</f>
        <v>3.2389865985314005E-4</v>
      </c>
      <c r="W19" s="15">
        <f>Domestic!Z20/Domestic!Z$96</f>
        <v>5.6959352299256968E-4</v>
      </c>
      <c r="X19" s="15">
        <f>Domestic!AA20/Domestic!AA$96</f>
        <v>2.5588284396323309E-3</v>
      </c>
      <c r="Y19" s="15">
        <f>Domestic!AB20/Domestic!AB$96</f>
        <v>2.2481885048469996E-3</v>
      </c>
      <c r="Z19" s="15">
        <f>Domestic!AC20/Domestic!AC$96</f>
        <v>2.5119371939154389E-3</v>
      </c>
      <c r="AA19" s="15">
        <f>Domestic!AD20/Domestic!AD$96</f>
        <v>3.0734328655473937E-4</v>
      </c>
      <c r="AB19" s="15">
        <f>Domestic!AE20/Domestic!AE$96</f>
        <v>2.2424316571617326E-4</v>
      </c>
      <c r="AC19" s="15">
        <f>Domestic!AF20/Domestic!AF$96</f>
        <v>2.0315311667475747E-4</v>
      </c>
      <c r="AD19" s="15">
        <f>Domestic!AG20/Domestic!AG$96</f>
        <v>1.14885923403403E-4</v>
      </c>
      <c r="AE19" s="15">
        <f>Domestic!AH20/Domestic!AH$96</f>
        <v>1.879446622666134E-4</v>
      </c>
      <c r="AF19" s="15">
        <f>Domestic!AI20/Domestic!AI$96</f>
        <v>2.5023114717041616E-4</v>
      </c>
      <c r="AG19" s="15">
        <f>Domestic!AJ20/Domestic!AJ$96</f>
        <v>1.4580672975229145E-4</v>
      </c>
      <c r="AH19" s="15">
        <f>Domestic!AK20/Domestic!AK$96</f>
        <v>2.4527594292407057E-4</v>
      </c>
      <c r="AI19" s="15">
        <f>Domestic!AL20/Domestic!AL$96</f>
        <v>1.7483531747751654E-5</v>
      </c>
      <c r="AJ19" s="15">
        <f>Domestic!AM20/Domestic!AM$96</f>
        <v>3.4960872931869724E-5</v>
      </c>
      <c r="AK19" s="15">
        <f>Domestic!AN20/Domestic!AN$96</f>
        <v>3.1974351057452406E-4</v>
      </c>
      <c r="AL19" s="15">
        <f>Domestic!AO20/Domestic!AO$96</f>
        <v>5.5812772783306192E-5</v>
      </c>
      <c r="AM19" s="15">
        <f>Domestic!AP20/Domestic!AP$96</f>
        <v>7.7004069823829386E-5</v>
      </c>
      <c r="AN19" s="15">
        <f>Domestic!AQ20/Domestic!AQ$96</f>
        <v>2.8730522746569099E-5</v>
      </c>
      <c r="AO19" s="15">
        <f>Domestic!AR20/Domestic!AR$96</f>
        <v>4.6637808438865162E-5</v>
      </c>
      <c r="AP19" s="15">
        <f>Domestic!AS20/Domestic!AS$96</f>
        <v>1.0204652866452267E-4</v>
      </c>
      <c r="AQ19" s="15">
        <f>Domestic!AT20/Domestic!AT$96</f>
        <v>8.9578628310264943E-5</v>
      </c>
      <c r="AR19" s="15">
        <f>Domestic!AU20/Domestic!AU$96</f>
        <v>2.586424748070582E-3</v>
      </c>
      <c r="AS19" s="15">
        <f>Domestic!AV20/Domestic!AV$96</f>
        <v>2.2746275909876562E-4</v>
      </c>
      <c r="AT19" s="15">
        <f>Domestic!AW20/Domestic!AW$96</f>
        <v>2.1048914183559563E-4</v>
      </c>
      <c r="AU19" s="15">
        <f>Domestic!AX20/Domestic!AX$96</f>
        <v>3.914332323345154E-3</v>
      </c>
      <c r="AV19" s="15">
        <f>Domestic!AY20/Domestic!AY$96</f>
        <v>3.3215971037071396E-3</v>
      </c>
      <c r="AW19" s="15">
        <f>Domestic!AZ20/Domestic!AZ$96</f>
        <v>5.1751405748034721E-3</v>
      </c>
      <c r="AX19" s="15">
        <f>Domestic!BA20/Domestic!BA$96</f>
        <v>2.1346800494549231E-2</v>
      </c>
      <c r="AY19" s="15">
        <f>Domestic!BB20/Domestic!BB$96</f>
        <v>4.8823777789505389E-3</v>
      </c>
      <c r="AZ19" s="15">
        <f>Domestic!BC20/Domestic!BC$96</f>
        <v>1.1488262591234522E-3</v>
      </c>
      <c r="BA19" s="15">
        <f>Domestic!BD20/Domestic!BD$96</f>
        <v>8.5893577586369542E-3</v>
      </c>
      <c r="BB19" s="15">
        <f>Domestic!BE20/Domestic!BE$96</f>
        <v>3.6988738371068449E-4</v>
      </c>
      <c r="BC19" s="15">
        <f>Domestic!BF20/Domestic!BF$96</f>
        <v>3.9749789170799842E-4</v>
      </c>
      <c r="BD19" s="15">
        <f>Domestic!BG20/Domestic!BG$96</f>
        <v>2.9291896993976081E-4</v>
      </c>
      <c r="BE19" s="15">
        <f>Domestic!BH20/Domestic!BH$96</f>
        <v>1.2497045186055615E-4</v>
      </c>
      <c r="BF19" s="15">
        <f>Domestic!BI20/Domestic!BI$96</f>
        <v>2.3876786413418141E-3</v>
      </c>
      <c r="BG19" s="15">
        <f>Domestic!BJ20/Domestic!BJ$96</f>
        <v>6.5620703088784876E-3</v>
      </c>
      <c r="BH19" s="15">
        <f>Domestic!BK20/Domestic!BK$96</f>
        <v>3.2153310699414357E-4</v>
      </c>
      <c r="BI19" s="15">
        <f>Domestic!BL20/Domestic!BL$96</f>
        <v>1.096040383251787E-3</v>
      </c>
      <c r="BJ19" s="15">
        <f>Domestic!BM20/Domestic!BM$96</f>
        <v>4.684965892067532E-3</v>
      </c>
      <c r="BK19" s="15">
        <f>Domestic!BN20/Domestic!BN$96</f>
        <v>1.8631807801591936E-3</v>
      </c>
      <c r="BL19" s="15">
        <f>Domestic!BO20/Domestic!BO$96</f>
        <v>1.1093468407064617E-3</v>
      </c>
      <c r="BM19" s="15">
        <f>Domestic!BP20/Domestic!BP$96</f>
        <v>8.2981438059985231E-4</v>
      </c>
      <c r="BN19" s="15">
        <f>Domestic!BQ20/Domestic!BQ$96</f>
        <v>1.8710739125685069E-3</v>
      </c>
      <c r="BO19" s="15">
        <f>Domestic!BR20/Domestic!BR$96</f>
        <v>1.4405592877652024E-3</v>
      </c>
      <c r="BP19" s="15">
        <f>Domestic!BS20/Domestic!BS$96</f>
        <v>1.228903137885247E-3</v>
      </c>
      <c r="BQ19" s="15">
        <f>Domestic!BT20/Domestic!BT$96</f>
        <v>2.7864121448616182E-3</v>
      </c>
      <c r="BR19" s="15">
        <f>Domestic!BU20/Domestic!BU$96</f>
        <v>1.212662373861818E-2</v>
      </c>
      <c r="BS19" s="15">
        <f>Domestic!BV20/Domestic!BV$96</f>
        <v>2.8470206186510271E-3</v>
      </c>
      <c r="BT19" s="15">
        <f>Domestic!BW20/Domestic!BW$96</f>
        <v>8.2495546668792039E-3</v>
      </c>
      <c r="BU19" s="15">
        <f>Domestic!BX20/Domestic!BX$96</f>
        <v>2.9818566572503268E-2</v>
      </c>
      <c r="BV19" s="15">
        <f>Domestic!BY20/Domestic!BY$96</f>
        <v>2.442368693484261E-2</v>
      </c>
      <c r="BW19" s="15">
        <f>Domestic!BZ20/Domestic!BZ$96</f>
        <v>1.1943807460417988E-4</v>
      </c>
      <c r="BX19" s="15">
        <f>Domestic!CA20/Domestic!CA$96</f>
        <v>7.9924043218958262E-4</v>
      </c>
      <c r="BY19" s="15">
        <f>Domestic!CB20/Domestic!CB$96</f>
        <v>3.6289434317017862E-3</v>
      </c>
      <c r="BZ19" s="15">
        <f>Domestic!CC20/Domestic!CC$96</f>
        <v>0</v>
      </c>
      <c r="CA19" s="15">
        <f>Domestic!CD20/Domestic!CD$96</f>
        <v>3.281985735671887E-3</v>
      </c>
    </row>
    <row r="20" spans="1:79" x14ac:dyDescent="0.3">
      <c r="A20" s="8" t="s">
        <v>108</v>
      </c>
      <c r="B20" s="15">
        <f>Domestic!E21/Domestic!E$96</f>
        <v>8.6246331631278605E-5</v>
      </c>
      <c r="C20" s="15">
        <f>Domestic!F21/Domestic!F$96</f>
        <v>2.1056808714758595E-5</v>
      </c>
      <c r="D20" s="15">
        <f>Domestic!G21/Domestic!G$96</f>
        <v>5.0021064695933846E-5</v>
      </c>
      <c r="E20" s="15">
        <f>Domestic!H21/Domestic!H$96</f>
        <v>1.2232019203834848E-5</v>
      </c>
      <c r="F20" s="15">
        <f>Domestic!I21/Domestic!I$96</f>
        <v>9.2842381536969556E-5</v>
      </c>
      <c r="G20" s="15">
        <f>Domestic!J21/Domestic!J$96</f>
        <v>1.4981954173031183E-5</v>
      </c>
      <c r="H20" s="15">
        <f>Domestic!K21/Domestic!K$96</f>
        <v>1.3535272228198258E-5</v>
      </c>
      <c r="I20" s="15">
        <f>Domestic!L21/Domestic!L$96</f>
        <v>3.0267921717202444E-5</v>
      </c>
      <c r="J20" s="15">
        <f>Domestic!M21/Domestic!M$96</f>
        <v>7.3304485993184301E-6</v>
      </c>
      <c r="K20" s="15">
        <f>Domestic!N21/Domestic!N$96</f>
        <v>2.9731918216687306E-5</v>
      </c>
      <c r="L20" s="15">
        <f>Domestic!O21/Domestic!O$96</f>
        <v>4.4361152525658002E-5</v>
      </c>
      <c r="M20" s="15">
        <f>Domestic!P21/Domestic!P$96</f>
        <v>2.4825014246083463E-5</v>
      </c>
      <c r="N20" s="15">
        <f>Domestic!Q21/Domestic!Q$96</f>
        <v>2.7545926414644276E-5</v>
      </c>
      <c r="O20" s="15">
        <f>Domestic!R21/Domestic!R$96</f>
        <v>3.9472768423884498E-5</v>
      </c>
      <c r="P20" s="15">
        <f>Domestic!S21/Domestic!S$96</f>
        <v>8.6672884550703863E-2</v>
      </c>
      <c r="Q20" s="15">
        <f>Domestic!T21/Domestic!T$96</f>
        <v>0.17077134002063926</v>
      </c>
      <c r="R20" s="15">
        <f>Domestic!U21/Domestic!U$96</f>
        <v>9.0254655249154533E-2</v>
      </c>
      <c r="S20" s="15">
        <f>Domestic!V21/Domestic!V$96</f>
        <v>1.5666169728533321E-2</v>
      </c>
      <c r="T20" s="15">
        <f>Domestic!W21/Domestic!W$96</f>
        <v>2.7968944225485097E-4</v>
      </c>
      <c r="U20" s="15">
        <f>Domestic!X21/Domestic!X$96</f>
        <v>7.6366124651284827E-3</v>
      </c>
      <c r="V20" s="15">
        <f>Domestic!Y21/Domestic!Y$96</f>
        <v>3.5356986819167636E-2</v>
      </c>
      <c r="W20" s="15">
        <f>Domestic!Z21/Domestic!Z$96</f>
        <v>1.0262234146454627E-5</v>
      </c>
      <c r="X20" s="15">
        <f>Domestic!AA21/Domestic!AA$96</f>
        <v>1.4768239730769683E-4</v>
      </c>
      <c r="Y20" s="15">
        <f>Domestic!AB21/Domestic!AB$96</f>
        <v>9.5360276097266987E-4</v>
      </c>
      <c r="Z20" s="15">
        <f>Domestic!AC21/Domestic!AC$96</f>
        <v>1.1234284648355558E-4</v>
      </c>
      <c r="AA20" s="15">
        <f>Domestic!AD21/Domestic!AD$96</f>
        <v>1.8745193818996647E-5</v>
      </c>
      <c r="AB20" s="15">
        <f>Domestic!AE21/Domestic!AE$96</f>
        <v>7.7321397282053731E-5</v>
      </c>
      <c r="AC20" s="15">
        <f>Domestic!AF21/Domestic!AF$96</f>
        <v>2.4702774712130603E-5</v>
      </c>
      <c r="AD20" s="15">
        <f>Domestic!AG21/Domestic!AG$96</f>
        <v>1.9167998771895929E-5</v>
      </c>
      <c r="AE20" s="15">
        <f>Domestic!AH21/Domestic!AH$96</f>
        <v>5.49181285302818E-5</v>
      </c>
      <c r="AF20" s="15">
        <f>Domestic!AI21/Domestic!AI$96</f>
        <v>1.6860735001231594E-3</v>
      </c>
      <c r="AG20" s="15">
        <f>Domestic!AJ21/Domestic!AJ$96</f>
        <v>1.5194761183474721E-2</v>
      </c>
      <c r="AH20" s="15">
        <f>Domestic!AK21/Domestic!AK$96</f>
        <v>1.4123692052337088E-3</v>
      </c>
      <c r="AI20" s="15">
        <f>Domestic!AL21/Domestic!AL$96</f>
        <v>6.2867882078550507E-6</v>
      </c>
      <c r="AJ20" s="15">
        <f>Domestic!AM21/Domestic!AM$96</f>
        <v>1.176699247293724E-5</v>
      </c>
      <c r="AK20" s="15">
        <f>Domestic!AN21/Domestic!AN$96</f>
        <v>1.5931382997299274E-5</v>
      </c>
      <c r="AL20" s="15">
        <f>Domestic!AO21/Domestic!AO$96</f>
        <v>6.4255283070094377E-6</v>
      </c>
      <c r="AM20" s="15">
        <f>Domestic!AP21/Domestic!AP$96</f>
        <v>1.4566655083893353E-5</v>
      </c>
      <c r="AN20" s="15">
        <f>Domestic!AQ21/Domestic!AQ$96</f>
        <v>9.3781515802781451E-4</v>
      </c>
      <c r="AO20" s="15">
        <f>Domestic!AR21/Domestic!AR$96</f>
        <v>8.1996476018139957E-6</v>
      </c>
      <c r="AP20" s="15">
        <f>Domestic!AS21/Domestic!AS$96</f>
        <v>2.6929480910335283E-5</v>
      </c>
      <c r="AQ20" s="15">
        <f>Domestic!AT21/Domestic!AT$96</f>
        <v>8.2371152469209145E-6</v>
      </c>
      <c r="AR20" s="15">
        <f>Domestic!AU21/Domestic!AU$96</f>
        <v>1.6741013960818702E-5</v>
      </c>
      <c r="AS20" s="15">
        <f>Domestic!AV21/Domestic!AV$96</f>
        <v>2.8585984087816144E-5</v>
      </c>
      <c r="AT20" s="15">
        <f>Domestic!AW21/Domestic!AW$96</f>
        <v>1.1405282515665113E-5</v>
      </c>
      <c r="AU20" s="15">
        <f>Domestic!AX21/Domestic!AX$96</f>
        <v>3.0287719884488968E-5</v>
      </c>
      <c r="AV20" s="15">
        <f>Domestic!AY21/Domestic!AY$96</f>
        <v>1.5072529381260647E-5</v>
      </c>
      <c r="AW20" s="15">
        <f>Domestic!AZ21/Domestic!AZ$96</f>
        <v>1.7438643492829678E-5</v>
      </c>
      <c r="AX20" s="15">
        <f>Domestic!BA21/Domestic!BA$96</f>
        <v>2.220864156244232E-5</v>
      </c>
      <c r="AY20" s="15">
        <f>Domestic!BB21/Domestic!BB$96</f>
        <v>4.1858987111833107E-5</v>
      </c>
      <c r="AZ20" s="15">
        <f>Domestic!BC21/Domestic!BC$96</f>
        <v>1.3509490157037431E-5</v>
      </c>
      <c r="BA20" s="15">
        <f>Domestic!BD21/Domestic!BD$96</f>
        <v>6.58635204943606E-5</v>
      </c>
      <c r="BB20" s="15">
        <f>Domestic!BE21/Domestic!BE$96</f>
        <v>3.9269818751936542E-5</v>
      </c>
      <c r="BC20" s="15">
        <f>Domestic!BF21/Domestic!BF$96</f>
        <v>2.7793835694084679E-5</v>
      </c>
      <c r="BD20" s="15">
        <f>Domestic!BG21/Domestic!BG$96</f>
        <v>3.7338300820874538E-5</v>
      </c>
      <c r="BE20" s="15">
        <f>Domestic!BH21/Domestic!BH$96</f>
        <v>1.9540979455595669E-5</v>
      </c>
      <c r="BF20" s="15">
        <f>Domestic!BI21/Domestic!BI$96</f>
        <v>8.2767272494560382E-6</v>
      </c>
      <c r="BG20" s="15">
        <f>Domestic!BJ21/Domestic!BJ$96</f>
        <v>2.0124867839785426E-5</v>
      </c>
      <c r="BH20" s="15">
        <f>Domestic!BK21/Domestic!BK$96</f>
        <v>4.2022624140384707E-7</v>
      </c>
      <c r="BI20" s="15">
        <f>Domestic!BL21/Domestic!BL$96</f>
        <v>2.1968192048194859E-5</v>
      </c>
      <c r="BJ20" s="15">
        <f>Domestic!BM21/Domestic!BM$96</f>
        <v>7.0367254146850767E-5</v>
      </c>
      <c r="BK20" s="15">
        <f>Domestic!BN21/Domestic!BN$96</f>
        <v>6.5555190513034989E-4</v>
      </c>
      <c r="BL20" s="15">
        <f>Domestic!BO21/Domestic!BO$96</f>
        <v>9.3137648738569265E-3</v>
      </c>
      <c r="BM20" s="15">
        <f>Domestic!BP21/Domestic!BP$96</f>
        <v>6.4329532639083447E-5</v>
      </c>
      <c r="BN20" s="15">
        <f>Domestic!BQ21/Domestic!BQ$96</f>
        <v>2.2358610769299637E-3</v>
      </c>
      <c r="BO20" s="15">
        <f>Domestic!BR21/Domestic!BR$96</f>
        <v>1.886428833363162E-3</v>
      </c>
      <c r="BP20" s="15">
        <f>Domestic!BS21/Domestic!BS$96</f>
        <v>2.9743081277517646E-3</v>
      </c>
      <c r="BQ20" s="15">
        <f>Domestic!BT21/Domestic!BT$96</f>
        <v>3.3723616806206236E-3</v>
      </c>
      <c r="BR20" s="15">
        <f>Domestic!BU21/Domestic!BU$96</f>
        <v>1.5204710629359139E-3</v>
      </c>
      <c r="BS20" s="15">
        <f>Domestic!BV21/Domestic!BV$96</f>
        <v>4.8868405883508944E-4</v>
      </c>
      <c r="BT20" s="15">
        <f>Domestic!BW21/Domestic!BW$96</f>
        <v>2.7884748955554249E-3</v>
      </c>
      <c r="BU20" s="15">
        <f>Domestic!BX21/Domestic!BX$96</f>
        <v>2.7114382344653968E-3</v>
      </c>
      <c r="BV20" s="15">
        <f>Domestic!BY21/Domestic!BY$96</f>
        <v>8.1206038304308491E-5</v>
      </c>
      <c r="BW20" s="15">
        <f>Domestic!BZ21/Domestic!BZ$96</f>
        <v>3.6912958134802205E-3</v>
      </c>
      <c r="BX20" s="15">
        <f>Domestic!CA21/Domestic!CA$96</f>
        <v>5.1884220565864376E-3</v>
      </c>
      <c r="BY20" s="15">
        <f>Domestic!CB21/Domestic!CB$96</f>
        <v>2.5608339169885426E-3</v>
      </c>
      <c r="BZ20" s="15">
        <f>Domestic!CC21/Domestic!CC$96</f>
        <v>0</v>
      </c>
      <c r="CA20" s="15">
        <f>Domestic!CD21/Domestic!CD$96</f>
        <v>2.824304416554665E-4</v>
      </c>
    </row>
    <row r="21" spans="1:79" x14ac:dyDescent="0.3">
      <c r="A21" s="7" t="s">
        <v>109</v>
      </c>
      <c r="B21" s="15">
        <f>Domestic!E22/Domestic!E$96</f>
        <v>2.5738730005581313E-4</v>
      </c>
      <c r="C21" s="15">
        <f>Domestic!F22/Domestic!F$96</f>
        <v>6.5675122743050391E-6</v>
      </c>
      <c r="D21" s="15">
        <f>Domestic!G22/Domestic!G$96</f>
        <v>1.2539954845755956E-4</v>
      </c>
      <c r="E21" s="15">
        <f>Domestic!H22/Domestic!H$96</f>
        <v>1.6715641901325911E-5</v>
      </c>
      <c r="F21" s="15">
        <f>Domestic!I22/Domestic!I$96</f>
        <v>6.1862851117379717E-4</v>
      </c>
      <c r="G21" s="15">
        <f>Domestic!J22/Domestic!J$96</f>
        <v>4.498421415603701E-6</v>
      </c>
      <c r="H21" s="15">
        <f>Domestic!K22/Domestic!K$96</f>
        <v>3.7655943059528443E-6</v>
      </c>
      <c r="I21" s="15">
        <f>Domestic!L22/Domestic!L$96</f>
        <v>5.3421672160195283E-6</v>
      </c>
      <c r="J21" s="15">
        <f>Domestic!M22/Domestic!M$96</f>
        <v>2.4842528808961975E-6</v>
      </c>
      <c r="K21" s="15">
        <f>Domestic!N22/Domestic!N$96</f>
        <v>3.7655613874268148E-5</v>
      </c>
      <c r="L21" s="15">
        <f>Domestic!O22/Domestic!O$96</f>
        <v>3.1342329068713257E-5</v>
      </c>
      <c r="M21" s="15">
        <f>Domestic!P22/Domestic!P$96</f>
        <v>7.2184815412878168E-5</v>
      </c>
      <c r="N21" s="15">
        <f>Domestic!Q22/Domestic!Q$96</f>
        <v>3.1315800408048916E-4</v>
      </c>
      <c r="O21" s="15">
        <f>Domestic!R22/Domestic!R$96</f>
        <v>1.4300853443824108E-5</v>
      </c>
      <c r="P21" s="15">
        <f>Domestic!S22/Domestic!S$96</f>
        <v>6.5469918882642933E-4</v>
      </c>
      <c r="Q21" s="15">
        <f>Domestic!T22/Domestic!T$96</f>
        <v>5.1661893446141062E-2</v>
      </c>
      <c r="R21" s="15">
        <f>Domestic!U22/Domestic!U$96</f>
        <v>1.979961399691193E-3</v>
      </c>
      <c r="S21" s="15">
        <f>Domestic!V22/Domestic!V$96</f>
        <v>5.2832815637345357E-4</v>
      </c>
      <c r="T21" s="15">
        <f>Domestic!W22/Domestic!W$96</f>
        <v>6.44587169375754E-5</v>
      </c>
      <c r="U21" s="15">
        <f>Domestic!X22/Domestic!X$96</f>
        <v>2.2890338598759215E-3</v>
      </c>
      <c r="V21" s="15">
        <f>Domestic!Y22/Domestic!Y$96</f>
        <v>1.5751914048503296E-4</v>
      </c>
      <c r="W21" s="15">
        <f>Domestic!Z22/Domestic!Z$96</f>
        <v>3.9017504570479368E-6</v>
      </c>
      <c r="X21" s="15">
        <f>Domestic!AA22/Domestic!AA$96</f>
        <v>2.7752726796467173E-4</v>
      </c>
      <c r="Y21" s="15">
        <f>Domestic!AB22/Domestic!AB$96</f>
        <v>2.0365899526100399E-4</v>
      </c>
      <c r="Z21" s="15">
        <f>Domestic!AC22/Domestic!AC$96</f>
        <v>3.2478501877985686E-5</v>
      </c>
      <c r="AA21" s="15">
        <f>Domestic!AD22/Domestic!AD$96</f>
        <v>3.3298295107874232E-5</v>
      </c>
      <c r="AB21" s="15">
        <f>Domestic!AE22/Domestic!AE$96</f>
        <v>5.7749765894978182E-5</v>
      </c>
      <c r="AC21" s="15">
        <f>Domestic!AF22/Domestic!AF$96</f>
        <v>2.3171954778467655E-5</v>
      </c>
      <c r="AD21" s="15">
        <f>Domestic!AG22/Domestic!AG$96</f>
        <v>1.2249177530015466E-5</v>
      </c>
      <c r="AE21" s="15">
        <f>Domestic!AH22/Domestic!AH$96</f>
        <v>3.1757353938064893E-5</v>
      </c>
      <c r="AF21" s="15">
        <f>Domestic!AI22/Domestic!AI$96</f>
        <v>1.1258871470897283E-4</v>
      </c>
      <c r="AG21" s="15">
        <f>Domestic!AJ22/Domestic!AJ$96</f>
        <v>1.2054380446611767E-3</v>
      </c>
      <c r="AH21" s="15">
        <f>Domestic!AK22/Domestic!AK$96</f>
        <v>7.4391164318936905E-4</v>
      </c>
      <c r="AI21" s="15">
        <f>Domestic!AL22/Domestic!AL$96</f>
        <v>5.7611731880369645E-4</v>
      </c>
      <c r="AJ21" s="15">
        <f>Domestic!AM22/Domestic!AM$96</f>
        <v>6.0283572208406899E-4</v>
      </c>
      <c r="AK21" s="15">
        <f>Domestic!AN22/Domestic!AN$96</f>
        <v>5.3308020261824935E-6</v>
      </c>
      <c r="AL21" s="15">
        <f>Domestic!AO22/Domestic!AO$96</f>
        <v>2.2907152484630058E-6</v>
      </c>
      <c r="AM21" s="15">
        <f>Domestic!AP22/Domestic!AP$96</f>
        <v>3.1747838003357302E-6</v>
      </c>
      <c r="AN21" s="15">
        <f>Domestic!AQ22/Domestic!AQ$96</f>
        <v>5.8805547742873055E-5</v>
      </c>
      <c r="AO21" s="15">
        <f>Domestic!AR22/Domestic!AR$96</f>
        <v>2.5791269967998925E-5</v>
      </c>
      <c r="AP21" s="15">
        <f>Domestic!AS22/Domestic!AS$96</f>
        <v>5.4399094675605655E-6</v>
      </c>
      <c r="AQ21" s="15">
        <f>Domestic!AT22/Domestic!AT$96</f>
        <v>2.2446139047859491E-5</v>
      </c>
      <c r="AR21" s="15">
        <f>Domestic!AU22/Domestic!AU$96</f>
        <v>1.6779440159657613E-5</v>
      </c>
      <c r="AS21" s="15">
        <f>Domestic!AV22/Domestic!AV$96</f>
        <v>3.0627840094088722E-6</v>
      </c>
      <c r="AT21" s="15">
        <f>Domestic!AW22/Domestic!AW$96</f>
        <v>6.1679421574280017E-6</v>
      </c>
      <c r="AU21" s="15">
        <f>Domestic!AX22/Domestic!AX$96</f>
        <v>1.2537067291913654E-5</v>
      </c>
      <c r="AV21" s="15">
        <f>Domestic!AY22/Domestic!AY$96</f>
        <v>1.1219633322656187E-5</v>
      </c>
      <c r="AW21" s="15">
        <f>Domestic!AZ22/Domestic!AZ$96</f>
        <v>1.2962111125864465E-5</v>
      </c>
      <c r="AX21" s="15">
        <f>Domestic!BA22/Domestic!BA$96</f>
        <v>4.2738658799926289E-6</v>
      </c>
      <c r="AY21" s="15">
        <f>Domestic!BB22/Domestic!BB$96</f>
        <v>6.8775999643389541E-6</v>
      </c>
      <c r="AZ21" s="15">
        <f>Domestic!BC22/Domestic!BC$96</f>
        <v>2.4495229405617321E-6</v>
      </c>
      <c r="BA21" s="15">
        <f>Domestic!BD22/Domestic!BD$96</f>
        <v>1.8524115139038919E-5</v>
      </c>
      <c r="BB21" s="15">
        <f>Domestic!BE22/Domestic!BE$96</f>
        <v>8.5076880058799947E-6</v>
      </c>
      <c r="BC21" s="15">
        <f>Domestic!BF22/Domestic!BF$96</f>
        <v>3.8087730768664186E-6</v>
      </c>
      <c r="BD21" s="15">
        <f>Domestic!BG22/Domestic!BG$96</f>
        <v>3.7871705118315604E-6</v>
      </c>
      <c r="BE21" s="15">
        <f>Domestic!BH22/Domestic!BH$96</f>
        <v>1.7593439842554394E-6</v>
      </c>
      <c r="BF21" s="15">
        <f>Domestic!BI22/Domestic!BI$96</f>
        <v>9.2512270022173096E-6</v>
      </c>
      <c r="BG21" s="15">
        <f>Domestic!BJ22/Domestic!BJ$96</f>
        <v>4.1491608967475133E-4</v>
      </c>
      <c r="BH21" s="15">
        <f>Domestic!BK22/Domestic!BK$96</f>
        <v>8.0043093600732764E-8</v>
      </c>
      <c r="BI21" s="15">
        <f>Domestic!BL22/Domestic!BL$96</f>
        <v>1.9513626378785053E-5</v>
      </c>
      <c r="BJ21" s="15">
        <f>Domestic!BM22/Domestic!BM$96</f>
        <v>3.6175374040526327E-5</v>
      </c>
      <c r="BK21" s="15">
        <f>Domestic!BN22/Domestic!BN$96</f>
        <v>1.7853329962344358E-3</v>
      </c>
      <c r="BL21" s="15">
        <f>Domestic!BO22/Domestic!BO$96</f>
        <v>1.0893589617317781E-4</v>
      </c>
      <c r="BM21" s="15">
        <f>Domestic!BP22/Domestic!BP$96</f>
        <v>1.6146588108323373E-4</v>
      </c>
      <c r="BN21" s="15">
        <f>Domestic!BQ22/Domestic!BQ$96</f>
        <v>1.939193207470318E-4</v>
      </c>
      <c r="BO21" s="15">
        <f>Domestic!BR22/Domestic!BR$96</f>
        <v>3.3507841927053782E-4</v>
      </c>
      <c r="BP21" s="15">
        <f>Domestic!BS22/Domestic!BS$96</f>
        <v>2.5661297085750228E-4</v>
      </c>
      <c r="BQ21" s="15">
        <f>Domestic!BT22/Domestic!BT$96</f>
        <v>4.3701725882367776E-4</v>
      </c>
      <c r="BR21" s="15">
        <f>Domestic!BU22/Domestic!BU$96</f>
        <v>1.3860316570766457E-3</v>
      </c>
      <c r="BS21" s="15">
        <f>Domestic!BV22/Domestic!BV$96</f>
        <v>1.1836648927072994E-3</v>
      </c>
      <c r="BT21" s="15">
        <f>Domestic!BW22/Domestic!BW$96</f>
        <v>1.0295649894802746E-3</v>
      </c>
      <c r="BU21" s="15">
        <f>Domestic!BX22/Domestic!BX$96</f>
        <v>1.4046349814188239E-3</v>
      </c>
      <c r="BV21" s="15">
        <f>Domestic!BY22/Domestic!BY$96</f>
        <v>8.5795124168146924E-4</v>
      </c>
      <c r="BW21" s="15">
        <f>Domestic!BZ22/Domestic!BZ$96</f>
        <v>1.9432216607285569E-4</v>
      </c>
      <c r="BX21" s="15">
        <f>Domestic!CA22/Domestic!CA$96</f>
        <v>1.1620488994585258E-3</v>
      </c>
      <c r="BY21" s="15">
        <f>Domestic!CB22/Domestic!CB$96</f>
        <v>2.3377614020717802E-3</v>
      </c>
      <c r="BZ21" s="15">
        <f>Domestic!CC22/Domestic!CC$96</f>
        <v>0</v>
      </c>
      <c r="CA21" s="15">
        <f>Domestic!CD22/Domestic!CD$96</f>
        <v>1.722338918010913E-4</v>
      </c>
    </row>
    <row r="22" spans="1:79" x14ac:dyDescent="0.3">
      <c r="A22" s="8" t="s">
        <v>110</v>
      </c>
      <c r="B22" s="15">
        <f>Domestic!E23/Domestic!E$96</f>
        <v>1.5026804694421233E-5</v>
      </c>
      <c r="C22" s="15">
        <f>Domestic!F23/Domestic!F$96</f>
        <v>4.6164323371290466E-5</v>
      </c>
      <c r="D22" s="15">
        <f>Domestic!G23/Domestic!G$96</f>
        <v>9.723234697829582E-5</v>
      </c>
      <c r="E22" s="15">
        <f>Domestic!H23/Domestic!H$96</f>
        <v>1.6393517552185777E-4</v>
      </c>
      <c r="F22" s="15">
        <f>Domestic!I23/Domestic!I$96</f>
        <v>9.0244719048370405E-5</v>
      </c>
      <c r="G22" s="15">
        <f>Domestic!J23/Domestic!J$96</f>
        <v>6.9260913140180541E-4</v>
      </c>
      <c r="H22" s="15">
        <f>Domestic!K23/Domestic!K$96</f>
        <v>4.3512532994567692E-4</v>
      </c>
      <c r="I22" s="15">
        <f>Domestic!L23/Domestic!L$96</f>
        <v>1.7778889425161689E-4</v>
      </c>
      <c r="J22" s="15">
        <f>Domestic!M23/Domestic!M$96</f>
        <v>9.5999794040758967E-5</v>
      </c>
      <c r="K22" s="15">
        <f>Domestic!N23/Domestic!N$96</f>
        <v>7.1945893601774343E-4</v>
      </c>
      <c r="L22" s="15">
        <f>Domestic!O23/Domestic!O$96</f>
        <v>4.2996578481770157E-3</v>
      </c>
      <c r="M22" s="15">
        <f>Domestic!P23/Domestic!P$96</f>
        <v>1.6634577289773137E-2</v>
      </c>
      <c r="N22" s="15">
        <f>Domestic!Q23/Domestic!Q$96</f>
        <v>2.6174485234350004E-4</v>
      </c>
      <c r="O22" s="15">
        <f>Domestic!R23/Domestic!R$96</f>
        <v>9.1020903457084175E-5</v>
      </c>
      <c r="P22" s="15">
        <f>Domestic!S23/Domestic!S$96</f>
        <v>6.9354619942747179E-4</v>
      </c>
      <c r="Q22" s="15">
        <f>Domestic!T23/Domestic!T$96</f>
        <v>5.5880331142703068E-3</v>
      </c>
      <c r="R22" s="15">
        <f>Domestic!U23/Domestic!U$96</f>
        <v>6.9896916349387384E-2</v>
      </c>
      <c r="S22" s="15">
        <f>Domestic!V23/Domestic!V$96</f>
        <v>3.3292496626710134E-4</v>
      </c>
      <c r="T22" s="15">
        <f>Domestic!W23/Domestic!W$96</f>
        <v>5.0417320243641232E-5</v>
      </c>
      <c r="U22" s="15">
        <f>Domestic!X23/Domestic!X$96</f>
        <v>2.471963132877069E-4</v>
      </c>
      <c r="V22" s="15">
        <f>Domestic!Y23/Domestic!Y$96</f>
        <v>6.1694317510687605E-4</v>
      </c>
      <c r="W22" s="15">
        <f>Domestic!Z23/Domestic!Z$96</f>
        <v>2.9197982504608992E-4</v>
      </c>
      <c r="X22" s="15">
        <f>Domestic!AA23/Domestic!AA$96</f>
        <v>3.0723050685094199E-4</v>
      </c>
      <c r="Y22" s="15">
        <f>Domestic!AB23/Domestic!AB$96</f>
        <v>1.416054241788455E-4</v>
      </c>
      <c r="Z22" s="15">
        <f>Domestic!AC23/Domestic!AC$96</f>
        <v>1.1892449275548721E-4</v>
      </c>
      <c r="AA22" s="15">
        <f>Domestic!AD23/Domestic!AD$96</f>
        <v>1.0851865096995374E-4</v>
      </c>
      <c r="AB22" s="15">
        <f>Domestic!AE23/Domestic!AE$96</f>
        <v>8.6155732987855637E-5</v>
      </c>
      <c r="AC22" s="15">
        <f>Domestic!AF23/Domestic!AF$96</f>
        <v>8.6271686870170253E-5</v>
      </c>
      <c r="AD22" s="15">
        <f>Domestic!AG23/Domestic!AG$96</f>
        <v>5.9567696597138371E-5</v>
      </c>
      <c r="AE22" s="15">
        <f>Domestic!AH23/Domestic!AH$96</f>
        <v>1.0612227254241462E-4</v>
      </c>
      <c r="AF22" s="15">
        <f>Domestic!AI23/Domestic!AI$96</f>
        <v>1.6011208491899251E-4</v>
      </c>
      <c r="AG22" s="15">
        <f>Domestic!AJ23/Domestic!AJ$96</f>
        <v>2.3881811943027639E-4</v>
      </c>
      <c r="AH22" s="15">
        <f>Domestic!AK23/Domestic!AK$96</f>
        <v>8.3765080523978241E-5</v>
      </c>
      <c r="AI22" s="15">
        <f>Domestic!AL23/Domestic!AL$96</f>
        <v>4.2510863841070949E-4</v>
      </c>
      <c r="AJ22" s="15">
        <f>Domestic!AM23/Domestic!AM$96</f>
        <v>1.4476272427614757E-4</v>
      </c>
      <c r="AK22" s="15">
        <f>Domestic!AN23/Domestic!AN$96</f>
        <v>1.9630253479244053E-4</v>
      </c>
      <c r="AL22" s="15">
        <f>Domestic!AO23/Domestic!AO$96</f>
        <v>1.8376146537198517E-4</v>
      </c>
      <c r="AM22" s="15">
        <f>Domestic!AP23/Domestic!AP$96</f>
        <v>9.3158116807890595E-5</v>
      </c>
      <c r="AN22" s="15">
        <f>Domestic!AQ23/Domestic!AQ$96</f>
        <v>2.8952469780643328E-5</v>
      </c>
      <c r="AO22" s="15">
        <f>Domestic!AR23/Domestic!AR$96</f>
        <v>2.1236717256130559E-4</v>
      </c>
      <c r="AP22" s="15">
        <f>Domestic!AS23/Domestic!AS$96</f>
        <v>6.8133901558240851E-4</v>
      </c>
      <c r="AQ22" s="15">
        <f>Domestic!AT23/Domestic!AT$96</f>
        <v>6.8779912311789631E-5</v>
      </c>
      <c r="AR22" s="15">
        <f>Domestic!AU23/Domestic!AU$96</f>
        <v>1.7643602675768223E-4</v>
      </c>
      <c r="AS22" s="15">
        <f>Domestic!AV23/Domestic!AV$96</f>
        <v>1.6906567731936976E-4</v>
      </c>
      <c r="AT22" s="15">
        <f>Domestic!AW23/Domestic!AW$96</f>
        <v>9.7475127989669181E-5</v>
      </c>
      <c r="AU22" s="15">
        <f>Domestic!AX23/Domestic!AX$96</f>
        <v>2.5101654975443708E-4</v>
      </c>
      <c r="AV22" s="15">
        <f>Domestic!AY23/Domestic!AY$96</f>
        <v>1.4138587376654927E-4</v>
      </c>
      <c r="AW22" s="15">
        <f>Domestic!AZ23/Domestic!AZ$96</f>
        <v>1.3316267167554749E-4</v>
      </c>
      <c r="AX22" s="15">
        <f>Domestic!BA23/Domestic!BA$96</f>
        <v>2.6030824976048129E-4</v>
      </c>
      <c r="AY22" s="15">
        <f>Domestic!BB23/Domestic!BB$96</f>
        <v>4.9745126567918166E-4</v>
      </c>
      <c r="AZ22" s="15">
        <f>Domestic!BC23/Domestic!BC$96</f>
        <v>1.6441494888921928E-4</v>
      </c>
      <c r="BA22" s="15">
        <f>Domestic!BD23/Domestic!BD$96</f>
        <v>4.0615837638189039E-4</v>
      </c>
      <c r="BB22" s="15">
        <f>Domestic!BE23/Domestic!BE$96</f>
        <v>1.0577814814940167E-4</v>
      </c>
      <c r="BC22" s="15">
        <f>Domestic!BF23/Domestic!BF$96</f>
        <v>1.0060286072628768E-4</v>
      </c>
      <c r="BD22" s="15">
        <f>Domestic!BG23/Domestic!BG$96</f>
        <v>4.413920561324812E-5</v>
      </c>
      <c r="BE22" s="15">
        <f>Domestic!BH23/Domestic!BH$96</f>
        <v>3.8833882855064553E-5</v>
      </c>
      <c r="BF22" s="15">
        <f>Domestic!BI23/Domestic!BI$96</f>
        <v>2.281282785317334E-5</v>
      </c>
      <c r="BG22" s="15">
        <f>Domestic!BJ23/Domestic!BJ$96</f>
        <v>6.287909738159761E-5</v>
      </c>
      <c r="BH22" s="15">
        <f>Domestic!BK23/Domestic!BK$96</f>
        <v>2.5213574484230823E-6</v>
      </c>
      <c r="BI22" s="15">
        <f>Domestic!BL23/Domestic!BL$96</f>
        <v>1.2435498797879876E-4</v>
      </c>
      <c r="BJ22" s="15">
        <f>Domestic!BM23/Domestic!BM$96</f>
        <v>1.8427781381151083E-4</v>
      </c>
      <c r="BK22" s="15">
        <f>Domestic!BN23/Domestic!BN$96</f>
        <v>5.8087181265875859E-4</v>
      </c>
      <c r="BL22" s="15">
        <f>Domestic!BO23/Domestic!BO$96</f>
        <v>6.5572759908335827E-4</v>
      </c>
      <c r="BM22" s="15">
        <f>Domestic!BP23/Domestic!BP$96</f>
        <v>8.6919079977323347E-4</v>
      </c>
      <c r="BN22" s="15">
        <f>Domestic!BQ23/Domestic!BQ$96</f>
        <v>1.9225325730522055E-3</v>
      </c>
      <c r="BO22" s="15">
        <f>Domestic!BR23/Domestic!BR$96</f>
        <v>1.2614882363530542E-3</v>
      </c>
      <c r="BP22" s="15">
        <f>Domestic!BS23/Domestic!BS$96</f>
        <v>2.2844014256761481E-3</v>
      </c>
      <c r="BQ22" s="15">
        <f>Domestic!BT23/Domestic!BT$96</f>
        <v>2.2339841540299082E-4</v>
      </c>
      <c r="BR22" s="15">
        <f>Domestic!BU23/Domestic!BU$96</f>
        <v>1.4467825811728815E-3</v>
      </c>
      <c r="BS22" s="15">
        <f>Domestic!BV23/Domestic!BV$96</f>
        <v>7.0163582081521946E-3</v>
      </c>
      <c r="BT22" s="15">
        <f>Domestic!BW23/Domestic!BW$96</f>
        <v>7.907455071061685E-3</v>
      </c>
      <c r="BU22" s="15">
        <f>Domestic!BX23/Domestic!BX$96</f>
        <v>8.3356743916356989E-4</v>
      </c>
      <c r="BV22" s="15">
        <f>Domestic!BY23/Domestic!BY$96</f>
        <v>9.2126804331756152E-5</v>
      </c>
      <c r="BW22" s="15">
        <f>Domestic!BZ23/Domestic!BZ$96</f>
        <v>1.5657363372503013E-4</v>
      </c>
      <c r="BX22" s="15">
        <f>Domestic!CA23/Domestic!CA$96</f>
        <v>4.683711426275069E-4</v>
      </c>
      <c r="BY22" s="15">
        <f>Domestic!CB23/Domestic!CB$96</f>
        <v>7.330609828568983E-4</v>
      </c>
      <c r="BZ22" s="15">
        <f>Domestic!CC23/Domestic!CC$96</f>
        <v>0</v>
      </c>
      <c r="CA22" s="15">
        <f>Domestic!CD23/Domestic!CD$96</f>
        <v>2.5859717381509781E-3</v>
      </c>
    </row>
    <row r="23" spans="1:79" x14ac:dyDescent="0.3">
      <c r="A23" s="7" t="s">
        <v>111</v>
      </c>
      <c r="B23" s="15">
        <f>Domestic!E24/Domestic!E$96</f>
        <v>3.302353044139936E-6</v>
      </c>
      <c r="C23" s="15">
        <f>Domestic!F24/Domestic!F$96</f>
        <v>5.0134297754682596E-6</v>
      </c>
      <c r="D23" s="15">
        <f>Domestic!G24/Domestic!G$96</f>
        <v>4.6829706892864561E-6</v>
      </c>
      <c r="E23" s="15">
        <f>Domestic!H24/Domestic!H$96</f>
        <v>1.5623030933296537E-4</v>
      </c>
      <c r="F23" s="15">
        <f>Domestic!I24/Domestic!I$96</f>
        <v>1.9915412412593467E-5</v>
      </c>
      <c r="G23" s="15">
        <f>Domestic!J24/Domestic!J$96</f>
        <v>3.39524785881824E-5</v>
      </c>
      <c r="H23" s="15">
        <f>Domestic!K24/Domestic!K$96</f>
        <v>4.5500140769913834E-5</v>
      </c>
      <c r="I23" s="15">
        <f>Domestic!L24/Domestic!L$96</f>
        <v>5.640988564577782E-5</v>
      </c>
      <c r="J23" s="15">
        <f>Domestic!M24/Domestic!M$96</f>
        <v>1.8066552406254951E-5</v>
      </c>
      <c r="K23" s="15">
        <f>Domestic!N24/Domestic!N$96</f>
        <v>4.018872795425913E-5</v>
      </c>
      <c r="L23" s="15">
        <f>Domestic!O24/Domestic!O$96</f>
        <v>4.484638838169148E-4</v>
      </c>
      <c r="M23" s="15">
        <f>Domestic!P24/Domestic!P$96</f>
        <v>6.115694429457436E-5</v>
      </c>
      <c r="N23" s="15">
        <f>Domestic!Q24/Domestic!Q$96</f>
        <v>4.1063772788598673E-5</v>
      </c>
      <c r="O23" s="15">
        <f>Domestic!R24/Domestic!R$96</f>
        <v>5.2545618483710455E-6</v>
      </c>
      <c r="P23" s="15">
        <f>Domestic!S24/Domestic!S$96</f>
        <v>1.0860356599358409E-4</v>
      </c>
      <c r="Q23" s="15">
        <f>Domestic!T24/Domestic!T$96</f>
        <v>2.7568417336653001E-4</v>
      </c>
      <c r="R23" s="15">
        <f>Domestic!U24/Domestic!U$96</f>
        <v>2.0503101767484332E-3</v>
      </c>
      <c r="S23" s="15">
        <f>Domestic!V24/Domestic!V$96</f>
        <v>0.2171446884828474</v>
      </c>
      <c r="T23" s="15">
        <f>Domestic!W24/Domestic!W$96</f>
        <v>4.0048117120696198E-5</v>
      </c>
      <c r="U23" s="15">
        <f>Domestic!X24/Domestic!X$96</f>
        <v>1.0520657985081279E-4</v>
      </c>
      <c r="V23" s="15">
        <f>Domestic!Y24/Domestic!Y$96</f>
        <v>4.2188676587147383E-4</v>
      </c>
      <c r="W23" s="15">
        <f>Domestic!Z24/Domestic!Z$96</f>
        <v>1.0901084490588866E-4</v>
      </c>
      <c r="X23" s="15">
        <f>Domestic!AA24/Domestic!AA$96</f>
        <v>5.152158705678902E-4</v>
      </c>
      <c r="Y23" s="15">
        <f>Domestic!AB24/Domestic!AB$96</f>
        <v>4.3039158972633538E-4</v>
      </c>
      <c r="Z23" s="15">
        <f>Domestic!AC24/Domestic!AC$96</f>
        <v>4.7980678799583513E-4</v>
      </c>
      <c r="AA23" s="15">
        <f>Domestic!AD24/Domestic!AD$96</f>
        <v>9.9387337826070357E-5</v>
      </c>
      <c r="AB23" s="15">
        <f>Domestic!AE24/Domestic!AE$96</f>
        <v>8.9312384832413848E-5</v>
      </c>
      <c r="AC23" s="15">
        <f>Domestic!AF24/Domestic!AF$96</f>
        <v>6.3031510768571969E-5</v>
      </c>
      <c r="AD23" s="15">
        <f>Domestic!AG24/Domestic!AG$96</f>
        <v>2.766798168037819E-5</v>
      </c>
      <c r="AE23" s="15">
        <f>Domestic!AH24/Domestic!AH$96</f>
        <v>4.0467024604191898E-5</v>
      </c>
      <c r="AF23" s="15">
        <f>Domestic!AI24/Domestic!AI$96</f>
        <v>2.0757012280618649E-4</v>
      </c>
      <c r="AG23" s="15">
        <f>Domestic!AJ24/Domestic!AJ$96</f>
        <v>2.3737396471207586E-3</v>
      </c>
      <c r="AH23" s="15">
        <f>Domestic!AK24/Domestic!AK$96</f>
        <v>6.4749919789922991E-5</v>
      </c>
      <c r="AI23" s="15">
        <f>Domestic!AL24/Domestic!AL$96</f>
        <v>1.2398060455631492E-5</v>
      </c>
      <c r="AJ23" s="15">
        <f>Domestic!AM24/Domestic!AM$96</f>
        <v>1.8609562603407096E-5</v>
      </c>
      <c r="AK23" s="15">
        <f>Domestic!AN24/Domestic!AN$96</f>
        <v>2.7460386561692322E-6</v>
      </c>
      <c r="AL23" s="15">
        <f>Domestic!AO24/Domestic!AO$96</f>
        <v>4.898384808034101E-6</v>
      </c>
      <c r="AM23" s="15">
        <f>Domestic!AP24/Domestic!AP$96</f>
        <v>1.3570644479866456E-5</v>
      </c>
      <c r="AN23" s="15">
        <f>Domestic!AQ24/Domestic!AQ$96</f>
        <v>3.6911314146922457E-5</v>
      </c>
      <c r="AO23" s="15">
        <f>Domestic!AR24/Domestic!AR$96</f>
        <v>1.1902714260697736E-5</v>
      </c>
      <c r="AP23" s="15">
        <f>Domestic!AS24/Domestic!AS$96</f>
        <v>1.0571171589443938E-5</v>
      </c>
      <c r="AQ23" s="15">
        <f>Domestic!AT24/Domestic!AT$96</f>
        <v>1.5032735325630668E-5</v>
      </c>
      <c r="AR23" s="15">
        <f>Domestic!AU24/Domestic!AU$96</f>
        <v>4.376317089987036E-6</v>
      </c>
      <c r="AS23" s="15">
        <f>Domestic!AV24/Domestic!AV$96</f>
        <v>2.6544128081543559E-6</v>
      </c>
      <c r="AT23" s="15">
        <f>Domestic!AW24/Domestic!AW$96</f>
        <v>2.4671768629712008E-6</v>
      </c>
      <c r="AU23" s="15">
        <f>Domestic!AX24/Domestic!AX$96</f>
        <v>1.1451540733711375E-5</v>
      </c>
      <c r="AV23" s="15">
        <f>Domestic!AY24/Domestic!AY$96</f>
        <v>2.7432619937263754E-6</v>
      </c>
      <c r="AW23" s="15">
        <f>Domestic!AZ24/Domestic!AZ$96</f>
        <v>5.3406731086895117E-6</v>
      </c>
      <c r="AX23" s="15">
        <f>Domestic!BA24/Domestic!BA$96</f>
        <v>5.6543135156491629E-6</v>
      </c>
      <c r="AY23" s="15">
        <f>Domestic!BB24/Domestic!BB$96</f>
        <v>7.7446899311897097E-6</v>
      </c>
      <c r="AZ23" s="15">
        <f>Domestic!BC24/Domestic!BC$96</f>
        <v>5.5670975921857545E-6</v>
      </c>
      <c r="BA23" s="15">
        <f>Domestic!BD24/Domestic!BD$96</f>
        <v>2.2983624339177922E-5</v>
      </c>
      <c r="BB23" s="15">
        <f>Domestic!BE24/Domestic!BE$96</f>
        <v>4.3349799920968915E-6</v>
      </c>
      <c r="BC23" s="15">
        <f>Domestic!BF24/Domestic!BF$96</f>
        <v>4.2304814527137728E-5</v>
      </c>
      <c r="BD23" s="15">
        <f>Domestic!BG24/Domestic!BG$96</f>
        <v>4.4912641844537662E-5</v>
      </c>
      <c r="BE23" s="15">
        <f>Domestic!BH24/Domestic!BH$96</f>
        <v>2.7659054533675465E-6</v>
      </c>
      <c r="BF23" s="15">
        <f>Domestic!BI24/Domestic!BI$96</f>
        <v>3.1883725182636948E-6</v>
      </c>
      <c r="BG23" s="15">
        <f>Domestic!BJ24/Domestic!BJ$96</f>
        <v>5.0060238264208519E-5</v>
      </c>
      <c r="BH23" s="15">
        <f>Domestic!BK24/Domestic!BK$96</f>
        <v>6.003232020054957E-8</v>
      </c>
      <c r="BI23" s="15">
        <f>Domestic!BL24/Domestic!BL$96</f>
        <v>1.7320221034423719E-5</v>
      </c>
      <c r="BJ23" s="15">
        <f>Domestic!BM24/Domestic!BM$96</f>
        <v>2.0336426487647233E-4</v>
      </c>
      <c r="BK23" s="15">
        <f>Domestic!BN24/Domestic!BN$96</f>
        <v>7.9833189029711459E-5</v>
      </c>
      <c r="BL23" s="15">
        <f>Domestic!BO24/Domestic!BO$96</f>
        <v>3.2974133024771591E-5</v>
      </c>
      <c r="BM23" s="15">
        <f>Domestic!BP24/Domestic!BP$96</f>
        <v>1.3069361169983087E-4</v>
      </c>
      <c r="BN23" s="15">
        <f>Domestic!BQ24/Domestic!BQ$96</f>
        <v>7.9117620171914184E-5</v>
      </c>
      <c r="BO23" s="15">
        <f>Domestic!BR24/Domestic!BR$96</f>
        <v>9.6278508890418983E-5</v>
      </c>
      <c r="BP23" s="15">
        <f>Domestic!BS24/Domestic!BS$96</f>
        <v>1.2382940806485428E-4</v>
      </c>
      <c r="BQ23" s="15">
        <f>Domestic!BT24/Domestic!BT$96</f>
        <v>2.9780564078642366E-5</v>
      </c>
      <c r="BR23" s="15">
        <f>Domestic!BU24/Domestic!BU$96</f>
        <v>4.6491060883936008E-5</v>
      </c>
      <c r="BS23" s="15">
        <f>Domestic!BV24/Domestic!BV$96</f>
        <v>3.7224133782285578E-5</v>
      </c>
      <c r="BT23" s="15">
        <f>Domestic!BW24/Domestic!BW$96</f>
        <v>3.7734652444794793E-4</v>
      </c>
      <c r="BU23" s="15">
        <f>Domestic!BX24/Domestic!BX$96</f>
        <v>1.7764798465579672E-4</v>
      </c>
      <c r="BV23" s="15">
        <f>Domestic!BY24/Domestic!BY$96</f>
        <v>1.9366819362223029E-5</v>
      </c>
      <c r="BW23" s="15">
        <f>Domestic!BZ24/Domestic!BZ$96</f>
        <v>9.8866789638105568E-4</v>
      </c>
      <c r="BX23" s="15">
        <f>Domestic!CA24/Domestic!CA$96</f>
        <v>3.0770834976455184E-5</v>
      </c>
      <c r="BY23" s="15">
        <f>Domestic!CB24/Domestic!CB$96</f>
        <v>9.9831426335419428E-5</v>
      </c>
      <c r="BZ23" s="15">
        <f>Domestic!CC24/Domestic!CC$96</f>
        <v>0</v>
      </c>
      <c r="CA23" s="15">
        <f>Domestic!CD24/Domestic!CD$96</f>
        <v>5.9478876847880464E-4</v>
      </c>
    </row>
    <row r="24" spans="1:79" x14ac:dyDescent="0.3">
      <c r="A24" s="8" t="s">
        <v>112</v>
      </c>
      <c r="B24" s="15">
        <f>Domestic!E25/Domestic!E$96</f>
        <v>7.658881616126299E-4</v>
      </c>
      <c r="C24" s="15">
        <f>Domestic!F25/Domestic!F$96</f>
        <v>2.1866142587529437E-5</v>
      </c>
      <c r="D24" s="15">
        <f>Domestic!G25/Domestic!G$96</f>
        <v>3.5243690520852142E-5</v>
      </c>
      <c r="E24" s="15">
        <f>Domestic!H25/Domestic!H$96</f>
        <v>9.9266535916103142E-4</v>
      </c>
      <c r="F24" s="15">
        <f>Domestic!I25/Domestic!I$96</f>
        <v>5.900542237992065E-4</v>
      </c>
      <c r="G24" s="15">
        <f>Domestic!J25/Domestic!J$96</f>
        <v>2.4030684513044444E-4</v>
      </c>
      <c r="H24" s="15">
        <f>Domestic!K25/Domestic!K$96</f>
        <v>3.96181425584336E-2</v>
      </c>
      <c r="I24" s="15">
        <f>Domestic!L25/Domestic!L$96</f>
        <v>2.4485630541194819E-3</v>
      </c>
      <c r="J24" s="15">
        <f>Domestic!M25/Domestic!M$96</f>
        <v>4.336434637665031E-5</v>
      </c>
      <c r="K24" s="15">
        <f>Domestic!N25/Domestic!N$96</f>
        <v>8.2890391187396099E-3</v>
      </c>
      <c r="L24" s="15">
        <f>Domestic!O25/Domestic!O$96</f>
        <v>3.0131333845273296E-3</v>
      </c>
      <c r="M24" s="15">
        <f>Domestic!P25/Domestic!P$96</f>
        <v>1.2635623825226993E-3</v>
      </c>
      <c r="N24" s="15">
        <f>Domestic!Q25/Domestic!Q$96</f>
        <v>1.9330913445612759E-4</v>
      </c>
      <c r="O24" s="15">
        <f>Domestic!R25/Domestic!R$96</f>
        <v>3.2551353561128589E-4</v>
      </c>
      <c r="P24" s="15">
        <f>Domestic!S25/Domestic!S$96</f>
        <v>3.468996536966687E-4</v>
      </c>
      <c r="Q24" s="15">
        <f>Domestic!T25/Domestic!T$96</f>
        <v>1.114906077750302E-3</v>
      </c>
      <c r="R24" s="15">
        <f>Domestic!U25/Domestic!U$96</f>
        <v>9.2633867151510195E-4</v>
      </c>
      <c r="S24" s="15">
        <f>Domestic!V25/Domestic!V$96</f>
        <v>2.3819697543734061E-4</v>
      </c>
      <c r="T24" s="15">
        <f>Domestic!W25/Domestic!W$96</f>
        <v>0.10260480521373802</v>
      </c>
      <c r="U24" s="15">
        <f>Domestic!X25/Domestic!X$96</f>
        <v>3.6480996397958638E-4</v>
      </c>
      <c r="V24" s="15">
        <f>Domestic!Y25/Domestic!Y$96</f>
        <v>6.4360581327013472E-4</v>
      </c>
      <c r="W24" s="15">
        <f>Domestic!Z25/Domestic!Z$96</f>
        <v>1.2642912355563895E-4</v>
      </c>
      <c r="X24" s="15">
        <f>Domestic!AA25/Domestic!AA$96</f>
        <v>3.5268633178227662E-4</v>
      </c>
      <c r="Y24" s="15">
        <f>Domestic!AB25/Domestic!AB$96</f>
        <v>6.5616285994349083E-4</v>
      </c>
      <c r="Z24" s="15">
        <f>Domestic!AC25/Domestic!AC$96</f>
        <v>4.5645563978705746E-4</v>
      </c>
      <c r="AA24" s="15">
        <f>Domestic!AD25/Domestic!AD$96</f>
        <v>1.7052687555346735E-4</v>
      </c>
      <c r="AB24" s="15">
        <f>Domestic!AE25/Domestic!AE$96</f>
        <v>4.0021471003815054E-3</v>
      </c>
      <c r="AC24" s="15">
        <f>Domestic!AF25/Domestic!AF$96</f>
        <v>8.6046889290781266E-4</v>
      </c>
      <c r="AD24" s="15">
        <f>Domestic!AG25/Domestic!AG$96</f>
        <v>1.0273794856666394E-3</v>
      </c>
      <c r="AE24" s="15">
        <f>Domestic!AH25/Domestic!AH$96</f>
        <v>1.301649955323438E-3</v>
      </c>
      <c r="AF24" s="15">
        <f>Domestic!AI25/Domestic!AI$96</f>
        <v>7.9897009831565301E-4</v>
      </c>
      <c r="AG24" s="15">
        <f>Domestic!AJ25/Domestic!AJ$96</f>
        <v>5.4793171972726359E-2</v>
      </c>
      <c r="AH24" s="15">
        <f>Domestic!AK25/Domestic!AK$96</f>
        <v>3.3158373047672517E-3</v>
      </c>
      <c r="AI24" s="15">
        <f>Domestic!AL25/Domestic!AL$96</f>
        <v>3.3588192146925117E-4</v>
      </c>
      <c r="AJ24" s="15">
        <f>Domestic!AM25/Domestic!AM$96</f>
        <v>3.6592509503558191E-4</v>
      </c>
      <c r="AK24" s="15">
        <f>Domestic!AN25/Domestic!AN$96</f>
        <v>8.838321560498971E-5</v>
      </c>
      <c r="AL24" s="15">
        <f>Domestic!AO25/Domestic!AO$96</f>
        <v>7.5067747183122583E-4</v>
      </c>
      <c r="AM24" s="15">
        <f>Domestic!AP25/Domestic!AP$96</f>
        <v>1.0987241975671694E-4</v>
      </c>
      <c r="AN24" s="15">
        <f>Domestic!AQ25/Domestic!AQ$96</f>
        <v>3.0176703980506201E-4</v>
      </c>
      <c r="AO24" s="15">
        <f>Domestic!AR25/Domestic!AR$96</f>
        <v>1.0476814318468863E-3</v>
      </c>
      <c r="AP24" s="15">
        <f>Domestic!AS25/Domestic!AS$96</f>
        <v>1.6136083232003767E-3</v>
      </c>
      <c r="AQ24" s="15">
        <f>Domestic!AT25/Domestic!AT$96</f>
        <v>7.561671796673399E-4</v>
      </c>
      <c r="AR24" s="15">
        <f>Domestic!AU25/Domestic!AU$96</f>
        <v>4.1702245768810125E-4</v>
      </c>
      <c r="AS24" s="15">
        <f>Domestic!AV25/Domestic!AV$96</f>
        <v>2.2664601669625656E-5</v>
      </c>
      <c r="AT24" s="15">
        <f>Domestic!AW25/Domestic!AW$96</f>
        <v>1.4451596684365341E-3</v>
      </c>
      <c r="AU24" s="15">
        <f>Domestic!AX25/Domestic!AX$96</f>
        <v>3.1036886100713074E-5</v>
      </c>
      <c r="AV24" s="15">
        <f>Domestic!AY25/Domestic!AY$96</f>
        <v>1.2921072222135918E-4</v>
      </c>
      <c r="AW24" s="15">
        <f>Domestic!AZ25/Domestic!AZ$96</f>
        <v>3.6768480248285481E-4</v>
      </c>
      <c r="AX24" s="15">
        <f>Domestic!BA25/Domestic!BA$96</f>
        <v>4.0141208528674953E-4</v>
      </c>
      <c r="AY24" s="15">
        <f>Domestic!BB25/Domestic!BB$96</f>
        <v>7.0134878515681399E-4</v>
      </c>
      <c r="AZ24" s="15">
        <f>Domestic!BC25/Domestic!BC$96</f>
        <v>2.2787986144013687E-4</v>
      </c>
      <c r="BA24" s="15">
        <f>Domestic!BD25/Domestic!BD$96</f>
        <v>1.646588012359015E-4</v>
      </c>
      <c r="BB24" s="15">
        <f>Domestic!BE25/Domestic!BE$96</f>
        <v>1.6459014943255576E-5</v>
      </c>
      <c r="BC24" s="15">
        <f>Domestic!BF25/Domestic!BF$96</f>
        <v>5.0147782203007829E-5</v>
      </c>
      <c r="BD24" s="15">
        <f>Domestic!BG25/Domestic!BG$96</f>
        <v>6.3021717742661818E-5</v>
      </c>
      <c r="BE24" s="15">
        <f>Domestic!BH25/Domestic!BH$96</f>
        <v>2.5340826560904524E-5</v>
      </c>
      <c r="BF24" s="15">
        <f>Domestic!BI25/Domestic!BI$96</f>
        <v>1.7845937073628814E-4</v>
      </c>
      <c r="BG24" s="15">
        <f>Domestic!BJ25/Domestic!BJ$96</f>
        <v>4.310841536020016E-4</v>
      </c>
      <c r="BH24" s="15">
        <f>Domestic!BK25/Domestic!BK$96</f>
        <v>5.1627795372472639E-6</v>
      </c>
      <c r="BI24" s="15">
        <f>Domestic!BL25/Domestic!BL$96</f>
        <v>3.6477781767423734E-4</v>
      </c>
      <c r="BJ24" s="15">
        <f>Domestic!BM25/Domestic!BM$96</f>
        <v>1.2597525508047761E-4</v>
      </c>
      <c r="BK24" s="15">
        <f>Domestic!BN25/Domestic!BN$96</f>
        <v>2.586669366737994E-4</v>
      </c>
      <c r="BL24" s="15">
        <f>Domestic!BO25/Domestic!BO$96</f>
        <v>1.7695726904396998E-4</v>
      </c>
      <c r="BM24" s="15">
        <f>Domestic!BP25/Domestic!BP$96</f>
        <v>1.0020876859489839E-4</v>
      </c>
      <c r="BN24" s="15">
        <f>Domestic!BQ25/Domestic!BQ$96</f>
        <v>5.4300813382973726E-3</v>
      </c>
      <c r="BO24" s="15">
        <f>Domestic!BR25/Domestic!BR$96</f>
        <v>1.6542378530024171E-4</v>
      </c>
      <c r="BP24" s="15">
        <f>Domestic!BS25/Domestic!BS$96</f>
        <v>5.7961772311132846E-4</v>
      </c>
      <c r="BQ24" s="15">
        <f>Domestic!BT25/Domestic!BT$96</f>
        <v>2.017478569481915E-4</v>
      </c>
      <c r="BR24" s="15">
        <f>Domestic!BU25/Domestic!BU$96</f>
        <v>3.5485872457499446E-4</v>
      </c>
      <c r="BS24" s="15">
        <f>Domestic!BV25/Domestic!BV$96</f>
        <v>9.1910765618319844E-4</v>
      </c>
      <c r="BT24" s="15">
        <f>Domestic!BW25/Domestic!BW$96</f>
        <v>8.0059020070260406E-4</v>
      </c>
      <c r="BU24" s="15">
        <f>Domestic!BX25/Domestic!BX$96</f>
        <v>4.6762831641388255E-4</v>
      </c>
      <c r="BV24" s="15">
        <f>Domestic!BY25/Domestic!BY$96</f>
        <v>3.7853418881647173E-3</v>
      </c>
      <c r="BW24" s="15">
        <f>Domestic!BZ25/Domestic!BZ$96</f>
        <v>4.1210141783941195E-4</v>
      </c>
      <c r="BX24" s="15">
        <f>Domestic!CA25/Domestic!CA$96</f>
        <v>1.3878210601906316E-4</v>
      </c>
      <c r="BY24" s="15">
        <f>Domestic!CB25/Domestic!CB$96</f>
        <v>1.745784899348573E-4</v>
      </c>
      <c r="BZ24" s="15">
        <f>Domestic!CC25/Domestic!CC$96</f>
        <v>0</v>
      </c>
      <c r="CA24" s="15">
        <f>Domestic!CD25/Domestic!CD$96</f>
        <v>1.142480399890392E-4</v>
      </c>
    </row>
    <row r="25" spans="1:79" x14ac:dyDescent="0.3">
      <c r="A25" s="7" t="s">
        <v>113</v>
      </c>
      <c r="B25" s="15">
        <f>Domestic!E26/Domestic!E$96</f>
        <v>3.988056266249755E-4</v>
      </c>
      <c r="C25" s="15">
        <f>Domestic!F26/Domestic!F$96</f>
        <v>1.1160532459503557E-4</v>
      </c>
      <c r="D25" s="15">
        <f>Domestic!G26/Domestic!G$96</f>
        <v>1.2974603903065283E-3</v>
      </c>
      <c r="E25" s="15">
        <f>Domestic!H26/Domestic!H$96</f>
        <v>8.2215710570401695E-4</v>
      </c>
      <c r="F25" s="15">
        <f>Domestic!I26/Domestic!I$96</f>
        <v>3.5289725956228428E-4</v>
      </c>
      <c r="G25" s="15">
        <f>Domestic!J26/Domestic!J$96</f>
        <v>6.3689661080549589E-5</v>
      </c>
      <c r="H25" s="15">
        <f>Domestic!K26/Domestic!K$96</f>
        <v>6.0617057457854249E-5</v>
      </c>
      <c r="I25" s="15">
        <f>Domestic!L26/Domestic!L$96</f>
        <v>8.6017392566385432E-5</v>
      </c>
      <c r="J25" s="15">
        <f>Domestic!M26/Domestic!M$96</f>
        <v>7.7533695492828155E-5</v>
      </c>
      <c r="K25" s="15">
        <f>Domestic!N26/Domestic!N$96</f>
        <v>7.322924238949556E-5</v>
      </c>
      <c r="L25" s="15">
        <f>Domestic!O26/Domestic!O$96</f>
        <v>1.5325321786041146E-4</v>
      </c>
      <c r="M25" s="15">
        <f>Domestic!P26/Domestic!P$96</f>
        <v>1.3042155581120428E-4</v>
      </c>
      <c r="N25" s="15">
        <f>Domestic!Q26/Domestic!Q$96</f>
        <v>3.0075731850209533E-3</v>
      </c>
      <c r="O25" s="15">
        <f>Domestic!R26/Domestic!R$96</f>
        <v>4.2262447409624022E-3</v>
      </c>
      <c r="P25" s="15">
        <f>Domestic!S26/Domestic!S$96</f>
        <v>3.2752170783000327E-3</v>
      </c>
      <c r="Q25" s="15">
        <f>Domestic!T26/Domestic!T$96</f>
        <v>7.5926375860005096E-3</v>
      </c>
      <c r="R25" s="15">
        <f>Domestic!U26/Domestic!U$96</f>
        <v>1.1264748583049397E-2</v>
      </c>
      <c r="S25" s="15">
        <f>Domestic!V26/Domestic!V$96</f>
        <v>3.5718506587346494E-3</v>
      </c>
      <c r="T25" s="15">
        <f>Domestic!W26/Domestic!W$96</f>
        <v>1.4819477587045581E-3</v>
      </c>
      <c r="U25" s="15">
        <f>Domestic!X26/Domestic!X$96</f>
        <v>0.13836326769988258</v>
      </c>
      <c r="V25" s="15">
        <f>Domestic!Y26/Domestic!Y$96</f>
        <v>0.10867742544867311</v>
      </c>
      <c r="W25" s="15">
        <f>Domestic!Z26/Domestic!Z$96</f>
        <v>1.0114630096078999E-4</v>
      </c>
      <c r="X25" s="15">
        <f>Domestic!AA26/Domestic!AA$96</f>
        <v>2.66144728176182E-3</v>
      </c>
      <c r="Y25" s="15">
        <f>Domestic!AB26/Domestic!AB$96</f>
        <v>5.7972286250384808E-3</v>
      </c>
      <c r="Z25" s="15">
        <f>Domestic!AC26/Domestic!AC$96</f>
        <v>4.0367983336186391E-3</v>
      </c>
      <c r="AA25" s="15">
        <f>Domestic!AD26/Domestic!AD$96</f>
        <v>1.2045737169258022E-3</v>
      </c>
      <c r="AB25" s="15">
        <f>Domestic!AE26/Domestic!AE$96</f>
        <v>7.6661366533184163E-3</v>
      </c>
      <c r="AC25" s="15">
        <f>Domestic!AF26/Domestic!AF$96</f>
        <v>7.920167820328344E-3</v>
      </c>
      <c r="AD25" s="15">
        <f>Domestic!AG26/Domestic!AG$96</f>
        <v>1.0447363213932451E-2</v>
      </c>
      <c r="AE25" s="15">
        <f>Domestic!AH26/Domestic!AH$96</f>
        <v>1.2541135758985574E-2</v>
      </c>
      <c r="AF25" s="15">
        <f>Domestic!AI26/Domestic!AI$96</f>
        <v>7.3628837659786917E-3</v>
      </c>
      <c r="AG25" s="15">
        <f>Domestic!AJ26/Domestic!AJ$96</f>
        <v>1.402315534342608E-2</v>
      </c>
      <c r="AH25" s="15">
        <f>Domestic!AK26/Domestic!AK$96</f>
        <v>1.9520102471269708E-2</v>
      </c>
      <c r="AI25" s="15">
        <f>Domestic!AL26/Domestic!AL$96</f>
        <v>1.4946928795178571E-3</v>
      </c>
      <c r="AJ25" s="15">
        <f>Domestic!AM26/Domestic!AM$96</f>
        <v>2.4751752761428647E-3</v>
      </c>
      <c r="AK25" s="15">
        <f>Domestic!AN26/Domestic!AN$96</f>
        <v>1.5478068679455467E-5</v>
      </c>
      <c r="AL25" s="15">
        <f>Domestic!AO26/Domestic!AO$96</f>
        <v>9.0331978665805334E-6</v>
      </c>
      <c r="AM25" s="15">
        <f>Domestic!AP26/Domestic!AP$96</f>
        <v>2.3717502508390456E-5</v>
      </c>
      <c r="AN25" s="15">
        <f>Domestic!AQ26/Domestic!AQ$96</f>
        <v>9.2817127895879867E-6</v>
      </c>
      <c r="AO25" s="15">
        <f>Domestic!AR26/Domestic!AR$96</f>
        <v>3.2601239704487936E-5</v>
      </c>
      <c r="AP25" s="15">
        <f>Domestic!AS26/Domestic!AS$96</f>
        <v>3.3642560678814284E-5</v>
      </c>
      <c r="AQ25" s="15">
        <f>Domestic!AT26/Domestic!AT$96</f>
        <v>6.021331245499188E-4</v>
      </c>
      <c r="AR25" s="15">
        <f>Domestic!AU26/Domestic!AU$96</f>
        <v>1.9514958559223167E-4</v>
      </c>
      <c r="AS25" s="15">
        <f>Domestic!AV26/Domestic!AV$96</f>
        <v>2.7565056084679853E-5</v>
      </c>
      <c r="AT25" s="15">
        <f>Domestic!AW26/Domestic!AW$96</f>
        <v>7.4556353446805144E-5</v>
      </c>
      <c r="AU25" s="15">
        <f>Domestic!AX26/Domestic!AX$96</f>
        <v>1.059687968295775E-4</v>
      </c>
      <c r="AV25" s="15">
        <f>Domestic!AY26/Domestic!AY$96</f>
        <v>5.8286611574568275E-5</v>
      </c>
      <c r="AW25" s="15">
        <f>Domestic!AZ26/Domestic!AZ$96</f>
        <v>4.9879336911659868E-5</v>
      </c>
      <c r="AX25" s="15">
        <f>Domestic!BA26/Domestic!BA$96</f>
        <v>3.5792246297302613E-5</v>
      </c>
      <c r="AY25" s="15">
        <f>Domestic!BB26/Domestic!BB$96</f>
        <v>4.6187868082701659E-5</v>
      </c>
      <c r="AZ25" s="15">
        <f>Domestic!BC26/Domestic!BC$96</f>
        <v>4.0973838278487155E-5</v>
      </c>
      <c r="BA25" s="15">
        <f>Domestic!BD26/Domestic!BD$96</f>
        <v>4.6962062269156077E-4</v>
      </c>
      <c r="BB25" s="15">
        <f>Domestic!BE26/Domestic!BE$96</f>
        <v>1.4198798102456396E-4</v>
      </c>
      <c r="BC25" s="15">
        <f>Domestic!BF26/Domestic!BF$96</f>
        <v>2.2464743313671748E-4</v>
      </c>
      <c r="BD25" s="15">
        <f>Domestic!BG26/Domestic!BG$96</f>
        <v>4.8169075080415366E-4</v>
      </c>
      <c r="BE25" s="15">
        <f>Domestic!BH26/Domestic!BH$96</f>
        <v>5.8149597845901428E-5</v>
      </c>
      <c r="BF25" s="15">
        <f>Domestic!BI26/Domestic!BI$96</f>
        <v>3.6902376424360906E-5</v>
      </c>
      <c r="BG25" s="15">
        <f>Domestic!BJ26/Domestic!BJ$96</f>
        <v>4.183838504070855E-4</v>
      </c>
      <c r="BH25" s="15">
        <f>Domestic!BK26/Domestic!BK$96</f>
        <v>7.8042016260714448E-7</v>
      </c>
      <c r="BI25" s="15">
        <f>Domestic!BL26/Domestic!BL$96</f>
        <v>4.977715795423845E-4</v>
      </c>
      <c r="BJ25" s="15">
        <f>Domestic!BM26/Domestic!BM$96</f>
        <v>2.0387931837212241E-3</v>
      </c>
      <c r="BK25" s="15">
        <f>Domestic!BN26/Domestic!BN$96</f>
        <v>2.9161082826767919E-3</v>
      </c>
      <c r="BL25" s="15">
        <f>Domestic!BO26/Domestic!BO$96</f>
        <v>3.0777422098708517E-3</v>
      </c>
      <c r="BM25" s="15">
        <f>Domestic!BP26/Domestic!BP$96</f>
        <v>3.7514760148705533E-3</v>
      </c>
      <c r="BN25" s="15">
        <f>Domestic!BQ26/Domestic!BQ$96</f>
        <v>2.2391465101564288E-3</v>
      </c>
      <c r="BO25" s="15">
        <f>Domestic!BR26/Domestic!BR$96</f>
        <v>3.0415856633161159E-3</v>
      </c>
      <c r="BP25" s="15">
        <f>Domestic!BS26/Domestic!BS$96</f>
        <v>1.1228073240617793E-2</v>
      </c>
      <c r="BQ25" s="15">
        <f>Domestic!BT26/Domestic!BT$96</f>
        <v>1.2496908535904993E-2</v>
      </c>
      <c r="BR25" s="15">
        <f>Domestic!BU26/Domestic!BU$96</f>
        <v>7.1987515993135309E-3</v>
      </c>
      <c r="BS25" s="15">
        <f>Domestic!BV26/Domestic!BV$96</f>
        <v>6.6363748761183172E-3</v>
      </c>
      <c r="BT25" s="15">
        <f>Domestic!BW26/Domestic!BW$96</f>
        <v>4.6119173392396148E-3</v>
      </c>
      <c r="BU25" s="15">
        <f>Domestic!BX26/Domestic!BX$96</f>
        <v>1.9287720833171291E-3</v>
      </c>
      <c r="BV25" s="15">
        <f>Domestic!BY26/Domestic!BY$96</f>
        <v>2.9490758407563259E-3</v>
      </c>
      <c r="BW25" s="15">
        <f>Domestic!BZ26/Domestic!BZ$96</f>
        <v>6.8095533643945368E-4</v>
      </c>
      <c r="BX25" s="15">
        <f>Domestic!CA26/Domestic!CA$96</f>
        <v>1.2927242289075629E-3</v>
      </c>
      <c r="BY25" s="15">
        <f>Domestic!CB26/Domestic!CB$96</f>
        <v>3.0845091457682924E-3</v>
      </c>
      <c r="BZ25" s="15">
        <f>Domestic!CC26/Domestic!CC$96</f>
        <v>0</v>
      </c>
      <c r="CA25" s="15">
        <f>Domestic!CD26/Domestic!CD$96</f>
        <v>2.9672697187853041E-3</v>
      </c>
    </row>
    <row r="26" spans="1:79" x14ac:dyDescent="0.3">
      <c r="A26" s="8" t="s">
        <v>114</v>
      </c>
      <c r="B26" s="15">
        <f>Domestic!E27/Domestic!E$96</f>
        <v>6.4319000309811976E-6</v>
      </c>
      <c r="C26" s="15">
        <f>Domestic!F27/Domestic!F$96</f>
        <v>9.4314643078756758E-6</v>
      </c>
      <c r="D26" s="15">
        <f>Domestic!G27/Domestic!G$96</f>
        <v>2.4837088989104462E-5</v>
      </c>
      <c r="E26" s="15">
        <f>Domestic!H27/Domestic!H$96</f>
        <v>6.3946036336061886E-5</v>
      </c>
      <c r="F26" s="15">
        <f>Domestic!I27/Domestic!I$96</f>
        <v>4.4794284372847307E-3</v>
      </c>
      <c r="G26" s="15">
        <f>Domestic!J27/Domestic!J$96</f>
        <v>8.9755238330241241E-5</v>
      </c>
      <c r="H26" s="15">
        <f>Domestic!K27/Domestic!K$96</f>
        <v>7.3827464182327365E-5</v>
      </c>
      <c r="I26" s="15">
        <f>Domestic!L27/Domestic!L$96</f>
        <v>2.3225676806978417E-4</v>
      </c>
      <c r="J26" s="15">
        <f>Domestic!M27/Domestic!M$96</f>
        <v>2.9294614387635905E-5</v>
      </c>
      <c r="K26" s="15">
        <f>Domestic!N27/Domestic!N$96</f>
        <v>9.3589356106272889E-5</v>
      </c>
      <c r="L26" s="15">
        <f>Domestic!O27/Domestic!O$96</f>
        <v>8.3321526132838157E-4</v>
      </c>
      <c r="M26" s="15">
        <f>Domestic!P27/Domestic!P$96</f>
        <v>1.2030551015668406E-3</v>
      </c>
      <c r="N26" s="15">
        <f>Domestic!Q27/Domestic!Q$96</f>
        <v>2.2625015456002412E-4</v>
      </c>
      <c r="O26" s="15">
        <f>Domestic!R27/Domestic!R$96</f>
        <v>5.9493532366857894E-5</v>
      </c>
      <c r="P26" s="15">
        <f>Domestic!S27/Domestic!S$96</f>
        <v>3.4837780421732337E-5</v>
      </c>
      <c r="Q26" s="15">
        <f>Domestic!T27/Domestic!T$96</f>
        <v>6.1441633939841335E-4</v>
      </c>
      <c r="R26" s="15">
        <f>Domestic!U27/Domestic!U$96</f>
        <v>3.0032163387055965E-3</v>
      </c>
      <c r="S26" s="15">
        <f>Domestic!V27/Domestic!V$96</f>
        <v>1.3771170696943031E-4</v>
      </c>
      <c r="T26" s="15">
        <f>Domestic!W27/Domestic!W$96</f>
        <v>2.3698484467854559E-4</v>
      </c>
      <c r="U26" s="15">
        <f>Domestic!X27/Domestic!X$96</f>
        <v>2.709128931289652E-3</v>
      </c>
      <c r="V26" s="15">
        <f>Domestic!Y27/Domestic!Y$96</f>
        <v>1.0217949602374488E-2</v>
      </c>
      <c r="W26" s="15">
        <f>Domestic!Z27/Domestic!Z$96</f>
        <v>9.7373641503731596E-5</v>
      </c>
      <c r="X26" s="15">
        <f>Domestic!AA27/Domestic!AA$96</f>
        <v>2.0585206108693271E-4</v>
      </c>
      <c r="Y26" s="15">
        <f>Domestic!AB27/Domestic!AB$96</f>
        <v>2.2687615706572061E-4</v>
      </c>
      <c r="Z26" s="15">
        <f>Domestic!AC27/Domestic!AC$96</f>
        <v>1.3089157925680011E-4</v>
      </c>
      <c r="AA26" s="15">
        <f>Domestic!AD27/Domestic!AD$96</f>
        <v>2.3965439053888951E-4</v>
      </c>
      <c r="AB26" s="15">
        <f>Domestic!AE27/Domestic!AE$96</f>
        <v>2.2323709261438696E-4</v>
      </c>
      <c r="AC26" s="15">
        <f>Domestic!AF27/Domestic!AF$96</f>
        <v>1.0628749028975544E-3</v>
      </c>
      <c r="AD26" s="15">
        <f>Domestic!AG27/Domestic!AG$96</f>
        <v>8.4162559380139063E-5</v>
      </c>
      <c r="AE26" s="15">
        <f>Domestic!AH27/Domestic!AH$96</f>
        <v>1.0755148458999888E-4</v>
      </c>
      <c r="AF26" s="15">
        <f>Domestic!AI27/Domestic!AI$96</f>
        <v>1.2993051665541406E-4</v>
      </c>
      <c r="AG26" s="15">
        <f>Domestic!AJ27/Domestic!AJ$96</f>
        <v>2.6829539686951316E-4</v>
      </c>
      <c r="AH26" s="15">
        <f>Domestic!AK27/Domestic!AK$96</f>
        <v>1.5584447243073985E-4</v>
      </c>
      <c r="AI26" s="15">
        <f>Domestic!AL27/Domestic!AL$96</f>
        <v>3.7195774139681804E-3</v>
      </c>
      <c r="AJ26" s="15">
        <f>Domestic!AM27/Domestic!AM$96</f>
        <v>4.6973065862483253E-4</v>
      </c>
      <c r="AK26" s="15">
        <f>Domestic!AN27/Domestic!AN$96</f>
        <v>8.3074207536395863E-5</v>
      </c>
      <c r="AL26" s="15">
        <f>Domestic!AO27/Domestic!AO$96</f>
        <v>4.4805813979370745E-5</v>
      </c>
      <c r="AM26" s="15">
        <f>Domestic!AP27/Domestic!AP$96</f>
        <v>6.2091923561664202E-4</v>
      </c>
      <c r="AN26" s="15">
        <f>Domestic!AQ27/Domestic!AQ$96</f>
        <v>6.3360670084793605E-5</v>
      </c>
      <c r="AO26" s="15">
        <f>Domestic!AR27/Domestic!AR$96</f>
        <v>1.1228980889303492E-4</v>
      </c>
      <c r="AP26" s="15">
        <f>Domestic!AS27/Domestic!AS$96</f>
        <v>2.4471876420380619E-4</v>
      </c>
      <c r="AQ26" s="15">
        <f>Domestic!AT27/Domestic!AT$96</f>
        <v>2.5761577934745158E-4</v>
      </c>
      <c r="AR26" s="15">
        <f>Domestic!AU27/Domestic!AU$96</f>
        <v>1.2819364194648953E-3</v>
      </c>
      <c r="AS26" s="15">
        <f>Domestic!AV27/Domestic!AV$96</f>
        <v>1.8029588535386896E-4</v>
      </c>
      <c r="AT26" s="15">
        <f>Domestic!AW27/Domestic!AW$96</f>
        <v>4.0115430115819455E-4</v>
      </c>
      <c r="AU26" s="15">
        <f>Domestic!AX27/Domestic!AX$96</f>
        <v>4.0793782275112605E-3</v>
      </c>
      <c r="AV26" s="15">
        <f>Domestic!AY27/Domestic!AY$96</f>
        <v>9.3952099809858046E-4</v>
      </c>
      <c r="AW26" s="15">
        <f>Domestic!AZ27/Domestic!AZ$96</f>
        <v>3.7884780091693263E-4</v>
      </c>
      <c r="AX26" s="15">
        <f>Domestic!BA27/Domestic!BA$96</f>
        <v>5.9449805698130027E-4</v>
      </c>
      <c r="AY26" s="15">
        <f>Domestic!BB27/Domestic!BB$96</f>
        <v>1.588767194563738E-4</v>
      </c>
      <c r="AZ26" s="15">
        <f>Domestic!BC27/Domestic!BC$96</f>
        <v>5.8491638701898326E-4</v>
      </c>
      <c r="BA26" s="15">
        <f>Domestic!BD27/Domestic!BD$96</f>
        <v>6.6618206666691816E-4</v>
      </c>
      <c r="BB26" s="15">
        <f>Domestic!BE27/Domestic!BE$96</f>
        <v>2.6413241727247047E-4</v>
      </c>
      <c r="BC26" s="15">
        <f>Domestic!BF27/Domestic!BF$96</f>
        <v>1.1670210431224844E-2</v>
      </c>
      <c r="BD26" s="15">
        <f>Domestic!BG27/Domestic!BG$96</f>
        <v>2.8726221736539831E-3</v>
      </c>
      <c r="BE26" s="15">
        <f>Domestic!BH27/Domestic!BH$96</f>
        <v>1.7961932586614898E-3</v>
      </c>
      <c r="BF26" s="15">
        <f>Domestic!BI27/Domestic!BI$96</f>
        <v>4.3146190160973095E-4</v>
      </c>
      <c r="BG26" s="15">
        <f>Domestic!BJ27/Domestic!BJ$96</f>
        <v>1.9018889278015771E-3</v>
      </c>
      <c r="BH26" s="15">
        <f>Domestic!BK27/Domestic!BK$96</f>
        <v>4.3623486012399358E-6</v>
      </c>
      <c r="BI26" s="15">
        <f>Domestic!BL27/Domestic!BL$96</f>
        <v>1.0937095700239851E-2</v>
      </c>
      <c r="BJ26" s="15">
        <f>Domestic!BM27/Domestic!BM$96</f>
        <v>7.4182205333977265E-4</v>
      </c>
      <c r="BK26" s="15">
        <f>Domestic!BN27/Domestic!BN$96</f>
        <v>3.6259617638205199E-3</v>
      </c>
      <c r="BL26" s="15">
        <f>Domestic!BO27/Domestic!BO$96</f>
        <v>3.7597552388387255E-4</v>
      </c>
      <c r="BM26" s="15">
        <f>Domestic!BP27/Domestic!BP$96</f>
        <v>2.6283328168325618E-3</v>
      </c>
      <c r="BN26" s="15">
        <f>Domestic!BQ27/Domestic!BQ$96</f>
        <v>3.009774689855596E-3</v>
      </c>
      <c r="BO26" s="15">
        <f>Domestic!BR27/Domestic!BR$96</f>
        <v>5.7176835463127872E-4</v>
      </c>
      <c r="BP26" s="15">
        <f>Domestic!BS27/Domestic!BS$96</f>
        <v>8.1067859389195613E-4</v>
      </c>
      <c r="BQ26" s="15">
        <f>Domestic!BT27/Domestic!BT$96</f>
        <v>9.5601207435443928E-4</v>
      </c>
      <c r="BR26" s="15">
        <f>Domestic!BU27/Domestic!BU$96</f>
        <v>1.6348504926219258E-4</v>
      </c>
      <c r="BS26" s="15">
        <f>Domestic!BV27/Domestic!BV$96</f>
        <v>2.6367355435658042E-3</v>
      </c>
      <c r="BT26" s="15">
        <f>Domestic!BW27/Domestic!BW$96</f>
        <v>8.6364994169178138E-4</v>
      </c>
      <c r="BU26" s="15">
        <f>Domestic!BX27/Domestic!BX$96</f>
        <v>4.1143256485410971E-4</v>
      </c>
      <c r="BV26" s="15">
        <f>Domestic!BY27/Domestic!BY$96</f>
        <v>1.6343780498200505E-4</v>
      </c>
      <c r="BW26" s="15">
        <f>Domestic!BZ27/Domestic!BZ$96</f>
        <v>5.8281204827161266E-4</v>
      </c>
      <c r="BX26" s="15">
        <f>Domestic!CA27/Domestic!CA$96</f>
        <v>8.1416925596707436E-4</v>
      </c>
      <c r="BY26" s="15">
        <f>Domestic!CB27/Domestic!CB$96</f>
        <v>2.0204237315131742E-3</v>
      </c>
      <c r="BZ26" s="15">
        <f>Domestic!CC27/Domestic!CC$96</f>
        <v>0</v>
      </c>
      <c r="CA26" s="15">
        <f>Domestic!CD27/Domestic!CD$96</f>
        <v>1.0429858792214435E-2</v>
      </c>
    </row>
    <row r="27" spans="1:79" x14ac:dyDescent="0.3">
      <c r="A27" s="7" t="s">
        <v>115</v>
      </c>
      <c r="B27" s="15">
        <f>Domestic!E28/Domestic!E$96</f>
        <v>1.1664452801403952E-2</v>
      </c>
      <c r="C27" s="15">
        <f>Domestic!F28/Domestic!F$96</f>
        <v>7.615753029504204E-3</v>
      </c>
      <c r="D27" s="15">
        <f>Domestic!G28/Domestic!G$96</f>
        <v>7.8314186053731714E-3</v>
      </c>
      <c r="E27" s="15">
        <f>Domestic!H28/Domestic!H$96</f>
        <v>7.8529084455127754E-2</v>
      </c>
      <c r="F27" s="15">
        <f>Domestic!I28/Domestic!I$96</f>
        <v>1.2064506694272444E-2</v>
      </c>
      <c r="G27" s="15">
        <f>Domestic!J28/Domestic!J$96</f>
        <v>6.2399387934946125E-3</v>
      </c>
      <c r="H27" s="15">
        <f>Domestic!K28/Domestic!K$96</f>
        <v>7.5245841199277658E-2</v>
      </c>
      <c r="I27" s="15">
        <f>Domestic!L28/Domestic!L$96</f>
        <v>6.6495171547222467E-2</v>
      </c>
      <c r="J27" s="15">
        <f>Domestic!M28/Domestic!M$96</f>
        <v>7.1314418688522355E-2</v>
      </c>
      <c r="K27" s="15">
        <f>Domestic!N28/Domestic!N$96</f>
        <v>6.628214712528461E-3</v>
      </c>
      <c r="L27" s="15">
        <f>Domestic!O28/Domestic!O$96</f>
        <v>3.3645948014928012E-2</v>
      </c>
      <c r="M27" s="15">
        <f>Domestic!P28/Domestic!P$96</f>
        <v>8.3749807180413232E-3</v>
      </c>
      <c r="N27" s="15">
        <f>Domestic!Q28/Domestic!Q$96</f>
        <v>6.8903669075659644E-3</v>
      </c>
      <c r="O27" s="15">
        <f>Domestic!R28/Domestic!R$96</f>
        <v>7.238334529071108E-3</v>
      </c>
      <c r="P27" s="15">
        <f>Domestic!S28/Domestic!S$96</f>
        <v>3.6007746683149192E-3</v>
      </c>
      <c r="Q27" s="15">
        <f>Domestic!T28/Domestic!T$96</f>
        <v>5.3763069918721209E-3</v>
      </c>
      <c r="R27" s="15">
        <f>Domestic!U28/Domestic!U$96</f>
        <v>3.9065513810968905E-3</v>
      </c>
      <c r="S27" s="15">
        <f>Domestic!V28/Domestic!V$96</f>
        <v>2.7701645859667437E-3</v>
      </c>
      <c r="T27" s="15">
        <f>Domestic!W28/Domestic!W$96</f>
        <v>1.3523773663980916E-2</v>
      </c>
      <c r="U27" s="15">
        <f>Domestic!X28/Domestic!X$96</f>
        <v>1.4420513890250446E-2</v>
      </c>
      <c r="V27" s="15">
        <f>Domestic!Y28/Domestic!Y$96</f>
        <v>8.7670480064293045E-3</v>
      </c>
      <c r="W27" s="15">
        <f>Domestic!Z28/Domestic!Z$96</f>
        <v>6.9294707849109367E-3</v>
      </c>
      <c r="X27" s="15">
        <f>Domestic!AA28/Domestic!AA$96</f>
        <v>1.9207904912593832E-2</v>
      </c>
      <c r="Y27" s="15">
        <f>Domestic!AB28/Domestic!AB$96</f>
        <v>7.8541426804681781E-3</v>
      </c>
      <c r="Z27" s="15">
        <f>Domestic!AC28/Domestic!AC$96</f>
        <v>2.405320052993536E-2</v>
      </c>
      <c r="AA27" s="15">
        <f>Domestic!AD28/Domestic!AD$96</f>
        <v>1.0306256078938673E-2</v>
      </c>
      <c r="AB27" s="15">
        <f>Domestic!AE28/Domestic!AE$96</f>
        <v>6.8620210281912682E-3</v>
      </c>
      <c r="AC27" s="15">
        <f>Domestic!AF28/Domestic!AF$96</f>
        <v>2.3117660588863934E-3</v>
      </c>
      <c r="AD27" s="15">
        <f>Domestic!AG28/Domestic!AG$96</f>
        <v>8.6321202394457183E-4</v>
      </c>
      <c r="AE27" s="15">
        <f>Domestic!AH28/Domestic!AH$96</f>
        <v>1.4007179518878679E-3</v>
      </c>
      <c r="AF27" s="15">
        <f>Domestic!AI28/Domestic!AI$96</f>
        <v>2.8272403056163044E-3</v>
      </c>
      <c r="AG27" s="15">
        <f>Domestic!AJ28/Domestic!AJ$96</f>
        <v>6.2640808708092086E-3</v>
      </c>
      <c r="AH27" s="15">
        <f>Domestic!AK28/Domestic!AK$96</f>
        <v>1.2866940134572328E-3</v>
      </c>
      <c r="AI27" s="15">
        <f>Domestic!AL28/Domestic!AL$96</f>
        <v>1.5029431661531271E-3</v>
      </c>
      <c r="AJ27" s="15">
        <f>Domestic!AM28/Domestic!AM$96</f>
        <v>6.7287960109520479E-4</v>
      </c>
      <c r="AK27" s="15">
        <f>Domestic!AN28/Domestic!AN$96</f>
        <v>6.2627513176757521E-2</v>
      </c>
      <c r="AL27" s="15">
        <f>Domestic!AO28/Domestic!AO$96</f>
        <v>0.12511849228868172</v>
      </c>
      <c r="AM27" s="15">
        <f>Domestic!AP28/Domestic!AP$96</f>
        <v>5.0229219390384237E-2</v>
      </c>
      <c r="AN27" s="15">
        <f>Domestic!AQ28/Domestic!AQ$96</f>
        <v>5.4391052483997032E-2</v>
      </c>
      <c r="AO27" s="15">
        <f>Domestic!AR28/Domestic!AR$96</f>
        <v>0.12964484476985774</v>
      </c>
      <c r="AP27" s="15">
        <f>Domestic!AS28/Domestic!AS$96</f>
        <v>7.0047515101439459E-2</v>
      </c>
      <c r="AQ27" s="15">
        <f>Domestic!AT28/Domestic!AT$96</f>
        <v>0.1308436927070023</v>
      </c>
      <c r="AR27" s="15">
        <f>Domestic!AU28/Domestic!AU$96</f>
        <v>3.5198398136442074E-3</v>
      </c>
      <c r="AS27" s="15">
        <f>Domestic!AV28/Domestic!AV$96</f>
        <v>3.9334314104835007E-3</v>
      </c>
      <c r="AT27" s="15">
        <f>Domestic!AW28/Domestic!AW$96</f>
        <v>9.9038474086602976E-2</v>
      </c>
      <c r="AU27" s="15">
        <f>Domestic!AX28/Domestic!AX$96</f>
        <v>1.5851225741424578E-2</v>
      </c>
      <c r="AV27" s="15">
        <f>Domestic!AY28/Domestic!AY$96</f>
        <v>5.1238585872484307E-3</v>
      </c>
      <c r="AW27" s="15">
        <f>Domestic!AZ28/Domestic!AZ$96</f>
        <v>2.5792759529053495E-3</v>
      </c>
      <c r="AX27" s="15">
        <f>Domestic!BA28/Domestic!BA$96</f>
        <v>6.2307332303939058E-3</v>
      </c>
      <c r="AY27" s="15">
        <f>Domestic!BB28/Domestic!BB$96</f>
        <v>8.5480071826754961E-3</v>
      </c>
      <c r="AZ27" s="15">
        <f>Domestic!BC28/Domestic!BC$96</f>
        <v>7.3164281115863095E-3</v>
      </c>
      <c r="BA27" s="15">
        <f>Domestic!BD28/Domestic!BD$96</f>
        <v>1.6181157613119736E-3</v>
      </c>
      <c r="BB27" s="15">
        <f>Domestic!BE28/Domestic!BE$96</f>
        <v>1.8390051485189647E-4</v>
      </c>
      <c r="BC27" s="15">
        <f>Domestic!BF28/Domestic!BF$96</f>
        <v>9.2552866775133969E-4</v>
      </c>
      <c r="BD27" s="15">
        <f>Domestic!BG28/Domestic!BG$96</f>
        <v>6.7010515078926103E-3</v>
      </c>
      <c r="BE27" s="15">
        <f>Domestic!BH28/Domestic!BH$96</f>
        <v>6.585335739576029E-4</v>
      </c>
      <c r="BF27" s="15">
        <f>Domestic!BI28/Domestic!BI$96</f>
        <v>1.9857139073753086E-3</v>
      </c>
      <c r="BG27" s="15">
        <f>Domestic!BJ28/Domestic!BJ$96</f>
        <v>1.9740079773909115E-2</v>
      </c>
      <c r="BH27" s="15">
        <f>Domestic!BK28/Domestic!BK$96</f>
        <v>1.7893633574443809E-4</v>
      </c>
      <c r="BI27" s="15">
        <f>Domestic!BL28/Domestic!BL$96</f>
        <v>7.6418668930106227E-3</v>
      </c>
      <c r="BJ27" s="15">
        <f>Domestic!BM28/Domestic!BM$96</f>
        <v>6.7925638606572492E-3</v>
      </c>
      <c r="BK27" s="15">
        <f>Domestic!BN28/Domestic!BN$96</f>
        <v>7.1418226138684412E-3</v>
      </c>
      <c r="BL27" s="15">
        <f>Domestic!BO28/Domestic!BO$96</f>
        <v>2.3001667794880082E-2</v>
      </c>
      <c r="BM27" s="15">
        <f>Domestic!BP28/Domestic!BP$96</f>
        <v>1.4649313012445862E-3</v>
      </c>
      <c r="BN27" s="15">
        <f>Domestic!BQ28/Domestic!BQ$96</f>
        <v>2.9089979636530441E-3</v>
      </c>
      <c r="BO27" s="15">
        <f>Domestic!BR28/Domestic!BR$96</f>
        <v>1.1730850784388879E-3</v>
      </c>
      <c r="BP27" s="15">
        <f>Domestic!BS28/Domestic!BS$96</f>
        <v>1.0507809770074776E-2</v>
      </c>
      <c r="BQ27" s="15">
        <f>Domestic!BT28/Domestic!BT$96</f>
        <v>4.0067672281594172E-3</v>
      </c>
      <c r="BR27" s="15">
        <f>Domestic!BU28/Domestic!BU$96</f>
        <v>9.0269892779652749E-4</v>
      </c>
      <c r="BS27" s="15">
        <f>Domestic!BV28/Domestic!BV$96</f>
        <v>2.9824664163630409E-3</v>
      </c>
      <c r="BT27" s="15">
        <f>Domestic!BW28/Domestic!BW$96</f>
        <v>3.4053061656125734E-3</v>
      </c>
      <c r="BU27" s="15">
        <f>Domestic!BX28/Domestic!BX$96</f>
        <v>2.0572244451218576E-3</v>
      </c>
      <c r="BV27" s="15">
        <f>Domestic!BY28/Domestic!BY$96</f>
        <v>3.0356202423422081E-3</v>
      </c>
      <c r="BW27" s="15">
        <f>Domestic!BZ28/Domestic!BZ$96</f>
        <v>9.9718629361167568E-3</v>
      </c>
      <c r="BX27" s="15">
        <f>Domestic!CA28/Domestic!CA$96</f>
        <v>2.3643004275064531E-3</v>
      </c>
      <c r="BY27" s="15">
        <f>Domestic!CB28/Domestic!CB$96</f>
        <v>5.8695722053501839E-3</v>
      </c>
      <c r="BZ27" s="15">
        <f>Domestic!CC28/Domestic!CC$96</f>
        <v>0</v>
      </c>
      <c r="CA27" s="15">
        <f>Domestic!CD28/Domestic!CD$96</f>
        <v>9.1310196646642947E-3</v>
      </c>
    </row>
    <row r="28" spans="1:79" x14ac:dyDescent="0.3">
      <c r="A28" s="8" t="s">
        <v>116</v>
      </c>
      <c r="B28" s="15">
        <f>Domestic!E29/Domestic!E$96</f>
        <v>4.1623792092615658E-2</v>
      </c>
      <c r="C28" s="15">
        <f>Domestic!F29/Domestic!F$96</f>
        <v>5.5835156749766196E-3</v>
      </c>
      <c r="D28" s="15">
        <f>Domestic!G29/Domestic!G$96</f>
        <v>1.0486593608855047E-2</v>
      </c>
      <c r="E28" s="15">
        <f>Domestic!H29/Domestic!H$96</f>
        <v>1.7472503530852876E-2</v>
      </c>
      <c r="F28" s="15">
        <f>Domestic!I29/Domestic!I$96</f>
        <v>7.420905987708247E-2</v>
      </c>
      <c r="G28" s="15">
        <f>Domestic!J29/Domestic!J$96</f>
        <v>4.0230045977465149E-2</v>
      </c>
      <c r="H28" s="15">
        <f>Domestic!K29/Domestic!K$96</f>
        <v>5.3055777289435632E-3</v>
      </c>
      <c r="I28" s="15">
        <f>Domestic!L29/Domestic!L$96</f>
        <v>1.1089986047396977E-2</v>
      </c>
      <c r="J28" s="15">
        <f>Domestic!M29/Domestic!M$96</f>
        <v>3.6150323348615458E-3</v>
      </c>
      <c r="K28" s="15">
        <f>Domestic!N29/Domestic!N$96</f>
        <v>4.9823579248670135E-3</v>
      </c>
      <c r="L28" s="15">
        <f>Domestic!O29/Domestic!O$96</f>
        <v>7.7791632588322538E-3</v>
      </c>
      <c r="M28" s="15">
        <f>Domestic!P29/Domestic!P$96</f>
        <v>2.1786332099846862E-2</v>
      </c>
      <c r="N28" s="15">
        <f>Domestic!Q29/Domestic!Q$96</f>
        <v>1.1550757992888806E-2</v>
      </c>
      <c r="O28" s="15">
        <f>Domestic!R29/Domestic!R$96</f>
        <v>7.1750027320920895E-2</v>
      </c>
      <c r="P28" s="15">
        <f>Domestic!S29/Domestic!S$96</f>
        <v>8.7052576872458057E-2</v>
      </c>
      <c r="Q28" s="15">
        <f>Domestic!T29/Domestic!T$96</f>
        <v>3.1677880842468482E-2</v>
      </c>
      <c r="R28" s="15">
        <f>Domestic!U29/Domestic!U$96</f>
        <v>9.6444603717392233E-3</v>
      </c>
      <c r="S28" s="15">
        <f>Domestic!V29/Domestic!V$96</f>
        <v>1.3029657078500446E-2</v>
      </c>
      <c r="T28" s="15">
        <f>Domestic!W29/Domestic!W$96</f>
        <v>1.9361266686673609E-2</v>
      </c>
      <c r="U28" s="15">
        <f>Domestic!X29/Domestic!X$96</f>
        <v>2.4170719335580352E-2</v>
      </c>
      <c r="V28" s="15">
        <f>Domestic!Y29/Domestic!Y$96</f>
        <v>4.9185174059581678E-2</v>
      </c>
      <c r="W28" s="15">
        <f>Domestic!Z29/Domestic!Z$96</f>
        <v>1.8172627412068963E-2</v>
      </c>
      <c r="X28" s="15">
        <f>Domestic!AA29/Domestic!AA$96</f>
        <v>8.9792832939647044E-2</v>
      </c>
      <c r="Y28" s="15">
        <f>Domestic!AB29/Domestic!AB$96</f>
        <v>9.3539564316184001E-2</v>
      </c>
      <c r="Z28" s="15">
        <f>Domestic!AC29/Domestic!AC$96</f>
        <v>2.4391920343895767E-2</v>
      </c>
      <c r="AA28" s="15">
        <f>Domestic!AD29/Domestic!AD$96</f>
        <v>5.2704913016969734E-3</v>
      </c>
      <c r="AB28" s="15">
        <f>Domestic!AE29/Domestic!AE$96</f>
        <v>1.3828225215531471E-2</v>
      </c>
      <c r="AC28" s="15">
        <f>Domestic!AF29/Domestic!AF$96</f>
        <v>4.8751140541967398E-3</v>
      </c>
      <c r="AD28" s="15">
        <f>Domestic!AG29/Domestic!AG$96</f>
        <v>2.2172294621211805E-3</v>
      </c>
      <c r="AE28" s="15">
        <f>Domestic!AH29/Domestic!AH$96</f>
        <v>7.8229494868980419E-3</v>
      </c>
      <c r="AF28" s="15">
        <f>Domestic!AI29/Domestic!AI$96</f>
        <v>9.9569544850915334E-3</v>
      </c>
      <c r="AG28" s="15">
        <f>Domestic!AJ29/Domestic!AJ$96</f>
        <v>1.0537844085259649E-2</v>
      </c>
      <c r="AH28" s="15">
        <f>Domestic!AK29/Domestic!AK$96</f>
        <v>1.5361841271385806E-2</v>
      </c>
      <c r="AI28" s="15">
        <f>Domestic!AL29/Domestic!AL$96</f>
        <v>6.727899893980171E-4</v>
      </c>
      <c r="AJ28" s="15">
        <f>Domestic!AM29/Domestic!AM$96</f>
        <v>1.7112061442240037E-3</v>
      </c>
      <c r="AK28" s="15">
        <f>Domestic!AN29/Domestic!AN$96</f>
        <v>1.432630160881077E-3</v>
      </c>
      <c r="AL28" s="15">
        <f>Domestic!AO29/Domestic!AO$96</f>
        <v>3.3646573035961999E-3</v>
      </c>
      <c r="AM28" s="15">
        <f>Domestic!AP29/Domestic!AP$96</f>
        <v>1.8904966021720749E-2</v>
      </c>
      <c r="AN28" s="15">
        <f>Domestic!AQ29/Domestic!AQ$96</f>
        <v>1.8657845212733037E-3</v>
      </c>
      <c r="AO28" s="15">
        <f>Domestic!AR29/Domestic!AR$96</f>
        <v>9.5778106018288619E-3</v>
      </c>
      <c r="AP28" s="15">
        <f>Domestic!AS29/Domestic!AS$96</f>
        <v>4.0368372150302459E-3</v>
      </c>
      <c r="AQ28" s="15">
        <f>Domestic!AT29/Domestic!AT$96</f>
        <v>6.3979733401646468E-3</v>
      </c>
      <c r="AR28" s="15">
        <f>Domestic!AU29/Domestic!AU$96</f>
        <v>3.9976269004295727E-3</v>
      </c>
      <c r="AS28" s="15">
        <f>Domestic!AV29/Domestic!AV$96</f>
        <v>5.7519083696698622E-4</v>
      </c>
      <c r="AT28" s="15">
        <f>Domestic!AW29/Domestic!AW$96</f>
        <v>3.932593351966867E-3</v>
      </c>
      <c r="AU28" s="15">
        <f>Domestic!AX29/Domestic!AX$96</f>
        <v>5.2030969736345167E-3</v>
      </c>
      <c r="AV28" s="15">
        <f>Domestic!AY29/Domestic!AY$96</f>
        <v>1.8813229106638546E-3</v>
      </c>
      <c r="AW28" s="15">
        <f>Domestic!AZ29/Domestic!AZ$96</f>
        <v>1.5411737635027834E-3</v>
      </c>
      <c r="AX28" s="15">
        <f>Domestic!BA29/Domestic!BA$96</f>
        <v>3.8454743261146082E-3</v>
      </c>
      <c r="AY28" s="15">
        <f>Domestic!BB29/Domestic!BB$96</f>
        <v>2.0866147816671621E-3</v>
      </c>
      <c r="AZ28" s="15">
        <f>Domestic!BC29/Domestic!BC$96</f>
        <v>8.1799220621182683E-4</v>
      </c>
      <c r="BA28" s="15">
        <f>Domestic!BD29/Domestic!BD$96</f>
        <v>2.7425981580854845E-3</v>
      </c>
      <c r="BB28" s="15">
        <f>Domestic!BE29/Domestic!BE$96</f>
        <v>1.7418737786425691E-4</v>
      </c>
      <c r="BC28" s="15">
        <f>Domestic!BF29/Domestic!BF$96</f>
        <v>3.630254117660639E-4</v>
      </c>
      <c r="BD28" s="15">
        <f>Domestic!BG29/Domestic!BG$96</f>
        <v>1.1557004210506832E-3</v>
      </c>
      <c r="BE28" s="15">
        <f>Domestic!BH29/Domestic!BH$96</f>
        <v>2.3363631879084879E-4</v>
      </c>
      <c r="BF28" s="15">
        <f>Domestic!BI29/Domestic!BI$96</f>
        <v>1.3505671670406459E-3</v>
      </c>
      <c r="BG28" s="15">
        <f>Domestic!BJ29/Domestic!BJ$96</f>
        <v>1.4244479265636163E-2</v>
      </c>
      <c r="BH28" s="15">
        <f>Domestic!BK29/Domestic!BK$96</f>
        <v>2.6246130391680271E-4</v>
      </c>
      <c r="BI28" s="15">
        <f>Domestic!BL29/Domestic!BL$96</f>
        <v>2.8042047228823779E-3</v>
      </c>
      <c r="BJ28" s="15">
        <f>Domestic!BM29/Domestic!BM$96</f>
        <v>3.0608726382499126E-3</v>
      </c>
      <c r="BK28" s="15">
        <f>Domestic!BN29/Domestic!BN$96</f>
        <v>1.5735705834115588E-2</v>
      </c>
      <c r="BL28" s="15">
        <f>Domestic!BO29/Domestic!BO$96</f>
        <v>0.11700082932095895</v>
      </c>
      <c r="BM28" s="15">
        <f>Domestic!BP29/Domestic!BP$96</f>
        <v>3.7087152248414627E-3</v>
      </c>
      <c r="BN28" s="15">
        <f>Domestic!BQ29/Domestic!BQ$96</f>
        <v>4.774927135321546E-2</v>
      </c>
      <c r="BO28" s="15">
        <f>Domestic!BR29/Domestic!BR$96</f>
        <v>7.8655201928489252E-2</v>
      </c>
      <c r="BP28" s="15">
        <f>Domestic!BS29/Domestic!BS$96</f>
        <v>1.1790219442309036E-2</v>
      </c>
      <c r="BQ28" s="15">
        <f>Domestic!BT29/Domestic!BT$96</f>
        <v>6.7558962276656073E-2</v>
      </c>
      <c r="BR28" s="15">
        <f>Domestic!BU29/Domestic!BU$96</f>
        <v>2.4825234782862703E-3</v>
      </c>
      <c r="BS28" s="15">
        <f>Domestic!BV29/Domestic!BV$96</f>
        <v>5.0343294881689425E-3</v>
      </c>
      <c r="BT28" s="15">
        <f>Domestic!BW29/Domestic!BW$96</f>
        <v>2.3273152225102636E-2</v>
      </c>
      <c r="BU28" s="15">
        <f>Domestic!BX29/Domestic!BX$96</f>
        <v>1.7356446943291016E-2</v>
      </c>
      <c r="BV28" s="15">
        <f>Domestic!BY29/Domestic!BY$96</f>
        <v>2.2142882662140187E-3</v>
      </c>
      <c r="BW28" s="15">
        <f>Domestic!BZ29/Domestic!BZ$96</f>
        <v>2.3046514295648177E-2</v>
      </c>
      <c r="BX28" s="15">
        <f>Domestic!CA29/Domestic!CA$96</f>
        <v>2.5223924187216081E-2</v>
      </c>
      <c r="BY28" s="15">
        <f>Domestic!CB29/Domestic!CB$96</f>
        <v>1.8239102796200422E-2</v>
      </c>
      <c r="BZ28" s="15">
        <f>Domestic!CC29/Domestic!CC$96</f>
        <v>0</v>
      </c>
      <c r="CA28" s="15">
        <f>Domestic!CD29/Domestic!CD$96</f>
        <v>3.9367397742198044E-3</v>
      </c>
    </row>
    <row r="29" spans="1:79" x14ac:dyDescent="0.3">
      <c r="A29" s="7" t="s">
        <v>117</v>
      </c>
      <c r="B29" s="15">
        <f>Domestic!E30/Domestic!E$96</f>
        <v>3.7400253890759864E-3</v>
      </c>
      <c r="C29" s="15">
        <f>Domestic!F30/Domestic!F$96</f>
        <v>9.3765668481765054E-5</v>
      </c>
      <c r="D29" s="15">
        <f>Domestic!G30/Domestic!G$96</f>
        <v>1.432815587562793E-3</v>
      </c>
      <c r="E29" s="15">
        <f>Domestic!H30/Domestic!H$96</f>
        <v>1.1801939667415316E-3</v>
      </c>
      <c r="F29" s="15">
        <f>Domestic!I30/Domestic!I$96</f>
        <v>1.2207089501979997E-3</v>
      </c>
      <c r="G29" s="15">
        <f>Domestic!J30/Domestic!J$96</f>
        <v>7.1582202365649662E-5</v>
      </c>
      <c r="H29" s="15">
        <f>Domestic!K30/Domestic!K$96</f>
        <v>1.6415667318526295E-4</v>
      </c>
      <c r="I29" s="15">
        <f>Domestic!L30/Domestic!L$96</f>
        <v>1.3679348228398402E-3</v>
      </c>
      <c r="J29" s="15">
        <f>Domestic!M30/Domestic!M$96</f>
        <v>1.1253747090488687E-4</v>
      </c>
      <c r="K29" s="15">
        <f>Domestic!N30/Domestic!N$96</f>
        <v>9.2828173265137037E-3</v>
      </c>
      <c r="L29" s="15">
        <f>Domestic!O30/Domestic!O$96</f>
        <v>6.8763764046379031E-3</v>
      </c>
      <c r="M29" s="15">
        <f>Domestic!P30/Domestic!P$96</f>
        <v>2.2425394114080994E-3</v>
      </c>
      <c r="N29" s="15">
        <f>Domestic!Q30/Domestic!Q$96</f>
        <v>6.5411956075489231E-3</v>
      </c>
      <c r="O29" s="15">
        <f>Domestic!R30/Domestic!R$96</f>
        <v>1.515238976934266E-2</v>
      </c>
      <c r="P29" s="15">
        <f>Domestic!S30/Domestic!S$96</f>
        <v>4.8120886470355657E-3</v>
      </c>
      <c r="Q29" s="15">
        <f>Domestic!T30/Domestic!T$96</f>
        <v>5.4724133814972866E-3</v>
      </c>
      <c r="R29" s="15">
        <f>Domestic!U30/Domestic!U$96</f>
        <v>5.8309038573383775E-3</v>
      </c>
      <c r="S29" s="15">
        <f>Domestic!V30/Domestic!V$96</f>
        <v>1.6273568454695877E-2</v>
      </c>
      <c r="T29" s="15">
        <f>Domestic!W30/Domestic!W$96</f>
        <v>1.6322063296852752E-3</v>
      </c>
      <c r="U29" s="15">
        <f>Domestic!X30/Domestic!X$96</f>
        <v>9.0288362022336276E-3</v>
      </c>
      <c r="V29" s="15">
        <f>Domestic!Y30/Domestic!Y$96</f>
        <v>3.2848148998739342E-2</v>
      </c>
      <c r="W29" s="15">
        <f>Domestic!Z30/Domestic!Z$96</f>
        <v>1.948033225113346E-4</v>
      </c>
      <c r="X29" s="15">
        <f>Domestic!AA30/Domestic!AA$96</f>
        <v>4.1885973147415857E-3</v>
      </c>
      <c r="Y29" s="15">
        <f>Domestic!AB30/Domestic!AB$96</f>
        <v>4.4321999841997549E-2</v>
      </c>
      <c r="Z29" s="15">
        <f>Domestic!AC30/Domestic!AC$96</f>
        <v>3.6867321535193343E-3</v>
      </c>
      <c r="AA29" s="15">
        <f>Domestic!AD30/Domestic!AD$96</f>
        <v>9.7728440971654338E-4</v>
      </c>
      <c r="AB29" s="15">
        <f>Domestic!AE30/Domestic!AE$96</f>
        <v>5.4083506828300027E-3</v>
      </c>
      <c r="AC29" s="15">
        <f>Domestic!AF30/Domestic!AF$96</f>
        <v>6.3410338784112234E-3</v>
      </c>
      <c r="AD29" s="15">
        <f>Domestic!AG30/Domestic!AG$96</f>
        <v>6.4236244654216172E-3</v>
      </c>
      <c r="AE29" s="15">
        <f>Domestic!AH30/Domestic!AH$96</f>
        <v>2.3195926324767992E-2</v>
      </c>
      <c r="AF29" s="15">
        <f>Domestic!AI30/Domestic!AI$96</f>
        <v>2.1227258866873072E-2</v>
      </c>
      <c r="AG29" s="15">
        <f>Domestic!AJ30/Domestic!AJ$96</f>
        <v>4.7721944117168728E-2</v>
      </c>
      <c r="AH29" s="15">
        <f>Domestic!AK30/Domestic!AK$96</f>
        <v>1.5506152247066937E-2</v>
      </c>
      <c r="AI29" s="15">
        <f>Domestic!AL30/Domestic!AL$96</f>
        <v>1.6822026605377433E-3</v>
      </c>
      <c r="AJ29" s="15">
        <f>Domestic!AM30/Domestic!AM$96</f>
        <v>3.4334907682769828E-3</v>
      </c>
      <c r="AK29" s="15">
        <f>Domestic!AN30/Domestic!AN$96</f>
        <v>8.7275646680334796E-4</v>
      </c>
      <c r="AL29" s="15">
        <f>Domestic!AO30/Domestic!AO$96</f>
        <v>1.867004962568056E-4</v>
      </c>
      <c r="AM29" s="15">
        <f>Domestic!AP30/Domestic!AP$96</f>
        <v>3.0241371964766624E-4</v>
      </c>
      <c r="AN29" s="15">
        <f>Domestic!AQ30/Domestic!AQ$96</f>
        <v>3.3554385287870505E-4</v>
      </c>
      <c r="AO29" s="15">
        <f>Domestic!AR30/Domestic!AR$96</f>
        <v>9.177081776912398E-5</v>
      </c>
      <c r="AP29" s="15">
        <f>Domestic!AS30/Domestic!AS$96</f>
        <v>8.3064716905375169E-5</v>
      </c>
      <c r="AQ29" s="15">
        <f>Domestic!AT30/Domestic!AT$96</f>
        <v>1.2520415175319789E-4</v>
      </c>
      <c r="AR29" s="15">
        <f>Domestic!AU30/Domestic!AU$96</f>
        <v>5.4475114262863991E-4</v>
      </c>
      <c r="AS29" s="15">
        <f>Domestic!AV30/Domestic!AV$96</f>
        <v>5.4109184166223416E-5</v>
      </c>
      <c r="AT29" s="15">
        <f>Domestic!AW30/Domestic!AW$96</f>
        <v>3.4378161814296073E-4</v>
      </c>
      <c r="AU29" s="15">
        <f>Domestic!AX30/Domestic!AX$96</f>
        <v>8.9844905163660249E-4</v>
      </c>
      <c r="AV29" s="15">
        <f>Domestic!AY30/Domestic!AY$96</f>
        <v>8.8447081921323983E-4</v>
      </c>
      <c r="AW29" s="15">
        <f>Domestic!AZ30/Domestic!AZ$96</f>
        <v>9.0832524948557768E-4</v>
      </c>
      <c r="AX29" s="15">
        <f>Domestic!BA30/Domestic!BA$96</f>
        <v>1.6610650310327943E-4</v>
      </c>
      <c r="AY29" s="15">
        <f>Domestic!BB30/Domestic!BB$96</f>
        <v>1.912152339018759E-4</v>
      </c>
      <c r="AZ29" s="15">
        <f>Domestic!BC30/Domestic!BC$96</f>
        <v>7.9572381584308387E-4</v>
      </c>
      <c r="BA29" s="15">
        <f>Domestic!BD30/Domestic!BD$96</f>
        <v>1.9416016979066717E-4</v>
      </c>
      <c r="BB29" s="15">
        <f>Domestic!BE30/Domestic!BE$96</f>
        <v>1.9240588468665768E-3</v>
      </c>
      <c r="BC29" s="15">
        <f>Domestic!BF30/Domestic!BF$96</f>
        <v>7.6293169851010425E-4</v>
      </c>
      <c r="BD29" s="15">
        <f>Domestic!BG30/Domestic!BG$96</f>
        <v>1.6884913035496911E-4</v>
      </c>
      <c r="BE29" s="15">
        <f>Domestic!BH30/Domestic!BH$96</f>
        <v>1.3368162831420342E-4</v>
      </c>
      <c r="BF29" s="15">
        <f>Domestic!BI30/Domestic!BI$96</f>
        <v>8.5792403937488419E-5</v>
      </c>
      <c r="BG29" s="15">
        <f>Domestic!BJ30/Domestic!BJ$96</f>
        <v>6.5345060569035234E-4</v>
      </c>
      <c r="BH29" s="15">
        <f>Domestic!BK30/Domestic!BK$96</f>
        <v>1.6008618720146553E-6</v>
      </c>
      <c r="BI29" s="15">
        <f>Domestic!BL30/Domestic!BL$96</f>
        <v>5.9468425022834504E-4</v>
      </c>
      <c r="BJ29" s="15">
        <f>Domestic!BM30/Domestic!BM$96</f>
        <v>2.0703185743405317E-4</v>
      </c>
      <c r="BK29" s="15">
        <f>Domestic!BN30/Domestic!BN$96</f>
        <v>1.1826502893893639E-2</v>
      </c>
      <c r="BL29" s="15">
        <f>Domestic!BO30/Domestic!BO$96</f>
        <v>1.344558411427528E-2</v>
      </c>
      <c r="BM29" s="15">
        <f>Domestic!BP30/Domestic!BP$96</f>
        <v>9.2076272575188295E-4</v>
      </c>
      <c r="BN29" s="15">
        <f>Domestic!BQ30/Domestic!BQ$96</f>
        <v>1.9438513217023617E-3</v>
      </c>
      <c r="BO29" s="15">
        <f>Domestic!BR30/Domestic!BR$96</f>
        <v>3.4018747965062057E-3</v>
      </c>
      <c r="BP29" s="15">
        <f>Domestic!BS30/Domestic!BS$96</f>
        <v>1.1354304982877908E-3</v>
      </c>
      <c r="BQ29" s="15">
        <f>Domestic!BT30/Domestic!BT$96</f>
        <v>7.5685639311240057E-4</v>
      </c>
      <c r="BR29" s="15">
        <f>Domestic!BU30/Domestic!BU$96</f>
        <v>1.6765481959034134E-3</v>
      </c>
      <c r="BS29" s="15">
        <f>Domestic!BV30/Domestic!BV$96</f>
        <v>7.639393237235113E-3</v>
      </c>
      <c r="BT29" s="15">
        <f>Domestic!BW30/Domestic!BW$96</f>
        <v>9.4960916536365077E-3</v>
      </c>
      <c r="BU29" s="15">
        <f>Domestic!BX30/Domestic!BX$96</f>
        <v>3.4776146458033712E-3</v>
      </c>
      <c r="BV29" s="15">
        <f>Domestic!BY30/Domestic!BY$96</f>
        <v>8.631643440817573E-3</v>
      </c>
      <c r="BW29" s="15">
        <f>Domestic!BZ30/Domestic!BZ$96</f>
        <v>1.1115477915218979E-2</v>
      </c>
      <c r="BX29" s="15">
        <f>Domestic!CA30/Domestic!CA$96</f>
        <v>7.6420313186310431E-3</v>
      </c>
      <c r="BY29" s="15">
        <f>Domestic!CB30/Domestic!CB$96</f>
        <v>8.3294180683267209E-3</v>
      </c>
      <c r="BZ29" s="15">
        <f>Domestic!CC30/Domestic!CC$96</f>
        <v>0</v>
      </c>
      <c r="CA29" s="15">
        <f>Domestic!CD30/Domestic!CD$96</f>
        <v>8.0512780176001037E-4</v>
      </c>
    </row>
    <row r="30" spans="1:79" x14ac:dyDescent="0.3">
      <c r="A30" s="8" t="s">
        <v>118</v>
      </c>
      <c r="B30" s="15">
        <f>Domestic!E31/Domestic!E$96</f>
        <v>1.21926974872362E-3</v>
      </c>
      <c r="C30" s="15">
        <f>Domestic!F31/Domestic!F$96</f>
        <v>4.0938165939487925E-4</v>
      </c>
      <c r="D30" s="15">
        <f>Domestic!G31/Domestic!G$96</f>
        <v>1.5353206126505076E-4</v>
      </c>
      <c r="E30" s="15">
        <f>Domestic!H31/Domestic!H$96</f>
        <v>7.4568304400545087E-3</v>
      </c>
      <c r="F30" s="15">
        <f>Domestic!I31/Domestic!I$96</f>
        <v>3.5508122024714354E-3</v>
      </c>
      <c r="G30" s="15">
        <f>Domestic!J31/Domestic!J$96</f>
        <v>7.2440602239590092E-4</v>
      </c>
      <c r="H30" s="15">
        <f>Domestic!K31/Domestic!K$96</f>
        <v>4.2204060111680551E-5</v>
      </c>
      <c r="I30" s="15">
        <f>Domestic!L31/Domestic!L$96</f>
        <v>1.2759148482608404E-2</v>
      </c>
      <c r="J30" s="15">
        <f>Domestic!M31/Domestic!M$96</f>
        <v>7.6238568033586311E-5</v>
      </c>
      <c r="K30" s="15">
        <f>Domestic!N31/Domestic!N$96</f>
        <v>6.4456535874212753E-2</v>
      </c>
      <c r="L30" s="15">
        <f>Domestic!O31/Domestic!O$96</f>
        <v>5.5204655015936112E-2</v>
      </c>
      <c r="M30" s="15">
        <f>Domestic!P31/Domestic!P$96</f>
        <v>3.6056669660553757E-2</v>
      </c>
      <c r="N30" s="15">
        <f>Domestic!Q31/Domestic!Q$96</f>
        <v>4.1190632770673162E-3</v>
      </c>
      <c r="O30" s="15">
        <f>Domestic!R31/Domestic!R$96</f>
        <v>3.8363364314077747E-2</v>
      </c>
      <c r="P30" s="15">
        <f>Domestic!S31/Domestic!S$96</f>
        <v>4.5858101255517772E-4</v>
      </c>
      <c r="Q30" s="15">
        <f>Domestic!T31/Domestic!T$96</f>
        <v>1.1753508803861695E-3</v>
      </c>
      <c r="R30" s="15">
        <f>Domestic!U31/Domestic!U$96</f>
        <v>1.4186763091298151E-3</v>
      </c>
      <c r="S30" s="15">
        <f>Domestic!V31/Domestic!V$96</f>
        <v>5.4922054532838824E-4</v>
      </c>
      <c r="T30" s="15">
        <f>Domestic!W31/Domestic!W$96</f>
        <v>1.8991714537914099E-3</v>
      </c>
      <c r="U30" s="15">
        <f>Domestic!X31/Domestic!X$96</f>
        <v>7.0948646326656612E-4</v>
      </c>
      <c r="V30" s="15">
        <f>Domestic!Y31/Domestic!Y$96</f>
        <v>1.3556379691103441E-3</v>
      </c>
      <c r="W30" s="15">
        <f>Domestic!Z31/Domestic!Z$96</f>
        <v>5.1192887350887378E-4</v>
      </c>
      <c r="X30" s="15">
        <f>Domestic!AA31/Domestic!AA$96</f>
        <v>1.8235366992579841E-3</v>
      </c>
      <c r="Y30" s="15">
        <f>Domestic!AB31/Domestic!AB$96</f>
        <v>1.6441388688447937E-3</v>
      </c>
      <c r="Z30" s="15">
        <f>Domestic!AC31/Domestic!AC$96</f>
        <v>9.2064842067454369E-2</v>
      </c>
      <c r="AA30" s="15">
        <f>Domestic!AD31/Domestic!AD$96</f>
        <v>1.5856953340140046E-3</v>
      </c>
      <c r="AB30" s="15">
        <f>Domestic!AE31/Domestic!AE$96</f>
        <v>5.591083584327125E-3</v>
      </c>
      <c r="AC30" s="15">
        <f>Domestic!AF31/Domestic!AF$96</f>
        <v>1.5830491802909352E-3</v>
      </c>
      <c r="AD30" s="15">
        <f>Domestic!AG31/Domestic!AG$96</f>
        <v>1.4384157893988145E-3</v>
      </c>
      <c r="AE30" s="15">
        <f>Domestic!AH31/Domestic!AH$96</f>
        <v>4.4621065478597658E-3</v>
      </c>
      <c r="AF30" s="15">
        <f>Domestic!AI31/Domestic!AI$96</f>
        <v>3.6469509603267521E-3</v>
      </c>
      <c r="AG30" s="15">
        <f>Domestic!AJ31/Domestic!AJ$96</f>
        <v>8.1674738909435218E-3</v>
      </c>
      <c r="AH30" s="15">
        <f>Domestic!AK31/Domestic!AK$96</f>
        <v>4.4172233824965046E-3</v>
      </c>
      <c r="AI30" s="15">
        <f>Domestic!AL31/Domestic!AL$96</f>
        <v>7.0999038983436322E-4</v>
      </c>
      <c r="AJ30" s="15">
        <f>Domestic!AM31/Domestic!AM$96</f>
        <v>7.2884772136548454E-5</v>
      </c>
      <c r="AK30" s="15">
        <f>Domestic!AN31/Domestic!AN$96</f>
        <v>9.2769031630128573E-4</v>
      </c>
      <c r="AL30" s="15">
        <f>Domestic!AO31/Domestic!AO$96</f>
        <v>8.5117936177935855E-3</v>
      </c>
      <c r="AM30" s="15">
        <f>Domestic!AP31/Domestic!AP$96</f>
        <v>5.0861904001260952E-4</v>
      </c>
      <c r="AN30" s="15">
        <f>Domestic!AQ31/Domestic!AQ$96</f>
        <v>3.3367861641436791E-3</v>
      </c>
      <c r="AO30" s="15">
        <f>Domestic!AR31/Domestic!AR$96</f>
        <v>1.0736005686243872E-2</v>
      </c>
      <c r="AP30" s="15">
        <f>Domestic!AS31/Domestic!AS$96</f>
        <v>1.823446079250839E-2</v>
      </c>
      <c r="AQ30" s="15">
        <f>Domestic!AT31/Domestic!AT$96</f>
        <v>8.595017904399628E-3</v>
      </c>
      <c r="AR30" s="15">
        <f>Domestic!AU31/Domestic!AU$96</f>
        <v>3.3121803655410862E-3</v>
      </c>
      <c r="AS30" s="15">
        <f>Domestic!AV31/Domestic!AV$96</f>
        <v>1.0005094430735649E-4</v>
      </c>
      <c r="AT30" s="15">
        <f>Domestic!AW31/Domestic!AW$96</f>
        <v>1.635324899815847E-2</v>
      </c>
      <c r="AU30" s="15">
        <f>Domestic!AX31/Domestic!AX$96</f>
        <v>3.0139415551889498E-4</v>
      </c>
      <c r="AV30" s="15">
        <f>Domestic!AY31/Domestic!AY$96</f>
        <v>8.9476575748183101E-4</v>
      </c>
      <c r="AW30" s="15">
        <f>Domestic!AZ31/Domestic!AZ$96</f>
        <v>3.6389958270926902E-3</v>
      </c>
      <c r="AX30" s="15">
        <f>Domestic!BA31/Domestic!BA$96</f>
        <v>5.4266390479956019E-3</v>
      </c>
      <c r="AY30" s="15">
        <f>Domestic!BB31/Domestic!BB$96</f>
        <v>8.009364764328647E-3</v>
      </c>
      <c r="AZ30" s="15">
        <f>Domestic!BC31/Domestic!BC$96</f>
        <v>6.9700061854165649E-3</v>
      </c>
      <c r="BA30" s="15">
        <f>Domestic!BD31/Domestic!BD$96</f>
        <v>1.6246335055275615E-3</v>
      </c>
      <c r="BB30" s="15">
        <f>Domestic!BE31/Domestic!BE$96</f>
        <v>5.0652038945089343E-5</v>
      </c>
      <c r="BC30" s="15">
        <f>Domestic!BF31/Domestic!BF$96</f>
        <v>1.5022324163221963E-4</v>
      </c>
      <c r="BD30" s="15">
        <f>Domestic!BG31/Domestic!BG$96</f>
        <v>1.6791567283444724E-4</v>
      </c>
      <c r="BE30" s="15">
        <f>Domestic!BH31/Domestic!BH$96</f>
        <v>9.5945553293722908E-5</v>
      </c>
      <c r="BF30" s="15">
        <f>Domestic!BI31/Domestic!BI$96</f>
        <v>2.4205571027741545E-3</v>
      </c>
      <c r="BG30" s="15">
        <f>Domestic!BJ31/Domestic!BJ$96</f>
        <v>5.2108440019832036E-3</v>
      </c>
      <c r="BH30" s="15">
        <f>Domestic!BK31/Domestic!BK$96</f>
        <v>7.097821325044978E-5</v>
      </c>
      <c r="BI30" s="15">
        <f>Domestic!BL31/Domestic!BL$96</f>
        <v>2.132292121369765E-3</v>
      </c>
      <c r="BJ30" s="15">
        <f>Domestic!BM31/Domestic!BM$96</f>
        <v>5.8891057638869502E-4</v>
      </c>
      <c r="BK30" s="15">
        <f>Domestic!BN31/Domestic!BN$96</f>
        <v>1.5582275319909618E-3</v>
      </c>
      <c r="BL30" s="15">
        <f>Domestic!BO31/Domestic!BO$96</f>
        <v>1.7798599940998599E-3</v>
      </c>
      <c r="BM30" s="15">
        <f>Domestic!BP31/Domestic!BP$96</f>
        <v>5.019492848005266E-4</v>
      </c>
      <c r="BN30" s="15">
        <f>Domestic!BQ31/Domestic!BQ$96</f>
        <v>7.0229510660796239E-4</v>
      </c>
      <c r="BO30" s="15">
        <f>Domestic!BR31/Domestic!BR$96</f>
        <v>7.229759652658353E-4</v>
      </c>
      <c r="BP30" s="15">
        <f>Domestic!BS31/Domestic!BS$96</f>
        <v>2.7305804039415753E-3</v>
      </c>
      <c r="BQ30" s="15">
        <f>Domestic!BT31/Domestic!BT$96</f>
        <v>7.8928804598142664E-4</v>
      </c>
      <c r="BR30" s="15">
        <f>Domestic!BU31/Domestic!BU$96</f>
        <v>5.9067989765595498E-4</v>
      </c>
      <c r="BS30" s="15">
        <f>Domestic!BV31/Domestic!BV$96</f>
        <v>2.0080699732385066E-3</v>
      </c>
      <c r="BT30" s="15">
        <f>Domestic!BW31/Domestic!BW$96</f>
        <v>3.673775949461635E-3</v>
      </c>
      <c r="BU30" s="15">
        <f>Domestic!BX31/Domestic!BX$96</f>
        <v>3.3146028457504929E-3</v>
      </c>
      <c r="BV30" s="15">
        <f>Domestic!BY31/Domestic!BY$96</f>
        <v>2.0193693703372483E-3</v>
      </c>
      <c r="BW30" s="15">
        <f>Domestic!BZ31/Domestic!BZ$96</f>
        <v>1.259341428418654E-3</v>
      </c>
      <c r="BX30" s="15">
        <f>Domestic!CA31/Domestic!CA$96</f>
        <v>1.4015725884198532E-3</v>
      </c>
      <c r="BY30" s="15">
        <f>Domestic!CB31/Domestic!CB$96</f>
        <v>8.2769963285264051E-4</v>
      </c>
      <c r="BZ30" s="15">
        <f>Domestic!CC31/Domestic!CC$96</f>
        <v>0</v>
      </c>
      <c r="CA30" s="15">
        <f>Domestic!CD31/Domestic!CD$96</f>
        <v>8.2421980771872855E-4</v>
      </c>
    </row>
    <row r="31" spans="1:79" x14ac:dyDescent="0.3">
      <c r="A31" s="7" t="s">
        <v>119</v>
      </c>
      <c r="B31" s="15">
        <f>Domestic!E32/Domestic!E$96</f>
        <v>1.2407621359856146E-4</v>
      </c>
      <c r="C31" s="15">
        <f>Domestic!F32/Domestic!F$96</f>
        <v>5.4187627472103254E-4</v>
      </c>
      <c r="D31" s="15">
        <f>Domestic!G32/Domestic!G$96</f>
        <v>3.3836371107042133E-3</v>
      </c>
      <c r="E31" s="15">
        <f>Domestic!H32/Domestic!H$96</f>
        <v>1.0790295089845487E-3</v>
      </c>
      <c r="F31" s="15">
        <f>Domestic!I32/Domestic!I$96</f>
        <v>8.2355521860773002E-4</v>
      </c>
      <c r="G31" s="15">
        <f>Domestic!J32/Domestic!J$96</f>
        <v>2.3840167116581188E-2</v>
      </c>
      <c r="H31" s="15">
        <f>Domestic!K32/Domestic!K$96</f>
        <v>7.3976854888419951E-4</v>
      </c>
      <c r="I31" s="15">
        <f>Domestic!L32/Domestic!L$96</f>
        <v>1.9927722243032551E-3</v>
      </c>
      <c r="J31" s="15">
        <f>Domestic!M32/Domestic!M$96</f>
        <v>7.8054967307666966E-3</v>
      </c>
      <c r="K31" s="15">
        <f>Domestic!N32/Domestic!N$96</f>
        <v>4.6013451318946096E-2</v>
      </c>
      <c r="L31" s="15">
        <f>Domestic!O32/Domestic!O$96</f>
        <v>2.781189765336332E-2</v>
      </c>
      <c r="M31" s="15">
        <f>Domestic!P32/Domestic!P$96</f>
        <v>1.9589252716509012E-3</v>
      </c>
      <c r="N31" s="15">
        <f>Domestic!Q32/Domestic!Q$96</f>
        <v>3.7637595538901581E-4</v>
      </c>
      <c r="O31" s="15">
        <f>Domestic!R32/Domestic!R$96</f>
        <v>9.314147140597783E-4</v>
      </c>
      <c r="P31" s="15">
        <f>Domestic!S32/Domestic!S$96</f>
        <v>6.91936432764567E-4</v>
      </c>
      <c r="Q31" s="15">
        <f>Domestic!T32/Domestic!T$96</f>
        <v>1.4839029733932816E-3</v>
      </c>
      <c r="R31" s="15">
        <f>Domestic!U32/Domestic!U$96</f>
        <v>9.6997578898310236E-4</v>
      </c>
      <c r="S31" s="15">
        <f>Domestic!V32/Domestic!V$96</f>
        <v>3.4492621924064616E-4</v>
      </c>
      <c r="T31" s="15">
        <f>Domestic!W32/Domestic!W$96</f>
        <v>3.1171230959578668E-4</v>
      </c>
      <c r="U31" s="15">
        <f>Domestic!X32/Domestic!X$96</f>
        <v>6.5391161606298933E-4</v>
      </c>
      <c r="V31" s="15">
        <f>Domestic!Y32/Domestic!Y$96</f>
        <v>3.1727258676200014E-3</v>
      </c>
      <c r="W31" s="15">
        <f>Domestic!Z32/Domestic!Z$96</f>
        <v>2.5792581938993676E-4</v>
      </c>
      <c r="X31" s="15">
        <f>Domestic!AA32/Domestic!AA$96</f>
        <v>2.3901846871376012E-3</v>
      </c>
      <c r="Y31" s="15">
        <f>Domestic!AB32/Domestic!AB$96</f>
        <v>3.4719488210305793E-3</v>
      </c>
      <c r="Z31" s="15">
        <f>Domestic!AC32/Domestic!AC$96</f>
        <v>5.6716023686065806E-3</v>
      </c>
      <c r="AA31" s="15">
        <f>Domestic!AD32/Domestic!AD$96</f>
        <v>6.0455707186587902E-2</v>
      </c>
      <c r="AB31" s="15">
        <f>Domestic!AE32/Domestic!AE$96</f>
        <v>0.11868187749369159</v>
      </c>
      <c r="AC31" s="15">
        <f>Domestic!AF32/Domestic!AF$96</f>
        <v>4.9949092000728897E-2</v>
      </c>
      <c r="AD31" s="15">
        <f>Domestic!AG32/Domestic!AG$96</f>
        <v>9.8477278663292034E-3</v>
      </c>
      <c r="AE31" s="15">
        <f>Domestic!AH32/Domestic!AH$96</f>
        <v>8.0364160738437426E-2</v>
      </c>
      <c r="AF31" s="15">
        <f>Domestic!AI32/Domestic!AI$96</f>
        <v>2.9317829272318924E-2</v>
      </c>
      <c r="AG31" s="15">
        <f>Domestic!AJ32/Domestic!AJ$96</f>
        <v>3.3040651310444688E-2</v>
      </c>
      <c r="AH31" s="15">
        <f>Domestic!AK32/Domestic!AK$96</f>
        <v>1.1150392322291716E-2</v>
      </c>
      <c r="AI31" s="15">
        <f>Domestic!AL32/Domestic!AL$96</f>
        <v>1.6063821843107932E-4</v>
      </c>
      <c r="AJ31" s="15">
        <f>Domestic!AM32/Domestic!AM$96</f>
        <v>2.7661012770483043E-4</v>
      </c>
      <c r="AK31" s="15">
        <f>Domestic!AN32/Domestic!AN$96</f>
        <v>7.9669555481897791E-4</v>
      </c>
      <c r="AL31" s="15">
        <f>Domestic!AO32/Domestic!AO$96</f>
        <v>5.9107656917416196E-4</v>
      </c>
      <c r="AM31" s="15">
        <f>Domestic!AP32/Domestic!AP$96</f>
        <v>3.6032862373869263E-3</v>
      </c>
      <c r="AN31" s="15">
        <f>Domestic!AQ32/Domestic!AQ$96</f>
        <v>9.7431863448396521E-4</v>
      </c>
      <c r="AO31" s="15">
        <f>Domestic!AR32/Domestic!AR$96</f>
        <v>3.6837372539404033E-3</v>
      </c>
      <c r="AP31" s="15">
        <f>Domestic!AS32/Domestic!AS$96</f>
        <v>4.9078400245312912E-3</v>
      </c>
      <c r="AQ31" s="15">
        <f>Domestic!AT32/Domestic!AT$96</f>
        <v>3.420256178402737E-3</v>
      </c>
      <c r="AR31" s="15">
        <f>Domestic!AU32/Domestic!AU$96</f>
        <v>2.0115308141994061E-2</v>
      </c>
      <c r="AS31" s="15">
        <f>Domestic!AV32/Domestic!AV$96</f>
        <v>2.2186807364157871E-3</v>
      </c>
      <c r="AT31" s="15">
        <f>Domestic!AW32/Domestic!AW$96</f>
        <v>5.0788350657423641E-3</v>
      </c>
      <c r="AU31" s="15">
        <f>Domestic!AX32/Domestic!AX$96</f>
        <v>2.5499538681790977E-2</v>
      </c>
      <c r="AV31" s="15">
        <f>Domestic!AY32/Domestic!AY$96</f>
        <v>9.2010240196321381E-4</v>
      </c>
      <c r="AW31" s="15">
        <f>Domestic!AZ32/Domestic!AZ$96</f>
        <v>1.9280821559285871E-3</v>
      </c>
      <c r="AX31" s="15">
        <f>Domestic!BA32/Domestic!BA$96</f>
        <v>1.8774087844928861E-3</v>
      </c>
      <c r="AY31" s="15">
        <f>Domestic!BB32/Domestic!BB$96</f>
        <v>3.5983226398587321E-3</v>
      </c>
      <c r="AZ31" s="15">
        <f>Domestic!BC32/Domestic!BC$96</f>
        <v>9.2243095704123155E-4</v>
      </c>
      <c r="BA31" s="15">
        <f>Domestic!BD32/Domestic!BD$96</f>
        <v>3.5418794224180896E-3</v>
      </c>
      <c r="BB31" s="15">
        <f>Domestic!BE32/Domestic!BE$96</f>
        <v>6.2421393715076463E-4</v>
      </c>
      <c r="BC31" s="15">
        <f>Domestic!BF32/Domestic!BF$96</f>
        <v>1.3807674317075449E-3</v>
      </c>
      <c r="BD31" s="15">
        <f>Domestic!BG32/Domestic!BG$96</f>
        <v>1.9749027410606709E-3</v>
      </c>
      <c r="BE31" s="15">
        <f>Domestic!BH32/Domestic!BH$96</f>
        <v>1.0130057436735615E-3</v>
      </c>
      <c r="BF31" s="15">
        <f>Domestic!BI32/Domestic!BI$96</f>
        <v>7.8402395014056704E-4</v>
      </c>
      <c r="BG31" s="15">
        <f>Domestic!BJ32/Domestic!BJ$96</f>
        <v>1.7700547420116427E-3</v>
      </c>
      <c r="BH31" s="15">
        <f>Domestic!BK32/Domestic!BK$96</f>
        <v>3.0856612583082483E-5</v>
      </c>
      <c r="BI31" s="15">
        <f>Domestic!BL32/Domestic!BL$96</f>
        <v>1.2064070780033163E-3</v>
      </c>
      <c r="BJ31" s="15">
        <f>Domestic!BM32/Domestic!BM$96</f>
        <v>3.6212938795931139E-3</v>
      </c>
      <c r="BK31" s="15">
        <f>Domestic!BN32/Domestic!BN$96</f>
        <v>2.4658840874482117E-3</v>
      </c>
      <c r="BL31" s="15">
        <f>Domestic!BO32/Domestic!BO$96</f>
        <v>6.1982373585270844E-3</v>
      </c>
      <c r="BM31" s="15">
        <f>Domestic!BP32/Domestic!BP$96</f>
        <v>1.363159836193704E-3</v>
      </c>
      <c r="BN31" s="15">
        <f>Domestic!BQ32/Domestic!BQ$96</f>
        <v>1.7166051063772789E-3</v>
      </c>
      <c r="BO31" s="15">
        <f>Domestic!BR32/Domestic!BR$96</f>
        <v>1.7819109592111225E-3</v>
      </c>
      <c r="BP31" s="15">
        <f>Domestic!BS32/Domestic!BS$96</f>
        <v>3.7714462925431541E-3</v>
      </c>
      <c r="BQ31" s="15">
        <f>Domestic!BT32/Domestic!BT$96</f>
        <v>4.4581003664511667E-3</v>
      </c>
      <c r="BR31" s="15">
        <f>Domestic!BU32/Domestic!BU$96</f>
        <v>9.8749177090190921E-4</v>
      </c>
      <c r="BS31" s="15">
        <f>Domestic!BV32/Domestic!BV$96</f>
        <v>8.4082749249398021E-3</v>
      </c>
      <c r="BT31" s="15">
        <f>Domestic!BW32/Domestic!BW$96</f>
        <v>5.0916482763295077E-3</v>
      </c>
      <c r="BU31" s="15">
        <f>Domestic!BX32/Domestic!BX$96</f>
        <v>1.1456400785329651E-3</v>
      </c>
      <c r="BV31" s="15">
        <f>Domestic!BY32/Domestic!BY$96</f>
        <v>5.869740149504791E-4</v>
      </c>
      <c r="BW31" s="15">
        <f>Domestic!BZ32/Domestic!BZ$96</f>
        <v>3.4919525761630939E-2</v>
      </c>
      <c r="BX31" s="15">
        <f>Domestic!CA32/Domestic!CA$96</f>
        <v>9.0993307218053166E-4</v>
      </c>
      <c r="BY31" s="15">
        <f>Domestic!CB32/Domestic!CB$96</f>
        <v>1.3147965113603248E-3</v>
      </c>
      <c r="BZ31" s="15">
        <f>Domestic!CC32/Domestic!CC$96</f>
        <v>0</v>
      </c>
      <c r="CA31" s="15">
        <f>Domestic!CD32/Domestic!CD$96</f>
        <v>4.1760234922657612E-3</v>
      </c>
    </row>
    <row r="32" spans="1:79" x14ac:dyDescent="0.3">
      <c r="A32" s="8" t="s">
        <v>120</v>
      </c>
      <c r="B32" s="15">
        <f>Domestic!E33/Domestic!E$96</f>
        <v>5.1714262887986317E-4</v>
      </c>
      <c r="C32" s="15">
        <f>Domestic!F33/Domestic!F$96</f>
        <v>5.0549379062099177E-3</v>
      </c>
      <c r="D32" s="15">
        <f>Domestic!G33/Domestic!G$96</f>
        <v>4.0457397888257729E-4</v>
      </c>
      <c r="E32" s="15">
        <f>Domestic!H33/Domestic!H$96</f>
        <v>2.874959816075703E-3</v>
      </c>
      <c r="F32" s="15">
        <f>Domestic!I33/Domestic!I$96</f>
        <v>1.0816474183083253E-2</v>
      </c>
      <c r="G32" s="15">
        <f>Domestic!J33/Domestic!J$96</f>
        <v>2.7512246114771914E-3</v>
      </c>
      <c r="H32" s="15">
        <f>Domestic!K33/Domestic!K$96</f>
        <v>1.4218201170335801E-4</v>
      </c>
      <c r="I32" s="15">
        <f>Domestic!L33/Domestic!L$96</f>
        <v>7.149395576281449E-3</v>
      </c>
      <c r="J32" s="15">
        <f>Domestic!M33/Domestic!M$96</f>
        <v>2.0768778092442562E-2</v>
      </c>
      <c r="K32" s="15">
        <f>Domestic!N33/Domestic!N$96</f>
        <v>1.7543165041318774E-2</v>
      </c>
      <c r="L32" s="15">
        <f>Domestic!O33/Domestic!O$96</f>
        <v>3.7136622474340554E-2</v>
      </c>
      <c r="M32" s="15">
        <f>Domestic!P33/Domestic!P$96</f>
        <v>2.2800039868329777E-2</v>
      </c>
      <c r="N32" s="15">
        <f>Domestic!Q33/Domestic!Q$96</f>
        <v>1.6305629297215648E-3</v>
      </c>
      <c r="O32" s="15">
        <f>Domestic!R33/Domestic!R$96</f>
        <v>2.1412606676707829E-2</v>
      </c>
      <c r="P32" s="15">
        <f>Domestic!S33/Domestic!S$96</f>
        <v>4.4988422284803788E-4</v>
      </c>
      <c r="Q32" s="15">
        <f>Domestic!T33/Domestic!T$96</f>
        <v>1.9914615367032863E-3</v>
      </c>
      <c r="R32" s="15">
        <f>Domestic!U33/Domestic!U$96</f>
        <v>5.8927697217756329E-4</v>
      </c>
      <c r="S32" s="15">
        <f>Domestic!V33/Domestic!V$96</f>
        <v>1.2746375277352397E-3</v>
      </c>
      <c r="T32" s="15">
        <f>Domestic!W33/Domestic!W$96</f>
        <v>4.6846028283234883E-3</v>
      </c>
      <c r="U32" s="15">
        <f>Domestic!X33/Domestic!X$96</f>
        <v>1.1563134776934371E-3</v>
      </c>
      <c r="V32" s="15">
        <f>Domestic!Y33/Domestic!Y$96</f>
        <v>1.5390745910588762E-3</v>
      </c>
      <c r="W32" s="15">
        <f>Domestic!Z33/Domestic!Z$96</f>
        <v>3.3406249033725093E-4</v>
      </c>
      <c r="X32" s="15">
        <f>Domestic!AA33/Domestic!AA$96</f>
        <v>6.8209799154572703E-4</v>
      </c>
      <c r="Y32" s="15">
        <f>Domestic!AB33/Domestic!AB$96</f>
        <v>3.083352120498567E-3</v>
      </c>
      <c r="Z32" s="15">
        <f>Domestic!AC33/Domestic!AC$96</f>
        <v>1.2232287391376639E-3</v>
      </c>
      <c r="AA32" s="15">
        <f>Domestic!AD33/Domestic!AD$96</f>
        <v>7.628379844654835E-3</v>
      </c>
      <c r="AB32" s="15">
        <f>Domestic!AE33/Domestic!AE$96</f>
        <v>1.6028785903970603E-2</v>
      </c>
      <c r="AC32" s="15">
        <f>Domestic!AF33/Domestic!AF$96</f>
        <v>6.511721964949352E-3</v>
      </c>
      <c r="AD32" s="15">
        <f>Domestic!AG33/Domestic!AG$96</f>
        <v>1.7344639237075754E-3</v>
      </c>
      <c r="AE32" s="15">
        <f>Domestic!AH33/Domestic!AH$96</f>
        <v>5.2454278412562179E-3</v>
      </c>
      <c r="AF32" s="15">
        <f>Domestic!AI33/Domestic!AI$96</f>
        <v>4.7325157837212212E-3</v>
      </c>
      <c r="AG32" s="15">
        <f>Domestic!AJ33/Domestic!AJ$96</f>
        <v>7.6617443864409052E-3</v>
      </c>
      <c r="AH32" s="15">
        <f>Domestic!AK33/Domestic!AK$96</f>
        <v>1.3957582348720142E-3</v>
      </c>
      <c r="AI32" s="15">
        <f>Domestic!AL33/Domestic!AL$96</f>
        <v>1.6532428726286313E-4</v>
      </c>
      <c r="AJ32" s="15">
        <f>Domestic!AM33/Domestic!AM$96</f>
        <v>5.8923188859264235E-4</v>
      </c>
      <c r="AK32" s="15">
        <f>Domestic!AN33/Domestic!AN$96</f>
        <v>6.2435329699949338E-4</v>
      </c>
      <c r="AL32" s="15">
        <f>Domestic!AO33/Domestic!AO$96</f>
        <v>2.7695899915049045E-3</v>
      </c>
      <c r="AM32" s="15">
        <f>Domestic!AP33/Domestic!AP$96</f>
        <v>9.3145666675340259E-4</v>
      </c>
      <c r="AN32" s="15">
        <f>Domestic!AQ33/Domestic!AQ$96</f>
        <v>1.1456136696194347E-3</v>
      </c>
      <c r="AO32" s="15">
        <f>Domestic!AR33/Domestic!AR$96</f>
        <v>4.4364095359508728E-3</v>
      </c>
      <c r="AP32" s="15">
        <f>Domestic!AS33/Domestic!AS$96</f>
        <v>7.2627035292936624E-3</v>
      </c>
      <c r="AQ32" s="15">
        <f>Domestic!AT33/Domestic!AT$96</f>
        <v>3.7866018790095445E-3</v>
      </c>
      <c r="AR32" s="15">
        <f>Domestic!AU33/Domestic!AU$96</f>
        <v>9.7813675665564398E-3</v>
      </c>
      <c r="AS32" s="15">
        <f>Domestic!AV33/Domestic!AV$96</f>
        <v>4.8494080148973813E-4</v>
      </c>
      <c r="AT32" s="15">
        <f>Domestic!AW33/Domestic!AW$96</f>
        <v>6.7965312099279897E-3</v>
      </c>
      <c r="AU32" s="15">
        <f>Domestic!AX33/Domestic!AX$96</f>
        <v>1.0929050809767648E-2</v>
      </c>
      <c r="AV32" s="15">
        <f>Domestic!AY33/Domestic!AY$96</f>
        <v>5.9383916372058817E-4</v>
      </c>
      <c r="AW32" s="15">
        <f>Domestic!AZ33/Domestic!AZ$96</f>
        <v>1.9001604936017249E-3</v>
      </c>
      <c r="AX32" s="15">
        <f>Domestic!BA33/Domestic!BA$96</f>
        <v>1.8634717851632977E-3</v>
      </c>
      <c r="AY32" s="15">
        <f>Domestic!BB33/Domestic!BB$96</f>
        <v>3.2468884487487667E-3</v>
      </c>
      <c r="AZ32" s="15">
        <f>Domestic!BC33/Domestic!BC$96</f>
        <v>1.2097674207659122E-3</v>
      </c>
      <c r="BA32" s="15">
        <f>Domestic!BD33/Domestic!BD$96</f>
        <v>6.6137951829753773E-4</v>
      </c>
      <c r="BB32" s="15">
        <f>Domestic!BE33/Domestic!BE$96</f>
        <v>2.3540795893981135E-3</v>
      </c>
      <c r="BC32" s="15">
        <f>Domestic!BF33/Domestic!BF$96</f>
        <v>1.9258972808522509E-4</v>
      </c>
      <c r="BD32" s="15">
        <f>Domestic!BG33/Domestic!BG$96</f>
        <v>2.8233089463555565E-4</v>
      </c>
      <c r="BE32" s="15">
        <f>Domestic!BH33/Domestic!BH$96</f>
        <v>1.0420334936893156E-4</v>
      </c>
      <c r="BF32" s="15">
        <f>Domestic!BI33/Domestic!BI$96</f>
        <v>7.3107493104071898E-4</v>
      </c>
      <c r="BG32" s="15">
        <f>Domestic!BJ33/Domestic!BJ$96</f>
        <v>2.2844392506412101E-3</v>
      </c>
      <c r="BH32" s="15">
        <f>Domestic!BK33/Domestic!BK$96</f>
        <v>2.521357448423082E-5</v>
      </c>
      <c r="BI32" s="15">
        <f>Domestic!BL33/Domestic!BL$96</f>
        <v>1.9092338928947061E-3</v>
      </c>
      <c r="BJ32" s="15">
        <f>Domestic!BM33/Domestic!BM$96</f>
        <v>4.9168662725068148E-4</v>
      </c>
      <c r="BK32" s="15">
        <f>Domestic!BN33/Domestic!BN$96</f>
        <v>3.8647587263963223E-3</v>
      </c>
      <c r="BL32" s="15">
        <f>Domestic!BO33/Domestic!BO$96</f>
        <v>2.0802375264096208E-2</v>
      </c>
      <c r="BM32" s="15">
        <f>Domestic!BP33/Domestic!BP$96</f>
        <v>2.1781408626749539E-3</v>
      </c>
      <c r="BN32" s="15">
        <f>Domestic!BQ33/Domestic!BQ$96</f>
        <v>1.6379291069387168E-3</v>
      </c>
      <c r="BO32" s="15">
        <f>Domestic!BR33/Domestic!BR$96</f>
        <v>2.9840343508815738E-3</v>
      </c>
      <c r="BP32" s="15">
        <f>Domestic!BS33/Domestic!BS$96</f>
        <v>1.5748392620029352E-3</v>
      </c>
      <c r="BQ32" s="15">
        <f>Domestic!BT33/Domestic!BT$96</f>
        <v>3.3577806922735136E-3</v>
      </c>
      <c r="BR32" s="15">
        <f>Domestic!BU33/Domestic!BU$96</f>
        <v>1.5751063238841981E-3</v>
      </c>
      <c r="BS32" s="15">
        <f>Domestic!BV33/Domestic!BV$96</f>
        <v>1.313010937404569E-3</v>
      </c>
      <c r="BT32" s="15">
        <f>Domestic!BW33/Domestic!BW$96</f>
        <v>6.1231970326855152E-3</v>
      </c>
      <c r="BU32" s="15">
        <f>Domestic!BX33/Domestic!BX$96</f>
        <v>1.7802855503348124E-3</v>
      </c>
      <c r="BV32" s="15">
        <f>Domestic!BY33/Domestic!BY$96</f>
        <v>9.3610869324033629E-4</v>
      </c>
      <c r="BW32" s="15">
        <f>Domestic!BZ33/Domestic!BZ$96</f>
        <v>1.8816284698513919E-2</v>
      </c>
      <c r="BX32" s="15">
        <f>Domestic!CA33/Domestic!CA$96</f>
        <v>8.6155025391467209E-3</v>
      </c>
      <c r="BY32" s="15">
        <f>Domestic!CB33/Domestic!CB$96</f>
        <v>1.4182062545701854E-3</v>
      </c>
      <c r="BZ32" s="15">
        <f>Domestic!CC33/Domestic!CC$96</f>
        <v>0</v>
      </c>
      <c r="CA32" s="15">
        <f>Domestic!CD33/Domestic!CD$96</f>
        <v>6.209905997825153E-4</v>
      </c>
    </row>
    <row r="33" spans="1:79" x14ac:dyDescent="0.3">
      <c r="A33" s="7" t="s">
        <v>121</v>
      </c>
      <c r="B33" s="15">
        <f>Domestic!E34/Domestic!E$96</f>
        <v>1.721331387958892E-3</v>
      </c>
      <c r="C33" s="15">
        <f>Domestic!F34/Domestic!F$96</f>
        <v>4.5586285413281566E-4</v>
      </c>
      <c r="D33" s="15">
        <f>Domestic!G34/Domestic!G$96</f>
        <v>2.4375729654530314E-4</v>
      </c>
      <c r="E33" s="15">
        <f>Domestic!H34/Domestic!H$96</f>
        <v>2.0920670567128213E-4</v>
      </c>
      <c r="F33" s="15">
        <f>Domestic!I34/Domestic!I$96</f>
        <v>1.9642176802681559E-3</v>
      </c>
      <c r="G33" s="15">
        <f>Domestic!J34/Domestic!J$96</f>
        <v>2.1113072452677364E-3</v>
      </c>
      <c r="H33" s="15">
        <f>Domestic!K34/Domestic!K$96</f>
        <v>7.2598429214584684E-4</v>
      </c>
      <c r="I33" s="15">
        <f>Domestic!L34/Domestic!L$96</f>
        <v>1.5441616072408976E-2</v>
      </c>
      <c r="J33" s="15">
        <f>Domestic!M34/Domestic!M$96</f>
        <v>1.2599959377844795E-3</v>
      </c>
      <c r="K33" s="15">
        <f>Domestic!N34/Domestic!N$96</f>
        <v>5.0151070953032484E-3</v>
      </c>
      <c r="L33" s="15">
        <f>Domestic!O34/Domestic!O$96</f>
        <v>3.1689843830315766E-3</v>
      </c>
      <c r="M33" s="15">
        <f>Domestic!P34/Domestic!P$96</f>
        <v>3.1607433879718028E-3</v>
      </c>
      <c r="N33" s="15">
        <f>Domestic!Q34/Domestic!Q$96</f>
        <v>4.6808334717133036E-4</v>
      </c>
      <c r="O33" s="15">
        <f>Domestic!R34/Domestic!R$96</f>
        <v>5.5740366234817223E-4</v>
      </c>
      <c r="P33" s="15">
        <f>Domestic!S34/Domestic!S$96</f>
        <v>2.0677908379350808E-4</v>
      </c>
      <c r="Q33" s="15">
        <f>Domestic!T34/Domestic!T$96</f>
        <v>8.072217147530186E-4</v>
      </c>
      <c r="R33" s="15">
        <f>Domestic!U34/Domestic!U$96</f>
        <v>3.7100488334925407E-4</v>
      </c>
      <c r="S33" s="15">
        <f>Domestic!V34/Domestic!V$96</f>
        <v>3.3998801821493433E-4</v>
      </c>
      <c r="T33" s="15">
        <f>Domestic!W34/Domestic!W$96</f>
        <v>6.7748064795844401E-4</v>
      </c>
      <c r="U33" s="15">
        <f>Domestic!X34/Domestic!X$96</f>
        <v>5.4760471494492589E-4</v>
      </c>
      <c r="V33" s="15">
        <f>Domestic!Y34/Domestic!Y$96</f>
        <v>1.577694665638583E-3</v>
      </c>
      <c r="W33" s="15">
        <f>Domestic!Z34/Domestic!Z$96</f>
        <v>1.2520025729217271E-4</v>
      </c>
      <c r="X33" s="15">
        <f>Domestic!AA34/Domestic!AA$96</f>
        <v>4.3047754355521973E-4</v>
      </c>
      <c r="Y33" s="15">
        <f>Domestic!AB34/Domestic!AB$96</f>
        <v>6.1411173876619425E-4</v>
      </c>
      <c r="Z33" s="15">
        <f>Domestic!AC34/Domestic!AC$96</f>
        <v>4.530203169715819E-4</v>
      </c>
      <c r="AA33" s="15">
        <f>Domestic!AD34/Domestic!AD$96</f>
        <v>1.0960266796304818E-3</v>
      </c>
      <c r="AB33" s="15">
        <f>Domestic!AE34/Domestic!AE$96</f>
        <v>2.5264464837468229E-3</v>
      </c>
      <c r="AC33" s="15">
        <f>Domestic!AF34/Domestic!AF$96</f>
        <v>1.0366712590765497E-2</v>
      </c>
      <c r="AD33" s="15">
        <f>Domestic!AG34/Domestic!AG$96</f>
        <v>8.9173814186432974E-4</v>
      </c>
      <c r="AE33" s="15">
        <f>Domestic!AH34/Domestic!AH$96</f>
        <v>9.8626776514877538E-4</v>
      </c>
      <c r="AF33" s="15">
        <f>Domestic!AI34/Domestic!AI$96</f>
        <v>1.3387344514306243E-3</v>
      </c>
      <c r="AG33" s="15">
        <f>Domestic!AJ34/Domestic!AJ$96</f>
        <v>6.2849352475226122E-4</v>
      </c>
      <c r="AH33" s="15">
        <f>Domestic!AK34/Domestic!AK$96</f>
        <v>7.7888048187139101E-4</v>
      </c>
      <c r="AI33" s="15">
        <f>Domestic!AL34/Domestic!AL$96</f>
        <v>1.1468931479561816E-4</v>
      </c>
      <c r="AJ33" s="15">
        <f>Domestic!AM34/Domestic!AM$96</f>
        <v>2.2248888205438411E-4</v>
      </c>
      <c r="AK33" s="15">
        <f>Domestic!AN34/Domestic!AN$96</f>
        <v>2.1394256406468955E-4</v>
      </c>
      <c r="AL33" s="15">
        <f>Domestic!AO34/Domestic!AO$96</f>
        <v>1.2287742361094954E-4</v>
      </c>
      <c r="AM33" s="15">
        <f>Domestic!AP34/Domestic!AP$96</f>
        <v>1.1440426800503932E-2</v>
      </c>
      <c r="AN33" s="15">
        <f>Domestic!AQ34/Domestic!AQ$96</f>
        <v>2.9993777959281843E-4</v>
      </c>
      <c r="AO33" s="15">
        <f>Domestic!AR34/Domestic!AR$96</f>
        <v>3.4611887038036541E-4</v>
      </c>
      <c r="AP33" s="15">
        <f>Domestic!AS34/Domestic!AS$96</f>
        <v>2.2890058773784991E-4</v>
      </c>
      <c r="AQ33" s="15">
        <f>Domestic!AT34/Domestic!AT$96</f>
        <v>3.4534105672715936E-4</v>
      </c>
      <c r="AR33" s="15">
        <f>Domestic!AU34/Domestic!AU$96</f>
        <v>7.3728347712217687E-4</v>
      </c>
      <c r="AS33" s="15">
        <f>Domestic!AV34/Domestic!AV$96</f>
        <v>1.3660016681963573E-4</v>
      </c>
      <c r="AT33" s="15">
        <f>Domestic!AW34/Domestic!AW$96</f>
        <v>2.3120044234316962E-4</v>
      </c>
      <c r="AU33" s="15">
        <f>Domestic!AX34/Domestic!AX$96</f>
        <v>6.4539905072384283E-4</v>
      </c>
      <c r="AV33" s="15">
        <f>Domestic!AY34/Domestic!AY$96</f>
        <v>1.5936502793442112E-3</v>
      </c>
      <c r="AW33" s="15">
        <f>Domestic!AZ34/Domestic!AZ$96</f>
        <v>1.909042727127317E-3</v>
      </c>
      <c r="AX33" s="15">
        <f>Domestic!BA34/Domestic!BA$96</f>
        <v>1.891102825038599E-3</v>
      </c>
      <c r="AY33" s="15">
        <f>Domestic!BB34/Domestic!BB$96</f>
        <v>9.7281363341495319E-4</v>
      </c>
      <c r="AZ33" s="15">
        <f>Domestic!BC34/Domestic!BC$96</f>
        <v>1.3597821438833444E-3</v>
      </c>
      <c r="BA33" s="15">
        <f>Domestic!BD34/Domestic!BD$96</f>
        <v>1.2387144401309175E-3</v>
      </c>
      <c r="BB33" s="15">
        <f>Domestic!BE34/Domestic!BE$96</f>
        <v>1.2846145254655039E-3</v>
      </c>
      <c r="BC33" s="15">
        <f>Domestic!BF34/Domestic!BF$96</f>
        <v>3.0040501421083857E-4</v>
      </c>
      <c r="BD33" s="15">
        <f>Domestic!BG34/Domestic!BG$96</f>
        <v>2.3203086938686321E-4</v>
      </c>
      <c r="BE33" s="15">
        <f>Domestic!BH34/Domestic!BH$96</f>
        <v>1.1141181224121319E-4</v>
      </c>
      <c r="BF33" s="15">
        <f>Domestic!BI34/Domestic!BI$96</f>
        <v>2.9409341246495574E-4</v>
      </c>
      <c r="BG33" s="15">
        <f>Domestic!BJ34/Domestic!BJ$96</f>
        <v>5.5064039167082995E-3</v>
      </c>
      <c r="BH33" s="15">
        <f>Domestic!BK34/Domestic!BK$96</f>
        <v>3.7480178578543114E-5</v>
      </c>
      <c r="BI33" s="15">
        <f>Domestic!BL34/Domestic!BL$96</f>
        <v>5.6932780167543633E-4</v>
      </c>
      <c r="BJ33" s="15">
        <f>Domestic!BM34/Domestic!BM$96</f>
        <v>4.3187305781033881E-4</v>
      </c>
      <c r="BK33" s="15">
        <f>Domestic!BN34/Domestic!BN$96</f>
        <v>3.1868886784671303E-4</v>
      </c>
      <c r="BL33" s="15">
        <f>Domestic!BO34/Domestic!BO$96</f>
        <v>3.470811086224268E-3</v>
      </c>
      <c r="BM33" s="15">
        <f>Domestic!BP34/Domestic!BP$96</f>
        <v>2.2308987899186911E-4</v>
      </c>
      <c r="BN33" s="15">
        <f>Domestic!BQ34/Domestic!BQ$96</f>
        <v>4.1487595671049049E-4</v>
      </c>
      <c r="BO33" s="15">
        <f>Domestic!BR34/Domestic!BR$96</f>
        <v>3.329771631561986E-4</v>
      </c>
      <c r="BP33" s="15">
        <f>Domestic!BS34/Domestic!BS$96</f>
        <v>6.9012509609336784E-4</v>
      </c>
      <c r="BQ33" s="15">
        <f>Domestic!BT34/Domestic!BT$96</f>
        <v>4.3610410601810118E-4</v>
      </c>
      <c r="BR33" s="15">
        <f>Domestic!BU34/Domestic!BU$96</f>
        <v>2.641155065148492E-4</v>
      </c>
      <c r="BS33" s="15">
        <f>Domestic!BV34/Domestic!BV$96</f>
        <v>3.0545686250757877E-4</v>
      </c>
      <c r="BT33" s="15">
        <f>Domestic!BW34/Domestic!BW$96</f>
        <v>1.0820646785147977E-3</v>
      </c>
      <c r="BU33" s="15">
        <f>Domestic!BX34/Domestic!BX$96</f>
        <v>8.3538895152826444E-4</v>
      </c>
      <c r="BV33" s="15">
        <f>Domestic!BY34/Domestic!BY$96</f>
        <v>3.1427135294455181E-4</v>
      </c>
      <c r="BW33" s="15">
        <f>Domestic!BZ34/Domestic!BZ$96</f>
        <v>1.2769072139482123E-2</v>
      </c>
      <c r="BX33" s="15">
        <f>Domestic!CA34/Domestic!CA$96</f>
        <v>9.361334936406993E-4</v>
      </c>
      <c r="BY33" s="15">
        <f>Domestic!CB34/Domestic!CB$96</f>
        <v>5.1379570070890198E-4</v>
      </c>
      <c r="BZ33" s="15">
        <f>Domestic!CC34/Domestic!CC$96</f>
        <v>0</v>
      </c>
      <c r="CA33" s="15">
        <f>Domestic!CD34/Domestic!CD$96</f>
        <v>4.4739676723692143E-4</v>
      </c>
    </row>
    <row r="34" spans="1:79" x14ac:dyDescent="0.3">
      <c r="A34" s="8" t="s">
        <v>122</v>
      </c>
      <c r="B34" s="15">
        <f>Domestic!E35/Domestic!E$96</f>
        <v>1.1207497936497974E-4</v>
      </c>
      <c r="C34" s="15">
        <f>Domestic!F35/Domestic!F$96</f>
        <v>1.3928212109704695E-4</v>
      </c>
      <c r="D34" s="15">
        <f>Domestic!G35/Domestic!G$96</f>
        <v>3.2662853340978718E-4</v>
      </c>
      <c r="E34" s="15">
        <f>Domestic!H35/Domestic!H$96</f>
        <v>1.4717600330308049E-4</v>
      </c>
      <c r="F34" s="15">
        <f>Domestic!I35/Domestic!I$96</f>
        <v>8.4770385877952197E-3</v>
      </c>
      <c r="G34" s="15">
        <f>Domestic!J35/Domestic!J$96</f>
        <v>4.8538282911374052E-4</v>
      </c>
      <c r="H34" s="15">
        <f>Domestic!K35/Domestic!K$96</f>
        <v>1.151432424130193E-3</v>
      </c>
      <c r="I34" s="15">
        <f>Domestic!L35/Domestic!L$96</f>
        <v>4.8840878200764881E-3</v>
      </c>
      <c r="J34" s="15">
        <f>Domestic!M35/Domestic!M$96</f>
        <v>3.6360057892985648E-3</v>
      </c>
      <c r="K34" s="15">
        <f>Domestic!N35/Domestic!N$96</f>
        <v>1.9366367561627113E-3</v>
      </c>
      <c r="L34" s="15">
        <f>Domestic!O35/Domestic!O$96</f>
        <v>7.2054532597195286E-3</v>
      </c>
      <c r="M34" s="15">
        <f>Domestic!P35/Domestic!P$96</f>
        <v>1.7620874515166998E-2</v>
      </c>
      <c r="N34" s="15">
        <f>Domestic!Q35/Domestic!Q$96</f>
        <v>2.6341858606011929E-4</v>
      </c>
      <c r="O34" s="15">
        <f>Domestic!R35/Domestic!R$96</f>
        <v>4.5936159568328111E-4</v>
      </c>
      <c r="P34" s="15">
        <f>Domestic!S35/Domestic!S$96</f>
        <v>2.3352753362617789E-4</v>
      </c>
      <c r="Q34" s="15">
        <f>Domestic!T35/Domestic!T$96</f>
        <v>4.2810835704423225E-4</v>
      </c>
      <c r="R34" s="15">
        <f>Domestic!U35/Domestic!U$96</f>
        <v>5.004457104520343E-4</v>
      </c>
      <c r="S34" s="15">
        <f>Domestic!V35/Domestic!V$96</f>
        <v>5.5013458734516662E-4</v>
      </c>
      <c r="T34" s="15">
        <f>Domestic!W35/Domestic!W$96</f>
        <v>6.0967342624489065E-4</v>
      </c>
      <c r="U34" s="15">
        <f>Domestic!X35/Domestic!X$96</f>
        <v>2.9170655058192215E-3</v>
      </c>
      <c r="V34" s="15">
        <f>Domestic!Y35/Domestic!Y$96</f>
        <v>2.5801283590630702E-3</v>
      </c>
      <c r="W34" s="15">
        <f>Domestic!Z35/Domestic!Z$96</f>
        <v>1.915550326976445E-4</v>
      </c>
      <c r="X34" s="15">
        <f>Domestic!AA35/Domestic!AA$96</f>
        <v>2.2548077382498932E-3</v>
      </c>
      <c r="Y34" s="15">
        <f>Domestic!AB35/Domestic!AB$96</f>
        <v>2.6682181458718246E-3</v>
      </c>
      <c r="Z34" s="15">
        <f>Domestic!AC35/Domestic!AC$96</f>
        <v>4.1114405854586217E-3</v>
      </c>
      <c r="AA34" s="15">
        <f>Domestic!AD35/Domestic!AD$96</f>
        <v>2.9957042939759339E-3</v>
      </c>
      <c r="AB34" s="15">
        <f>Domestic!AE35/Domestic!AE$96</f>
        <v>1.8744116763315586E-3</v>
      </c>
      <c r="AC34" s="15">
        <f>Domestic!AF35/Domestic!AF$96</f>
        <v>9.5678775034694335E-3</v>
      </c>
      <c r="AD34" s="15">
        <f>Domestic!AG35/Domestic!AG$96</f>
        <v>4.7118343269802403E-2</v>
      </c>
      <c r="AE34" s="15">
        <f>Domestic!AH35/Domestic!AH$96</f>
        <v>1.0198781777347747E-2</v>
      </c>
      <c r="AF34" s="15">
        <f>Domestic!AI35/Domestic!AI$96</f>
        <v>7.3491322944648288E-3</v>
      </c>
      <c r="AG34" s="15">
        <f>Domestic!AJ35/Domestic!AJ$96</f>
        <v>1.5421224642621343E-3</v>
      </c>
      <c r="AH34" s="15">
        <f>Domestic!AK35/Domestic!AK$96</f>
        <v>1.046513189579174E-3</v>
      </c>
      <c r="AI34" s="15">
        <f>Domestic!AL35/Domestic!AL$96</f>
        <v>2.4905887487083797E-4</v>
      </c>
      <c r="AJ34" s="15">
        <f>Domestic!AM35/Domestic!AM$96</f>
        <v>5.2041799071180048E-4</v>
      </c>
      <c r="AK34" s="15">
        <f>Domestic!AN35/Domestic!AN$96</f>
        <v>2.8831226494018073E-4</v>
      </c>
      <c r="AL34" s="15">
        <f>Domestic!AO35/Domestic!AO$96</f>
        <v>1.5916869223282573E-4</v>
      </c>
      <c r="AM34" s="15">
        <f>Domestic!AP35/Domestic!AP$96</f>
        <v>1.9670586922903677E-3</v>
      </c>
      <c r="AN34" s="15">
        <f>Domestic!AQ35/Domestic!AQ$96</f>
        <v>3.1778568639427492E-4</v>
      </c>
      <c r="AO34" s="15">
        <f>Domestic!AR35/Domestic!AR$96</f>
        <v>2.1242199220096339E-4</v>
      </c>
      <c r="AP34" s="15">
        <f>Domestic!AS35/Domestic!AS$96</f>
        <v>2.126580211715875E-4</v>
      </c>
      <c r="AQ34" s="15">
        <f>Domestic!AT35/Domestic!AT$96</f>
        <v>2.487608804570116E-4</v>
      </c>
      <c r="AR34" s="15">
        <f>Domestic!AU35/Domestic!AU$96</f>
        <v>1.9625843760339316E-2</v>
      </c>
      <c r="AS34" s="15">
        <f>Domestic!AV35/Domestic!AV$96</f>
        <v>8.4737024260312128E-5</v>
      </c>
      <c r="AT34" s="15">
        <f>Domestic!AW35/Domestic!AW$96</f>
        <v>8.2442662647390288E-4</v>
      </c>
      <c r="AU34" s="15">
        <f>Domestic!AX35/Domestic!AX$96</f>
        <v>2.1963871657980976E-3</v>
      </c>
      <c r="AV34" s="15">
        <f>Domestic!AY35/Domestic!AY$96</f>
        <v>9.0388355894659725E-2</v>
      </c>
      <c r="AW34" s="15">
        <f>Domestic!AZ35/Domestic!AZ$96</f>
        <v>9.9789145409146768E-2</v>
      </c>
      <c r="AX34" s="15">
        <f>Domestic!BA35/Domestic!BA$96</f>
        <v>6.7649002039064715E-3</v>
      </c>
      <c r="AY34" s="15">
        <f>Domestic!BB35/Domestic!BB$96</f>
        <v>6.7504245795797146E-3</v>
      </c>
      <c r="AZ34" s="15">
        <f>Domestic!BC35/Domestic!BC$96</f>
        <v>0.11788180695517543</v>
      </c>
      <c r="BA34" s="15">
        <f>Domestic!BD35/Domestic!BD$96</f>
        <v>2.7223588471002383E-3</v>
      </c>
      <c r="BB34" s="15">
        <f>Domestic!BE35/Domestic!BE$96</f>
        <v>6.2461498075431152E-3</v>
      </c>
      <c r="BC34" s="15">
        <f>Domestic!BF35/Domestic!BF$96</f>
        <v>2.6388460100646837E-3</v>
      </c>
      <c r="BD34" s="15">
        <f>Domestic!BG35/Domestic!BG$96</f>
        <v>9.3484437169521031E-4</v>
      </c>
      <c r="BE34" s="15">
        <f>Domestic!BH35/Domestic!BH$96</f>
        <v>1.0928206504212017E-3</v>
      </c>
      <c r="BF34" s="15">
        <f>Domestic!BI35/Domestic!BI$96</f>
        <v>2.1408684785327562E-4</v>
      </c>
      <c r="BG34" s="15">
        <f>Domestic!BJ35/Domestic!BJ$96</f>
        <v>2.9408685738836955E-3</v>
      </c>
      <c r="BH34" s="15">
        <f>Domestic!BK35/Domestic!BK$96</f>
        <v>3.7019930790338905E-6</v>
      </c>
      <c r="BI34" s="15">
        <f>Domestic!BL35/Domestic!BL$96</f>
        <v>2.0736493384987342E-2</v>
      </c>
      <c r="BJ34" s="15">
        <f>Domestic!BM35/Domestic!BM$96</f>
        <v>6.9975233411741992E-4</v>
      </c>
      <c r="BK34" s="15">
        <f>Domestic!BN35/Domestic!BN$96</f>
        <v>9.1016990913773133E-3</v>
      </c>
      <c r="BL34" s="15">
        <f>Domestic!BO35/Domestic!BO$96</f>
        <v>1.7448909846999243E-3</v>
      </c>
      <c r="BM34" s="15">
        <f>Domestic!BP35/Domestic!BP$96</f>
        <v>9.3398433456151988E-4</v>
      </c>
      <c r="BN34" s="15">
        <f>Domestic!BQ35/Domestic!BQ$96</f>
        <v>1.9037397824819865E-3</v>
      </c>
      <c r="BO34" s="15">
        <f>Domestic!BR35/Domestic!BR$96</f>
        <v>1.0445814965252417E-3</v>
      </c>
      <c r="BP34" s="15">
        <f>Domestic!BS35/Domestic!BS$96</f>
        <v>2.46719721853379E-3</v>
      </c>
      <c r="BQ34" s="15">
        <f>Domestic!BT35/Domestic!BT$96</f>
        <v>1.1413526373443678E-3</v>
      </c>
      <c r="BR34" s="15">
        <f>Domestic!BU35/Domestic!BU$96</f>
        <v>7.530950815222405E-3</v>
      </c>
      <c r="BS34" s="15">
        <f>Domestic!BV35/Domestic!BV$96</f>
        <v>7.3877393243960477E-4</v>
      </c>
      <c r="BT34" s="15">
        <f>Domestic!BW35/Domestic!BW$96</f>
        <v>1.5152973223204881E-3</v>
      </c>
      <c r="BU34" s="15">
        <f>Domestic!BX35/Domestic!BX$96</f>
        <v>1.4132471115977723E-3</v>
      </c>
      <c r="BV34" s="15">
        <f>Domestic!BY35/Domestic!BY$96</f>
        <v>3.1684330011128145E-4</v>
      </c>
      <c r="BW34" s="15">
        <f>Domestic!BZ35/Domestic!BZ$96</f>
        <v>9.3700052787613272E-3</v>
      </c>
      <c r="BX34" s="15">
        <f>Domestic!CA35/Domestic!CA$96</f>
        <v>1.6988553817892692E-3</v>
      </c>
      <c r="BY34" s="15">
        <f>Domestic!CB35/Domestic!CB$96</f>
        <v>1.3332591806478456E-2</v>
      </c>
      <c r="BZ34" s="15">
        <f>Domestic!CC35/Domestic!CC$96</f>
        <v>0</v>
      </c>
      <c r="CA34" s="15">
        <f>Domestic!CD35/Domestic!CD$96</f>
        <v>6.0429763343670625E-4</v>
      </c>
    </row>
    <row r="35" spans="1:79" x14ac:dyDescent="0.3">
      <c r="A35" s="7" t="s">
        <v>123</v>
      </c>
      <c r="B35" s="15">
        <f>Domestic!E36/Domestic!E$96</f>
        <v>9.0324847475149882E-5</v>
      </c>
      <c r="C35" s="15">
        <f>Domestic!F36/Domestic!F$96</f>
        <v>5.4818746429747753E-5</v>
      </c>
      <c r="D35" s="15">
        <f>Domestic!G36/Domestic!G$96</f>
        <v>2.6613148983856063E-4</v>
      </c>
      <c r="E35" s="15">
        <f>Domestic!H36/Domestic!H$96</f>
        <v>8.4274694585851468E-5</v>
      </c>
      <c r="F35" s="15">
        <f>Domestic!I36/Domestic!I$96</f>
        <v>8.6252015593671718E-4</v>
      </c>
      <c r="G35" s="15">
        <f>Domestic!J36/Domestic!J$96</f>
        <v>3.7354381583999647E-4</v>
      </c>
      <c r="H35" s="15">
        <f>Domestic!K36/Domestic!K$96</f>
        <v>2.4132290108470718E-4</v>
      </c>
      <c r="I35" s="15">
        <f>Domestic!L36/Domestic!L$96</f>
        <v>4.4650971335794265E-3</v>
      </c>
      <c r="J35" s="15">
        <f>Domestic!M36/Domestic!M$96</f>
        <v>1.1613963758218637E-3</v>
      </c>
      <c r="K35" s="15">
        <f>Domestic!N36/Domestic!N$96</f>
        <v>3.6986972220598461E-3</v>
      </c>
      <c r="L35" s="15">
        <f>Domestic!O36/Domestic!O$96</f>
        <v>4.1690366501669291E-3</v>
      </c>
      <c r="M35" s="15">
        <f>Domestic!P36/Domestic!P$96</f>
        <v>1.5882493541370279E-2</v>
      </c>
      <c r="N35" s="15">
        <f>Domestic!Q36/Domestic!Q$96</f>
        <v>2.7456928279987462E-4</v>
      </c>
      <c r="O35" s="15">
        <f>Domestic!R36/Domestic!R$96</f>
        <v>6.6494875169168779E-4</v>
      </c>
      <c r="P35" s="15">
        <f>Domestic!S36/Domestic!S$96</f>
        <v>3.1501817431624576E-4</v>
      </c>
      <c r="Q35" s="15">
        <f>Domestic!T36/Domestic!T$96</f>
        <v>6.4034241896036631E-4</v>
      </c>
      <c r="R35" s="15">
        <f>Domestic!U36/Domestic!U$96</f>
        <v>3.6463260704396267E-4</v>
      </c>
      <c r="S35" s="15">
        <f>Domestic!V36/Domestic!V$96</f>
        <v>3.939995919336576E-4</v>
      </c>
      <c r="T35" s="15">
        <f>Domestic!W36/Domestic!W$96</f>
        <v>2.6542481190918496E-4</v>
      </c>
      <c r="U35" s="15">
        <f>Domestic!X36/Domestic!X$96</f>
        <v>5.5562429784886819E-4</v>
      </c>
      <c r="V35" s="15">
        <f>Domestic!Y36/Domestic!Y$96</f>
        <v>6.8060750064255211E-4</v>
      </c>
      <c r="W35" s="15">
        <f>Domestic!Z36/Domestic!Z$96</f>
        <v>5.7154289716295417E-5</v>
      </c>
      <c r="X35" s="15">
        <f>Domestic!AA36/Domestic!AA$96</f>
        <v>2.7104317432852037E-4</v>
      </c>
      <c r="Y35" s="15">
        <f>Domestic!AB36/Domestic!AB$96</f>
        <v>6.4709297464548361E-4</v>
      </c>
      <c r="Z35" s="15">
        <f>Domestic!AC36/Domestic!AC$96</f>
        <v>6.4144538601440841E-4</v>
      </c>
      <c r="AA35" s="15">
        <f>Domestic!AD36/Domestic!AD$96</f>
        <v>2.4590210720674627E-3</v>
      </c>
      <c r="AB35" s="15">
        <f>Domestic!AE36/Domestic!AE$96</f>
        <v>1.4626899077040236E-3</v>
      </c>
      <c r="AC35" s="15">
        <f>Domestic!AF36/Domestic!AF$96</f>
        <v>4.4784902569276431E-3</v>
      </c>
      <c r="AD35" s="15">
        <f>Domestic!AG36/Domestic!AG$96</f>
        <v>5.1486270291492778E-3</v>
      </c>
      <c r="AE35" s="15">
        <f>Domestic!AH36/Domestic!AH$96</f>
        <v>6.6886828806107766E-3</v>
      </c>
      <c r="AF35" s="15">
        <f>Domestic!AI36/Domestic!AI$96</f>
        <v>1.8527242207499169E-3</v>
      </c>
      <c r="AG35" s="15">
        <f>Domestic!AJ36/Domestic!AJ$96</f>
        <v>1.9683546209806162E-3</v>
      </c>
      <c r="AH35" s="15">
        <f>Domestic!AK36/Domestic!AK$96</f>
        <v>5.8072887592482776E-4</v>
      </c>
      <c r="AI35" s="15">
        <f>Domestic!AL36/Domestic!AL$96</f>
        <v>3.7908510594182907E-4</v>
      </c>
      <c r="AJ35" s="15">
        <f>Domestic!AM36/Domestic!AM$96</f>
        <v>5.3405815275981805E-4</v>
      </c>
      <c r="AK35" s="15">
        <f>Domestic!AN36/Domestic!AN$96</f>
        <v>4.8273616058848002E-5</v>
      </c>
      <c r="AL35" s="15">
        <f>Domestic!AO36/Domestic!AO$96</f>
        <v>6.2051009906479045E-5</v>
      </c>
      <c r="AM35" s="15">
        <f>Domestic!AP36/Domestic!AP$96</f>
        <v>8.0421631208896672E-4</v>
      </c>
      <c r="AN35" s="15">
        <f>Domestic!AQ36/Domestic!AQ$96</f>
        <v>1.7105385803346099E-4</v>
      </c>
      <c r="AO35" s="15">
        <f>Domestic!AR36/Domestic!AR$96</f>
        <v>1.1667126859268381E-4</v>
      </c>
      <c r="AP35" s="15">
        <f>Domestic!AS36/Domestic!AS$96</f>
        <v>1.4413831043125019E-4</v>
      </c>
      <c r="AQ35" s="15">
        <f>Domestic!AT36/Domestic!AT$96</f>
        <v>1.2541007963437091E-4</v>
      </c>
      <c r="AR35" s="15">
        <f>Domestic!AU36/Domestic!AU$96</f>
        <v>1.3481490296419869E-3</v>
      </c>
      <c r="AS35" s="15">
        <f>Domestic!AV36/Domestic!AV$96</f>
        <v>4.696268814426938E-5</v>
      </c>
      <c r="AT35" s="15">
        <f>Domestic!AW36/Domestic!AW$96</f>
        <v>9.8081101254258611E-5</v>
      </c>
      <c r="AU35" s="15">
        <f>Domestic!AX36/Domestic!AX$96</f>
        <v>1.7510613621254522E-4</v>
      </c>
      <c r="AV35" s="15">
        <f>Domestic!AY36/Domestic!AY$96</f>
        <v>4.6618809382375217E-3</v>
      </c>
      <c r="AW35" s="15">
        <f>Domestic!AZ36/Domestic!AZ$96</f>
        <v>4.6459747835515142E-3</v>
      </c>
      <c r="AX35" s="15">
        <f>Domestic!BA36/Domestic!BA$96</f>
        <v>5.0119084039200381E-4</v>
      </c>
      <c r="AY35" s="15">
        <f>Domestic!BB36/Domestic!BB$96</f>
        <v>6.7964657430468122E-3</v>
      </c>
      <c r="AZ35" s="15">
        <f>Domestic!BC36/Domestic!BC$96</f>
        <v>4.0708102153420153E-3</v>
      </c>
      <c r="BA35" s="15">
        <f>Domestic!BD36/Domestic!BD$96</f>
        <v>1.8386899471342337E-4</v>
      </c>
      <c r="BB35" s="15">
        <f>Domestic!BE36/Domestic!BE$96</f>
        <v>4.1720125624474734E-4</v>
      </c>
      <c r="BC35" s="15">
        <f>Domestic!BF36/Domestic!BF$96</f>
        <v>2.0958991344338822E-4</v>
      </c>
      <c r="BD35" s="15">
        <f>Domestic!BG36/Domestic!BG$96</f>
        <v>1.0073340157174511E-4</v>
      </c>
      <c r="BE35" s="15">
        <f>Domestic!BH36/Domestic!BH$96</f>
        <v>7.5246885576202258E-5</v>
      </c>
      <c r="BF35" s="15">
        <f>Domestic!BI36/Domestic!BI$96</f>
        <v>5.2114825725887605E-5</v>
      </c>
      <c r="BG35" s="15">
        <f>Domestic!BJ36/Domestic!BJ$96</f>
        <v>4.8994716910982761E-4</v>
      </c>
      <c r="BH35" s="15">
        <f>Domestic!BK36/Domestic!BK$96</f>
        <v>3.7220038524340736E-6</v>
      </c>
      <c r="BI35" s="15">
        <f>Domestic!BL36/Domestic!BL$96</f>
        <v>3.3518784076717696E-3</v>
      </c>
      <c r="BJ35" s="15">
        <f>Domestic!BM36/Domestic!BM$96</f>
        <v>3.252321905365979E-4</v>
      </c>
      <c r="BK35" s="15">
        <f>Domestic!BN36/Domestic!BN$96</f>
        <v>7.8001341823351507E-4</v>
      </c>
      <c r="BL35" s="15">
        <f>Domestic!BO36/Domestic!BO$96</f>
        <v>1.1753342219790472E-3</v>
      </c>
      <c r="BM35" s="15">
        <f>Domestic!BP36/Domestic!BP$96</f>
        <v>1.8178780185044253E-4</v>
      </c>
      <c r="BN35" s="15">
        <f>Domestic!BQ36/Domestic!BQ$96</f>
        <v>2.7135203124201721E-4</v>
      </c>
      <c r="BO35" s="15">
        <f>Domestic!BR36/Domestic!BR$96</f>
        <v>2.7764263232775904E-4</v>
      </c>
      <c r="BP35" s="15">
        <f>Domestic!BS36/Domestic!BS$96</f>
        <v>2.2101474596407855E-4</v>
      </c>
      <c r="BQ35" s="15">
        <f>Domestic!BT36/Domestic!BT$96</f>
        <v>2.4702256217952017E-4</v>
      </c>
      <c r="BR35" s="15">
        <f>Domestic!BU36/Domestic!BU$96</f>
        <v>5.7158159824306461E-4</v>
      </c>
      <c r="BS35" s="15">
        <f>Domestic!BV36/Domestic!BV$96</f>
        <v>3.1155661552232299E-4</v>
      </c>
      <c r="BT35" s="15">
        <f>Domestic!BW36/Domestic!BW$96</f>
        <v>9.3503549214425804E-4</v>
      </c>
      <c r="BU35" s="15">
        <f>Domestic!BX36/Domestic!BX$96</f>
        <v>1.0206508085718036E-2</v>
      </c>
      <c r="BV35" s="15">
        <f>Domestic!BY36/Domestic!BY$96</f>
        <v>4.704737691217098E-4</v>
      </c>
      <c r="BW35" s="15">
        <f>Domestic!BZ36/Domestic!BZ$96</f>
        <v>4.1807476953787366E-3</v>
      </c>
      <c r="BX35" s="15">
        <f>Domestic!CA36/Domestic!CA$96</f>
        <v>1.1654420174265435E-3</v>
      </c>
      <c r="BY35" s="15">
        <f>Domestic!CB36/Domestic!CB$96</f>
        <v>1.1997843467697004E-3</v>
      </c>
      <c r="BZ35" s="15">
        <f>Domestic!CC36/Domestic!CC$96</f>
        <v>0</v>
      </c>
      <c r="CA35" s="15">
        <f>Domestic!CD36/Domestic!CD$96</f>
        <v>2.4059465191678407E-4</v>
      </c>
    </row>
    <row r="36" spans="1:79" x14ac:dyDescent="0.3">
      <c r="A36" s="8" t="s">
        <v>124</v>
      </c>
      <c r="B36" s="15">
        <f>Domestic!E37/Domestic!E$96</f>
        <v>1.1296624857236935E-3</v>
      </c>
      <c r="C36" s="15">
        <f>Domestic!F37/Domestic!F$96</f>
        <v>1.0084986272970934E-3</v>
      </c>
      <c r="D36" s="15">
        <f>Domestic!G37/Domestic!G$96</f>
        <v>7.7824035121586393E-4</v>
      </c>
      <c r="E36" s="15">
        <f>Domestic!H37/Domestic!H$96</f>
        <v>3.605180891322427E-4</v>
      </c>
      <c r="F36" s="15">
        <f>Domestic!I37/Domestic!I$96</f>
        <v>4.0909335806564584E-3</v>
      </c>
      <c r="G36" s="15">
        <f>Domestic!J37/Domestic!J$96</f>
        <v>1.0941011386696889E-3</v>
      </c>
      <c r="H36" s="15">
        <f>Domestic!K37/Domestic!K$96</f>
        <v>3.3650137983302913E-4</v>
      </c>
      <c r="I36" s="15">
        <f>Domestic!L37/Domestic!L$96</f>
        <v>2.3517880930049997E-2</v>
      </c>
      <c r="J36" s="15">
        <f>Domestic!M37/Domestic!M$96</f>
        <v>2.0647498171437674E-3</v>
      </c>
      <c r="K36" s="15">
        <f>Domestic!N37/Domestic!N$96</f>
        <v>6.5243642112093967E-3</v>
      </c>
      <c r="L36" s="15">
        <f>Domestic!O37/Domestic!O$96</f>
        <v>1.4656106387973756E-2</v>
      </c>
      <c r="M36" s="15">
        <f>Domestic!P37/Domestic!P$96</f>
        <v>6.8809289387773316E-3</v>
      </c>
      <c r="N36" s="15">
        <f>Domestic!Q37/Domestic!Q$96</f>
        <v>9.7136319818811841E-4</v>
      </c>
      <c r="O36" s="15">
        <f>Domestic!R37/Domestic!R$96</f>
        <v>3.1087142649022441E-3</v>
      </c>
      <c r="P36" s="15">
        <f>Domestic!S37/Domestic!S$96</f>
        <v>8.1486590962614048E-4</v>
      </c>
      <c r="Q36" s="15">
        <f>Domestic!T37/Domestic!T$96</f>
        <v>4.4839630795695719E-3</v>
      </c>
      <c r="R36" s="15">
        <f>Domestic!U37/Domestic!U$96</f>
        <v>9.6506250444725766E-4</v>
      </c>
      <c r="S36" s="15">
        <f>Domestic!V37/Domestic!V$96</f>
        <v>3.9488277019402527E-3</v>
      </c>
      <c r="T36" s="15">
        <f>Domestic!W37/Domestic!W$96</f>
        <v>2.8423113089933571E-3</v>
      </c>
      <c r="U36" s="15">
        <f>Domestic!X37/Domestic!X$96</f>
        <v>4.1695863840962091E-3</v>
      </c>
      <c r="V36" s="15">
        <f>Domestic!Y37/Domestic!Y$96</f>
        <v>7.3729063934735916E-3</v>
      </c>
      <c r="W36" s="15">
        <f>Domestic!Z37/Domestic!Z$96</f>
        <v>1.7831770131887303E-4</v>
      </c>
      <c r="X36" s="15">
        <f>Domestic!AA37/Domestic!AA$96</f>
        <v>1.034904332795855E-3</v>
      </c>
      <c r="Y36" s="15">
        <f>Domestic!AB37/Domestic!AB$96</f>
        <v>4.3453346160996949E-3</v>
      </c>
      <c r="Z36" s="15">
        <f>Domestic!AC37/Domestic!AC$96</f>
        <v>2.2458944361536813E-3</v>
      </c>
      <c r="AA36" s="15">
        <f>Domestic!AD37/Domestic!AD$96</f>
        <v>5.2936568141020348E-3</v>
      </c>
      <c r="AB36" s="15">
        <f>Domestic!AE37/Domestic!AE$96</f>
        <v>4.6563617328506399E-3</v>
      </c>
      <c r="AC36" s="15">
        <f>Domestic!AF37/Domestic!AF$96</f>
        <v>4.0487724622013483E-3</v>
      </c>
      <c r="AD36" s="15">
        <f>Domestic!AG37/Domestic!AG$96</f>
        <v>3.1995669676560486E-3</v>
      </c>
      <c r="AE36" s="15">
        <f>Domestic!AH37/Domestic!AH$96</f>
        <v>4.546058004613566E-3</v>
      </c>
      <c r="AF36" s="15">
        <f>Domestic!AI37/Domestic!AI$96</f>
        <v>6.7894054045002317E-2</v>
      </c>
      <c r="AG36" s="15">
        <f>Domestic!AJ37/Domestic!AJ$96</f>
        <v>7.2634460803930861E-3</v>
      </c>
      <c r="AH36" s="15">
        <f>Domestic!AK37/Domestic!AK$96</f>
        <v>2.1571565030816349E-3</v>
      </c>
      <c r="AI36" s="15">
        <f>Domestic!AL37/Domestic!AL$96</f>
        <v>7.1520273014329602E-3</v>
      </c>
      <c r="AJ36" s="15">
        <f>Domestic!AM37/Domestic!AM$96</f>
        <v>7.8996885709575245E-3</v>
      </c>
      <c r="AK36" s="15">
        <f>Domestic!AN37/Domestic!AN$96</f>
        <v>7.7439597741427667E-4</v>
      </c>
      <c r="AL36" s="15">
        <f>Domestic!AO37/Domestic!AO$96</f>
        <v>3.334013584517704E-3</v>
      </c>
      <c r="AM36" s="15">
        <f>Domestic!AP37/Domestic!AP$96</f>
        <v>1.0148756673737927E-2</v>
      </c>
      <c r="AN36" s="15">
        <f>Domestic!AQ37/Domestic!AQ$96</f>
        <v>3.0792073365677009E-2</v>
      </c>
      <c r="AO36" s="15">
        <f>Domestic!AR37/Domestic!AR$96</f>
        <v>8.6405715570185438E-3</v>
      </c>
      <c r="AP36" s="15">
        <f>Domestic!AS37/Domestic!AS$96</f>
        <v>3.0301838971040738E-3</v>
      </c>
      <c r="AQ36" s="15">
        <f>Domestic!AT37/Domestic!AT$96</f>
        <v>1.1174676471854085E-2</v>
      </c>
      <c r="AR36" s="15">
        <f>Domestic!AU37/Domestic!AU$96</f>
        <v>1.5240172025723828E-3</v>
      </c>
      <c r="AS36" s="15">
        <f>Domestic!AV37/Domestic!AV$96</f>
        <v>6.1255680188177452E-5</v>
      </c>
      <c r="AT36" s="15">
        <f>Domestic!AW37/Domestic!AW$96</f>
        <v>3.2084120169778991E-4</v>
      </c>
      <c r="AU36" s="15">
        <f>Domestic!AX37/Domestic!AX$96</f>
        <v>2.6850728753730199E-4</v>
      </c>
      <c r="AV36" s="15">
        <f>Domestic!AY37/Domestic!AY$96</f>
        <v>1.9997763470895901E-3</v>
      </c>
      <c r="AW36" s="15">
        <f>Domestic!AZ37/Domestic!AZ$96</f>
        <v>2.1861485803874644E-3</v>
      </c>
      <c r="AX36" s="15">
        <f>Domestic!BA37/Domestic!BA$96</f>
        <v>4.5210212246805752E-4</v>
      </c>
      <c r="AY36" s="15">
        <f>Domestic!BB37/Domestic!BB$96</f>
        <v>2.0342018207163879E-3</v>
      </c>
      <c r="AZ36" s="15">
        <f>Domestic!BC37/Domestic!BC$96</f>
        <v>1.9107763495739426E-3</v>
      </c>
      <c r="BA36" s="15">
        <f>Domestic!BD37/Domestic!BD$96</f>
        <v>2.6482623865440826E-4</v>
      </c>
      <c r="BB36" s="15">
        <f>Domestic!BE37/Domestic!BE$96</f>
        <v>7.1364897891284921E-4</v>
      </c>
      <c r="BC36" s="15">
        <f>Domestic!BF37/Domestic!BF$96</f>
        <v>2.4151045162527823E-4</v>
      </c>
      <c r="BD36" s="15">
        <f>Domestic!BG37/Domestic!BG$96</f>
        <v>1.5650082086920844E-4</v>
      </c>
      <c r="BE36" s="15">
        <f>Domestic!BH37/Domestic!BH$96</f>
        <v>5.657274659258982E-5</v>
      </c>
      <c r="BF36" s="15">
        <f>Domestic!BI37/Domestic!BI$96</f>
        <v>9.0469732930783303E-5</v>
      </c>
      <c r="BG36" s="15">
        <f>Domestic!BJ37/Domestic!BJ$96</f>
        <v>3.840045594236665E-2</v>
      </c>
      <c r="BH36" s="15">
        <f>Domestic!BK37/Domestic!BK$96</f>
        <v>7.3839753846675971E-6</v>
      </c>
      <c r="BI36" s="15">
        <f>Domestic!BL37/Domestic!BL$96</f>
        <v>1.0573493957493447E-3</v>
      </c>
      <c r="BJ36" s="15">
        <f>Domestic!BM37/Domestic!BM$96</f>
        <v>4.2977261258284673E-4</v>
      </c>
      <c r="BK36" s="15">
        <f>Domestic!BN37/Domestic!BN$96</f>
        <v>1.7637791597617113E-3</v>
      </c>
      <c r="BL36" s="15">
        <f>Domestic!BO37/Domestic!BO$96</f>
        <v>5.3597634373894754E-3</v>
      </c>
      <c r="BM36" s="15">
        <f>Domestic!BP37/Domestic!BP$96</f>
        <v>4.9992258619533964E-4</v>
      </c>
      <c r="BN36" s="15">
        <f>Domestic!BQ37/Domestic!BQ$96</f>
        <v>9.6398211339267172E-4</v>
      </c>
      <c r="BO36" s="15">
        <f>Domestic!BR37/Domestic!BR$96</f>
        <v>1.1439203410842625E-3</v>
      </c>
      <c r="BP36" s="15">
        <f>Domestic!BS37/Domestic!BS$96</f>
        <v>6.3072192326507788E-4</v>
      </c>
      <c r="BQ36" s="15">
        <f>Domestic!BT37/Domestic!BT$96</f>
        <v>8.1320675817910968E-4</v>
      </c>
      <c r="BR36" s="15">
        <f>Domestic!BU37/Domestic!BU$96</f>
        <v>1.755510873649077E-3</v>
      </c>
      <c r="BS36" s="15">
        <f>Domestic!BV37/Domestic!BV$96</f>
        <v>1.7924671647558147E-3</v>
      </c>
      <c r="BT36" s="15">
        <f>Domestic!BW37/Domestic!BW$96</f>
        <v>3.7728741220266105E-3</v>
      </c>
      <c r="BU36" s="15">
        <f>Domestic!BX37/Domestic!BX$96</f>
        <v>3.6276441649024656E-3</v>
      </c>
      <c r="BV36" s="15">
        <f>Domestic!BY37/Domestic!BY$96</f>
        <v>1.337641313697153E-3</v>
      </c>
      <c r="BW36" s="15">
        <f>Domestic!BZ37/Domestic!BZ$96</f>
        <v>6.5645957485248471E-2</v>
      </c>
      <c r="BX36" s="15">
        <f>Domestic!CA37/Domestic!CA$96</f>
        <v>3.1322462848749127E-3</v>
      </c>
      <c r="BY36" s="15">
        <f>Domestic!CB37/Domestic!CB$96</f>
        <v>1.5065195969595922E-3</v>
      </c>
      <c r="BZ36" s="15">
        <f>Domestic!CC37/Domestic!CC$96</f>
        <v>0</v>
      </c>
      <c r="CA36" s="15">
        <f>Domestic!CD37/Domestic!CD$96</f>
        <v>4.5550357616825536E-4</v>
      </c>
    </row>
    <row r="37" spans="1:79" x14ac:dyDescent="0.3">
      <c r="A37" s="7" t="s">
        <v>125</v>
      </c>
      <c r="B37" s="15">
        <f>Domestic!E38/Domestic!E$96</f>
        <v>4.9629020981311884E-5</v>
      </c>
      <c r="C37" s="15">
        <f>Domestic!F38/Domestic!F$96</f>
        <v>1.4023071690802525E-5</v>
      </c>
      <c r="D37" s="15">
        <f>Domestic!G38/Domestic!G$96</f>
        <v>3.3821454978179955E-5</v>
      </c>
      <c r="E37" s="15">
        <f>Domestic!H38/Domestic!H$96</f>
        <v>8.1140511729352875E-5</v>
      </c>
      <c r="F37" s="15">
        <f>Domestic!I38/Domestic!I$96</f>
        <v>1.4017756466255403E-4</v>
      </c>
      <c r="G37" s="15">
        <f>Domestic!J38/Domestic!J$96</f>
        <v>1.7903446516665481E-5</v>
      </c>
      <c r="H37" s="15">
        <f>Domestic!K38/Domestic!K$96</f>
        <v>1.4016642281163262E-5</v>
      </c>
      <c r="I37" s="15">
        <f>Domestic!L38/Domestic!L$96</f>
        <v>2.306416942602899E-4</v>
      </c>
      <c r="J37" s="15">
        <f>Domestic!M38/Domestic!M$96</f>
        <v>7.2558394728626296E-5</v>
      </c>
      <c r="K37" s="15">
        <f>Domestic!N38/Domestic!N$96</f>
        <v>1.8699739960889772E-3</v>
      </c>
      <c r="L37" s="15">
        <f>Domestic!O38/Domestic!O$96</f>
        <v>4.5627130586031175E-4</v>
      </c>
      <c r="M37" s="15">
        <f>Domestic!P38/Domestic!P$96</f>
        <v>2.4005716591147294E-4</v>
      </c>
      <c r="N37" s="15">
        <f>Domestic!Q38/Domestic!Q$96</f>
        <v>4.3186679421671887E-5</v>
      </c>
      <c r="O37" s="15">
        <f>Domestic!R38/Domestic!R$96</f>
        <v>1.8621055524405684E-4</v>
      </c>
      <c r="P37" s="15">
        <f>Domestic!S38/Domestic!S$96</f>
        <v>3.3845597195539441E-4</v>
      </c>
      <c r="Q37" s="15">
        <f>Domestic!T38/Domestic!T$96</f>
        <v>6.3312756139083997E-3</v>
      </c>
      <c r="R37" s="15">
        <f>Domestic!U38/Domestic!U$96</f>
        <v>1.442902492621697E-4</v>
      </c>
      <c r="S37" s="15">
        <f>Domestic!V38/Domestic!V$96</f>
        <v>2.3210731888399888E-4</v>
      </c>
      <c r="T37" s="15">
        <f>Domestic!W38/Domestic!W$96</f>
        <v>7.7632850894531283E-4</v>
      </c>
      <c r="U37" s="15">
        <f>Domestic!X38/Domestic!X$96</f>
        <v>8.0827047822828627E-5</v>
      </c>
      <c r="V37" s="15">
        <f>Domestic!Y38/Domestic!Y$96</f>
        <v>2.689317101724659E-4</v>
      </c>
      <c r="W37" s="15">
        <f>Domestic!Z38/Domestic!Z$96</f>
        <v>1.5633020169274905E-5</v>
      </c>
      <c r="X37" s="15">
        <f>Domestic!AA38/Domestic!AA$96</f>
        <v>5.0308148041924179E-5</v>
      </c>
      <c r="Y37" s="15">
        <f>Domestic!AB38/Domestic!AB$96</f>
        <v>1.0790819254571624E-4</v>
      </c>
      <c r="Z37" s="15">
        <f>Domestic!AC38/Domestic!AC$96</f>
        <v>2.5094693906932029E-4</v>
      </c>
      <c r="AA37" s="15">
        <f>Domestic!AD38/Domestic!AD$96</f>
        <v>1.2775436049128284E-4</v>
      </c>
      <c r="AB37" s="15">
        <f>Domestic!AE38/Domestic!AE$96</f>
        <v>2.6501447314147082E-4</v>
      </c>
      <c r="AC37" s="15">
        <f>Domestic!AF38/Domestic!AF$96</f>
        <v>1.0948856788582149E-4</v>
      </c>
      <c r="AD37" s="15">
        <f>Domestic!AG38/Domestic!AG$96</f>
        <v>9.2007333099161781E-5</v>
      </c>
      <c r="AE37" s="15">
        <f>Domestic!AH38/Domestic!AH$96</f>
        <v>1.4836433917359476E-4</v>
      </c>
      <c r="AF37" s="15">
        <f>Domestic!AI38/Domestic!AI$96</f>
        <v>1.1034187226833599E-4</v>
      </c>
      <c r="AG37" s="15">
        <f>Domestic!AJ38/Domestic!AJ$96</f>
        <v>6.9888610382882596E-3</v>
      </c>
      <c r="AH37" s="15">
        <f>Domestic!AK38/Domestic!AK$96</f>
        <v>1.9464678163309457E-4</v>
      </c>
      <c r="AI37" s="15">
        <f>Domestic!AL38/Domestic!AL$96</f>
        <v>2.8562112968067781E-5</v>
      </c>
      <c r="AJ37" s="15">
        <f>Domestic!AM38/Domestic!AM$96</f>
        <v>3.6338936178553323E-5</v>
      </c>
      <c r="AK37" s="15">
        <f>Domestic!AN38/Domestic!AN$96</f>
        <v>2.0743488832872026E-5</v>
      </c>
      <c r="AL37" s="15">
        <f>Domestic!AO38/Domestic!AO$96</f>
        <v>8.1169117671953312E-5</v>
      </c>
      <c r="AM37" s="15">
        <f>Domestic!AP38/Domestic!AP$96</f>
        <v>2.0169214731544641E-5</v>
      </c>
      <c r="AN37" s="15">
        <f>Domestic!AQ38/Domestic!AQ$96</f>
        <v>3.8512217302447046E-5</v>
      </c>
      <c r="AO37" s="15">
        <f>Domestic!AR38/Domestic!AR$96</f>
        <v>1.0664886797224829E-4</v>
      </c>
      <c r="AP37" s="15">
        <f>Domestic!AS38/Domestic!AS$96</f>
        <v>1.8221767670417415E-4</v>
      </c>
      <c r="AQ37" s="15">
        <f>Domestic!AT38/Domestic!AT$96</f>
        <v>8.8137133142053778E-5</v>
      </c>
      <c r="AR37" s="15">
        <f>Domestic!AU38/Domestic!AU$96</f>
        <v>7.2967082017442393E-5</v>
      </c>
      <c r="AS37" s="15">
        <f>Domestic!AV38/Domestic!AV$96</f>
        <v>2.2664601669625656E-5</v>
      </c>
      <c r="AT37" s="15">
        <f>Domestic!AW38/Domestic!AW$96</f>
        <v>1.5952246190316423E-4</v>
      </c>
      <c r="AU37" s="15">
        <f>Domestic!AX38/Domestic!AX$96</f>
        <v>7.0895586625126356E-5</v>
      </c>
      <c r="AV37" s="15">
        <f>Domestic!AY38/Domestic!AY$96</f>
        <v>4.4539478437467563E-5</v>
      </c>
      <c r="AW37" s="15">
        <f>Domestic!AZ38/Domestic!AZ$96</f>
        <v>5.4299204311954639E-5</v>
      </c>
      <c r="AX37" s="15">
        <f>Domestic!BA38/Domestic!BA$96</f>
        <v>5.7713754751528367E-5</v>
      </c>
      <c r="AY37" s="15">
        <f>Domestic!BB38/Domestic!BB$96</f>
        <v>1.1832274653707366E-4</v>
      </c>
      <c r="AZ37" s="15">
        <f>Domestic!BC38/Domestic!BC$96</f>
        <v>4.1122294214278778E-5</v>
      </c>
      <c r="BA37" s="15">
        <f>Domestic!BD38/Domestic!BD$96</f>
        <v>5.8659697940289915E-5</v>
      </c>
      <c r="BB37" s="15">
        <f>Domestic!BE38/Domestic!BE$96</f>
        <v>1.4674023181803915E-4</v>
      </c>
      <c r="BC37" s="15">
        <f>Domestic!BF38/Domestic!BF$96</f>
        <v>1.3582571787658191E-3</v>
      </c>
      <c r="BD37" s="15">
        <f>Domestic!BG38/Domestic!BG$96</f>
        <v>5.8047189264726446E-3</v>
      </c>
      <c r="BE37" s="15">
        <f>Domestic!BH38/Domestic!BH$96</f>
        <v>2.1008620215233069E-4</v>
      </c>
      <c r="BF37" s="15">
        <f>Domestic!BI38/Domestic!BI$96</f>
        <v>2.4028816469447675E-5</v>
      </c>
      <c r="BG37" s="15">
        <f>Domestic!BJ38/Domestic!BJ$96</f>
        <v>6.4316587941582286E-5</v>
      </c>
      <c r="BH37" s="15">
        <f>Domestic!BK38/Domestic!BK$96</f>
        <v>9.0048480300824357E-7</v>
      </c>
      <c r="BI37" s="15">
        <f>Domestic!BL38/Domestic!BL$96</f>
        <v>9.9058281983907727E-5</v>
      </c>
      <c r="BJ37" s="15">
        <f>Domestic!BM38/Domestic!BM$96</f>
        <v>4.0757993516809735E-4</v>
      </c>
      <c r="BK37" s="15">
        <f>Domestic!BN38/Domestic!BN$96</f>
        <v>5.0022654815754734E-4</v>
      </c>
      <c r="BL37" s="15">
        <f>Domestic!BO38/Domestic!BO$96</f>
        <v>3.3541303758886882E-4</v>
      </c>
      <c r="BM37" s="15">
        <f>Domestic!BP38/Domestic!BP$96</f>
        <v>8.7031794241474358E-4</v>
      </c>
      <c r="BN37" s="15">
        <f>Domestic!BQ38/Domestic!BQ$96</f>
        <v>7.199908775220844E-4</v>
      </c>
      <c r="BO37" s="15">
        <f>Domestic!BR38/Domestic!BR$96</f>
        <v>4.4206810300106368E-4</v>
      </c>
      <c r="BP37" s="15">
        <f>Domestic!BS38/Domestic!BS$96</f>
        <v>2.4067020756167448E-4</v>
      </c>
      <c r="BQ37" s="15">
        <f>Domestic!BT38/Domestic!BT$96</f>
        <v>1.1166091419674542E-3</v>
      </c>
      <c r="BR37" s="15">
        <f>Domestic!BU38/Domestic!BU$96</f>
        <v>6.0421850329798023E-4</v>
      </c>
      <c r="BS37" s="15">
        <f>Domestic!BV38/Domestic!BV$96</f>
        <v>5.7845991089824889E-4</v>
      </c>
      <c r="BT37" s="15">
        <f>Domestic!BW38/Domestic!BW$96</f>
        <v>1.7866125091630242E-3</v>
      </c>
      <c r="BU37" s="15">
        <f>Domestic!BX38/Domestic!BX$96</f>
        <v>1.508564709236615E-3</v>
      </c>
      <c r="BV37" s="15">
        <f>Domestic!BY38/Domestic!BY$96</f>
        <v>5.8065758725338865E-4</v>
      </c>
      <c r="BW37" s="15">
        <f>Domestic!BZ38/Domestic!BZ$96</f>
        <v>1.4400526929161527E-4</v>
      </c>
      <c r="BX37" s="15">
        <f>Domestic!CA38/Domestic!CA$96</f>
        <v>6.6504216891359342E-4</v>
      </c>
      <c r="BY37" s="15">
        <f>Domestic!CB38/Domestic!CB$96</f>
        <v>8.4098880292842718E-4</v>
      </c>
      <c r="BZ37" s="15">
        <f>Domestic!CC38/Domestic!CC$96</f>
        <v>0</v>
      </c>
      <c r="CA37" s="15">
        <f>Domestic!CD38/Domestic!CD$96</f>
        <v>4.193770872128001E-4</v>
      </c>
    </row>
    <row r="38" spans="1:79" x14ac:dyDescent="0.3">
      <c r="A38" s="8" t="s">
        <v>126</v>
      </c>
      <c r="B38" s="15">
        <f>Domestic!E39/Domestic!E$96</f>
        <v>1.9472020849712747E-4</v>
      </c>
      <c r="C38" s="15">
        <f>Domestic!F39/Domestic!F$96</f>
        <v>7.5205483209942961E-5</v>
      </c>
      <c r="D38" s="15">
        <f>Domestic!G39/Domestic!G$96</f>
        <v>2.2537230050588225E-4</v>
      </c>
      <c r="E38" s="15">
        <f>Domestic!H39/Domestic!H$96</f>
        <v>2.6079013185115505E-4</v>
      </c>
      <c r="F38" s="15">
        <f>Domestic!I39/Domestic!I$96</f>
        <v>1.1929332035143488E-2</v>
      </c>
      <c r="G38" s="15">
        <f>Domestic!J39/Domestic!J$96</f>
        <v>2.8253650936248341E-4</v>
      </c>
      <c r="H38" s="15">
        <f>Domestic!K39/Domestic!K$96</f>
        <v>4.8891546926320482E-4</v>
      </c>
      <c r="I38" s="15">
        <f>Domestic!L39/Domestic!L$96</f>
        <v>8.5555756084805285E-4</v>
      </c>
      <c r="J38" s="15">
        <f>Domestic!M39/Domestic!M$96</f>
        <v>5.5336461121866421E-4</v>
      </c>
      <c r="K38" s="15">
        <f>Domestic!N39/Domestic!N$96</f>
        <v>1.9129656542405294E-3</v>
      </c>
      <c r="L38" s="15">
        <f>Domestic!O39/Domestic!O$96</f>
        <v>1.1533618054433268E-2</v>
      </c>
      <c r="M38" s="15">
        <f>Domestic!P39/Domestic!P$96</f>
        <v>9.4010255277038948E-3</v>
      </c>
      <c r="N38" s="15">
        <f>Domestic!Q39/Domestic!Q$96</f>
        <v>4.5880587714740143E-4</v>
      </c>
      <c r="O38" s="15">
        <f>Domestic!R39/Domestic!R$96</f>
        <v>5.711594546408533E-4</v>
      </c>
      <c r="P38" s="15">
        <f>Domestic!S39/Domestic!S$96</f>
        <v>1.3285535885095624E-3</v>
      </c>
      <c r="Q38" s="15">
        <f>Domestic!T39/Domestic!T$96</f>
        <v>1.3137622826124684E-2</v>
      </c>
      <c r="R38" s="15">
        <f>Domestic!U39/Domestic!U$96</f>
        <v>6.9060942899323782E-3</v>
      </c>
      <c r="S38" s="15">
        <f>Domestic!V39/Domestic!V$96</f>
        <v>2.1838719209188893E-3</v>
      </c>
      <c r="T38" s="15">
        <f>Domestic!W39/Domestic!W$96</f>
        <v>9.3819522981608669E-4</v>
      </c>
      <c r="U38" s="15">
        <f>Domestic!X39/Domestic!X$96</f>
        <v>2.0801452832467874E-3</v>
      </c>
      <c r="V38" s="15">
        <f>Domestic!Y39/Domestic!Y$96</f>
        <v>2.9594829776811013E-3</v>
      </c>
      <c r="W38" s="15">
        <f>Domestic!Z39/Domestic!Z$96</f>
        <v>2.3251790861680336E-4</v>
      </c>
      <c r="X38" s="15">
        <f>Domestic!AA39/Domestic!AA$96</f>
        <v>1.5448344132200208E-3</v>
      </c>
      <c r="Y38" s="15">
        <f>Domestic!AB39/Domestic!AB$96</f>
        <v>2.2762104706444894E-3</v>
      </c>
      <c r="Z38" s="15">
        <f>Domestic!AC39/Domestic!AC$96</f>
        <v>1.4947851020619331E-3</v>
      </c>
      <c r="AA38" s="15">
        <f>Domestic!AD39/Domestic!AD$96</f>
        <v>7.9268927131145753E-4</v>
      </c>
      <c r="AB38" s="15">
        <f>Domestic!AE39/Domestic!AE$96</f>
        <v>1.6033412670386378E-3</v>
      </c>
      <c r="AC38" s="15">
        <f>Domestic!AF39/Domestic!AF$96</f>
        <v>1.0634090259396256E-3</v>
      </c>
      <c r="AD38" s="15">
        <f>Domestic!AG39/Domestic!AG$96</f>
        <v>8.2180655914697429E-4</v>
      </c>
      <c r="AE38" s="15">
        <f>Domestic!AH39/Domestic!AH$96</f>
        <v>1.5549532056881217E-3</v>
      </c>
      <c r="AF38" s="15">
        <f>Domestic!AI39/Domestic!AI$96</f>
        <v>1.3171546448587797E-3</v>
      </c>
      <c r="AG38" s="15">
        <f>Domestic!AJ39/Domestic!AJ$96</f>
        <v>2.6822800781342048E-3</v>
      </c>
      <c r="AH38" s="15">
        <f>Domestic!AK39/Domestic!AK$96</f>
        <v>7.4689041300393137E-3</v>
      </c>
      <c r="AI38" s="15">
        <f>Domestic!AL39/Domestic!AL$96</f>
        <v>6.0371858554149132E-4</v>
      </c>
      <c r="AJ38" s="15">
        <f>Domestic!AM39/Domestic!AM$96</f>
        <v>9.6081351288256273E-4</v>
      </c>
      <c r="AK38" s="15">
        <f>Domestic!AN39/Domestic!AN$96</f>
        <v>3.4328098477026041E-4</v>
      </c>
      <c r="AL38" s="15">
        <f>Domestic!AO39/Domestic!AO$96</f>
        <v>1.218545256069189E-4</v>
      </c>
      <c r="AM38" s="15">
        <f>Domestic!AP39/Domestic!AP$96</f>
        <v>9.3347981329283225E-4</v>
      </c>
      <c r="AN38" s="15">
        <f>Domestic!AQ39/Domestic!AQ$96</f>
        <v>1.5314585726971001E-4</v>
      </c>
      <c r="AO38" s="15">
        <f>Domestic!AR39/Domestic!AR$96</f>
        <v>4.4085954212795021E-4</v>
      </c>
      <c r="AP38" s="15">
        <f>Domestic!AS39/Domestic!AS$96</f>
        <v>1.9969483265314532E-4</v>
      </c>
      <c r="AQ38" s="15">
        <f>Domestic!AT39/Domestic!AT$96</f>
        <v>4.4171530511613404E-4</v>
      </c>
      <c r="AR38" s="15">
        <f>Domestic!AU39/Domestic!AU$96</f>
        <v>2.8599765880271376E-3</v>
      </c>
      <c r="AS38" s="15">
        <f>Domestic!AV39/Domestic!AV$96</f>
        <v>1.780498437469691E-4</v>
      </c>
      <c r="AT38" s="15">
        <f>Domestic!AW39/Domestic!AW$96</f>
        <v>3.394099538769942E-4</v>
      </c>
      <c r="AU38" s="15">
        <f>Domestic!AX39/Domestic!AX$96</f>
        <v>4.2692995078772991E-3</v>
      </c>
      <c r="AV38" s="15">
        <f>Domestic!AY39/Domestic!AY$96</f>
        <v>2.6646937372993133E-3</v>
      </c>
      <c r="AW38" s="15">
        <f>Domestic!AZ39/Domestic!AZ$96</f>
        <v>4.523847614135036E-4</v>
      </c>
      <c r="AX38" s="15">
        <f>Domestic!BA39/Domestic!BA$96</f>
        <v>1.84692850069759E-4</v>
      </c>
      <c r="AY38" s="15">
        <f>Domestic!BB39/Domestic!BB$96</f>
        <v>3.4783226435372951E-4</v>
      </c>
      <c r="AZ38" s="15">
        <f>Domestic!BC39/Domestic!BC$96</f>
        <v>4.4173063694796566E-4</v>
      </c>
      <c r="BA38" s="15">
        <f>Domestic!BD39/Domestic!BD$96</f>
        <v>1.5642586117410644E-4</v>
      </c>
      <c r="BB38" s="15">
        <f>Domestic!BE39/Domestic!BE$96</f>
        <v>4.6131628445202168E-2</v>
      </c>
      <c r="BC38" s="15">
        <f>Domestic!BF39/Domestic!BF$96</f>
        <v>3.9743515647306396E-4</v>
      </c>
      <c r="BD38" s="15">
        <f>Domestic!BG39/Domestic!BG$96</f>
        <v>7.3036383427117822E-4</v>
      </c>
      <c r="BE38" s="15">
        <f>Domestic!BH39/Domestic!BH$96</f>
        <v>9.4171952064862484E-5</v>
      </c>
      <c r="BF38" s="15">
        <f>Domestic!BI39/Domestic!BI$96</f>
        <v>5.7114139870533222E-5</v>
      </c>
      <c r="BG38" s="15">
        <f>Domestic!BJ39/Domestic!BJ$96</f>
        <v>9.3488754615085677E-4</v>
      </c>
      <c r="BH38" s="15">
        <f>Domestic!BK39/Domestic!BK$96</f>
        <v>3.7620253992344401E-6</v>
      </c>
      <c r="BI38" s="15">
        <f>Domestic!BL39/Domestic!BL$96</f>
        <v>3.4171275226083891E-3</v>
      </c>
      <c r="BJ38" s="15">
        <f>Domestic!BM39/Domestic!BM$96</f>
        <v>6.1302125501340368E-4</v>
      </c>
      <c r="BK38" s="15">
        <f>Domestic!BN39/Domestic!BN$96</f>
        <v>1.1928791562015168E-3</v>
      </c>
      <c r="BL38" s="15">
        <f>Domestic!BO39/Domestic!BO$96</f>
        <v>7.254270150226708E-3</v>
      </c>
      <c r="BM38" s="15">
        <f>Domestic!BP39/Domestic!BP$96</f>
        <v>1.7461381851569284E-3</v>
      </c>
      <c r="BN38" s="15">
        <f>Domestic!BQ39/Domestic!BQ$96</f>
        <v>2.1149762617182412E-2</v>
      </c>
      <c r="BO38" s="15">
        <f>Domestic!BR39/Domestic!BR$96</f>
        <v>1.6689039231681021E-2</v>
      </c>
      <c r="BP38" s="15">
        <f>Domestic!BS39/Domestic!BS$96</f>
        <v>3.7672968062058844E-3</v>
      </c>
      <c r="BQ38" s="15">
        <f>Domestic!BT39/Domestic!BT$96</f>
        <v>3.5090400360359556E-3</v>
      </c>
      <c r="BR38" s="15">
        <f>Domestic!BU39/Domestic!BU$96</f>
        <v>6.3899213390483378E-3</v>
      </c>
      <c r="BS38" s="15">
        <f>Domestic!BV39/Domestic!BV$96</f>
        <v>3.2704842414053893E-3</v>
      </c>
      <c r="BT38" s="15">
        <f>Domestic!BW39/Domestic!BW$96</f>
        <v>7.2763967860371669E-3</v>
      </c>
      <c r="BU38" s="15">
        <f>Domestic!BX39/Domestic!BX$96</f>
        <v>5.4785250273309428E-3</v>
      </c>
      <c r="BV38" s="15">
        <f>Domestic!BY39/Domestic!BY$96</f>
        <v>1.6083840337554167E-3</v>
      </c>
      <c r="BW38" s="15">
        <f>Domestic!BZ39/Domestic!BZ$96</f>
        <v>5.1053671293821365E-3</v>
      </c>
      <c r="BX38" s="15">
        <f>Domestic!CA39/Domestic!CA$96</f>
        <v>5.880349537526303E-3</v>
      </c>
      <c r="BY38" s="15">
        <f>Domestic!CB39/Domestic!CB$96</f>
        <v>4.7829807442214762E-3</v>
      </c>
      <c r="BZ38" s="15">
        <f>Domestic!CC39/Domestic!CC$96</f>
        <v>0</v>
      </c>
      <c r="CA38" s="15">
        <f>Domestic!CD39/Domestic!CD$96</f>
        <v>3.1877853356782437E-3</v>
      </c>
    </row>
    <row r="39" spans="1:79" x14ac:dyDescent="0.3">
      <c r="A39" s="7" t="s">
        <v>127</v>
      </c>
      <c r="B39" s="15">
        <f>Domestic!E40/Domestic!E$96</f>
        <v>1.7257082139203204E-2</v>
      </c>
      <c r="C39" s="15">
        <f>Domestic!F40/Domestic!F$96</f>
        <v>4.2476166711895184E-2</v>
      </c>
      <c r="D39" s="15">
        <f>Domestic!G40/Domestic!G$96</f>
        <v>1.0790258241551444E-2</v>
      </c>
      <c r="E39" s="15">
        <f>Domestic!H40/Domestic!H$96</f>
        <v>2.4818766964580904E-2</v>
      </c>
      <c r="F39" s="15">
        <f>Domestic!I40/Domestic!I$96</f>
        <v>2.1634968770324305E-2</v>
      </c>
      <c r="G39" s="15">
        <f>Domestic!J40/Domestic!J$96</f>
        <v>1.0468416572525148E-2</v>
      </c>
      <c r="H39" s="15">
        <f>Domestic!K40/Domestic!K$96</f>
        <v>1.0727386169789256E-2</v>
      </c>
      <c r="I39" s="15">
        <f>Domestic!L40/Domestic!L$96</f>
        <v>1.4015329352095747E-2</v>
      </c>
      <c r="J39" s="15">
        <f>Domestic!M40/Domestic!M$96</f>
        <v>1.144166695912357E-2</v>
      </c>
      <c r="K39" s="15">
        <f>Domestic!N40/Domestic!N$96</f>
        <v>4.3950571715715099E-2</v>
      </c>
      <c r="L39" s="15">
        <f>Domestic!O40/Domestic!O$96</f>
        <v>2.2099969382268689E-2</v>
      </c>
      <c r="M39" s="15">
        <f>Domestic!P40/Domestic!P$96</f>
        <v>2.2549634024790474E-2</v>
      </c>
      <c r="N39" s="15">
        <f>Domestic!Q40/Domestic!Q$96</f>
        <v>3.7165055175184022E-2</v>
      </c>
      <c r="O39" s="15">
        <f>Domestic!R40/Domestic!R$96</f>
        <v>1.9353253619310531E-2</v>
      </c>
      <c r="P39" s="15">
        <f>Domestic!S40/Domestic!S$96</f>
        <v>2.2763244661479689E-2</v>
      </c>
      <c r="Q39" s="15">
        <f>Domestic!T40/Domestic!T$96</f>
        <v>3.802426765703585E-2</v>
      </c>
      <c r="R39" s="15">
        <f>Domestic!U40/Domestic!U$96</f>
        <v>2.2176732563250565E-2</v>
      </c>
      <c r="S39" s="15">
        <f>Domestic!V40/Domestic!V$96</f>
        <v>2.6777442544624601E-2</v>
      </c>
      <c r="T39" s="15">
        <f>Domestic!W40/Domestic!W$96</f>
        <v>3.0783786633632848E-2</v>
      </c>
      <c r="U39" s="15">
        <f>Domestic!X40/Domestic!X$96</f>
        <v>4.5107366814035328E-2</v>
      </c>
      <c r="V39" s="15">
        <f>Domestic!Y40/Domestic!Y$96</f>
        <v>4.1082677755529803E-2</v>
      </c>
      <c r="W39" s="15">
        <f>Domestic!Z40/Domestic!Z$96</f>
        <v>1.6505520219863068E-2</v>
      </c>
      <c r="X39" s="15">
        <f>Domestic!AA40/Domestic!AA$96</f>
        <v>3.855815000998989E-2</v>
      </c>
      <c r="Y39" s="15">
        <f>Domestic!AB40/Domestic!AB$96</f>
        <v>3.9464473847167468E-2</v>
      </c>
      <c r="Z39" s="15">
        <f>Domestic!AC40/Domestic!AC$96</f>
        <v>3.4533269729349191E-2</v>
      </c>
      <c r="AA39" s="15">
        <f>Domestic!AD40/Domestic!AD$96</f>
        <v>3.6050110907019615E-2</v>
      </c>
      <c r="AB39" s="15">
        <f>Domestic!AE40/Domestic!AE$96</f>
        <v>3.8870123675786503E-2</v>
      </c>
      <c r="AC39" s="15">
        <f>Domestic!AF40/Domestic!AF$96</f>
        <v>3.7255982373167552E-2</v>
      </c>
      <c r="AD39" s="15">
        <f>Domestic!AG40/Domestic!AG$96</f>
        <v>1.6392196172473346E-2</v>
      </c>
      <c r="AE39" s="15">
        <f>Domestic!AH40/Domestic!AH$96</f>
        <v>2.7410839831567429E-2</v>
      </c>
      <c r="AF39" s="15">
        <f>Domestic!AI40/Domestic!AI$96</f>
        <v>4.3492891006359682E-2</v>
      </c>
      <c r="AG39" s="15">
        <f>Domestic!AJ40/Domestic!AJ$96</f>
        <v>3.8794879625900024E-2</v>
      </c>
      <c r="AH39" s="15">
        <f>Domestic!AK40/Domestic!AK$96</f>
        <v>1.7461014878587977E-2</v>
      </c>
      <c r="AI39" s="15">
        <f>Domestic!AL40/Domestic!AL$96</f>
        <v>3.8535451530560547E-3</v>
      </c>
      <c r="AJ39" s="15">
        <f>Domestic!AM40/Domestic!AM$96</f>
        <v>1.9944920766852389E-3</v>
      </c>
      <c r="AK39" s="15">
        <f>Domestic!AN40/Domestic!AN$96</f>
        <v>2.2061857632907356E-2</v>
      </c>
      <c r="AL39" s="15">
        <f>Domestic!AO40/Domestic!AO$96</f>
        <v>9.0635390383620607E-3</v>
      </c>
      <c r="AM39" s="15">
        <f>Domestic!AP40/Domestic!AP$96</f>
        <v>1.2480884377735528E-2</v>
      </c>
      <c r="AN39" s="15">
        <f>Domestic!AQ40/Domestic!AQ$96</f>
        <v>9.0771425256508248E-3</v>
      </c>
      <c r="AO39" s="15">
        <f>Domestic!AR40/Domestic!AR$96</f>
        <v>1.1520444578945041E-2</v>
      </c>
      <c r="AP39" s="15">
        <f>Domestic!AS40/Domestic!AS$96</f>
        <v>1.2879467925927261E-2</v>
      </c>
      <c r="AQ39" s="15">
        <f>Domestic!AT40/Domestic!AT$96</f>
        <v>1.0446721411907448E-2</v>
      </c>
      <c r="AR39" s="15">
        <f>Domestic!AU40/Domestic!AU$96</f>
        <v>1.7084074524897196E-2</v>
      </c>
      <c r="AS39" s="15">
        <f>Domestic!AV40/Domestic!AV$96</f>
        <v>2.3424172103959054E-3</v>
      </c>
      <c r="AT39" s="15">
        <f>Domestic!AW40/Domestic!AW$96</f>
        <v>1.6644440793695991E-2</v>
      </c>
      <c r="AU39" s="15">
        <f>Domestic!AX40/Domestic!AX$96</f>
        <v>7.5624813033339459E-3</v>
      </c>
      <c r="AV39" s="15">
        <f>Domestic!AY40/Domestic!AY$96</f>
        <v>5.3896159457867314E-3</v>
      </c>
      <c r="AW39" s="15">
        <f>Domestic!AZ40/Domestic!AZ$96</f>
        <v>6.3885216723593942E-3</v>
      </c>
      <c r="AX39" s="15">
        <f>Domestic!BA40/Domestic!BA$96</f>
        <v>6.0432353107284916E-3</v>
      </c>
      <c r="AY39" s="15">
        <f>Domestic!BB40/Domestic!BB$96</f>
        <v>1.4511190709094219E-2</v>
      </c>
      <c r="AZ39" s="15">
        <f>Domestic!BC40/Domestic!BC$96</f>
        <v>6.9182692917931854E-3</v>
      </c>
      <c r="BA39" s="15">
        <f>Domestic!BD40/Domestic!BD$96</f>
        <v>2.9357292103684273E-3</v>
      </c>
      <c r="BB39" s="15">
        <f>Domestic!BE40/Domestic!BE$96</f>
        <v>8.4629009398653893E-3</v>
      </c>
      <c r="BC39" s="15">
        <f>Domestic!BF40/Domestic!BF$96</f>
        <v>3.6001571545281139E-3</v>
      </c>
      <c r="BD39" s="15">
        <f>Domestic!BG40/Domestic!BG$96</f>
        <v>3.0933982123648395E-3</v>
      </c>
      <c r="BE39" s="15">
        <f>Domestic!BH40/Domestic!BH$96</f>
        <v>6.7069215215673618E-4</v>
      </c>
      <c r="BF39" s="15">
        <f>Domestic!BI40/Domestic!BI$96</f>
        <v>2.7660485192733037E-3</v>
      </c>
      <c r="BG39" s="15">
        <f>Domestic!BJ40/Domestic!BJ$96</f>
        <v>3.3254565766408319E-2</v>
      </c>
      <c r="BH39" s="15">
        <f>Domestic!BK40/Domestic!BK$96</f>
        <v>2.8307240051899144E-4</v>
      </c>
      <c r="BI39" s="15">
        <f>Domestic!BL40/Domestic!BL$96</f>
        <v>9.0685925764713328E-3</v>
      </c>
      <c r="BJ39" s="15">
        <f>Domestic!BM40/Domestic!BM$96</f>
        <v>3.5604464607200859E-3</v>
      </c>
      <c r="BK39" s="15">
        <f>Domestic!BN40/Domestic!BN$96</f>
        <v>9.7127938452051636E-3</v>
      </c>
      <c r="BL39" s="15">
        <f>Domestic!BO40/Domestic!BO$96</f>
        <v>2.0114064684218502E-2</v>
      </c>
      <c r="BM39" s="15">
        <f>Domestic!BP40/Domestic!BP$96</f>
        <v>4.1335479410306835E-3</v>
      </c>
      <c r="BN39" s="15">
        <f>Domestic!BQ40/Domestic!BQ$96</f>
        <v>1.7623452002947067E-2</v>
      </c>
      <c r="BO39" s="15">
        <f>Domestic!BR40/Domestic!BR$96</f>
        <v>2.5492077344604458E-2</v>
      </c>
      <c r="BP39" s="15">
        <f>Domestic!BS40/Domestic!BS$96</f>
        <v>2.3079443007897125E-2</v>
      </c>
      <c r="BQ39" s="15">
        <f>Domestic!BT40/Domestic!BT$96</f>
        <v>2.3071100198313224E-2</v>
      </c>
      <c r="BR39" s="15">
        <f>Domestic!BU40/Domestic!BU$96</f>
        <v>8.5266318647868045E-3</v>
      </c>
      <c r="BS39" s="15">
        <f>Domestic!BV40/Domestic!BV$96</f>
        <v>1.3545361790818668E-2</v>
      </c>
      <c r="BT39" s="15">
        <f>Domestic!BW40/Domestic!BW$96</f>
        <v>1.9360622918829416E-2</v>
      </c>
      <c r="BU39" s="15">
        <f>Domestic!BX40/Domestic!BX$96</f>
        <v>1.5230838142220461E-2</v>
      </c>
      <c r="BV39" s="15">
        <f>Domestic!BY40/Domestic!BY$96</f>
        <v>2.0669648827649382E-2</v>
      </c>
      <c r="BW39" s="15">
        <f>Domestic!BZ40/Domestic!BZ$96</f>
        <v>2.5122017509382338E-2</v>
      </c>
      <c r="BX39" s="15">
        <f>Domestic!CA40/Domestic!CA$96</f>
        <v>8.3704639143851334E-3</v>
      </c>
      <c r="BY39" s="15">
        <f>Domestic!CB40/Domestic!CB$96</f>
        <v>1.5580365165670771E-2</v>
      </c>
      <c r="BZ39" s="15">
        <f>Domestic!CC40/Domestic!CC$96</f>
        <v>0</v>
      </c>
      <c r="CA39" s="15">
        <f>Domestic!CD40/Domestic!CD$96</f>
        <v>5.7524298949914471E-3</v>
      </c>
    </row>
    <row r="40" spans="1:79" x14ac:dyDescent="0.3">
      <c r="A40" s="8" t="s">
        <v>128</v>
      </c>
      <c r="B40" s="15">
        <f>Domestic!E41/Domestic!E$96</f>
        <v>1.675474371738463E-2</v>
      </c>
      <c r="C40" s="15">
        <f>Domestic!F41/Domestic!F$96</f>
        <v>4.214185531034996E-2</v>
      </c>
      <c r="D40" s="15">
        <f>Domestic!G41/Domestic!G$96</f>
        <v>1.0716163238645399E-2</v>
      </c>
      <c r="E40" s="15">
        <f>Domestic!H41/Domestic!H$96</f>
        <v>2.460916848605256E-2</v>
      </c>
      <c r="F40" s="15">
        <f>Domestic!I41/Domestic!I$96</f>
        <v>2.110350626710128E-2</v>
      </c>
      <c r="G40" s="15">
        <f>Domestic!J41/Domestic!J$96</f>
        <v>1.0514331377871725E-2</v>
      </c>
      <c r="H40" s="15">
        <f>Domestic!K41/Domestic!K$96</f>
        <v>1.0733681920974588E-2</v>
      </c>
      <c r="I40" s="15">
        <f>Domestic!L41/Domestic!L$96</f>
        <v>1.396935532798824E-2</v>
      </c>
      <c r="J40" s="15">
        <f>Domestic!M41/Domestic!M$96</f>
        <v>1.1449577700928656E-2</v>
      </c>
      <c r="K40" s="15">
        <f>Domestic!N41/Domestic!N$96</f>
        <v>4.3594740707883342E-2</v>
      </c>
      <c r="L40" s="15">
        <f>Domestic!O41/Domestic!O$96</f>
        <v>2.1896649046538912E-2</v>
      </c>
      <c r="M40" s="15">
        <f>Domestic!P41/Domestic!P$96</f>
        <v>2.2491551497406899E-2</v>
      </c>
      <c r="N40" s="15">
        <f>Domestic!Q41/Domestic!Q$96</f>
        <v>3.7044995102279578E-2</v>
      </c>
      <c r="O40" s="15">
        <f>Domestic!R41/Domestic!R$96</f>
        <v>1.9404435507720433E-2</v>
      </c>
      <c r="P40" s="15">
        <f>Domestic!S41/Domestic!S$96</f>
        <v>2.2476260725462709E-2</v>
      </c>
      <c r="Q40" s="15">
        <f>Domestic!T41/Domestic!T$96</f>
        <v>3.7037658635860699E-2</v>
      </c>
      <c r="R40" s="15">
        <f>Domestic!U41/Domestic!U$96</f>
        <v>2.159968690151963E-2</v>
      </c>
      <c r="S40" s="15">
        <f>Domestic!V41/Domestic!V$96</f>
        <v>2.657408600190472E-2</v>
      </c>
      <c r="T40" s="15">
        <f>Domestic!W41/Domestic!W$96</f>
        <v>3.0436803407063426E-2</v>
      </c>
      <c r="U40" s="15">
        <f>Domestic!X41/Domestic!X$96</f>
        <v>4.4912799660295301E-2</v>
      </c>
      <c r="V40" s="15">
        <f>Domestic!Y41/Domestic!Y$96</f>
        <v>4.0926287993167845E-2</v>
      </c>
      <c r="W40" s="15">
        <f>Domestic!Z41/Domestic!Z$96</f>
        <v>1.6498807487863611E-2</v>
      </c>
      <c r="X40" s="15">
        <f>Domestic!AA41/Domestic!AA$96</f>
        <v>3.8535687640861668E-2</v>
      </c>
      <c r="Y40" s="15">
        <f>Domestic!AB41/Domestic!AB$96</f>
        <v>3.9307016567758306E-2</v>
      </c>
      <c r="Z40" s="15">
        <f>Domestic!AC41/Domestic!AC$96</f>
        <v>3.4290274042209759E-2</v>
      </c>
      <c r="AA40" s="15">
        <f>Domestic!AD41/Domestic!AD$96</f>
        <v>3.5846808044745014E-2</v>
      </c>
      <c r="AB40" s="15">
        <f>Domestic!AE41/Domestic!AE$96</f>
        <v>3.8682249272798272E-2</v>
      </c>
      <c r="AC40" s="15">
        <f>Domestic!AF41/Domestic!AF$96</f>
        <v>3.7121559743644839E-2</v>
      </c>
      <c r="AD40" s="15">
        <f>Domestic!AG41/Domestic!AG$96</f>
        <v>1.6316207556397063E-2</v>
      </c>
      <c r="AE40" s="15">
        <f>Domestic!AH41/Domestic!AH$96</f>
        <v>2.7263778501084003E-2</v>
      </c>
      <c r="AF40" s="15">
        <f>Domestic!AI41/Domestic!AI$96</f>
        <v>4.3327960294216941E-2</v>
      </c>
      <c r="AG40" s="15">
        <f>Domestic!AJ41/Domestic!AJ$96</f>
        <v>3.7644874514476345E-2</v>
      </c>
      <c r="AH40" s="15">
        <f>Domestic!AK41/Domestic!AK$96</f>
        <v>1.7376839541725229E-2</v>
      </c>
      <c r="AI40" s="15">
        <f>Domestic!AL41/Domestic!AL$96</f>
        <v>3.8827958552139583E-3</v>
      </c>
      <c r="AJ40" s="15">
        <f>Domestic!AM41/Domestic!AM$96</f>
        <v>2.064660856733797E-3</v>
      </c>
      <c r="AK40" s="15">
        <f>Domestic!AN41/Domestic!AN$96</f>
        <v>2.2040085469276296E-2</v>
      </c>
      <c r="AL40" s="15">
        <f>Domestic!AO41/Domestic!AO$96</f>
        <v>9.0768511194286011E-3</v>
      </c>
      <c r="AM40" s="15">
        <f>Domestic!AP41/Domestic!AP$96</f>
        <v>1.248984847317177E-2</v>
      </c>
      <c r="AN40" s="15">
        <f>Domestic!AQ41/Domestic!AQ$96</f>
        <v>9.0717076277009139E-3</v>
      </c>
      <c r="AO40" s="15">
        <f>Domestic!AR41/Domestic!AR$96</f>
        <v>1.1543111129452546E-2</v>
      </c>
      <c r="AP40" s="15">
        <f>Domestic!AS41/Domestic!AS$96</f>
        <v>1.2845979688921285E-2</v>
      </c>
      <c r="AQ40" s="15">
        <f>Domestic!AT41/Domestic!AT$96</f>
        <v>1.0460930435708388E-2</v>
      </c>
      <c r="AR40" s="15">
        <f>Domestic!AU41/Domestic!AU$96</f>
        <v>1.7027148246106176E-2</v>
      </c>
      <c r="AS40" s="15">
        <f>Domestic!AV41/Domestic!AV$96</f>
        <v>2.3626315848580041E-3</v>
      </c>
      <c r="AT40" s="15">
        <f>Domestic!AW41/Domestic!AW$96</f>
        <v>1.6620136937405494E-2</v>
      </c>
      <c r="AU40" s="15">
        <f>Domestic!AX41/Domestic!AX$96</f>
        <v>7.5946954506315818E-3</v>
      </c>
      <c r="AV40" s="15">
        <f>Domestic!AY41/Domestic!AY$96</f>
        <v>5.4103907613347272E-3</v>
      </c>
      <c r="AW40" s="15">
        <f>Domestic!AZ41/Domestic!AZ$96</f>
        <v>6.6599043639858262E-3</v>
      </c>
      <c r="AX40" s="15">
        <f>Domestic!BA41/Domestic!BA$96</f>
        <v>6.0658304776289185E-3</v>
      </c>
      <c r="AY40" s="15">
        <f>Domestic!BB41/Domestic!BB$96</f>
        <v>1.4617188078299467E-2</v>
      </c>
      <c r="AZ40" s="15">
        <f>Domestic!BC41/Domestic!BC$96</f>
        <v>6.9099557593888536E-3</v>
      </c>
      <c r="BA40" s="15">
        <f>Domestic!BD41/Domestic!BD$96</f>
        <v>3.0214890026787926E-3</v>
      </c>
      <c r="BB40" s="15">
        <f>Domestic!BE41/Domestic!BE$96</f>
        <v>8.4867317389663282E-3</v>
      </c>
      <c r="BC40" s="15">
        <f>Domestic!BF41/Domestic!BF$96</f>
        <v>3.6728332659269817E-3</v>
      </c>
      <c r="BD40" s="15">
        <f>Domestic!BG41/Domestic!BG$96</f>
        <v>3.1501524296125689E-3</v>
      </c>
      <c r="BE40" s="15">
        <f>Domestic!BH41/Domestic!BH$96</f>
        <v>6.8582194013154865E-4</v>
      </c>
      <c r="BF40" s="15">
        <f>Domestic!BI41/Domestic!BI$96</f>
        <v>2.7636763521317179E-3</v>
      </c>
      <c r="BG40" s="15">
        <f>Domestic!BJ41/Domestic!BJ$96</f>
        <v>3.3196399266945023E-2</v>
      </c>
      <c r="BH40" s="15">
        <f>Domestic!BK41/Domestic!BK$96</f>
        <v>2.8405292841560039E-4</v>
      </c>
      <c r="BI40" s="15">
        <f>Domestic!BL41/Domestic!BL$96</f>
        <v>9.0733514979499923E-3</v>
      </c>
      <c r="BJ40" s="15">
        <f>Domestic!BM41/Domestic!BM$96</f>
        <v>3.5898807622153648E-3</v>
      </c>
      <c r="BK40" s="15">
        <f>Domestic!BN41/Domestic!BN$96</f>
        <v>9.7166880257443539E-3</v>
      </c>
      <c r="BL40" s="15">
        <f>Domestic!BO41/Domestic!BO$96</f>
        <v>1.9900417335960732E-2</v>
      </c>
      <c r="BM40" s="15">
        <f>Domestic!BP41/Domestic!BP$96</f>
        <v>4.1468725524315807E-3</v>
      </c>
      <c r="BN40" s="15">
        <f>Domestic!BQ41/Domestic!BQ$96</f>
        <v>1.7558148391829238E-2</v>
      </c>
      <c r="BO40" s="15">
        <f>Domestic!BR41/Domestic!BR$96</f>
        <v>2.5303040584733018E-2</v>
      </c>
      <c r="BP40" s="15">
        <f>Domestic!BS41/Domestic!BS$96</f>
        <v>2.2969372422950593E-2</v>
      </c>
      <c r="BQ40" s="15">
        <f>Domestic!BT41/Domestic!BT$96</f>
        <v>2.2875744411004068E-2</v>
      </c>
      <c r="BR40" s="15">
        <f>Domestic!BU41/Domestic!BU$96</f>
        <v>8.5284650611112522E-3</v>
      </c>
      <c r="BS40" s="15">
        <f>Domestic!BV41/Domestic!BV$96</f>
        <v>1.3567571147949275E-2</v>
      </c>
      <c r="BT40" s="15">
        <f>Domestic!BW41/Domestic!BW$96</f>
        <v>1.9274078584119454E-2</v>
      </c>
      <c r="BU40" s="15">
        <f>Domestic!BX41/Domestic!BX$96</f>
        <v>1.5043744913476018E-2</v>
      </c>
      <c r="BV40" s="15">
        <f>Domestic!BY41/Domestic!BY$96</f>
        <v>2.0653771010003329E-2</v>
      </c>
      <c r="BW40" s="15">
        <f>Domestic!BZ41/Domestic!BZ$96</f>
        <v>2.5066454140965488E-2</v>
      </c>
      <c r="BX40" s="15">
        <f>Domestic!CA41/Domestic!CA$96</f>
        <v>8.3288735990278105E-3</v>
      </c>
      <c r="BY40" s="15">
        <f>Domestic!CB41/Domestic!CB$96</f>
        <v>1.5508304851778405E-2</v>
      </c>
      <c r="BZ40" s="15">
        <f>Domestic!CC41/Domestic!CC$96</f>
        <v>0</v>
      </c>
      <c r="CA40" s="15">
        <f>Domestic!CD41/Domestic!CD$96</f>
        <v>5.844422688472478E-3</v>
      </c>
    </row>
    <row r="41" spans="1:79" x14ac:dyDescent="0.3">
      <c r="A41" s="7" t="s">
        <v>129</v>
      </c>
      <c r="B41" s="15">
        <f>Domestic!E42/Domestic!E$96</f>
        <v>4.4728944136215547E-5</v>
      </c>
      <c r="C41" s="15">
        <f>Domestic!F42/Domestic!F$96</f>
        <v>8.596699994214777E-5</v>
      </c>
      <c r="D41" s="15">
        <f>Domestic!G42/Domestic!G$96</f>
        <v>4.3742415105112741E-5</v>
      </c>
      <c r="E41" s="15">
        <f>Domestic!H42/Domestic!H$96</f>
        <v>7.1085008398086495E-5</v>
      </c>
      <c r="F41" s="15">
        <f>Domestic!I42/Domestic!I$96</f>
        <v>6.6384708041978231E-5</v>
      </c>
      <c r="G41" s="15">
        <f>Domestic!J42/Domestic!J$96</f>
        <v>6.150070756232185E-3</v>
      </c>
      <c r="H41" s="15">
        <f>Domestic!K42/Domestic!K$96</f>
        <v>1.1075068139768739E-4</v>
      </c>
      <c r="I41" s="15">
        <f>Domestic!L42/Domestic!L$96</f>
        <v>8.4181700982266308E-3</v>
      </c>
      <c r="J41" s="15">
        <f>Domestic!M42/Domestic!M$96</f>
        <v>4.8688910264698068E-5</v>
      </c>
      <c r="K41" s="15">
        <f>Domestic!N42/Domestic!N$96</f>
        <v>1.9547603621695815E-4</v>
      </c>
      <c r="L41" s="15">
        <f>Domestic!O42/Domestic!O$96</f>
        <v>6.4014172702706507E-4</v>
      </c>
      <c r="M41" s="15">
        <f>Domestic!P42/Domestic!P$96</f>
        <v>3.1042095529916264E-4</v>
      </c>
      <c r="N41" s="15">
        <f>Domestic!Q42/Domestic!Q$96</f>
        <v>1.2069744676354708E-4</v>
      </c>
      <c r="O41" s="15">
        <f>Domestic!R42/Domestic!R$96</f>
        <v>8.6365262557399952E-5</v>
      </c>
      <c r="P41" s="15">
        <f>Domestic!S42/Domestic!S$96</f>
        <v>8.8253685537995007E-5</v>
      </c>
      <c r="Q41" s="15">
        <f>Domestic!T42/Domestic!T$96</f>
        <v>1.1735519279267686E-4</v>
      </c>
      <c r="R41" s="15">
        <f>Domestic!U42/Domestic!U$96</f>
        <v>9.267769457225249E-5</v>
      </c>
      <c r="S41" s="15">
        <f>Domestic!V42/Domestic!V$96</f>
        <v>8.0411956125413407E-5</v>
      </c>
      <c r="T41" s="15">
        <f>Domestic!W42/Domestic!W$96</f>
        <v>7.7763442580794422E-5</v>
      </c>
      <c r="U41" s="15">
        <f>Domestic!X42/Domestic!X$96</f>
        <v>1.238568528665613E-4</v>
      </c>
      <c r="V41" s="15">
        <f>Domestic!Y42/Domestic!Y$96</f>
        <v>1.1648894970454247E-4</v>
      </c>
      <c r="W41" s="15">
        <f>Domestic!Z42/Domestic!Z$96</f>
        <v>2.5995324858357077E-4</v>
      </c>
      <c r="X41" s="15">
        <f>Domestic!AA42/Domestic!AA$96</f>
        <v>2.7626358618005719E-4</v>
      </c>
      <c r="Y41" s="15">
        <f>Domestic!AB42/Domestic!AB$96</f>
        <v>1.9790195326058587E-4</v>
      </c>
      <c r="Z41" s="15">
        <f>Domestic!AC42/Domestic!AC$96</f>
        <v>1.4891006103219144E-4</v>
      </c>
      <c r="AA41" s="15">
        <f>Domestic!AD42/Domestic!AD$96</f>
        <v>1.1123124822197284E-4</v>
      </c>
      <c r="AB41" s="15">
        <f>Domestic!AE42/Domestic!AE$96</f>
        <v>9.3689582726813584E-5</v>
      </c>
      <c r="AC41" s="15">
        <f>Domestic!AF42/Domestic!AF$96</f>
        <v>1.2319107022681539E-4</v>
      </c>
      <c r="AD41" s="15">
        <f>Domestic!AG42/Domestic!AG$96</f>
        <v>3.9155530693983679E-5</v>
      </c>
      <c r="AE41" s="15">
        <f>Domestic!AH42/Domestic!AH$96</f>
        <v>6.1188960289521903E-5</v>
      </c>
      <c r="AF41" s="15">
        <f>Domestic!AI42/Domestic!AI$96</f>
        <v>1.3711338801269694E-4</v>
      </c>
      <c r="AG41" s="15">
        <f>Domestic!AJ42/Domestic!AJ$96</f>
        <v>6.9236820533900454E-5</v>
      </c>
      <c r="AH41" s="15">
        <f>Domestic!AK42/Domestic!AK$96</f>
        <v>3.2555825592698707E-5</v>
      </c>
      <c r="AI41" s="15">
        <f>Domestic!AL42/Domestic!AL$96</f>
        <v>1.1672809851378326E-3</v>
      </c>
      <c r="AJ41" s="15">
        <f>Domestic!AM42/Domestic!AM$96</f>
        <v>6.3146020277396952E-4</v>
      </c>
      <c r="AK41" s="15">
        <f>Domestic!AN42/Domestic!AN$96</f>
        <v>2.3352835787045279E-3</v>
      </c>
      <c r="AL41" s="15">
        <f>Domestic!AO42/Domestic!AO$96</f>
        <v>1.5847715555404444E-4</v>
      </c>
      <c r="AM41" s="15">
        <f>Domestic!AP42/Domestic!AP$96</f>
        <v>3.3904823467703052E-4</v>
      </c>
      <c r="AN41" s="15">
        <f>Domestic!AQ42/Domestic!AQ$96</f>
        <v>2.1381191408521971E-4</v>
      </c>
      <c r="AO41" s="15">
        <f>Domestic!AR42/Domestic!AR$96</f>
        <v>1.666900783074432E-4</v>
      </c>
      <c r="AP41" s="15">
        <f>Domestic!AS42/Domestic!AS$96</f>
        <v>2.2197531291921783E-3</v>
      </c>
      <c r="AQ41" s="15">
        <f>Domestic!AT42/Domestic!AT$96</f>
        <v>3.0189027379965149E-4</v>
      </c>
      <c r="AR41" s="15">
        <f>Domestic!AU42/Domestic!AU$96</f>
        <v>3.8626015072872896E-4</v>
      </c>
      <c r="AS41" s="15">
        <f>Domestic!AV42/Domestic!AV$96</f>
        <v>9.657978909669311E-5</v>
      </c>
      <c r="AT41" s="15">
        <f>Domestic!AW42/Domestic!AW$96</f>
        <v>5.5340508388628581E-4</v>
      </c>
      <c r="AU41" s="15">
        <f>Domestic!AX42/Domestic!AX$96</f>
        <v>9.3650363759949652E-4</v>
      </c>
      <c r="AV41" s="15">
        <f>Domestic!AY42/Domestic!AY$96</f>
        <v>7.0424775317595755E-4</v>
      </c>
      <c r="AW41" s="15">
        <f>Domestic!AZ42/Domestic!AZ$96</f>
        <v>9.0539283746038206E-4</v>
      </c>
      <c r="AX41" s="15">
        <f>Domestic!BA42/Domestic!BA$96</f>
        <v>4.189161613068744E-4</v>
      </c>
      <c r="AY41" s="15">
        <f>Domestic!BB42/Domestic!BB$96</f>
        <v>2.6735930864236844E-4</v>
      </c>
      <c r="AZ41" s="15">
        <f>Domestic!BC42/Domestic!BC$96</f>
        <v>3.9274017813673104E-4</v>
      </c>
      <c r="BA41" s="15">
        <f>Domestic!BD42/Domestic!BD$96</f>
        <v>2.4489566292147935E-3</v>
      </c>
      <c r="BB41" s="15">
        <f>Domestic!BE42/Domestic!BE$96</f>
        <v>3.1522490873012583E-4</v>
      </c>
      <c r="BC41" s="15">
        <f>Domestic!BF42/Domestic!BF$96</f>
        <v>8.9980296819195781E-4</v>
      </c>
      <c r="BD41" s="15">
        <f>Domestic!BG42/Domestic!BG$96</f>
        <v>2.093158473803355E-3</v>
      </c>
      <c r="BE41" s="15">
        <f>Domestic!BH42/Domestic!BH$96</f>
        <v>3.2647094131176344E-4</v>
      </c>
      <c r="BF41" s="15">
        <f>Domestic!BI42/Domestic!BI$96</f>
        <v>9.3859121318675196E-5</v>
      </c>
      <c r="BG41" s="15">
        <f>Domestic!BJ42/Domestic!BJ$96</f>
        <v>4.869684515576944E-4</v>
      </c>
      <c r="BH41" s="15">
        <f>Domestic!BK42/Domestic!BK$96</f>
        <v>2.0591085828788504E-5</v>
      </c>
      <c r="BI41" s="15">
        <f>Domestic!BL42/Domestic!BL$96</f>
        <v>6.2071493622173834E-4</v>
      </c>
      <c r="BJ41" s="15">
        <f>Domestic!BM42/Domestic!BM$96</f>
        <v>3.1141322572142725E-4</v>
      </c>
      <c r="BK41" s="15">
        <f>Domestic!BN42/Domestic!BN$96</f>
        <v>3.3486369951128009E-4</v>
      </c>
      <c r="BL41" s="15">
        <f>Domestic!BO42/Domestic!BO$96</f>
        <v>1.0643252189846206E-4</v>
      </c>
      <c r="BM41" s="15">
        <f>Domestic!BP42/Domestic!BP$96</f>
        <v>1.7222827850209474E-3</v>
      </c>
      <c r="BN41" s="15">
        <f>Domestic!BQ42/Domestic!BQ$96</f>
        <v>2.3046554608509118E-3</v>
      </c>
      <c r="BO41" s="15">
        <f>Domestic!BR42/Domestic!BR$96</f>
        <v>2.2773344015968288E-4</v>
      </c>
      <c r="BP41" s="15">
        <f>Domestic!BS42/Domestic!BS$96</f>
        <v>3.6144209937801386E-4</v>
      </c>
      <c r="BQ41" s="15">
        <f>Domestic!BT42/Domestic!BT$96</f>
        <v>3.3103262029256475E-4</v>
      </c>
      <c r="BR41" s="15">
        <f>Domestic!BU42/Domestic!BU$96</f>
        <v>4.001627157078539E-4</v>
      </c>
      <c r="BS41" s="15">
        <f>Domestic!BV42/Domestic!BV$96</f>
        <v>1.6545971062302486E-3</v>
      </c>
      <c r="BT41" s="15">
        <f>Domestic!BW42/Domestic!BW$96</f>
        <v>2.1652114116890858E-4</v>
      </c>
      <c r="BU41" s="15">
        <f>Domestic!BX42/Domestic!BX$96</f>
        <v>1.0415649255060845E-4</v>
      </c>
      <c r="BV41" s="15">
        <f>Domestic!BY42/Domestic!BY$96</f>
        <v>4.9959454082269379E-5</v>
      </c>
      <c r="BW41" s="15">
        <f>Domestic!BZ42/Domestic!BZ$96</f>
        <v>6.2170930209991157E-5</v>
      </c>
      <c r="BX41" s="15">
        <f>Domestic!CA42/Domestic!CA$96</f>
        <v>1.2399205091836372E-4</v>
      </c>
      <c r="BY41" s="15">
        <f>Domestic!CB42/Domestic!CB$96</f>
        <v>2.4680747869672542E-4</v>
      </c>
      <c r="BZ41" s="15">
        <f>Domestic!CC42/Domestic!CC$96</f>
        <v>0</v>
      </c>
      <c r="CA41" s="15">
        <f>Domestic!CD42/Domestic!CD$96</f>
        <v>2.4695903676922406E-3</v>
      </c>
    </row>
    <row r="42" spans="1:79" x14ac:dyDescent="0.3">
      <c r="A42" s="8" t="s">
        <v>130</v>
      </c>
      <c r="B42" s="15">
        <f>Domestic!E43/Domestic!E$96</f>
        <v>3.7903544210351689E-4</v>
      </c>
      <c r="C42" s="15">
        <f>Domestic!F43/Domestic!F$96</f>
        <v>7.2613596528116732E-4</v>
      </c>
      <c r="D42" s="15">
        <f>Domestic!G43/Domestic!G$96</f>
        <v>2.1073368101789052E-4</v>
      </c>
      <c r="E42" s="15">
        <f>Domestic!H43/Domestic!H$96</f>
        <v>5.0852116846689924E-4</v>
      </c>
      <c r="F42" s="15">
        <f>Domestic!I43/Domestic!I$96</f>
        <v>4.6286497157964823E-4</v>
      </c>
      <c r="G42" s="15">
        <f>Domestic!J43/Domestic!J$96</f>
        <v>3.4616525901965219E-4</v>
      </c>
      <c r="H42" s="15">
        <f>Domestic!K43/Domestic!K$96</f>
        <v>1.7317702629599633E-4</v>
      </c>
      <c r="I42" s="15">
        <f>Domestic!L43/Domestic!L$96</f>
        <v>4.2301856288025385E-4</v>
      </c>
      <c r="J42" s="15">
        <f>Domestic!M43/Domestic!M$96</f>
        <v>2.0286887393567972E-4</v>
      </c>
      <c r="K42" s="15">
        <f>Domestic!N43/Domestic!N$96</f>
        <v>5.4391676145990975E-4</v>
      </c>
      <c r="L42" s="15">
        <f>Domestic!O43/Domestic!O$96</f>
        <v>5.4782371340165981E-4</v>
      </c>
      <c r="M42" s="15">
        <f>Domestic!P43/Domestic!P$96</f>
        <v>3.8829196548979155E-4</v>
      </c>
      <c r="N42" s="15">
        <f>Domestic!Q43/Domestic!Q$96</f>
        <v>6.2235542387902335E-4</v>
      </c>
      <c r="O42" s="15">
        <f>Domestic!R43/Domestic!R$96</f>
        <v>5.342504125800527E-4</v>
      </c>
      <c r="P42" s="15">
        <f>Domestic!S43/Domestic!S$96</f>
        <v>5.4016277211295718E-4</v>
      </c>
      <c r="Q42" s="15">
        <f>Domestic!T43/Domestic!T$96</f>
        <v>3.6448893242118686E-4</v>
      </c>
      <c r="R42" s="15">
        <f>Domestic!U43/Domestic!U$96</f>
        <v>2.7792928193078888E-4</v>
      </c>
      <c r="S42" s="15">
        <f>Domestic!V43/Domestic!V$96</f>
        <v>3.7512521782096089E-4</v>
      </c>
      <c r="T42" s="15">
        <f>Domestic!W43/Domestic!W$96</f>
        <v>4.7518631275902988E-4</v>
      </c>
      <c r="U42" s="15">
        <f>Domestic!X43/Domestic!X$96</f>
        <v>4.9459613427061061E-4</v>
      </c>
      <c r="V42" s="15">
        <f>Domestic!Y43/Domestic!Y$96</f>
        <v>4.8046306831660653E-4</v>
      </c>
      <c r="W42" s="15">
        <f>Domestic!Z43/Domestic!Z$96</f>
        <v>3.1696944095104017E-4</v>
      </c>
      <c r="X42" s="15">
        <f>Domestic!AA43/Domestic!AA$96</f>
        <v>6.9472137549621781E-4</v>
      </c>
      <c r="Y42" s="15">
        <f>Domestic!AB43/Domestic!AB$96</f>
        <v>5.1622203502991776E-4</v>
      </c>
      <c r="Z42" s="15">
        <f>Domestic!AC43/Domestic!AC$96</f>
        <v>6.4477516123789412E-4</v>
      </c>
      <c r="AA42" s="15">
        <f>Domestic!AD43/Domestic!AD$96</f>
        <v>7.5893906590374929E-4</v>
      </c>
      <c r="AB42" s="15">
        <f>Domestic!AE43/Domestic!AE$96</f>
        <v>5.1409945550465836E-4</v>
      </c>
      <c r="AC42" s="15">
        <f>Domestic!AF43/Domestic!AF$96</f>
        <v>4.1902535027660146E-4</v>
      </c>
      <c r="AD42" s="15">
        <f>Domestic!AG43/Domestic!AG$96</f>
        <v>1.530591619765648E-4</v>
      </c>
      <c r="AE42" s="15">
        <f>Domestic!AH43/Domestic!AH$96</f>
        <v>3.4593979271498466E-4</v>
      </c>
      <c r="AF42" s="15">
        <f>Domestic!AI43/Domestic!AI$96</f>
        <v>6.1280810052621643E-4</v>
      </c>
      <c r="AG42" s="15">
        <f>Domestic!AJ43/Domestic!AJ$96</f>
        <v>3.227935786837952E-4</v>
      </c>
      <c r="AH42" s="15">
        <f>Domestic!AK43/Domestic!AK$96</f>
        <v>1.8338678910933257E-4</v>
      </c>
      <c r="AI42" s="15">
        <f>Domestic!AL43/Domestic!AL$96</f>
        <v>6.6203030823902488E-5</v>
      </c>
      <c r="AJ42" s="15">
        <f>Domestic!AM43/Domestic!AM$96</f>
        <v>6.9825561685336727E-5</v>
      </c>
      <c r="AK42" s="15">
        <f>Domestic!AN43/Domestic!AN$96</f>
        <v>1.8031012871389305E-4</v>
      </c>
      <c r="AL42" s="15">
        <f>Domestic!AO43/Domestic!AO$96</f>
        <v>1.9854954503729868E-2</v>
      </c>
      <c r="AM42" s="15">
        <f>Domestic!AP43/Domestic!AP$96</f>
        <v>1.9456444643037893E-4</v>
      </c>
      <c r="AN42" s="15">
        <f>Domestic!AQ43/Domestic!AQ$96</f>
        <v>4.0194527745559871E-4</v>
      </c>
      <c r="AO42" s="15">
        <f>Domestic!AR43/Domestic!AR$96</f>
        <v>3.4827191172792519E-4</v>
      </c>
      <c r="AP42" s="15">
        <f>Domestic!AS43/Domestic!AS$96</f>
        <v>3.6682737033734653E-4</v>
      </c>
      <c r="AQ42" s="15">
        <f>Domestic!AT43/Domestic!AT$96</f>
        <v>3.3236760021325889E-4</v>
      </c>
      <c r="AR42" s="15">
        <f>Domestic!AU43/Domestic!AU$96</f>
        <v>2.3749098713506234E-4</v>
      </c>
      <c r="AS42" s="15">
        <f>Domestic!AV43/Domestic!AV$96</f>
        <v>2.8340961367063431E-4</v>
      </c>
      <c r="AT42" s="15">
        <f>Domestic!AW43/Domestic!AW$96</f>
        <v>3.5557645490014763E-4</v>
      </c>
      <c r="AU42" s="15">
        <f>Domestic!AX43/Domestic!AX$96</f>
        <v>3.8884784443321953E-4</v>
      </c>
      <c r="AV42" s="15">
        <f>Domestic!AY43/Domestic!AY$96</f>
        <v>1.995491926672422E-4</v>
      </c>
      <c r="AW42" s="15">
        <f>Domestic!AZ43/Domestic!AZ$96</f>
        <v>1.2749617500850292E-4</v>
      </c>
      <c r="AX42" s="15">
        <f>Domestic!BA43/Domestic!BA$96</f>
        <v>2.1900525650163778E-4</v>
      </c>
      <c r="AY42" s="15">
        <f>Domestic!BB43/Domestic!BB$96</f>
        <v>1.5950733034135619E-4</v>
      </c>
      <c r="AZ42" s="15">
        <f>Domestic!BC43/Domestic!BC$96</f>
        <v>1.2678136916604359E-4</v>
      </c>
      <c r="BA42" s="15">
        <f>Domestic!BD43/Domestic!BD$96</f>
        <v>1.0599910329561159E-4</v>
      </c>
      <c r="BB42" s="15">
        <f>Domestic!BE43/Domestic!BE$96</f>
        <v>8.4984153214049207E-5</v>
      </c>
      <c r="BC42" s="15">
        <f>Domestic!BF43/Domestic!BF$96</f>
        <v>3.4970108585143155E-5</v>
      </c>
      <c r="BD42" s="15">
        <f>Domestic!BG43/Domestic!BG$96</f>
        <v>3.6244822011120359E-5</v>
      </c>
      <c r="BE42" s="15">
        <f>Domestic!BH43/Domestic!BH$96</f>
        <v>6.2275644434584771E-6</v>
      </c>
      <c r="BF42" s="15">
        <f>Domestic!BI43/Domestic!BI$96</f>
        <v>3.8298694713388939E-5</v>
      </c>
      <c r="BG42" s="15">
        <f>Domestic!BJ43/Domestic!BJ$96</f>
        <v>4.240152567245512E-4</v>
      </c>
      <c r="BH42" s="15">
        <f>Domestic!BK43/Domestic!BK$96</f>
        <v>2.9615944632271121E-6</v>
      </c>
      <c r="BI42" s="15">
        <f>Domestic!BL43/Domestic!BL$96</f>
        <v>1.2343324565509828E-4</v>
      </c>
      <c r="BJ42" s="15">
        <f>Domestic!BM43/Domestic!BM$96</f>
        <v>6.1109389769998111E-5</v>
      </c>
      <c r="BK42" s="15">
        <f>Domestic!BN43/Domestic!BN$96</f>
        <v>1.3846284865283556E-4</v>
      </c>
      <c r="BL42" s="15">
        <f>Domestic!BO43/Domestic!BO$96</f>
        <v>4.0621159129567379E-4</v>
      </c>
      <c r="BM42" s="15">
        <f>Domestic!BP43/Domestic!BP$96</f>
        <v>5.7213525048557633E-5</v>
      </c>
      <c r="BN42" s="15">
        <f>Domestic!BQ43/Domestic!BQ$96</f>
        <v>1.7874388217102027E-4</v>
      </c>
      <c r="BO42" s="15">
        <f>Domestic!BR43/Domestic!BR$96</f>
        <v>2.2396905290920173E-4</v>
      </c>
      <c r="BP42" s="15">
        <f>Domestic!BS43/Domestic!BS$96</f>
        <v>2.3935984345516809E-4</v>
      </c>
      <c r="BQ42" s="15">
        <f>Domestic!BT43/Domestic!BT$96</f>
        <v>2.4001190515606134E-4</v>
      </c>
      <c r="BR42" s="15">
        <f>Domestic!BU43/Domestic!BU$96</f>
        <v>1.3836124389763504E-4</v>
      </c>
      <c r="BS42" s="15">
        <f>Domestic!BV43/Domestic!BV$96</f>
        <v>1.7274813345602701E-4</v>
      </c>
      <c r="BT42" s="15">
        <f>Domestic!BW43/Domestic!BW$96</f>
        <v>2.8559229693303126E-4</v>
      </c>
      <c r="BU42" s="15">
        <f>Domestic!BX43/Domestic!BX$96</f>
        <v>2.5620224590453401E-4</v>
      </c>
      <c r="BV42" s="15">
        <f>Domestic!BY43/Domestic!BY$96</f>
        <v>2.5703456577450879E-4</v>
      </c>
      <c r="BW42" s="15">
        <f>Domestic!BZ43/Domestic!BZ$96</f>
        <v>4.1976599645702437E-4</v>
      </c>
      <c r="BX42" s="15">
        <f>Domestic!CA43/Domestic!CA$96</f>
        <v>1.484198144427332E-4</v>
      </c>
      <c r="BY42" s="15">
        <f>Domestic!CB43/Domestic!CB$96</f>
        <v>1.7232547560650546E-4</v>
      </c>
      <c r="BZ42" s="15">
        <f>Domestic!CC43/Domestic!CC$96</f>
        <v>0</v>
      </c>
      <c r="CA42" s="15">
        <f>Domestic!CD43/Domestic!CD$96</f>
        <v>7.6769267613093181E-5</v>
      </c>
    </row>
    <row r="43" spans="1:79" x14ac:dyDescent="0.3">
      <c r="A43" s="7" t="s">
        <v>131</v>
      </c>
      <c r="B43" s="15">
        <f>Domestic!E44/Domestic!E$96</f>
        <v>1.0307149088809623E-4</v>
      </c>
      <c r="C43" s="15">
        <f>Domestic!F44/Domestic!F$96</f>
        <v>1.9742498944313777E-4</v>
      </c>
      <c r="D43" s="15">
        <f>Domestic!G44/Domestic!G$96</f>
        <v>5.6715978348024856E-5</v>
      </c>
      <c r="E43" s="15">
        <f>Domestic!H44/Domestic!H$96</f>
        <v>1.3790404568593878E-4</v>
      </c>
      <c r="F43" s="15">
        <f>Domestic!I44/Domestic!I$96</f>
        <v>1.2574610639255876E-4</v>
      </c>
      <c r="G43" s="15">
        <f>Domestic!J44/Domestic!J$96</f>
        <v>6.4247666118183748E-3</v>
      </c>
      <c r="H43" s="15">
        <f>Domestic!K44/Domestic!K$96</f>
        <v>4.6389371163322095E-5</v>
      </c>
      <c r="I43" s="15">
        <f>Domestic!L44/Domestic!L$96</f>
        <v>2.0003702638442772E-3</v>
      </c>
      <c r="J43" s="15">
        <f>Domestic!M44/Domestic!M$96</f>
        <v>5.4991954499707133E-5</v>
      </c>
      <c r="K43" s="15">
        <f>Domestic!N44/Domestic!N$96</f>
        <v>1.4494531389419197E-4</v>
      </c>
      <c r="L43" s="15">
        <f>Domestic!O44/Domestic!O$96</f>
        <v>1.4508323293582886E-4</v>
      </c>
      <c r="M43" s="15">
        <f>Domestic!P44/Domestic!P$96</f>
        <v>9.8164786705567678E-5</v>
      </c>
      <c r="N43" s="15">
        <f>Domestic!Q44/Domestic!Q$96</f>
        <v>1.6945361941465866E-4</v>
      </c>
      <c r="O43" s="15">
        <f>Domestic!R44/Domestic!R$96</f>
        <v>1.4549039390905838E-4</v>
      </c>
      <c r="P43" s="15">
        <f>Domestic!S44/Domestic!S$96</f>
        <v>1.4750119818779961E-4</v>
      </c>
      <c r="Q43" s="15">
        <f>Domestic!T44/Domestic!T$96</f>
        <v>1.0025456235507851E-4</v>
      </c>
      <c r="R43" s="15">
        <f>Domestic!U44/Domestic!U$96</f>
        <v>7.6501916258820313E-5</v>
      </c>
      <c r="S43" s="15">
        <f>Domestic!V44/Domestic!V$96</f>
        <v>1.024201885813503E-4</v>
      </c>
      <c r="T43" s="15">
        <f>Domestic!W44/Domestic!W$96</f>
        <v>1.2955364978258659E-4</v>
      </c>
      <c r="U43" s="15">
        <f>Domestic!X44/Domestic!X$96</f>
        <v>1.347358913521671E-4</v>
      </c>
      <c r="V43" s="15">
        <f>Domestic!Y44/Domestic!Y$96</f>
        <v>1.3128729603882267E-4</v>
      </c>
      <c r="W43" s="15">
        <f>Domestic!Z44/Domestic!Z$96</f>
        <v>8.6167742140299224E-5</v>
      </c>
      <c r="X43" s="15">
        <f>Domestic!AA44/Domestic!AA$96</f>
        <v>1.8909103727469888E-4</v>
      </c>
      <c r="Y43" s="15">
        <f>Domestic!AB44/Domestic!AB$96</f>
        <v>1.4074586582461641E-4</v>
      </c>
      <c r="Z43" s="15">
        <f>Domestic!AC44/Domestic!AC$96</f>
        <v>1.7552815851684203E-4</v>
      </c>
      <c r="AA43" s="15">
        <f>Domestic!AD44/Domestic!AD$96</f>
        <v>2.0640151355160163E-4</v>
      </c>
      <c r="AB43" s="15">
        <f>Domestic!AE44/Domestic!AE$96</f>
        <v>1.4011517696447607E-4</v>
      </c>
      <c r="AC43" s="15">
        <f>Domestic!AF44/Domestic!AF$96</f>
        <v>1.1400448669012719E-4</v>
      </c>
      <c r="AD43" s="15">
        <f>Domestic!AG44/Domestic!AG$96</f>
        <v>4.1439894579846202E-5</v>
      </c>
      <c r="AE43" s="15">
        <f>Domestic!AH44/Domestic!AH$96</f>
        <v>9.4113285532495053E-5</v>
      </c>
      <c r="AF43" s="15">
        <f>Domestic!AI44/Domestic!AI$96</f>
        <v>1.6623195517405896E-4</v>
      </c>
      <c r="AG43" s="15">
        <f>Domestic!AJ44/Domestic!AJ$96</f>
        <v>8.8692693180004347E-5</v>
      </c>
      <c r="AH43" s="15">
        <f>Domestic!AK44/Domestic!AK$96</f>
        <v>5.00733301223202E-5</v>
      </c>
      <c r="AI43" s="15">
        <f>Domestic!AL44/Domestic!AL$96</f>
        <v>1.8092309546292027E-5</v>
      </c>
      <c r="AJ43" s="15">
        <f>Domestic!AM44/Domestic!AM$96</f>
        <v>2.0087961863532378E-5</v>
      </c>
      <c r="AK43" s="15">
        <f>Domestic!AN44/Domestic!AN$96</f>
        <v>4.8827182581599584E-5</v>
      </c>
      <c r="AL43" s="15">
        <f>Domestic!AO44/Domestic!AO$96</f>
        <v>6.5234960031701196E-5</v>
      </c>
      <c r="AM43" s="15">
        <f>Domestic!AP44/Domestic!AP$96</f>
        <v>1.690314033428357E-2</v>
      </c>
      <c r="AN43" s="15">
        <f>Domestic!AQ44/Domestic!AQ$96</f>
        <v>7.241723082898499E-5</v>
      </c>
      <c r="AO43" s="15">
        <f>Domestic!AR44/Domestic!AR$96</f>
        <v>8.4272861554929703E-5</v>
      </c>
      <c r="AP43" s="15">
        <f>Domestic!AS44/Domestic!AS$96</f>
        <v>9.8612826943863887E-5</v>
      </c>
      <c r="AQ43" s="15">
        <f>Domestic!AT44/Domestic!AT$96</f>
        <v>7.9282234251613798E-5</v>
      </c>
      <c r="AR43" s="15">
        <f>Domestic!AU44/Domestic!AU$96</f>
        <v>6.4308378545741202E-5</v>
      </c>
      <c r="AS43" s="15">
        <f>Domestic!AV44/Domestic!AV$96</f>
        <v>7.391518742706745E-5</v>
      </c>
      <c r="AT43" s="15">
        <f>Domestic!AW44/Domestic!AW$96</f>
        <v>7.2889926969184246E-5</v>
      </c>
      <c r="AU43" s="15">
        <f>Domestic!AX44/Domestic!AX$96</f>
        <v>1.0593821861667039E-4</v>
      </c>
      <c r="AV43" s="15">
        <f>Domestic!AY44/Domestic!AY$96</f>
        <v>5.3971367988931274E-5</v>
      </c>
      <c r="AW43" s="15">
        <f>Domestic!AZ44/Domestic!AZ$96</f>
        <v>4.0657113586044827E-5</v>
      </c>
      <c r="AX43" s="15">
        <f>Domestic!BA44/Domestic!BA$96</f>
        <v>5.6013043264399517E-5</v>
      </c>
      <c r="AY43" s="15">
        <f>Domestic!BB44/Domestic!BB$96</f>
        <v>4.7433762504767515E-5</v>
      </c>
      <c r="AZ43" s="15">
        <f>Domestic!BC44/Domestic!BC$96</f>
        <v>3.4664461007343301E-5</v>
      </c>
      <c r="BA43" s="15">
        <f>Domestic!BD44/Domestic!BD$96</f>
        <v>2.6414016031592535E-5</v>
      </c>
      <c r="BB43" s="15">
        <f>Domestic!BE44/Domestic!BE$96</f>
        <v>2.3181711187683909E-5</v>
      </c>
      <c r="BC43" s="15">
        <f>Domestic!BF44/Domestic!BF$96</f>
        <v>1.1175378290861547E-5</v>
      </c>
      <c r="BD43" s="15">
        <f>Domestic!BG44/Domestic!BG$96</f>
        <v>1.0774766808309512E-5</v>
      </c>
      <c r="BE43" s="15">
        <f>Domestic!BH44/Domestic!BH$96</f>
        <v>2.1642497310370806E-6</v>
      </c>
      <c r="BF43" s="15">
        <f>Domestic!BI44/Domestic!BI$96</f>
        <v>9.7800741223129538E-6</v>
      </c>
      <c r="BG43" s="15">
        <f>Domestic!BJ44/Domestic!BJ$96</f>
        <v>1.151029812309377E-4</v>
      </c>
      <c r="BH43" s="15">
        <f>Domestic!BK44/Domestic!BK$96</f>
        <v>7.8042016260714448E-7</v>
      </c>
      <c r="BI43" s="15">
        <f>Domestic!BL44/Domestic!BL$96</f>
        <v>3.3809167047287923E-5</v>
      </c>
      <c r="BJ43" s="15">
        <f>Domestic!BM44/Domestic!BM$96</f>
        <v>1.6752103250889018E-5</v>
      </c>
      <c r="BK43" s="15">
        <f>Domestic!BN44/Domestic!BN$96</f>
        <v>3.7798331474307475E-5</v>
      </c>
      <c r="BL43" s="15">
        <f>Domestic!BO44/Domestic!BO$96</f>
        <v>1.1077431165617218E-4</v>
      </c>
      <c r="BM43" s="15">
        <f>Domestic!BP44/Domestic!BP$96</f>
        <v>1.4949109411638116E-5</v>
      </c>
      <c r="BN43" s="15">
        <f>Domestic!BQ44/Domestic!BQ$96</f>
        <v>4.6786481897089929E-5</v>
      </c>
      <c r="BO43" s="15">
        <f>Domestic!BR44/Domestic!BR$96</f>
        <v>6.0358799857020414E-5</v>
      </c>
      <c r="BP43" s="15">
        <f>Domestic!BS44/Domestic!BS$96</f>
        <v>5.9839960863792023E-5</v>
      </c>
      <c r="BQ43" s="15">
        <f>Domestic!BT44/Domestic!BT$96</f>
        <v>6.1947108068629981E-5</v>
      </c>
      <c r="BR43" s="15">
        <f>Domestic!BU44/Domestic!BU$96</f>
        <v>3.8662411006582857E-5</v>
      </c>
      <c r="BS43" s="15">
        <f>Domestic!BV44/Domestic!BV$96</f>
        <v>4.5904551534037048E-5</v>
      </c>
      <c r="BT43" s="15">
        <f>Domestic!BW44/Domestic!BW$96</f>
        <v>8.0292463344020781E-5</v>
      </c>
      <c r="BU43" s="15">
        <f>Domestic!BX44/Domestic!BX$96</f>
        <v>7.0191079309077242E-5</v>
      </c>
      <c r="BV43" s="15">
        <f>Domestic!BY44/Domestic!BY$96</f>
        <v>7.2201363383282742E-5</v>
      </c>
      <c r="BW43" s="15">
        <f>Domestic!BZ44/Domestic!BZ$96</f>
        <v>1.1694756920954007E-4</v>
      </c>
      <c r="BX43" s="15">
        <f>Domestic!CA44/Domestic!CA$96</f>
        <v>4.1849947075193414E-5</v>
      </c>
      <c r="BY43" s="15">
        <f>Domestic!CB44/Domestic!CB$96</f>
        <v>4.4759081442925798E-5</v>
      </c>
      <c r="BZ43" s="15">
        <f>Domestic!CC44/Domestic!CC$96</f>
        <v>0</v>
      </c>
      <c r="CA43" s="15">
        <f>Domestic!CD44/Domestic!CD$96</f>
        <v>1.8031466583078499E-5</v>
      </c>
    </row>
    <row r="44" spans="1:79" x14ac:dyDescent="0.3">
      <c r="A44" s="8" t="s">
        <v>132</v>
      </c>
      <c r="B44" s="15">
        <f>Domestic!E45/Domestic!E$96</f>
        <v>7.6440349397797402E-3</v>
      </c>
      <c r="C44" s="15">
        <f>Domestic!F45/Domestic!F$96</f>
        <v>1.4642506773660309E-2</v>
      </c>
      <c r="D44" s="15">
        <f>Domestic!G45/Domestic!G$96</f>
        <v>4.2027060285963003E-3</v>
      </c>
      <c r="E44" s="15">
        <f>Domestic!H45/Domestic!H$96</f>
        <v>1.02185679004392E-2</v>
      </c>
      <c r="F44" s="15">
        <f>Domestic!I45/Domestic!I$96</f>
        <v>9.3023255813953504E-3</v>
      </c>
      <c r="G44" s="15">
        <f>Domestic!J45/Domestic!J$96</f>
        <v>6.7896598775489762E-3</v>
      </c>
      <c r="H44" s="15">
        <f>Domestic!K45/Domestic!K$96</f>
        <v>3.4322467299151027E-3</v>
      </c>
      <c r="I44" s="15">
        <f>Domestic!L45/Domestic!L$96</f>
        <v>6.8220259999812851E-3</v>
      </c>
      <c r="J44" s="15">
        <f>Domestic!M45/Domestic!M$96</f>
        <v>4.0619804133457584E-3</v>
      </c>
      <c r="K44" s="15">
        <f>Domestic!N45/Domestic!N$96</f>
        <v>1.0737676355749086E-2</v>
      </c>
      <c r="L44" s="15">
        <f>Domestic!O45/Domestic!O$96</f>
        <v>1.0746659480693829E-2</v>
      </c>
      <c r="M44" s="15">
        <f>Domestic!P45/Domestic!P$96</f>
        <v>7.2148526137493316E-3</v>
      </c>
      <c r="N44" s="15">
        <f>Domestic!Q45/Domestic!Q$96</f>
        <v>1.2533573009324917E-2</v>
      </c>
      <c r="O44" s="15">
        <f>Domestic!R45/Domestic!R$96</f>
        <v>1.0762687006010593E-2</v>
      </c>
      <c r="P44" s="15">
        <f>Domestic!S45/Domestic!S$96</f>
        <v>1.0884442353390172E-2</v>
      </c>
      <c r="Q44" s="15">
        <f>Domestic!T45/Domestic!T$96</f>
        <v>7.3291862893579054E-3</v>
      </c>
      <c r="R44" s="15">
        <f>Domestic!U45/Domestic!U$96</f>
        <v>5.5887342906737539E-3</v>
      </c>
      <c r="S44" s="15">
        <f>Domestic!V45/Domestic!V$96</f>
        <v>7.5538450281408612E-3</v>
      </c>
      <c r="T44" s="15">
        <f>Domestic!W45/Domestic!W$96</f>
        <v>9.5668344085251961E-3</v>
      </c>
      <c r="U44" s="15">
        <f>Domestic!X45/Domestic!X$96</f>
        <v>9.9439102783275748E-3</v>
      </c>
      <c r="V44" s="15">
        <f>Domestic!Y45/Domestic!Y$96</f>
        <v>1.1233819402541508E-2</v>
      </c>
      <c r="W44" s="15">
        <f>Domestic!Z45/Domestic!Z$96</f>
        <v>6.3904788338538703E-3</v>
      </c>
      <c r="X44" s="15">
        <f>Domestic!AA45/Domestic!AA$96</f>
        <v>1.4000362733094544E-2</v>
      </c>
      <c r="Y44" s="15">
        <f>Domestic!AB45/Domestic!AB$96</f>
        <v>1.0446356241546606E-2</v>
      </c>
      <c r="Z44" s="15">
        <f>Domestic!AC45/Domestic!AC$96</f>
        <v>1.3011180872540733E-2</v>
      </c>
      <c r="AA44" s="15">
        <f>Domestic!AD45/Domestic!AD$96</f>
        <v>1.5293271316449027E-2</v>
      </c>
      <c r="AB44" s="15">
        <f>Domestic!AE45/Domestic!AE$96</f>
        <v>1.0346964664583534E-2</v>
      </c>
      <c r="AC44" s="15">
        <f>Domestic!AF45/Domestic!AF$96</f>
        <v>8.4282735792664456E-3</v>
      </c>
      <c r="AD44" s="15">
        <f>Domestic!AG45/Domestic!AG$96</f>
        <v>3.0660654869868308E-3</v>
      </c>
      <c r="AE44" s="15">
        <f>Domestic!AH45/Domestic!AH$96</f>
        <v>6.9661712834687556E-3</v>
      </c>
      <c r="AF44" s="15">
        <f>Domestic!AI45/Domestic!AI$96</f>
        <v>1.2294074652192358E-2</v>
      </c>
      <c r="AG44" s="15">
        <f>Domestic!AJ45/Domestic!AJ$96</f>
        <v>6.490196515472774E-3</v>
      </c>
      <c r="AH44" s="15">
        <f>Domestic!AK45/Domestic!AK$96</f>
        <v>3.6910851026286775E-3</v>
      </c>
      <c r="AI44" s="15">
        <f>Domestic!AL45/Domestic!AL$96</f>
        <v>1.2377109101656754E-3</v>
      </c>
      <c r="AJ44" s="15">
        <f>Domestic!AM45/Domestic!AM$96</f>
        <v>1.3030298999143805E-3</v>
      </c>
      <c r="AK44" s="15">
        <f>Domestic!AN45/Domestic!AN$96</f>
        <v>3.5917401040220366E-3</v>
      </c>
      <c r="AL44" s="15">
        <f>Domestic!AO45/Domestic!AO$96</f>
        <v>4.8211488052227157E-3</v>
      </c>
      <c r="AM44" s="15">
        <f>Domestic!AP45/Domestic!AP$96</f>
        <v>4.0752396370387963E-3</v>
      </c>
      <c r="AN44" s="15">
        <f>Domestic!AQ45/Domestic!AQ$96</f>
        <v>5.7038392637528751E-3</v>
      </c>
      <c r="AO44" s="15">
        <f>Domestic!AR45/Domestic!AR$96</f>
        <v>6.2642237778038085E-3</v>
      </c>
      <c r="AP44" s="15">
        <f>Domestic!AS45/Domestic!AS$96</f>
        <v>7.2992396588382E-3</v>
      </c>
      <c r="AQ44" s="15">
        <f>Domestic!AT45/Domestic!AT$96</f>
        <v>6.1323263734514473E-3</v>
      </c>
      <c r="AR44" s="15">
        <f>Domestic!AU45/Domestic!AU$96</f>
        <v>4.7040584094617524E-3</v>
      </c>
      <c r="AS44" s="15">
        <f>Domestic!AV45/Domestic!AV$96</f>
        <v>5.4523680935496749E-3</v>
      </c>
      <c r="AT44" s="15">
        <f>Domestic!AW45/Domestic!AW$96</f>
        <v>5.5940638339595167E-3</v>
      </c>
      <c r="AU44" s="15">
        <f>Domestic!AX45/Domestic!AX$96</f>
        <v>7.5951082565058285E-3</v>
      </c>
      <c r="AV44" s="15">
        <f>Domestic!AY45/Domestic!AY$96</f>
        <v>3.9732913546437322E-3</v>
      </c>
      <c r="AW44" s="15">
        <f>Domestic!AZ45/Domestic!AZ$96</f>
        <v>2.3979905582849261E-3</v>
      </c>
      <c r="AX44" s="15">
        <f>Domestic!BA45/Domestic!BA$96</f>
        <v>4.073159837349254E-3</v>
      </c>
      <c r="AY44" s="15">
        <f>Domestic!BB45/Domestic!BB$96</f>
        <v>3.1132580609029717E-3</v>
      </c>
      <c r="AZ44" s="15">
        <f>Domestic!BC45/Domestic!BC$96</f>
        <v>2.4928720738128852E-3</v>
      </c>
      <c r="BA44" s="15">
        <f>Domestic!BD45/Domestic!BD$96</f>
        <v>2.009866492585723E-3</v>
      </c>
      <c r="BB44" s="15">
        <f>Domestic!BE45/Domestic!BE$96</f>
        <v>3.2430750317346034E-3</v>
      </c>
      <c r="BC44" s="15">
        <f>Domestic!BF45/Domestic!BF$96</f>
        <v>9.9278402952824576E-4</v>
      </c>
      <c r="BD44" s="15">
        <f>Domestic!BG45/Domestic!BG$96</f>
        <v>8.05440489136008E-4</v>
      </c>
      <c r="BE44" s="15">
        <f>Domestic!BH45/Domestic!BH$96</f>
        <v>1.6229876968533403E-4</v>
      </c>
      <c r="BF44" s="15">
        <f>Domestic!BI45/Domestic!BI$96</f>
        <v>7.8582949536776421E-4</v>
      </c>
      <c r="BG44" s="15">
        <f>Domestic!BJ45/Domestic!BJ$96</f>
        <v>8.6981368225447844E-3</v>
      </c>
      <c r="BH44" s="15">
        <f>Domestic!BK45/Domestic!BK$96</f>
        <v>5.4109131274095354E-5</v>
      </c>
      <c r="BI44" s="15">
        <f>Domestic!BL45/Domestic!BL$96</f>
        <v>2.5650057621611861E-3</v>
      </c>
      <c r="BJ44" s="15">
        <f>Domestic!BM45/Domestic!BM$96</f>
        <v>1.1865176509464495E-3</v>
      </c>
      <c r="BK44" s="15">
        <f>Domestic!BN45/Domestic!BN$96</f>
        <v>2.8234769434467275E-3</v>
      </c>
      <c r="BL44" s="15">
        <f>Domestic!BO45/Domestic!BO$96</f>
        <v>8.1759812659986161E-3</v>
      </c>
      <c r="BM44" s="15">
        <f>Domestic!BP45/Domestic!BP$96</f>
        <v>1.193390965277797E-3</v>
      </c>
      <c r="BN44" s="15">
        <f>Domestic!BQ45/Domestic!BQ$96</f>
        <v>3.6402065703764509E-3</v>
      </c>
      <c r="BO44" s="15">
        <f>Domestic!BR45/Domestic!BR$96</f>
        <v>5.3584973546101002E-3</v>
      </c>
      <c r="BP44" s="15">
        <f>Domestic!BS45/Domestic!BS$96</f>
        <v>4.3449489831574534E-3</v>
      </c>
      <c r="BQ44" s="15">
        <f>Domestic!BT45/Domestic!BT$96</f>
        <v>4.5251434563057568E-3</v>
      </c>
      <c r="BR44" s="15">
        <f>Domestic!BU45/Domestic!BU$96</f>
        <v>2.7901398320082931E-3</v>
      </c>
      <c r="BS44" s="15">
        <f>Domestic!BV45/Domestic!BV$96</f>
        <v>6.6761014726758831E-3</v>
      </c>
      <c r="BT44" s="15">
        <f>Domestic!BW45/Domestic!BW$96</f>
        <v>5.8679323232920825E-3</v>
      </c>
      <c r="BU44" s="15">
        <f>Domestic!BX45/Domestic!BX$96</f>
        <v>5.1499651129853071E-3</v>
      </c>
      <c r="BV44" s="15">
        <f>Domestic!BY45/Domestic!BY$96</f>
        <v>5.1371927809824303E-3</v>
      </c>
      <c r="BW44" s="15">
        <f>Domestic!BZ45/Domestic!BZ$96</f>
        <v>8.4655174300312646E-3</v>
      </c>
      <c r="BX44" s="15">
        <f>Domestic!CA45/Domestic!CA$96</f>
        <v>2.9134349400270652E-3</v>
      </c>
      <c r="BY44" s="15">
        <f>Domestic!CB45/Domestic!CB$96</f>
        <v>3.2747743985668612E-3</v>
      </c>
      <c r="BZ44" s="15">
        <f>Domestic!CC45/Domestic!CC$96</f>
        <v>0</v>
      </c>
      <c r="CA44" s="15">
        <f>Domestic!CD45/Domestic!CD$96</f>
        <v>2.2107421867960343E-3</v>
      </c>
    </row>
    <row r="45" spans="1:79" x14ac:dyDescent="0.3">
      <c r="A45" s="7" t="s">
        <v>133</v>
      </c>
      <c r="B45" s="15">
        <f>Domestic!E46/Domestic!E$96</f>
        <v>2.2098672920652612E-5</v>
      </c>
      <c r="C45" s="15">
        <f>Domestic!F46/Domestic!F$96</f>
        <v>4.1891605643969081E-5</v>
      </c>
      <c r="D45" s="15">
        <f>Domestic!G46/Domestic!G$96</f>
        <v>1.3493893319499492E-5</v>
      </c>
      <c r="E45" s="15">
        <f>Domestic!H46/Domestic!H$96</f>
        <v>3.0340631263604585E-5</v>
      </c>
      <c r="F45" s="15">
        <f>Domestic!I46/Domestic!I$96</f>
        <v>2.8862916539990536E-5</v>
      </c>
      <c r="G45" s="15">
        <f>Domestic!J46/Domestic!J$96</f>
        <v>4.7384011438308038E-4</v>
      </c>
      <c r="H45" s="15">
        <f>Domestic!K46/Domestic!K$96</f>
        <v>1.1290143330921084E-4</v>
      </c>
      <c r="I45" s="15">
        <f>Domestic!L46/Domestic!L$96</f>
        <v>7.7515630955686844E-3</v>
      </c>
      <c r="J45" s="15">
        <f>Domestic!M46/Domestic!M$96</f>
        <v>3.3271049797648088E-5</v>
      </c>
      <c r="K45" s="15">
        <f>Domestic!N46/Domestic!N$96</f>
        <v>1.1636011417603883E-4</v>
      </c>
      <c r="L45" s="15">
        <f>Domestic!O46/Domestic!O$96</f>
        <v>3.7977757798607456E-4</v>
      </c>
      <c r="M45" s="15">
        <f>Domestic!P46/Domestic!P$96</f>
        <v>2.7212691072263075E-4</v>
      </c>
      <c r="N45" s="15">
        <f>Domestic!Q46/Domestic!Q$96</f>
        <v>9.163462075115722E-5</v>
      </c>
      <c r="O45" s="15">
        <f>Domestic!R46/Domestic!R$96</f>
        <v>5.7324059721794495E-5</v>
      </c>
      <c r="P45" s="15">
        <f>Domestic!S46/Domestic!S$96</f>
        <v>2.0245599973652472E-4</v>
      </c>
      <c r="Q45" s="15">
        <f>Domestic!T46/Domestic!T$96</f>
        <v>5.9141091206466403E-4</v>
      </c>
      <c r="R45" s="15">
        <f>Domestic!U46/Domestic!U$96</f>
        <v>6.366163533451086E-4</v>
      </c>
      <c r="S45" s="15">
        <f>Domestic!V46/Domestic!V$96</f>
        <v>3.6956974166703506E-4</v>
      </c>
      <c r="T45" s="15">
        <f>Domestic!W46/Domestic!W$96</f>
        <v>1.6198949937922628E-4</v>
      </c>
      <c r="U45" s="15">
        <f>Domestic!X46/Domestic!X$96</f>
        <v>4.6327664490811832E-4</v>
      </c>
      <c r="V45" s="15">
        <f>Domestic!Y46/Domestic!Y$96</f>
        <v>4.0925403119586876E-4</v>
      </c>
      <c r="W45" s="15">
        <f>Domestic!Z46/Domestic!Z$96</f>
        <v>3.4605394346030959E-5</v>
      </c>
      <c r="X45" s="15">
        <f>Domestic!AA46/Domestic!AA$96</f>
        <v>3.5803750021818882E-4</v>
      </c>
      <c r="Y45" s="15">
        <f>Domestic!AB46/Domestic!AB$96</f>
        <v>4.684066028597782E-4</v>
      </c>
      <c r="Z45" s="15">
        <f>Domestic!AC46/Domestic!AC$96</f>
        <v>2.6286376481254279E-4</v>
      </c>
      <c r="AA45" s="15">
        <f>Domestic!AD46/Domestic!AD$96</f>
        <v>3.3129566789895978E-4</v>
      </c>
      <c r="AB45" s="15">
        <f>Domestic!AE46/Domestic!AE$96</f>
        <v>2.9378309449196893E-4</v>
      </c>
      <c r="AC45" s="15">
        <f>Domestic!AF46/Domestic!AF$96</f>
        <v>4.5295297902376186E-4</v>
      </c>
      <c r="AD45" s="15">
        <f>Domestic!AG46/Domestic!AG$96</f>
        <v>1.063556840196113E-4</v>
      </c>
      <c r="AE45" s="15">
        <f>Domestic!AH46/Domestic!AH$96</f>
        <v>1.6904038272895646E-4</v>
      </c>
      <c r="AF45" s="15">
        <f>Domestic!AI46/Domestic!AI$96</f>
        <v>4.351255505308927E-4</v>
      </c>
      <c r="AG45" s="15">
        <f>Domestic!AJ46/Domestic!AJ$96</f>
        <v>1.8893572565158769E-4</v>
      </c>
      <c r="AH45" s="15">
        <f>Domestic!AK46/Domestic!AK$96</f>
        <v>7.5134257655127976E-5</v>
      </c>
      <c r="AI45" s="15">
        <f>Domestic!AL46/Domestic!AL$96</f>
        <v>1.6833638990059012E-5</v>
      </c>
      <c r="AJ45" s="15">
        <f>Domestic!AM46/Domestic!AM$96</f>
        <v>2.7024986241138721E-5</v>
      </c>
      <c r="AK45" s="15">
        <f>Domestic!AN46/Domestic!AN$96</f>
        <v>1.7752616857151958E-3</v>
      </c>
      <c r="AL45" s="15">
        <f>Domestic!AO46/Domestic!AO$96</f>
        <v>1.4879564205110644E-4</v>
      </c>
      <c r="AM45" s="15">
        <f>Domestic!AP46/Domestic!AP$96</f>
        <v>3.2843449667786887E-4</v>
      </c>
      <c r="AN45" s="15">
        <f>Domestic!AQ46/Domestic!AQ$96</f>
        <v>1.5523712715755742E-4</v>
      </c>
      <c r="AO45" s="15">
        <f>Domestic!AR46/Domestic!AR$96</f>
        <v>3.0287576812730891E-4</v>
      </c>
      <c r="AP45" s="15">
        <f>Domestic!AS46/Domestic!AS$96</f>
        <v>1.1152971836045451E-3</v>
      </c>
      <c r="AQ45" s="15">
        <f>Domestic!AT46/Domestic!AT$96</f>
        <v>4.8866686202358328E-4</v>
      </c>
      <c r="AR45" s="15">
        <f>Domestic!AU46/Domestic!AU$96</f>
        <v>4.1406790995515388E-4</v>
      </c>
      <c r="AS45" s="15">
        <f>Domestic!AV46/Domestic!AV$96</f>
        <v>8.0857497848394239E-5</v>
      </c>
      <c r="AT45" s="15">
        <f>Domestic!AW46/Domestic!AW$96</f>
        <v>6.1211956484453892E-4</v>
      </c>
      <c r="AU45" s="15">
        <f>Domestic!AX46/Domestic!AX$96</f>
        <v>1.008729376486082E-3</v>
      </c>
      <c r="AV45" s="15">
        <f>Domestic!AY46/Domestic!AY$96</f>
        <v>8.2208472623231642E-4</v>
      </c>
      <c r="AW45" s="15">
        <f>Domestic!AZ46/Domestic!AZ$96</f>
        <v>1.0177736326095436E-3</v>
      </c>
      <c r="AX45" s="15">
        <f>Domestic!BA46/Domestic!BA$96</f>
        <v>4.3952348361195516E-4</v>
      </c>
      <c r="AY45" s="15">
        <f>Domestic!BB46/Domestic!BB$96</f>
        <v>2.9909786689868593E-4</v>
      </c>
      <c r="AZ45" s="15">
        <f>Domestic!BC46/Domestic!BC$96</f>
        <v>4.3081912566728158E-4</v>
      </c>
      <c r="BA45" s="15">
        <f>Domestic!BD46/Domestic!BD$96</f>
        <v>2.8081186394106035E-3</v>
      </c>
      <c r="BB45" s="15">
        <f>Domestic!BE46/Domestic!BE$96</f>
        <v>1.2902940447064864E-4</v>
      </c>
      <c r="BC45" s="15">
        <f>Domestic!BF46/Domestic!BF$96</f>
        <v>3.8416080608456583E-4</v>
      </c>
      <c r="BD45" s="15">
        <f>Domestic!BG46/Domestic!BG$96</f>
        <v>8.5467370578981832E-4</v>
      </c>
      <c r="BE45" s="15">
        <f>Domestic!BH46/Domestic!BH$96</f>
        <v>1.2620512924334807E-4</v>
      </c>
      <c r="BF45" s="15">
        <f>Domestic!BI46/Domestic!BI$96</f>
        <v>1.6999197071564118E-4</v>
      </c>
      <c r="BG45" s="15">
        <f>Domestic!BJ46/Domestic!BJ$96</f>
        <v>7.8243944934093578E-4</v>
      </c>
      <c r="BH45" s="15">
        <f>Domestic!BK46/Domestic!BK$96</f>
        <v>2.2372044661404808E-5</v>
      </c>
      <c r="BI45" s="15">
        <f>Domestic!BL46/Domestic!BL$96</f>
        <v>7.450869935028278E-4</v>
      </c>
      <c r="BJ45" s="15">
        <f>Domestic!BM46/Domestic!BM$96</f>
        <v>1.7024272300633983E-3</v>
      </c>
      <c r="BK45" s="15">
        <f>Domestic!BN46/Domestic!BN$96</f>
        <v>1.0350688084783035E-3</v>
      </c>
      <c r="BL45" s="15">
        <f>Domestic!BO46/Domestic!BO$96</f>
        <v>2.4654325083645951E-4</v>
      </c>
      <c r="BM45" s="15">
        <f>Domestic!BP46/Domestic!BP$96</f>
        <v>1.0021602782513963E-3</v>
      </c>
      <c r="BN45" s="15">
        <f>Domestic!BQ46/Domestic!BQ$96</f>
        <v>6.8296787056425971E-4</v>
      </c>
      <c r="BO45" s="15">
        <f>Domestic!BR46/Domestic!BR$96</f>
        <v>3.362031580205369E-4</v>
      </c>
      <c r="BP45" s="15">
        <f>Domestic!BS46/Domestic!BS$96</f>
        <v>5.6323817177999862E-4</v>
      </c>
      <c r="BQ45" s="15">
        <f>Domestic!BT46/Domestic!BT$96</f>
        <v>2.1450253968414811E-4</v>
      </c>
      <c r="BR45" s="15">
        <f>Domestic!BU46/Domestic!BU$96</f>
        <v>6.9272281765039888E-4</v>
      </c>
      <c r="BS45" s="15">
        <f>Domestic!BV46/Domestic!BV$96</f>
        <v>1.8113920394938676E-3</v>
      </c>
      <c r="BT45" s="15">
        <f>Domestic!BW46/Domestic!BW$96</f>
        <v>4.6834932511599653E-4</v>
      </c>
      <c r="BU45" s="15">
        <f>Domestic!BX46/Domestic!BX$96</f>
        <v>2.0587279938937976E-4</v>
      </c>
      <c r="BV45" s="15">
        <f>Domestic!BY46/Domestic!BY$96</f>
        <v>5.4763981035685601E-5</v>
      </c>
      <c r="BW45" s="15">
        <f>Domestic!BZ46/Domestic!BZ$96</f>
        <v>1.2591049269373801E-4</v>
      </c>
      <c r="BX45" s="15">
        <f>Domestic!CA46/Domestic!CA$96</f>
        <v>2.6674473165725748E-4</v>
      </c>
      <c r="BY45" s="15">
        <f>Domestic!CB46/Domestic!CB$96</f>
        <v>1.2336157063098715E-3</v>
      </c>
      <c r="BZ45" s="15">
        <f>Domestic!CC46/Domestic!CC$96</f>
        <v>0</v>
      </c>
      <c r="CA45" s="15">
        <f>Domestic!CD46/Domestic!CD$96</f>
        <v>5.3843040431222873E-3</v>
      </c>
    </row>
    <row r="46" spans="1:79" x14ac:dyDescent="0.3">
      <c r="A46" s="8" t="s">
        <v>134</v>
      </c>
      <c r="B46" s="15">
        <f>Domestic!E47/Domestic!E$96</f>
        <v>1.4175954530942164E-6</v>
      </c>
      <c r="C46" s="15">
        <f>Domestic!F47/Domestic!F$96</f>
        <v>3.5622800135674227E-6</v>
      </c>
      <c r="D46" s="15">
        <f>Domestic!G47/Domestic!G$96</f>
        <v>8.6721679431230674E-7</v>
      </c>
      <c r="E46" s="15">
        <f>Domestic!H47/Domestic!H$96</f>
        <v>2.0894552376657389E-6</v>
      </c>
      <c r="F46" s="15">
        <f>Domestic!I47/Domestic!I$96</f>
        <v>1.7317749923994319E-6</v>
      </c>
      <c r="G46" s="15">
        <f>Domestic!J47/Domestic!J$96</f>
        <v>8.8095966037775595E-7</v>
      </c>
      <c r="H46" s="15">
        <f>Domestic!K47/Domestic!K$96</f>
        <v>9.0582936075188061E-7</v>
      </c>
      <c r="I46" s="15">
        <f>Domestic!L47/Domestic!L$96</f>
        <v>1.1704381048561758E-6</v>
      </c>
      <c r="J46" s="15">
        <f>Domestic!M47/Domestic!M$96</f>
        <v>9.6353134166050554E-7</v>
      </c>
      <c r="K46" s="15">
        <f>Domestic!N47/Domestic!N$96</f>
        <v>3.683181360122859E-6</v>
      </c>
      <c r="L46" s="15">
        <f>Domestic!O47/Domestic!O$96</f>
        <v>1.8462546716689244E-6</v>
      </c>
      <c r="M46" s="15">
        <f>Domestic!P47/Domestic!P$96</f>
        <v>1.8899297126280827E-6</v>
      </c>
      <c r="N46" s="15">
        <f>Domestic!Q47/Domestic!Q$96</f>
        <v>3.1245538722793541E-6</v>
      </c>
      <c r="O46" s="15">
        <f>Domestic!R47/Domestic!R$96</f>
        <v>1.6244114939203641E-6</v>
      </c>
      <c r="P46" s="15">
        <f>Domestic!S47/Domestic!S$96</f>
        <v>1.8932475846742075E-6</v>
      </c>
      <c r="Q46" s="15">
        <f>Domestic!T47/Domestic!T$96</f>
        <v>3.1322936940155412E-6</v>
      </c>
      <c r="R46" s="15">
        <f>Domestic!U47/Domestic!U$96</f>
        <v>1.8107644885624589E-6</v>
      </c>
      <c r="S46" s="15">
        <f>Domestic!V47/Domestic!V$96</f>
        <v>2.2316870020043874E-6</v>
      </c>
      <c r="T46" s="15">
        <f>Domestic!W47/Domestic!W$96</f>
        <v>2.5671869949164229E-6</v>
      </c>
      <c r="U46" s="15">
        <f>Domestic!X47/Domestic!X$96</f>
        <v>3.7907619834117982E-6</v>
      </c>
      <c r="V46" s="15">
        <f>Domestic!Y47/Domestic!Y$96</f>
        <v>3.4463497363862631E-6</v>
      </c>
      <c r="W46" s="15">
        <f>Domestic!Z47/Domestic!Z$96</f>
        <v>1.3929819533754108E-6</v>
      </c>
      <c r="X46" s="15">
        <f>Domestic!AA47/Domestic!AA$96</f>
        <v>3.2465247832940229E-6</v>
      </c>
      <c r="Y46" s="15">
        <f>Domestic!AB47/Domestic!AB$96</f>
        <v>3.3182950419076769E-6</v>
      </c>
      <c r="Z46" s="15">
        <f>Domestic!AC47/Domestic!AC$96</f>
        <v>2.8925066280997777E-6</v>
      </c>
      <c r="AA46" s="15">
        <f>Domestic!AD47/Domestic!AD$96</f>
        <v>3.0293886431087922E-6</v>
      </c>
      <c r="AB46" s="15">
        <f>Domestic!AE47/Domestic!AE$96</f>
        <v>3.265838072659052E-6</v>
      </c>
      <c r="AC46" s="15">
        <f>Domestic!AF47/Domestic!AF$96</f>
        <v>3.1365169292985442E-6</v>
      </c>
      <c r="AD46" s="15">
        <f>Domestic!AG47/Domestic!AG$96</f>
        <v>1.3803212701512253E-6</v>
      </c>
      <c r="AE46" s="15">
        <f>Domestic!AH47/Domestic!AH$96</f>
        <v>2.3044405262654434E-6</v>
      </c>
      <c r="AF46" s="15">
        <f>Domestic!AI47/Domestic!AI$96</f>
        <v>3.6610661806004071E-6</v>
      </c>
      <c r="AG46" s="15">
        <f>Domestic!AJ47/Domestic!AJ$96</f>
        <v>3.1738071579119204E-6</v>
      </c>
      <c r="AH46" s="15">
        <f>Domestic!AK47/Domestic!AK$96</f>
        <v>1.4645710158233024E-6</v>
      </c>
      <c r="AI46" s="15">
        <f>Domestic!AL47/Domestic!AL$96</f>
        <v>3.1406300730601458E-7</v>
      </c>
      <c r="AJ46" s="15">
        <f>Domestic!AM47/Domestic!AM$96</f>
        <v>1.4808211638980121E-7</v>
      </c>
      <c r="AK46" s="15">
        <f>Domestic!AN47/Domestic!AN$96</f>
        <v>1.8568451865525282E-6</v>
      </c>
      <c r="AL46" s="15">
        <f>Domestic!AO47/Domestic!AO$96</f>
        <v>7.6357174948766862E-7</v>
      </c>
      <c r="AM46" s="15">
        <f>Domestic!AP47/Domestic!AP$96</f>
        <v>1.0582612667785768E-6</v>
      </c>
      <c r="AN46" s="15">
        <f>Domestic!AQ47/Domestic!AQ$96</f>
        <v>7.643952003856128E-7</v>
      </c>
      <c r="AO46" s="15">
        <f>Domestic!AR47/Domestic!AR$96</f>
        <v>9.6071418500277622E-7</v>
      </c>
      <c r="AP46" s="15">
        <f>Domestic!AS47/Domestic!AS$96</f>
        <v>1.0802657098701833E-6</v>
      </c>
      <c r="AQ46" s="15">
        <f>Domestic!AT47/Domestic!AT$96</f>
        <v>8.2371152469209138E-7</v>
      </c>
      <c r="AR46" s="15">
        <f>Domestic!AU47/Domestic!AU$96</f>
        <v>1.4303085123372265E-6</v>
      </c>
      <c r="AS46" s="15">
        <f>Domestic!AV47/Domestic!AV$96</f>
        <v>2.0418560062725816E-7</v>
      </c>
      <c r="AT46" s="15">
        <f>Domestic!AW47/Domestic!AW$96</f>
        <v>1.3850817476329549E-6</v>
      </c>
      <c r="AU46" s="15">
        <f>Domestic!AX47/Domestic!AX$96</f>
        <v>6.1156425814212953E-7</v>
      </c>
      <c r="AV46" s="15">
        <f>Domestic!AY47/Domestic!AY$96</f>
        <v>4.3152435856369955E-7</v>
      </c>
      <c r="AW46" s="15">
        <f>Domestic!AZ47/Domestic!AZ$96</f>
        <v>4.8165221669878891E-7</v>
      </c>
      <c r="AX46" s="15">
        <f>Domestic!BA47/Domestic!BA$96</f>
        <v>4.9696114883635213E-7</v>
      </c>
      <c r="AY46" s="15">
        <f>Domestic!BB47/Domestic!BB$96</f>
        <v>1.1845850304703516E-6</v>
      </c>
      <c r="AZ46" s="15">
        <f>Domestic!BC47/Domestic!BC$96</f>
        <v>5.9382374316648049E-7</v>
      </c>
      <c r="BA46" s="15">
        <f>Domestic!BD47/Domestic!BD$96</f>
        <v>3.4303916924146149E-7</v>
      </c>
      <c r="BB46" s="15">
        <f>Domestic!BE47/Domestic!BE$96</f>
        <v>7.1863304681820122E-7</v>
      </c>
      <c r="BC46" s="15">
        <f>Domestic!BF47/Domestic!BF$96</f>
        <v>2.8709344800500647E-7</v>
      </c>
      <c r="BD46" s="15">
        <f>Domestic!BG47/Domestic!BG$96</f>
        <v>2.4003193384847919E-7</v>
      </c>
      <c r="BE46" s="15">
        <f>Domestic!BH47/Domestic!BH$96</f>
        <v>5.1326080577954474E-8</v>
      </c>
      <c r="BF46" s="15">
        <f>Domestic!BI47/Domestic!BI$96</f>
        <v>2.3069606514376242E-7</v>
      </c>
      <c r="BG46" s="15">
        <f>Domestic!BJ47/Domestic!BJ$96</f>
        <v>2.7860641781146241E-6</v>
      </c>
      <c r="BH46" s="15">
        <f>Domestic!BK47/Domestic!BK$96</f>
        <v>2.0010773400183191E-8</v>
      </c>
      <c r="BI46" s="15">
        <f>Domestic!BL47/Domestic!BL$96</f>
        <v>7.5446316125113661E-7</v>
      </c>
      <c r="BJ46" s="15">
        <f>Domestic!BM47/Domestic!BM$96</f>
        <v>2.9003920735970933E-7</v>
      </c>
      <c r="BK46" s="15">
        <f>Domestic!BN47/Domestic!BN$96</f>
        <v>8.1008509044222849E-7</v>
      </c>
      <c r="BL46" s="15">
        <f>Domestic!BO47/Domestic!BO$96</f>
        <v>1.6819545908246482E-6</v>
      </c>
      <c r="BM46" s="15">
        <f>Domestic!BP47/Domestic!BP$96</f>
        <v>3.4039903969016505E-7</v>
      </c>
      <c r="BN46" s="15">
        <f>Domestic!BQ47/Domestic!BQ$96</f>
        <v>1.4655057457093642E-6</v>
      </c>
      <c r="BO46" s="15">
        <f>Domestic!BR47/Domestic!BR$96</f>
        <v>2.1274128294554882E-6</v>
      </c>
      <c r="BP46" s="15">
        <f>Domestic!BS47/Domestic!BS$96</f>
        <v>1.747152142008526E-6</v>
      </c>
      <c r="BQ46" s="15">
        <f>Domestic!BT47/Domestic!BT$96</f>
        <v>1.9146752374992623E-6</v>
      </c>
      <c r="BR46" s="15">
        <f>Domestic!BU47/Domestic!BU$96</f>
        <v>7.0623137089366273E-7</v>
      </c>
      <c r="BS46" s="15">
        <f>Domestic!BV47/Domestic!BV$96</f>
        <v>1.09482746418487E-6</v>
      </c>
      <c r="BT46" s="15">
        <f>Domestic!BW47/Domestic!BW$96</f>
        <v>1.6030439399854413E-6</v>
      </c>
      <c r="BU46" s="15">
        <f>Domestic!BX47/Domestic!BX$96</f>
        <v>1.261995034808707E-6</v>
      </c>
      <c r="BV46" s="15">
        <f>Domestic!BY47/Domestic!BY$96</f>
        <v>1.7159024833629383E-6</v>
      </c>
      <c r="BW46" s="15">
        <f>Domestic!BZ47/Domestic!BZ$96</f>
        <v>2.0899008447268201E-6</v>
      </c>
      <c r="BX46" s="15">
        <f>Domestic!CA47/Domestic!CA$96</f>
        <v>6.7593774824625152E-7</v>
      </c>
      <c r="BY46" s="15">
        <f>Domestic!CB47/Domestic!CB$96</f>
        <v>1.3012061361604269E-6</v>
      </c>
      <c r="BZ46" s="15">
        <f>Domestic!CC47/Domestic!CC$96</f>
        <v>0</v>
      </c>
      <c r="CA46" s="15">
        <f>Domestic!CD47/Domestic!CD$96</f>
        <v>4.7169115912928299E-7</v>
      </c>
    </row>
    <row r="47" spans="1:79" x14ac:dyDescent="0.3">
      <c r="A47" s="7" t="s">
        <v>135</v>
      </c>
      <c r="B47" s="15">
        <f>Domestic!E48/Domestic!E$96</f>
        <v>4.3933743381019104E-9</v>
      </c>
      <c r="C47" s="15">
        <f>Domestic!F48/Domestic!F$96</f>
        <v>0</v>
      </c>
      <c r="D47" s="15">
        <f>Domestic!G48/Domestic!G$96</f>
        <v>0</v>
      </c>
      <c r="E47" s="15">
        <f>Domestic!H48/Domestic!H$96</f>
        <v>0</v>
      </c>
      <c r="F47" s="15">
        <f>Domestic!I48/Domestic!I$96</f>
        <v>0</v>
      </c>
      <c r="G47" s="15">
        <f>Domestic!J48/Domestic!J$96</f>
        <v>1.0151903896798723E-8</v>
      </c>
      <c r="H47" s="15">
        <f>Domestic!K48/Domestic!K$96</f>
        <v>1.1856405245443464E-8</v>
      </c>
      <c r="I47" s="15">
        <f>Domestic!L48/Domestic!L$96</f>
        <v>1.9616281086975013E-8</v>
      </c>
      <c r="J47" s="15">
        <f>Domestic!M48/Domestic!M$96</f>
        <v>4.0770014456720963E-9</v>
      </c>
      <c r="K47" s="15">
        <f>Domestic!N48/Domestic!N$96</f>
        <v>4.7839737110311201E-9</v>
      </c>
      <c r="L47" s="15">
        <f>Domestic!O48/Domestic!O$96</f>
        <v>1.5136120282509772E-7</v>
      </c>
      <c r="M47" s="15">
        <f>Domestic!P48/Domestic!P$96</f>
        <v>1.640563986656322E-7</v>
      </c>
      <c r="N47" s="15">
        <f>Domestic!Q48/Domestic!Q$96</f>
        <v>3.596729126168176E-8</v>
      </c>
      <c r="O47" s="15">
        <f>Domestic!R48/Domestic!R$96</f>
        <v>4.3087838035022923E-9</v>
      </c>
      <c r="P47" s="15">
        <f>Domestic!S48/Domestic!S$96</f>
        <v>0</v>
      </c>
      <c r="Q47" s="15">
        <f>Domestic!T48/Domestic!T$96</f>
        <v>0</v>
      </c>
      <c r="R47" s="15">
        <f>Domestic!U48/Domestic!U$96</f>
        <v>5.1900892984274296E-8</v>
      </c>
      <c r="S47" s="15">
        <f>Domestic!V48/Domestic!V$96</f>
        <v>0</v>
      </c>
      <c r="T47" s="15">
        <f>Domestic!W48/Domestic!W$96</f>
        <v>0</v>
      </c>
      <c r="U47" s="15">
        <f>Domestic!X48/Domestic!X$96</f>
        <v>2.7594263755499897E-8</v>
      </c>
      <c r="V47" s="15">
        <f>Domestic!Y48/Domestic!Y$96</f>
        <v>4.6572293734949504E-8</v>
      </c>
      <c r="W47" s="15">
        <f>Domestic!Z48/Domestic!Z$96</f>
        <v>0</v>
      </c>
      <c r="X47" s="15">
        <f>Domestic!AA48/Domestic!AA$96</f>
        <v>5.3735582620038994E-8</v>
      </c>
      <c r="Y47" s="15">
        <f>Domestic!AB48/Domestic!AB$96</f>
        <v>5.8697113830020793E-7</v>
      </c>
      <c r="Z47" s="15">
        <f>Domestic!AC48/Domestic!AC$96</f>
        <v>2.5632986626079695E-7</v>
      </c>
      <c r="AA47" s="15">
        <f>Domestic!AD48/Domestic!AD$96</f>
        <v>2.2709060293169356E-9</v>
      </c>
      <c r="AB47" s="15">
        <f>Domestic!AE48/Domestic!AE$96</f>
        <v>1.3648278512604992E-8</v>
      </c>
      <c r="AC47" s="15">
        <f>Domestic!AF48/Domestic!AF$96</f>
        <v>3.4942628920567336E-8</v>
      </c>
      <c r="AD47" s="15">
        <f>Domestic!AG48/Domestic!AG$96</f>
        <v>1.1476594082890006E-8</v>
      </c>
      <c r="AE47" s="15">
        <f>Domestic!AH48/Domestic!AH$96</f>
        <v>1.4751041775525598E-8</v>
      </c>
      <c r="AF47" s="15">
        <f>Domestic!AI48/Domestic!AI$96</f>
        <v>6.140255904669944E-8</v>
      </c>
      <c r="AG47" s="15">
        <f>Domestic!AJ48/Domestic!AJ$96</f>
        <v>0</v>
      </c>
      <c r="AH47" s="15">
        <f>Domestic!AK48/Domestic!AK$96</f>
        <v>2.2056792406977447E-9</v>
      </c>
      <c r="AI47" s="15">
        <f>Domestic!AL48/Domestic!AL$96</f>
        <v>6.6682244675534437E-8</v>
      </c>
      <c r="AJ47" s="15">
        <f>Domestic!AM48/Domestic!AM$96</f>
        <v>1.7645298915607152E-7</v>
      </c>
      <c r="AK47" s="15">
        <f>Domestic!AN48/Domestic!AN$96</f>
        <v>6.9740664283663037E-8</v>
      </c>
      <c r="AL47" s="15">
        <f>Domestic!AO48/Domestic!AO$96</f>
        <v>4.32210424238303E-8</v>
      </c>
      <c r="AM47" s="15">
        <f>Domestic!AP48/Domestic!AP$96</f>
        <v>2.1165225335571536E-6</v>
      </c>
      <c r="AN47" s="15">
        <f>Domestic!AQ48/Domestic!AQ$96</f>
        <v>1.6746184159391309E-7</v>
      </c>
      <c r="AO47" s="15">
        <f>Domestic!AR48/Domestic!AR$96</f>
        <v>1.9323922979371107E-7</v>
      </c>
      <c r="AP47" s="15">
        <f>Domestic!AS48/Domestic!AS$96</f>
        <v>0</v>
      </c>
      <c r="AQ47" s="15">
        <f>Domestic!AT48/Domestic!AT$96</f>
        <v>3.0889182175953427E-6</v>
      </c>
      <c r="AR47" s="15">
        <f>Domestic!AU48/Domestic!AU$96</f>
        <v>1.2808732946303521E-8</v>
      </c>
      <c r="AS47" s="15">
        <f>Domestic!AV48/Domestic!AV$96</f>
        <v>0</v>
      </c>
      <c r="AT47" s="15">
        <f>Domestic!AW48/Domestic!AW$96</f>
        <v>6.492570692029476E-7</v>
      </c>
      <c r="AU47" s="15">
        <f>Domestic!AX48/Domestic!AX$96</f>
        <v>3.0578212907106475E-8</v>
      </c>
      <c r="AV47" s="15">
        <f>Domestic!AY48/Domestic!AY$96</f>
        <v>5.2399386397020663E-7</v>
      </c>
      <c r="AW47" s="15">
        <f>Domestic!AZ48/Domestic!AZ$96</f>
        <v>1.2749617500850291E-7</v>
      </c>
      <c r="AX47" s="15">
        <f>Domestic!BA48/Domestic!BA$96</f>
        <v>8.834864868201817E-8</v>
      </c>
      <c r="AY47" s="15">
        <f>Domestic!BB48/Domestic!BB$96</f>
        <v>6.7878254980741031E-8</v>
      </c>
      <c r="AZ47" s="15">
        <f>Domestic!BC48/Domestic!BC$96</f>
        <v>0</v>
      </c>
      <c r="BA47" s="15">
        <f>Domestic!BD48/Domestic!BD$96</f>
        <v>0</v>
      </c>
      <c r="BB47" s="15">
        <f>Domestic!BE48/Domestic!BE$96</f>
        <v>0</v>
      </c>
      <c r="BC47" s="15">
        <f>Domestic!BF48/Domestic!BF$96</f>
        <v>1.063309066685209E-7</v>
      </c>
      <c r="BD47" s="15">
        <f>Domestic!BG48/Domestic!BG$96</f>
        <v>0</v>
      </c>
      <c r="BE47" s="15">
        <f>Domestic!BH48/Domestic!BH$96</f>
        <v>4.5908327628059282E-7</v>
      </c>
      <c r="BF47" s="15">
        <f>Domestic!BI48/Domestic!BI$96</f>
        <v>8.0091557898838369E-7</v>
      </c>
      <c r="BG47" s="15">
        <f>Domestic!BJ48/Domestic!BJ$96</f>
        <v>2.815703158732865E-6</v>
      </c>
      <c r="BH47" s="15">
        <f>Domestic!BK48/Domestic!BK$96</f>
        <v>0</v>
      </c>
      <c r="BI47" s="15">
        <f>Domestic!BL48/Domestic!BL$96</f>
        <v>9.2686311438770868E-7</v>
      </c>
      <c r="BJ47" s="15">
        <f>Domestic!BM48/Domestic!BM$96</f>
        <v>6.1750282857228437E-7</v>
      </c>
      <c r="BK47" s="15">
        <f>Domestic!BN48/Domestic!BN$96</f>
        <v>8.2899371048940587E-7</v>
      </c>
      <c r="BL47" s="15">
        <f>Domestic!BO48/Domestic!BO$96</f>
        <v>0</v>
      </c>
      <c r="BM47" s="15">
        <f>Domestic!BP48/Domestic!BP$96</f>
        <v>2.3641547136982645E-7</v>
      </c>
      <c r="BN47" s="15">
        <f>Domestic!BQ48/Domestic!BQ$96</f>
        <v>4.6131082974344673E-7</v>
      </c>
      <c r="BO47" s="15">
        <f>Domestic!BR48/Domestic!BR$96</f>
        <v>1.5912001695722401E-7</v>
      </c>
      <c r="BP47" s="15">
        <f>Domestic!BS48/Domestic!BS$96</f>
        <v>0</v>
      </c>
      <c r="BQ47" s="15">
        <f>Domestic!BT48/Domestic!BT$96</f>
        <v>2.9456542115373266E-8</v>
      </c>
      <c r="BR47" s="15">
        <f>Domestic!BU48/Domestic!BU$96</f>
        <v>2.554453894721759E-7</v>
      </c>
      <c r="BS47" s="15">
        <f>Domestic!BV48/Domestic!BV$96</f>
        <v>7.8201961727490716E-8</v>
      </c>
      <c r="BT47" s="15">
        <f>Domestic!BW48/Domestic!BW$96</f>
        <v>2.0739380973561644E-6</v>
      </c>
      <c r="BU47" s="15">
        <f>Domestic!BX48/Domestic!BX$96</f>
        <v>5.9156017256658136E-8</v>
      </c>
      <c r="BV47" s="15">
        <f>Domestic!BY48/Domestic!BY$96</f>
        <v>3.2411491352411061E-8</v>
      </c>
      <c r="BW47" s="15">
        <f>Domestic!BZ48/Domestic!BZ$96</f>
        <v>2.5098116380091145E-7</v>
      </c>
      <c r="BX47" s="15">
        <f>Domestic!CA48/Domestic!CA$96</f>
        <v>3.1334862501481858E-8</v>
      </c>
      <c r="BY47" s="15">
        <f>Domestic!CB48/Domestic!CB$96</f>
        <v>1.20482049644484E-7</v>
      </c>
      <c r="BZ47" s="15">
        <f>Domestic!CC48/Domestic!CC$96</f>
        <v>0</v>
      </c>
      <c r="CA47" s="15">
        <f>Domestic!CD48/Domestic!CD$96</f>
        <v>2.2481903298759332E-6</v>
      </c>
    </row>
    <row r="48" spans="1:79" x14ac:dyDescent="0.3">
      <c r="A48" s="8" t="s">
        <v>136</v>
      </c>
      <c r="B48" s="15">
        <f>Domestic!E49/Domestic!E$96</f>
        <v>9.5922006381891728E-7</v>
      </c>
      <c r="C48" s="15">
        <f>Domestic!F49/Domestic!F$96</f>
        <v>2.1432614119022762E-4</v>
      </c>
      <c r="D48" s="15">
        <f>Domestic!G49/Domestic!G$96</f>
        <v>1.2071657776827308E-5</v>
      </c>
      <c r="E48" s="15">
        <f>Domestic!H49/Domestic!H$96</f>
        <v>0.11796694264162426</v>
      </c>
      <c r="F48" s="15">
        <f>Domestic!I49/Domestic!I$96</f>
        <v>6.6384708041978231E-5</v>
      </c>
      <c r="G48" s="15">
        <f>Domestic!J49/Domestic!J$96</f>
        <v>4.7138673760802074E-6</v>
      </c>
      <c r="H48" s="15">
        <f>Domestic!K49/Domestic!K$96</f>
        <v>7.0474472778915944E-6</v>
      </c>
      <c r="I48" s="15">
        <f>Domestic!L49/Domestic!L$96</f>
        <v>1.9457062272152399E-3</v>
      </c>
      <c r="J48" s="15">
        <f>Domestic!M49/Domestic!M$96</f>
        <v>1.1604505114864677E-5</v>
      </c>
      <c r="K48" s="15">
        <f>Domestic!N49/Domestic!N$96</f>
        <v>1.0825175713321218E-5</v>
      </c>
      <c r="L48" s="15">
        <f>Domestic!O49/Domestic!O$96</f>
        <v>3.2967701985096723E-4</v>
      </c>
      <c r="M48" s="15">
        <f>Domestic!P49/Domestic!P$96</f>
        <v>2.2426509697591921E-5</v>
      </c>
      <c r="N48" s="15">
        <f>Domestic!Q49/Domestic!Q$96</f>
        <v>3.3823891637075725E-4</v>
      </c>
      <c r="O48" s="15">
        <f>Domestic!R49/Domestic!R$96</f>
        <v>1.7432046633829225E-4</v>
      </c>
      <c r="P48" s="15">
        <f>Domestic!S49/Domestic!S$96</f>
        <v>3.6761400962310408E-5</v>
      </c>
      <c r="Q48" s="15">
        <f>Domestic!T49/Domestic!T$96</f>
        <v>7.204275496235744E-5</v>
      </c>
      <c r="R48" s="15">
        <f>Domestic!U49/Domestic!U$96</f>
        <v>1.0263689925934599E-4</v>
      </c>
      <c r="S48" s="15">
        <f>Domestic!V49/Domestic!V$96</f>
        <v>6.7366083704121791E-5</v>
      </c>
      <c r="T48" s="15">
        <f>Domestic!W49/Domestic!W$96</f>
        <v>1.6625326212730486E-4</v>
      </c>
      <c r="U48" s="15">
        <f>Domestic!X49/Domestic!X$96</f>
        <v>4.5212511306792693E-4</v>
      </c>
      <c r="V48" s="15">
        <f>Domestic!Y49/Domestic!Y$96</f>
        <v>4.0137167048122856E-4</v>
      </c>
      <c r="W48" s="15">
        <f>Domestic!Z49/Domestic!Z$96</f>
        <v>2.3235379292689416E-5</v>
      </c>
      <c r="X48" s="15">
        <f>Domestic!AA49/Domestic!AA$96</f>
        <v>8.2545915241772903E-5</v>
      </c>
      <c r="Y48" s="15">
        <f>Domestic!AB49/Domestic!AB$96</f>
        <v>1.1731426874336909E-4</v>
      </c>
      <c r="Z48" s="15">
        <f>Domestic!AC49/Domestic!AC$96</f>
        <v>8.0743907872151056E-5</v>
      </c>
      <c r="AA48" s="15">
        <f>Domestic!AD49/Domestic!AD$96</f>
        <v>1.5512218450359588E-4</v>
      </c>
      <c r="AB48" s="15">
        <f>Domestic!AE49/Domestic!AE$96</f>
        <v>2.4388108874173861E-4</v>
      </c>
      <c r="AC48" s="15">
        <f>Domestic!AF49/Domestic!AF$96</f>
        <v>4.1742298115038693E-4</v>
      </c>
      <c r="AD48" s="15">
        <f>Domestic!AG49/Domestic!AG$96</f>
        <v>8.4722825836731051E-5</v>
      </c>
      <c r="AE48" s="15">
        <f>Domestic!AH49/Domestic!AH$96</f>
        <v>1.125160296497841E-4</v>
      </c>
      <c r="AF48" s="15">
        <f>Domestic!AI49/Domestic!AI$96</f>
        <v>2.577738375237127E-4</v>
      </c>
      <c r="AG48" s="15">
        <f>Domestic!AJ49/Domestic!AJ$96</f>
        <v>2.4235423334137461E-4</v>
      </c>
      <c r="AH48" s="15">
        <f>Domestic!AK49/Domestic!AK$96</f>
        <v>6.9183335063725454E-5</v>
      </c>
      <c r="AI48" s="15">
        <f>Domestic!AL49/Domestic!AL$96</f>
        <v>2.2124978756220197E-3</v>
      </c>
      <c r="AJ48" s="15">
        <f>Domestic!AM49/Domestic!AM$96</f>
        <v>2.066756149483462E-3</v>
      </c>
      <c r="AK48" s="15">
        <f>Domestic!AN49/Domestic!AN$96</f>
        <v>0.18256619997434589</v>
      </c>
      <c r="AL48" s="15">
        <f>Domestic!AO49/Domestic!AO$96</f>
        <v>7.8462572774330622E-2</v>
      </c>
      <c r="AM48" s="15">
        <f>Domestic!AP49/Domestic!AP$96</f>
        <v>8.2213703288192067E-2</v>
      </c>
      <c r="AN48" s="15">
        <f>Domestic!AQ49/Domestic!AQ$96</f>
        <v>5.4004045764315001E-2</v>
      </c>
      <c r="AO48" s="15">
        <f>Domestic!AR49/Domestic!AR$96</f>
        <v>1.9304880007044983E-2</v>
      </c>
      <c r="AP48" s="15">
        <f>Domestic!AS49/Domestic!AS$96</f>
        <v>1.891236610637014E-3</v>
      </c>
      <c r="AQ48" s="15">
        <f>Domestic!AT49/Domestic!AT$96</f>
        <v>7.2597403372975128E-2</v>
      </c>
      <c r="AR48" s="15">
        <f>Domestic!AU49/Domestic!AU$96</f>
        <v>2.0096816601197246E-3</v>
      </c>
      <c r="AS48" s="15">
        <f>Domestic!AV49/Domestic!AV$96</f>
        <v>5.2083663008001008E-3</v>
      </c>
      <c r="AT48" s="15">
        <f>Domestic!AW49/Domestic!AW$96</f>
        <v>4.0775854406612695E-2</v>
      </c>
      <c r="AU48" s="15">
        <f>Domestic!AX49/Domestic!AX$96</f>
        <v>4.1539431996852399E-3</v>
      </c>
      <c r="AV48" s="15">
        <f>Domestic!AY49/Domestic!AY$96</f>
        <v>2.4727270440754049E-3</v>
      </c>
      <c r="AW48" s="15">
        <f>Domestic!AZ49/Domestic!AZ$96</f>
        <v>3.1161056808994849E-3</v>
      </c>
      <c r="AX48" s="15">
        <f>Domestic!BA49/Domestic!BA$96</f>
        <v>1.1452789938785209E-2</v>
      </c>
      <c r="AY48" s="15">
        <f>Domestic!BB49/Domestic!BB$96</f>
        <v>2.6310159035817329E-3</v>
      </c>
      <c r="AZ48" s="15">
        <f>Domestic!BC49/Domestic!BC$96</f>
        <v>1.3845000571926494E-3</v>
      </c>
      <c r="BA48" s="15">
        <f>Domestic!BD49/Domestic!BD$96</f>
        <v>6.6806878209774625E-3</v>
      </c>
      <c r="BB48" s="15">
        <f>Domestic!BE49/Domestic!BE$96</f>
        <v>2.5685335995953776E-5</v>
      </c>
      <c r="BC48" s="15">
        <f>Domestic!BF49/Domestic!BF$96</f>
        <v>3.7379566930251845E-5</v>
      </c>
      <c r="BD48" s="15">
        <f>Domestic!BG49/Domestic!BG$96</f>
        <v>2.0642746310969214E-5</v>
      </c>
      <c r="BE48" s="15">
        <f>Domestic!BH49/Domestic!BH$96</f>
        <v>3.9144063468690661E-3</v>
      </c>
      <c r="BF48" s="15">
        <f>Domestic!BI49/Domestic!BI$96</f>
        <v>1.6605664661023558E-3</v>
      </c>
      <c r="BG48" s="15">
        <f>Domestic!BJ49/Domestic!BJ$96</f>
        <v>3.3481822650298682E-3</v>
      </c>
      <c r="BH48" s="15">
        <f>Domestic!BK49/Domestic!BK$96</f>
        <v>1.7401368548799302E-4</v>
      </c>
      <c r="BI48" s="15">
        <f>Domestic!BL49/Domestic!BL$96</f>
        <v>1.3348860094155603E-3</v>
      </c>
      <c r="BJ48" s="15">
        <f>Domestic!BM49/Domestic!BM$96</f>
        <v>2.2229446901359811E-3</v>
      </c>
      <c r="BK48" s="15">
        <f>Domestic!BN49/Domestic!BN$96</f>
        <v>9.2763799089447231E-4</v>
      </c>
      <c r="BL48" s="15">
        <f>Domestic!BO49/Domestic!BO$96</f>
        <v>1.1261272713916657E-4</v>
      </c>
      <c r="BM48" s="15">
        <f>Domestic!BP49/Domestic!BP$96</f>
        <v>2.8316099021511679E-4</v>
      </c>
      <c r="BN48" s="15">
        <f>Domestic!BQ49/Domestic!BQ$96</f>
        <v>6.035577118173864E-5</v>
      </c>
      <c r="BO48" s="15">
        <f>Domestic!BR49/Domestic!BR$96</f>
        <v>1.5836801139763166E-4</v>
      </c>
      <c r="BP48" s="15">
        <f>Domestic!BS49/Domestic!BS$96</f>
        <v>6.3530819763785021E-4</v>
      </c>
      <c r="BQ48" s="15">
        <f>Domestic!BT49/Domestic!BT$96</f>
        <v>2.1037862378799586E-4</v>
      </c>
      <c r="BR48" s="15">
        <f>Domestic!BU49/Domestic!BU$96</f>
        <v>5.1963602698392862E-4</v>
      </c>
      <c r="BS48" s="15">
        <f>Domestic!BV49/Domestic!BV$96</f>
        <v>3.6421781654961526E-3</v>
      </c>
      <c r="BT48" s="15">
        <f>Domestic!BW49/Domestic!BW$96</f>
        <v>2.6762818578056943E-4</v>
      </c>
      <c r="BU48" s="15">
        <f>Domestic!BX49/Domestic!BX$96</f>
        <v>1.3163692740037852E-4</v>
      </c>
      <c r="BV48" s="15">
        <f>Domestic!BY49/Domestic!BY$96</f>
        <v>4.0752302668206814E-4</v>
      </c>
      <c r="BW48" s="15">
        <f>Domestic!BZ49/Domestic!BZ$96</f>
        <v>2.4050752677306568E-5</v>
      </c>
      <c r="BX48" s="15">
        <f>Domestic!CA49/Domestic!CA$96</f>
        <v>4.7534986414747982E-5</v>
      </c>
      <c r="BY48" s="15">
        <f>Domestic!CB49/Domestic!CB$96</f>
        <v>8.2542252211435978E-5</v>
      </c>
      <c r="BZ48" s="15">
        <f>Domestic!CC49/Domestic!CC$96</f>
        <v>0</v>
      </c>
      <c r="CA48" s="15">
        <f>Domestic!CD49/Domestic!CD$96</f>
        <v>1.4122356731090615E-3</v>
      </c>
    </row>
    <row r="49" spans="1:79" x14ac:dyDescent="0.3">
      <c r="A49" s="7" t="s">
        <v>137</v>
      </c>
      <c r="B49" s="15">
        <f>Domestic!E50/Domestic!E$96</f>
        <v>0</v>
      </c>
      <c r="C49" s="15">
        <f>Domestic!F50/Domestic!F$96</f>
        <v>0</v>
      </c>
      <c r="D49" s="15">
        <f>Domestic!G50/Domestic!G$96</f>
        <v>0</v>
      </c>
      <c r="E49" s="15">
        <f>Domestic!H50/Domestic!H$96</f>
        <v>0</v>
      </c>
      <c r="F49" s="15">
        <f>Domestic!I50/Domestic!I$96</f>
        <v>0</v>
      </c>
      <c r="G49" s="15">
        <f>Domestic!J50/Domestic!J$96</f>
        <v>0</v>
      </c>
      <c r="H49" s="15">
        <f>Domestic!K50/Domestic!K$96</f>
        <v>0</v>
      </c>
      <c r="I49" s="15">
        <f>Domestic!L50/Domestic!L$96</f>
        <v>0</v>
      </c>
      <c r="J49" s="15">
        <f>Domestic!M50/Domestic!M$96</f>
        <v>0</v>
      </c>
      <c r="K49" s="15">
        <f>Domestic!N50/Domestic!N$96</f>
        <v>9.5679474220622385E-10</v>
      </c>
      <c r="L49" s="15">
        <f>Domestic!O50/Domestic!O$96</f>
        <v>2.6690612102821009E-5</v>
      </c>
      <c r="M49" s="15">
        <f>Domestic!P50/Domestic!P$96</f>
        <v>0</v>
      </c>
      <c r="N49" s="15">
        <f>Domestic!Q50/Domestic!Q$96</f>
        <v>0</v>
      </c>
      <c r="O49" s="15">
        <f>Domestic!R50/Domestic!R$96</f>
        <v>0</v>
      </c>
      <c r="P49" s="15">
        <f>Domestic!S50/Domestic!S$96</f>
        <v>0</v>
      </c>
      <c r="Q49" s="15">
        <f>Domestic!T50/Domestic!T$96</f>
        <v>0</v>
      </c>
      <c r="R49" s="15">
        <f>Domestic!U50/Domestic!U$96</f>
        <v>0</v>
      </c>
      <c r="S49" s="15">
        <f>Domestic!V50/Domestic!V$96</f>
        <v>0</v>
      </c>
      <c r="T49" s="15">
        <f>Domestic!W50/Domestic!W$96</f>
        <v>0</v>
      </c>
      <c r="U49" s="15">
        <f>Domestic!X50/Domestic!X$96</f>
        <v>4.484067860268733E-7</v>
      </c>
      <c r="V49" s="15">
        <f>Domestic!Y50/Domestic!Y$96</f>
        <v>1.1771147241508487E-5</v>
      </c>
      <c r="W49" s="15">
        <f>Domestic!Z50/Domestic!Z$96</f>
        <v>0</v>
      </c>
      <c r="X49" s="15">
        <f>Domestic!AA50/Domestic!AA$96</f>
        <v>0</v>
      </c>
      <c r="Y49" s="15">
        <f>Domestic!AB50/Domestic!AB$96</f>
        <v>0</v>
      </c>
      <c r="Z49" s="15">
        <f>Domestic!AC50/Domestic!AC$96</f>
        <v>0</v>
      </c>
      <c r="AA49" s="15">
        <f>Domestic!AD50/Domestic!AD$96</f>
        <v>3.4063590439754033E-7</v>
      </c>
      <c r="AB49" s="15">
        <f>Domestic!AE50/Domestic!AE$96</f>
        <v>3.0416163542376841E-7</v>
      </c>
      <c r="AC49" s="15">
        <f>Domestic!AF50/Domestic!AF$96</f>
        <v>4.2430335117831768E-7</v>
      </c>
      <c r="AD49" s="15">
        <f>Domestic!AG50/Domestic!AG$96</f>
        <v>2.024053865527874E-7</v>
      </c>
      <c r="AE49" s="15">
        <f>Domestic!AH50/Domestic!AH$96</f>
        <v>2.0487558021563333E-7</v>
      </c>
      <c r="AF49" s="15">
        <f>Domestic!AI50/Domestic!AI$96</f>
        <v>2.6943442909691711E-7</v>
      </c>
      <c r="AG49" s="15">
        <f>Domestic!AJ50/Domestic!AJ$96</f>
        <v>2.0289178178432367E-7</v>
      </c>
      <c r="AH49" s="15">
        <f>Domestic!AK50/Domestic!AK$96</f>
        <v>1.0146124507209624E-7</v>
      </c>
      <c r="AI49" s="15">
        <f>Domestic!AL50/Domestic!AL$96</f>
        <v>5.1573360946720343E-5</v>
      </c>
      <c r="AJ49" s="15">
        <f>Domestic!AM50/Domestic!AM$96</f>
        <v>6.9690973032823564E-5</v>
      </c>
      <c r="AK49" s="15">
        <f>Domestic!AN50/Domestic!AN$96</f>
        <v>0</v>
      </c>
      <c r="AL49" s="15">
        <f>Domestic!AO50/Domestic!AO$96</f>
        <v>0</v>
      </c>
      <c r="AM49" s="15">
        <f>Domestic!AP50/Domestic!AP$96</f>
        <v>0</v>
      </c>
      <c r="AN49" s="15">
        <f>Domestic!AQ50/Domestic!AQ$96</f>
        <v>0</v>
      </c>
      <c r="AO49" s="15">
        <f>Domestic!AR50/Domestic!AR$96</f>
        <v>0</v>
      </c>
      <c r="AP49" s="15">
        <f>Domestic!AS50/Domestic!AS$96</f>
        <v>0</v>
      </c>
      <c r="AQ49" s="15">
        <f>Domestic!AT50/Domestic!AT$96</f>
        <v>0</v>
      </c>
      <c r="AR49" s="15">
        <f>Domestic!AU50/Domestic!AU$96</f>
        <v>0</v>
      </c>
      <c r="AS49" s="15">
        <f>Domestic!AV50/Domestic!AV$96</f>
        <v>1.9680020745257022E-2</v>
      </c>
      <c r="AT49" s="15">
        <f>Domestic!AW50/Domestic!AW$96</f>
        <v>0</v>
      </c>
      <c r="AU49" s="15">
        <f>Domestic!AX50/Domestic!AX$96</f>
        <v>0</v>
      </c>
      <c r="AV49" s="15">
        <f>Domestic!AY50/Domestic!AY$96</f>
        <v>0</v>
      </c>
      <c r="AW49" s="15">
        <f>Domestic!AZ50/Domestic!AZ$96</f>
        <v>5.6098317003741288E-6</v>
      </c>
      <c r="AX49" s="15">
        <f>Domestic!BA50/Domestic!BA$96</f>
        <v>3.6443817581332495E-7</v>
      </c>
      <c r="AY49" s="15">
        <f>Domestic!BB50/Domestic!BB$96</f>
        <v>0</v>
      </c>
      <c r="AZ49" s="15">
        <f>Domestic!BC50/Domestic!BC$96</f>
        <v>0</v>
      </c>
      <c r="BA49" s="15">
        <f>Domestic!BD50/Domestic!BD$96</f>
        <v>1.0531302495712868E-4</v>
      </c>
      <c r="BB49" s="15">
        <f>Domestic!BE50/Domestic!BE$96</f>
        <v>2.2005239344908951E-3</v>
      </c>
      <c r="BC49" s="15">
        <f>Domestic!BF50/Domestic!BF$96</f>
        <v>1.2695729493680059E-3</v>
      </c>
      <c r="BD49" s="15">
        <f>Domestic!BG50/Domestic!BG$96</f>
        <v>6.4936639170475236E-4</v>
      </c>
      <c r="BE49" s="15">
        <f>Domestic!BH50/Domestic!BH$96</f>
        <v>2.4734038230516259E-3</v>
      </c>
      <c r="BF49" s="15">
        <f>Domestic!BI50/Domestic!BI$96</f>
        <v>1.2362251132167698E-6</v>
      </c>
      <c r="BG49" s="15">
        <f>Domestic!BJ50/Domestic!BJ$96</f>
        <v>0</v>
      </c>
      <c r="BH49" s="15">
        <f>Domestic!BK50/Domestic!BK$96</f>
        <v>0</v>
      </c>
      <c r="BI49" s="15">
        <f>Domestic!BL50/Domestic!BL$96</f>
        <v>4.5279738186671727E-5</v>
      </c>
      <c r="BJ49" s="15">
        <f>Domestic!BM50/Domestic!BM$96</f>
        <v>1.1690451277288929E-5</v>
      </c>
      <c r="BK49" s="15">
        <f>Domestic!BN50/Domestic!BN$96</f>
        <v>3.1111646311308292E-5</v>
      </c>
      <c r="BL49" s="15">
        <f>Domestic!BO50/Domestic!BO$96</f>
        <v>6.923394478510761E-6</v>
      </c>
      <c r="BM49" s="15">
        <f>Domestic!BP50/Domestic!BP$96</f>
        <v>1.9742653813499761E-4</v>
      </c>
      <c r="BN49" s="15">
        <f>Domestic!BQ50/Domestic!BQ$96</f>
        <v>9.126359677454956E-5</v>
      </c>
      <c r="BO49" s="15">
        <f>Domestic!BR50/Domestic!BR$96</f>
        <v>8.3468257662232595E-5</v>
      </c>
      <c r="BP49" s="15">
        <f>Domestic!BS50/Domestic!BS$96</f>
        <v>5.6782444615277095E-6</v>
      </c>
      <c r="BQ49" s="15">
        <f>Domestic!BT50/Domestic!BT$96</f>
        <v>5.5378299176901735E-5</v>
      </c>
      <c r="BR49" s="15">
        <f>Domestic!BU50/Domestic!BU$96</f>
        <v>3.2141040475352009E-5</v>
      </c>
      <c r="BS49" s="15">
        <f>Domestic!BV50/Domestic!BV$96</f>
        <v>5.4248700850360312E-4</v>
      </c>
      <c r="BT49" s="15">
        <f>Domestic!BW50/Domestic!BW$96</f>
        <v>2.9375780200233211E-5</v>
      </c>
      <c r="BU49" s="15">
        <f>Domestic!BX50/Domestic!BX$96</f>
        <v>1.992078881117963E-5</v>
      </c>
      <c r="BV49" s="15">
        <f>Domestic!BY50/Domestic!BY$96</f>
        <v>4.6138711219314562E-7</v>
      </c>
      <c r="BW49" s="15">
        <f>Domestic!BZ50/Domestic!BZ$96</f>
        <v>2.9393755529760589E-6</v>
      </c>
      <c r="BX49" s="15">
        <f>Domestic!CA50/Domestic!CA$96</f>
        <v>1.2704048539886502E-5</v>
      </c>
      <c r="BY49" s="15">
        <f>Domestic!CB50/Domestic!CB$96</f>
        <v>4.4108478374845587E-5</v>
      </c>
      <c r="BZ49" s="15">
        <f>Domestic!CC50/Domestic!CC$96</f>
        <v>0</v>
      </c>
      <c r="CA49" s="15">
        <f>Domestic!CD50/Domestic!CD$96</f>
        <v>1.1666040334572896E-3</v>
      </c>
    </row>
    <row r="50" spans="1:79" x14ac:dyDescent="0.3">
      <c r="A50" s="8" t="s">
        <v>138</v>
      </c>
      <c r="B50" s="15">
        <f>Domestic!E51/Domestic!E$96</f>
        <v>7.7616279973133751E-8</v>
      </c>
      <c r="C50" s="15">
        <f>Domestic!F51/Domestic!F$96</f>
        <v>1.0091444797641426E-8</v>
      </c>
      <c r="D50" s="15">
        <f>Domestic!G51/Domestic!G$96</f>
        <v>0</v>
      </c>
      <c r="E50" s="15">
        <f>Domestic!H51/Domestic!H$96</f>
        <v>9.141366664787609E-7</v>
      </c>
      <c r="F50" s="15">
        <f>Domestic!I51/Domestic!I$96</f>
        <v>9.6209721799968462E-7</v>
      </c>
      <c r="G50" s="15">
        <f>Domestic!J51/Domestic!J$96</f>
        <v>4.4333477116252211E-4</v>
      </c>
      <c r="H50" s="15">
        <f>Domestic!K51/Domestic!K$96</f>
        <v>7.2622853409390299E-5</v>
      </c>
      <c r="I50" s="15">
        <f>Domestic!L51/Domestic!L$96</f>
        <v>1.430157666447725E-3</v>
      </c>
      <c r="J50" s="15">
        <f>Domestic!M51/Domestic!M$96</f>
        <v>1.0180544409939604E-4</v>
      </c>
      <c r="K50" s="15">
        <f>Domestic!N51/Domestic!N$96</f>
        <v>4.4380445719864593E-5</v>
      </c>
      <c r="L50" s="15">
        <f>Domestic!O51/Domestic!O$96</f>
        <v>2.3069559327328499E-4</v>
      </c>
      <c r="M50" s="15">
        <f>Domestic!P51/Domestic!P$96</f>
        <v>2.427706587454025E-5</v>
      </c>
      <c r="N50" s="15">
        <f>Domestic!Q51/Domestic!Q$96</f>
        <v>6.884306837212688E-5</v>
      </c>
      <c r="O50" s="15">
        <f>Domestic!R51/Domestic!R$96</f>
        <v>5.4359616464984921E-5</v>
      </c>
      <c r="P50" s="15">
        <f>Domestic!S51/Domestic!S$96</f>
        <v>2.6333352768650341E-5</v>
      </c>
      <c r="Q50" s="15">
        <f>Domestic!T51/Domestic!T$96</f>
        <v>6.7892465817786856E-4</v>
      </c>
      <c r="R50" s="15">
        <f>Domestic!U51/Domestic!U$96</f>
        <v>1.1088914124384561E-4</v>
      </c>
      <c r="S50" s="15">
        <f>Domestic!V51/Domestic!V$96</f>
        <v>4.7874434463211145E-5</v>
      </c>
      <c r="T50" s="15">
        <f>Domestic!W51/Domestic!W$96</f>
        <v>8.2596451140789255E-7</v>
      </c>
      <c r="U50" s="15">
        <f>Domestic!X51/Domestic!X$96</f>
        <v>8.7956715720655914E-7</v>
      </c>
      <c r="V50" s="15">
        <f>Domestic!Y51/Domestic!Y$96</f>
        <v>1.4670272526509095E-6</v>
      </c>
      <c r="W50" s="15">
        <f>Domestic!Z51/Domestic!Z$96</f>
        <v>1.3387437192712822E-5</v>
      </c>
      <c r="X50" s="15">
        <f>Domestic!AA51/Domestic!AA$96</f>
        <v>1.1658292886634928E-4</v>
      </c>
      <c r="Y50" s="15">
        <f>Domestic!AB51/Domestic!AB$96</f>
        <v>1.2171746090467376E-4</v>
      </c>
      <c r="Z50" s="15">
        <f>Domestic!AC51/Domestic!AC$96</f>
        <v>1.5842944861450416E-4</v>
      </c>
      <c r="AA50" s="15">
        <f>Domestic!AD51/Domestic!AD$96</f>
        <v>4.0195036718909759E-7</v>
      </c>
      <c r="AB50" s="15">
        <f>Domestic!AE51/Domestic!AE$96</f>
        <v>5.0108679681992611E-7</v>
      </c>
      <c r="AC50" s="15">
        <f>Domestic!AF51/Domestic!AF$96</f>
        <v>7.4211488088443013E-7</v>
      </c>
      <c r="AD50" s="15">
        <f>Domestic!AG51/Domestic!AG$96</f>
        <v>2.7961156492859291E-7</v>
      </c>
      <c r="AE50" s="15">
        <f>Domestic!AH51/Domestic!AH$96</f>
        <v>4.1302916971471681E-7</v>
      </c>
      <c r="AF50" s="15">
        <f>Domestic!AI51/Domestic!AI$96</f>
        <v>7.316728936004705E-7</v>
      </c>
      <c r="AG50" s="15">
        <f>Domestic!AJ51/Domestic!AJ$96</f>
        <v>7.1012123624513286E-7</v>
      </c>
      <c r="AH50" s="15">
        <f>Domestic!AK51/Domestic!AK$96</f>
        <v>7.4331390411513992E-7</v>
      </c>
      <c r="AI50" s="15">
        <f>Domestic!AL51/Domestic!AL$96</f>
        <v>5.3010656997757775E-5</v>
      </c>
      <c r="AJ50" s="15">
        <f>Domestic!AM51/Domestic!AM$96</f>
        <v>5.9226964789615276E-5</v>
      </c>
      <c r="AK50" s="15">
        <f>Domestic!AN51/Domestic!AN$96</f>
        <v>3.072398812267669E-3</v>
      </c>
      <c r="AL50" s="15">
        <f>Domestic!AO51/Domestic!AO$96</f>
        <v>5.7890264222478307E-4</v>
      </c>
      <c r="AM50" s="15">
        <f>Domestic!AP51/Domestic!AP$96</f>
        <v>1.514869878062157E-4</v>
      </c>
      <c r="AN50" s="15">
        <f>Domestic!AQ51/Domestic!AQ$96</f>
        <v>1.0505065611337204E-4</v>
      </c>
      <c r="AO50" s="15">
        <f>Domestic!AR51/Domestic!AR$96</f>
        <v>6.4951679557541487E-5</v>
      </c>
      <c r="AP50" s="15">
        <f>Domestic!AS51/Domestic!AS$96</f>
        <v>4.2998819153836354E-3</v>
      </c>
      <c r="AQ50" s="15">
        <f>Domestic!AT51/Domestic!AT$96</f>
        <v>2.7182480314839018E-4</v>
      </c>
      <c r="AR50" s="15">
        <f>Domestic!AU51/Domestic!AU$96</f>
        <v>2.6064490672433031E-4</v>
      </c>
      <c r="AS50" s="15">
        <f>Domestic!AV51/Domestic!AV$96</f>
        <v>3.4834063467010243E-4</v>
      </c>
      <c r="AT50" s="15">
        <f>Domestic!AW51/Domestic!AW$96</f>
        <v>0.11617877414595157</v>
      </c>
      <c r="AU50" s="15">
        <f>Domestic!AX51/Domestic!AX$96</f>
        <v>1.1212419108777804E-3</v>
      </c>
      <c r="AV50" s="15">
        <f>Domestic!AY51/Domestic!AY$96</f>
        <v>1.030356875576239E-3</v>
      </c>
      <c r="AW50" s="15">
        <f>Domestic!AZ51/Domestic!AZ$96</f>
        <v>5.9360802459792203E-4</v>
      </c>
      <c r="AX50" s="15">
        <f>Domestic!BA51/Domestic!BA$96</f>
        <v>2.7725904236823497E-3</v>
      </c>
      <c r="AY50" s="15">
        <f>Domestic!BB51/Domestic!BB$96</f>
        <v>1.4769782774738428E-3</v>
      </c>
      <c r="AZ50" s="15">
        <f>Domestic!BC51/Domestic!BC$96</f>
        <v>7.7865138322704753E-4</v>
      </c>
      <c r="BA50" s="15">
        <f>Domestic!BD51/Domestic!BD$96</f>
        <v>2.9600849913845708E-3</v>
      </c>
      <c r="BB50" s="15">
        <f>Domestic!BE51/Domestic!BE$96</f>
        <v>3.0838630392975908E-4</v>
      </c>
      <c r="BC50" s="15">
        <f>Domestic!BF51/Domestic!BF$96</f>
        <v>4.6016592550941118E-3</v>
      </c>
      <c r="BD50" s="15">
        <f>Domestic!BG51/Domestic!BG$96</f>
        <v>2.9363373169833183E-3</v>
      </c>
      <c r="BE50" s="15">
        <f>Domestic!BH51/Domestic!BH$96</f>
        <v>2.0833398679037771E-3</v>
      </c>
      <c r="BF50" s="15">
        <f>Domestic!BI51/Domestic!BI$96</f>
        <v>4.3690866718677047E-4</v>
      </c>
      <c r="BG50" s="15">
        <f>Domestic!BJ51/Domestic!BJ$96</f>
        <v>7.6081781297992915E-4</v>
      </c>
      <c r="BH50" s="15">
        <f>Domestic!BK51/Domestic!BK$96</f>
        <v>2.4993455976828807E-5</v>
      </c>
      <c r="BI50" s="15">
        <f>Domestic!BL51/Domestic!BL$96</f>
        <v>7.7648256120620368E-4</v>
      </c>
      <c r="BJ50" s="15">
        <f>Domestic!BM51/Domestic!BM$96</f>
        <v>3.0482185083159126E-4</v>
      </c>
      <c r="BK50" s="15">
        <f>Domestic!BN51/Domestic!BN$96</f>
        <v>7.1850865317269114E-4</v>
      </c>
      <c r="BL50" s="15">
        <f>Domestic!BO51/Domestic!BO$96</f>
        <v>1.7343689897015096E-4</v>
      </c>
      <c r="BM50" s="15">
        <f>Domestic!BP51/Domestic!BP$96</f>
        <v>1.4717108337036603E-4</v>
      </c>
      <c r="BN50" s="15">
        <f>Domestic!BQ51/Domestic!BQ$96</f>
        <v>6.3582134119029686E-5</v>
      </c>
      <c r="BO50" s="15">
        <f>Domestic!BR51/Domestic!BR$96</f>
        <v>6.6529604898197137E-5</v>
      </c>
      <c r="BP50" s="15">
        <f>Domestic!BS51/Domestic!BS$96</f>
        <v>1.0723146271577328E-4</v>
      </c>
      <c r="BQ50" s="15">
        <f>Domestic!BT51/Domestic!BT$96</f>
        <v>9.3112129626694889E-5</v>
      </c>
      <c r="BR50" s="15">
        <f>Domestic!BU51/Domestic!BU$96</f>
        <v>8.7948344975332093E-5</v>
      </c>
      <c r="BS50" s="15">
        <f>Domestic!BV51/Domestic!BV$96</f>
        <v>2.5439098149952733E-4</v>
      </c>
      <c r="BT50" s="15">
        <f>Domestic!BW51/Domestic!BW$96</f>
        <v>4.6782833583550122E-4</v>
      </c>
      <c r="BU50" s="15">
        <f>Domestic!BX51/Domestic!BX$96</f>
        <v>4.9186749448479827E-4</v>
      </c>
      <c r="BV50" s="15">
        <f>Domestic!BY51/Domestic!BY$96</f>
        <v>1.2979849007483205E-5</v>
      </c>
      <c r="BW50" s="15">
        <f>Domestic!BZ51/Domestic!BZ$96</f>
        <v>7.7258759403099796E-5</v>
      </c>
      <c r="BX50" s="15">
        <f>Domestic!CA51/Domestic!CA$96</f>
        <v>3.1262792317728451E-4</v>
      </c>
      <c r="BY50" s="15">
        <f>Domestic!CB51/Domestic!CB$96</f>
        <v>1.0509890154587627E-3</v>
      </c>
      <c r="BZ50" s="15">
        <f>Domestic!CC51/Domestic!CC$96</f>
        <v>0</v>
      </c>
      <c r="CA50" s="15">
        <f>Domestic!CD51/Domestic!CD$96</f>
        <v>3.2176075497747521E-4</v>
      </c>
    </row>
    <row r="51" spans="1:79" x14ac:dyDescent="0.3">
      <c r="A51" s="7" t="s">
        <v>139</v>
      </c>
      <c r="B51" s="15">
        <f>Domestic!E52/Domestic!E$96</f>
        <v>4.3933743381019106E-7</v>
      </c>
      <c r="C51" s="15">
        <f>Domestic!F52/Domestic!F$96</f>
        <v>1.0616199927118779E-6</v>
      </c>
      <c r="D51" s="15">
        <f>Domestic!G52/Domestic!G$96</f>
        <v>2.4282070240744588E-7</v>
      </c>
      <c r="E51" s="15">
        <f>Domestic!H52/Domestic!H$96</f>
        <v>2.4607688455259211E-4</v>
      </c>
      <c r="F51" s="15">
        <f>Domestic!I52/Domestic!I$96</f>
        <v>9.1303025988170058E-4</v>
      </c>
      <c r="G51" s="15">
        <f>Domestic!J52/Domestic!J$96</f>
        <v>3.6885250825035363E-7</v>
      </c>
      <c r="H51" s="15">
        <f>Domestic!K52/Domestic!K$96</f>
        <v>1.3250718502307615E-4</v>
      </c>
      <c r="I51" s="15">
        <f>Domestic!L52/Domestic!L$96</f>
        <v>3.9053269364815076E-3</v>
      </c>
      <c r="J51" s="15">
        <f>Domestic!M52/Domestic!M$96</f>
        <v>1.7490336201933292E-6</v>
      </c>
      <c r="K51" s="15">
        <f>Domestic!N52/Domestic!N$96</f>
        <v>2.4461414379244319E-5</v>
      </c>
      <c r="L51" s="15">
        <f>Domestic!O52/Domestic!O$96</f>
        <v>5.4931796527606107E-5</v>
      </c>
      <c r="M51" s="15">
        <f>Domestic!P52/Domestic!P$96</f>
        <v>1.5329101778519341E-4</v>
      </c>
      <c r="N51" s="15">
        <f>Domestic!Q52/Domestic!Q$96</f>
        <v>1.3386850153384814E-3</v>
      </c>
      <c r="O51" s="15">
        <f>Domestic!R52/Domestic!R$96</f>
        <v>1.7297569491321917E-3</v>
      </c>
      <c r="P51" s="15">
        <f>Domestic!S52/Domestic!S$96</f>
        <v>1.6248923949449318E-3</v>
      </c>
      <c r="Q51" s="15">
        <f>Domestic!T52/Domestic!T$96</f>
        <v>1.8362013573837053E-3</v>
      </c>
      <c r="R51" s="15">
        <f>Domestic!U52/Domestic!U$96</f>
        <v>1.2924937047532699E-3</v>
      </c>
      <c r="S51" s="15">
        <f>Domestic!V52/Domestic!V$96</f>
        <v>8.0117563371957508E-4</v>
      </c>
      <c r="T51" s="15">
        <f>Domestic!W52/Domestic!W$96</f>
        <v>9.5974843889079801E-4</v>
      </c>
      <c r="U51" s="15">
        <f>Domestic!X52/Domestic!X$96</f>
        <v>1.5847903067229005E-3</v>
      </c>
      <c r="V51" s="15">
        <f>Domestic!Y52/Domestic!Y$96</f>
        <v>9.9833533157581145E-4</v>
      </c>
      <c r="W51" s="15">
        <f>Domestic!Z52/Domestic!Z$96</f>
        <v>4.4635464833589679E-5</v>
      </c>
      <c r="X51" s="15">
        <f>Domestic!AA52/Domestic!AA$96</f>
        <v>8.4743790130236871E-4</v>
      </c>
      <c r="Y51" s="15">
        <f>Domestic!AB52/Domestic!AB$96</f>
        <v>8.0387423775914353E-4</v>
      </c>
      <c r="Z51" s="15">
        <f>Domestic!AC52/Domestic!AC$96</f>
        <v>9.3628504512403333E-4</v>
      </c>
      <c r="AA51" s="15">
        <f>Domestic!AD52/Domestic!AD$96</f>
        <v>1.6595554171645234E-4</v>
      </c>
      <c r="AB51" s="15">
        <f>Domestic!AE52/Domestic!AE$96</f>
        <v>5.3256557633221289E-4</v>
      </c>
      <c r="AC51" s="15">
        <f>Domestic!AF52/Domestic!AF$96</f>
        <v>2.0045920637845279E-4</v>
      </c>
      <c r="AD51" s="15">
        <f>Domestic!AG52/Domestic!AG$96</f>
        <v>8.1870370543765485E-5</v>
      </c>
      <c r="AE51" s="15">
        <f>Domestic!AH52/Domestic!AH$96</f>
        <v>2.0471823577002772E-4</v>
      </c>
      <c r="AF51" s="15">
        <f>Domestic!AI52/Domestic!AI$96</f>
        <v>1.7309798932666089E-4</v>
      </c>
      <c r="AG51" s="15">
        <f>Domestic!AJ52/Domestic!AJ$96</f>
        <v>1.7246888371927069E-3</v>
      </c>
      <c r="AH51" s="15">
        <f>Domestic!AK52/Domestic!AK$96</f>
        <v>3.1134265322069015E-4</v>
      </c>
      <c r="AI51" s="15">
        <f>Domestic!AL52/Domestic!AL$96</f>
        <v>8.0443556250304853E-3</v>
      </c>
      <c r="AJ51" s="15">
        <f>Domestic!AM52/Domestic!AM$96</f>
        <v>7.5502739399268982E-3</v>
      </c>
      <c r="AK51" s="15">
        <f>Domestic!AN52/Domestic!AN$96</f>
        <v>5.8843685489340696E-7</v>
      </c>
      <c r="AL51" s="15">
        <f>Domestic!AO52/Domestic!AO$96</f>
        <v>2.7373326868425857E-7</v>
      </c>
      <c r="AM51" s="15">
        <f>Domestic!AP52/Domestic!AP$96</f>
        <v>9.0263460989937442E-7</v>
      </c>
      <c r="AN51" s="15">
        <f>Domestic!AQ52/Domestic!AQ$96</f>
        <v>1.3740684791837395E-5</v>
      </c>
      <c r="AO51" s="15">
        <f>Domestic!AR52/Domestic!AR$96</f>
        <v>9.6071418500277622E-7</v>
      </c>
      <c r="AP51" s="15">
        <f>Domestic!AS52/Domestic!AS$96</f>
        <v>6.5587560956403995E-7</v>
      </c>
      <c r="AQ51" s="15">
        <f>Domestic!AT52/Domestic!AT$96</f>
        <v>3.912629742287434E-6</v>
      </c>
      <c r="AR51" s="15">
        <f>Domestic!AU52/Domestic!AU$96</f>
        <v>2.3553295882533742E-3</v>
      </c>
      <c r="AS51" s="15">
        <f>Domestic!AV52/Domestic!AV$96</f>
        <v>4.0837120125451631E-7</v>
      </c>
      <c r="AT51" s="15">
        <f>Domestic!AW52/Domestic!AW$96</f>
        <v>2.3784450635134644E-5</v>
      </c>
      <c r="AU51" s="15">
        <f>Domestic!AX52/Domestic!AX$96</f>
        <v>6.3365243023557789E-3</v>
      </c>
      <c r="AV51" s="15">
        <f>Domestic!AY52/Domestic!AY$96</f>
        <v>1.7834593507753012E-3</v>
      </c>
      <c r="AW51" s="15">
        <f>Domestic!AZ52/Domestic!AZ$96</f>
        <v>3.1682799489612978E-4</v>
      </c>
      <c r="AX51" s="15">
        <f>Domestic!BA52/Domestic!BA$96</f>
        <v>2.1004891224149819E-5</v>
      </c>
      <c r="AY51" s="15">
        <f>Domestic!BB52/Domestic!BB$96</f>
        <v>2.6387124218480974E-5</v>
      </c>
      <c r="AZ51" s="15">
        <f>Domestic!BC52/Domestic!BC$96</f>
        <v>6.8883554207311741E-5</v>
      </c>
      <c r="BA51" s="15">
        <f>Domestic!BD52/Domestic!BD$96</f>
        <v>1.7151958462073074E-6</v>
      </c>
      <c r="BB51" s="15">
        <f>Domestic!BE52/Domestic!BE$96</f>
        <v>2.0863540068915517E-7</v>
      </c>
      <c r="BC51" s="15">
        <f>Domestic!BF52/Domestic!BF$96</f>
        <v>2.3829202774223544E-3</v>
      </c>
      <c r="BD51" s="15">
        <f>Domestic!BG52/Domestic!BG$96</f>
        <v>9.3345752052186367E-7</v>
      </c>
      <c r="BE51" s="15">
        <f>Domestic!BH52/Domestic!BH$96</f>
        <v>5.8169557988348398E-7</v>
      </c>
      <c r="BF51" s="15">
        <f>Domestic!BI52/Domestic!BI$96</f>
        <v>1.519122346473374E-4</v>
      </c>
      <c r="BG51" s="15">
        <f>Domestic!BJ52/Domestic!BJ$96</f>
        <v>1.6758176031359464E-3</v>
      </c>
      <c r="BH51" s="15">
        <f>Domestic!BK52/Domestic!BK$96</f>
        <v>5.2228118574478131E-6</v>
      </c>
      <c r="BI51" s="15">
        <f>Domestic!BL52/Domestic!BL$96</f>
        <v>2.1781095425785955E-3</v>
      </c>
      <c r="BJ51" s="15">
        <f>Domestic!BM52/Domestic!BM$96</f>
        <v>6.4052819919526002E-4</v>
      </c>
      <c r="BK51" s="15">
        <f>Domestic!BN52/Domestic!BN$96</f>
        <v>3.1539389152491306E-3</v>
      </c>
      <c r="BL51" s="15">
        <f>Domestic!BO52/Domestic!BO$96</f>
        <v>3.5215435305103044E-4</v>
      </c>
      <c r="BM51" s="15">
        <f>Domestic!BP52/Domestic!BP$96</f>
        <v>3.7592414292745511E-4</v>
      </c>
      <c r="BN51" s="15">
        <f>Domestic!BQ52/Domestic!BQ$96</f>
        <v>1.0116208951764218E-4</v>
      </c>
      <c r="BO51" s="15">
        <f>Domestic!BR52/Domestic!BR$96</f>
        <v>1.8083662968249557E-3</v>
      </c>
      <c r="BP51" s="15">
        <f>Domestic!BS52/Domestic!BS$96</f>
        <v>1.7995667062687816E-4</v>
      </c>
      <c r="BQ51" s="15">
        <f>Domestic!BT52/Domestic!BT$96</f>
        <v>1.8707849897473561E-4</v>
      </c>
      <c r="BR51" s="15">
        <f>Domestic!BU52/Domestic!BU$96</f>
        <v>5.9123586703304146E-4</v>
      </c>
      <c r="BS51" s="15">
        <f>Domestic!BV52/Domestic!BV$96</f>
        <v>2.4868223829342049E-4</v>
      </c>
      <c r="BT51" s="15">
        <f>Domestic!BW52/Domestic!BW$96</f>
        <v>1.2162093992177044E-4</v>
      </c>
      <c r="BU51" s="15">
        <f>Domestic!BX52/Domestic!BX$96</f>
        <v>8.6799131153884025E-5</v>
      </c>
      <c r="BV51" s="15">
        <f>Domestic!BY52/Domestic!BY$96</f>
        <v>6.7023722967650824E-4</v>
      </c>
      <c r="BW51" s="15">
        <f>Domestic!BZ52/Domestic!BZ$96</f>
        <v>1.0698796091140198E-3</v>
      </c>
      <c r="BX51" s="15">
        <f>Domestic!CA52/Domestic!CA$96</f>
        <v>4.1106863193015415E-4</v>
      </c>
      <c r="BY51" s="15">
        <f>Domestic!CB52/Domestic!CB$96</f>
        <v>8.3453096506748284E-4</v>
      </c>
      <c r="BZ51" s="15">
        <f>Domestic!CC52/Domestic!CC$96</f>
        <v>0</v>
      </c>
      <c r="CA51" s="15">
        <f>Domestic!CD52/Domestic!CD$96</f>
        <v>3.3607995087961418E-5</v>
      </c>
    </row>
    <row r="52" spans="1:79" x14ac:dyDescent="0.3">
      <c r="A52" s="8" t="s">
        <v>140</v>
      </c>
      <c r="B52" s="15">
        <f>Domestic!E53/Domestic!E$96</f>
        <v>1.3092255527543693E-6</v>
      </c>
      <c r="C52" s="15">
        <f>Domestic!F53/Domestic!F$96</f>
        <v>3.257518380678652E-6</v>
      </c>
      <c r="D52" s="15">
        <f>Domestic!G53/Domestic!G$96</f>
        <v>8.3252812253981444E-7</v>
      </c>
      <c r="E52" s="15">
        <f>Domestic!H53/Domestic!H$96</f>
        <v>1.9153339678602608E-6</v>
      </c>
      <c r="F52" s="15">
        <f>Domestic!I53/Domestic!I$96</f>
        <v>1.7317749923994319E-6</v>
      </c>
      <c r="G52" s="15">
        <f>Domestic!J53/Domestic!J$96</f>
        <v>8.741917244465567E-7</v>
      </c>
      <c r="H52" s="15">
        <f>Domestic!K53/Domestic!K$96</f>
        <v>1.1785266813970803E-6</v>
      </c>
      <c r="I52" s="15">
        <f>Domestic!L53/Domestic!L$96</f>
        <v>1.4842986022477761E-6</v>
      </c>
      <c r="J52" s="15">
        <f>Domestic!M53/Domestic!M$96</f>
        <v>1.0573023749109638E-6</v>
      </c>
      <c r="K52" s="15">
        <f>Domestic!N53/Domestic!N$96</f>
        <v>3.3540439688039179E-6</v>
      </c>
      <c r="L52" s="15">
        <f>Domestic!O53/Domestic!O$96</f>
        <v>5.5510841129111419E-5</v>
      </c>
      <c r="M52" s="15">
        <f>Domestic!P53/Domestic!P$96</f>
        <v>1.7619657216688897E-6</v>
      </c>
      <c r="N52" s="15">
        <f>Domestic!Q53/Domestic!Q$96</f>
        <v>3.8610468945098376E-6</v>
      </c>
      <c r="O52" s="15">
        <f>Domestic!R53/Domestic!R$96</f>
        <v>1.6761168995623917E-6</v>
      </c>
      <c r="P52" s="15">
        <f>Domestic!S53/Domestic!S$96</f>
        <v>3.9899939739043057E-5</v>
      </c>
      <c r="Q52" s="15">
        <f>Domestic!T53/Domestic!T$96</f>
        <v>1.1238161834609813E-4</v>
      </c>
      <c r="R52" s="15">
        <f>Domestic!U53/Domestic!U$96</f>
        <v>1.5020695106237697E-4</v>
      </c>
      <c r="S52" s="15">
        <f>Domestic!V53/Domestic!V$96</f>
        <v>6.1798736874653411E-5</v>
      </c>
      <c r="T52" s="15">
        <f>Domestic!W53/Domestic!W$96</f>
        <v>1.465194073142082E-4</v>
      </c>
      <c r="U52" s="15">
        <f>Domestic!X53/Domestic!X$96</f>
        <v>4.1640778791940175E-4</v>
      </c>
      <c r="V52" s="15">
        <f>Domestic!Y53/Domestic!Y$96</f>
        <v>4.4578999563093662E-4</v>
      </c>
      <c r="W52" s="15">
        <f>Domestic!Z53/Domestic!Z$96</f>
        <v>5.3369621794121708E-5</v>
      </c>
      <c r="X52" s="15">
        <f>Domestic!AA53/Domestic!AA$96</f>
        <v>2.4328605912613923E-4</v>
      </c>
      <c r="Y52" s="15">
        <f>Domestic!AB53/Domestic!AB$96</f>
        <v>2.1210374721048099E-4</v>
      </c>
      <c r="Z52" s="15">
        <f>Domestic!AC53/Domestic!AC$96</f>
        <v>2.3870341839851044E-4</v>
      </c>
      <c r="AA52" s="15">
        <f>Domestic!AD53/Domestic!AD$96</f>
        <v>4.7060099190836328E-4</v>
      </c>
      <c r="AB52" s="15">
        <f>Domestic!AE53/Domestic!AE$96</f>
        <v>3.1357309833524618E-4</v>
      </c>
      <c r="AC52" s="15">
        <f>Domestic!AF53/Domestic!AF$96</f>
        <v>2.7345768606293894E-4</v>
      </c>
      <c r="AD52" s="15">
        <f>Domestic!AG53/Domestic!AG$96</f>
        <v>1.0339889605316492E-4</v>
      </c>
      <c r="AE52" s="15">
        <f>Domestic!AH53/Domestic!AH$96</f>
        <v>1.6885845321372499E-4</v>
      </c>
      <c r="AF52" s="15">
        <f>Domestic!AI53/Domestic!AI$96</f>
        <v>5.0741552012728054E-4</v>
      </c>
      <c r="AG52" s="15">
        <f>Domestic!AJ53/Domestic!AJ$96</f>
        <v>1.1254696980978984E-4</v>
      </c>
      <c r="AH52" s="15">
        <f>Domestic!AK53/Domestic!AK$96</f>
        <v>5.4008261887724975E-5</v>
      </c>
      <c r="AI52" s="15">
        <f>Domestic!AL53/Domestic!AL$96</f>
        <v>3.3499915911098182E-4</v>
      </c>
      <c r="AJ52" s="15">
        <f>Domestic!AM53/Domestic!AM$96</f>
        <v>3.3196585230686282E-4</v>
      </c>
      <c r="AK52" s="15">
        <f>Domestic!AN53/Domestic!AN$96</f>
        <v>2.0835023454744333E-6</v>
      </c>
      <c r="AL52" s="15">
        <f>Domestic!AO53/Domestic!AO$96</f>
        <v>1.1237471030195879E-6</v>
      </c>
      <c r="AM52" s="15">
        <f>Domestic!AP53/Domestic!AP$96</f>
        <v>1.3383892491611411E-6</v>
      </c>
      <c r="AN52" s="15">
        <f>Domestic!AQ53/Domestic!AQ$96</f>
        <v>7.8282401548924922E-7</v>
      </c>
      <c r="AO52" s="15">
        <f>Domestic!AR53/Domestic!AR$96</f>
        <v>1.0717239553098019E-6</v>
      </c>
      <c r="AP52" s="15">
        <f>Domestic!AS53/Domestic!AS$96</f>
        <v>2.777826111094757E-6</v>
      </c>
      <c r="AQ52" s="15">
        <f>Domestic!AT53/Domestic!AT$96</f>
        <v>1.2355672870381371E-6</v>
      </c>
      <c r="AR52" s="15">
        <f>Domestic!AU53/Domestic!AU$96</f>
        <v>2.3098415079834017E-6</v>
      </c>
      <c r="AS52" s="15">
        <f>Domestic!AV53/Domestic!AV$96</f>
        <v>4.2878976131724218E-6</v>
      </c>
      <c r="AT52" s="15">
        <f>Domestic!AW53/Domestic!AW$96</f>
        <v>1.8828455006885479E-6</v>
      </c>
      <c r="AU52" s="15">
        <f>Domestic!AX53/Domestic!AX$96</f>
        <v>3.0883995036177542E-6</v>
      </c>
      <c r="AV52" s="15">
        <f>Domestic!AY53/Domestic!AY$96</f>
        <v>4.2573977453715314E-2</v>
      </c>
      <c r="AW52" s="15">
        <f>Domestic!AZ53/Domestic!AZ$96</f>
        <v>3.7400294626660952E-4</v>
      </c>
      <c r="AX52" s="15">
        <f>Domestic!BA53/Domestic!BA$96</f>
        <v>9.0888672331626189E-6</v>
      </c>
      <c r="AY52" s="15">
        <f>Domestic!BB53/Domestic!BB$96</f>
        <v>2.3122399116020173E-6</v>
      </c>
      <c r="AZ52" s="15">
        <f>Domestic!BC53/Domestic!BC$96</f>
        <v>9.6496358264553069E-7</v>
      </c>
      <c r="BA52" s="15">
        <f>Domestic!BD53/Domestic!BD$96</f>
        <v>7.9928126433260533E-5</v>
      </c>
      <c r="BB52" s="15">
        <f>Domestic!BE53/Domestic!BE$96</f>
        <v>1.3259938799355196E-5</v>
      </c>
      <c r="BC52" s="15">
        <f>Domestic!BF53/Domestic!BF$96</f>
        <v>3.2956094881934705E-4</v>
      </c>
      <c r="BD52" s="15">
        <f>Domestic!BG53/Domestic!BG$96</f>
        <v>1.5570071442304686E-4</v>
      </c>
      <c r="BE52" s="15">
        <f>Domestic!BH53/Domestic!BH$96</f>
        <v>3.048198896546296E-5</v>
      </c>
      <c r="BF52" s="15">
        <f>Domestic!BI53/Domestic!BI$96</f>
        <v>8.1107879745280684E-6</v>
      </c>
      <c r="BG52" s="15">
        <f>Domestic!BJ53/Domestic!BJ$96</f>
        <v>3.7493310482074466E-6</v>
      </c>
      <c r="BH52" s="15">
        <f>Domestic!BK53/Domestic!BK$96</f>
        <v>1.4007541380128235E-7</v>
      </c>
      <c r="BI52" s="15">
        <f>Domestic!BL53/Domestic!BL$96</f>
        <v>3.0944596736854312E-4</v>
      </c>
      <c r="BJ52" s="15">
        <f>Domestic!BM53/Domestic!BM$96</f>
        <v>1.018346369246866E-3</v>
      </c>
      <c r="BK52" s="15">
        <f>Domestic!BN53/Domestic!BN$96</f>
        <v>1.0051394485152082E-3</v>
      </c>
      <c r="BL52" s="15">
        <f>Domestic!BO53/Domestic!BO$96</f>
        <v>6.7239068409943506E-5</v>
      </c>
      <c r="BM52" s="15">
        <f>Domestic!BP53/Domestic!BP$96</f>
        <v>1.7039924677442237E-3</v>
      </c>
      <c r="BN52" s="15">
        <f>Domestic!BQ53/Domestic!BQ$96</f>
        <v>2.1620288412037072E-4</v>
      </c>
      <c r="BO52" s="15">
        <f>Domestic!BR53/Domestic!BR$96</f>
        <v>1.6613001660838062E-4</v>
      </c>
      <c r="BP52" s="15">
        <f>Domestic!BS53/Domestic!BS$96</f>
        <v>2.5661297085750228E-4</v>
      </c>
      <c r="BQ52" s="15">
        <f>Domestic!BT53/Domestic!BT$96</f>
        <v>9.5851588043424597E-5</v>
      </c>
      <c r="BR52" s="15">
        <f>Domestic!BU53/Domestic!BU$96</f>
        <v>7.9949899044976847E-4</v>
      </c>
      <c r="BS52" s="15">
        <f>Domestic!BV53/Domestic!BV$96</f>
        <v>2.9403155589919233E-3</v>
      </c>
      <c r="BT52" s="15">
        <f>Domestic!BW53/Domestic!BW$96</f>
        <v>7.000993837147667E-4</v>
      </c>
      <c r="BU52" s="15">
        <f>Domestic!BX53/Domestic!BX$96</f>
        <v>6.2034943429815502E-4</v>
      </c>
      <c r="BV52" s="15">
        <f>Domestic!BY53/Domestic!BY$96</f>
        <v>1.0066627902395905E-5</v>
      </c>
      <c r="BW52" s="15">
        <f>Domestic!BZ53/Domestic!BZ$96</f>
        <v>2.7197670346502612E-5</v>
      </c>
      <c r="BX52" s="15">
        <f>Domestic!CA53/Domestic!CA$96</f>
        <v>2.604106130230294E-4</v>
      </c>
      <c r="BY52" s="15">
        <f>Domestic!CB53/Domestic!CB$96</f>
        <v>2.0314357908506799E-3</v>
      </c>
      <c r="BZ52" s="15">
        <f>Domestic!CC53/Domestic!CC$96</f>
        <v>0</v>
      </c>
      <c r="CA52" s="15">
        <f>Domestic!CD53/Domestic!CD$96</f>
        <v>2.0756417220579551E-3</v>
      </c>
    </row>
    <row r="53" spans="1:79" x14ac:dyDescent="0.3">
      <c r="A53" s="7" t="s">
        <v>141</v>
      </c>
      <c r="B53" s="15">
        <f>Domestic!E54/Domestic!E$96</f>
        <v>5.3599166924843306E-7</v>
      </c>
      <c r="C53" s="15">
        <f>Domestic!F54/Domestic!F$96</f>
        <v>1.3482170249648944E-6</v>
      </c>
      <c r="D53" s="15">
        <f>Domestic!G54/Domestic!G$96</f>
        <v>3.8157538949741492E-7</v>
      </c>
      <c r="E53" s="15">
        <f>Domestic!H54/Domestic!H$96</f>
        <v>7.8354571412465214E-7</v>
      </c>
      <c r="F53" s="15">
        <f>Domestic!I54/Domestic!I$96</f>
        <v>7.6967777439974764E-7</v>
      </c>
      <c r="G53" s="15">
        <f>Domestic!J54/Domestic!J$96</f>
        <v>3.880283267220845E-7</v>
      </c>
      <c r="H53" s="15">
        <f>Domestic!K54/Domestic!K$96</f>
        <v>6.4498844535212449E-7</v>
      </c>
      <c r="I53" s="15">
        <f>Domestic!L54/Domestic!L$96</f>
        <v>5.1656206862367533E-7</v>
      </c>
      <c r="J53" s="15">
        <f>Domestic!M54/Domestic!M$96</f>
        <v>3.8595613685695844E-7</v>
      </c>
      <c r="K53" s="15">
        <f>Domestic!N54/Domestic!N$96</f>
        <v>1.4160562184652113E-6</v>
      </c>
      <c r="L53" s="15">
        <f>Domestic!O54/Domestic!O$96</f>
        <v>2.1392970003942591E-5</v>
      </c>
      <c r="M53" s="15">
        <f>Domestic!P54/Domestic!P$96</f>
        <v>7.2184815412878161E-7</v>
      </c>
      <c r="N53" s="15">
        <f>Domestic!Q54/Domestic!Q$96</f>
        <v>1.267637904815784E-6</v>
      </c>
      <c r="O53" s="15">
        <f>Domestic!R54/Domestic!R$96</f>
        <v>6.377000029183392E-7</v>
      </c>
      <c r="P53" s="15">
        <f>Domestic!S54/Domestic!S$96</f>
        <v>7.8969685350047159E-7</v>
      </c>
      <c r="Q53" s="15">
        <f>Domestic!T54/Domestic!T$96</f>
        <v>1.2063563551276072E-6</v>
      </c>
      <c r="R53" s="15">
        <f>Domestic!U54/Domestic!U$96</f>
        <v>7.4967956532840662E-7</v>
      </c>
      <c r="S53" s="15">
        <f>Domestic!V54/Domestic!V$96</f>
        <v>8.9030066569323956E-7</v>
      </c>
      <c r="T53" s="15">
        <f>Domestic!W54/Domestic!W$96</f>
        <v>9.7106638503360332E-7</v>
      </c>
      <c r="U53" s="15">
        <f>Domestic!X54/Domestic!X$96</f>
        <v>1.7142936358104311E-6</v>
      </c>
      <c r="V53" s="15">
        <f>Domestic!Y54/Domestic!Y$96</f>
        <v>1.3389534448797984E-6</v>
      </c>
      <c r="W53" s="15">
        <f>Domestic!Z54/Domestic!Z$96</f>
        <v>5.3637810848363533E-7</v>
      </c>
      <c r="X53" s="15">
        <f>Domestic!AA54/Domestic!AA$96</f>
        <v>1.3004010994049437E-6</v>
      </c>
      <c r="Y53" s="15">
        <f>Domestic!AB54/Domestic!AB$96</f>
        <v>1.4447122444231123E-6</v>
      </c>
      <c r="Z53" s="15">
        <f>Domestic!AC54/Domestic!AC$96</f>
        <v>1.1333800949374455E-6</v>
      </c>
      <c r="AA53" s="15">
        <f>Domestic!AD54/Domestic!AD$96</f>
        <v>1.1706520581128803E-6</v>
      </c>
      <c r="AB53" s="15">
        <f>Domestic!AE54/Domestic!AE$96</f>
        <v>1.3745766216266455E-6</v>
      </c>
      <c r="AC53" s="15">
        <f>Domestic!AF54/Domestic!AF$96</f>
        <v>1.5291559989524468E-6</v>
      </c>
      <c r="AD53" s="15">
        <f>Domestic!AG54/Domestic!AG$96</f>
        <v>5.2635833771072799E-7</v>
      </c>
      <c r="AE53" s="15">
        <f>Domestic!AH54/Domestic!AH$96</f>
        <v>9.9979283145229069E-7</v>
      </c>
      <c r="AF53" s="15">
        <f>Domestic!AI54/Domestic!AI$96</f>
        <v>1.8737604918690798E-6</v>
      </c>
      <c r="AG53" s="15">
        <f>Domestic!AJ54/Domestic!AJ$96</f>
        <v>1.224596825769668E-6</v>
      </c>
      <c r="AH53" s="15">
        <f>Domestic!AK54/Domestic!AK$96</f>
        <v>5.5803684789652935E-7</v>
      </c>
      <c r="AI53" s="15">
        <f>Domestic!AL54/Domestic!AL$96</f>
        <v>7.7116461199892689E-7</v>
      </c>
      <c r="AJ53" s="15">
        <f>Domestic!AM54/Domestic!AM$96</f>
        <v>2.370697807249808E-6</v>
      </c>
      <c r="AK53" s="15">
        <f>Domestic!AN54/Domestic!AN$96</f>
        <v>1.015598423630843E-6</v>
      </c>
      <c r="AL53" s="15">
        <f>Domestic!AO54/Domestic!AO$96</f>
        <v>5.906875797923475E-7</v>
      </c>
      <c r="AM53" s="15">
        <f>Domestic!AP54/Domestic!AP$96</f>
        <v>7.1588262164433135E-7</v>
      </c>
      <c r="AN53" s="15">
        <f>Domestic!AQ54/Domestic!AQ$96</f>
        <v>2.9165603033581035E-7</v>
      </c>
      <c r="AO53" s="15">
        <f>Domestic!AR54/Domestic!AR$96</f>
        <v>3.7825551363875361E-7</v>
      </c>
      <c r="AP53" s="15">
        <f>Domestic!AS54/Domestic!AS$96</f>
        <v>4.2439010030614343E-7</v>
      </c>
      <c r="AQ53" s="15">
        <f>Domestic!AT54/Domestic!AT$96</f>
        <v>2.0592788117302285E-7</v>
      </c>
      <c r="AR53" s="15">
        <f>Domestic!AU54/Domestic!AU$96</f>
        <v>7.5144566618313982E-7</v>
      </c>
      <c r="AS53" s="15">
        <f>Domestic!AV54/Domestic!AV$96</f>
        <v>0</v>
      </c>
      <c r="AT53" s="15">
        <f>Domestic!AW54/Domestic!AW$96</f>
        <v>7.1418277612324241E-7</v>
      </c>
      <c r="AU53" s="15">
        <f>Domestic!AX54/Domestic!AX$96</f>
        <v>2.9049302261751154E-7</v>
      </c>
      <c r="AV53" s="15">
        <f>Domestic!AY54/Domestic!AY$96</f>
        <v>9.8634139100274173E-7</v>
      </c>
      <c r="AW53" s="15">
        <f>Domestic!AZ54/Domestic!AZ$96</f>
        <v>8.104185284354648E-2</v>
      </c>
      <c r="AX53" s="15">
        <f>Domestic!BA54/Domestic!BA$96</f>
        <v>6.1362288896149676E-2</v>
      </c>
      <c r="AY53" s="15">
        <f>Domestic!BB54/Domestic!BB$96</f>
        <v>8.6895771367329101E-3</v>
      </c>
      <c r="AZ53" s="15">
        <f>Domestic!BC54/Domestic!BC$96</f>
        <v>2.9691187158324025E-7</v>
      </c>
      <c r="BA53" s="15">
        <f>Domestic!BD54/Domestic!BD$96</f>
        <v>3.4303916924146149E-7</v>
      </c>
      <c r="BB53" s="15">
        <f>Domestic!BE54/Domestic!BE$96</f>
        <v>2.7818053425220692E-7</v>
      </c>
      <c r="BC53" s="15">
        <f>Domestic!BF54/Domestic!BF$96</f>
        <v>1.1760198277538414E-6</v>
      </c>
      <c r="BD53" s="15">
        <f>Domestic!BG54/Domestic!BG$96</f>
        <v>2.6670214872053248E-7</v>
      </c>
      <c r="BE53" s="15">
        <f>Domestic!BH54/Domestic!BH$96</f>
        <v>2.851448920997471E-8</v>
      </c>
      <c r="BF53" s="15">
        <f>Domestic!BI54/Domestic!BI$96</f>
        <v>1.2591598097515299E-7</v>
      </c>
      <c r="BG53" s="15">
        <f>Domestic!BJ54/Domestic!BJ$96</f>
        <v>1.5560464824576359E-6</v>
      </c>
      <c r="BH53" s="15">
        <f>Domestic!BK54/Domestic!BK$96</f>
        <v>1.2006464040109914E-7</v>
      </c>
      <c r="BI53" s="15">
        <f>Domestic!BL54/Domestic!BL$96</f>
        <v>3.9771474337446795E-7</v>
      </c>
      <c r="BJ53" s="15">
        <f>Domestic!BM54/Domestic!BM$96</f>
        <v>1.6594920712706979E-4</v>
      </c>
      <c r="BK53" s="15">
        <f>Domestic!BN54/Domestic!BN$96</f>
        <v>3.413503513779907E-7</v>
      </c>
      <c r="BL53" s="15">
        <f>Domestic!BO54/Domestic!BO$96</f>
        <v>6.2584356867893891E-7</v>
      </c>
      <c r="BM53" s="15">
        <f>Domestic!BP54/Domestic!BP$96</f>
        <v>3.5683040543889782E-5</v>
      </c>
      <c r="BN53" s="15">
        <f>Domestic!BQ54/Domestic!BQ$96</f>
        <v>2.7990878455957551E-5</v>
      </c>
      <c r="BO53" s="15">
        <f>Domestic!BR54/Domestic!BR$96</f>
        <v>1.9339185293829845E-4</v>
      </c>
      <c r="BP53" s="15">
        <f>Domestic!BS54/Domestic!BS$96</f>
        <v>6.5518205325319732E-7</v>
      </c>
      <c r="BQ53" s="15">
        <f>Domestic!BT54/Domestic!BT$96</f>
        <v>7.364135528843316E-7</v>
      </c>
      <c r="BR53" s="15">
        <f>Domestic!BU54/Domestic!BU$96</f>
        <v>1.2811187330004849E-3</v>
      </c>
      <c r="BS53" s="15">
        <f>Domestic!BV54/Domestic!BV$96</f>
        <v>3.9248782571410313E-3</v>
      </c>
      <c r="BT53" s="15">
        <f>Domestic!BW54/Domestic!BW$96</f>
        <v>2.8972213888341881E-3</v>
      </c>
      <c r="BU53" s="15">
        <f>Domestic!BX54/Domestic!BX$96</f>
        <v>1.5598184685214045E-3</v>
      </c>
      <c r="BV53" s="15">
        <f>Domestic!BY54/Domestic!BY$96</f>
        <v>8.3459971544121451E-4</v>
      </c>
      <c r="BW53" s="15">
        <f>Domestic!BZ54/Domestic!BZ$96</f>
        <v>6.7977282903308395E-5</v>
      </c>
      <c r="BX53" s="15">
        <f>Domestic!CA54/Domestic!CA$96</f>
        <v>6.6135360795627608E-4</v>
      </c>
      <c r="BY53" s="15">
        <f>Domestic!CB54/Domestic!CB$96</f>
        <v>6.0373555076850924E-5</v>
      </c>
      <c r="BZ53" s="15">
        <f>Domestic!CC54/Domestic!CC$96</f>
        <v>0</v>
      </c>
      <c r="CA53" s="15">
        <f>Domestic!CD54/Domestic!CD$96</f>
        <v>3.5998075631776724E-4</v>
      </c>
    </row>
    <row r="54" spans="1:79" x14ac:dyDescent="0.3">
      <c r="A54" s="8" t="s">
        <v>142</v>
      </c>
      <c r="B54" s="15">
        <f>Domestic!E55/Domestic!E$96</f>
        <v>1.4644581127006369E-8</v>
      </c>
      <c r="C54" s="15">
        <f>Domestic!F55/Domestic!F$96</f>
        <v>2.8256045433395991E-8</v>
      </c>
      <c r="D54" s="15">
        <f>Domestic!G55/Domestic!G$96</f>
        <v>0</v>
      </c>
      <c r="E54" s="15">
        <f>Domestic!H55/Domestic!H$96</f>
        <v>0</v>
      </c>
      <c r="F54" s="15">
        <f>Domestic!I55/Domestic!I$96</f>
        <v>1.4431458269995266E-6</v>
      </c>
      <c r="G54" s="15">
        <f>Domestic!J55/Domestic!J$96</f>
        <v>2.8775007600815051E-6</v>
      </c>
      <c r="H54" s="15">
        <f>Domestic!K55/Domestic!K$96</f>
        <v>4.2469643589178481E-6</v>
      </c>
      <c r="I54" s="15">
        <f>Domestic!L55/Domestic!L$96</f>
        <v>3.3413065451480775E-6</v>
      </c>
      <c r="J54" s="15">
        <f>Domestic!M55/Domestic!M$96</f>
        <v>7.8822027949660526E-7</v>
      </c>
      <c r="K54" s="15">
        <f>Domestic!N55/Domestic!N$96</f>
        <v>4.6882942368104973E-8</v>
      </c>
      <c r="L54" s="15">
        <f>Domestic!O55/Domestic!O$96</f>
        <v>1.9888158045623307E-7</v>
      </c>
      <c r="M54" s="15">
        <f>Domestic!P55/Domestic!P$96</f>
        <v>2.1983557421194715E-7</v>
      </c>
      <c r="N54" s="15">
        <f>Domestic!Q55/Domestic!Q$96</f>
        <v>8.0555189435018045E-4</v>
      </c>
      <c r="O54" s="15">
        <f>Domestic!R55/Domestic!R$96</f>
        <v>8.3115793251988695E-4</v>
      </c>
      <c r="P54" s="15">
        <f>Domestic!S55/Domestic!S$96</f>
        <v>1.8527503101357216E-6</v>
      </c>
      <c r="Q54" s="15">
        <f>Domestic!T55/Domestic!T$96</f>
        <v>3.5979049188016353E-7</v>
      </c>
      <c r="R54" s="15">
        <f>Domestic!U55/Domestic!U$96</f>
        <v>2.9641176659907767E-6</v>
      </c>
      <c r="S54" s="15">
        <f>Domestic!V55/Domestic!V$96</f>
        <v>1.3888690384814538E-6</v>
      </c>
      <c r="T54" s="15">
        <f>Domestic!W55/Domestic!W$96</f>
        <v>3.3485047759779432E-8</v>
      </c>
      <c r="U54" s="15">
        <f>Domestic!X55/Domestic!X$96</f>
        <v>1.4662901903078758E-5</v>
      </c>
      <c r="V54" s="15">
        <f>Domestic!Y55/Domestic!Y$96</f>
        <v>1.5019564729521216E-6</v>
      </c>
      <c r="W54" s="15">
        <f>Domestic!Z55/Domestic!Z$96</f>
        <v>2.8219893020967375E-7</v>
      </c>
      <c r="X54" s="15">
        <f>Domestic!AA55/Domestic!AA$96</f>
        <v>3.7399965503547143E-6</v>
      </c>
      <c r="Y54" s="15">
        <f>Domestic!AB55/Domestic!AB$96</f>
        <v>9.7477188416170736E-6</v>
      </c>
      <c r="Z54" s="15">
        <f>Domestic!AC55/Domestic!AC$96</f>
        <v>1.7490743815442617E-6</v>
      </c>
      <c r="AA54" s="15">
        <f>Domestic!AD55/Domestic!AD$96</f>
        <v>5.8021649049047704E-7</v>
      </c>
      <c r="AB54" s="15">
        <f>Domestic!AE55/Domestic!AE$96</f>
        <v>7.2901304798042951E-6</v>
      </c>
      <c r="AC54" s="15">
        <f>Domestic!AF55/Domestic!AF$96</f>
        <v>1.8081978499038345E-5</v>
      </c>
      <c r="AD54" s="15">
        <f>Domestic!AG55/Domestic!AG$96</f>
        <v>6.3121267455895038E-8</v>
      </c>
      <c r="AE54" s="15">
        <f>Domestic!AH55/Domestic!AH$96</f>
        <v>6.8035082678007508E-6</v>
      </c>
      <c r="AF54" s="15">
        <f>Domestic!AI55/Domestic!AI$96</f>
        <v>2.6040334071232857E-5</v>
      </c>
      <c r="AG54" s="15">
        <f>Domestic!AJ55/Domestic!AJ$96</f>
        <v>9.2750528815690823E-7</v>
      </c>
      <c r="AH54" s="15">
        <f>Domestic!AK55/Domestic!AK$96</f>
        <v>9.2638528109305282E-8</v>
      </c>
      <c r="AI54" s="15">
        <f>Domestic!AL55/Domestic!AL$96</f>
        <v>3.4926639544067882E-5</v>
      </c>
      <c r="AJ54" s="15">
        <f>Domestic!AM55/Domestic!AM$96</f>
        <v>1.2387242029133493E-4</v>
      </c>
      <c r="AK54" s="15">
        <f>Domestic!AN55/Domestic!AN$96</f>
        <v>4.2340385457000198E-3</v>
      </c>
      <c r="AL54" s="15">
        <f>Domestic!AO55/Domestic!AO$96</f>
        <v>3.9689883257803361E-4</v>
      </c>
      <c r="AM54" s="15">
        <f>Domestic!AP55/Domestic!AP$96</f>
        <v>2.7032350299917469E-4</v>
      </c>
      <c r="AN54" s="15">
        <f>Domestic!AQ55/Domestic!AQ$96</f>
        <v>9.9707100986148086E-5</v>
      </c>
      <c r="AO54" s="15">
        <f>Domestic!AR55/Domestic!AR$96</f>
        <v>4.1530810808345411E-4</v>
      </c>
      <c r="AP54" s="15">
        <f>Domestic!AS55/Domestic!AS$96</f>
        <v>1.2642966897302111E-4</v>
      </c>
      <c r="AQ54" s="15">
        <f>Domestic!AT55/Domestic!AT$96</f>
        <v>1.5821439110523345E-3</v>
      </c>
      <c r="AR54" s="15">
        <f>Domestic!AU55/Domestic!AU$96</f>
        <v>6.0711686334419181E-4</v>
      </c>
      <c r="AS54" s="15">
        <f>Domestic!AV55/Domestic!AV$96</f>
        <v>8.912701467379819E-4</v>
      </c>
      <c r="AT54" s="15">
        <f>Domestic!AW55/Domestic!AW$96</f>
        <v>3.6775218913793354E-3</v>
      </c>
      <c r="AU54" s="15">
        <f>Domestic!AX55/Domestic!AX$96</f>
        <v>4.5694858239863634E-3</v>
      </c>
      <c r="AV54" s="15">
        <f>Domestic!AY55/Domestic!AY$96</f>
        <v>8.7260698166958493E-3</v>
      </c>
      <c r="AW54" s="15">
        <f>Domestic!AZ55/Domestic!AZ$96</f>
        <v>1.6885154264634432E-2</v>
      </c>
      <c r="AX54" s="15">
        <f>Domestic!BA55/Domestic!BA$96</f>
        <v>3.0636837600760802E-2</v>
      </c>
      <c r="AY54" s="15">
        <f>Domestic!BB55/Domestic!BB$96</f>
        <v>8.3875407982798959E-3</v>
      </c>
      <c r="AZ54" s="15">
        <f>Domestic!BC55/Domestic!BC$96</f>
        <v>4.9227988308501232E-4</v>
      </c>
      <c r="BA54" s="15">
        <f>Domestic!BD55/Domestic!BD$96</f>
        <v>1.6302936518200455E-2</v>
      </c>
      <c r="BB54" s="15">
        <f>Domestic!BE55/Domestic!BE$96</f>
        <v>0</v>
      </c>
      <c r="BC54" s="15">
        <f>Domestic!BF55/Domestic!BF$96</f>
        <v>9.8628295789453252E-5</v>
      </c>
      <c r="BD54" s="15">
        <f>Domestic!BG55/Domestic!BG$96</f>
        <v>4.2021590552407097E-4</v>
      </c>
      <c r="BE54" s="15">
        <f>Domestic!BH55/Domestic!BH$96</f>
        <v>5.0185501009555482E-7</v>
      </c>
      <c r="BF54" s="15">
        <f>Domestic!BI55/Domestic!BI$96</f>
        <v>1.6036825725970344E-3</v>
      </c>
      <c r="BG54" s="15">
        <f>Domestic!BJ55/Domestic!BJ$96</f>
        <v>2.4323081249456122E-3</v>
      </c>
      <c r="BH54" s="15">
        <f>Domestic!BK55/Domestic!BK$96</f>
        <v>4.8225963894441492E-4</v>
      </c>
      <c r="BI54" s="15">
        <f>Domestic!BL55/Domestic!BL$96</f>
        <v>2.2852074659414461E-3</v>
      </c>
      <c r="BJ54" s="15">
        <f>Domestic!BM55/Domestic!BM$96</f>
        <v>4.6780517316082153E-9</v>
      </c>
      <c r="BK54" s="15">
        <f>Domestic!BN55/Domestic!BN$96</f>
        <v>2.6111809094623085E-5</v>
      </c>
      <c r="BL54" s="15">
        <f>Domestic!BO55/Domestic!BO$96</f>
        <v>3.9115223042433682E-8</v>
      </c>
      <c r="BM54" s="15">
        <f>Domestic!BP55/Domestic!BP$96</f>
        <v>3.6158814417808313E-6</v>
      </c>
      <c r="BN54" s="15">
        <f>Domestic!BQ55/Domestic!BQ$96</f>
        <v>6.3992813272337883E-6</v>
      </c>
      <c r="BO54" s="15">
        <f>Domestic!BR55/Domestic!BR$96</f>
        <v>1.1055571589137538E-5</v>
      </c>
      <c r="BP54" s="15">
        <f>Domestic!BS55/Domestic!BS$96</f>
        <v>2.1839401775106575E-7</v>
      </c>
      <c r="BQ54" s="15">
        <f>Domestic!BT55/Domestic!BT$96</f>
        <v>5.302177580767187E-7</v>
      </c>
      <c r="BR54" s="15">
        <f>Domestic!BU55/Domestic!BU$96</f>
        <v>2.6931457150057694E-4</v>
      </c>
      <c r="BS54" s="15">
        <f>Domestic!BV55/Domestic!BV$96</f>
        <v>8.0555840775488189E-4</v>
      </c>
      <c r="BT54" s="15">
        <f>Domestic!BW55/Domestic!BW$96</f>
        <v>5.7094413727506468E-4</v>
      </c>
      <c r="BU54" s="15">
        <f>Domestic!BX55/Domestic!BX$96</f>
        <v>3.9898835717395598E-3</v>
      </c>
      <c r="BV54" s="15">
        <f>Domestic!BY55/Domestic!BY$96</f>
        <v>1.5336545740466458E-4</v>
      </c>
      <c r="BW54" s="15">
        <f>Domestic!BZ55/Domestic!BZ$96</f>
        <v>1.1072130572294054E-5</v>
      </c>
      <c r="BX54" s="15">
        <f>Domestic!CA55/Domestic!CA$96</f>
        <v>1.1553163804296361E-4</v>
      </c>
      <c r="BY54" s="15">
        <f>Domestic!CB55/Domestic!CB$96</f>
        <v>2.3837373522161157E-4</v>
      </c>
      <c r="BZ54" s="15">
        <f>Domestic!CC55/Domestic!CC$96</f>
        <v>0</v>
      </c>
      <c r="CA54" s="15">
        <f>Domestic!CD55/Domestic!CD$96</f>
        <v>6.4328949303739163E-4</v>
      </c>
    </row>
    <row r="55" spans="1:79" x14ac:dyDescent="0.3">
      <c r="A55" s="7" t="s">
        <v>143</v>
      </c>
      <c r="B55" s="15">
        <f>Domestic!E56/Domestic!E$96</f>
        <v>8.7969998829927243E-6</v>
      </c>
      <c r="C55" s="15">
        <f>Domestic!F56/Domestic!F$96</f>
        <v>6.2007891703587493E-5</v>
      </c>
      <c r="D55" s="15">
        <f>Domestic!G56/Domestic!G$96</f>
        <v>4.2174487140996097E-3</v>
      </c>
      <c r="E55" s="15">
        <f>Domestic!H56/Domestic!H$96</f>
        <v>3.6302543541744162E-3</v>
      </c>
      <c r="F55" s="15">
        <f>Domestic!I56/Domestic!I$96</f>
        <v>3.9191992272435148E-3</v>
      </c>
      <c r="G55" s="15">
        <f>Domestic!J56/Domestic!J$96</f>
        <v>7.1164135683286275E-3</v>
      </c>
      <c r="H55" s="15">
        <f>Domestic!K56/Domestic!K$96</f>
        <v>1.085828562626105E-3</v>
      </c>
      <c r="I55" s="15">
        <f>Domestic!L56/Domestic!L$96</f>
        <v>4.6350068215944415E-3</v>
      </c>
      <c r="J55" s="15">
        <f>Domestic!M56/Domestic!M$96</f>
        <v>6.2250919673678109E-4</v>
      </c>
      <c r="K55" s="15">
        <f>Domestic!N56/Domestic!N$96</f>
        <v>1.4173579377119829E-3</v>
      </c>
      <c r="L55" s="15">
        <f>Domestic!O56/Domestic!O$96</f>
        <v>2.1138999985713968E-3</v>
      </c>
      <c r="M55" s="15">
        <f>Domestic!P56/Domestic!P$96</f>
        <v>2.4035246742907107E-3</v>
      </c>
      <c r="N55" s="15">
        <f>Domestic!Q56/Domestic!Q$96</f>
        <v>1.0017827438848442E-3</v>
      </c>
      <c r="O55" s="15">
        <f>Domestic!R56/Domestic!R$96</f>
        <v>4.8605666573787955E-4</v>
      </c>
      <c r="P55" s="15">
        <f>Domestic!S56/Domestic!S$96</f>
        <v>3.630681905561591E-4</v>
      </c>
      <c r="Q55" s="15">
        <f>Domestic!T56/Domestic!T$96</f>
        <v>2.075483198630595E-3</v>
      </c>
      <c r="R55" s="15">
        <f>Domestic!U56/Domestic!U$96</f>
        <v>1.8211504339252008E-3</v>
      </c>
      <c r="S55" s="15">
        <f>Domestic!V56/Domestic!V$96</f>
        <v>7.0118893362445297E-4</v>
      </c>
      <c r="T55" s="15">
        <f>Domestic!W56/Domestic!W$96</f>
        <v>1.2747199598018698E-3</v>
      </c>
      <c r="U55" s="15">
        <f>Domestic!X56/Domestic!X$96</f>
        <v>1.3398601723461142E-3</v>
      </c>
      <c r="V55" s="15">
        <f>Domestic!Y56/Domestic!Y$96</f>
        <v>3.0935180390502864E-3</v>
      </c>
      <c r="W55" s="15">
        <f>Domestic!Z56/Domestic!Z$96</f>
        <v>1.172516540912669E-4</v>
      </c>
      <c r="X55" s="15">
        <f>Domestic!AA56/Domestic!AA$96</f>
        <v>9.7394131431342075E-4</v>
      </c>
      <c r="Y55" s="15">
        <f>Domestic!AB56/Domestic!AB$96</f>
        <v>1.0122344538708678E-3</v>
      </c>
      <c r="Z55" s="15">
        <f>Domestic!AC56/Domestic!AC$96</f>
        <v>1.4467307912517473E-3</v>
      </c>
      <c r="AA55" s="15">
        <f>Domestic!AD56/Domestic!AD$96</f>
        <v>9.2302338105204444E-4</v>
      </c>
      <c r="AB55" s="15">
        <f>Domestic!AE56/Domestic!AE$96</f>
        <v>1.0470549826515172E-3</v>
      </c>
      <c r="AC55" s="15">
        <f>Domestic!AF56/Domestic!AF$96</f>
        <v>1.0741863310595552E-3</v>
      </c>
      <c r="AD55" s="15">
        <f>Domestic!AG56/Domestic!AG$96</f>
        <v>3.9223816428776877E-4</v>
      </c>
      <c r="AE55" s="15">
        <f>Domestic!AH56/Domestic!AH$96</f>
        <v>3.414653100430752E-4</v>
      </c>
      <c r="AF55" s="15">
        <f>Domestic!AI56/Domestic!AI$96</f>
        <v>5.9968981220124336E-4</v>
      </c>
      <c r="AG55" s="15">
        <f>Domestic!AJ56/Domestic!AJ$96</f>
        <v>1.3777946132869597E-3</v>
      </c>
      <c r="AH55" s="15">
        <f>Domestic!AK56/Domestic!AK$96</f>
        <v>5.3248625957228672E-4</v>
      </c>
      <c r="AI55" s="15">
        <f>Domestic!AL56/Domestic!AL$96</f>
        <v>3.7347167020365356E-3</v>
      </c>
      <c r="AJ55" s="15">
        <f>Domestic!AM56/Domestic!AM$96</f>
        <v>2.2605845682776076E-3</v>
      </c>
      <c r="AK55" s="15">
        <f>Domestic!AN56/Domestic!AN$96</f>
        <v>1.631033197305911E-2</v>
      </c>
      <c r="AL55" s="15">
        <f>Domestic!AO56/Domestic!AO$96</f>
        <v>4.6971476345087464E-3</v>
      </c>
      <c r="AM55" s="15">
        <f>Domestic!AP56/Domestic!AP$96</f>
        <v>2.3113671079699151E-3</v>
      </c>
      <c r="AN55" s="15">
        <f>Domestic!AQ56/Domestic!AQ$96</f>
        <v>6.2852755915480789E-4</v>
      </c>
      <c r="AO55" s="15">
        <f>Domestic!AR56/Domestic!AR$96</f>
        <v>1.1779219317458649E-3</v>
      </c>
      <c r="AP55" s="15">
        <f>Domestic!AS56/Domestic!AS$96</f>
        <v>3.4872867579601792E-2</v>
      </c>
      <c r="AQ55" s="15">
        <f>Domestic!AT56/Domestic!AT$96</f>
        <v>2.6735616812693557E-3</v>
      </c>
      <c r="AR55" s="15">
        <f>Domestic!AU56/Domestic!AU$96</f>
        <v>2.2101169828411312E-3</v>
      </c>
      <c r="AS55" s="15">
        <f>Domestic!AV56/Domestic!AV$96</f>
        <v>2.806122709420409E-3</v>
      </c>
      <c r="AT55" s="15">
        <f>Domestic!AW56/Domestic!AW$96</f>
        <v>2.8458452276326667E-3</v>
      </c>
      <c r="AU55" s="15">
        <f>Domestic!AX56/Domestic!AX$96</f>
        <v>9.1960917496832027E-3</v>
      </c>
      <c r="AV55" s="15">
        <f>Domestic!AY56/Domestic!AY$96</f>
        <v>8.3817133785620175E-3</v>
      </c>
      <c r="AW55" s="15">
        <f>Domestic!AZ56/Domestic!AZ$96</f>
        <v>5.0907522731895105E-3</v>
      </c>
      <c r="AX55" s="15">
        <f>Domestic!BA56/Domestic!BA$96</f>
        <v>2.355813404031689E-2</v>
      </c>
      <c r="AY55" s="15">
        <f>Domestic!BB56/Domestic!BB$96</f>
        <v>8.3635732054083093E-3</v>
      </c>
      <c r="AZ55" s="15">
        <f>Domestic!BC56/Domestic!BC$96</f>
        <v>6.3162804721581655E-3</v>
      </c>
      <c r="BA55" s="15">
        <f>Domestic!BD56/Domestic!BD$96</f>
        <v>3.4374926032179128E-2</v>
      </c>
      <c r="BB55" s="15">
        <f>Domestic!BE56/Domestic!BE$96</f>
        <v>6.6692392184295353E-3</v>
      </c>
      <c r="BC55" s="15">
        <f>Domestic!BF56/Domestic!BF$96</f>
        <v>3.2319629973888934E-3</v>
      </c>
      <c r="BD55" s="15">
        <f>Domestic!BG56/Domestic!BG$96</f>
        <v>3.0853011351296845E-2</v>
      </c>
      <c r="BE55" s="15">
        <f>Domestic!BH56/Domestic!BH$96</f>
        <v>4.1310793960289008E-3</v>
      </c>
      <c r="BF55" s="15">
        <f>Domestic!BI56/Domestic!BI$96</f>
        <v>3.0052178305368295E-3</v>
      </c>
      <c r="BG55" s="15">
        <f>Domestic!BJ56/Domestic!BJ$96</f>
        <v>6.8053470617930071E-3</v>
      </c>
      <c r="BH55" s="15">
        <f>Domestic!BK56/Domestic!BK$96</f>
        <v>2.0192871438124858E-4</v>
      </c>
      <c r="BI55" s="15">
        <f>Domestic!BL56/Domestic!BL$96</f>
        <v>7.7533772310156308E-3</v>
      </c>
      <c r="BJ55" s="15">
        <f>Domestic!BM56/Domestic!BM$96</f>
        <v>4.110507220893294E-2</v>
      </c>
      <c r="BK55" s="15">
        <f>Domestic!BN56/Domestic!BN$96</f>
        <v>1.0041963064510656E-2</v>
      </c>
      <c r="BL55" s="15">
        <f>Domestic!BO56/Domestic!BO$96</f>
        <v>2.9872295837506603E-3</v>
      </c>
      <c r="BM55" s="15">
        <f>Domestic!BP56/Domestic!BP$96</f>
        <v>3.3831956451917024E-3</v>
      </c>
      <c r="BN55" s="15">
        <f>Domestic!BQ56/Domestic!BQ$96</f>
        <v>3.319238309098796E-3</v>
      </c>
      <c r="BO55" s="15">
        <f>Domestic!BR56/Domestic!BR$96</f>
        <v>2.2504692754461743E-3</v>
      </c>
      <c r="BP55" s="15">
        <f>Domestic!BS56/Domestic!BS$96</f>
        <v>6.2323100845621633E-3</v>
      </c>
      <c r="BQ55" s="15">
        <f>Domestic!BT56/Domestic!BT$96</f>
        <v>1.8098394041106487E-3</v>
      </c>
      <c r="BR55" s="15">
        <f>Domestic!BU56/Domestic!BU$96</f>
        <v>2.1790994341914678E-3</v>
      </c>
      <c r="BS55" s="15">
        <f>Domestic!BV56/Domestic!BV$96</f>
        <v>6.9121931951311765E-3</v>
      </c>
      <c r="BT55" s="15">
        <f>Domestic!BW56/Domestic!BW$96</f>
        <v>7.5483030953325727E-3</v>
      </c>
      <c r="BU55" s="15">
        <f>Domestic!BX56/Domestic!BX$96</f>
        <v>6.4729549312537325E-3</v>
      </c>
      <c r="BV55" s="15">
        <f>Domestic!BY56/Domestic!BY$96</f>
        <v>1.3771909593803537E-3</v>
      </c>
      <c r="BW55" s="15">
        <f>Domestic!BZ56/Domestic!BZ$96</f>
        <v>3.6737367851358408E-3</v>
      </c>
      <c r="BX55" s="15">
        <f>Domestic!CA56/Domestic!CA$96</f>
        <v>5.3186094574622375E-3</v>
      </c>
      <c r="BY55" s="15">
        <f>Domestic!CB56/Domestic!CB$96</f>
        <v>3.4902926889709145E-3</v>
      </c>
      <c r="BZ55" s="15">
        <f>Domestic!CC56/Domestic!CC$96</f>
        <v>0</v>
      </c>
      <c r="CA55" s="15">
        <f>Domestic!CD56/Domestic!CD$96</f>
        <v>1.2234239811152993E-2</v>
      </c>
    </row>
    <row r="56" spans="1:79" x14ac:dyDescent="0.3">
      <c r="A56" s="8" t="s">
        <v>144</v>
      </c>
      <c r="B56" s="15">
        <f>Domestic!E57/Domestic!E$96</f>
        <v>2.9289162254012737E-7</v>
      </c>
      <c r="C56" s="15">
        <f>Domestic!F57/Domestic!F$96</f>
        <v>7.144742916730128E-7</v>
      </c>
      <c r="D56" s="15">
        <f>Domestic!G57/Domestic!G$96</f>
        <v>4.5095273304239941E-7</v>
      </c>
      <c r="E56" s="15">
        <f>Domestic!H57/Domestic!H$96</f>
        <v>6.5295476177054348E-7</v>
      </c>
      <c r="F56" s="15">
        <f>Domestic!I57/Domestic!I$96</f>
        <v>5.7725833079981075E-7</v>
      </c>
      <c r="G56" s="15">
        <f>Domestic!J57/Domestic!J$96</f>
        <v>6.8130555040738098E-7</v>
      </c>
      <c r="H56" s="15">
        <f>Domestic!K57/Domestic!K$96</f>
        <v>2.4661322910522401E-7</v>
      </c>
      <c r="I56" s="15">
        <f>Domestic!L57/Domestic!L$96</f>
        <v>5.2963958934832537E-7</v>
      </c>
      <c r="J56" s="15">
        <f>Domestic!M57/Domestic!M$96</f>
        <v>2.2015807806629322E-7</v>
      </c>
      <c r="K56" s="15">
        <f>Domestic!N57/Domestic!N$96</f>
        <v>8.32889823090518E-7</v>
      </c>
      <c r="L56" s="15">
        <f>Domestic!O57/Domestic!O$96</f>
        <v>3.8338384664408187E-5</v>
      </c>
      <c r="M56" s="15">
        <f>Domestic!P57/Domestic!P$96</f>
        <v>5.4138611559658621E-7</v>
      </c>
      <c r="N56" s="15">
        <f>Domestic!Q57/Domestic!Q$96</f>
        <v>3.9927875543636724E-6</v>
      </c>
      <c r="O56" s="15">
        <f>Domestic!R57/Domestic!R$96</f>
        <v>2.9730608244165815E-6</v>
      </c>
      <c r="P56" s="15">
        <f>Domestic!S57/Domestic!S$96</f>
        <v>1.6806368933471575E-6</v>
      </c>
      <c r="Q56" s="15">
        <f>Domestic!T57/Domestic!T$96</f>
        <v>7.470943743158689E-6</v>
      </c>
      <c r="R56" s="15">
        <f>Domestic!U57/Domestic!U$96</f>
        <v>5.807133248351579E-6</v>
      </c>
      <c r="S56" s="15">
        <f>Domestic!V57/Domestic!V$96</f>
        <v>2.8014794280480608E-6</v>
      </c>
      <c r="T56" s="15">
        <f>Domestic!W57/Domestic!W$96</f>
        <v>7.4560039678442199E-6</v>
      </c>
      <c r="U56" s="15">
        <f>Domestic!X57/Domestic!X$96</f>
        <v>1.30382896244737E-5</v>
      </c>
      <c r="V56" s="15">
        <f>Domestic!Y57/Domestic!Y$96</f>
        <v>8.9372231677368097E-5</v>
      </c>
      <c r="W56" s="15">
        <f>Domestic!Z57/Domestic!Z$96</f>
        <v>9.3265745728870909E-7</v>
      </c>
      <c r="X56" s="15">
        <f>Domestic!AA57/Domestic!AA$96</f>
        <v>6.334529597858931E-6</v>
      </c>
      <c r="Y56" s="15">
        <f>Domestic!AB57/Domestic!AB$96</f>
        <v>6.5820726406295758E-6</v>
      </c>
      <c r="Z56" s="15">
        <f>Domestic!AC57/Domestic!AC$96</f>
        <v>8.3081033123352432E-6</v>
      </c>
      <c r="AA56" s="15">
        <f>Domestic!AD57/Domestic!AD$96</f>
        <v>1.0413239597432808E-5</v>
      </c>
      <c r="AB56" s="15">
        <f>Domestic!AE57/Domestic!AE$96</f>
        <v>9.0956027516146132E-6</v>
      </c>
      <c r="AC56" s="15">
        <f>Domestic!AF57/Domestic!AF$96</f>
        <v>1.2288157837066179E-5</v>
      </c>
      <c r="AD56" s="15">
        <f>Domestic!AG57/Domestic!AG$96</f>
        <v>4.8707708614519997E-6</v>
      </c>
      <c r="AE56" s="15">
        <f>Domestic!AH57/Domestic!AH$96</f>
        <v>4.6580511917826398E-6</v>
      </c>
      <c r="AF56" s="15">
        <f>Domestic!AI57/Domestic!AI$96</f>
        <v>8.9011605696457364E-6</v>
      </c>
      <c r="AG56" s="15">
        <f>Domestic!AJ57/Domestic!AJ$96</f>
        <v>6.3621065859512926E-6</v>
      </c>
      <c r="AH56" s="15">
        <f>Domestic!AK57/Domestic!AK$96</f>
        <v>2.4174244478047281E-6</v>
      </c>
      <c r="AI56" s="15">
        <f>Domestic!AL57/Domestic!AL$96</f>
        <v>4.5905715653158345E-5</v>
      </c>
      <c r="AJ56" s="15">
        <f>Domestic!AM57/Domestic!AM$96</f>
        <v>4.7284903272534958E-5</v>
      </c>
      <c r="AK56" s="15">
        <f>Domestic!AN57/Domestic!AN$96</f>
        <v>1.4955885455631538E-4</v>
      </c>
      <c r="AL56" s="15">
        <f>Domestic!AO57/Domestic!AO$96</f>
        <v>2.8367410844173953E-5</v>
      </c>
      <c r="AM56" s="15">
        <f>Domestic!AP57/Domestic!AP$96</f>
        <v>1.9826836086410395E-5</v>
      </c>
      <c r="AN56" s="15">
        <f>Domestic!AQ57/Domestic!AQ$96</f>
        <v>4.0142766812703562E-6</v>
      </c>
      <c r="AO56" s="15">
        <f>Domestic!AR57/Domestic!AR$96</f>
        <v>3.1754276271775077E-6</v>
      </c>
      <c r="AP56" s="15">
        <f>Domestic!AS57/Domestic!AS$96</f>
        <v>9.9831983959288817E-4</v>
      </c>
      <c r="AQ56" s="15">
        <f>Domestic!AT57/Domestic!AT$96</f>
        <v>1.3179384395073462E-5</v>
      </c>
      <c r="AR56" s="15">
        <f>Domestic!AU57/Domestic!AU$96</f>
        <v>2.5485108985495237E-5</v>
      </c>
      <c r="AS56" s="15">
        <f>Domestic!AV57/Domestic!AV$96</f>
        <v>8.0244941046512456E-5</v>
      </c>
      <c r="AT56" s="15">
        <f>Domestic!AW57/Domestic!AW$96</f>
        <v>8.1070566041141389E-5</v>
      </c>
      <c r="AU56" s="15">
        <f>Domestic!AX57/Domestic!AX$96</f>
        <v>2.1510243869504053E-4</v>
      </c>
      <c r="AV56" s="15">
        <f>Domestic!AY57/Domestic!AY$96</f>
        <v>5.0334234109608668E-5</v>
      </c>
      <c r="AW56" s="15">
        <f>Domestic!AZ57/Domestic!AZ$96</f>
        <v>1.8513861235401388E-4</v>
      </c>
      <c r="AX56" s="15">
        <f>Domestic!BA57/Domestic!BA$96</f>
        <v>2.4944136597259304E-4</v>
      </c>
      <c r="AY56" s="15">
        <f>Domestic!BB57/Domestic!BB$96</f>
        <v>3.4261877644698293E-4</v>
      </c>
      <c r="AZ56" s="15">
        <f>Domestic!BC57/Domestic!BC$96</f>
        <v>3.807894753055056E-5</v>
      </c>
      <c r="BA56" s="15">
        <f>Domestic!BD57/Domestic!BD$96</f>
        <v>2.9810103807083001E-4</v>
      </c>
      <c r="BB56" s="15">
        <f>Domestic!BE57/Domestic!BE$96</f>
        <v>2.1985534890399421E-4</v>
      </c>
      <c r="BC56" s="15">
        <f>Domestic!BF57/Domestic!BF$96</f>
        <v>1.9631290478222337E-3</v>
      </c>
      <c r="BD56" s="15">
        <f>Domestic!BG57/Domestic!BG$96</f>
        <v>5.792770670209965E-4</v>
      </c>
      <c r="BE56" s="15">
        <f>Domestic!BH57/Domestic!BH$96</f>
        <v>1.4169220376796163E-3</v>
      </c>
      <c r="BF56" s="15">
        <f>Domestic!BI57/Domestic!BI$96</f>
        <v>3.6252560022542701E-5</v>
      </c>
      <c r="BG56" s="15">
        <f>Domestic!BJ57/Domestic!BJ$96</f>
        <v>3.7597046914238308E-5</v>
      </c>
      <c r="BH56" s="15">
        <f>Domestic!BK57/Domestic!BK$96</f>
        <v>1.2206571774111746E-6</v>
      </c>
      <c r="BI56" s="15">
        <f>Domestic!BL57/Domestic!BL$96</f>
        <v>1.0753148364103587E-4</v>
      </c>
      <c r="BJ56" s="15">
        <f>Domestic!BM57/Domestic!BM$96</f>
        <v>5.203396941067817E-5</v>
      </c>
      <c r="BK56" s="15">
        <f>Domestic!BN57/Domestic!BN$96</f>
        <v>5.2427632247649923E-5</v>
      </c>
      <c r="BL56" s="15">
        <f>Domestic!BO57/Domestic!BO$96</f>
        <v>1.2947138827045549E-5</v>
      </c>
      <c r="BM56" s="15">
        <f>Domestic!BP57/Domestic!BP$96</f>
        <v>1.0797889168878273E-3</v>
      </c>
      <c r="BN56" s="15">
        <f>Domestic!BQ57/Domestic!BQ$96</f>
        <v>9.0250963245844441E-5</v>
      </c>
      <c r="BO56" s="15">
        <f>Domestic!BR57/Domestic!BR$96</f>
        <v>2.8941315413007424E-4</v>
      </c>
      <c r="BP56" s="15">
        <f>Domestic!BS57/Domestic!BS$96</f>
        <v>4.3678803550213149E-6</v>
      </c>
      <c r="BQ56" s="15">
        <f>Domestic!BT57/Domestic!BT$96</f>
        <v>1.7261533679608731E-5</v>
      </c>
      <c r="BR56" s="15">
        <f>Domestic!BU57/Domestic!BU$96</f>
        <v>1.8407094241377382E-5</v>
      </c>
      <c r="BS56" s="15">
        <f>Domestic!BV57/Domestic!BV$96</f>
        <v>7.4940939923454357E-4</v>
      </c>
      <c r="BT56" s="15">
        <f>Domestic!BW57/Domestic!BW$96</f>
        <v>2.996189314079039E-4</v>
      </c>
      <c r="BU56" s="15">
        <f>Domestic!BX57/Domestic!BX$96</f>
        <v>3.5981647496362313E-5</v>
      </c>
      <c r="BV56" s="15">
        <f>Domestic!BY57/Domestic!BY$96</f>
        <v>1.265954721058879E-6</v>
      </c>
      <c r="BW56" s="15">
        <f>Domestic!BZ57/Domestic!BZ$96</f>
        <v>5.9366698360600204E-6</v>
      </c>
      <c r="BX56" s="15">
        <f>Domestic!CA57/Domestic!CA$96</f>
        <v>4.7212684971875601E-5</v>
      </c>
      <c r="BY56" s="15">
        <f>Domestic!CB57/Domestic!CB$96</f>
        <v>4.1053294559960764E-3</v>
      </c>
      <c r="BZ56" s="15">
        <f>Domestic!CC57/Domestic!CC$96</f>
        <v>0</v>
      </c>
      <c r="CA56" s="15">
        <f>Domestic!CD57/Domestic!CD$96</f>
        <v>3.0692499599749758E-3</v>
      </c>
    </row>
    <row r="57" spans="1:79" x14ac:dyDescent="0.3">
      <c r="A57" s="7" t="s">
        <v>145</v>
      </c>
      <c r="B57" s="15">
        <f>Domestic!E58/Domestic!E$96</f>
        <v>8.7867486762038208E-9</v>
      </c>
      <c r="C57" s="15">
        <f>Domestic!F58/Domestic!F$96</f>
        <v>2.2201178554811132E-8</v>
      </c>
      <c r="D57" s="15">
        <f>Domestic!G58/Domestic!G$96</f>
        <v>0</v>
      </c>
      <c r="E57" s="15">
        <f>Domestic!H58/Domestic!H$96</f>
        <v>0</v>
      </c>
      <c r="F57" s="15">
        <f>Domestic!I58/Domestic!I$96</f>
        <v>3.2807515133789242E-5</v>
      </c>
      <c r="G57" s="15">
        <f>Domestic!J58/Domestic!J$96</f>
        <v>5.6399466093326238E-9</v>
      </c>
      <c r="H57" s="15">
        <f>Domestic!K58/Domestic!K$96</f>
        <v>1.659896734362085E-8</v>
      </c>
      <c r="I57" s="15">
        <f>Domestic!L58/Domestic!L$96</f>
        <v>6.5387603623250048E-9</v>
      </c>
      <c r="J57" s="15">
        <f>Domestic!M58/Domestic!M$96</f>
        <v>6.7950024094534946E-9</v>
      </c>
      <c r="K57" s="15">
        <f>Domestic!N58/Domestic!N$96</f>
        <v>4.4490955512589413E-8</v>
      </c>
      <c r="L57" s="15">
        <f>Domestic!O58/Domestic!O$96</f>
        <v>6.2656497913645105E-7</v>
      </c>
      <c r="M57" s="15">
        <f>Domestic!P58/Domestic!P$96</f>
        <v>9.8433839199379322E-9</v>
      </c>
      <c r="N57" s="15">
        <f>Domestic!Q58/Domestic!Q$96</f>
        <v>7.1137028750851573E-5</v>
      </c>
      <c r="O57" s="15">
        <f>Domestic!R58/Domestic!R$96</f>
        <v>2.3461327810069984E-5</v>
      </c>
      <c r="P57" s="15">
        <f>Domestic!S58/Domestic!S$96</f>
        <v>1.6603882560779145E-6</v>
      </c>
      <c r="Q57" s="15">
        <f>Domestic!T58/Domestic!T$96</f>
        <v>8.7831208311922284E-5</v>
      </c>
      <c r="R57" s="15">
        <f>Domestic!U58/Domestic!U$96</f>
        <v>1.5454932577539458E-5</v>
      </c>
      <c r="S57" s="15">
        <f>Domestic!V58/Domestic!V$96</f>
        <v>1.056490123289311E-5</v>
      </c>
      <c r="T57" s="15">
        <f>Domestic!W58/Domestic!W$96</f>
        <v>2.0425879133465451E-6</v>
      </c>
      <c r="U57" s="15">
        <f>Domestic!X58/Domestic!X$96</f>
        <v>3.6941820602675483E-6</v>
      </c>
      <c r="V57" s="15">
        <f>Domestic!Y58/Domestic!Y$96</f>
        <v>5.798250570001213E-6</v>
      </c>
      <c r="W57" s="15">
        <f>Domestic!Z58/Domestic!Z$96</f>
        <v>2.1425103176557148E-6</v>
      </c>
      <c r="X57" s="15">
        <f>Domestic!AA58/Domestic!AA$96</f>
        <v>2.5972198266352183E-5</v>
      </c>
      <c r="Y57" s="15">
        <f>Domestic!AB58/Domestic!AB$96</f>
        <v>5.6116621519227302E-6</v>
      </c>
      <c r="Z57" s="15">
        <f>Domestic!AC58/Domestic!AC$96</f>
        <v>1.2786336858185639E-5</v>
      </c>
      <c r="AA57" s="15">
        <f>Domestic!AD58/Domestic!AD$96</f>
        <v>1.5975823916244644E-6</v>
      </c>
      <c r="AB57" s="15">
        <f>Domestic!AE58/Domestic!AE$96</f>
        <v>1.6221953889267647E-6</v>
      </c>
      <c r="AC57" s="15">
        <f>Domestic!AF58/Domestic!AF$96</f>
        <v>2.0965577352340404E-6</v>
      </c>
      <c r="AD57" s="15">
        <f>Domestic!AG58/Domestic!AG$96</f>
        <v>1.5086504585326318E-6</v>
      </c>
      <c r="AE57" s="15">
        <f>Domestic!AH58/Domestic!AH$96</f>
        <v>1.8225731615982743E-6</v>
      </c>
      <c r="AF57" s="15">
        <f>Domestic!AI58/Domestic!AI$96</f>
        <v>1.7664288186554494E-6</v>
      </c>
      <c r="AG57" s="15">
        <f>Domestic!AJ58/Domestic!AJ$96</f>
        <v>4.4056501187453142E-6</v>
      </c>
      <c r="AH57" s="15">
        <f>Domestic!AK58/Domestic!AK$96</f>
        <v>4.4223868775989776E-6</v>
      </c>
      <c r="AI57" s="15">
        <f>Domestic!AL58/Domestic!AL$96</f>
        <v>7.0648628970224263E-6</v>
      </c>
      <c r="AJ57" s="15">
        <f>Domestic!AM58/Domestic!AM$96</f>
        <v>9.5741315998564938E-6</v>
      </c>
      <c r="AK57" s="15">
        <f>Domestic!AN58/Domestic!AN$96</f>
        <v>1.1868117544472358E-4</v>
      </c>
      <c r="AL57" s="15">
        <f>Domestic!AO58/Domestic!AO$96</f>
        <v>1.0718818521109915E-5</v>
      </c>
      <c r="AM57" s="15">
        <f>Domestic!AP58/Domestic!AP$96</f>
        <v>6.2312913414432669E-5</v>
      </c>
      <c r="AN57" s="15">
        <f>Domestic!AQ58/Domestic!AQ$96</f>
        <v>4.853188394901108E-6</v>
      </c>
      <c r="AO57" s="15">
        <f>Domestic!AR58/Domestic!AR$96</f>
        <v>1.1978091265227197E-5</v>
      </c>
      <c r="AP57" s="15">
        <f>Domestic!AS58/Domestic!AS$96</f>
        <v>8.8736111882193627E-7</v>
      </c>
      <c r="AQ57" s="15">
        <f>Domestic!AT58/Domestic!AT$96</f>
        <v>4.4686350214545961E-5</v>
      </c>
      <c r="AR57" s="15">
        <f>Domestic!AU58/Domestic!AU$96</f>
        <v>1.689898833382311E-5</v>
      </c>
      <c r="AS57" s="15">
        <f>Domestic!AV58/Domestic!AV$96</f>
        <v>2.5114828877152753E-5</v>
      </c>
      <c r="AT57" s="15">
        <f>Domestic!AW58/Domestic!AW$96</f>
        <v>1.0355650253787015E-4</v>
      </c>
      <c r="AU57" s="15">
        <f>Domestic!AX58/Domestic!AX$96</f>
        <v>1.3370323593632307E-4</v>
      </c>
      <c r="AV57" s="15">
        <f>Domestic!AY58/Domestic!AY$96</f>
        <v>1.7695581017958563E-4</v>
      </c>
      <c r="AW57" s="15">
        <f>Domestic!AZ58/Domestic!AZ$96</f>
        <v>1.6473922435265338E-4</v>
      </c>
      <c r="AX57" s="15">
        <f>Domestic!BA58/Domestic!BA$96</f>
        <v>1.1469200700277894E-3</v>
      </c>
      <c r="AY57" s="15">
        <f>Domestic!BB58/Domestic!BB$96</f>
        <v>5.5436827729109723E-5</v>
      </c>
      <c r="AZ57" s="15">
        <f>Domestic!BC58/Domestic!BC$96</f>
        <v>2.4049861598242459E-5</v>
      </c>
      <c r="BA57" s="15">
        <f>Domestic!BD58/Domestic!BD$96</f>
        <v>4.7167885770700953E-4</v>
      </c>
      <c r="BB57" s="15">
        <f>Domestic!BE58/Domestic!BE$96</f>
        <v>4.2346031826542195E-4</v>
      </c>
      <c r="BC57" s="15">
        <f>Domestic!BF58/Domestic!BF$96</f>
        <v>5.7012505537527539E-5</v>
      </c>
      <c r="BD57" s="15">
        <f>Domestic!BG58/Domestic!BG$96</f>
        <v>2.2936384789965791E-6</v>
      </c>
      <c r="BE57" s="15">
        <f>Domestic!BH58/Domestic!BH$96</f>
        <v>5.7251391435787217E-5</v>
      </c>
      <c r="BF57" s="15">
        <f>Domestic!BI58/Domestic!BI$96</f>
        <v>2.9181883020862602E-4</v>
      </c>
      <c r="BG57" s="15">
        <f>Domestic!BJ58/Domestic!BJ$96</f>
        <v>6.7799168164225565E-5</v>
      </c>
      <c r="BH57" s="15">
        <f>Domestic!BK58/Domestic!BK$96</f>
        <v>1.3407218178122738E-5</v>
      </c>
      <c r="BI57" s="15">
        <f>Domestic!BL58/Domestic!BL$96</f>
        <v>2.4597376680039041E-4</v>
      </c>
      <c r="BJ57" s="15">
        <f>Domestic!BM58/Domestic!BM$96</f>
        <v>5.666991867670192E-5</v>
      </c>
      <c r="BK57" s="15">
        <f>Domestic!BN58/Domestic!BN$96</f>
        <v>4.9025075829686808E-5</v>
      </c>
      <c r="BL57" s="15">
        <f>Domestic!BO58/Domestic!BO$96</f>
        <v>1.12362389711695E-3</v>
      </c>
      <c r="BM57" s="15">
        <f>Domestic!BP58/Domestic!BP$96</f>
        <v>9.1690944786167254E-5</v>
      </c>
      <c r="BN57" s="15">
        <f>Domestic!BQ58/Domestic!BQ$96</f>
        <v>5.5216656023560115E-5</v>
      </c>
      <c r="BO57" s="15">
        <f>Domestic!BR58/Domestic!BR$96</f>
        <v>2.298739313466965E-5</v>
      </c>
      <c r="BP57" s="15">
        <f>Domestic!BS58/Domestic!BS$96</f>
        <v>6.6610175414075058E-5</v>
      </c>
      <c r="BQ57" s="15">
        <f>Domestic!BT58/Domestic!BT$96</f>
        <v>7.1196462292857181E-5</v>
      </c>
      <c r="BR57" s="15">
        <f>Domestic!BU58/Domestic!BU$96</f>
        <v>3.978937596013658E-5</v>
      </c>
      <c r="BS57" s="15">
        <f>Domestic!BV58/Domestic!BV$96</f>
        <v>1.2262067598870546E-4</v>
      </c>
      <c r="BT57" s="15">
        <f>Domestic!BW58/Domestic!BW$96</f>
        <v>7.4441352963073931E-5</v>
      </c>
      <c r="BU57" s="15">
        <f>Domestic!BX58/Domestic!BX$96</f>
        <v>2.9267439537731613E-5</v>
      </c>
      <c r="BV57" s="15">
        <f>Domestic!BY58/Domestic!BY$96</f>
        <v>1.5614712598602738E-5</v>
      </c>
      <c r="BW57" s="15">
        <f>Domestic!BZ58/Domestic!BZ$96</f>
        <v>1.2549058190045571E-6</v>
      </c>
      <c r="BX57" s="15">
        <f>Domestic!CA58/Domestic!CA$96</f>
        <v>1.2824911580963647E-5</v>
      </c>
      <c r="BY57" s="15">
        <f>Domestic!CB58/Domestic!CB$96</f>
        <v>4.5469925535828257E-5</v>
      </c>
      <c r="BZ57" s="15">
        <f>Domestic!CC58/Domestic!CC$96</f>
        <v>0</v>
      </c>
      <c r="CA57" s="15">
        <f>Domestic!CD58/Domestic!CD$96</f>
        <v>3.2784067024287534E-4</v>
      </c>
    </row>
    <row r="58" spans="1:79" x14ac:dyDescent="0.3">
      <c r="A58" s="8" t="s">
        <v>146</v>
      </c>
      <c r="B58" s="15">
        <f>Domestic!E59/Domestic!E$96</f>
        <v>0</v>
      </c>
      <c r="C58" s="15">
        <f>Domestic!F59/Domestic!F$96</f>
        <v>0</v>
      </c>
      <c r="D58" s="15">
        <f>Domestic!G59/Domestic!G$96</f>
        <v>0</v>
      </c>
      <c r="E58" s="15">
        <f>Domestic!H59/Domestic!H$96</f>
        <v>0</v>
      </c>
      <c r="F58" s="15">
        <f>Domestic!I59/Domestic!I$96</f>
        <v>0</v>
      </c>
      <c r="G58" s="15">
        <f>Domestic!J59/Domestic!J$96</f>
        <v>0</v>
      </c>
      <c r="H58" s="15">
        <f>Domestic!K59/Domestic!K$96</f>
        <v>0</v>
      </c>
      <c r="I58" s="15">
        <f>Domestic!L59/Domestic!L$96</f>
        <v>0</v>
      </c>
      <c r="J58" s="15">
        <f>Domestic!M59/Domestic!M$96</f>
        <v>0</v>
      </c>
      <c r="K58" s="15">
        <f>Domestic!N59/Domestic!N$96</f>
        <v>0</v>
      </c>
      <c r="L58" s="15">
        <f>Domestic!O59/Domestic!O$96</f>
        <v>0</v>
      </c>
      <c r="M58" s="15">
        <f>Domestic!P59/Domestic!P$96</f>
        <v>0</v>
      </c>
      <c r="N58" s="15">
        <f>Domestic!Q59/Domestic!Q$96</f>
        <v>0</v>
      </c>
      <c r="O58" s="15">
        <f>Domestic!R59/Domestic!R$96</f>
        <v>0</v>
      </c>
      <c r="P58" s="15">
        <f>Domestic!S59/Domestic!S$96</f>
        <v>0</v>
      </c>
      <c r="Q58" s="15">
        <f>Domestic!T59/Domestic!T$96</f>
        <v>0</v>
      </c>
      <c r="R58" s="15">
        <f>Domestic!U59/Domestic!U$96</f>
        <v>0</v>
      </c>
      <c r="S58" s="15">
        <f>Domestic!V59/Domestic!V$96</f>
        <v>0</v>
      </c>
      <c r="T58" s="15">
        <f>Domestic!W59/Domestic!W$96</f>
        <v>0</v>
      </c>
      <c r="U58" s="15">
        <f>Domestic!X59/Domestic!X$96</f>
        <v>0</v>
      </c>
      <c r="V58" s="15">
        <f>Domestic!Y59/Domestic!Y$96</f>
        <v>0</v>
      </c>
      <c r="W58" s="15">
        <f>Domestic!Z59/Domestic!Z$96</f>
        <v>0</v>
      </c>
      <c r="X58" s="15">
        <f>Domestic!AA59/Domestic!AA$96</f>
        <v>0</v>
      </c>
      <c r="Y58" s="15">
        <f>Domestic!AB59/Domestic!AB$96</f>
        <v>0</v>
      </c>
      <c r="Z58" s="15">
        <f>Domestic!AC59/Domestic!AC$96</f>
        <v>0</v>
      </c>
      <c r="AA58" s="15">
        <f>Domestic!AD59/Domestic!AD$96</f>
        <v>0</v>
      </c>
      <c r="AB58" s="15">
        <f>Domestic!AE59/Domestic!AE$96</f>
        <v>0</v>
      </c>
      <c r="AC58" s="15">
        <f>Domestic!AF59/Domestic!AF$96</f>
        <v>0</v>
      </c>
      <c r="AD58" s="15">
        <f>Domestic!AG59/Domestic!AG$96</f>
        <v>0</v>
      </c>
      <c r="AE58" s="15">
        <f>Domestic!AH59/Domestic!AH$96</f>
        <v>0</v>
      </c>
      <c r="AF58" s="15">
        <f>Domestic!AI59/Domestic!AI$96</f>
        <v>0</v>
      </c>
      <c r="AG58" s="15">
        <f>Domestic!AJ59/Domestic!AJ$96</f>
        <v>0</v>
      </c>
      <c r="AH58" s="15">
        <f>Domestic!AK59/Domestic!AK$96</f>
        <v>0</v>
      </c>
      <c r="AI58" s="15">
        <f>Domestic!AL59/Domestic!AL$96</f>
        <v>0</v>
      </c>
      <c r="AJ58" s="15">
        <f>Domestic!AM59/Domestic!AM$96</f>
        <v>0</v>
      </c>
      <c r="AK58" s="15">
        <f>Domestic!AN59/Domestic!AN$96</f>
        <v>0</v>
      </c>
      <c r="AL58" s="15">
        <f>Domestic!AO59/Domestic!AO$96</f>
        <v>0</v>
      </c>
      <c r="AM58" s="15">
        <f>Domestic!AP59/Domestic!AP$96</f>
        <v>0</v>
      </c>
      <c r="AN58" s="15">
        <f>Domestic!AQ59/Domestic!AQ$96</f>
        <v>0</v>
      </c>
      <c r="AO58" s="15">
        <f>Domestic!AR59/Domestic!AR$96</f>
        <v>0</v>
      </c>
      <c r="AP58" s="15">
        <f>Domestic!AS59/Domestic!AS$96</f>
        <v>0</v>
      </c>
      <c r="AQ58" s="15">
        <f>Domestic!AT59/Domestic!AT$96</f>
        <v>0</v>
      </c>
      <c r="AR58" s="15">
        <f>Domestic!AU59/Domestic!AU$96</f>
        <v>0</v>
      </c>
      <c r="AS58" s="15">
        <f>Domestic!AV59/Domestic!AV$96</f>
        <v>0</v>
      </c>
      <c r="AT58" s="15">
        <f>Domestic!AW59/Domestic!AW$96</f>
        <v>0</v>
      </c>
      <c r="AU58" s="15">
        <f>Domestic!AX59/Domestic!AX$96</f>
        <v>0</v>
      </c>
      <c r="AV58" s="15">
        <f>Domestic!AY59/Domestic!AY$96</f>
        <v>0</v>
      </c>
      <c r="AW58" s="15">
        <f>Domestic!AZ59/Domestic!AZ$96</f>
        <v>0</v>
      </c>
      <c r="AX58" s="15">
        <f>Domestic!BA59/Domestic!BA$96</f>
        <v>0</v>
      </c>
      <c r="AY58" s="15">
        <f>Domestic!BB59/Domestic!BB$96</f>
        <v>0</v>
      </c>
      <c r="AZ58" s="15">
        <f>Domestic!BC59/Domestic!BC$96</f>
        <v>0</v>
      </c>
      <c r="BA58" s="15">
        <f>Domestic!BD59/Domestic!BD$96</f>
        <v>0</v>
      </c>
      <c r="BB58" s="15">
        <f>Domestic!BE59/Domestic!BE$96</f>
        <v>0</v>
      </c>
      <c r="BC58" s="15">
        <f>Domestic!BF59/Domestic!BF$96</f>
        <v>3.8247574830731774E-2</v>
      </c>
      <c r="BD58" s="15">
        <f>Domestic!BG59/Domestic!BG$96</f>
        <v>0</v>
      </c>
      <c r="BE58" s="15">
        <f>Domestic!BH59/Domestic!BH$96</f>
        <v>0</v>
      </c>
      <c r="BF58" s="15">
        <f>Domestic!BI59/Domestic!BI$96</f>
        <v>0</v>
      </c>
      <c r="BG58" s="15">
        <f>Domestic!BJ59/Domestic!BJ$96</f>
        <v>0</v>
      </c>
      <c r="BH58" s="15">
        <f>Domestic!BK59/Domestic!BK$96</f>
        <v>0</v>
      </c>
      <c r="BI58" s="15">
        <f>Domestic!BL59/Domestic!BL$96</f>
        <v>0</v>
      </c>
      <c r="BJ58" s="15">
        <f>Domestic!BM59/Domestic!BM$96</f>
        <v>0</v>
      </c>
      <c r="BK58" s="15">
        <f>Domestic!BN59/Domestic!BN$96</f>
        <v>0</v>
      </c>
      <c r="BL58" s="15">
        <f>Domestic!BO59/Domestic!BO$96</f>
        <v>0</v>
      </c>
      <c r="BM58" s="15">
        <f>Domestic!BP59/Domestic!BP$96</f>
        <v>0</v>
      </c>
      <c r="BN58" s="15">
        <f>Domestic!BQ59/Domestic!BQ$96</f>
        <v>0</v>
      </c>
      <c r="BO58" s="15">
        <f>Domestic!BR59/Domestic!BR$96</f>
        <v>0</v>
      </c>
      <c r="BP58" s="15">
        <f>Domestic!BS59/Domestic!BS$96</f>
        <v>0</v>
      </c>
      <c r="BQ58" s="15">
        <f>Domestic!BT59/Domestic!BT$96</f>
        <v>0</v>
      </c>
      <c r="BR58" s="15">
        <f>Domestic!BU59/Domestic!BU$96</f>
        <v>0</v>
      </c>
      <c r="BS58" s="15">
        <f>Domestic!BV59/Domestic!BV$96</f>
        <v>0</v>
      </c>
      <c r="BT58" s="15">
        <f>Domestic!BW59/Domestic!BW$96</f>
        <v>0</v>
      </c>
      <c r="BU58" s="15">
        <f>Domestic!BX59/Domestic!BX$96</f>
        <v>0</v>
      </c>
      <c r="BV58" s="15">
        <f>Domestic!BY59/Domestic!BY$96</f>
        <v>0</v>
      </c>
      <c r="BW58" s="15">
        <f>Domestic!BZ59/Domestic!BZ$96</f>
        <v>0</v>
      </c>
      <c r="BX58" s="15">
        <f>Domestic!CA59/Domestic!CA$96</f>
        <v>0</v>
      </c>
      <c r="BY58" s="15">
        <f>Domestic!CB59/Domestic!CB$96</f>
        <v>0</v>
      </c>
      <c r="BZ58" s="15">
        <f>Domestic!CC59/Domestic!CC$96</f>
        <v>0</v>
      </c>
      <c r="CA58" s="15">
        <f>Domestic!CD59/Domestic!CD$96</f>
        <v>0</v>
      </c>
    </row>
    <row r="59" spans="1:79" x14ac:dyDescent="0.3">
      <c r="A59" s="7" t="s">
        <v>147</v>
      </c>
      <c r="B59" s="15">
        <f>Domestic!E60/Domestic!E$96</f>
        <v>2.4789936883524823E-3</v>
      </c>
      <c r="C59" s="15">
        <f>Domestic!F60/Domestic!F$96</f>
        <v>8.8408322267593186E-4</v>
      </c>
      <c r="D59" s="15">
        <f>Domestic!G60/Domestic!G$96</f>
        <v>3.9753217851276132E-5</v>
      </c>
      <c r="E59" s="15">
        <f>Domestic!H60/Domestic!H$96</f>
        <v>6.9935808017370336E-4</v>
      </c>
      <c r="F59" s="15">
        <f>Domestic!I60/Domestic!I$96</f>
        <v>1.3917698355583436E-3</v>
      </c>
      <c r="G59" s="15">
        <f>Domestic!J60/Domestic!J$96</f>
        <v>5.3820318508878426E-4</v>
      </c>
      <c r="H59" s="15">
        <f>Domestic!K60/Domestic!K$96</f>
        <v>7.4190270182837928E-4</v>
      </c>
      <c r="I59" s="15">
        <f>Domestic!L60/Domestic!L$96</f>
        <v>1.9625016870819079E-2</v>
      </c>
      <c r="J59" s="15">
        <f>Domestic!M60/Domestic!M$96</f>
        <v>6.6272202099592681E-4</v>
      </c>
      <c r="K59" s="15">
        <f>Domestic!N60/Domestic!N$96</f>
        <v>1.3893606883629156E-3</v>
      </c>
      <c r="L59" s="15">
        <f>Domestic!O60/Domestic!O$96</f>
        <v>4.3247943679298999E-3</v>
      </c>
      <c r="M59" s="15">
        <f>Domestic!P60/Domestic!P$96</f>
        <v>5.6526616498635566E-4</v>
      </c>
      <c r="N59" s="15">
        <f>Domestic!Q60/Domestic!Q$96</f>
        <v>1.3233311642129133E-3</v>
      </c>
      <c r="O59" s="15">
        <f>Domestic!R60/Domestic!R$96</f>
        <v>6.5606403948886599E-4</v>
      </c>
      <c r="P59" s="15">
        <f>Domestic!S60/Domestic!S$96</f>
        <v>2.1020920294691782E-3</v>
      </c>
      <c r="Q59" s="15">
        <f>Domestic!T60/Domestic!T$96</f>
        <v>1.1332342286896092E-3</v>
      </c>
      <c r="R59" s="15">
        <f>Domestic!U60/Domestic!U$96</f>
        <v>1.2452292915422574E-3</v>
      </c>
      <c r="S59" s="15">
        <f>Domestic!V60/Domestic!V$96</f>
        <v>2.3841895706998681E-3</v>
      </c>
      <c r="T59" s="15">
        <f>Domestic!W60/Domestic!W$96</f>
        <v>1.5999490670100208E-3</v>
      </c>
      <c r="U59" s="15">
        <f>Domestic!X60/Domestic!X$96</f>
        <v>2.8511428097073325E-3</v>
      </c>
      <c r="V59" s="15">
        <f>Domestic!Y60/Domestic!Y$96</f>
        <v>2.8613318686346949E-3</v>
      </c>
      <c r="W59" s="15">
        <f>Domestic!Z60/Domestic!Z$96</f>
        <v>5.7497531677507896E-5</v>
      </c>
      <c r="X59" s="15">
        <f>Domestic!AA60/Domestic!AA$96</f>
        <v>1.5288427038322972E-3</v>
      </c>
      <c r="Y59" s="15">
        <f>Domestic!AB60/Domestic!AB$96</f>
        <v>2.0599270527897652E-3</v>
      </c>
      <c r="Z59" s="15">
        <f>Domestic!AC60/Domestic!AC$96</f>
        <v>2.7346275347863627E-3</v>
      </c>
      <c r="AA59" s="15">
        <f>Domestic!AD60/Domestic!AD$96</f>
        <v>2.5467586619631372E-3</v>
      </c>
      <c r="AB59" s="15">
        <f>Domestic!AE60/Domestic!AE$96</f>
        <v>2.2146262143234096E-3</v>
      </c>
      <c r="AC59" s="15">
        <f>Domestic!AF60/Domestic!AF$96</f>
        <v>7.8983819231637253E-4</v>
      </c>
      <c r="AD59" s="15">
        <f>Domestic!AG60/Domestic!AG$96</f>
        <v>6.1208327887624239E-5</v>
      </c>
      <c r="AE59" s="15">
        <f>Domestic!AH60/Domestic!AH$96</f>
        <v>4.0137748571669328E-4</v>
      </c>
      <c r="AF59" s="15">
        <f>Domestic!AI60/Domestic!AI$96</f>
        <v>4.4817727848185917E-4</v>
      </c>
      <c r="AG59" s="15">
        <f>Domestic!AJ60/Domestic!AJ$96</f>
        <v>9.9443059160548002E-4</v>
      </c>
      <c r="AH59" s="15">
        <f>Domestic!AK60/Domestic!AK$96</f>
        <v>3.4859436991683434E-4</v>
      </c>
      <c r="AI59" s="15">
        <f>Domestic!AL60/Domestic!AL$96</f>
        <v>1.3969368470250671E-2</v>
      </c>
      <c r="AJ59" s="15">
        <f>Domestic!AM60/Domestic!AM$96</f>
        <v>8.4815184296481959E-3</v>
      </c>
      <c r="AK59" s="15">
        <f>Domestic!AN60/Domestic!AN$96</f>
        <v>2.9338677002512074E-3</v>
      </c>
      <c r="AL59" s="15">
        <f>Domestic!AO60/Domestic!AO$96</f>
        <v>3.2351814675085459E-3</v>
      </c>
      <c r="AM59" s="15">
        <f>Domestic!AP60/Domestic!AP$96</f>
        <v>4.3192622350253854E-4</v>
      </c>
      <c r="AN59" s="15">
        <f>Domestic!AQ60/Domestic!AQ$96</f>
        <v>2.5082338483596632E-4</v>
      </c>
      <c r="AO59" s="15">
        <f>Domestic!AR60/Domestic!AR$96</f>
        <v>7.6377874100513876E-4</v>
      </c>
      <c r="AP59" s="15">
        <f>Domestic!AS60/Domestic!AS$96</f>
        <v>4.2276970174133814E-3</v>
      </c>
      <c r="AQ59" s="15">
        <f>Domestic!AT60/Domestic!AT$96</f>
        <v>1.9783491544292306E-3</v>
      </c>
      <c r="AR59" s="15">
        <f>Domestic!AU60/Domestic!AU$96</f>
        <v>1.3403399721223905E-3</v>
      </c>
      <c r="AS59" s="15">
        <f>Domestic!AV60/Domestic!AV$96</f>
        <v>1.0462470176140707E-3</v>
      </c>
      <c r="AT59" s="15">
        <f>Domestic!AW60/Domestic!AW$96</f>
        <v>8.6496190949447347E-4</v>
      </c>
      <c r="AU59" s="15">
        <f>Domestic!AX60/Domestic!AX$96</f>
        <v>3.8958325045363542E-3</v>
      </c>
      <c r="AV59" s="15">
        <f>Domestic!AY60/Domestic!AY$96</f>
        <v>1.4216878224565771E-3</v>
      </c>
      <c r="AW59" s="15">
        <f>Domestic!AZ60/Domestic!AZ$96</f>
        <v>7.6660616784279291E-4</v>
      </c>
      <c r="AX59" s="15">
        <f>Domestic!BA60/Domestic!BA$96</f>
        <v>6.0977906012896384E-3</v>
      </c>
      <c r="AY59" s="15">
        <f>Domestic!BB60/Domestic!BB$96</f>
        <v>2.2445433951749343E-3</v>
      </c>
      <c r="AZ59" s="15">
        <f>Domestic!BC60/Domestic!BC$96</f>
        <v>1.3730689501366947E-3</v>
      </c>
      <c r="BA59" s="15">
        <f>Domestic!BD60/Domestic!BD$96</f>
        <v>2.2297546000694997E-4</v>
      </c>
      <c r="BB59" s="15">
        <f>Domestic!BE60/Domestic!BE$96</f>
        <v>2.537168744358441E-3</v>
      </c>
      <c r="BC59" s="15">
        <f>Domestic!BF60/Domestic!BF$96</f>
        <v>1.1414394219416382E-2</v>
      </c>
      <c r="BD59" s="15">
        <f>Domestic!BG60/Domestic!BG$96</f>
        <v>2.0302434369201813E-2</v>
      </c>
      <c r="BE59" s="15">
        <f>Domestic!BH60/Domestic!BH$96</f>
        <v>1.414908914741392E-2</v>
      </c>
      <c r="BF59" s="15">
        <f>Domestic!BI60/Domestic!BI$96</f>
        <v>4.3033360448020713E-4</v>
      </c>
      <c r="BG59" s="15">
        <f>Domestic!BJ60/Domestic!BJ$96</f>
        <v>2.2545038802167868E-3</v>
      </c>
      <c r="BH59" s="15">
        <f>Domestic!BK60/Domestic!BK$96</f>
        <v>2.4713305149226243E-5</v>
      </c>
      <c r="BI59" s="15">
        <f>Domestic!BL60/Domestic!BL$96</f>
        <v>4.0034597632258705E-3</v>
      </c>
      <c r="BJ59" s="15">
        <f>Domestic!BM60/Domestic!BM$96</f>
        <v>8.268872782221633E-3</v>
      </c>
      <c r="BK59" s="15">
        <f>Domestic!BN60/Domestic!BN$96</f>
        <v>1.238355382605507E-3</v>
      </c>
      <c r="BL59" s="15">
        <f>Domestic!BO60/Domestic!BO$96</f>
        <v>1.9932335357963353E-3</v>
      </c>
      <c r="BM59" s="15">
        <f>Domestic!BP60/Domestic!BP$96</f>
        <v>5.1908499207807069E-4</v>
      </c>
      <c r="BN59" s="15">
        <f>Domestic!BQ60/Domestic!BQ$96</f>
        <v>4.8772087474625907E-4</v>
      </c>
      <c r="BO59" s="15">
        <f>Domestic!BR60/Domestic!BR$96</f>
        <v>7.8636022517130277E-4</v>
      </c>
      <c r="BP59" s="15">
        <f>Domestic!BS60/Domestic!BS$96</f>
        <v>2.0965825704102314E-5</v>
      </c>
      <c r="BQ59" s="15">
        <f>Domestic!BT60/Domestic!BT$96</f>
        <v>1.553538031164786E-4</v>
      </c>
      <c r="BR59" s="15">
        <f>Domestic!BU60/Domestic!BU$96</f>
        <v>2.1113312749844373E-4</v>
      </c>
      <c r="BS59" s="15">
        <f>Domestic!BV60/Domestic!BV$96</f>
        <v>9.7932316671336624E-4</v>
      </c>
      <c r="BT59" s="15">
        <f>Domestic!BW60/Domestic!BW$96</f>
        <v>3.7265762092349056E-4</v>
      </c>
      <c r="BU59" s="15">
        <f>Domestic!BX60/Domestic!BX$96</f>
        <v>2.9610125416031333E-3</v>
      </c>
      <c r="BV59" s="15">
        <f>Domestic!BY60/Domestic!BY$96</f>
        <v>7.1374489042133301E-4</v>
      </c>
      <c r="BW59" s="15">
        <f>Domestic!BZ60/Domestic!BZ$96</f>
        <v>2.0321269114441875E-4</v>
      </c>
      <c r="BX59" s="15">
        <f>Domestic!CA60/Domestic!CA$96</f>
        <v>1.3403263614562426E-4</v>
      </c>
      <c r="BY59" s="15">
        <f>Domestic!CB60/Domestic!CB$96</f>
        <v>3.3666299132158162E-4</v>
      </c>
      <c r="BZ59" s="15">
        <f>Domestic!CC60/Domestic!CC$96</f>
        <v>0</v>
      </c>
      <c r="CA59" s="15">
        <f>Domestic!CD60/Domestic!CD$96</f>
        <v>1.1399524875143638E-2</v>
      </c>
    </row>
    <row r="60" spans="1:79" x14ac:dyDescent="0.3">
      <c r="A60" s="8" t="s">
        <v>148</v>
      </c>
      <c r="B60" s="15">
        <f>Domestic!E61/Domestic!E$96</f>
        <v>0</v>
      </c>
      <c r="C60" s="15">
        <f>Domestic!F61/Domestic!F$96</f>
        <v>7.0841942479442798E-7</v>
      </c>
      <c r="D60" s="15">
        <f>Domestic!G61/Domestic!G$96</f>
        <v>0</v>
      </c>
      <c r="E60" s="15">
        <f>Domestic!H61/Domestic!H$96</f>
        <v>0</v>
      </c>
      <c r="F60" s="15">
        <f>Domestic!I61/Domestic!I$96</f>
        <v>0</v>
      </c>
      <c r="G60" s="15">
        <f>Domestic!J61/Domestic!J$96</f>
        <v>0</v>
      </c>
      <c r="H60" s="15">
        <f>Domestic!K61/Domestic!K$96</f>
        <v>2.5185376022371006E-5</v>
      </c>
      <c r="I60" s="15">
        <f>Domestic!L61/Domestic!L$96</f>
        <v>1.4714826319376189E-3</v>
      </c>
      <c r="J60" s="15">
        <f>Domestic!M61/Domestic!M$96</f>
        <v>2.4021692517899992E-4</v>
      </c>
      <c r="K60" s="15">
        <f>Domestic!N61/Domestic!N$96</f>
        <v>2.3333831775554285E-5</v>
      </c>
      <c r="L60" s="15">
        <f>Domestic!O61/Domestic!O$96</f>
        <v>8.113136472823872E-5</v>
      </c>
      <c r="M60" s="15">
        <f>Domestic!P61/Domestic!P$96</f>
        <v>4.3310889247726902E-7</v>
      </c>
      <c r="N60" s="15">
        <f>Domestic!Q61/Domestic!Q$96</f>
        <v>5.0717226473507254E-5</v>
      </c>
      <c r="O60" s="15">
        <f>Domestic!R61/Domestic!R$96</f>
        <v>1.2193858163911488E-4</v>
      </c>
      <c r="P60" s="15">
        <f>Domestic!S61/Domestic!S$96</f>
        <v>4.6673108905604797E-6</v>
      </c>
      <c r="Q60" s="15">
        <f>Domestic!T61/Domestic!T$96</f>
        <v>0</v>
      </c>
      <c r="R60" s="15">
        <f>Domestic!U61/Domestic!U$96</f>
        <v>4.0136690574505454E-6</v>
      </c>
      <c r="S60" s="15">
        <f>Domestic!V61/Domestic!V$96</f>
        <v>0</v>
      </c>
      <c r="T60" s="15">
        <f>Domestic!W61/Domestic!W$96</f>
        <v>0</v>
      </c>
      <c r="U60" s="15">
        <f>Domestic!X61/Domestic!X$96</f>
        <v>1.7585479363083138E-4</v>
      </c>
      <c r="V60" s="15">
        <f>Domestic!Y61/Domestic!Y$96</f>
        <v>2.5178146300457074E-4</v>
      </c>
      <c r="W60" s="15">
        <f>Domestic!Z61/Domestic!Z$96</f>
        <v>0</v>
      </c>
      <c r="X60" s="15">
        <f>Domestic!AA61/Domestic!AA$96</f>
        <v>1.1400182971450006E-4</v>
      </c>
      <c r="Y60" s="15">
        <f>Domestic!AB61/Domestic!AB$96</f>
        <v>6.7428990980276197E-5</v>
      </c>
      <c r="Z60" s="15">
        <f>Domestic!AC61/Domestic!AC$96</f>
        <v>2.5222607536271973E-4</v>
      </c>
      <c r="AA60" s="15">
        <f>Domestic!AD61/Domestic!AD$96</f>
        <v>1.5055993429069817E-4</v>
      </c>
      <c r="AB60" s="15">
        <f>Domestic!AE61/Domestic!AE$96</f>
        <v>9.5863558518464239E-5</v>
      </c>
      <c r="AC60" s="15">
        <f>Domestic!AF61/Domestic!AF$96</f>
        <v>3.4578227218967132E-5</v>
      </c>
      <c r="AD60" s="15">
        <f>Domestic!AG61/Domestic!AG$96</f>
        <v>9.755104970456505E-6</v>
      </c>
      <c r="AE60" s="15">
        <f>Domestic!AH61/Domestic!AH$96</f>
        <v>8.3848199461370964E-5</v>
      </c>
      <c r="AF60" s="15">
        <f>Domestic!AI61/Domestic!AI$96</f>
        <v>3.2482444956176374E-5</v>
      </c>
      <c r="AG60" s="15">
        <f>Domestic!AJ61/Domestic!AJ$96</f>
        <v>9.8830036134156798E-5</v>
      </c>
      <c r="AH60" s="15">
        <f>Domestic!AK61/Domestic!AK$96</f>
        <v>8.4874537182049207E-6</v>
      </c>
      <c r="AI60" s="15">
        <f>Domestic!AL61/Domestic!AL$96</f>
        <v>0</v>
      </c>
      <c r="AJ60" s="15">
        <f>Domestic!AM61/Domestic!AM$96</f>
        <v>6.2053672478644897E-5</v>
      </c>
      <c r="AK60" s="15">
        <f>Domestic!AN61/Domestic!AN$96</f>
        <v>6.1400596181555665E-3</v>
      </c>
      <c r="AL60" s="15">
        <f>Domestic!AO61/Domestic!AO$96</f>
        <v>1.4539558671376512E-4</v>
      </c>
      <c r="AM60" s="15">
        <f>Domestic!AP61/Domestic!AP$96</f>
        <v>0</v>
      </c>
      <c r="AN60" s="15">
        <f>Domestic!AQ61/Domestic!AQ$96</f>
        <v>2.1153074727652179E-7</v>
      </c>
      <c r="AO60" s="15">
        <f>Domestic!AR61/Domestic!AR$96</f>
        <v>5.3443666702379844E-5</v>
      </c>
      <c r="AP60" s="15">
        <f>Domestic!AS61/Domestic!AS$96</f>
        <v>0</v>
      </c>
      <c r="AQ60" s="15">
        <f>Domestic!AT61/Domestic!AT$96</f>
        <v>2.3125701055730466E-4</v>
      </c>
      <c r="AR60" s="15">
        <f>Domestic!AU61/Domestic!AU$96</f>
        <v>4.3792204027881982E-4</v>
      </c>
      <c r="AS60" s="15">
        <f>Domestic!AV61/Domestic!AV$96</f>
        <v>3.1628349537162289E-4</v>
      </c>
      <c r="AT60" s="15">
        <f>Domestic!AW61/Domestic!AW$96</f>
        <v>1.4290148093156876E-4</v>
      </c>
      <c r="AU60" s="15">
        <f>Domestic!AX61/Domestic!AX$96</f>
        <v>2.2679860513200874E-4</v>
      </c>
      <c r="AV60" s="15">
        <f>Domestic!AY61/Domestic!AY$96</f>
        <v>0</v>
      </c>
      <c r="AW60" s="15">
        <f>Domestic!AZ61/Domestic!AZ$96</f>
        <v>1.9887986677159694E-4</v>
      </c>
      <c r="AX60" s="15">
        <f>Domestic!BA61/Domestic!BA$96</f>
        <v>2.9475317916538313E-4</v>
      </c>
      <c r="AY60" s="15">
        <f>Domestic!BB61/Domestic!BB$96</f>
        <v>1.1502276853444543E-3</v>
      </c>
      <c r="AZ60" s="15">
        <f>Domestic!BC61/Domestic!BC$96</f>
        <v>4.4187909288375733E-4</v>
      </c>
      <c r="BA60" s="15">
        <f>Domestic!BD61/Domestic!BD$96</f>
        <v>0</v>
      </c>
      <c r="BB60" s="15">
        <f>Domestic!BE61/Domestic!BE$96</f>
        <v>0</v>
      </c>
      <c r="BC60" s="15">
        <f>Domestic!BF61/Domestic!BF$96</f>
        <v>1.2799061868780529E-3</v>
      </c>
      <c r="BD60" s="15">
        <f>Domestic!BG61/Domestic!BG$96</f>
        <v>5.2639429816409442E-2</v>
      </c>
      <c r="BE60" s="15">
        <f>Domestic!BH61/Domestic!BH$96</f>
        <v>3.4799681436126547E-3</v>
      </c>
      <c r="BF60" s="15">
        <f>Domestic!BI61/Domestic!BI$96</f>
        <v>4.2615364361176414E-5</v>
      </c>
      <c r="BG60" s="15">
        <f>Domestic!BJ61/Domestic!BJ$96</f>
        <v>2.314507996478415E-4</v>
      </c>
      <c r="BH60" s="15">
        <f>Domestic!BK61/Domestic!BK$96</f>
        <v>0</v>
      </c>
      <c r="BI60" s="15">
        <f>Domestic!BL61/Domestic!BL$96</f>
        <v>1.5444646098716143E-4</v>
      </c>
      <c r="BJ60" s="15">
        <f>Domestic!BM61/Domestic!BM$96</f>
        <v>8.9421744762381947E-2</v>
      </c>
      <c r="BK60" s="15">
        <f>Domestic!BN61/Domestic!BN$96</f>
        <v>3.1369599696372941E-4</v>
      </c>
      <c r="BL60" s="15">
        <f>Domestic!BO61/Domestic!BO$96</f>
        <v>0</v>
      </c>
      <c r="BM60" s="15">
        <f>Domestic!BP61/Domestic!BP$96</f>
        <v>3.6274569710844166E-5</v>
      </c>
      <c r="BN60" s="15">
        <f>Domestic!BQ61/Domestic!BQ$96</f>
        <v>3.3239695579745791E-5</v>
      </c>
      <c r="BO60" s="15">
        <f>Domestic!BR61/Domestic!BR$96</f>
        <v>3.7253701504327613E-5</v>
      </c>
      <c r="BP60" s="15">
        <f>Domestic!BS61/Domestic!BS$96</f>
        <v>0</v>
      </c>
      <c r="BQ60" s="15">
        <f>Domestic!BT61/Domestic!BT$96</f>
        <v>2.8720128562488932E-5</v>
      </c>
      <c r="BR60" s="15">
        <f>Domestic!BU61/Domestic!BU$96</f>
        <v>2.3846578417196655E-5</v>
      </c>
      <c r="BS60" s="15">
        <f>Domestic!BV61/Domestic!BV$96</f>
        <v>0</v>
      </c>
      <c r="BT60" s="15">
        <f>Domestic!BW61/Domestic!BW$96</f>
        <v>1.1955702084903919E-4</v>
      </c>
      <c r="BU60" s="15">
        <f>Domestic!BX61/Domestic!BX$96</f>
        <v>2.1746737877168475E-4</v>
      </c>
      <c r="BV60" s="15">
        <f>Domestic!BY61/Domestic!BY$96</f>
        <v>2.0344121154413969E-4</v>
      </c>
      <c r="BW60" s="15">
        <f>Domestic!BZ61/Domestic!BZ$96</f>
        <v>6.5650880577307642E-5</v>
      </c>
      <c r="BX60" s="15">
        <f>Domestic!CA61/Domestic!CA$96</f>
        <v>6.6895455031734991E-5</v>
      </c>
      <c r="BY60" s="15">
        <f>Domestic!CB61/Domestic!CB$96</f>
        <v>2.179520278068715E-5</v>
      </c>
      <c r="BZ60" s="15">
        <f>Domestic!CC61/Domestic!CC$96</f>
        <v>0</v>
      </c>
      <c r="CA60" s="15">
        <f>Domestic!CD61/Domestic!CD$96</f>
        <v>0</v>
      </c>
    </row>
    <row r="61" spans="1:79" x14ac:dyDescent="0.3">
      <c r="A61" s="7" t="s">
        <v>149</v>
      </c>
      <c r="B61" s="15">
        <f>Domestic!E62/Domestic!E$96</f>
        <v>1.5013639215988056E-3</v>
      </c>
      <c r="C61" s="15">
        <f>Domestic!F62/Domestic!F$96</f>
        <v>1.3024018655836024E-5</v>
      </c>
      <c r="D61" s="15">
        <f>Domestic!G62/Domestic!G$96</f>
        <v>0</v>
      </c>
      <c r="E61" s="15">
        <f>Domestic!H62/Domestic!H$96</f>
        <v>3.4606602373838806E-4</v>
      </c>
      <c r="F61" s="15">
        <f>Domestic!I62/Domestic!I$96</f>
        <v>4.5507198411385083E-4</v>
      </c>
      <c r="G61" s="15">
        <f>Domestic!J62/Domestic!J$96</f>
        <v>4.087095597427785E-3</v>
      </c>
      <c r="H61" s="15">
        <f>Domestic!K62/Domestic!K$96</f>
        <v>3.0820962563635191E-4</v>
      </c>
      <c r="I61" s="15">
        <f>Domestic!L62/Domestic!L$96</f>
        <v>1.9443455111838402E-2</v>
      </c>
      <c r="J61" s="15">
        <f>Domestic!M62/Domestic!M$96</f>
        <v>7.6205680221924567E-4</v>
      </c>
      <c r="K61" s="15">
        <f>Domestic!N62/Domestic!N$96</f>
        <v>1.8060409714147572E-4</v>
      </c>
      <c r="L61" s="15">
        <f>Domestic!O62/Domestic!O$96</f>
        <v>8.2496607577441366E-4</v>
      </c>
      <c r="M61" s="15">
        <f>Domestic!P62/Domestic!P$96</f>
        <v>2.4008341493525948E-4</v>
      </c>
      <c r="N61" s="15">
        <f>Domestic!Q62/Domestic!Q$96</f>
        <v>1.3849707369490956E-4</v>
      </c>
      <c r="O61" s="15">
        <f>Domestic!R62/Domestic!R$96</f>
        <v>7.3204082429602192E-5</v>
      </c>
      <c r="P61" s="15">
        <f>Domestic!S62/Domestic!S$96</f>
        <v>1.9060042261538304E-4</v>
      </c>
      <c r="Q61" s="15">
        <f>Domestic!T62/Domestic!T$96</f>
        <v>3.5557882671050745E-4</v>
      </c>
      <c r="R61" s="15">
        <f>Domestic!U62/Domestic!U$96</f>
        <v>3.8133316105312475E-4</v>
      </c>
      <c r="S61" s="15">
        <f>Domestic!V62/Domestic!V$96</f>
        <v>1.6621319894715656E-4</v>
      </c>
      <c r="T61" s="15">
        <f>Domestic!W62/Domestic!W$96</f>
        <v>1.5266949441942101E-4</v>
      </c>
      <c r="U61" s="15">
        <f>Domestic!X62/Domestic!X$96</f>
        <v>3.1674420580047496E-4</v>
      </c>
      <c r="V61" s="15">
        <f>Domestic!Y62/Domestic!Y$96</f>
        <v>3.4794160649380775E-4</v>
      </c>
      <c r="W61" s="15">
        <f>Domestic!Z62/Domestic!Z$96</f>
        <v>1.7060056128306471E-3</v>
      </c>
      <c r="X61" s="15">
        <f>Domestic!AA62/Domestic!AA$96</f>
        <v>2.9429008296299292E-4</v>
      </c>
      <c r="Y61" s="15">
        <f>Domestic!AB62/Domestic!AB$96</f>
        <v>2.7432813961462163E-4</v>
      </c>
      <c r="Z61" s="15">
        <f>Domestic!AC62/Domestic!AC$96</f>
        <v>6.1152013064741254E-4</v>
      </c>
      <c r="AA61" s="15">
        <f>Domestic!AD62/Domestic!AD$96</f>
        <v>1.7759734147574562E-4</v>
      </c>
      <c r="AB61" s="15">
        <f>Domestic!AE62/Domestic!AE$96</f>
        <v>2.5540803482267013E-4</v>
      </c>
      <c r="AC61" s="15">
        <f>Domestic!AF62/Domestic!AF$96</f>
        <v>2.3168460515575598E-4</v>
      </c>
      <c r="AD61" s="15">
        <f>Domestic!AG62/Domestic!AG$96</f>
        <v>2.9259315782644371E-4</v>
      </c>
      <c r="AE61" s="15">
        <f>Domestic!AH62/Domestic!AH$96</f>
        <v>2.1257726302709943E-4</v>
      </c>
      <c r="AF61" s="15">
        <f>Domestic!AI62/Domestic!AI$96</f>
        <v>3.0407308631657739E-4</v>
      </c>
      <c r="AG61" s="15">
        <f>Domestic!AJ62/Domestic!AJ$96</f>
        <v>1.4161121755039419E-4</v>
      </c>
      <c r="AH61" s="15">
        <f>Domestic!AK62/Domestic!AK$96</f>
        <v>9.7219723892234477E-5</v>
      </c>
      <c r="AI61" s="15">
        <f>Domestic!AL62/Domestic!AL$96</f>
        <v>2.0011528199211435E-3</v>
      </c>
      <c r="AJ61" s="15">
        <f>Domestic!AM62/Domestic!AM$96</f>
        <v>8.1880656911352914E-4</v>
      </c>
      <c r="AK61" s="15">
        <f>Domestic!AN62/Domestic!AN$96</f>
        <v>6.3066482711716476E-4</v>
      </c>
      <c r="AL61" s="15">
        <f>Domestic!AO62/Domestic!AO$96</f>
        <v>9.7025477435842518E-4</v>
      </c>
      <c r="AM61" s="15">
        <f>Domestic!AP62/Domestic!AP$96</f>
        <v>1.2530124651972108E-3</v>
      </c>
      <c r="AN61" s="15">
        <f>Domestic!AQ62/Domestic!AQ$96</f>
        <v>1.9258704710394645E-3</v>
      </c>
      <c r="AO61" s="15">
        <f>Domestic!AR62/Domestic!AR$96</f>
        <v>9.5390421526628721E-4</v>
      </c>
      <c r="AP61" s="15">
        <f>Domestic!AS62/Domestic!AS$96</f>
        <v>4.9408267096005412E-3</v>
      </c>
      <c r="AQ61" s="15">
        <f>Domestic!AT62/Domestic!AT$96</f>
        <v>1.4007214477389015E-3</v>
      </c>
      <c r="AR61" s="15">
        <f>Domestic!AU62/Domestic!AU$96</f>
        <v>9.7356617378263795E-4</v>
      </c>
      <c r="AS61" s="15">
        <f>Domestic!AV62/Domestic!AV$96</f>
        <v>5.1781468319072666E-4</v>
      </c>
      <c r="AT61" s="15">
        <f>Domestic!AW62/Domestic!AW$96</f>
        <v>1.6878736028069028E-3</v>
      </c>
      <c r="AU61" s="15">
        <f>Domestic!AX62/Domestic!AX$96</f>
        <v>2.8677624083865271E-3</v>
      </c>
      <c r="AV61" s="15">
        <f>Domestic!AY62/Domestic!AY$96</f>
        <v>3.8735475814785799E-4</v>
      </c>
      <c r="AW61" s="15">
        <f>Domestic!AZ62/Domestic!AZ$96</f>
        <v>3.0079180932839365E-4</v>
      </c>
      <c r="AX61" s="15">
        <f>Domestic!BA62/Domestic!BA$96</f>
        <v>2.6616686952620761E-3</v>
      </c>
      <c r="AY61" s="15">
        <f>Domestic!BB62/Domestic!BB$96</f>
        <v>2.7074577667956894E-3</v>
      </c>
      <c r="AZ61" s="15">
        <f>Domestic!BC62/Domestic!BC$96</f>
        <v>1.5921899113651258E-4</v>
      </c>
      <c r="BA61" s="15">
        <f>Domestic!BD62/Domestic!BD$96</f>
        <v>4.3840405829058778E-4</v>
      </c>
      <c r="BB61" s="15">
        <f>Domestic!BE62/Domestic!BE$96</f>
        <v>6.7899232068726169E-5</v>
      </c>
      <c r="BC61" s="15">
        <f>Domestic!BF62/Domestic!BF$96</f>
        <v>2.9317249227015243E-3</v>
      </c>
      <c r="BD61" s="15">
        <f>Domestic!BG62/Domestic!BG$96</f>
        <v>2.3533797603099784E-4</v>
      </c>
      <c r="BE61" s="15">
        <f>Domestic!BH62/Domestic!BH$96</f>
        <v>0.14582740350768136</v>
      </c>
      <c r="BF61" s="15">
        <f>Domestic!BI62/Domestic!BI$96</f>
        <v>2.6757011047240386E-4</v>
      </c>
      <c r="BG61" s="15">
        <f>Domestic!BJ62/Domestic!BJ$96</f>
        <v>9.1408098175685176E-4</v>
      </c>
      <c r="BH61" s="15">
        <f>Domestic!BK62/Domestic!BK$96</f>
        <v>1.9350417877977145E-5</v>
      </c>
      <c r="BI61" s="15">
        <f>Domestic!BL62/Domestic!BL$96</f>
        <v>5.9620000427176357E-4</v>
      </c>
      <c r="BJ61" s="15">
        <f>Domestic!BM62/Domestic!BM$96</f>
        <v>4.961401324991725E-4</v>
      </c>
      <c r="BK61" s="15">
        <f>Domestic!BN62/Domestic!BN$96</f>
        <v>3.1177030329050372E-4</v>
      </c>
      <c r="BL61" s="15">
        <f>Domestic!BO62/Domestic!BO$96</f>
        <v>1.8622757690502678E-4</v>
      </c>
      <c r="BM61" s="15">
        <f>Domestic!BP62/Domestic!BP$96</f>
        <v>9.6074146483987415E-4</v>
      </c>
      <c r="BN61" s="15">
        <f>Domestic!BQ62/Domestic!BQ$96</f>
        <v>3.6120159780856659E-3</v>
      </c>
      <c r="BO61" s="15">
        <f>Domestic!BR62/Domestic!BR$96</f>
        <v>2.6181062658576716E-3</v>
      </c>
      <c r="BP61" s="15">
        <f>Domestic!BS62/Domestic!BS$96</f>
        <v>1.5639195611153818E-3</v>
      </c>
      <c r="BQ61" s="15">
        <f>Domestic!BT62/Domestic!BT$96</f>
        <v>1.2373132145936194E-2</v>
      </c>
      <c r="BR61" s="15">
        <f>Domestic!BU62/Domestic!BU$96</f>
        <v>3.752643033340071E-4</v>
      </c>
      <c r="BS61" s="15">
        <f>Domestic!BV62/Domestic!BV$96</f>
        <v>1.2099407518477363E-3</v>
      </c>
      <c r="BT61" s="15">
        <f>Domestic!BW62/Domestic!BW$96</f>
        <v>4.0368654018683374E-4</v>
      </c>
      <c r="BU61" s="15">
        <f>Domestic!BX62/Domestic!BX$96</f>
        <v>6.0167338668341754E-4</v>
      </c>
      <c r="BV61" s="15">
        <f>Domestic!BY62/Domestic!BY$96</f>
        <v>3.5913838976786298E-5</v>
      </c>
      <c r="BW61" s="15">
        <f>Domestic!BZ62/Domestic!BZ$96</f>
        <v>4.7778125778177345E-5</v>
      </c>
      <c r="BX61" s="15">
        <f>Domestic!CA62/Domestic!CA$96</f>
        <v>2.2745081408039926E-4</v>
      </c>
      <c r="BY61" s="15">
        <f>Domestic!CB62/Domestic!CB$96</f>
        <v>3.907473834069905E-4</v>
      </c>
      <c r="BZ61" s="15">
        <f>Domestic!CC62/Domestic!CC$96</f>
        <v>0</v>
      </c>
      <c r="CA61" s="15">
        <f>Domestic!CD62/Domestic!CD$96</f>
        <v>5.6026472771930685E-3</v>
      </c>
    </row>
    <row r="62" spans="1:79" x14ac:dyDescent="0.3">
      <c r="A62" s="8" t="s">
        <v>150</v>
      </c>
      <c r="B62" s="15">
        <f>Domestic!E63/Domestic!E$96</f>
        <v>7.3222905635031843E-9</v>
      </c>
      <c r="C62" s="15">
        <f>Domestic!F63/Domestic!F$96</f>
        <v>1.6347131427699345E-4</v>
      </c>
      <c r="D62" s="15">
        <f>Domestic!G63/Domestic!G$96</f>
        <v>0</v>
      </c>
      <c r="E62" s="15">
        <f>Domestic!H63/Domestic!H$96</f>
        <v>1.0280555072489949E-3</v>
      </c>
      <c r="F62" s="15">
        <f>Domestic!I63/Domestic!I$96</f>
        <v>4.5025187705167238E-3</v>
      </c>
      <c r="G62" s="15">
        <f>Domestic!J63/Domestic!J$96</f>
        <v>3.3524068243737489E-4</v>
      </c>
      <c r="H62" s="15">
        <f>Domestic!K63/Domestic!K$96</f>
        <v>1.0103933698924956E-3</v>
      </c>
      <c r="I62" s="15">
        <f>Domestic!L63/Domestic!L$96</f>
        <v>1.4070836888811524E-2</v>
      </c>
      <c r="J62" s="15">
        <f>Domestic!M63/Domestic!M$96</f>
        <v>2.2657079364019083E-3</v>
      </c>
      <c r="K62" s="15">
        <f>Domestic!N63/Domestic!N$96</f>
        <v>3.9142951301027727E-4</v>
      </c>
      <c r="L62" s="15">
        <f>Domestic!O63/Domestic!O$96</f>
        <v>1.7166296415751054E-3</v>
      </c>
      <c r="M62" s="15">
        <f>Domestic!P63/Domestic!P$96</f>
        <v>6.5062995901684134E-3</v>
      </c>
      <c r="N62" s="15">
        <f>Domestic!Q63/Domestic!Q$96</f>
        <v>5.9005089936316349E-3</v>
      </c>
      <c r="O62" s="15">
        <f>Domestic!R63/Domestic!R$96</f>
        <v>4.3805896855876577E-3</v>
      </c>
      <c r="P62" s="15">
        <f>Domestic!S63/Domestic!S$96</f>
        <v>8.3306335994000891E-3</v>
      </c>
      <c r="Q62" s="15">
        <f>Domestic!T63/Domestic!T$96</f>
        <v>1.5194206441858279E-2</v>
      </c>
      <c r="R62" s="15">
        <f>Domestic!U63/Domestic!U$96</f>
        <v>1.3089762750118982E-2</v>
      </c>
      <c r="S62" s="15">
        <f>Domestic!V63/Domestic!V$96</f>
        <v>6.4972955514738372E-3</v>
      </c>
      <c r="T62" s="15">
        <f>Domestic!W63/Domestic!W$96</f>
        <v>6.390621364953903E-3</v>
      </c>
      <c r="U62" s="15">
        <f>Domestic!X63/Domestic!X$96</f>
        <v>7.5271529193763533E-3</v>
      </c>
      <c r="V62" s="15">
        <f>Domestic!Y63/Domestic!Y$96</f>
        <v>1.4846851378205154E-2</v>
      </c>
      <c r="W62" s="15">
        <f>Domestic!Z63/Domestic!Z$96</f>
        <v>1.4778517805778311E-4</v>
      </c>
      <c r="X62" s="15">
        <f>Domestic!AA63/Domestic!AA$96</f>
        <v>4.3780824129554981E-3</v>
      </c>
      <c r="Y62" s="15">
        <f>Domestic!AB63/Domestic!AB$96</f>
        <v>7.3565528902710536E-3</v>
      </c>
      <c r="Z62" s="15">
        <f>Domestic!AC63/Domestic!AC$96</f>
        <v>4.6814453299234031E-3</v>
      </c>
      <c r="AA62" s="15">
        <f>Domestic!AD63/Domestic!AD$96</f>
        <v>2.4479946878421146E-3</v>
      </c>
      <c r="AB62" s="15">
        <f>Domestic!AE63/Domestic!AE$96</f>
        <v>6.6722339164572032E-3</v>
      </c>
      <c r="AC62" s="15">
        <f>Domestic!AF63/Domestic!AF$96</f>
        <v>4.2382097650574277E-3</v>
      </c>
      <c r="AD62" s="15">
        <f>Domestic!AG63/Domestic!AG$96</f>
        <v>1.1653531863846127E-3</v>
      </c>
      <c r="AE62" s="15">
        <f>Domestic!AH63/Domestic!AH$96</f>
        <v>2.1373128619533804E-3</v>
      </c>
      <c r="AF62" s="15">
        <f>Domestic!AI63/Domestic!AI$96</f>
        <v>5.2050239490304528E-3</v>
      </c>
      <c r="AG62" s="15">
        <f>Domestic!AJ63/Domestic!AJ$96</f>
        <v>1.2823130161657507E-2</v>
      </c>
      <c r="AH62" s="15">
        <f>Domestic!AK63/Domestic!AK$96</f>
        <v>3.3982503039166824E-3</v>
      </c>
      <c r="AI62" s="15">
        <f>Domestic!AL63/Domestic!AL$96</f>
        <v>1.9732706930968368E-2</v>
      </c>
      <c r="AJ62" s="15">
        <f>Domestic!AM63/Domestic!AM$96</f>
        <v>3.4822657651450026E-2</v>
      </c>
      <c r="AK62" s="15">
        <f>Domestic!AN63/Domestic!AN$96</f>
        <v>6.203776432561728E-3</v>
      </c>
      <c r="AL62" s="15">
        <f>Domestic!AO63/Domestic!AO$96</f>
        <v>2.842244563819363E-3</v>
      </c>
      <c r="AM62" s="15">
        <f>Domestic!AP63/Domestic!AP$96</f>
        <v>5.2850501422863402E-3</v>
      </c>
      <c r="AN62" s="15">
        <f>Domestic!AQ63/Domestic!AQ$96</f>
        <v>7.4973147233293243E-4</v>
      </c>
      <c r="AO62" s="15">
        <f>Domestic!AR63/Domestic!AR$96</f>
        <v>1.2459409071913587E-2</v>
      </c>
      <c r="AP62" s="15">
        <f>Domestic!AS63/Domestic!AS$96</f>
        <v>4.8546369383201844E-3</v>
      </c>
      <c r="AQ62" s="15">
        <f>Domestic!AT63/Domestic!AT$96</f>
        <v>7.803431129170528E-3</v>
      </c>
      <c r="AR62" s="15">
        <f>Domestic!AU63/Domestic!AU$96</f>
        <v>1.1707083712635496E-2</v>
      </c>
      <c r="AS62" s="15">
        <f>Domestic!AV63/Domestic!AV$96</f>
        <v>1.1418671343878159E-2</v>
      </c>
      <c r="AT62" s="15">
        <f>Domestic!AW63/Domestic!AW$96</f>
        <v>7.0098770828680781E-3</v>
      </c>
      <c r="AU62" s="15">
        <f>Domestic!AX63/Domestic!AX$96</f>
        <v>4.7529994398377171E-2</v>
      </c>
      <c r="AV62" s="15">
        <f>Domestic!AY63/Domestic!AY$96</f>
        <v>1.3388228163449591E-2</v>
      </c>
      <c r="AW62" s="15">
        <f>Domestic!AZ63/Domestic!AZ$96</f>
        <v>9.5808077344506262E-2</v>
      </c>
      <c r="AX62" s="15">
        <f>Domestic!BA63/Domestic!BA$96</f>
        <v>1.966772338276639E-2</v>
      </c>
      <c r="AY62" s="15">
        <f>Domestic!BB63/Domestic!BB$96</f>
        <v>6.7006139833400577E-2</v>
      </c>
      <c r="AZ62" s="15">
        <f>Domestic!BC63/Domestic!BC$96</f>
        <v>1.2105987740063455E-2</v>
      </c>
      <c r="BA62" s="15">
        <f>Domestic!BD63/Domestic!BD$96</f>
        <v>4.5029379589649678E-2</v>
      </c>
      <c r="BB62" s="15">
        <f>Domestic!BE63/Domestic!BE$96</f>
        <v>6.0239994692315414E-4</v>
      </c>
      <c r="BC62" s="15">
        <f>Domestic!BF63/Domestic!BF$96</f>
        <v>2.4123198161380404E-2</v>
      </c>
      <c r="BD62" s="15">
        <f>Domestic!BG63/Domestic!BG$96</f>
        <v>2.0647893662439517E-2</v>
      </c>
      <c r="BE62" s="15">
        <f>Domestic!BH63/Domestic!BH$96</f>
        <v>8.0320383097865437E-3</v>
      </c>
      <c r="BF62" s="15">
        <f>Domestic!BI63/Domestic!BI$96</f>
        <v>3.7334353682092767E-3</v>
      </c>
      <c r="BG62" s="15">
        <f>Domestic!BJ63/Domestic!BJ$96</f>
        <v>1.8287162124512646E-2</v>
      </c>
      <c r="BH62" s="15">
        <f>Domestic!BK63/Domestic!BK$96</f>
        <v>6.6091582386125036E-4</v>
      </c>
      <c r="BI62" s="15">
        <f>Domestic!BL63/Domestic!BL$96</f>
        <v>1.6128720578110912E-2</v>
      </c>
      <c r="BJ62" s="15">
        <f>Domestic!BM63/Domestic!BM$96</f>
        <v>1.8258412518208204E-2</v>
      </c>
      <c r="BK62" s="15">
        <f>Domestic!BN63/Domestic!BN$96</f>
        <v>9.5247326909780536E-3</v>
      </c>
      <c r="BL62" s="15">
        <f>Domestic!BO63/Domestic!BO$96</f>
        <v>6.4372313713163534E-3</v>
      </c>
      <c r="BM62" s="15">
        <f>Domestic!BP63/Domestic!BP$96</f>
        <v>8.5190206007438769E-3</v>
      </c>
      <c r="BN62" s="15">
        <f>Domestic!BQ63/Domestic!BQ$96</f>
        <v>1.8477605571538928E-2</v>
      </c>
      <c r="BO62" s="15">
        <f>Domestic!BR63/Domestic!BR$96</f>
        <v>6.5238356859220565E-3</v>
      </c>
      <c r="BP62" s="15">
        <f>Domestic!BS63/Domestic!BS$96</f>
        <v>1.5037083304214129E-2</v>
      </c>
      <c r="BQ62" s="15">
        <f>Domestic!BT63/Domestic!BT$96</f>
        <v>1.4274787591820461E-2</v>
      </c>
      <c r="BR62" s="15">
        <f>Domestic!BU63/Domestic!BU$96</f>
        <v>1.5394461475138822E-2</v>
      </c>
      <c r="BS62" s="15">
        <f>Domestic!BV63/Domestic!BV$96</f>
        <v>2.9827792242099509E-2</v>
      </c>
      <c r="BT62" s="15">
        <f>Domestic!BW63/Domestic!BW$96</f>
        <v>4.1658383020598662E-2</v>
      </c>
      <c r="BU62" s="15">
        <f>Domestic!BX63/Domestic!BX$96</f>
        <v>9.2570022472335724E-3</v>
      </c>
      <c r="BV62" s="15">
        <f>Domestic!BY63/Domestic!BY$96</f>
        <v>3.1898625259158708E-2</v>
      </c>
      <c r="BW62" s="15">
        <f>Domestic!BZ63/Domestic!BZ$96</f>
        <v>3.3084114990437397E-2</v>
      </c>
      <c r="BX62" s="15">
        <f>Domestic!CA63/Domestic!CA$96</f>
        <v>2.8206738989230356E-2</v>
      </c>
      <c r="BY62" s="15">
        <f>Domestic!CB63/Domestic!CB$96</f>
        <v>5.4782826527197933E-3</v>
      </c>
      <c r="BZ62" s="15">
        <f>Domestic!CC63/Domestic!CC$96</f>
        <v>0</v>
      </c>
      <c r="CA62" s="15">
        <f>Domestic!CD63/Domestic!CD$96</f>
        <v>1.103288224693557E-2</v>
      </c>
    </row>
    <row r="63" spans="1:79" x14ac:dyDescent="0.3">
      <c r="A63" s="7" t="s">
        <v>151</v>
      </c>
      <c r="B63" s="15">
        <f>Domestic!E64/Domestic!E$96</f>
        <v>6.4392223215447007E-6</v>
      </c>
      <c r="C63" s="15">
        <f>Domestic!F64/Domestic!F$96</f>
        <v>1.4527643930684595E-5</v>
      </c>
      <c r="D63" s="15">
        <f>Domestic!G64/Domestic!G$96</f>
        <v>7.7303705044999018E-4</v>
      </c>
      <c r="E63" s="15">
        <f>Domestic!H64/Domestic!H$96</f>
        <v>1.4257049571672561E-3</v>
      </c>
      <c r="F63" s="15">
        <f>Domestic!I64/Domestic!I$96</f>
        <v>4.8027893122544251E-4</v>
      </c>
      <c r="G63" s="15">
        <f>Domestic!J64/Domestic!J$96</f>
        <v>3.1102094691398564E-3</v>
      </c>
      <c r="H63" s="15">
        <f>Domestic!K64/Domestic!K$96</f>
        <v>1.030160368717699E-3</v>
      </c>
      <c r="I63" s="15">
        <f>Domestic!L64/Domestic!L$96</f>
        <v>2.592019533212675E-2</v>
      </c>
      <c r="J63" s="15">
        <f>Domestic!M64/Domestic!M$96</f>
        <v>4.8779691496888367E-4</v>
      </c>
      <c r="K63" s="15">
        <f>Domestic!N64/Domestic!N$96</f>
        <v>3.2035310663048283E-3</v>
      </c>
      <c r="L63" s="15">
        <f>Domestic!O64/Domestic!O$96</f>
        <v>5.4064408834718983E-3</v>
      </c>
      <c r="M63" s="15">
        <f>Domestic!P64/Domestic!P$96</f>
        <v>1.0453388264840404E-2</v>
      </c>
      <c r="N63" s="15">
        <f>Domestic!Q64/Domestic!Q$96</f>
        <v>9.9438268281991179E-5</v>
      </c>
      <c r="O63" s="15">
        <f>Domestic!R64/Domestic!R$96</f>
        <v>3.7419632941515655E-5</v>
      </c>
      <c r="P63" s="15">
        <f>Domestic!S64/Domestic!S$96</f>
        <v>6.1252127739459651E-5</v>
      </c>
      <c r="Q63" s="15">
        <f>Domestic!T64/Domestic!T$96</f>
        <v>2.2527117621014473E-4</v>
      </c>
      <c r="R63" s="15">
        <f>Domestic!U64/Domestic!U$96</f>
        <v>2.4978169763565077E-4</v>
      </c>
      <c r="S63" s="15">
        <f>Domestic!V64/Domestic!V$96</f>
        <v>8.5658794715232233E-5</v>
      </c>
      <c r="T63" s="15">
        <f>Domestic!W64/Domestic!W$96</f>
        <v>1.5524784309692402E-4</v>
      </c>
      <c r="U63" s="15">
        <f>Domestic!X64/Domestic!X$96</f>
        <v>3.0631012481792662E-4</v>
      </c>
      <c r="V63" s="15">
        <f>Domestic!Y64/Domestic!Y$96</f>
        <v>6.3962388215579652E-4</v>
      </c>
      <c r="W63" s="15">
        <f>Domestic!Z64/Domestic!Z$96</f>
        <v>9.9330020612100076E-6</v>
      </c>
      <c r="X63" s="15">
        <f>Domestic!AA64/Domestic!AA$96</f>
        <v>2.3902303623828277E-4</v>
      </c>
      <c r="Y63" s="15">
        <f>Domestic!AB64/Domestic!AB$96</f>
        <v>1.3469697377834376E-3</v>
      </c>
      <c r="Z63" s="15">
        <f>Domestic!AC64/Domestic!AC$96</f>
        <v>6.6958638446919661E-4</v>
      </c>
      <c r="AA63" s="15">
        <f>Domestic!AD64/Domestic!AD$96</f>
        <v>1.3211790642661533E-4</v>
      </c>
      <c r="AB63" s="15">
        <f>Domestic!AE64/Domestic!AE$96</f>
        <v>2.0776189453516612E-4</v>
      </c>
      <c r="AC63" s="15">
        <f>Domestic!AF64/Domestic!AF$96</f>
        <v>2.6327773350408036E-4</v>
      </c>
      <c r="AD63" s="15">
        <f>Domestic!AG64/Domestic!AG$96</f>
        <v>3.4756447849338458E-4</v>
      </c>
      <c r="AE63" s="15">
        <f>Domestic!AH64/Domestic!AH$96</f>
        <v>1.4355058254084823E-4</v>
      </c>
      <c r="AF63" s="15">
        <f>Domestic!AI64/Domestic!AI$96</f>
        <v>1.0124500946249663E-3</v>
      </c>
      <c r="AG63" s="15">
        <f>Domestic!AJ64/Domestic!AJ$96</f>
        <v>1.4254596897361483E-4</v>
      </c>
      <c r="AH63" s="15">
        <f>Domestic!AK64/Domestic!AK$96</f>
        <v>8.3154107374304974E-5</v>
      </c>
      <c r="AI63" s="15">
        <f>Domestic!AL64/Domestic!AL$96</f>
        <v>5.0566217199418879E-4</v>
      </c>
      <c r="AJ63" s="15">
        <f>Domestic!AM64/Domestic!AM$96</f>
        <v>5.0071095971309331E-4</v>
      </c>
      <c r="AK63" s="15">
        <f>Domestic!AN64/Domestic!AN$96</f>
        <v>2.0871201424341483E-4</v>
      </c>
      <c r="AL63" s="15">
        <f>Domestic!AO64/Domestic!AO$96</f>
        <v>5.9369864574787437E-4</v>
      </c>
      <c r="AM63" s="15">
        <f>Domestic!AP64/Domestic!AP$96</f>
        <v>4.7295252278903386E-3</v>
      </c>
      <c r="AN63" s="15">
        <f>Domestic!AQ64/Domestic!AQ$96</f>
        <v>3.5465132912985357E-4</v>
      </c>
      <c r="AO63" s="15">
        <f>Domestic!AR64/Domestic!AR$96</f>
        <v>4.4391025507490623E-4</v>
      </c>
      <c r="AP63" s="15">
        <f>Domestic!AS64/Domestic!AS$96</f>
        <v>7.7547645601395296E-5</v>
      </c>
      <c r="AQ63" s="15">
        <f>Domestic!AT64/Domestic!AT$96</f>
        <v>4.2285231120068514E-3</v>
      </c>
      <c r="AR63" s="15">
        <f>Domestic!AU64/Domestic!AU$96</f>
        <v>1.9413769568947368E-4</v>
      </c>
      <c r="AS63" s="15">
        <f>Domestic!AV64/Domestic!AV$96</f>
        <v>1.0188861471300183E-4</v>
      </c>
      <c r="AT63" s="15">
        <f>Domestic!AW64/Domestic!AW$96</f>
        <v>1.3350023856951007E-3</v>
      </c>
      <c r="AU63" s="15">
        <f>Domestic!AX64/Domestic!AX$96</f>
        <v>1.2506794861135621E-3</v>
      </c>
      <c r="AV63" s="15">
        <f>Domestic!AY64/Domestic!AY$96</f>
        <v>1.1424607392973944E-3</v>
      </c>
      <c r="AW63" s="15">
        <f>Domestic!AZ64/Domestic!AZ$96</f>
        <v>7.2538240459004354E-4</v>
      </c>
      <c r="AX63" s="15">
        <f>Domestic!BA64/Domestic!BA$96</f>
        <v>3.4414007377863126E-4</v>
      </c>
      <c r="AY63" s="15">
        <f>Domestic!BB64/Domestic!BB$96</f>
        <v>8.8239541853834933E-5</v>
      </c>
      <c r="AZ63" s="15">
        <f>Domestic!BC64/Domestic!BC$96</f>
        <v>2.0464650748874835E-4</v>
      </c>
      <c r="BA63" s="15">
        <f>Domestic!BD64/Domestic!BD$96</f>
        <v>2.1501695128054803E-3</v>
      </c>
      <c r="BB63" s="15">
        <f>Domestic!BE64/Domestic!BE$96</f>
        <v>5.656337529794874E-6</v>
      </c>
      <c r="BC63" s="15">
        <f>Domestic!BF64/Domestic!BF$96</f>
        <v>4.315216552237917E-4</v>
      </c>
      <c r="BD63" s="15">
        <f>Domestic!BG64/Domestic!BG$96</f>
        <v>9.9951964275993939E-4</v>
      </c>
      <c r="BE63" s="15">
        <f>Domestic!BH64/Domestic!BH$96</f>
        <v>1.1739301149789748E-3</v>
      </c>
      <c r="BF63" s="15">
        <f>Domestic!BI64/Domestic!BI$96</f>
        <v>1.7224226917563997E-3</v>
      </c>
      <c r="BG63" s="15">
        <f>Domestic!BJ64/Domestic!BJ$96</f>
        <v>5.9233354570650916E-3</v>
      </c>
      <c r="BH63" s="15">
        <f>Domestic!BK64/Domestic!BK$96</f>
        <v>8.7447079758800538E-6</v>
      </c>
      <c r="BI63" s="15">
        <f>Domestic!BL64/Domestic!BL$96</f>
        <v>2.2172921259870112E-3</v>
      </c>
      <c r="BJ63" s="15">
        <f>Domestic!BM64/Domestic!BM$96</f>
        <v>1.2758356926580452E-3</v>
      </c>
      <c r="BK63" s="15">
        <f>Domestic!BN64/Domestic!BN$96</f>
        <v>1.8294318789465684E-3</v>
      </c>
      <c r="BL63" s="15">
        <f>Domestic!BO64/Domestic!BO$96</f>
        <v>2.6011623323218401E-4</v>
      </c>
      <c r="BM63" s="15">
        <f>Domestic!BP64/Domestic!BP$96</f>
        <v>2.3021481347363752E-3</v>
      </c>
      <c r="BN63" s="15">
        <f>Domestic!BQ64/Domestic!BQ$96</f>
        <v>5.668680300627605E-3</v>
      </c>
      <c r="BO63" s="15">
        <f>Domestic!BR64/Domestic!BR$96</f>
        <v>1.7372701654127124E-3</v>
      </c>
      <c r="BP63" s="15">
        <f>Domestic!BS64/Domestic!BS$96</f>
        <v>7.6616989307428888E-3</v>
      </c>
      <c r="BQ63" s="15">
        <f>Domestic!BT64/Domestic!BT$96</f>
        <v>6.0406236350574799E-3</v>
      </c>
      <c r="BR63" s="15">
        <f>Domestic!BU64/Domestic!BU$96</f>
        <v>2.8959994066454389E-3</v>
      </c>
      <c r="BS63" s="15">
        <f>Domestic!BV64/Domestic!BV$96</f>
        <v>1.551370516749961E-3</v>
      </c>
      <c r="BT63" s="15">
        <f>Domestic!BW64/Domestic!BW$96</f>
        <v>5.1230078234054729E-3</v>
      </c>
      <c r="BU63" s="15">
        <f>Domestic!BX64/Domestic!BX$96</f>
        <v>2.5548744402934941E-4</v>
      </c>
      <c r="BV63" s="15">
        <f>Domestic!BY64/Domestic!BY$96</f>
        <v>4.763516884063853E-4</v>
      </c>
      <c r="BW63" s="15">
        <f>Domestic!BZ64/Domestic!BZ$96</f>
        <v>6.2113494135967486E-4</v>
      </c>
      <c r="BX63" s="15">
        <f>Domestic!CA64/Domestic!CA$96</f>
        <v>1.1824076072666316E-3</v>
      </c>
      <c r="BY63" s="15">
        <f>Domestic!CB64/Domestic!CB$96</f>
        <v>4.1435222657333773E-3</v>
      </c>
      <c r="BZ63" s="15">
        <f>Domestic!CC64/Domestic!CC$96</f>
        <v>0</v>
      </c>
      <c r="CA63" s="15">
        <f>Domestic!CD64/Domestic!CD$96</f>
        <v>9.1975151006507046E-3</v>
      </c>
    </row>
    <row r="64" spans="1:79" x14ac:dyDescent="0.3">
      <c r="A64" s="8" t="s">
        <v>152</v>
      </c>
      <c r="B64" s="15">
        <f>Domestic!E65/Domestic!E$96</f>
        <v>0</v>
      </c>
      <c r="C64" s="15">
        <f>Domestic!F65/Domestic!F$96</f>
        <v>0</v>
      </c>
      <c r="D64" s="15">
        <f>Domestic!G65/Domestic!G$96</f>
        <v>0</v>
      </c>
      <c r="E64" s="15">
        <f>Domestic!H65/Domestic!H$96</f>
        <v>0</v>
      </c>
      <c r="F64" s="15">
        <f>Domestic!I65/Domestic!I$96</f>
        <v>5.7437203914581163E-5</v>
      </c>
      <c r="G64" s="15">
        <f>Domestic!J65/Domestic!J$96</f>
        <v>1.136302603168681E-4</v>
      </c>
      <c r="H64" s="15">
        <f>Domestic!K65/Domestic!K$96</f>
        <v>1.6713025962082013E-4</v>
      </c>
      <c r="I64" s="15">
        <f>Domestic!L65/Domestic!L$96</f>
        <v>1.3099752509881913E-4</v>
      </c>
      <c r="J64" s="15">
        <f>Domestic!M65/Domestic!M$96</f>
        <v>3.0322018751945274E-5</v>
      </c>
      <c r="K64" s="15">
        <f>Domestic!N65/Domestic!N$96</f>
        <v>1.9135894844124477E-9</v>
      </c>
      <c r="L64" s="15">
        <f>Domestic!O65/Domestic!O$96</f>
        <v>6.265649791364511E-6</v>
      </c>
      <c r="M64" s="15">
        <f>Domestic!P65/Domestic!P$96</f>
        <v>8.0518880465092277E-6</v>
      </c>
      <c r="N64" s="15">
        <f>Domestic!Q65/Domestic!Q$96</f>
        <v>1.759599351141701E-4</v>
      </c>
      <c r="O64" s="15">
        <f>Domestic!R65/Domestic!R$96</f>
        <v>4.5296089734317844E-5</v>
      </c>
      <c r="P64" s="15">
        <f>Domestic!S65/Domestic!S$96</f>
        <v>7.0212149731099614E-5</v>
      </c>
      <c r="Q64" s="15">
        <f>Domestic!T65/Domestic!T$96</f>
        <v>1.3100606733754189E-5</v>
      </c>
      <c r="R64" s="15">
        <f>Domestic!U65/Domestic!U$96</f>
        <v>1.1615419849880588E-4</v>
      </c>
      <c r="S64" s="15">
        <f>Domestic!V65/Domestic!V$96</f>
        <v>5.3750418856786513E-5</v>
      </c>
      <c r="T64" s="15">
        <f>Domestic!W65/Domestic!W$96</f>
        <v>2.790420646648286E-7</v>
      </c>
      <c r="U64" s="15">
        <f>Domestic!X65/Domestic!X$96</f>
        <v>5.7974858293711399E-4</v>
      </c>
      <c r="V64" s="15">
        <f>Domestic!Y65/Domestic!Y$96</f>
        <v>5.747021046892769E-5</v>
      </c>
      <c r="W64" s="15">
        <f>Domestic!Z65/Domestic!Z$96</f>
        <v>1.0384320208460231E-5</v>
      </c>
      <c r="X64" s="15">
        <f>Domestic!AA65/Domestic!AA$96</f>
        <v>1.4695338457015164E-4</v>
      </c>
      <c r="Y64" s="15">
        <f>Domestic!AB65/Domestic!AB$96</f>
        <v>3.8479865199006941E-4</v>
      </c>
      <c r="Z64" s="15">
        <f>Domestic!AC65/Domestic!AC$96</f>
        <v>6.7764067095317553E-5</v>
      </c>
      <c r="AA64" s="15">
        <f>Domestic!AD65/Domestic!AD$96</f>
        <v>2.0894606375745128E-5</v>
      </c>
      <c r="AB64" s="15">
        <f>Domestic!AE65/Domestic!AE$96</f>
        <v>2.8780904801159441E-4</v>
      </c>
      <c r="AC64" s="15">
        <f>Domestic!AF65/Domestic!AF$96</f>
        <v>7.1578976982955881E-4</v>
      </c>
      <c r="AD64" s="15">
        <f>Domestic!AG65/Domestic!AG$96</f>
        <v>1.7715687957042938E-6</v>
      </c>
      <c r="AE64" s="15">
        <f>Domestic!AH65/Domestic!AH$96</f>
        <v>2.6892132559568202E-4</v>
      </c>
      <c r="AF64" s="15">
        <f>Domestic!AI65/Domestic!AI$96</f>
        <v>1.031303381964901E-3</v>
      </c>
      <c r="AG64" s="15">
        <f>Domestic!AJ65/Domestic!AJ$96</f>
        <v>3.561475383821253E-5</v>
      </c>
      <c r="AH64" s="15">
        <f>Domestic!AK65/Domestic!AK$96</f>
        <v>3.0658941445698648E-6</v>
      </c>
      <c r="AI64" s="15">
        <f>Domestic!AL65/Domestic!AL$96</f>
        <v>1.3852420942236402E-3</v>
      </c>
      <c r="AJ64" s="15">
        <f>Domestic!AM65/Domestic!AM$96</f>
        <v>4.9128774731690321E-3</v>
      </c>
      <c r="AK64" s="15">
        <f>Domestic!AN65/Domestic!AN$96</f>
        <v>6.6871271827542071E-4</v>
      </c>
      <c r="AL64" s="15">
        <f>Domestic!AO65/Domestic!AO$96</f>
        <v>6.4772494877766214E-4</v>
      </c>
      <c r="AM64" s="15">
        <f>Domestic!AP65/Domestic!AP$96</f>
        <v>7.2011566671144561E-4</v>
      </c>
      <c r="AN64" s="15">
        <f>Domestic!AQ65/Domestic!AQ$96</f>
        <v>6.4132276560654555E-6</v>
      </c>
      <c r="AO64" s="15">
        <f>Domestic!AR65/Domestic!AR$96</f>
        <v>2.9099635221346576E-5</v>
      </c>
      <c r="AP64" s="15">
        <f>Domestic!AS65/Domestic!AS$96</f>
        <v>0</v>
      </c>
      <c r="AQ64" s="15">
        <f>Domestic!AT65/Domestic!AT$96</f>
        <v>1.9563148711437172E-5</v>
      </c>
      <c r="AR64" s="15">
        <f>Domestic!AU65/Domestic!AU$96</f>
        <v>4.3975368909014121E-4</v>
      </c>
      <c r="AS64" s="15">
        <f>Domestic!AV65/Domestic!AV$96</f>
        <v>0</v>
      </c>
      <c r="AT64" s="15">
        <f>Domestic!AW65/Domestic!AW$96</f>
        <v>3.8083255489214233E-4</v>
      </c>
      <c r="AU64" s="15">
        <f>Domestic!AX65/Domestic!AX$96</f>
        <v>1.0754357479429347E-4</v>
      </c>
      <c r="AV64" s="15">
        <f>Domestic!AY65/Domestic!AY$96</f>
        <v>1.7140455753834835E-3</v>
      </c>
      <c r="AW64" s="15">
        <f>Domestic!AZ65/Domestic!AZ$96</f>
        <v>1.489636976316013E-3</v>
      </c>
      <c r="AX64" s="15">
        <f>Domestic!BA65/Domestic!BA$96</f>
        <v>2.7257766834619655E-3</v>
      </c>
      <c r="AY64" s="15">
        <f>Domestic!BB65/Domestic!BB$96</f>
        <v>1.6596561785960444E-3</v>
      </c>
      <c r="AZ64" s="15">
        <f>Domestic!BC65/Domestic!BC$96</f>
        <v>1.8579260364321259E-4</v>
      </c>
      <c r="BA64" s="15">
        <f>Domestic!BD65/Domestic!BD$96</f>
        <v>3.4406828674918581E-4</v>
      </c>
      <c r="BB64" s="15">
        <f>Domestic!BE65/Domestic!BE$96</f>
        <v>0</v>
      </c>
      <c r="BC64" s="15">
        <f>Domestic!BF65/Domestic!BF$96</f>
        <v>2.1655639545558971E-3</v>
      </c>
      <c r="BD64" s="15">
        <f>Domestic!BG65/Domestic!BG$96</f>
        <v>2.9379908703053856E-4</v>
      </c>
      <c r="BE64" s="15">
        <f>Domestic!BH65/Domestic!BH$96</f>
        <v>1.978905551172245E-5</v>
      </c>
      <c r="BF64" s="15">
        <f>Domestic!BI65/Domestic!BI$96</f>
        <v>7.036904536782834E-5</v>
      </c>
      <c r="BG64" s="15">
        <f>Domestic!BJ65/Domestic!BJ$96</f>
        <v>1.0853498312593556E-3</v>
      </c>
      <c r="BH64" s="15">
        <f>Domestic!BK65/Domestic!BK$96</f>
        <v>2.2510118997866072E-4</v>
      </c>
      <c r="BI64" s="15">
        <f>Domestic!BL65/Domestic!BL$96</f>
        <v>2.1321777570444168E-4</v>
      </c>
      <c r="BJ64" s="15">
        <f>Domestic!BM65/Domestic!BM$96</f>
        <v>0</v>
      </c>
      <c r="BK64" s="15">
        <f>Domestic!BN65/Domestic!BN$96</f>
        <v>6.1661009973845254E-5</v>
      </c>
      <c r="BL64" s="15">
        <f>Domestic!BO65/Domestic!BO$96</f>
        <v>1.2125719143154442E-6</v>
      </c>
      <c r="BM64" s="15">
        <f>Domestic!BP65/Domestic!BP$96</f>
        <v>1.0361275899180004E-4</v>
      </c>
      <c r="BN64" s="15">
        <f>Domestic!BQ65/Domestic!BQ$96</f>
        <v>3.188951754147229E-5</v>
      </c>
      <c r="BO64" s="15">
        <f>Domestic!BR65/Domestic!BR$96</f>
        <v>6.6165590612829247E-5</v>
      </c>
      <c r="BP64" s="15">
        <f>Domestic!BS65/Domestic!BS$96</f>
        <v>7.8621846390383661E-6</v>
      </c>
      <c r="BQ64" s="15">
        <f>Domestic!BT65/Domestic!BT$96</f>
        <v>1.985370938576158E-5</v>
      </c>
      <c r="BR64" s="15">
        <f>Domestic!BU65/Domestic!BU$96</f>
        <v>2.6606891243434228E-4</v>
      </c>
      <c r="BS64" s="15">
        <f>Domestic!BV65/Domestic!BV$96</f>
        <v>6.3187185075812508E-5</v>
      </c>
      <c r="BT64" s="15">
        <f>Domestic!BW65/Domestic!BW$96</f>
        <v>6.8194491109443164E-4</v>
      </c>
      <c r="BU64" s="15">
        <f>Domestic!BX65/Domestic!BX$96</f>
        <v>5.5410208947285491E-4</v>
      </c>
      <c r="BV64" s="15">
        <f>Domestic!BY65/Domestic!BY$96</f>
        <v>7.1865999775701033E-4</v>
      </c>
      <c r="BW64" s="15">
        <f>Domestic!BZ65/Domestic!BZ$96</f>
        <v>1.0406065176053175E-5</v>
      </c>
      <c r="BX64" s="15">
        <f>Domestic!CA65/Domestic!CA$96</f>
        <v>2.2234770790158649E-4</v>
      </c>
      <c r="BY64" s="15">
        <f>Domestic!CB65/Domestic!CB$96</f>
        <v>1.0362661089922068E-4</v>
      </c>
      <c r="BZ64" s="15">
        <f>Domestic!CC65/Domestic!CC$96</f>
        <v>0</v>
      </c>
      <c r="CA64" s="15">
        <f>Domestic!CD65/Domestic!CD$96</f>
        <v>3.4537977089199264E-4</v>
      </c>
    </row>
    <row r="65" spans="1:79" x14ac:dyDescent="0.3">
      <c r="A65" s="7" t="s">
        <v>153</v>
      </c>
      <c r="B65" s="15">
        <f>Domestic!E66/Domestic!E$96</f>
        <v>2.3683948827651048E-4</v>
      </c>
      <c r="C65" s="15">
        <f>Domestic!F66/Domestic!F$96</f>
        <v>8.4890848268927288E-4</v>
      </c>
      <c r="D65" s="15">
        <f>Domestic!G66/Domestic!G$96</f>
        <v>9.0859344200253534E-3</v>
      </c>
      <c r="E65" s="15">
        <f>Domestic!H66/Domestic!H$96</f>
        <v>7.7889232318910078E-3</v>
      </c>
      <c r="F65" s="15">
        <f>Domestic!I66/Domestic!I$96</f>
        <v>3.3513886911244607E-2</v>
      </c>
      <c r="G65" s="15">
        <f>Domestic!J66/Domestic!J$96</f>
        <v>9.9353446108615354E-3</v>
      </c>
      <c r="H65" s="15">
        <f>Domestic!K66/Domestic!K$96</f>
        <v>1.4690925532595829E-2</v>
      </c>
      <c r="I65" s="15">
        <f>Domestic!L66/Domestic!L$96</f>
        <v>2.5956367754451135E-2</v>
      </c>
      <c r="J65" s="15">
        <f>Domestic!M66/Domestic!M$96</f>
        <v>1.3540860643480857E-2</v>
      </c>
      <c r="K65" s="15">
        <f>Domestic!N66/Domestic!N$96</f>
        <v>1.1228942137737501E-2</v>
      </c>
      <c r="L65" s="15">
        <f>Domestic!O66/Domestic!O$96</f>
        <v>2.3194976163980984E-2</v>
      </c>
      <c r="M65" s="15">
        <f>Domestic!P66/Domestic!P$96</f>
        <v>1.9369610728847488E-2</v>
      </c>
      <c r="N65" s="15">
        <f>Domestic!Q66/Domestic!Q$96</f>
        <v>6.6898973545785429E-3</v>
      </c>
      <c r="O65" s="15">
        <f>Domestic!R66/Domestic!R$96</f>
        <v>3.5230038276089898E-3</v>
      </c>
      <c r="P65" s="15">
        <f>Domestic!S66/Domestic!S$96</f>
        <v>1.5553990718368902E-3</v>
      </c>
      <c r="Q65" s="15">
        <f>Domestic!T66/Domestic!T$96</f>
        <v>3.0341767104651624E-3</v>
      </c>
      <c r="R65" s="15">
        <f>Domestic!U66/Domestic!U$96</f>
        <v>4.1326432044681638E-3</v>
      </c>
      <c r="S65" s="15">
        <f>Domestic!V66/Domestic!V$96</f>
        <v>2.0587431300245901E-3</v>
      </c>
      <c r="T65" s="15">
        <f>Domestic!W66/Domestic!W$96</f>
        <v>2.4258131232746342E-3</v>
      </c>
      <c r="U65" s="15">
        <f>Domestic!X66/Domestic!X$96</f>
        <v>5.1649287241719377E-3</v>
      </c>
      <c r="V65" s="15">
        <f>Domestic!Y66/Domestic!Y$96</f>
        <v>1.2563959040831968E-2</v>
      </c>
      <c r="W65" s="15">
        <f>Domestic!Z66/Domestic!Z$96</f>
        <v>7.1405135550798692E-4</v>
      </c>
      <c r="X65" s="15">
        <f>Domestic!AA66/Domestic!AA$96</f>
        <v>5.2000406921655319E-3</v>
      </c>
      <c r="Y65" s="15">
        <f>Domestic!AB66/Domestic!AB$96</f>
        <v>3.9741998526200886E-3</v>
      </c>
      <c r="Z65" s="15">
        <f>Domestic!AC66/Domestic!AC$96</f>
        <v>2.9909724792745872E-3</v>
      </c>
      <c r="AA65" s="15">
        <f>Domestic!AD66/Domestic!AD$96</f>
        <v>2.7561055406347631E-3</v>
      </c>
      <c r="AB65" s="15">
        <f>Domestic!AE66/Domestic!AE$96</f>
        <v>4.2328731983911662E-3</v>
      </c>
      <c r="AC65" s="15">
        <f>Domestic!AF66/Domestic!AF$96</f>
        <v>4.9172315695889968E-3</v>
      </c>
      <c r="AD65" s="15">
        <f>Domestic!AG66/Domestic!AG$96</f>
        <v>1.2936969813403063E-3</v>
      </c>
      <c r="AE65" s="15">
        <f>Domestic!AH66/Domestic!AH$96</f>
        <v>1.2823982068017352E-3</v>
      </c>
      <c r="AF65" s="15">
        <f>Domestic!AI66/Domestic!AI$96</f>
        <v>3.254873515892319E-3</v>
      </c>
      <c r="AG65" s="15">
        <f>Domestic!AJ66/Domestic!AJ$96</f>
        <v>4.3625790919265281E-3</v>
      </c>
      <c r="AH65" s="15">
        <f>Domestic!AK66/Domestic!AK$96</f>
        <v>9.1040292931495684E-4</v>
      </c>
      <c r="AI65" s="15">
        <f>Domestic!AL66/Domestic!AL$96</f>
        <v>1.2230940584816406E-2</v>
      </c>
      <c r="AJ65" s="15">
        <f>Domestic!AM66/Domestic!AM$96</f>
        <v>1.2462916488429976E-2</v>
      </c>
      <c r="AK65" s="15">
        <f>Domestic!AN66/Domestic!AN$96</f>
        <v>5.202008454416639E-3</v>
      </c>
      <c r="AL65" s="15">
        <f>Domestic!AO66/Domestic!AO$96</f>
        <v>5.0516034034265786E-3</v>
      </c>
      <c r="AM65" s="15">
        <f>Domestic!AP66/Domestic!AP$96</f>
        <v>5.559949068997763E-3</v>
      </c>
      <c r="AN65" s="15">
        <f>Domestic!AQ66/Domestic!AQ$96</f>
        <v>1.9088254195742619E-3</v>
      </c>
      <c r="AO65" s="15">
        <f>Domestic!AR66/Domestic!AR$96</f>
        <v>4.4237599040998377E-3</v>
      </c>
      <c r="AP65" s="15">
        <f>Domestic!AS66/Domestic!AS$96</f>
        <v>7.0821371158888605E-2</v>
      </c>
      <c r="AQ65" s="15">
        <f>Domestic!AT66/Domestic!AT$96</f>
        <v>1.1232748134344876E-2</v>
      </c>
      <c r="AR65" s="15">
        <f>Domestic!AU66/Domestic!AU$96</f>
        <v>2.384093305915358E-2</v>
      </c>
      <c r="AS65" s="15">
        <f>Domestic!AV66/Domestic!AV$96</f>
        <v>7.7589507310354966E-2</v>
      </c>
      <c r="AT65" s="15">
        <f>Domestic!AW66/Domestic!AW$96</f>
        <v>1.2443812481659839E-2</v>
      </c>
      <c r="AU65" s="15">
        <f>Domestic!AX66/Domestic!AX$96</f>
        <v>6.0390563893741561E-2</v>
      </c>
      <c r="AV65" s="15">
        <f>Domestic!AY66/Domestic!AY$96</f>
        <v>2.7884086885826793E-2</v>
      </c>
      <c r="AW65" s="15">
        <f>Domestic!AZ66/Domestic!AZ$96</f>
        <v>2.7390343266876706E-2</v>
      </c>
      <c r="AX65" s="15">
        <f>Domestic!BA66/Domestic!BA$96</f>
        <v>5.0189508955781031E-2</v>
      </c>
      <c r="AY65" s="15">
        <f>Domestic!BB66/Domestic!BB$96</f>
        <v>1.7598414174780384E-2</v>
      </c>
      <c r="AZ65" s="15">
        <f>Domestic!BC66/Domestic!BC$96</f>
        <v>3.112571686587845E-2</v>
      </c>
      <c r="BA65" s="15">
        <f>Domestic!BD66/Domestic!BD$96</f>
        <v>0.10137973784260608</v>
      </c>
      <c r="BB65" s="15">
        <f>Domestic!BE66/Domestic!BE$96</f>
        <v>3.130782822741463E-3</v>
      </c>
      <c r="BC65" s="15">
        <f>Domestic!BF66/Domestic!BF$96</f>
        <v>1.9106387957453182E-2</v>
      </c>
      <c r="BD65" s="15">
        <f>Domestic!BG66/Domestic!BG$96</f>
        <v>2.4252826596050339E-2</v>
      </c>
      <c r="BE65" s="15">
        <f>Domestic!BH66/Domestic!BH$96</f>
        <v>2.3322371413198043E-2</v>
      </c>
      <c r="BF65" s="15">
        <f>Domestic!BI66/Domestic!BI$96</f>
        <v>1.6991951056558929E-2</v>
      </c>
      <c r="BG65" s="15">
        <f>Domestic!BJ66/Domestic!BJ$96</f>
        <v>2.3021900361334741E-2</v>
      </c>
      <c r="BH65" s="15">
        <f>Domestic!BK66/Domestic!BK$96</f>
        <v>9.6195789889360641E-4</v>
      </c>
      <c r="BI65" s="15">
        <f>Domestic!BL66/Domestic!BL$96</f>
        <v>2.6734420895166547E-2</v>
      </c>
      <c r="BJ65" s="15">
        <f>Domestic!BM66/Domestic!BM$96</f>
        <v>5.767115741076629E-2</v>
      </c>
      <c r="BK65" s="15">
        <f>Domestic!BN66/Domestic!BN$96</f>
        <v>1.3946449796816626E-2</v>
      </c>
      <c r="BL65" s="15">
        <f>Domestic!BO66/Domestic!BO$96</f>
        <v>2.328450997269992E-3</v>
      </c>
      <c r="BM65" s="15">
        <f>Domestic!BP66/Domestic!BP$96</f>
        <v>9.2977800302755029E-3</v>
      </c>
      <c r="BN65" s="15">
        <f>Domestic!BQ66/Domestic!BQ$96</f>
        <v>1.3146590733928962E-2</v>
      </c>
      <c r="BO65" s="15">
        <f>Domestic!BR66/Domestic!BR$96</f>
        <v>1.1379757916288414E-2</v>
      </c>
      <c r="BP65" s="15">
        <f>Domestic!BS66/Domestic!BS$96</f>
        <v>6.0108585505625825E-3</v>
      </c>
      <c r="BQ65" s="15">
        <f>Domestic!BT66/Domestic!BT$96</f>
        <v>1.2364619205264851E-2</v>
      </c>
      <c r="BR65" s="15">
        <f>Domestic!BU66/Domestic!BU$96</f>
        <v>3.9998690917509953E-3</v>
      </c>
      <c r="BS65" s="15">
        <f>Domestic!BV66/Domestic!BV$96</f>
        <v>1.3096326126579414E-2</v>
      </c>
      <c r="BT65" s="15">
        <f>Domestic!BW66/Domestic!BW$96</f>
        <v>1.0243380643334596E-2</v>
      </c>
      <c r="BU65" s="15">
        <f>Domestic!BX66/Domestic!BX$96</f>
        <v>4.2779561219411181E-3</v>
      </c>
      <c r="BV65" s="15">
        <f>Domestic!BY66/Domestic!BY$96</f>
        <v>3.2692041408440898E-3</v>
      </c>
      <c r="BW65" s="15">
        <f>Domestic!BZ66/Domestic!BZ$96</f>
        <v>3.084104806394023E-3</v>
      </c>
      <c r="BX65" s="15">
        <f>Domestic!CA66/Domestic!CA$96</f>
        <v>3.7749959373231663E-3</v>
      </c>
      <c r="BY65" s="15">
        <f>Domestic!CB66/Domestic!CB$96</f>
        <v>5.5476260963926757E-2</v>
      </c>
      <c r="BZ65" s="15">
        <f>Domestic!CC66/Domestic!CC$96</f>
        <v>0</v>
      </c>
      <c r="CA65" s="15">
        <f>Domestic!CD66/Domestic!CD$96</f>
        <v>4.8028491260917787E-2</v>
      </c>
    </row>
    <row r="66" spans="1:79" x14ac:dyDescent="0.3">
      <c r="A66" s="8" t="s">
        <v>154</v>
      </c>
      <c r="B66" s="15">
        <f>Domestic!E67/Domestic!E$96</f>
        <v>8.7281703516957948E-7</v>
      </c>
      <c r="C66" s="15">
        <f>Domestic!F67/Domestic!F$96</f>
        <v>7.6694980462074823E-8</v>
      </c>
      <c r="D66" s="15">
        <f>Domestic!G67/Domestic!G$96</f>
        <v>0</v>
      </c>
      <c r="E66" s="15">
        <f>Domestic!H67/Domestic!H$96</f>
        <v>0</v>
      </c>
      <c r="F66" s="15">
        <f>Domestic!I67/Domestic!I$96</f>
        <v>0</v>
      </c>
      <c r="G66" s="15">
        <f>Domestic!J67/Domestic!J$96</f>
        <v>2.0427862931227003E-2</v>
      </c>
      <c r="H66" s="15">
        <f>Domestic!K67/Domestic!K$96</f>
        <v>1.6185415928659781E-4</v>
      </c>
      <c r="I66" s="15">
        <f>Domestic!L67/Domestic!L$96</f>
        <v>1.2507863921884256E-2</v>
      </c>
      <c r="J66" s="15">
        <f>Domestic!M67/Domestic!M$96</f>
        <v>0</v>
      </c>
      <c r="K66" s="15">
        <f>Domestic!N67/Domestic!N$96</f>
        <v>7.6543579376497908E-9</v>
      </c>
      <c r="L66" s="15">
        <f>Domestic!O67/Domestic!O$96</f>
        <v>2.0049727329569166E-4</v>
      </c>
      <c r="M66" s="15">
        <f>Domestic!P67/Domestic!P$96</f>
        <v>6.4342919556660948E-5</v>
      </c>
      <c r="N66" s="15">
        <f>Domestic!Q67/Domestic!Q$96</f>
        <v>6.5918843947688753E-5</v>
      </c>
      <c r="O66" s="15">
        <f>Domestic!R67/Domestic!R$96</f>
        <v>2.1746431856276066E-5</v>
      </c>
      <c r="P66" s="15">
        <f>Domestic!S67/Domestic!S$96</f>
        <v>0</v>
      </c>
      <c r="Q66" s="15">
        <f>Domestic!T67/Domestic!T$96</f>
        <v>0</v>
      </c>
      <c r="R66" s="15">
        <f>Domestic!U67/Domestic!U$96</f>
        <v>0</v>
      </c>
      <c r="S66" s="15">
        <f>Domestic!V67/Domestic!V$96</f>
        <v>0</v>
      </c>
      <c r="T66" s="15">
        <f>Domestic!W67/Domestic!W$96</f>
        <v>1.1161682586593143E-7</v>
      </c>
      <c r="U66" s="15">
        <f>Domestic!X67/Domestic!X$96</f>
        <v>1.6556558253299938E-7</v>
      </c>
      <c r="V66" s="15">
        <f>Domestic!Y67/Domestic!Y$96</f>
        <v>6.5201211228929305E-7</v>
      </c>
      <c r="W66" s="15">
        <f>Domestic!Z67/Domestic!Z$96</f>
        <v>4.0499695409785527E-2</v>
      </c>
      <c r="X66" s="15">
        <f>Domestic!AA67/Domestic!AA$96</f>
        <v>9.3920923092765431E-3</v>
      </c>
      <c r="Y66" s="15">
        <f>Domestic!AB67/Domestic!AB$96</f>
        <v>2.774937858156091E-6</v>
      </c>
      <c r="Z66" s="15">
        <f>Domestic!AC67/Domestic!AC$96</f>
        <v>0</v>
      </c>
      <c r="AA66" s="15">
        <f>Domestic!AD67/Domestic!AD$96</f>
        <v>1.0389667592848499E-3</v>
      </c>
      <c r="AB66" s="15">
        <f>Domestic!AE67/Domestic!AE$96</f>
        <v>2.4176950508043132E-7</v>
      </c>
      <c r="AC66" s="15">
        <f>Domestic!AF67/Domestic!AF$96</f>
        <v>9.4844278498682774E-8</v>
      </c>
      <c r="AD66" s="15">
        <f>Domestic!AG67/Domestic!AG$96</f>
        <v>3.3386455513861836E-8</v>
      </c>
      <c r="AE66" s="15">
        <f>Domestic!AH67/Domestic!AH$96</f>
        <v>1.7209548738113198E-7</v>
      </c>
      <c r="AF66" s="15">
        <f>Domestic!AI67/Domestic!AI$96</f>
        <v>2.9448667318797052E-7</v>
      </c>
      <c r="AG66" s="15">
        <f>Domestic!AJ67/Domestic!AJ$96</f>
        <v>1.9564564672059781E-7</v>
      </c>
      <c r="AH66" s="15">
        <f>Domestic!AK67/Domestic!AK$96</f>
        <v>1.5909564363152832E-5</v>
      </c>
      <c r="AI66" s="15">
        <f>Domestic!AL67/Domestic!AL$96</f>
        <v>1.8885936055134715E-2</v>
      </c>
      <c r="AJ66" s="15">
        <f>Domestic!AM67/Domestic!AM$96</f>
        <v>1.1356875245746899E-2</v>
      </c>
      <c r="AK66" s="15">
        <f>Domestic!AN67/Domestic!AN$96</f>
        <v>4.0911617185403826E-5</v>
      </c>
      <c r="AL66" s="15">
        <f>Domestic!AO67/Domestic!AO$96</f>
        <v>5.7877297909751158E-4</v>
      </c>
      <c r="AM66" s="15">
        <f>Domestic!AP67/Domestic!AP$96</f>
        <v>7.8828014242453639E-4</v>
      </c>
      <c r="AN66" s="15">
        <f>Domestic!AQ67/Domestic!AQ$96</f>
        <v>3.9407216714219301E-5</v>
      </c>
      <c r="AO66" s="15">
        <f>Domestic!AR67/Domestic!AR$96</f>
        <v>1.5493537707382148E-3</v>
      </c>
      <c r="AP66" s="15">
        <f>Domestic!AS67/Domestic!AS$96</f>
        <v>0</v>
      </c>
      <c r="AQ66" s="15">
        <f>Domestic!AT67/Domestic!AT$96</f>
        <v>4.2503514674111919E-4</v>
      </c>
      <c r="AR66" s="15">
        <f>Domestic!AU67/Domestic!AU$96</f>
        <v>5.1804066485794831E-4</v>
      </c>
      <c r="AS66" s="15">
        <f>Domestic!AV67/Domestic!AV$96</f>
        <v>1.2659507238890007E-3</v>
      </c>
      <c r="AT66" s="15">
        <f>Domestic!AW67/Domestic!AW$96</f>
        <v>3.3409903105091412E-3</v>
      </c>
      <c r="AU66" s="15">
        <f>Domestic!AX67/Domestic!AX$96</f>
        <v>5.1004459129053604E-4</v>
      </c>
      <c r="AV66" s="15">
        <f>Domestic!AY67/Domestic!AY$96</f>
        <v>1.6982332899589706E-3</v>
      </c>
      <c r="AW66" s="15">
        <f>Domestic!AZ67/Domestic!AZ$96</f>
        <v>7.3522794254903348E-4</v>
      </c>
      <c r="AX66" s="15">
        <f>Domestic!BA67/Domestic!BA$96</f>
        <v>1.1675251836166531E-2</v>
      </c>
      <c r="AY66" s="15">
        <f>Domestic!BB67/Domestic!BB$96</f>
        <v>1.9079548353155952E-3</v>
      </c>
      <c r="AZ66" s="15">
        <f>Domestic!BC67/Domestic!BC$96</f>
        <v>1.4815160112324728E-3</v>
      </c>
      <c r="BA66" s="15">
        <f>Domestic!BD67/Domestic!BD$96</f>
        <v>1.0068199617236896E-3</v>
      </c>
      <c r="BB66" s="15">
        <f>Domestic!BE67/Domestic!BE$96</f>
        <v>6.9545133563051729E-8</v>
      </c>
      <c r="BC66" s="15">
        <f>Domestic!BF67/Domestic!BF$96</f>
        <v>5.0300611615162498E-3</v>
      </c>
      <c r="BD66" s="15">
        <f>Domestic!BG67/Domestic!BG$96</f>
        <v>3.4966305250583869E-2</v>
      </c>
      <c r="BE66" s="15">
        <f>Domestic!BH67/Domestic!BH$96</f>
        <v>5.0798539715978572E-2</v>
      </c>
      <c r="BF66" s="15">
        <f>Domestic!BI67/Domestic!BI$96</f>
        <v>1.5237272737776082E-4</v>
      </c>
      <c r="BG66" s="15">
        <f>Domestic!BJ67/Domestic!BJ$96</f>
        <v>0</v>
      </c>
      <c r="BH66" s="15">
        <f>Domestic!BK67/Domestic!BK$96</f>
        <v>0</v>
      </c>
      <c r="BI66" s="15">
        <f>Domestic!BL67/Domestic!BL$96</f>
        <v>6.2964218131980046E-4</v>
      </c>
      <c r="BJ66" s="15">
        <f>Domestic!BM67/Domestic!BM$96</f>
        <v>8.7215837536652477E-2</v>
      </c>
      <c r="BK66" s="15">
        <f>Domestic!BN67/Domestic!BN$96</f>
        <v>5.0399583228537279E-3</v>
      </c>
      <c r="BL66" s="15">
        <f>Domestic!BO67/Domestic!BO$96</f>
        <v>1.778334500401205E-3</v>
      </c>
      <c r="BM66" s="15">
        <f>Domestic!BP67/Domestic!BP$96</f>
        <v>7.1503417876127183E-6</v>
      </c>
      <c r="BN66" s="15">
        <f>Domestic!BQ67/Domestic!BQ$96</f>
        <v>4.3880786243888834E-7</v>
      </c>
      <c r="BO66" s="15">
        <f>Domestic!BR67/Domestic!BR$96</f>
        <v>5.558301962204401E-7</v>
      </c>
      <c r="BP66" s="15">
        <f>Domestic!BS67/Domestic!BS$96</f>
        <v>0</v>
      </c>
      <c r="BQ66" s="15">
        <f>Domestic!BT67/Domestic!BT$96</f>
        <v>1.0898920582688108E-5</v>
      </c>
      <c r="BR66" s="15">
        <f>Domestic!BU67/Domestic!BU$96</f>
        <v>8.0238402073086598E-4</v>
      </c>
      <c r="BS66" s="15">
        <f>Domestic!BV67/Domestic!BV$96</f>
        <v>3.1280784690996286E-7</v>
      </c>
      <c r="BT66" s="15">
        <f>Domestic!BW67/Domestic!BW$96</f>
        <v>1.2994875318999481E-3</v>
      </c>
      <c r="BU66" s="15">
        <f>Domestic!BX67/Domestic!BX$96</f>
        <v>4.044146893402282E-3</v>
      </c>
      <c r="BV66" s="15">
        <f>Domestic!BY67/Domestic!BY$96</f>
        <v>1.1483200730327752E-5</v>
      </c>
      <c r="BW66" s="15">
        <f>Domestic!BZ67/Domestic!BZ$96</f>
        <v>6.8537163961018122E-7</v>
      </c>
      <c r="BX66" s="15">
        <f>Domestic!CA67/Domestic!CA$96</f>
        <v>0</v>
      </c>
      <c r="BY66" s="15">
        <f>Domestic!CB67/Domestic!CB$96</f>
        <v>8.8168763929833373E-5</v>
      </c>
      <c r="BZ66" s="15">
        <f>Domestic!CC67/Domestic!CC$96</f>
        <v>0</v>
      </c>
      <c r="CA66" s="15">
        <f>Domestic!CD67/Domestic!CD$96</f>
        <v>5.8417724886319805E-6</v>
      </c>
    </row>
    <row r="67" spans="1:79" x14ac:dyDescent="0.3">
      <c r="A67" s="7" t="s">
        <v>155</v>
      </c>
      <c r="B67" s="15">
        <f>Domestic!E68/Domestic!E$96</f>
        <v>2.6067354406071337E-7</v>
      </c>
      <c r="C67" s="15">
        <f>Domestic!F68/Domestic!F$96</f>
        <v>3.5529151527952118E-4</v>
      </c>
      <c r="D67" s="15">
        <f>Domestic!G68/Domestic!G$96</f>
        <v>0</v>
      </c>
      <c r="E67" s="15">
        <f>Domestic!H68/Domestic!H$96</f>
        <v>2.0663232269720812E-2</v>
      </c>
      <c r="F67" s="15">
        <f>Domestic!I68/Domestic!I$96</f>
        <v>3.8371323345481413E-2</v>
      </c>
      <c r="G67" s="15">
        <f>Domestic!J68/Domestic!J$96</f>
        <v>3.1089382251741128E-3</v>
      </c>
      <c r="H67" s="15">
        <f>Domestic!K68/Domestic!K$96</f>
        <v>3.9287754341145113E-2</v>
      </c>
      <c r="I67" s="15">
        <f>Domestic!L68/Domestic!L$96</f>
        <v>2.7673903938823043E-2</v>
      </c>
      <c r="J67" s="15">
        <f>Domestic!M68/Domestic!M$96</f>
        <v>8.1277945670509312E-3</v>
      </c>
      <c r="K67" s="15">
        <f>Domestic!N68/Domestic!N$96</f>
        <v>3.1302453730255421E-3</v>
      </c>
      <c r="L67" s="15">
        <f>Domestic!O68/Domestic!O$96</f>
        <v>1.2279008617843366E-2</v>
      </c>
      <c r="M67" s="15">
        <f>Domestic!P68/Domestic!P$96</f>
        <v>4.0121600046387276E-3</v>
      </c>
      <c r="N67" s="15">
        <f>Domestic!Q68/Domestic!Q$96</f>
        <v>1.3137769969808595E-2</v>
      </c>
      <c r="O67" s="15">
        <f>Domestic!R68/Domestic!R$96</f>
        <v>2.4151241655119164E-2</v>
      </c>
      <c r="P67" s="15">
        <f>Domestic!S68/Domestic!S$96</f>
        <v>2.3548729798428158E-2</v>
      </c>
      <c r="Q67" s="15">
        <f>Domestic!T68/Domestic!T$96</f>
        <v>1.8277928419469999E-2</v>
      </c>
      <c r="R67" s="15">
        <f>Domestic!U68/Domestic!U$96</f>
        <v>2.1915198196736919E-2</v>
      </c>
      <c r="S67" s="15">
        <f>Domestic!V68/Domestic!V$96</f>
        <v>2.0374969949384866E-2</v>
      </c>
      <c r="T67" s="15">
        <f>Domestic!W68/Domestic!W$96</f>
        <v>9.3688261594390334E-3</v>
      </c>
      <c r="U67" s="15">
        <f>Domestic!X68/Domestic!X$96</f>
        <v>2.7579280070280657E-2</v>
      </c>
      <c r="V67" s="15">
        <f>Domestic!Y68/Domestic!Y$96</f>
        <v>3.4825026437053611E-2</v>
      </c>
      <c r="W67" s="15">
        <f>Domestic!Z68/Domestic!Z$96</f>
        <v>4.4884410322484219E-3</v>
      </c>
      <c r="X67" s="15">
        <f>Domestic!AA68/Domestic!AA$96</f>
        <v>1.5333662547365566E-2</v>
      </c>
      <c r="Y67" s="15">
        <f>Domestic!AB68/Domestic!AB$96</f>
        <v>4.2262672481082827E-2</v>
      </c>
      <c r="Z67" s="15">
        <f>Domestic!AC68/Domestic!AC$96</f>
        <v>2.7071389209715874E-2</v>
      </c>
      <c r="AA67" s="15">
        <f>Domestic!AD68/Domestic!AD$96</f>
        <v>2.3646205303364708E-2</v>
      </c>
      <c r="AB67" s="15">
        <f>Domestic!AE68/Domestic!AE$96</f>
        <v>2.1211592935117589E-2</v>
      </c>
      <c r="AC67" s="15">
        <f>Domestic!AF68/Domestic!AF$96</f>
        <v>1.9699998595139927E-2</v>
      </c>
      <c r="AD67" s="15">
        <f>Domestic!AG68/Domestic!AG$96</f>
        <v>6.5977223110055888E-3</v>
      </c>
      <c r="AE67" s="15">
        <f>Domestic!AH68/Domestic!AH$96</f>
        <v>2.0383125562806536E-2</v>
      </c>
      <c r="AF67" s="15">
        <f>Domestic!AI68/Domestic!AI$96</f>
        <v>1.4577586701091872E-2</v>
      </c>
      <c r="AG67" s="15">
        <f>Domestic!AJ68/Domestic!AJ$96</f>
        <v>1.1532100769623599E-2</v>
      </c>
      <c r="AH67" s="15">
        <f>Domestic!AK68/Domestic!AK$96</f>
        <v>6.9987988907524402E-3</v>
      </c>
      <c r="AI67" s="15">
        <f>Domestic!AL68/Domestic!AL$96</f>
        <v>4.6080078321357534E-2</v>
      </c>
      <c r="AJ67" s="15">
        <f>Domestic!AM68/Domestic!AM$96</f>
        <v>2.2854684877877767E-2</v>
      </c>
      <c r="AK67" s="15">
        <f>Domestic!AN68/Domestic!AN$96</f>
        <v>3.3353224242545339E-2</v>
      </c>
      <c r="AL67" s="15">
        <f>Domestic!AO68/Domestic!AO$96</f>
        <v>2.2843055678715519E-2</v>
      </c>
      <c r="AM67" s="15">
        <f>Domestic!AP68/Domestic!AP$96</f>
        <v>1.1339425100189329E-2</v>
      </c>
      <c r="AN67" s="15">
        <f>Domestic!AQ68/Domestic!AQ$96</f>
        <v>2.6089585404406642E-3</v>
      </c>
      <c r="AO67" s="15">
        <f>Domestic!AR68/Domestic!AR$96</f>
        <v>6.0637853588320382E-3</v>
      </c>
      <c r="AP67" s="15">
        <f>Domestic!AS68/Domestic!AS$96</f>
        <v>4.6231398547868258E-2</v>
      </c>
      <c r="AQ67" s="15">
        <f>Domestic!AT68/Domestic!AT$96</f>
        <v>2.2488766119262305E-2</v>
      </c>
      <c r="AR67" s="15">
        <f>Domestic!AU68/Domestic!AU$96</f>
        <v>3.7010944857362886E-2</v>
      </c>
      <c r="AS67" s="15">
        <f>Domestic!AV68/Domestic!AV$96</f>
        <v>9.8221441325736271E-3</v>
      </c>
      <c r="AT67" s="15">
        <f>Domestic!AW68/Domestic!AW$96</f>
        <v>2.5705883647636155E-2</v>
      </c>
      <c r="AU67" s="15">
        <f>Domestic!AX68/Domestic!AX$96</f>
        <v>4.8762495136917466E-2</v>
      </c>
      <c r="AV67" s="15">
        <f>Domestic!AY68/Domestic!AY$96</f>
        <v>6.6363483816973504E-2</v>
      </c>
      <c r="AW67" s="15">
        <f>Domestic!AZ68/Domestic!AZ$96</f>
        <v>2.5849693654315626E-2</v>
      </c>
      <c r="AX67" s="15">
        <f>Domestic!BA68/Domestic!BA$96</f>
        <v>7.444184250311689E-2</v>
      </c>
      <c r="AY67" s="15">
        <f>Domestic!BB68/Domestic!BB$96</f>
        <v>6.6264112266920139E-2</v>
      </c>
      <c r="AZ67" s="15">
        <f>Domestic!BC68/Domestic!BC$96</f>
        <v>0.11182851617327212</v>
      </c>
      <c r="BA67" s="15">
        <f>Domestic!BD68/Domestic!BD$96</f>
        <v>7.8278108029209092E-2</v>
      </c>
      <c r="BB67" s="15">
        <f>Domestic!BE68/Domestic!BE$96</f>
        <v>1.397495549922812E-2</v>
      </c>
      <c r="BC67" s="15">
        <f>Domestic!BF68/Domestic!BF$96</f>
        <v>9.787082205638245E-2</v>
      </c>
      <c r="BD67" s="15">
        <f>Domestic!BG68/Domestic!BG$96</f>
        <v>0.12190496490319741</v>
      </c>
      <c r="BE67" s="15">
        <f>Domestic!BH68/Domestic!BH$96</f>
        <v>0.12256883326409063</v>
      </c>
      <c r="BF67" s="15">
        <f>Domestic!BI68/Domestic!BI$96</f>
        <v>3.9448550457655395E-3</v>
      </c>
      <c r="BG67" s="15">
        <f>Domestic!BJ68/Domestic!BJ$96</f>
        <v>2.4939912894592641E-2</v>
      </c>
      <c r="BH67" s="15">
        <f>Domestic!BK68/Domestic!BK$96</f>
        <v>9.2421758026086092E-4</v>
      </c>
      <c r="BI67" s="15">
        <f>Domestic!BL68/Domestic!BL$96</f>
        <v>2.2588219091534283E-2</v>
      </c>
      <c r="BJ67" s="15">
        <f>Domestic!BM68/Domestic!BM$96</f>
        <v>1.3647247570258524E-2</v>
      </c>
      <c r="BK67" s="15">
        <f>Domestic!BN68/Domestic!BN$96</f>
        <v>2.0629702547681983E-2</v>
      </c>
      <c r="BL67" s="15">
        <f>Domestic!BO68/Domestic!BO$96</f>
        <v>2.5013559292067663E-2</v>
      </c>
      <c r="BM67" s="15">
        <f>Domestic!BP68/Domestic!BP$96</f>
        <v>1.3814142497100453E-2</v>
      </c>
      <c r="BN67" s="15">
        <f>Domestic!BQ68/Domestic!BQ$96</f>
        <v>2.2351384503923957E-2</v>
      </c>
      <c r="BO67" s="15">
        <f>Domestic!BR68/Domestic!BR$96</f>
        <v>3.1409633070025596E-2</v>
      </c>
      <c r="BP67" s="15">
        <f>Domestic!BS68/Domestic!BS$96</f>
        <v>1.470119330491299E-2</v>
      </c>
      <c r="BQ67" s="15">
        <f>Domestic!BT68/Domestic!BT$96</f>
        <v>6.0969622175073422E-2</v>
      </c>
      <c r="BR67" s="15">
        <f>Domestic!BU68/Domestic!BU$96</f>
        <v>4.276457846371777E-2</v>
      </c>
      <c r="BS67" s="15">
        <f>Domestic!BV68/Domestic!BV$96</f>
        <v>0.10037120125173188</v>
      </c>
      <c r="BT67" s="15">
        <f>Domestic!BW68/Domestic!BW$96</f>
        <v>5.6854758658478652E-2</v>
      </c>
      <c r="BU67" s="15">
        <f>Domestic!BX68/Domestic!BX$96</f>
        <v>7.3265087238142748E-2</v>
      </c>
      <c r="BV67" s="15">
        <f>Domestic!BY68/Domestic!BY$96</f>
        <v>3.0549880149835885E-2</v>
      </c>
      <c r="BW67" s="15">
        <f>Domestic!BZ68/Domestic!BZ$96</f>
        <v>7.2918522831247265E-3</v>
      </c>
      <c r="BX67" s="15">
        <f>Domestic!CA68/Domestic!CA$96</f>
        <v>5.6824430223758717E-3</v>
      </c>
      <c r="BY67" s="15">
        <f>Domestic!CB68/Domestic!CB$96</f>
        <v>2.9577343186708765E-2</v>
      </c>
      <c r="BZ67" s="15">
        <f>Domestic!CC68/Domestic!CC$96</f>
        <v>0</v>
      </c>
      <c r="CA67" s="15">
        <f>Domestic!CD68/Domestic!CD$96</f>
        <v>4.7011322968481137E-2</v>
      </c>
    </row>
    <row r="68" spans="1:79" x14ac:dyDescent="0.3">
      <c r="A68" s="8" t="s">
        <v>156</v>
      </c>
      <c r="B68" s="15">
        <f>Domestic!E69/Domestic!E$96</f>
        <v>1.4644581127006369E-9</v>
      </c>
      <c r="C68" s="15">
        <f>Domestic!F69/Domestic!F$96</f>
        <v>0</v>
      </c>
      <c r="D68" s="15">
        <f>Domestic!G69/Domestic!G$96</f>
        <v>0</v>
      </c>
      <c r="E68" s="15">
        <f>Domestic!H69/Domestic!H$96</f>
        <v>0</v>
      </c>
      <c r="F68" s="15">
        <f>Domestic!I69/Domestic!I$96</f>
        <v>0</v>
      </c>
      <c r="G68" s="15">
        <f>Domestic!J69/Domestic!J$96</f>
        <v>2.2559786437330496E-9</v>
      </c>
      <c r="H68" s="15">
        <f>Domestic!K69/Domestic!K$96</f>
        <v>3.1063781743061876E-5</v>
      </c>
      <c r="I68" s="15">
        <f>Domestic!L69/Domestic!L$96</f>
        <v>0</v>
      </c>
      <c r="J68" s="15">
        <f>Domestic!M69/Domestic!M$96</f>
        <v>0</v>
      </c>
      <c r="K68" s="15">
        <f>Domestic!N69/Domestic!N$96</f>
        <v>6.3077267456790635E-4</v>
      </c>
      <c r="L68" s="15">
        <f>Domestic!O69/Domestic!O$96</f>
        <v>3.8617294080823218E-3</v>
      </c>
      <c r="M68" s="15">
        <f>Domestic!P69/Domestic!P$96</f>
        <v>1.8036360469299603E-5</v>
      </c>
      <c r="N68" s="15">
        <f>Domestic!Q69/Domestic!Q$96</f>
        <v>1.1715027721894296E-3</v>
      </c>
      <c r="O68" s="15">
        <f>Domestic!R69/Domestic!R$96</f>
        <v>1.0328758006727485E-3</v>
      </c>
      <c r="P68" s="15">
        <f>Domestic!S69/Domestic!S$96</f>
        <v>6.0745911807728582E-8</v>
      </c>
      <c r="Q68" s="15">
        <f>Domestic!T69/Domestic!T$96</f>
        <v>0</v>
      </c>
      <c r="R68" s="15">
        <f>Domestic!U69/Domestic!U$96</f>
        <v>0</v>
      </c>
      <c r="S68" s="15">
        <f>Domestic!V69/Domestic!V$96</f>
        <v>0</v>
      </c>
      <c r="T68" s="15">
        <f>Domestic!W69/Domestic!W$96</f>
        <v>2.8595114618592974E-4</v>
      </c>
      <c r="U68" s="15">
        <f>Domestic!X69/Domestic!X$96</f>
        <v>8.2879026261346996E-4</v>
      </c>
      <c r="V68" s="15">
        <f>Domestic!Y69/Domestic!Y$96</f>
        <v>8.5191204007313006E-4</v>
      </c>
      <c r="W68" s="15">
        <f>Domestic!Z69/Domestic!Z$96</f>
        <v>8.6532999620889743E-5</v>
      </c>
      <c r="X68" s="15">
        <f>Domestic!AA69/Domestic!AA$96</f>
        <v>3.996494398061034E-4</v>
      </c>
      <c r="Y68" s="15">
        <f>Domestic!AB69/Domestic!AB$96</f>
        <v>3.4740150321273201E-4</v>
      </c>
      <c r="Z68" s="15">
        <f>Domestic!AC69/Domestic!AC$96</f>
        <v>7.5391137135528535E-9</v>
      </c>
      <c r="AA68" s="15">
        <f>Domestic!AD69/Domestic!AD$96</f>
        <v>9.8349420225371043E-4</v>
      </c>
      <c r="AB68" s="15">
        <f>Domestic!AE69/Domestic!AE$96</f>
        <v>6.6010678927843345E-4</v>
      </c>
      <c r="AC68" s="15">
        <f>Domestic!AF69/Domestic!AF$96</f>
        <v>5.0880461151651252E-4</v>
      </c>
      <c r="AD68" s="15">
        <f>Domestic!AG69/Domestic!AG$96</f>
        <v>1.3326986213409059E-4</v>
      </c>
      <c r="AE68" s="15">
        <f>Domestic!AH69/Domestic!AH$96</f>
        <v>1.7836959714965554E-4</v>
      </c>
      <c r="AF68" s="15">
        <f>Domestic!AI69/Domestic!AI$96</f>
        <v>9.1406379182349502E-4</v>
      </c>
      <c r="AG68" s="15">
        <f>Domestic!AJ69/Domestic!AJ$96</f>
        <v>1.9455872646103895E-4</v>
      </c>
      <c r="AH68" s="15">
        <f>Domestic!AK69/Domestic!AK$96</f>
        <v>7.6091522445590791E-5</v>
      </c>
      <c r="AI68" s="15">
        <f>Domestic!AL69/Domestic!AL$96</f>
        <v>5.242675547702381E-6</v>
      </c>
      <c r="AJ68" s="15">
        <f>Domestic!AM69/Domestic!AM$96</f>
        <v>7.7846906980619796E-8</v>
      </c>
      <c r="AK68" s="15">
        <f>Domestic!AN69/Domestic!AN$96</f>
        <v>3.1503557985622507E-3</v>
      </c>
      <c r="AL68" s="15">
        <f>Domestic!AO69/Domestic!AO$96</f>
        <v>3.0826976298372723E-3</v>
      </c>
      <c r="AM68" s="15">
        <f>Domestic!AP69/Domestic!AP$96</f>
        <v>7.618858614178237E-4</v>
      </c>
      <c r="AN68" s="15">
        <f>Domestic!AQ69/Domestic!AQ$96</f>
        <v>2.0529940401300094E-4</v>
      </c>
      <c r="AO68" s="15">
        <f>Domestic!AR69/Domestic!AR$96</f>
        <v>1.1669292235034863E-3</v>
      </c>
      <c r="AP68" s="15">
        <f>Domestic!AS69/Domestic!AS$96</f>
        <v>1.1333144724084513E-2</v>
      </c>
      <c r="AQ68" s="15">
        <f>Domestic!AT69/Domestic!AT$96</f>
        <v>3.0250805744317061E-4</v>
      </c>
      <c r="AR68" s="15">
        <f>Domestic!AU69/Domestic!AU$96</f>
        <v>2.6401958089791646E-3</v>
      </c>
      <c r="AS68" s="15">
        <f>Domestic!AV69/Domestic!AV$96</f>
        <v>2.4620699723634787E-3</v>
      </c>
      <c r="AT68" s="15">
        <f>Domestic!AW69/Domestic!AW$96</f>
        <v>1.436805894146123E-3</v>
      </c>
      <c r="AU68" s="15">
        <f>Domestic!AX69/Domestic!AX$96</f>
        <v>3.6437762955430753E-3</v>
      </c>
      <c r="AV68" s="15">
        <f>Domestic!AY69/Domestic!AY$96</f>
        <v>2.0582787208434403E-3</v>
      </c>
      <c r="AW68" s="15">
        <f>Domestic!AZ69/Domestic!AZ$96</f>
        <v>2.4332645000372782E-3</v>
      </c>
      <c r="AX68" s="15">
        <f>Domestic!BA69/Domestic!BA$96</f>
        <v>7.2888076905908402E-3</v>
      </c>
      <c r="AY68" s="15">
        <f>Domestic!BB69/Domestic!BB$96</f>
        <v>7.8881254424485302E-3</v>
      </c>
      <c r="AZ68" s="15">
        <f>Domestic!BC69/Domestic!BC$96</f>
        <v>1.4542743470147106E-3</v>
      </c>
      <c r="BA68" s="15">
        <f>Domestic!BD69/Domestic!BD$96</f>
        <v>3.7732250381545311E-2</v>
      </c>
      <c r="BB68" s="15">
        <f>Domestic!BE69/Domestic!BE$96</f>
        <v>0</v>
      </c>
      <c r="BC68" s="15">
        <f>Domestic!BF69/Domestic!BF$96</f>
        <v>7.3368325601279427E-8</v>
      </c>
      <c r="BD68" s="15">
        <f>Domestic!BG69/Domestic!BG$96</f>
        <v>2.6670214872053247E-8</v>
      </c>
      <c r="BE68" s="15">
        <f>Domestic!BH69/Domestic!BH$96</f>
        <v>2.8513291601427889E-3</v>
      </c>
      <c r="BF68" s="15">
        <f>Domestic!BI69/Domestic!BI$96</f>
        <v>6.7229195472233297E-4</v>
      </c>
      <c r="BG68" s="15">
        <f>Domestic!BJ69/Domestic!BJ$96</f>
        <v>4.5414328052299286E-4</v>
      </c>
      <c r="BH68" s="15">
        <f>Domestic!BK69/Domestic!BK$96</f>
        <v>3.6339564494732675E-5</v>
      </c>
      <c r="BI68" s="15">
        <f>Domestic!BL69/Domestic!BL$96</f>
        <v>4.9892717130746835E-4</v>
      </c>
      <c r="BJ68" s="15">
        <f>Domestic!BM69/Domestic!BM$96</f>
        <v>0</v>
      </c>
      <c r="BK68" s="15">
        <f>Domestic!BN69/Domestic!BN$96</f>
        <v>8.9567147591892582E-9</v>
      </c>
      <c r="BL68" s="15">
        <f>Domestic!BO69/Domestic!BO$96</f>
        <v>2.6089853769303268E-5</v>
      </c>
      <c r="BM68" s="15">
        <f>Domestic!BP69/Domestic!BP$96</f>
        <v>2.93047277022026E-5</v>
      </c>
      <c r="BN68" s="15">
        <f>Domestic!BQ69/Domestic!BQ$96</f>
        <v>1.5197885285897852E-3</v>
      </c>
      <c r="BO68" s="15">
        <f>Domestic!BR69/Domestic!BR$96</f>
        <v>6.2560759324557238E-4</v>
      </c>
      <c r="BP68" s="15">
        <f>Domestic!BS69/Domestic!BS$96</f>
        <v>1.747152142008526E-6</v>
      </c>
      <c r="BQ68" s="15">
        <f>Domestic!BT69/Domestic!BT$96</f>
        <v>2.1367775650491764E-4</v>
      </c>
      <c r="BR68" s="15">
        <f>Domestic!BU69/Domestic!BU$96</f>
        <v>7.1375949678340153E-4</v>
      </c>
      <c r="BS68" s="15">
        <f>Domestic!BV69/Domestic!BV$96</f>
        <v>5.6070806558610844E-5</v>
      </c>
      <c r="BT68" s="15">
        <f>Domestic!BW69/Domestic!BW$96</f>
        <v>4.7550290869818158E-5</v>
      </c>
      <c r="BU68" s="15">
        <f>Domestic!BX69/Domestic!BX$96</f>
        <v>5.3383375906029252E-5</v>
      </c>
      <c r="BV68" s="15">
        <f>Domestic!BY69/Domestic!BY$96</f>
        <v>2.9742309711624266E-7</v>
      </c>
      <c r="BW68" s="15">
        <f>Domestic!BZ69/Domestic!BZ$96</f>
        <v>1.9306243369300879E-7</v>
      </c>
      <c r="BX68" s="15">
        <f>Domestic!CA69/Domestic!CA$96</f>
        <v>2.7274759603075566E-5</v>
      </c>
      <c r="BY68" s="15">
        <f>Domestic!CB69/Domestic!CB$96</f>
        <v>5.3012101843572944E-7</v>
      </c>
      <c r="BZ68" s="15">
        <f>Domestic!CC69/Domestic!CC$96</f>
        <v>0</v>
      </c>
      <c r="CA68" s="15">
        <f>Domestic!CD69/Domestic!CD$96</f>
        <v>1.9384745455690809E-4</v>
      </c>
    </row>
    <row r="69" spans="1:79" x14ac:dyDescent="0.3">
      <c r="A69" s="7" t="s">
        <v>157</v>
      </c>
      <c r="B69" s="15">
        <f>Domestic!E70/Domestic!E$96</f>
        <v>2.5774462783531206E-7</v>
      </c>
      <c r="C69" s="15">
        <f>Domestic!F70/Domestic!F$96</f>
        <v>1.1584978627692354E-6</v>
      </c>
      <c r="D69" s="15">
        <f>Domestic!G70/Domestic!G$96</f>
        <v>0</v>
      </c>
      <c r="E69" s="15">
        <f>Domestic!H70/Domestic!H$96</f>
        <v>6.921320474767761E-5</v>
      </c>
      <c r="F69" s="15">
        <f>Domestic!I70/Domestic!I$96</f>
        <v>8.1268352004433347E-4</v>
      </c>
      <c r="G69" s="15">
        <f>Domestic!J70/Domestic!J$96</f>
        <v>5.1980003930253198E-5</v>
      </c>
      <c r="H69" s="15">
        <f>Domestic!K70/Domestic!K$96</f>
        <v>3.8322273034322368E-5</v>
      </c>
      <c r="I69" s="15">
        <f>Domestic!L70/Domestic!L$96</f>
        <v>5.8194967224692542E-6</v>
      </c>
      <c r="J69" s="15">
        <f>Domestic!M70/Domestic!M$96</f>
        <v>6.9037224480047499E-6</v>
      </c>
      <c r="K69" s="15">
        <f>Domestic!N70/Domestic!N$96</f>
        <v>1.1459052230032841E-5</v>
      </c>
      <c r="L69" s="15">
        <f>Domestic!O70/Domestic!O$96</f>
        <v>7.2885699202243566E-5</v>
      </c>
      <c r="M69" s="15">
        <f>Domestic!P70/Domestic!P$96</f>
        <v>1.5936438566379513E-5</v>
      </c>
      <c r="N69" s="15">
        <f>Domestic!Q70/Domestic!Q$96</f>
        <v>7.1807860555313639E-5</v>
      </c>
      <c r="O69" s="15">
        <f>Domestic!R70/Domestic!R$96</f>
        <v>5.5751353633516163E-5</v>
      </c>
      <c r="P69" s="15">
        <f>Domestic!S70/Domestic!S$96</f>
        <v>0</v>
      </c>
      <c r="Q69" s="15">
        <f>Domestic!T70/Domestic!T$96</f>
        <v>1.576093995900928E-4</v>
      </c>
      <c r="R69" s="15">
        <f>Domestic!U70/Domestic!U$96</f>
        <v>1.8822723855630143E-5</v>
      </c>
      <c r="S69" s="15">
        <f>Domestic!V70/Domestic!V$96</f>
        <v>8.5112743640273709E-6</v>
      </c>
      <c r="T69" s="15">
        <f>Domestic!W70/Domestic!W$96</f>
        <v>1.4074881741693952E-5</v>
      </c>
      <c r="U69" s="15">
        <f>Domestic!X70/Domestic!X$96</f>
        <v>5.8417056370393277E-5</v>
      </c>
      <c r="V69" s="15">
        <f>Domestic!Y70/Domestic!Y$96</f>
        <v>6.5620361872543851E-5</v>
      </c>
      <c r="W69" s="15">
        <f>Domestic!Z70/Domestic!Z$96</f>
        <v>0</v>
      </c>
      <c r="X69" s="15">
        <f>Domestic!AA70/Domestic!AA$96</f>
        <v>4.0590067925090129E-5</v>
      </c>
      <c r="Y69" s="15">
        <f>Domestic!AB70/Domestic!AB$96</f>
        <v>1.9989729168118536E-7</v>
      </c>
      <c r="Z69" s="15">
        <f>Domestic!AC70/Domestic!AC$96</f>
        <v>4.3425294990064433E-6</v>
      </c>
      <c r="AA69" s="15">
        <f>Domestic!AD70/Domestic!AD$96</f>
        <v>4.5222822667817462E-5</v>
      </c>
      <c r="AB69" s="15">
        <f>Domestic!AE70/Domestic!AE$96</f>
        <v>4.0172732924816176E-5</v>
      </c>
      <c r="AC69" s="15">
        <f>Domestic!AF70/Domestic!AF$96</f>
        <v>5.1199271042183661E-5</v>
      </c>
      <c r="AD69" s="15">
        <f>Domestic!AG70/Domestic!AG$96</f>
        <v>1.7195693912414538E-4</v>
      </c>
      <c r="AE69" s="15">
        <f>Domestic!AH70/Domestic!AH$96</f>
        <v>1.4932315688900391E-4</v>
      </c>
      <c r="AF69" s="15">
        <f>Domestic!AI70/Domestic!AI$96</f>
        <v>1.0172682306282426E-3</v>
      </c>
      <c r="AG69" s="15">
        <f>Domestic!AJ70/Domestic!AJ$96</f>
        <v>1.8948643191643086E-5</v>
      </c>
      <c r="AH69" s="15">
        <f>Domestic!AK70/Domestic!AK$96</f>
        <v>2.8636333581978817E-5</v>
      </c>
      <c r="AI69" s="15">
        <f>Domestic!AL70/Domestic!AL$96</f>
        <v>3.0991696100494506E-6</v>
      </c>
      <c r="AJ69" s="15">
        <f>Domestic!AM70/Domestic!AM$96</f>
        <v>1.9496325370479667E-6</v>
      </c>
      <c r="AK69" s="15">
        <f>Domestic!AN70/Domestic!AN$96</f>
        <v>8.5647638048463024E-4</v>
      </c>
      <c r="AL69" s="15">
        <f>Domestic!AO70/Domestic!AO$96</f>
        <v>1.6870613559435093E-5</v>
      </c>
      <c r="AM69" s="15">
        <f>Domestic!AP70/Domestic!AP$96</f>
        <v>2.2316862596477633E-5</v>
      </c>
      <c r="AN69" s="15">
        <f>Domestic!AQ70/Domestic!AQ$96</f>
        <v>6.9210617000952266E-5</v>
      </c>
      <c r="AO69" s="15">
        <f>Domestic!AR70/Domestic!AR$96</f>
        <v>1.4440178331357706E-4</v>
      </c>
      <c r="AP69" s="15">
        <f>Domestic!AS70/Domestic!AS$96</f>
        <v>5.9136831431750604E-4</v>
      </c>
      <c r="AQ69" s="15">
        <f>Domestic!AT70/Domestic!AT$96</f>
        <v>3.0189027379965149E-4</v>
      </c>
      <c r="AR69" s="15">
        <f>Domestic!AU70/Domestic!AU$96</f>
        <v>6.982851548783315E-4</v>
      </c>
      <c r="AS69" s="15">
        <f>Domestic!AV70/Domestic!AV$96</f>
        <v>3.9734517882064439E-4</v>
      </c>
      <c r="AT69" s="15">
        <f>Domestic!AW70/Domestic!AW$96</f>
        <v>5.1689519469477329E-4</v>
      </c>
      <c r="AU69" s="15">
        <f>Domestic!AX70/Domestic!AX$96</f>
        <v>1.3564953918786039E-3</v>
      </c>
      <c r="AV69" s="15">
        <f>Domestic!AY70/Domestic!AY$96</f>
        <v>7.2061485563290942E-4</v>
      </c>
      <c r="AW69" s="15">
        <f>Domestic!AZ70/Domestic!AZ$96</f>
        <v>7.7044521933471556E-4</v>
      </c>
      <c r="AX69" s="15">
        <f>Domestic!BA70/Domestic!BA$96</f>
        <v>3.8975006366072319E-4</v>
      </c>
      <c r="AY69" s="15">
        <f>Domestic!BB70/Domestic!BB$96</f>
        <v>1.7035646510840702E-3</v>
      </c>
      <c r="AZ69" s="15">
        <f>Domestic!BC70/Domestic!BC$96</f>
        <v>4.2057566609765979E-4</v>
      </c>
      <c r="BA69" s="15">
        <f>Domestic!BD70/Domestic!BD$96</f>
        <v>8.6480174565772437E-4</v>
      </c>
      <c r="BB69" s="15">
        <f>Domestic!BE70/Domestic!BE$96</f>
        <v>2.0863540068915517E-7</v>
      </c>
      <c r="BC69" s="15">
        <f>Domestic!BF70/Domestic!BF$96</f>
        <v>5.0331734671544374E-5</v>
      </c>
      <c r="BD69" s="15">
        <f>Domestic!BG70/Domestic!BG$96</f>
        <v>1.8135746112996208E-6</v>
      </c>
      <c r="BE69" s="15">
        <f>Domestic!BH70/Domestic!BH$96</f>
        <v>1.9133222259893031E-6</v>
      </c>
      <c r="BF69" s="15">
        <f>Domestic!BI70/Domestic!BI$96</f>
        <v>3.4022587999472747E-4</v>
      </c>
      <c r="BG69" s="15">
        <f>Domestic!BJ70/Domestic!BJ$96</f>
        <v>9.0317383688933925E-4</v>
      </c>
      <c r="BH69" s="15">
        <f>Domestic!BK70/Domestic!BK$96</f>
        <v>1.2126528680511013E-5</v>
      </c>
      <c r="BI69" s="15">
        <f>Domestic!BL70/Domestic!BL$96</f>
        <v>1.2434321016021816E-3</v>
      </c>
      <c r="BJ69" s="15">
        <f>Domestic!BM70/Domestic!BM$96</f>
        <v>0</v>
      </c>
      <c r="BK69" s="15">
        <f>Domestic!BN70/Domestic!BN$96</f>
        <v>7.2419318147318992E-4</v>
      </c>
      <c r="BL69" s="15">
        <f>Domestic!BO70/Domestic!BO$96</f>
        <v>4.4982506498798739E-6</v>
      </c>
      <c r="BM69" s="15">
        <f>Domestic!BP70/Domestic!BP$96</f>
        <v>9.2366837980249468E-4</v>
      </c>
      <c r="BN69" s="15">
        <f>Domestic!BQ70/Domestic!BQ$96</f>
        <v>3.9934047065760602E-4</v>
      </c>
      <c r="BO69" s="15">
        <f>Domestic!BR70/Domestic!BR$96</f>
        <v>1.6714794877165494E-4</v>
      </c>
      <c r="BP69" s="15">
        <f>Domestic!BS70/Domestic!BS$96</f>
        <v>1.6065063945768397E-3</v>
      </c>
      <c r="BQ69" s="15">
        <f>Domestic!BT70/Domestic!BT$96</f>
        <v>4.1250941578368719E-4</v>
      </c>
      <c r="BR69" s="15">
        <f>Domestic!BU70/Domestic!BU$96</f>
        <v>3.1601599917584298E-4</v>
      </c>
      <c r="BS69" s="15">
        <f>Domestic!BV70/Domestic!BV$96</f>
        <v>1.6203446469936075E-3</v>
      </c>
      <c r="BT69" s="15">
        <f>Domestic!BW70/Domestic!BW$96</f>
        <v>9.3911323516659604E-4</v>
      </c>
      <c r="BU69" s="15">
        <f>Domestic!BX70/Domestic!BX$96</f>
        <v>9.6917274938824919E-6</v>
      </c>
      <c r="BV69" s="15">
        <f>Domestic!BY70/Domestic!BY$96</f>
        <v>1.4798705639847919E-5</v>
      </c>
      <c r="BW69" s="15">
        <f>Domestic!BZ70/Domestic!BZ$96</f>
        <v>7.6452723742431487E-6</v>
      </c>
      <c r="BX69" s="15">
        <f>Domestic!CA70/Domestic!CA$96</f>
        <v>3.2006323840799324E-6</v>
      </c>
      <c r="BY69" s="15">
        <f>Domestic!CB70/Domestic!CB$96</f>
        <v>1.080796274540808E-3</v>
      </c>
      <c r="BZ69" s="15">
        <f>Domestic!CC70/Domestic!CC$96</f>
        <v>0</v>
      </c>
      <c r="CA69" s="15">
        <f>Domestic!CD70/Domestic!CD$96</f>
        <v>1.9910788300656125E-3</v>
      </c>
    </row>
    <row r="70" spans="1:79" x14ac:dyDescent="0.3">
      <c r="A70" s="8" t="s">
        <v>158</v>
      </c>
      <c r="B70" s="15">
        <f>Domestic!E71/Domestic!E$96</f>
        <v>2.0063076143998727E-7</v>
      </c>
      <c r="C70" s="15">
        <f>Domestic!F71/Domestic!F$96</f>
        <v>1.614631167622628E-8</v>
      </c>
      <c r="D70" s="15">
        <f>Domestic!G71/Domestic!G$96</f>
        <v>0</v>
      </c>
      <c r="E70" s="15">
        <f>Domestic!H71/Domestic!H$96</f>
        <v>0</v>
      </c>
      <c r="F70" s="15">
        <f>Domestic!I71/Domestic!I$96</f>
        <v>0</v>
      </c>
      <c r="G70" s="15">
        <f>Domestic!J71/Domestic!J$96</f>
        <v>2.1882992844210581E-7</v>
      </c>
      <c r="H70" s="15">
        <f>Domestic!K71/Domestic!K$96</f>
        <v>5.2784716152714296E-6</v>
      </c>
      <c r="I70" s="15">
        <f>Domestic!L71/Domestic!L$96</f>
        <v>0</v>
      </c>
      <c r="J70" s="15">
        <f>Domestic!M71/Domestic!M$96</f>
        <v>0</v>
      </c>
      <c r="K70" s="15">
        <f>Domestic!N71/Domestic!N$96</f>
        <v>8.8503513654075714E-7</v>
      </c>
      <c r="L70" s="15">
        <f>Domestic!O71/Domestic!O$96</f>
        <v>4.9808395813375178E-7</v>
      </c>
      <c r="M70" s="15">
        <f>Domestic!P71/Domestic!P$96</f>
        <v>0</v>
      </c>
      <c r="N70" s="15">
        <f>Domestic!Q71/Domestic!Q$96</f>
        <v>3.5549066944685467E-8</v>
      </c>
      <c r="O70" s="15">
        <f>Domestic!R71/Domestic!R$96</f>
        <v>1.0771959508755731E-8</v>
      </c>
      <c r="P70" s="15">
        <f>Domestic!S71/Domestic!S$96</f>
        <v>0</v>
      </c>
      <c r="Q70" s="15">
        <f>Domestic!T71/Domestic!T$96</f>
        <v>0</v>
      </c>
      <c r="R70" s="15">
        <f>Domestic!U71/Domestic!U$96</f>
        <v>1.1533531774283179E-8</v>
      </c>
      <c r="S70" s="15">
        <f>Domestic!V71/Domestic!V$96</f>
        <v>0</v>
      </c>
      <c r="T70" s="15">
        <f>Domestic!W71/Domestic!W$96</f>
        <v>1.1161682586593143E-8</v>
      </c>
      <c r="U70" s="15">
        <f>Domestic!X71/Domestic!X$96</f>
        <v>3.7942112663812355E-8</v>
      </c>
      <c r="V70" s="15">
        <f>Domestic!Y71/Domestic!Y$96</f>
        <v>6.4036903885555565E-7</v>
      </c>
      <c r="W70" s="15">
        <f>Domestic!Z71/Domestic!Z$96</f>
        <v>0</v>
      </c>
      <c r="X70" s="15">
        <f>Domestic!AA71/Domestic!AA$96</f>
        <v>6.2691513056712165E-9</v>
      </c>
      <c r="Y70" s="15">
        <f>Domestic!AB71/Domestic!AB$96</f>
        <v>0</v>
      </c>
      <c r="Z70" s="15">
        <f>Domestic!AC71/Domestic!AC$96</f>
        <v>0</v>
      </c>
      <c r="AA70" s="15">
        <f>Domestic!AD71/Domestic!AD$96</f>
        <v>2.1460061977045042E-7</v>
      </c>
      <c r="AB70" s="15">
        <f>Domestic!AE71/Domestic!AE$96</f>
        <v>1.0333696588115208E-7</v>
      </c>
      <c r="AC70" s="15">
        <f>Domestic!AF71/Domestic!AF$96</f>
        <v>1.6639347105032065E-8</v>
      </c>
      <c r="AD70" s="15">
        <f>Domestic!AG71/Domestic!AG$96</f>
        <v>7.3032871436572773E-9</v>
      </c>
      <c r="AE70" s="15">
        <f>Domestic!AH71/Domestic!AH$96</f>
        <v>3.7697106759676531E-8</v>
      </c>
      <c r="AF70" s="15">
        <f>Domestic!AI71/Domestic!AI$96</f>
        <v>1.4810297242063904E-7</v>
      </c>
      <c r="AG70" s="15">
        <f>Domestic!AJ71/Domestic!AJ$96</f>
        <v>4.3476810382355071E-8</v>
      </c>
      <c r="AH70" s="15">
        <f>Domestic!AK71/Domestic!AK$96</f>
        <v>4.4113584813954895E-9</v>
      </c>
      <c r="AI70" s="15">
        <f>Domestic!AL71/Domestic!AL$96</f>
        <v>1.7275192921122913E-9</v>
      </c>
      <c r="AJ70" s="15">
        <f>Domestic!AM71/Domestic!AM$96</f>
        <v>1.7427327576061418E-6</v>
      </c>
      <c r="AK70" s="15">
        <f>Domestic!AN71/Domestic!AN$96</f>
        <v>0</v>
      </c>
      <c r="AL70" s="15">
        <f>Domestic!AO71/Domestic!AO$96</f>
        <v>0</v>
      </c>
      <c r="AM70" s="15">
        <f>Domestic!AP71/Domestic!AP$96</f>
        <v>0</v>
      </c>
      <c r="AN70" s="15">
        <f>Domestic!AQ71/Domestic!AQ$96</f>
        <v>9.5205742709160315E-4</v>
      </c>
      <c r="AO70" s="15">
        <f>Domestic!AR71/Domestic!AR$96</f>
        <v>0</v>
      </c>
      <c r="AP70" s="15">
        <f>Domestic!AS71/Domestic!AS$96</f>
        <v>0</v>
      </c>
      <c r="AQ70" s="15">
        <f>Domestic!AT71/Domestic!AT$96</f>
        <v>0</v>
      </c>
      <c r="AR70" s="15">
        <f>Domestic!AU71/Domestic!AU$96</f>
        <v>0</v>
      </c>
      <c r="AS70" s="15">
        <f>Domestic!AV71/Domestic!AV$96</f>
        <v>0</v>
      </c>
      <c r="AT70" s="15">
        <f>Domestic!AW71/Domestic!AW$96</f>
        <v>0</v>
      </c>
      <c r="AU70" s="15">
        <f>Domestic!AX71/Domestic!AX$96</f>
        <v>0</v>
      </c>
      <c r="AV70" s="15">
        <f>Domestic!AY71/Domestic!AY$96</f>
        <v>0</v>
      </c>
      <c r="AW70" s="15">
        <f>Domestic!AZ71/Domestic!AZ$96</f>
        <v>5.0573482753372823E-6</v>
      </c>
      <c r="AX70" s="15">
        <f>Domestic!BA71/Domestic!BA$96</f>
        <v>7.7305067596765901E-8</v>
      </c>
      <c r="AY70" s="15">
        <f>Domestic!BB71/Domestic!BB$96</f>
        <v>0</v>
      </c>
      <c r="AZ70" s="15">
        <f>Domestic!BC71/Domestic!BC$96</f>
        <v>0</v>
      </c>
      <c r="BA70" s="15">
        <f>Domestic!BD71/Domestic!BD$96</f>
        <v>0</v>
      </c>
      <c r="BB70" s="15">
        <f>Domestic!BE71/Domestic!BE$96</f>
        <v>1.3909026712610346E-7</v>
      </c>
      <c r="BC70" s="15">
        <f>Domestic!BF71/Domestic!BF$96</f>
        <v>2.2414555125724207E-6</v>
      </c>
      <c r="BD70" s="15">
        <f>Domestic!BG71/Domestic!BG$96</f>
        <v>1.1201490246262365E-6</v>
      </c>
      <c r="BE70" s="15">
        <f>Domestic!BH71/Domestic!BH$96</f>
        <v>1.41688183224983E-2</v>
      </c>
      <c r="BF70" s="15">
        <f>Domestic!BI71/Domestic!BI$96</f>
        <v>9.8484285119851786E-8</v>
      </c>
      <c r="BG70" s="15">
        <f>Domestic!BJ71/Domestic!BJ$96</f>
        <v>1.3337541278208307E-7</v>
      </c>
      <c r="BH70" s="15">
        <f>Domestic!BK71/Domestic!BK$96</f>
        <v>0</v>
      </c>
      <c r="BI70" s="15">
        <f>Domestic!BL71/Domestic!BL$96</f>
        <v>4.4533809676565959E-6</v>
      </c>
      <c r="BJ70" s="15">
        <f>Domestic!BM71/Domestic!BM$96</f>
        <v>1.0025064860836404E-5</v>
      </c>
      <c r="BK70" s="15">
        <f>Domestic!BN71/Domestic!BN$96</f>
        <v>1.2290603030665263E-6</v>
      </c>
      <c r="BL70" s="15">
        <f>Domestic!BO71/Domestic!BO$96</f>
        <v>0</v>
      </c>
      <c r="BM70" s="15">
        <f>Domestic!BP71/Domestic!BP$96</f>
        <v>1.9739220393791072E-5</v>
      </c>
      <c r="BN70" s="15">
        <f>Domestic!BQ71/Domestic!BQ$96</f>
        <v>3.5258802449856423E-3</v>
      </c>
      <c r="BO70" s="15">
        <f>Domestic!BR71/Domestic!BR$96</f>
        <v>1.2345882345822446E-2</v>
      </c>
      <c r="BP70" s="15">
        <f>Domestic!BS71/Domestic!BS$96</f>
        <v>3.6635159689705779E-2</v>
      </c>
      <c r="BQ70" s="15">
        <f>Domestic!BT71/Domestic!BT$96</f>
        <v>7.8339673755835196E-4</v>
      </c>
      <c r="BR70" s="15">
        <f>Domestic!BU71/Domestic!BU$96</f>
        <v>0</v>
      </c>
      <c r="BS70" s="15">
        <f>Domestic!BV71/Domestic!BV$96</f>
        <v>4.6921177036494432E-7</v>
      </c>
      <c r="BT70" s="15">
        <f>Domestic!BW71/Domestic!BW$96</f>
        <v>2.4045659099781618E-7</v>
      </c>
      <c r="BU70" s="15">
        <f>Domestic!BX71/Domestic!BX$96</f>
        <v>1.2004974252023061E-4</v>
      </c>
      <c r="BV70" s="15">
        <f>Domestic!BY71/Domestic!BY$96</f>
        <v>7.1686592638273875E-7</v>
      </c>
      <c r="BW70" s="15">
        <f>Domestic!BZ71/Domestic!BZ$96</f>
        <v>4.0060454991299327E-7</v>
      </c>
      <c r="BX70" s="15">
        <f>Domestic!CA71/Domestic!CA$96</f>
        <v>1.1952011839850938E-6</v>
      </c>
      <c r="BY70" s="15">
        <f>Domestic!CB71/Domestic!CB$96</f>
        <v>7.1988024662579178E-5</v>
      </c>
      <c r="BZ70" s="15">
        <f>Domestic!CC71/Domestic!CC$96</f>
        <v>0</v>
      </c>
      <c r="CA70" s="15">
        <f>Domestic!CD71/Domestic!CD$96</f>
        <v>8.1137005229446144E-6</v>
      </c>
    </row>
    <row r="71" spans="1:79" x14ac:dyDescent="0.3">
      <c r="A71" s="7" t="s">
        <v>159</v>
      </c>
      <c r="B71" s="15">
        <f>Domestic!E72/Domestic!E$96</f>
        <v>6.0042782620726119E-8</v>
      </c>
      <c r="C71" s="15">
        <f>Domestic!F72/Domestic!F$96</f>
        <v>4.0365779190565699E-9</v>
      </c>
      <c r="D71" s="15">
        <f>Domestic!G72/Domestic!G$96</f>
        <v>0</v>
      </c>
      <c r="E71" s="15">
        <f>Domestic!H72/Domestic!H$96</f>
        <v>0</v>
      </c>
      <c r="F71" s="15">
        <f>Domestic!I72/Domestic!I$96</f>
        <v>0</v>
      </c>
      <c r="G71" s="15">
        <f>Domestic!J72/Domestic!J$96</f>
        <v>6.6551369990124963E-8</v>
      </c>
      <c r="H71" s="15">
        <f>Domestic!K72/Domestic!K$96</f>
        <v>0</v>
      </c>
      <c r="I71" s="15">
        <f>Domestic!L72/Domestic!L$96</f>
        <v>0</v>
      </c>
      <c r="J71" s="15">
        <f>Domestic!M72/Domestic!M$96</f>
        <v>0</v>
      </c>
      <c r="K71" s="15">
        <f>Domestic!N72/Domestic!N$96</f>
        <v>6.8889221438848111E-8</v>
      </c>
      <c r="L71" s="15">
        <f>Domestic!O72/Domestic!O$96</f>
        <v>1.7600139863383457E-7</v>
      </c>
      <c r="M71" s="15">
        <f>Domestic!P72/Domestic!P$96</f>
        <v>0</v>
      </c>
      <c r="N71" s="15">
        <f>Domestic!Q72/Domestic!Q$96</f>
        <v>0</v>
      </c>
      <c r="O71" s="15">
        <f>Domestic!R72/Domestic!R$96</f>
        <v>0</v>
      </c>
      <c r="P71" s="15">
        <f>Domestic!S72/Domestic!S$96</f>
        <v>0</v>
      </c>
      <c r="Q71" s="15">
        <f>Domestic!T72/Domestic!T$96</f>
        <v>0</v>
      </c>
      <c r="R71" s="15">
        <f>Domestic!U72/Domestic!U$96</f>
        <v>0</v>
      </c>
      <c r="S71" s="15">
        <f>Domestic!V72/Domestic!V$96</f>
        <v>0</v>
      </c>
      <c r="T71" s="15">
        <f>Domestic!W72/Domestic!W$96</f>
        <v>0</v>
      </c>
      <c r="U71" s="15">
        <f>Domestic!X72/Domestic!X$96</f>
        <v>1.0347848908312461E-8</v>
      </c>
      <c r="V71" s="15">
        <f>Domestic!Y72/Domestic!Y$96</f>
        <v>8.1501514036161631E-8</v>
      </c>
      <c r="W71" s="15">
        <f>Domestic!Z72/Domestic!Z$96</f>
        <v>0</v>
      </c>
      <c r="X71" s="15">
        <f>Domestic!AA72/Domestic!AA$96</f>
        <v>5.8008457031375768E-5</v>
      </c>
      <c r="Y71" s="15">
        <f>Domestic!AB72/Domestic!AB$96</f>
        <v>0</v>
      </c>
      <c r="Z71" s="15">
        <f>Domestic!AC72/Domestic!AC$96</f>
        <v>0</v>
      </c>
      <c r="AA71" s="15">
        <f>Domestic!AD72/Domestic!AD$96</f>
        <v>1.021907713192621E-8</v>
      </c>
      <c r="AB71" s="15">
        <f>Domestic!AE72/Domestic!AE$96</f>
        <v>1.3648278512604992E-8</v>
      </c>
      <c r="AC71" s="15">
        <f>Domestic!AF72/Domestic!AF$96</f>
        <v>3.3278694210064132E-9</v>
      </c>
      <c r="AD71" s="15">
        <f>Domestic!AG72/Domestic!AG$96</f>
        <v>1.5649901022122737E-9</v>
      </c>
      <c r="AE71" s="15">
        <f>Domestic!AH72/Domestic!AH$96</f>
        <v>1.1473032492075466E-8</v>
      </c>
      <c r="AF71" s="15">
        <f>Domestic!AI72/Domestic!AI$96</f>
        <v>5.1823759835414323E-8</v>
      </c>
      <c r="AG71" s="15">
        <f>Domestic!AJ72/Domestic!AJ$96</f>
        <v>1.4492270127451691E-8</v>
      </c>
      <c r="AH71" s="15">
        <f>Domestic!AK72/Domestic!AK$96</f>
        <v>2.2056792406977447E-9</v>
      </c>
      <c r="AI71" s="15">
        <f>Domestic!AL72/Domestic!AL$96</f>
        <v>0</v>
      </c>
      <c r="AJ71" s="15">
        <f>Domestic!AM72/Domestic!AM$96</f>
        <v>5.743371803903505E-8</v>
      </c>
      <c r="AK71" s="15">
        <f>Domestic!AN72/Domestic!AN$96</f>
        <v>0</v>
      </c>
      <c r="AL71" s="15">
        <f>Domestic!AO72/Domestic!AO$96</f>
        <v>0</v>
      </c>
      <c r="AM71" s="15">
        <f>Domestic!AP72/Domestic!AP$96</f>
        <v>0</v>
      </c>
      <c r="AN71" s="15">
        <f>Domestic!AQ72/Domestic!AQ$96</f>
        <v>0</v>
      </c>
      <c r="AO71" s="15">
        <f>Domestic!AR72/Domestic!AR$96</f>
        <v>0</v>
      </c>
      <c r="AP71" s="15">
        <f>Domestic!AS72/Domestic!AS$96</f>
        <v>0</v>
      </c>
      <c r="AQ71" s="15">
        <f>Domestic!AT72/Domestic!AT$96</f>
        <v>0</v>
      </c>
      <c r="AR71" s="15">
        <f>Domestic!AU72/Domestic!AU$96</f>
        <v>0</v>
      </c>
      <c r="AS71" s="15">
        <f>Domestic!AV72/Domestic!AV$96</f>
        <v>0</v>
      </c>
      <c r="AT71" s="15">
        <f>Domestic!AW72/Domestic!AW$96</f>
        <v>0</v>
      </c>
      <c r="AU71" s="15">
        <f>Domestic!AX72/Domestic!AX$96</f>
        <v>0</v>
      </c>
      <c r="AV71" s="15">
        <f>Domestic!AY72/Domestic!AY$96</f>
        <v>0</v>
      </c>
      <c r="AW71" s="15">
        <f>Domestic!AZ72/Domestic!AZ$96</f>
        <v>1.8982763834599326E-6</v>
      </c>
      <c r="AX71" s="15">
        <f>Domestic!BA72/Domestic!BA$96</f>
        <v>2.2087162170504543E-8</v>
      </c>
      <c r="AY71" s="15">
        <f>Domestic!BB72/Domestic!BB$96</f>
        <v>0</v>
      </c>
      <c r="AZ71" s="15">
        <f>Domestic!BC72/Domestic!BC$96</f>
        <v>0</v>
      </c>
      <c r="BA71" s="15">
        <f>Domestic!BD72/Domestic!BD$96</f>
        <v>0</v>
      </c>
      <c r="BB71" s="15">
        <f>Domestic!BE72/Domestic!BE$96</f>
        <v>4.6363422375367824E-8</v>
      </c>
      <c r="BC71" s="15">
        <f>Domestic!BF72/Domestic!BF$96</f>
        <v>8.3363430828120392E-7</v>
      </c>
      <c r="BD71" s="15">
        <f>Domestic!BG72/Domestic!BG$96</f>
        <v>4.5339365282490519E-7</v>
      </c>
      <c r="BE71" s="15">
        <f>Domestic!BH72/Domestic!BH$96</f>
        <v>5.90618276818091E-2</v>
      </c>
      <c r="BF71" s="15">
        <f>Domestic!BI72/Domestic!BI$96</f>
        <v>3.5526294632275305E-8</v>
      </c>
      <c r="BG71" s="15">
        <f>Domestic!BJ72/Domestic!BJ$96</f>
        <v>0</v>
      </c>
      <c r="BH71" s="15">
        <f>Domestic!BK72/Domestic!BK$96</f>
        <v>0</v>
      </c>
      <c r="BI71" s="15">
        <f>Domestic!BL72/Domestic!BL$96</f>
        <v>1.5020986015859733E-7</v>
      </c>
      <c r="BJ71" s="15">
        <f>Domestic!BM72/Domestic!BM$96</f>
        <v>0</v>
      </c>
      <c r="BK71" s="15">
        <f>Domestic!BN72/Domestic!BN$96</f>
        <v>1.2937476874384485E-8</v>
      </c>
      <c r="BL71" s="15">
        <f>Domestic!BO72/Domestic!BO$96</f>
        <v>0</v>
      </c>
      <c r="BM71" s="15">
        <f>Domestic!BP72/Domestic!BP$96</f>
        <v>1.1055611461983172E-6</v>
      </c>
      <c r="BN71" s="15">
        <f>Domestic!BQ72/Domestic!BQ$96</f>
        <v>1.6418727519588404E-5</v>
      </c>
      <c r="BO71" s="15">
        <f>Domestic!BR72/Domestic!BR$96</f>
        <v>1.7206963988245484E-2</v>
      </c>
      <c r="BP71" s="15">
        <f>Domestic!BS72/Domestic!BS$96</f>
        <v>5.0075564330141868E-3</v>
      </c>
      <c r="BQ71" s="15">
        <f>Domestic!BT72/Domestic!BT$96</f>
        <v>1.767392526922396E-7</v>
      </c>
      <c r="BR71" s="15">
        <f>Domestic!BU72/Domestic!BU$96</f>
        <v>0</v>
      </c>
      <c r="BS71" s="15">
        <f>Domestic!BV72/Domestic!BV$96</f>
        <v>1.5640392345498143E-7</v>
      </c>
      <c r="BT71" s="15">
        <f>Domestic!BW72/Domestic!BW$96</f>
        <v>0</v>
      </c>
      <c r="BU71" s="15">
        <f>Domestic!BX72/Domestic!BX$96</f>
        <v>0</v>
      </c>
      <c r="BV71" s="15">
        <f>Domestic!BY72/Domestic!BY$96</f>
        <v>3.2411491352411061E-8</v>
      </c>
      <c r="BW71" s="15">
        <f>Domestic!BZ72/Domestic!BZ$96</f>
        <v>0</v>
      </c>
      <c r="BX71" s="15">
        <f>Domestic!CA72/Domestic!CA$96</f>
        <v>6.7146133931746834E-8</v>
      </c>
      <c r="BY71" s="15">
        <f>Domestic!CB72/Domestic!CB$96</f>
        <v>2.638556887214199E-6</v>
      </c>
      <c r="BZ71" s="15">
        <f>Domestic!CC72/Domestic!CC$96</f>
        <v>0</v>
      </c>
      <c r="CA71" s="15">
        <f>Domestic!CD72/Domestic!CD$96</f>
        <v>1.6578106485631456E-4</v>
      </c>
    </row>
    <row r="72" spans="1:79" x14ac:dyDescent="0.3">
      <c r="A72" s="8" t="s">
        <v>160</v>
      </c>
      <c r="B72" s="15">
        <f>Domestic!E73/Domestic!E$96</f>
        <v>0</v>
      </c>
      <c r="C72" s="15">
        <f>Domestic!F73/Domestic!F$96</f>
        <v>0</v>
      </c>
      <c r="D72" s="15">
        <f>Domestic!G73/Domestic!G$96</f>
        <v>0</v>
      </c>
      <c r="E72" s="15">
        <f>Domestic!H73/Domestic!H$96</f>
        <v>0</v>
      </c>
      <c r="F72" s="15">
        <f>Domestic!I73/Domestic!I$96</f>
        <v>0</v>
      </c>
      <c r="G72" s="15">
        <f>Domestic!J73/Domestic!J$96</f>
        <v>0</v>
      </c>
      <c r="H72" s="15">
        <f>Domestic!K73/Domestic!K$96</f>
        <v>0</v>
      </c>
      <c r="I72" s="15">
        <f>Domestic!L73/Domestic!L$96</f>
        <v>0</v>
      </c>
      <c r="J72" s="15">
        <f>Domestic!M73/Domestic!M$96</f>
        <v>0</v>
      </c>
      <c r="K72" s="15">
        <f>Domestic!N73/Domestic!N$96</f>
        <v>6.1713260872301444E-8</v>
      </c>
      <c r="L72" s="15">
        <f>Domestic!O73/Domestic!O$96</f>
        <v>0</v>
      </c>
      <c r="M72" s="15">
        <f>Domestic!P73/Domestic!P$96</f>
        <v>0</v>
      </c>
      <c r="N72" s="15">
        <f>Domestic!Q73/Domestic!Q$96</f>
        <v>0</v>
      </c>
      <c r="O72" s="15">
        <f>Domestic!R73/Domestic!R$96</f>
        <v>0</v>
      </c>
      <c r="P72" s="15">
        <f>Domestic!S73/Domestic!S$96</f>
        <v>0</v>
      </c>
      <c r="Q72" s="15">
        <f>Domestic!T73/Domestic!T$96</f>
        <v>0</v>
      </c>
      <c r="R72" s="15">
        <f>Domestic!U73/Domestic!U$96</f>
        <v>0</v>
      </c>
      <c r="S72" s="15">
        <f>Domestic!V73/Domestic!V$96</f>
        <v>0</v>
      </c>
      <c r="T72" s="15">
        <f>Domestic!W73/Domestic!W$96</f>
        <v>0</v>
      </c>
      <c r="U72" s="15">
        <f>Domestic!X73/Domestic!X$96</f>
        <v>0</v>
      </c>
      <c r="V72" s="15">
        <f>Domestic!Y73/Domestic!Y$96</f>
        <v>0</v>
      </c>
      <c r="W72" s="15">
        <f>Domestic!Z73/Domestic!Z$96</f>
        <v>0</v>
      </c>
      <c r="X72" s="15">
        <f>Domestic!AA73/Domestic!AA$96</f>
        <v>0</v>
      </c>
      <c r="Y72" s="15">
        <f>Domestic!AB73/Domestic!AB$96</f>
        <v>0</v>
      </c>
      <c r="Z72" s="15">
        <f>Domestic!AC73/Domestic!AC$96</f>
        <v>0</v>
      </c>
      <c r="AA72" s="15">
        <f>Domestic!AD73/Domestic!AD$96</f>
        <v>0</v>
      </c>
      <c r="AB72" s="15">
        <f>Domestic!AE73/Domestic!AE$96</f>
        <v>0</v>
      </c>
      <c r="AC72" s="15">
        <f>Domestic!AF73/Domestic!AF$96</f>
        <v>0</v>
      </c>
      <c r="AD72" s="15">
        <f>Domestic!AG73/Domestic!AG$96</f>
        <v>0</v>
      </c>
      <c r="AE72" s="15">
        <f>Domestic!AH73/Domestic!AH$96</f>
        <v>0</v>
      </c>
      <c r="AF72" s="15">
        <f>Domestic!AI73/Domestic!AI$96</f>
        <v>0</v>
      </c>
      <c r="AG72" s="15">
        <f>Domestic!AJ73/Domestic!AJ$96</f>
        <v>0</v>
      </c>
      <c r="AH72" s="15">
        <f>Domestic!AK73/Domestic!AK$96</f>
        <v>0</v>
      </c>
      <c r="AI72" s="15">
        <f>Domestic!AL73/Domestic!AL$96</f>
        <v>0</v>
      </c>
      <c r="AJ72" s="15">
        <f>Domestic!AM73/Domestic!AM$96</f>
        <v>1.3839450129887963E-8</v>
      </c>
      <c r="AK72" s="15">
        <f>Domestic!AN73/Domestic!AN$96</f>
        <v>0</v>
      </c>
      <c r="AL72" s="15">
        <f>Domestic!AO73/Domestic!AO$96</f>
        <v>0</v>
      </c>
      <c r="AM72" s="15">
        <f>Domestic!AP73/Domestic!AP$96</f>
        <v>0</v>
      </c>
      <c r="AN72" s="15">
        <f>Domestic!AQ73/Domestic!AQ$96</f>
        <v>0</v>
      </c>
      <c r="AO72" s="15">
        <f>Domestic!AR73/Domestic!AR$96</f>
        <v>0</v>
      </c>
      <c r="AP72" s="15">
        <f>Domestic!AS73/Domestic!AS$96</f>
        <v>0</v>
      </c>
      <c r="AQ72" s="15">
        <f>Domestic!AT73/Domestic!AT$96</f>
        <v>0</v>
      </c>
      <c r="AR72" s="15">
        <f>Domestic!AU73/Domestic!AU$96</f>
        <v>0</v>
      </c>
      <c r="AS72" s="15">
        <f>Domestic!AV73/Domestic!AV$96</f>
        <v>0</v>
      </c>
      <c r="AT72" s="15">
        <f>Domestic!AW73/Domestic!AW$96</f>
        <v>0</v>
      </c>
      <c r="AU72" s="15">
        <f>Domestic!AX73/Domestic!AX$96</f>
        <v>0</v>
      </c>
      <c r="AV72" s="15">
        <f>Domestic!AY73/Domestic!AY$96</f>
        <v>0</v>
      </c>
      <c r="AW72" s="15">
        <f>Domestic!AZ73/Domestic!AZ$96</f>
        <v>0</v>
      </c>
      <c r="AX72" s="15">
        <f>Domestic!BA73/Domestic!BA$96</f>
        <v>0</v>
      </c>
      <c r="AY72" s="15">
        <f>Domestic!BB73/Domestic!BB$96</f>
        <v>0</v>
      </c>
      <c r="AZ72" s="15">
        <f>Domestic!BC73/Domestic!BC$96</f>
        <v>0</v>
      </c>
      <c r="BA72" s="15">
        <f>Domestic!BD73/Domestic!BD$96</f>
        <v>0</v>
      </c>
      <c r="BB72" s="15">
        <f>Domestic!BE73/Domestic!BE$96</f>
        <v>0</v>
      </c>
      <c r="BC72" s="15">
        <f>Domestic!BF73/Domestic!BF$96</f>
        <v>0</v>
      </c>
      <c r="BD72" s="15">
        <f>Domestic!BG73/Domestic!BG$96</f>
        <v>0</v>
      </c>
      <c r="BE72" s="15">
        <f>Domestic!BH73/Domestic!BH$96</f>
        <v>0</v>
      </c>
      <c r="BF72" s="15">
        <f>Domestic!BI73/Domestic!BI$96</f>
        <v>0</v>
      </c>
      <c r="BG72" s="15">
        <f>Domestic!BJ73/Domestic!BJ$96</f>
        <v>0</v>
      </c>
      <c r="BH72" s="15">
        <f>Domestic!BK73/Domestic!BK$96</f>
        <v>0</v>
      </c>
      <c r="BI72" s="15">
        <f>Domestic!BL73/Domestic!BL$96</f>
        <v>0</v>
      </c>
      <c r="BJ72" s="15">
        <f>Domestic!BM73/Domestic!BM$96</f>
        <v>0</v>
      </c>
      <c r="BK72" s="15">
        <f>Domestic!BN73/Domestic!BN$96</f>
        <v>9.9519052879880653E-9</v>
      </c>
      <c r="BL72" s="15">
        <f>Domestic!BO73/Domestic!BO$96</f>
        <v>0</v>
      </c>
      <c r="BM72" s="15">
        <f>Domestic!BP73/Domestic!BP$96</f>
        <v>0</v>
      </c>
      <c r="BN72" s="15">
        <f>Domestic!BQ73/Domestic!BQ$96</f>
        <v>2.3909402761093279E-7</v>
      </c>
      <c r="BO72" s="15">
        <f>Domestic!BR73/Domestic!BR$96</f>
        <v>1.9617536337192003E-8</v>
      </c>
      <c r="BP72" s="15">
        <f>Domestic!BS73/Domestic!BS$96</f>
        <v>9.6645904675379136E-3</v>
      </c>
      <c r="BQ72" s="15">
        <f>Domestic!BT73/Domestic!BT$96</f>
        <v>1.3844574794225435E-6</v>
      </c>
      <c r="BR72" s="15">
        <f>Domestic!BU73/Domestic!BU$96</f>
        <v>0</v>
      </c>
      <c r="BS72" s="15">
        <f>Domestic!BV73/Domestic!BV$96</f>
        <v>0</v>
      </c>
      <c r="BT72" s="15">
        <f>Domestic!BW73/Domestic!BW$96</f>
        <v>0</v>
      </c>
      <c r="BU72" s="15">
        <f>Domestic!BX73/Domestic!BX$96</f>
        <v>0</v>
      </c>
      <c r="BV72" s="15">
        <f>Domestic!BY73/Domestic!BY$96</f>
        <v>0</v>
      </c>
      <c r="BW72" s="15">
        <f>Domestic!BZ73/Domestic!BZ$96</f>
        <v>4.8265608423252204E-9</v>
      </c>
      <c r="BX72" s="15">
        <f>Domestic!CA73/Domestic!CA$96</f>
        <v>0</v>
      </c>
      <c r="BY72" s="15">
        <f>Domestic!CB73/Domestic!CB$96</f>
        <v>1.2048204964448398E-8</v>
      </c>
      <c r="BZ72" s="15">
        <f>Domestic!CC73/Domestic!CC$96</f>
        <v>0</v>
      </c>
      <c r="CA72" s="15">
        <f>Domestic!CD73/Domestic!CD$96</f>
        <v>0</v>
      </c>
    </row>
    <row r="73" spans="1:79" x14ac:dyDescent="0.3">
      <c r="A73" s="7" t="s">
        <v>161</v>
      </c>
      <c r="B73" s="15">
        <f>Domestic!E74/Domestic!E$96</f>
        <v>0</v>
      </c>
      <c r="C73" s="15">
        <f>Domestic!F74/Domestic!F$96</f>
        <v>0</v>
      </c>
      <c r="D73" s="15">
        <f>Domestic!G74/Domestic!G$96</f>
        <v>0</v>
      </c>
      <c r="E73" s="15">
        <f>Domestic!H74/Domestic!H$96</f>
        <v>0</v>
      </c>
      <c r="F73" s="15">
        <f>Domestic!I74/Domestic!I$96</f>
        <v>0</v>
      </c>
      <c r="G73" s="15">
        <f>Domestic!J74/Domestic!J$96</f>
        <v>0</v>
      </c>
      <c r="H73" s="15">
        <f>Domestic!K74/Domestic!K$96</f>
        <v>0</v>
      </c>
      <c r="I73" s="15">
        <f>Domestic!L74/Domestic!L$96</f>
        <v>0</v>
      </c>
      <c r="J73" s="15">
        <f>Domestic!M74/Domestic!M$96</f>
        <v>0</v>
      </c>
      <c r="K73" s="15">
        <f>Domestic!N74/Domestic!N$96</f>
        <v>8.946030839628193E-8</v>
      </c>
      <c r="L73" s="15">
        <f>Domestic!O74/Domestic!O$96</f>
        <v>5.2800419590150371E-9</v>
      </c>
      <c r="M73" s="15">
        <f>Domestic!P74/Domestic!P$96</f>
        <v>0</v>
      </c>
      <c r="N73" s="15">
        <f>Domestic!Q74/Domestic!Q$96</f>
        <v>0</v>
      </c>
      <c r="O73" s="15">
        <f>Domestic!R74/Domestic!R$96</f>
        <v>0</v>
      </c>
      <c r="P73" s="15">
        <f>Domestic!S74/Domestic!S$96</f>
        <v>0</v>
      </c>
      <c r="Q73" s="15">
        <f>Domestic!T74/Domestic!T$96</f>
        <v>0</v>
      </c>
      <c r="R73" s="15">
        <f>Domestic!U74/Domestic!U$96</f>
        <v>0</v>
      </c>
      <c r="S73" s="15">
        <f>Domestic!V74/Domestic!V$96</f>
        <v>0</v>
      </c>
      <c r="T73" s="15">
        <f>Domestic!W74/Domestic!W$96</f>
        <v>0</v>
      </c>
      <c r="U73" s="15">
        <f>Domestic!X74/Domestic!X$96</f>
        <v>0</v>
      </c>
      <c r="V73" s="15">
        <f>Domestic!Y74/Domestic!Y$96</f>
        <v>0</v>
      </c>
      <c r="W73" s="15">
        <f>Domestic!Z74/Domestic!Z$96</f>
        <v>0</v>
      </c>
      <c r="X73" s="15">
        <f>Domestic!AA74/Domestic!AA$96</f>
        <v>0</v>
      </c>
      <c r="Y73" s="15">
        <f>Domestic!AB74/Domestic!AB$96</f>
        <v>0</v>
      </c>
      <c r="Z73" s="15">
        <f>Domestic!AC74/Domestic!AC$96</f>
        <v>0</v>
      </c>
      <c r="AA73" s="15">
        <f>Domestic!AD74/Domestic!AD$96</f>
        <v>0</v>
      </c>
      <c r="AB73" s="15">
        <f>Domestic!AE74/Domestic!AE$96</f>
        <v>0</v>
      </c>
      <c r="AC73" s="15">
        <f>Domestic!AF74/Domestic!AF$96</f>
        <v>0</v>
      </c>
      <c r="AD73" s="15">
        <f>Domestic!AG74/Domestic!AG$96</f>
        <v>0</v>
      </c>
      <c r="AE73" s="15">
        <f>Domestic!AH74/Domestic!AH$96</f>
        <v>0</v>
      </c>
      <c r="AF73" s="15">
        <f>Domestic!AI74/Domestic!AI$96</f>
        <v>1.7192716533075842E-9</v>
      </c>
      <c r="AG73" s="15">
        <f>Domestic!AJ74/Domestic!AJ$96</f>
        <v>0</v>
      </c>
      <c r="AH73" s="15">
        <f>Domestic!AK74/Domestic!AK$96</f>
        <v>0</v>
      </c>
      <c r="AI73" s="15">
        <f>Domestic!AL74/Domestic!AL$96</f>
        <v>0</v>
      </c>
      <c r="AJ73" s="15">
        <f>Domestic!AM74/Domestic!AM$96</f>
        <v>8.3036700779327785E-9</v>
      </c>
      <c r="AK73" s="15">
        <f>Domestic!AN74/Domestic!AN$96</f>
        <v>0</v>
      </c>
      <c r="AL73" s="15">
        <f>Domestic!AO74/Domestic!AO$96</f>
        <v>0</v>
      </c>
      <c r="AM73" s="15">
        <f>Domestic!AP74/Domestic!AP$96</f>
        <v>0</v>
      </c>
      <c r="AN73" s="15">
        <f>Domestic!AQ74/Domestic!AQ$96</f>
        <v>0</v>
      </c>
      <c r="AO73" s="15">
        <f>Domestic!AR74/Domestic!AR$96</f>
        <v>0</v>
      </c>
      <c r="AP73" s="15">
        <f>Domestic!AS74/Domestic!AS$96</f>
        <v>0</v>
      </c>
      <c r="AQ73" s="15">
        <f>Domestic!AT74/Domestic!AT$96</f>
        <v>0</v>
      </c>
      <c r="AR73" s="15">
        <f>Domestic!AU74/Domestic!AU$96</f>
        <v>0</v>
      </c>
      <c r="AS73" s="15">
        <f>Domestic!AV74/Domestic!AV$96</f>
        <v>0</v>
      </c>
      <c r="AT73" s="15">
        <f>Domestic!AW74/Domestic!AW$96</f>
        <v>0</v>
      </c>
      <c r="AU73" s="15">
        <f>Domestic!AX74/Domestic!AX$96</f>
        <v>0</v>
      </c>
      <c r="AV73" s="15">
        <f>Domestic!AY74/Domestic!AY$96</f>
        <v>0</v>
      </c>
      <c r="AW73" s="15">
        <f>Domestic!AZ74/Domestic!AZ$96</f>
        <v>8.4997450005668617E-8</v>
      </c>
      <c r="AX73" s="15">
        <f>Domestic!BA74/Domestic!BA$96</f>
        <v>0</v>
      </c>
      <c r="AY73" s="15">
        <f>Domestic!BB74/Domestic!BB$96</f>
        <v>0</v>
      </c>
      <c r="AZ73" s="15">
        <f>Domestic!BC74/Domestic!BC$96</f>
        <v>0</v>
      </c>
      <c r="BA73" s="15">
        <f>Domestic!BD74/Domestic!BD$96</f>
        <v>0</v>
      </c>
      <c r="BB73" s="15">
        <f>Domestic!BE74/Domestic!BE$96</f>
        <v>0</v>
      </c>
      <c r="BC73" s="15">
        <f>Domestic!BF74/Domestic!BF$96</f>
        <v>4.0405744534037944E-8</v>
      </c>
      <c r="BD73" s="15">
        <f>Domestic!BG74/Domestic!BG$96</f>
        <v>0</v>
      </c>
      <c r="BE73" s="15">
        <f>Domestic!BH74/Domestic!BH$96</f>
        <v>0</v>
      </c>
      <c r="BF73" s="15">
        <f>Domestic!BI74/Domestic!BI$96</f>
        <v>1.7987997282164711E-9</v>
      </c>
      <c r="BG73" s="15">
        <f>Domestic!BJ74/Domestic!BJ$96</f>
        <v>4.4458470927361023E-8</v>
      </c>
      <c r="BH73" s="15">
        <f>Domestic!BK74/Domestic!BK$96</f>
        <v>0</v>
      </c>
      <c r="BI73" s="15">
        <f>Domestic!BL74/Domestic!BL$96</f>
        <v>6.8277209162998789E-9</v>
      </c>
      <c r="BJ73" s="15">
        <f>Domestic!BM74/Domestic!BM$96</f>
        <v>0</v>
      </c>
      <c r="BK73" s="15">
        <f>Domestic!BN74/Domestic!BN$96</f>
        <v>1.4927857931982097E-8</v>
      </c>
      <c r="BL73" s="15">
        <f>Domestic!BO74/Domestic!BO$96</f>
        <v>0</v>
      </c>
      <c r="BM73" s="15">
        <f>Domestic!BP74/Domestic!BP$96</f>
        <v>1.3400146634488921E-6</v>
      </c>
      <c r="BN73" s="15">
        <f>Domestic!BQ74/Domestic!BQ$96</f>
        <v>1.4064354565348986E-8</v>
      </c>
      <c r="BO73" s="15">
        <f>Domestic!BR74/Domestic!BR$96</f>
        <v>1.7437810077504004E-8</v>
      </c>
      <c r="BP73" s="15">
        <f>Domestic!BS74/Domestic!BS$96</f>
        <v>8.3426514780907121E-5</v>
      </c>
      <c r="BQ73" s="15">
        <f>Domestic!BT74/Domestic!BT$96</f>
        <v>0.10373675088920464</v>
      </c>
      <c r="BR73" s="15">
        <f>Domestic!BU74/Domestic!BU$96</f>
        <v>0</v>
      </c>
      <c r="BS73" s="15">
        <f>Domestic!BV74/Domestic!BV$96</f>
        <v>0</v>
      </c>
      <c r="BT73" s="15">
        <f>Domestic!BW74/Domestic!BW$96</f>
        <v>0</v>
      </c>
      <c r="BU73" s="15">
        <f>Domestic!BX74/Domestic!BX$96</f>
        <v>0</v>
      </c>
      <c r="BV73" s="15">
        <f>Domestic!BY74/Domestic!BY$96</f>
        <v>1.658705733917507E-7</v>
      </c>
      <c r="BW73" s="15">
        <f>Domestic!BZ74/Domestic!BZ$96</f>
        <v>0</v>
      </c>
      <c r="BX73" s="15">
        <f>Domestic!CA74/Domestic!CA$96</f>
        <v>1.387686767922768E-7</v>
      </c>
      <c r="BY73" s="15">
        <f>Domestic!CB74/Domestic!CB$96</f>
        <v>6.6265127304466191E-7</v>
      </c>
      <c r="BZ73" s="15">
        <f>Domestic!CC74/Domestic!CC$96</f>
        <v>0</v>
      </c>
      <c r="CA73" s="15">
        <f>Domestic!CD74/Domestic!CD$96</f>
        <v>5.429042724393858E-7</v>
      </c>
    </row>
    <row r="74" spans="1:79" x14ac:dyDescent="0.3">
      <c r="A74" s="8" t="s">
        <v>162</v>
      </c>
      <c r="B74" s="15">
        <f>Domestic!E75/Domestic!E$96</f>
        <v>1.4644581127006369E-9</v>
      </c>
      <c r="C74" s="15">
        <f>Domestic!F75/Domestic!F$96</f>
        <v>0</v>
      </c>
      <c r="D74" s="15">
        <f>Domestic!G75/Domestic!G$96</f>
        <v>0</v>
      </c>
      <c r="E74" s="15">
        <f>Domestic!H75/Domestic!H$96</f>
        <v>0</v>
      </c>
      <c r="F74" s="15">
        <f>Domestic!I75/Domestic!I$96</f>
        <v>0</v>
      </c>
      <c r="G74" s="15">
        <f>Domestic!J75/Domestic!J$96</f>
        <v>2.2559786437330496E-9</v>
      </c>
      <c r="H74" s="15">
        <f>Domestic!K75/Domestic!K$96</f>
        <v>0</v>
      </c>
      <c r="I74" s="15">
        <f>Domestic!L75/Domestic!L$96</f>
        <v>0</v>
      </c>
      <c r="J74" s="15">
        <f>Domestic!M75/Domestic!M$96</f>
        <v>0</v>
      </c>
      <c r="K74" s="15">
        <f>Domestic!N75/Domestic!N$96</f>
        <v>1.6265510617505806E-8</v>
      </c>
      <c r="L74" s="15">
        <f>Domestic!O75/Domestic!O$96</f>
        <v>8.7648696519649612E-7</v>
      </c>
      <c r="M74" s="15">
        <f>Domestic!P75/Domestic!P$96</f>
        <v>0</v>
      </c>
      <c r="N74" s="15">
        <f>Domestic!Q75/Domestic!Q$96</f>
        <v>4.1822431699629956E-10</v>
      </c>
      <c r="O74" s="15">
        <f>Domestic!R75/Domestic!R$96</f>
        <v>0</v>
      </c>
      <c r="P74" s="15">
        <f>Domestic!S75/Domestic!S$96</f>
        <v>0</v>
      </c>
      <c r="Q74" s="15">
        <f>Domestic!T75/Domestic!T$96</f>
        <v>0</v>
      </c>
      <c r="R74" s="15">
        <f>Domestic!U75/Domestic!U$96</f>
        <v>0</v>
      </c>
      <c r="S74" s="15">
        <f>Domestic!V75/Domestic!V$96</f>
        <v>0</v>
      </c>
      <c r="T74" s="15">
        <f>Domestic!W75/Domestic!W$96</f>
        <v>0</v>
      </c>
      <c r="U74" s="15">
        <f>Domestic!X75/Domestic!X$96</f>
        <v>0</v>
      </c>
      <c r="V74" s="15">
        <f>Domestic!Y75/Domestic!Y$96</f>
        <v>0</v>
      </c>
      <c r="W74" s="15">
        <f>Domestic!Z75/Domestic!Z$96</f>
        <v>0</v>
      </c>
      <c r="X74" s="15">
        <f>Domestic!AA75/Domestic!AA$96</f>
        <v>0</v>
      </c>
      <c r="Y74" s="15">
        <f>Domestic!AB75/Domestic!AB$96</f>
        <v>0</v>
      </c>
      <c r="Z74" s="15">
        <f>Domestic!AC75/Domestic!AC$96</f>
        <v>0</v>
      </c>
      <c r="AA74" s="15">
        <f>Domestic!AD75/Domestic!AD$96</f>
        <v>0</v>
      </c>
      <c r="AB74" s="15">
        <f>Domestic!AE75/Domestic!AE$96</f>
        <v>0</v>
      </c>
      <c r="AC74" s="15">
        <f>Domestic!AF75/Domestic!AF$96</f>
        <v>0</v>
      </c>
      <c r="AD74" s="15">
        <f>Domestic!AG75/Domestic!AG$96</f>
        <v>0</v>
      </c>
      <c r="AE74" s="15">
        <f>Domestic!AH75/Domestic!AH$96</f>
        <v>0</v>
      </c>
      <c r="AF74" s="15">
        <f>Domestic!AI75/Domestic!AI$96</f>
        <v>2.4561023618679773E-9</v>
      </c>
      <c r="AG74" s="15">
        <f>Domestic!AJ75/Domestic!AJ$96</f>
        <v>0</v>
      </c>
      <c r="AH74" s="15">
        <f>Domestic!AK75/Domestic!AK$96</f>
        <v>0</v>
      </c>
      <c r="AI74" s="15">
        <f>Domestic!AL75/Domestic!AL$96</f>
        <v>1.0365115752673748E-9</v>
      </c>
      <c r="AJ74" s="15">
        <f>Domestic!AM75/Domestic!AM$96</f>
        <v>2.0759175194831946E-9</v>
      </c>
      <c r="AK74" s="15">
        <f>Domestic!AN75/Domestic!AN$96</f>
        <v>0</v>
      </c>
      <c r="AL74" s="15">
        <f>Domestic!AO75/Domestic!AO$96</f>
        <v>0</v>
      </c>
      <c r="AM74" s="15">
        <f>Domestic!AP75/Domestic!AP$96</f>
        <v>0</v>
      </c>
      <c r="AN74" s="15">
        <f>Domestic!AQ75/Domestic!AQ$96</f>
        <v>0</v>
      </c>
      <c r="AO74" s="15">
        <f>Domestic!AR75/Domestic!AR$96</f>
        <v>1.3704909914447594E-9</v>
      </c>
      <c r="AP74" s="15">
        <f>Domestic!AS75/Domestic!AS$96</f>
        <v>0</v>
      </c>
      <c r="AQ74" s="15">
        <f>Domestic!AT75/Domestic!AT$96</f>
        <v>0</v>
      </c>
      <c r="AR74" s="15">
        <f>Domestic!AU75/Domestic!AU$96</f>
        <v>0</v>
      </c>
      <c r="AS74" s="15">
        <f>Domestic!AV75/Domestic!AV$96</f>
        <v>0</v>
      </c>
      <c r="AT74" s="15">
        <f>Domestic!AW75/Domestic!AW$96</f>
        <v>0</v>
      </c>
      <c r="AU74" s="15">
        <f>Domestic!AX75/Domestic!AX$96</f>
        <v>0</v>
      </c>
      <c r="AV74" s="15">
        <f>Domestic!AY75/Domestic!AY$96</f>
        <v>2.1206339906558947E-5</v>
      </c>
      <c r="AW74" s="15">
        <f>Domestic!AZ75/Domestic!AZ$96</f>
        <v>9.9163691673280051E-8</v>
      </c>
      <c r="AX74" s="15">
        <f>Domestic!BA75/Domestic!BA$96</f>
        <v>0</v>
      </c>
      <c r="AY74" s="15">
        <f>Domestic!BB75/Domestic!BB$96</f>
        <v>4.3792422568220019E-9</v>
      </c>
      <c r="AZ74" s="15">
        <f>Domestic!BC75/Domestic!BC$96</f>
        <v>0</v>
      </c>
      <c r="BA74" s="15">
        <f>Domestic!BD75/Domestic!BD$96</f>
        <v>0</v>
      </c>
      <c r="BB74" s="15">
        <f>Domestic!BE75/Domestic!BE$96</f>
        <v>0</v>
      </c>
      <c r="BC74" s="15">
        <f>Domestic!BF75/Domestic!BF$96</f>
        <v>4.1469053600723151E-8</v>
      </c>
      <c r="BD74" s="15">
        <f>Domestic!BG75/Domestic!BG$96</f>
        <v>2.6670214872053247E-8</v>
      </c>
      <c r="BE74" s="15">
        <f>Domestic!BH75/Domestic!BH$96</f>
        <v>0</v>
      </c>
      <c r="BF74" s="15">
        <f>Domestic!BI75/Domestic!BI$96</f>
        <v>1.7987997282164712E-8</v>
      </c>
      <c r="BG74" s="15">
        <f>Domestic!BJ75/Domestic!BJ$96</f>
        <v>0</v>
      </c>
      <c r="BH74" s="15">
        <f>Domestic!BK75/Domestic!BK$96</f>
        <v>0</v>
      </c>
      <c r="BI74" s="15">
        <f>Domestic!BL75/Domestic!BL$96</f>
        <v>8.5346511453748482E-9</v>
      </c>
      <c r="BJ74" s="15">
        <f>Domestic!BM75/Domestic!BM$96</f>
        <v>8.5701907723062495E-6</v>
      </c>
      <c r="BK74" s="15">
        <f>Domestic!BN75/Domestic!BN$96</f>
        <v>2.1207510168702568E-6</v>
      </c>
      <c r="BL74" s="15">
        <f>Domestic!BO75/Domestic!BO$96</f>
        <v>1.9557611521216841E-7</v>
      </c>
      <c r="BM74" s="15">
        <f>Domestic!BP75/Domestic!BP$96</f>
        <v>1.1104660314964461E-6</v>
      </c>
      <c r="BN74" s="15">
        <f>Domestic!BQ75/Domestic!BQ$96</f>
        <v>2.7566134948084011E-7</v>
      </c>
      <c r="BO74" s="15">
        <f>Domestic!BR75/Domestic!BR$96</f>
        <v>5.4929101744137606E-7</v>
      </c>
      <c r="BP74" s="15">
        <f>Domestic!BS75/Domestic!BS$96</f>
        <v>0</v>
      </c>
      <c r="BQ74" s="15">
        <f>Domestic!BT75/Domestic!BT$96</f>
        <v>0</v>
      </c>
      <c r="BR74" s="15">
        <f>Domestic!BU75/Domestic!BU$96</f>
        <v>3.615303571000325E-5</v>
      </c>
      <c r="BS74" s="15">
        <f>Domestic!BV75/Domestic!BV$96</f>
        <v>1.4076353110948327E-6</v>
      </c>
      <c r="BT74" s="15">
        <f>Domestic!BW75/Domestic!BW$96</f>
        <v>1.0229424142032097E-5</v>
      </c>
      <c r="BU74" s="15">
        <f>Domestic!BX75/Domestic!BX$96</f>
        <v>6.1152532839070348E-6</v>
      </c>
      <c r="BV74" s="15">
        <f>Domestic!BY75/Domestic!BY$96</f>
        <v>9.342135742753776E-8</v>
      </c>
      <c r="BW74" s="15">
        <f>Domestic!BZ75/Domestic!BZ$96</f>
        <v>3.3785925896276539E-8</v>
      </c>
      <c r="BX74" s="15">
        <f>Domestic!CA75/Domestic!CA$96</f>
        <v>5.6402752502667351E-7</v>
      </c>
      <c r="BY74" s="15">
        <f>Domestic!CB75/Domestic!CB$96</f>
        <v>3.7831363588367972E-6</v>
      </c>
      <c r="BZ74" s="15">
        <f>Domestic!CC75/Domestic!CC$96</f>
        <v>0</v>
      </c>
      <c r="CA74" s="15">
        <f>Domestic!CD75/Domestic!CD$96</f>
        <v>1.1364847151891222E-4</v>
      </c>
    </row>
    <row r="75" spans="1:79" x14ac:dyDescent="0.3">
      <c r="A75" s="7" t="s">
        <v>163</v>
      </c>
      <c r="B75" s="15">
        <f>Domestic!E76/Domestic!E$96</f>
        <v>1.6109039239707003E-8</v>
      </c>
      <c r="C75" s="15">
        <f>Domestic!F76/Domestic!F$96</f>
        <v>2.0182889595282849E-9</v>
      </c>
      <c r="D75" s="15">
        <f>Domestic!G76/Domestic!G$96</f>
        <v>0</v>
      </c>
      <c r="E75" s="15">
        <f>Domestic!H76/Domestic!H$96</f>
        <v>0</v>
      </c>
      <c r="F75" s="15">
        <f>Domestic!I76/Domestic!I$96</f>
        <v>0</v>
      </c>
      <c r="G75" s="15">
        <f>Domestic!J76/Domestic!J$96</f>
        <v>1.6919839827997871E-8</v>
      </c>
      <c r="H75" s="15">
        <f>Domestic!K76/Domestic!K$96</f>
        <v>0</v>
      </c>
      <c r="I75" s="15">
        <f>Domestic!L76/Domestic!L$96</f>
        <v>0</v>
      </c>
      <c r="J75" s="15">
        <f>Domestic!M76/Domestic!M$96</f>
        <v>0</v>
      </c>
      <c r="K75" s="15">
        <f>Domestic!N76/Domestic!N$96</f>
        <v>4.7839737110311201E-8</v>
      </c>
      <c r="L75" s="15">
        <f>Domestic!O76/Domestic!O$96</f>
        <v>1.9360153849721802E-8</v>
      </c>
      <c r="M75" s="15">
        <f>Domestic!P76/Domestic!P$96</f>
        <v>0</v>
      </c>
      <c r="N75" s="15">
        <f>Domestic!Q76/Domestic!Q$96</f>
        <v>0</v>
      </c>
      <c r="O75" s="15">
        <f>Domestic!R76/Domestic!R$96</f>
        <v>0</v>
      </c>
      <c r="P75" s="15">
        <f>Domestic!S76/Domestic!S$96</f>
        <v>0</v>
      </c>
      <c r="Q75" s="15">
        <f>Domestic!T76/Domestic!T$96</f>
        <v>0</v>
      </c>
      <c r="R75" s="15">
        <f>Domestic!U76/Domestic!U$96</f>
        <v>0</v>
      </c>
      <c r="S75" s="15">
        <f>Domestic!V76/Domestic!V$96</f>
        <v>0</v>
      </c>
      <c r="T75" s="15">
        <f>Domestic!W76/Domestic!W$96</f>
        <v>0</v>
      </c>
      <c r="U75" s="15">
        <f>Domestic!X76/Domestic!X$96</f>
        <v>3.4492829694374871E-9</v>
      </c>
      <c r="V75" s="15">
        <f>Domestic!Y76/Domestic!Y$96</f>
        <v>1.1643073433737376E-8</v>
      </c>
      <c r="W75" s="15">
        <f>Domestic!Z76/Domestic!Z$96</f>
        <v>0</v>
      </c>
      <c r="X75" s="15">
        <f>Domestic!AA76/Domestic!AA$96</f>
        <v>8.9559304366731662E-10</v>
      </c>
      <c r="Y75" s="15">
        <f>Domestic!AB76/Domestic!AB$96</f>
        <v>0</v>
      </c>
      <c r="Z75" s="15">
        <f>Domestic!AC76/Domestic!AC$96</f>
        <v>0</v>
      </c>
      <c r="AA75" s="15">
        <f>Domestic!AD76/Domestic!AD$96</f>
        <v>3.4063590439754036E-9</v>
      </c>
      <c r="AB75" s="15">
        <f>Domestic!AE76/Domestic!AE$96</f>
        <v>3.899508146458569E-9</v>
      </c>
      <c r="AC75" s="15">
        <f>Domestic!AF76/Domestic!AF$96</f>
        <v>0</v>
      </c>
      <c r="AD75" s="15">
        <f>Domestic!AG76/Domestic!AG$96</f>
        <v>5.2166336740409119E-10</v>
      </c>
      <c r="AE75" s="15">
        <f>Domestic!AH76/Domestic!AH$96</f>
        <v>1.6390046417250666E-9</v>
      </c>
      <c r="AF75" s="15">
        <f>Domestic!AI76/Domestic!AI$96</f>
        <v>5.894645668483146E-9</v>
      </c>
      <c r="AG75" s="15">
        <f>Domestic!AJ76/Domestic!AJ$96</f>
        <v>0</v>
      </c>
      <c r="AH75" s="15">
        <f>Domestic!AK76/Domestic!AK$96</f>
        <v>0</v>
      </c>
      <c r="AI75" s="15">
        <f>Domestic!AL76/Domestic!AL$96</f>
        <v>0</v>
      </c>
      <c r="AJ75" s="15">
        <f>Domestic!AM76/Domestic!AM$96</f>
        <v>0</v>
      </c>
      <c r="AK75" s="15">
        <f>Domestic!AN76/Domestic!AN$96</f>
        <v>0</v>
      </c>
      <c r="AL75" s="15">
        <f>Domestic!AO76/Domestic!AO$96</f>
        <v>0</v>
      </c>
      <c r="AM75" s="15">
        <f>Domestic!AP76/Domestic!AP$96</f>
        <v>0</v>
      </c>
      <c r="AN75" s="15">
        <f>Domestic!AQ76/Domestic!AQ$96</f>
        <v>0</v>
      </c>
      <c r="AO75" s="15">
        <f>Domestic!AR76/Domestic!AR$96</f>
        <v>0</v>
      </c>
      <c r="AP75" s="15">
        <f>Domestic!AS76/Domestic!AS$96</f>
        <v>0</v>
      </c>
      <c r="AQ75" s="15">
        <f>Domestic!AT76/Domestic!AT$96</f>
        <v>0</v>
      </c>
      <c r="AR75" s="15">
        <f>Domestic!AU76/Domestic!AU$96</f>
        <v>0</v>
      </c>
      <c r="AS75" s="15">
        <f>Domestic!AV76/Domestic!AV$96</f>
        <v>0</v>
      </c>
      <c r="AT75" s="15">
        <f>Domestic!AW76/Domestic!AW$96</f>
        <v>0</v>
      </c>
      <c r="AU75" s="15">
        <f>Domestic!AX76/Domestic!AX$96</f>
        <v>0</v>
      </c>
      <c r="AV75" s="15">
        <f>Domestic!AY76/Domestic!AY$96</f>
        <v>0</v>
      </c>
      <c r="AW75" s="15">
        <f>Domestic!AZ76/Domestic!AZ$96</f>
        <v>9.9163691673280051E-8</v>
      </c>
      <c r="AX75" s="15">
        <f>Domestic!BA76/Domestic!BA$96</f>
        <v>0</v>
      </c>
      <c r="AY75" s="15">
        <f>Domestic!BB76/Domestic!BB$96</f>
        <v>0</v>
      </c>
      <c r="AZ75" s="15">
        <f>Domestic!BC76/Domestic!BC$96</f>
        <v>0</v>
      </c>
      <c r="BA75" s="15">
        <f>Domestic!BD76/Domestic!BD$96</f>
        <v>0</v>
      </c>
      <c r="BB75" s="15">
        <f>Domestic!BE76/Domestic!BE$96</f>
        <v>0</v>
      </c>
      <c r="BC75" s="15">
        <f>Domestic!BF76/Domestic!BF$96</f>
        <v>4.3595671734093571E-8</v>
      </c>
      <c r="BD75" s="15">
        <f>Domestic!BG76/Domestic!BG$96</f>
        <v>0</v>
      </c>
      <c r="BE75" s="15">
        <f>Domestic!BH76/Domestic!BH$96</f>
        <v>0</v>
      </c>
      <c r="BF75" s="15">
        <f>Domestic!BI76/Domestic!BI$96</f>
        <v>1.7987997282164711E-9</v>
      </c>
      <c r="BG75" s="15">
        <f>Domestic!BJ76/Domestic!BJ$96</f>
        <v>0</v>
      </c>
      <c r="BH75" s="15">
        <f>Domestic!BK76/Domestic!BK$96</f>
        <v>0</v>
      </c>
      <c r="BI75" s="15">
        <f>Domestic!BL76/Domestic!BL$96</f>
        <v>8.5346511453748482E-9</v>
      </c>
      <c r="BJ75" s="15">
        <f>Domestic!BM76/Domestic!BM$96</f>
        <v>3.1913668913031245E-5</v>
      </c>
      <c r="BK75" s="15">
        <f>Domestic!BN76/Domestic!BN$96</f>
        <v>7.8371254142906009E-6</v>
      </c>
      <c r="BL75" s="15">
        <f>Domestic!BO76/Domestic!BO$96</f>
        <v>0</v>
      </c>
      <c r="BM75" s="15">
        <f>Domestic!BP76/Domestic!BP$96</f>
        <v>3.7483133448303196E-6</v>
      </c>
      <c r="BN75" s="15">
        <f>Domestic!BQ76/Domestic!BQ$96</f>
        <v>1.4064354565348986E-8</v>
      </c>
      <c r="BO75" s="15">
        <f>Domestic!BR76/Domestic!BR$96</f>
        <v>1.7437810077504004E-8</v>
      </c>
      <c r="BP75" s="15">
        <f>Domestic!BS76/Domestic!BS$96</f>
        <v>0</v>
      </c>
      <c r="BQ75" s="15">
        <f>Domestic!BT76/Domestic!BT$96</f>
        <v>0</v>
      </c>
      <c r="BR75" s="15">
        <f>Domestic!BU76/Domestic!BU$96</f>
        <v>1.3748972433355351E-5</v>
      </c>
      <c r="BS75" s="15">
        <f>Domestic!BV76/Domestic!BV$96</f>
        <v>4.6921177036494429E-6</v>
      </c>
      <c r="BT75" s="15">
        <f>Domestic!BW76/Domestic!BW$96</f>
        <v>4.618770352083053E-6</v>
      </c>
      <c r="BU75" s="15">
        <f>Domestic!BX76/Domestic!BX$96</f>
        <v>0</v>
      </c>
      <c r="BV75" s="15">
        <f>Domestic!BY76/Domestic!BY$96</f>
        <v>1.9065583148477096E-9</v>
      </c>
      <c r="BW75" s="15">
        <f>Domestic!BZ76/Domestic!BZ$96</f>
        <v>0</v>
      </c>
      <c r="BX75" s="15">
        <f>Domestic!CA76/Domestic!CA$96</f>
        <v>0</v>
      </c>
      <c r="BY75" s="15">
        <f>Domestic!CB76/Domestic!CB$96</f>
        <v>1.1927722914803916E-6</v>
      </c>
      <c r="BZ75" s="15">
        <f>Domestic!CC76/Domestic!CC$96</f>
        <v>0</v>
      </c>
      <c r="CA75" s="15">
        <f>Domestic!CD76/Domestic!CD$96</f>
        <v>1.7075832546400993E-7</v>
      </c>
    </row>
    <row r="76" spans="1:79" x14ac:dyDescent="0.3">
      <c r="A76" s="8" t="s">
        <v>164</v>
      </c>
      <c r="B76" s="15">
        <f>Domestic!E77/Domestic!E$96</f>
        <v>5.8578324508025478E-9</v>
      </c>
      <c r="C76" s="15">
        <f>Domestic!F77/Domestic!F$96</f>
        <v>0</v>
      </c>
      <c r="D76" s="15">
        <f>Domestic!G77/Domestic!G$96</f>
        <v>0</v>
      </c>
      <c r="E76" s="15">
        <f>Domestic!H77/Domestic!H$96</f>
        <v>0</v>
      </c>
      <c r="F76" s="15">
        <f>Domestic!I77/Domestic!I$96</f>
        <v>0</v>
      </c>
      <c r="G76" s="15">
        <f>Domestic!J77/Domestic!J$96</f>
        <v>6.7679359311991492E-9</v>
      </c>
      <c r="H76" s="15">
        <f>Domestic!K77/Domestic!K$96</f>
        <v>2.0461784172586328E-5</v>
      </c>
      <c r="I76" s="15">
        <f>Domestic!L77/Domestic!L$96</f>
        <v>0</v>
      </c>
      <c r="J76" s="15">
        <f>Domestic!M77/Domestic!M$96</f>
        <v>0</v>
      </c>
      <c r="K76" s="15">
        <f>Domestic!N77/Domestic!N$96</f>
        <v>7.8122290701138181E-7</v>
      </c>
      <c r="L76" s="15">
        <f>Domestic!O77/Domestic!O$96</f>
        <v>2.1120167836060148E-8</v>
      </c>
      <c r="M76" s="15">
        <f>Domestic!P77/Domestic!P$96</f>
        <v>0</v>
      </c>
      <c r="N76" s="15">
        <f>Domestic!Q77/Domestic!Q$96</f>
        <v>5.5623834160507842E-8</v>
      </c>
      <c r="O76" s="15">
        <f>Domestic!R77/Domestic!R$96</f>
        <v>1.7235135214009169E-8</v>
      </c>
      <c r="P76" s="15">
        <f>Domestic!S77/Domestic!S$96</f>
        <v>2.3690905605014147E-6</v>
      </c>
      <c r="Q76" s="15">
        <f>Domestic!T77/Domestic!T$96</f>
        <v>0</v>
      </c>
      <c r="R76" s="15">
        <f>Domestic!U77/Domestic!U$96</f>
        <v>0</v>
      </c>
      <c r="S76" s="15">
        <f>Domestic!V77/Domestic!V$96</f>
        <v>0</v>
      </c>
      <c r="T76" s="15">
        <f>Domestic!W77/Domestic!W$96</f>
        <v>0</v>
      </c>
      <c r="U76" s="15">
        <f>Domestic!X77/Domestic!X$96</f>
        <v>0</v>
      </c>
      <c r="V76" s="15">
        <f>Domestic!Y77/Domestic!Y$96</f>
        <v>1.1643073433737376E-8</v>
      </c>
      <c r="W76" s="15">
        <f>Domestic!Z77/Domestic!Z$96</f>
        <v>0</v>
      </c>
      <c r="X76" s="15">
        <f>Domestic!AA77/Domestic!AA$96</f>
        <v>8.0155577408224834E-7</v>
      </c>
      <c r="Y76" s="15">
        <f>Domestic!AB77/Domestic!AB$96</f>
        <v>0</v>
      </c>
      <c r="Z76" s="15">
        <f>Domestic!AC77/Domestic!AC$96</f>
        <v>3.3926011710987837E-7</v>
      </c>
      <c r="AA76" s="15">
        <f>Domestic!AD77/Domestic!AD$96</f>
        <v>3.7345049652117012E-6</v>
      </c>
      <c r="AB76" s="15">
        <f>Domestic!AE77/Domestic!AE$96</f>
        <v>1.9497540732292848E-7</v>
      </c>
      <c r="AC76" s="15">
        <f>Domestic!AF77/Domestic!AF$96</f>
        <v>0</v>
      </c>
      <c r="AD76" s="15">
        <f>Domestic!AG77/Domestic!AG$96</f>
        <v>0</v>
      </c>
      <c r="AE76" s="15">
        <f>Domestic!AH77/Domestic!AH$96</f>
        <v>0</v>
      </c>
      <c r="AF76" s="15">
        <f>Domestic!AI77/Domestic!AI$96</f>
        <v>3.3206503932455056E-7</v>
      </c>
      <c r="AG76" s="15">
        <f>Domestic!AJ77/Domestic!AJ$96</f>
        <v>2.8404849449805315E-6</v>
      </c>
      <c r="AH76" s="15">
        <f>Domestic!AK77/Domestic!AK$96</f>
        <v>0</v>
      </c>
      <c r="AI76" s="15">
        <f>Domestic!AL77/Domestic!AL$96</f>
        <v>3.7659920568047951E-8</v>
      </c>
      <c r="AJ76" s="15">
        <f>Domestic!AM77/Domestic!AM$96</f>
        <v>6.8782067145543175E-7</v>
      </c>
      <c r="AK76" s="15">
        <f>Domestic!AN77/Domestic!AN$96</f>
        <v>0</v>
      </c>
      <c r="AL76" s="15">
        <f>Domestic!AO77/Domestic!AO$96</f>
        <v>0</v>
      </c>
      <c r="AM76" s="15">
        <f>Domestic!AP77/Domestic!AP$96</f>
        <v>0</v>
      </c>
      <c r="AN76" s="15">
        <f>Domestic!AQ77/Domestic!AQ$96</f>
        <v>0</v>
      </c>
      <c r="AO76" s="15">
        <f>Domestic!AR77/Domestic!AR$96</f>
        <v>0</v>
      </c>
      <c r="AP76" s="15">
        <f>Domestic!AS77/Domestic!AS$96</f>
        <v>0</v>
      </c>
      <c r="AQ76" s="15">
        <f>Domestic!AT77/Domestic!AT$96</f>
        <v>0</v>
      </c>
      <c r="AR76" s="15">
        <f>Domestic!AU77/Domestic!AU$96</f>
        <v>0</v>
      </c>
      <c r="AS76" s="15">
        <f>Domestic!AV77/Domestic!AV$96</f>
        <v>0</v>
      </c>
      <c r="AT76" s="15">
        <f>Domestic!AW77/Domestic!AW$96</f>
        <v>0</v>
      </c>
      <c r="AU76" s="15">
        <f>Domestic!AX77/Domestic!AX$96</f>
        <v>0</v>
      </c>
      <c r="AV76" s="15">
        <f>Domestic!AY77/Domestic!AY$96</f>
        <v>0</v>
      </c>
      <c r="AW76" s="15">
        <f>Domestic!AZ77/Domestic!AZ$96</f>
        <v>2.5499235001700581E-7</v>
      </c>
      <c r="AX76" s="15">
        <f>Domestic!BA77/Domestic!BA$96</f>
        <v>5.5217905426261355E-8</v>
      </c>
      <c r="AY76" s="15">
        <f>Domestic!BB77/Domestic!BB$96</f>
        <v>0</v>
      </c>
      <c r="AZ76" s="15">
        <f>Domestic!BC77/Domestic!BC$96</f>
        <v>0</v>
      </c>
      <c r="BA76" s="15">
        <f>Domestic!BD77/Domestic!BD$96</f>
        <v>0</v>
      </c>
      <c r="BB76" s="15">
        <f>Domestic!BE77/Domestic!BE$96</f>
        <v>0</v>
      </c>
      <c r="BC76" s="15">
        <f>Domestic!BF77/Domestic!BF$96</f>
        <v>1.0952083386857652E-7</v>
      </c>
      <c r="BD76" s="15">
        <f>Domestic!BG77/Domestic!BG$96</f>
        <v>5.3340429744106494E-8</v>
      </c>
      <c r="BE76" s="15">
        <f>Domestic!BH77/Domestic!BH$96</f>
        <v>0</v>
      </c>
      <c r="BF76" s="15">
        <f>Domestic!BI77/Domestic!BI$96</f>
        <v>4.9466992525952954E-9</v>
      </c>
      <c r="BG76" s="15">
        <f>Domestic!BJ77/Domestic!BJ$96</f>
        <v>0</v>
      </c>
      <c r="BH76" s="15">
        <f>Domestic!BK77/Domestic!BK$96</f>
        <v>0</v>
      </c>
      <c r="BI76" s="15">
        <f>Domestic!BL77/Domestic!BL$96</f>
        <v>1.8776232519824666E-8</v>
      </c>
      <c r="BJ76" s="15">
        <f>Domestic!BM77/Domestic!BM$96</f>
        <v>3.3014882290651815E-4</v>
      </c>
      <c r="BK76" s="15">
        <f>Domestic!BN77/Domestic!BN$96</f>
        <v>2.3128028851178504E-4</v>
      </c>
      <c r="BL76" s="15">
        <f>Domestic!BO77/Domestic!BO$96</f>
        <v>3.8919646927221514E-5</v>
      </c>
      <c r="BM76" s="15">
        <f>Domestic!BP77/Domestic!BP$96</f>
        <v>9.075803560246309E-5</v>
      </c>
      <c r="BN76" s="15">
        <f>Domestic!BQ77/Domestic!BQ$96</f>
        <v>3.0258052411891807E-5</v>
      </c>
      <c r="BO76" s="15">
        <f>Domestic!BR77/Domestic!BR$96</f>
        <v>1.3720940859484023E-4</v>
      </c>
      <c r="BP76" s="15">
        <f>Domestic!BS77/Domestic!BS$96</f>
        <v>8.7357607100426302E-7</v>
      </c>
      <c r="BQ76" s="15">
        <f>Domestic!BT77/Domestic!BT$96</f>
        <v>5.8913084230746532E-8</v>
      </c>
      <c r="BR76" s="15">
        <f>Domestic!BU77/Domestic!BU$96</f>
        <v>3.4345383924503086E-4</v>
      </c>
      <c r="BS76" s="15">
        <f>Domestic!BV77/Domestic!BV$96</f>
        <v>1.7204431580047956E-6</v>
      </c>
      <c r="BT76" s="15">
        <f>Domestic!BW77/Domestic!BW$96</f>
        <v>6.4234972577679127E-4</v>
      </c>
      <c r="BU76" s="15">
        <f>Domestic!BX77/Domestic!BX$96</f>
        <v>9.8415894042660243E-5</v>
      </c>
      <c r="BV76" s="15">
        <f>Domestic!BY77/Domestic!BY$96</f>
        <v>1.7437382347597152E-5</v>
      </c>
      <c r="BW76" s="15">
        <f>Domestic!BZ77/Domestic!BZ$96</f>
        <v>1.2722814380369281E-5</v>
      </c>
      <c r="BX76" s="15">
        <f>Domestic!CA77/Domestic!CA$96</f>
        <v>7.7764175910820412E-5</v>
      </c>
      <c r="BY76" s="15">
        <f>Domestic!CB77/Domestic!CB$96</f>
        <v>1.1631337072678484E-4</v>
      </c>
      <c r="BZ76" s="15">
        <f>Domestic!CC77/Domestic!CC$96</f>
        <v>0</v>
      </c>
      <c r="CA76" s="15">
        <f>Domestic!CD77/Domestic!CD$96</f>
        <v>3.6448862296353686E-7</v>
      </c>
    </row>
    <row r="77" spans="1:79" x14ac:dyDescent="0.3">
      <c r="A77" s="7" t="s">
        <v>165</v>
      </c>
      <c r="B77" s="15">
        <f>Domestic!E78/Domestic!E$96</f>
        <v>2.3431329803210191E-8</v>
      </c>
      <c r="C77" s="15">
        <f>Domestic!F78/Domestic!F$96</f>
        <v>6.7733777481769236E-6</v>
      </c>
      <c r="D77" s="15">
        <f>Domestic!G78/Domestic!G$96</f>
        <v>0</v>
      </c>
      <c r="E77" s="15">
        <f>Domestic!H78/Domestic!H$96</f>
        <v>1.5535099692044771E-3</v>
      </c>
      <c r="F77" s="15">
        <f>Domestic!I78/Domestic!I$96</f>
        <v>7.1320266770316611E-4</v>
      </c>
      <c r="G77" s="15">
        <f>Domestic!J78/Domestic!J$96</f>
        <v>3.9990142952511937E-3</v>
      </c>
      <c r="H77" s="15">
        <f>Domestic!K78/Domestic!K$96</f>
        <v>1.4486630185092642E-4</v>
      </c>
      <c r="I77" s="15">
        <f>Domestic!L78/Domestic!L$96</f>
        <v>5.0863512943642867E-3</v>
      </c>
      <c r="J77" s="15">
        <f>Domestic!M78/Domestic!M$96</f>
        <v>2.8532215117295224E-5</v>
      </c>
      <c r="K77" s="15">
        <f>Domestic!N78/Domestic!N$96</f>
        <v>2.3771565370113632E-4</v>
      </c>
      <c r="L77" s="15">
        <f>Domestic!O78/Domestic!O$96</f>
        <v>7.3693721623371508E-4</v>
      </c>
      <c r="M77" s="15">
        <f>Domestic!P78/Domestic!P$96</f>
        <v>4.4576748419830918E-4</v>
      </c>
      <c r="N77" s="15">
        <f>Domestic!Q78/Domestic!Q$96</f>
        <v>1.8357119945918576E-4</v>
      </c>
      <c r="O77" s="15">
        <f>Domestic!R78/Domestic!R$96</f>
        <v>8.0796159491373237E-5</v>
      </c>
      <c r="P77" s="15">
        <f>Domestic!S78/Domestic!S$96</f>
        <v>6.3641466937230305E-5</v>
      </c>
      <c r="Q77" s="15">
        <f>Domestic!T78/Domestic!T$96</f>
        <v>1.9371543365759628E-4</v>
      </c>
      <c r="R77" s="15">
        <f>Domestic!U78/Domestic!U$96</f>
        <v>1.5453779224362029E-4</v>
      </c>
      <c r="S77" s="15">
        <f>Domestic!V78/Domestic!V$96</f>
        <v>9.4573672047707202E-5</v>
      </c>
      <c r="T77" s="15">
        <f>Domestic!W78/Domestic!W$96</f>
        <v>1.4063720059107359E-6</v>
      </c>
      <c r="U77" s="15">
        <f>Domestic!X78/Domestic!X$96</f>
        <v>9.6579923144249639E-8</v>
      </c>
      <c r="V77" s="15">
        <f>Domestic!Y78/Domestic!Y$96</f>
        <v>6.5550503431941426E-6</v>
      </c>
      <c r="W77" s="15">
        <f>Domestic!Z78/Domestic!Z$96</f>
        <v>5.824155616194368E-4</v>
      </c>
      <c r="X77" s="15">
        <f>Domestic!AA78/Domestic!AA$96</f>
        <v>3.7229802825250349E-4</v>
      </c>
      <c r="Y77" s="15">
        <f>Domestic!AB78/Domestic!AB$96</f>
        <v>3.6689512364785997E-4</v>
      </c>
      <c r="Z77" s="15">
        <f>Domestic!AC78/Domestic!AC$96</f>
        <v>1.9213179995198991E-4</v>
      </c>
      <c r="AA77" s="15">
        <f>Domestic!AD78/Domestic!AD$96</f>
        <v>6.5969820151656976E-7</v>
      </c>
      <c r="AB77" s="15">
        <f>Domestic!AE78/Domestic!AE$96</f>
        <v>5.0693605903961397E-8</v>
      </c>
      <c r="AC77" s="15">
        <f>Domestic!AF78/Domestic!AF$96</f>
        <v>1.0981969089321164E-7</v>
      </c>
      <c r="AD77" s="15">
        <f>Domestic!AG78/Domestic!AG$96</f>
        <v>1.9301544593951374E-8</v>
      </c>
      <c r="AE77" s="15">
        <f>Domestic!AH78/Domestic!AH$96</f>
        <v>3.1141088192776264E-8</v>
      </c>
      <c r="AF77" s="15">
        <f>Domestic!AI78/Domestic!AI$96</f>
        <v>1.0929655510312499E-7</v>
      </c>
      <c r="AG77" s="15">
        <f>Domestic!AJ78/Domestic!AJ$96</f>
        <v>3.6230675318629225E-8</v>
      </c>
      <c r="AH77" s="15">
        <f>Domestic!AK78/Domestic!AK$96</f>
        <v>5.95533394988391E-8</v>
      </c>
      <c r="AI77" s="15">
        <f>Domestic!AL78/Domestic!AL$96</f>
        <v>3.7151269787678409E-4</v>
      </c>
      <c r="AJ77" s="15">
        <f>Domestic!AM78/Domestic!AM$96</f>
        <v>1.902045587776347E-4</v>
      </c>
      <c r="AK77" s="15">
        <f>Domestic!AN78/Domestic!AN$96</f>
        <v>5.6693842336966423E-3</v>
      </c>
      <c r="AL77" s="15">
        <f>Domestic!AO78/Domestic!AO$96</f>
        <v>4.168957682061258E-4</v>
      </c>
      <c r="AM77" s="15">
        <f>Domestic!AP78/Domestic!AP$96</f>
        <v>7.9014766230708672E-4</v>
      </c>
      <c r="AN77" s="15">
        <f>Domestic!AQ78/Domestic!AQ$96</f>
        <v>3.9720346320415E-4</v>
      </c>
      <c r="AO77" s="15">
        <f>Domestic!AR78/Domestic!AR$96</f>
        <v>3.8483935236165417E-4</v>
      </c>
      <c r="AP77" s="15">
        <f>Domestic!AS78/Domestic!AS$96</f>
        <v>7.9301534143205957E-3</v>
      </c>
      <c r="AQ77" s="15">
        <f>Domestic!AT78/Domestic!AT$96</f>
        <v>8.8899066302393966E-4</v>
      </c>
      <c r="AR77" s="15">
        <f>Domestic!AU78/Domestic!AU$96</f>
        <v>1.2764073164097409E-3</v>
      </c>
      <c r="AS77" s="15">
        <f>Domestic!AV78/Domestic!AV$96</f>
        <v>2.005102598159675E-4</v>
      </c>
      <c r="AT77" s="15">
        <f>Domestic!AW78/Domestic!AW$96</f>
        <v>1.7207909362154923E-3</v>
      </c>
      <c r="AU77" s="15">
        <f>Domestic!AX78/Domestic!AX$96</f>
        <v>3.1197421718475384E-3</v>
      </c>
      <c r="AV77" s="15">
        <f>Domestic!AY78/Domestic!AY$96</f>
        <v>2.4204817735207283E-3</v>
      </c>
      <c r="AW77" s="15">
        <f>Domestic!AZ78/Domestic!AZ$96</f>
        <v>3.1485038755933122E-3</v>
      </c>
      <c r="AX77" s="15">
        <f>Domestic!BA78/Domestic!BA$96</f>
        <v>1.3209889950935357E-3</v>
      </c>
      <c r="AY77" s="15">
        <f>Domestic!BB78/Domestic!BB$96</f>
        <v>8.6598858742316571E-4</v>
      </c>
      <c r="AZ77" s="15">
        <f>Domestic!BC78/Domestic!BC$96</f>
        <v>1.3536954505158879E-3</v>
      </c>
      <c r="BA77" s="15">
        <f>Domestic!BD78/Domestic!BD$96</f>
        <v>7.941699807109074E-3</v>
      </c>
      <c r="BB77" s="15">
        <f>Domestic!BE78/Domestic!BE$96</f>
        <v>5.3540480159074762E-4</v>
      </c>
      <c r="BC77" s="15">
        <f>Domestic!BF78/Domestic!BF$96</f>
        <v>1.1356821350000713E-3</v>
      </c>
      <c r="BD77" s="15">
        <f>Domestic!BG78/Domestic!BG$96</f>
        <v>3.6211217540381576E-3</v>
      </c>
      <c r="BE77" s="15">
        <f>Domestic!BH78/Domestic!BH$96</f>
        <v>5.6236560764804224E-4</v>
      </c>
      <c r="BF77" s="15">
        <f>Domestic!BI78/Domestic!BI$96</f>
        <v>3.0308696140610608E-4</v>
      </c>
      <c r="BG77" s="15">
        <f>Domestic!BJ78/Domestic!BJ$96</f>
        <v>1.5506670074754252E-3</v>
      </c>
      <c r="BH77" s="15">
        <f>Domestic!BK78/Domestic!BK$96</f>
        <v>6.911721132423274E-5</v>
      </c>
      <c r="BI77" s="15">
        <f>Domestic!BL78/Domestic!BL$96</f>
        <v>1.4496156178326054E-3</v>
      </c>
      <c r="BJ77" s="15">
        <f>Domestic!BM78/Domestic!BM$96</f>
        <v>9.0501588799692521E-5</v>
      </c>
      <c r="BK77" s="15">
        <f>Domestic!BN78/Domestic!BN$96</f>
        <v>9.4901368826254184E-6</v>
      </c>
      <c r="BL77" s="15">
        <f>Domestic!BO78/Domestic!BO$96</f>
        <v>0</v>
      </c>
      <c r="BM77" s="15">
        <f>Domestic!BP78/Domestic!BP$96</f>
        <v>1.121184186849918E-3</v>
      </c>
      <c r="BN77" s="15">
        <f>Domestic!BQ78/Domestic!BQ$96</f>
        <v>3.2645898529996755E-4</v>
      </c>
      <c r="BO77" s="15">
        <f>Domestic!BR78/Domestic!BR$96</f>
        <v>2.6362917220422487E-4</v>
      </c>
      <c r="BP77" s="15">
        <f>Domestic!BS78/Domestic!BS$96</f>
        <v>3.175449018100496E-4</v>
      </c>
      <c r="BQ77" s="15">
        <f>Domestic!BT78/Domestic!BT$96</f>
        <v>1.0686833479457421E-4</v>
      </c>
      <c r="BR77" s="15">
        <f>Domestic!BU78/Domestic!BU$96</f>
        <v>2.5359716694834777E-4</v>
      </c>
      <c r="BS77" s="15">
        <f>Domestic!BV78/Domestic!BV$96</f>
        <v>7.740430171787031E-4</v>
      </c>
      <c r="BT77" s="15">
        <f>Domestic!BW78/Domestic!BW$96</f>
        <v>9.7084348615368284E-5</v>
      </c>
      <c r="BU77" s="15">
        <f>Domestic!BX78/Domestic!BX$96</f>
        <v>9.1755912433181492E-5</v>
      </c>
      <c r="BV77" s="15">
        <f>Domestic!BY78/Domestic!BY$96</f>
        <v>3.9847068780317125E-7</v>
      </c>
      <c r="BW77" s="15">
        <f>Domestic!BZ78/Domestic!BZ$96</f>
        <v>1.9306243369300881E-8</v>
      </c>
      <c r="BX77" s="15">
        <f>Domestic!CA78/Domestic!CA$96</f>
        <v>1.826374842943514E-6</v>
      </c>
      <c r="BY77" s="15">
        <f>Domestic!CB78/Domestic!CB$96</f>
        <v>1.8488934374343222E-3</v>
      </c>
      <c r="BZ77" s="15">
        <f>Domestic!CC78/Domestic!CC$96</f>
        <v>0</v>
      </c>
      <c r="CA77" s="15">
        <f>Domestic!CD78/Domestic!CD$96</f>
        <v>3.6518344854437113E-3</v>
      </c>
    </row>
    <row r="78" spans="1:79" x14ac:dyDescent="0.3">
      <c r="A78" s="8" t="s">
        <v>166</v>
      </c>
      <c r="B78" s="15">
        <f>Domestic!E79/Domestic!E$96</f>
        <v>1.7573497352407642E-8</v>
      </c>
      <c r="C78" s="15">
        <f>Domestic!F79/Domestic!F$96</f>
        <v>5.5502946387027835E-6</v>
      </c>
      <c r="D78" s="15">
        <f>Domestic!G79/Domestic!G$96</f>
        <v>8.7349544390312775E-4</v>
      </c>
      <c r="E78" s="15">
        <f>Domestic!H79/Domestic!H$96</f>
        <v>1.3210580740141635E-3</v>
      </c>
      <c r="F78" s="15">
        <f>Domestic!I79/Domestic!I$96</f>
        <v>6.0361979457300202E-4</v>
      </c>
      <c r="G78" s="15">
        <f>Domestic!J79/Domestic!J$96</f>
        <v>1.0192646871104542E-3</v>
      </c>
      <c r="H78" s="15">
        <f>Domestic!K79/Domestic!K$96</f>
        <v>1.0822052451830976E-4</v>
      </c>
      <c r="I78" s="15">
        <f>Domestic!L79/Domestic!L$96</f>
        <v>6.105240550302856E-5</v>
      </c>
      <c r="J78" s="15">
        <f>Domestic!M79/Domestic!M$96</f>
        <v>2.9354002708694527E-4</v>
      </c>
      <c r="K78" s="15">
        <f>Domestic!N79/Domestic!N$96</f>
        <v>6.1392734633662358E-5</v>
      </c>
      <c r="L78" s="15">
        <f>Domestic!O79/Domestic!O$96</f>
        <v>4.3797772048631095E-4</v>
      </c>
      <c r="M78" s="15">
        <f>Domestic!P79/Domestic!P$96</f>
        <v>1.4931429068153846E-4</v>
      </c>
      <c r="N78" s="15">
        <f>Domestic!Q79/Domestic!Q$96</f>
        <v>1.3483677447255797E-4</v>
      </c>
      <c r="O78" s="15">
        <f>Domestic!R79/Domestic!R$96</f>
        <v>5.8752421552655511E-5</v>
      </c>
      <c r="P78" s="15">
        <f>Domestic!S79/Domestic!S$96</f>
        <v>8.059970065022121E-5</v>
      </c>
      <c r="Q78" s="15">
        <f>Domestic!T79/Domestic!T$96</f>
        <v>2.422236576216748E-4</v>
      </c>
      <c r="R78" s="15">
        <f>Domestic!U79/Domestic!U$96</f>
        <v>2.2375628318698081E-4</v>
      </c>
      <c r="S78" s="15">
        <f>Domestic!V79/Domestic!V$96</f>
        <v>1.2529498035189525E-4</v>
      </c>
      <c r="T78" s="15">
        <f>Domestic!W79/Domestic!W$96</f>
        <v>3.4890303597431507E-4</v>
      </c>
      <c r="U78" s="15">
        <f>Domestic!X79/Domestic!X$96</f>
        <v>1.079560033057514E-3</v>
      </c>
      <c r="V78" s="15">
        <f>Domestic!Y79/Domestic!Y$96</f>
        <v>9.7614363361110787E-4</v>
      </c>
      <c r="W78" s="15">
        <f>Domestic!Z79/Domestic!Z$96</f>
        <v>4.9489886856451829E-5</v>
      </c>
      <c r="X78" s="15">
        <f>Domestic!AA79/Domestic!AA$96</f>
        <v>4.6243588572544424E-4</v>
      </c>
      <c r="Y78" s="15">
        <f>Domestic!AB79/Domestic!AB$96</f>
        <v>4.5988916098605354E-4</v>
      </c>
      <c r="Z78" s="15">
        <f>Domestic!AC79/Domestic!AC$96</f>
        <v>3.2162613013387827E-4</v>
      </c>
      <c r="AA78" s="15">
        <f>Domestic!AD79/Domestic!AD$96</f>
        <v>6.1403482307906482E-4</v>
      </c>
      <c r="AB78" s="15">
        <f>Domestic!AE79/Domestic!AE$96</f>
        <v>6.0214255043539991E-4</v>
      </c>
      <c r="AC78" s="15">
        <f>Domestic!AF79/Domestic!AF$96</f>
        <v>1.1031071802628113E-3</v>
      </c>
      <c r="AD78" s="15">
        <f>Domestic!AG79/Domestic!AG$96</f>
        <v>2.7130511912941754E-4</v>
      </c>
      <c r="AE78" s="15">
        <f>Domestic!AH79/Domestic!AH$96</f>
        <v>3.7206552670408219E-4</v>
      </c>
      <c r="AF78" s="15">
        <f>Domestic!AI79/Domestic!AI$96</f>
        <v>8.9253040558628981E-4</v>
      </c>
      <c r="AG78" s="15">
        <f>Domestic!AJ79/Domestic!AJ$96</f>
        <v>4.5027483285992406E-4</v>
      </c>
      <c r="AH78" s="15">
        <f>Domestic!AK79/Domestic!AK$96</f>
        <v>1.6438045109224011E-4</v>
      </c>
      <c r="AI78" s="15">
        <f>Domestic!AL79/Domestic!AL$96</f>
        <v>3.3513874266978447E-6</v>
      </c>
      <c r="AJ78" s="15">
        <f>Domestic!AM79/Domestic!AM$96</f>
        <v>2.841585097919246E-6</v>
      </c>
      <c r="AK78" s="15">
        <f>Domestic!AN79/Domestic!AN$96</f>
        <v>4.1215119838783291E-3</v>
      </c>
      <c r="AL78" s="15">
        <f>Domestic!AO79/Domestic!AO$96</f>
        <v>3.0306594947589806E-4</v>
      </c>
      <c r="AM78" s="15">
        <f>Domestic!AP79/Domestic!AP$96</f>
        <v>2.5970976500001305E-4</v>
      </c>
      <c r="AN78" s="15">
        <f>Domestic!AQ79/Domestic!AQ$96</f>
        <v>2.8206182894229112E-4</v>
      </c>
      <c r="AO78" s="15">
        <f>Domestic!AR79/Domestic!AR$96</f>
        <v>2.7954178850697045E-4</v>
      </c>
      <c r="AP78" s="15">
        <f>Domestic!AS79/Domestic!AS$96</f>
        <v>5.7648765416404429E-3</v>
      </c>
      <c r="AQ78" s="15">
        <f>Domestic!AT79/Domestic!AT$96</f>
        <v>6.4640761900211865E-4</v>
      </c>
      <c r="AR78" s="15">
        <f>Domestic!AU79/Domestic!AU$96</f>
        <v>9.2945289751556869E-4</v>
      </c>
      <c r="AS78" s="15">
        <f>Domestic!AV79/Domestic!AV$96</f>
        <v>1.4599270444848957E-4</v>
      </c>
      <c r="AT78" s="15">
        <f>Domestic!AW79/Domestic!AW$96</f>
        <v>1.2509668790379326E-3</v>
      </c>
      <c r="AU78" s="15">
        <f>Domestic!AX79/Domestic!AX$96</f>
        <v>2.2677720038297377E-3</v>
      </c>
      <c r="AV78" s="15">
        <f>Domestic!AY79/Domestic!AY$96</f>
        <v>1.7593864562011406E-3</v>
      </c>
      <c r="AW78" s="15">
        <f>Domestic!AZ79/Domestic!AZ$96</f>
        <v>2.2998326697700462E-3</v>
      </c>
      <c r="AX78" s="15">
        <f>Domestic!BA79/Domestic!BA$96</f>
        <v>9.6060381353849837E-4</v>
      </c>
      <c r="AY78" s="15">
        <f>Domestic!BB79/Domestic!BB$96</f>
        <v>6.2955329797734574E-4</v>
      </c>
      <c r="AZ78" s="15">
        <f>Domestic!BC79/Domestic!BC$96</f>
        <v>5.624253127465528E-4</v>
      </c>
      <c r="BA78" s="15">
        <f>Domestic!BD79/Domestic!BD$96</f>
        <v>6.0844857448358021E-3</v>
      </c>
      <c r="BB78" s="15">
        <f>Domestic!BE79/Domestic!BE$96</f>
        <v>6.571551487484635E-4</v>
      </c>
      <c r="BC78" s="15">
        <f>Domestic!BF79/Domestic!BF$96</f>
        <v>1.0688839961218396E-3</v>
      </c>
      <c r="BD78" s="15">
        <f>Domestic!BG79/Domestic!BG$96</f>
        <v>3.0919846909766209E-3</v>
      </c>
      <c r="BE78" s="15">
        <f>Domestic!BH79/Domestic!BH$96</f>
        <v>4.7476909679499991E-4</v>
      </c>
      <c r="BF78" s="15">
        <f>Domestic!BI79/Domestic!BI$96</f>
        <v>2.2247420128601697E-4</v>
      </c>
      <c r="BG78" s="15">
        <f>Domestic!BJ79/Domestic!BJ$96</f>
        <v>1.1274075447566391E-3</v>
      </c>
      <c r="BH78" s="15">
        <f>Domestic!BK79/Domestic!BK$96</f>
        <v>5.0207030461059628E-5</v>
      </c>
      <c r="BI78" s="15">
        <f>Domestic!BL79/Domestic!BL$96</f>
        <v>1.2410253299791859E-3</v>
      </c>
      <c r="BJ78" s="15">
        <f>Domestic!BM79/Domestic!BM$96</f>
        <v>1.0618101478852377E-3</v>
      </c>
      <c r="BK78" s="15">
        <f>Domestic!BN79/Domestic!BN$96</f>
        <v>7.0208502387592443E-4</v>
      </c>
      <c r="BL78" s="15">
        <f>Domestic!BO79/Domestic!BO$96</f>
        <v>2.0113047688419402E-4</v>
      </c>
      <c r="BM78" s="15">
        <f>Domestic!BP79/Domestic!BP$96</f>
        <v>1.9428858871666649E-3</v>
      </c>
      <c r="BN78" s="15">
        <f>Domestic!BQ79/Domestic!BQ$96</f>
        <v>2.8478067698101237E-3</v>
      </c>
      <c r="BO78" s="15">
        <f>Domestic!BR79/Domestic!BR$96</f>
        <v>8.3871724992900848E-4</v>
      </c>
      <c r="BP78" s="15">
        <f>Domestic!BS79/Domestic!BS$96</f>
        <v>1.0603029561814243E-3</v>
      </c>
      <c r="BQ78" s="15">
        <f>Domestic!BT79/Domestic!BT$96</f>
        <v>8.0776024354197729E-3</v>
      </c>
      <c r="BR78" s="15">
        <f>Domestic!BU79/Domestic!BU$96</f>
        <v>5.9592404123982488E-4</v>
      </c>
      <c r="BS78" s="15">
        <f>Domestic!BV79/Domestic!BV$96</f>
        <v>1.9438661626602367E-3</v>
      </c>
      <c r="BT78" s="15">
        <f>Domestic!BW79/Domestic!BW$96</f>
        <v>2.6160675198099912E-4</v>
      </c>
      <c r="BU78" s="15">
        <f>Domestic!BX79/Domestic!BX$96</f>
        <v>3.2050976633062609E-4</v>
      </c>
      <c r="BV78" s="15">
        <f>Domestic!BY79/Domestic!BY$96</f>
        <v>1.0862501605345934E-3</v>
      </c>
      <c r="BW78" s="15">
        <f>Domestic!BZ79/Domestic!BZ$96</f>
        <v>3.9379909912531474E-5</v>
      </c>
      <c r="BX78" s="15">
        <f>Domestic!CA79/Domestic!CA$96</f>
        <v>3.0961977637714228E-4</v>
      </c>
      <c r="BY78" s="15">
        <f>Domestic!CB79/Domestic!CB$96</f>
        <v>1.8412669236918264E-3</v>
      </c>
      <c r="BZ78" s="15">
        <f>Domestic!CC79/Domestic!CC$96</f>
        <v>0</v>
      </c>
      <c r="CA78" s="15">
        <f>Domestic!CD79/Domestic!CD$96</f>
        <v>8.8122981015871186E-3</v>
      </c>
    </row>
    <row r="79" spans="1:79" x14ac:dyDescent="0.3">
      <c r="A79" s="7" t="s">
        <v>167</v>
      </c>
      <c r="B79" s="15">
        <f>Domestic!E80/Domestic!E$96</f>
        <v>9.3574919364666396E-4</v>
      </c>
      <c r="C79" s="15">
        <f>Domestic!F80/Domestic!F$96</f>
        <v>7.3452599248592643E-4</v>
      </c>
      <c r="D79" s="15">
        <f>Domestic!G80/Domestic!G$96</f>
        <v>8.4463446898841422E-4</v>
      </c>
      <c r="E79" s="15">
        <f>Domestic!H80/Domestic!H$96</f>
        <v>4.9645891750112478E-3</v>
      </c>
      <c r="F79" s="15">
        <f>Domestic!I80/Domestic!I$96</f>
        <v>2.9499824898306325E-3</v>
      </c>
      <c r="G79" s="15">
        <f>Domestic!J80/Domestic!J$96</f>
        <v>2.814881786465271E-2</v>
      </c>
      <c r="H79" s="15">
        <f>Domestic!K80/Domestic!K$96</f>
        <v>8.5650386939357687E-3</v>
      </c>
      <c r="I79" s="15">
        <f>Domestic!L80/Domestic!L$96</f>
        <v>3.2777367169055534E-3</v>
      </c>
      <c r="J79" s="15">
        <f>Domestic!M80/Domestic!M$96</f>
        <v>8.307148655648456E-3</v>
      </c>
      <c r="K79" s="15">
        <f>Domestic!N80/Domestic!N$96</f>
        <v>1.9254006371076124E-3</v>
      </c>
      <c r="L79" s="15">
        <f>Domestic!O80/Domestic!O$96</f>
        <v>3.6432483118742252E-3</v>
      </c>
      <c r="M79" s="15">
        <f>Domestic!P80/Domestic!P$96</f>
        <v>5.0907422354099794E-3</v>
      </c>
      <c r="N79" s="15">
        <f>Domestic!Q80/Domestic!Q$96</f>
        <v>1.153694780771727E-3</v>
      </c>
      <c r="O79" s="15">
        <f>Domestic!R80/Domestic!R$96</f>
        <v>1.0778961282436421E-3</v>
      </c>
      <c r="P79" s="15">
        <f>Domestic!S80/Domestic!S$96</f>
        <v>3.4218172121293513E-4</v>
      </c>
      <c r="Q79" s="15">
        <f>Domestic!T80/Domestic!T$96</f>
        <v>1.229658080513493E-3</v>
      </c>
      <c r="R79" s="15">
        <f>Domestic!U80/Domestic!U$96</f>
        <v>3.6860014197431605E-4</v>
      </c>
      <c r="S79" s="15">
        <f>Domestic!V80/Domestic!V$96</f>
        <v>3.4174487819523572E-4</v>
      </c>
      <c r="T79" s="15">
        <f>Domestic!W80/Domestic!W$96</f>
        <v>5.2328200302465965E-4</v>
      </c>
      <c r="U79" s="15">
        <f>Domestic!X80/Domestic!X$96</f>
        <v>7.4807359184566322E-4</v>
      </c>
      <c r="V79" s="15">
        <f>Domestic!Y80/Domestic!Y$96</f>
        <v>3.3830463461270331E-3</v>
      </c>
      <c r="W79" s="15">
        <f>Domestic!Z80/Domestic!Z$96</f>
        <v>5.9569091980440675E-4</v>
      </c>
      <c r="X79" s="15">
        <f>Domestic!AA80/Domestic!AA$96</f>
        <v>2.150449654429603E-3</v>
      </c>
      <c r="Y79" s="15">
        <f>Domestic!AB80/Domestic!AB$96</f>
        <v>6.1034821793826935E-4</v>
      </c>
      <c r="Z79" s="15">
        <f>Domestic!AC80/Domestic!AC$96</f>
        <v>1.0237211729359147E-3</v>
      </c>
      <c r="AA79" s="15">
        <f>Domestic!AD80/Domestic!AD$96</f>
        <v>6.1500790631262715E-4</v>
      </c>
      <c r="AB79" s="15">
        <f>Domestic!AE80/Domestic!AE$96</f>
        <v>4.6569681063674136E-4</v>
      </c>
      <c r="AC79" s="15">
        <f>Domestic!AF80/Domestic!AF$96</f>
        <v>4.4161825577581401E-4</v>
      </c>
      <c r="AD79" s="15">
        <f>Domestic!AG80/Domestic!AG$96</f>
        <v>1.2823998394558033E-4</v>
      </c>
      <c r="AE79" s="15">
        <f>Domestic!AH80/Domestic!AH$96</f>
        <v>1.4631558337143842E-4</v>
      </c>
      <c r="AF79" s="15">
        <f>Domestic!AI80/Domestic!AI$96</f>
        <v>2.7488648511979168E-4</v>
      </c>
      <c r="AG79" s="15">
        <f>Domestic!AJ80/Domestic!AJ$96</f>
        <v>3.8292200744259228E-4</v>
      </c>
      <c r="AH79" s="15">
        <f>Domestic!AK80/Domestic!AK$96</f>
        <v>8.8297751363612101E-5</v>
      </c>
      <c r="AI79" s="15">
        <f>Domestic!AL80/Domestic!AL$96</f>
        <v>4.9836340298501432E-4</v>
      </c>
      <c r="AJ79" s="15">
        <f>Domestic!AM80/Domestic!AM$96</f>
        <v>6.0015432862140319E-4</v>
      </c>
      <c r="AK79" s="15">
        <f>Domestic!AN80/Domestic!AN$96</f>
        <v>2.0533525845463019E-2</v>
      </c>
      <c r="AL79" s="15">
        <f>Domestic!AO80/Domestic!AO$96</f>
        <v>3.5181352252432211E-3</v>
      </c>
      <c r="AM79" s="15">
        <f>Domestic!AP80/Domestic!AP$96</f>
        <v>2.4101744724225209E-2</v>
      </c>
      <c r="AN79" s="15">
        <f>Domestic!AQ80/Domestic!AQ$96</f>
        <v>2.1677991482030191E-3</v>
      </c>
      <c r="AO79" s="15">
        <f>Domestic!AR80/Domestic!AR$96</f>
        <v>1.802955728053714E-2</v>
      </c>
      <c r="AP79" s="15">
        <f>Domestic!AS80/Domestic!AS$96</f>
        <v>3.243428348232448E-2</v>
      </c>
      <c r="AQ79" s="15">
        <f>Domestic!AT80/Domestic!AT$96</f>
        <v>3.1793617430065341E-2</v>
      </c>
      <c r="AR79" s="15">
        <f>Domestic!AU80/Domestic!AU$96</f>
        <v>6.4489920987366818E-3</v>
      </c>
      <c r="AS79" s="15">
        <f>Domestic!AV80/Domestic!AV$96</f>
        <v>5.7649762481100071E-3</v>
      </c>
      <c r="AT79" s="15">
        <f>Domestic!AW80/Domestic!AW$96</f>
        <v>8.2663410050919286E-3</v>
      </c>
      <c r="AU79" s="15">
        <f>Domestic!AX80/Domestic!AX$96</f>
        <v>3.4444384545122941E-2</v>
      </c>
      <c r="AV79" s="15">
        <f>Domestic!AY80/Domestic!AY$96</f>
        <v>4.9165111329585731E-3</v>
      </c>
      <c r="AW79" s="15">
        <f>Domestic!AZ80/Domestic!AZ$96</f>
        <v>3.2969519220282127E-3</v>
      </c>
      <c r="AX79" s="15">
        <f>Domestic!BA80/Domestic!BA$96</f>
        <v>2.2272363025304222E-3</v>
      </c>
      <c r="AY79" s="15">
        <f>Domestic!BB80/Domestic!BB$96</f>
        <v>6.0303786196073995E-3</v>
      </c>
      <c r="AZ79" s="15">
        <f>Domestic!BC80/Domestic!BC$96</f>
        <v>8.4033482454846562E-4</v>
      </c>
      <c r="BA79" s="15">
        <f>Domestic!BD80/Domestic!BD$96</f>
        <v>2.4733124102309374E-3</v>
      </c>
      <c r="BB79" s="15">
        <f>Domestic!BE80/Domestic!BE$96</f>
        <v>8.6143238773433417E-5</v>
      </c>
      <c r="BC79" s="15">
        <f>Domestic!BF80/Domestic!BF$96</f>
        <v>1.4917949745236144E-3</v>
      </c>
      <c r="BD79" s="15">
        <f>Domestic!BG80/Domestic!BG$96</f>
        <v>1.576823113880404E-3</v>
      </c>
      <c r="BE79" s="15">
        <f>Domestic!BH80/Domestic!BH$96</f>
        <v>3.6606102842067648E-3</v>
      </c>
      <c r="BF79" s="15">
        <f>Domestic!BI80/Domestic!BI$96</f>
        <v>9.5388775637557269E-4</v>
      </c>
      <c r="BG79" s="15">
        <f>Domestic!BJ80/Domestic!BJ$96</f>
        <v>3.5276018342023882E-3</v>
      </c>
      <c r="BH79" s="15">
        <f>Domestic!BK80/Domestic!BK$96</f>
        <v>2.6674360942444192E-5</v>
      </c>
      <c r="BI79" s="15">
        <f>Domestic!BL80/Domestic!BL$96</f>
        <v>1.8959659242241064E-3</v>
      </c>
      <c r="BJ79" s="15">
        <f>Domestic!BM80/Domestic!BM$96</f>
        <v>9.2499116889089225E-5</v>
      </c>
      <c r="BK79" s="15">
        <f>Domestic!BN80/Domestic!BN$96</f>
        <v>7.3668083222855731E-4</v>
      </c>
      <c r="BL79" s="15">
        <f>Domestic!BO80/Domestic!BO$96</f>
        <v>1.3984865694361315E-3</v>
      </c>
      <c r="BM79" s="15">
        <f>Domestic!BP80/Domestic!BP$96</f>
        <v>2.3326692739925139E-3</v>
      </c>
      <c r="BN79" s="15">
        <f>Domestic!BQ80/Domestic!BQ$96</f>
        <v>5.2982561429563563E-3</v>
      </c>
      <c r="BO79" s="15">
        <f>Domestic!BR80/Domestic!BR$96</f>
        <v>5.3683802334715258E-3</v>
      </c>
      <c r="BP79" s="15">
        <f>Domestic!BS80/Domestic!BS$96</f>
        <v>6.816514082046264E-3</v>
      </c>
      <c r="BQ79" s="15">
        <f>Domestic!BT80/Domestic!BT$96</f>
        <v>2.7452613555264422E-3</v>
      </c>
      <c r="BR79" s="15">
        <f>Domestic!BU80/Domestic!BU$96</f>
        <v>5.238433628105292E-4</v>
      </c>
      <c r="BS79" s="15">
        <f>Domestic!BV80/Domestic!BV$96</f>
        <v>1.3722958445901799E-2</v>
      </c>
      <c r="BT79" s="15">
        <f>Domestic!BW80/Domestic!BW$96</f>
        <v>3.1086729035428922E-3</v>
      </c>
      <c r="BU79" s="15">
        <f>Domestic!BX80/Domestic!BX$96</f>
        <v>1.2090824422066786E-3</v>
      </c>
      <c r="BV79" s="15">
        <f>Domestic!BY80/Domestic!BY$96</f>
        <v>3.3108338416487897E-4</v>
      </c>
      <c r="BW79" s="15">
        <f>Domestic!BZ80/Domestic!BZ$96</f>
        <v>2.6661487702528703E-3</v>
      </c>
      <c r="BX79" s="15">
        <f>Domestic!CA80/Domestic!CA$96</f>
        <v>1.2710181220118935E-3</v>
      </c>
      <c r="BY79" s="15">
        <f>Domestic!CB80/Domestic!CB$96</f>
        <v>9.9044678551240932E-4</v>
      </c>
      <c r="BZ79" s="15">
        <f>Domestic!CC80/Domestic!CC$96</f>
        <v>0</v>
      </c>
      <c r="CA79" s="15">
        <f>Domestic!CD80/Domestic!CD$96</f>
        <v>1.1676942832500955E-2</v>
      </c>
    </row>
    <row r="80" spans="1:79" x14ac:dyDescent="0.3">
      <c r="A80" s="8" t="s">
        <v>168</v>
      </c>
      <c r="B80" s="15">
        <f>Domestic!E81/Domestic!E$96</f>
        <v>0</v>
      </c>
      <c r="C80" s="15">
        <f>Domestic!F81/Domestic!F$96</f>
        <v>0</v>
      </c>
      <c r="D80" s="15">
        <f>Domestic!G81/Domestic!G$96</f>
        <v>0</v>
      </c>
      <c r="E80" s="15">
        <f>Domestic!H81/Domestic!H$96</f>
        <v>7.4001539667328262E-7</v>
      </c>
      <c r="F80" s="15">
        <f>Domestic!I81/Domestic!I$96</f>
        <v>9.813391623596781E-6</v>
      </c>
      <c r="G80" s="15">
        <f>Domestic!J81/Domestic!J$96</f>
        <v>0</v>
      </c>
      <c r="H80" s="15">
        <f>Domestic!K81/Domestic!K$96</f>
        <v>1.0727675466077246E-5</v>
      </c>
      <c r="I80" s="15">
        <f>Domestic!L81/Domestic!L$96</f>
        <v>5.4925587043530038E-7</v>
      </c>
      <c r="J80" s="15">
        <f>Domestic!M81/Domestic!M$96</f>
        <v>0</v>
      </c>
      <c r="K80" s="15">
        <f>Domestic!N81/Domestic!N$96</f>
        <v>1.1094035035881166E-6</v>
      </c>
      <c r="L80" s="15">
        <f>Domestic!O81/Domestic!O$96</f>
        <v>1.6237889037957578E-5</v>
      </c>
      <c r="M80" s="15">
        <f>Domestic!P81/Domestic!P$96</f>
        <v>1.2172984780989908E-6</v>
      </c>
      <c r="N80" s="15">
        <f>Domestic!Q81/Domestic!Q$96</f>
        <v>3.0050253624818113E-4</v>
      </c>
      <c r="O80" s="15">
        <f>Domestic!R81/Domestic!R$96</f>
        <v>1.546056260453675E-4</v>
      </c>
      <c r="P80" s="15">
        <f>Domestic!S81/Domestic!S$96</f>
        <v>1.2256500139072704E-4</v>
      </c>
      <c r="Q80" s="15">
        <f>Domestic!T81/Domestic!T$96</f>
        <v>9.3058752517475243E-5</v>
      </c>
      <c r="R80" s="15">
        <f>Domestic!U81/Domestic!U$96</f>
        <v>1.338235691770077E-4</v>
      </c>
      <c r="S80" s="15">
        <f>Domestic!V81/Domestic!V$96</f>
        <v>5.6172036667472136E-5</v>
      </c>
      <c r="T80" s="15">
        <f>Domestic!W81/Domestic!W$96</f>
        <v>4.9256505254635545E-5</v>
      </c>
      <c r="U80" s="15">
        <f>Domestic!X81/Domestic!X$96</f>
        <v>1.2529865314778616E-4</v>
      </c>
      <c r="V80" s="15">
        <f>Domestic!Y81/Domestic!Y$96</f>
        <v>1.5240783124762224E-4</v>
      </c>
      <c r="W80" s="15">
        <f>Domestic!Z81/Domestic!Z$96</f>
        <v>4.255599895778932E-5</v>
      </c>
      <c r="X80" s="15">
        <f>Domestic!AA81/Domestic!AA$96</f>
        <v>2.173317727206604E-4</v>
      </c>
      <c r="Y80" s="15">
        <f>Domestic!AB81/Domestic!AB$96</f>
        <v>1.7228602395569508E-4</v>
      </c>
      <c r="Z80" s="15">
        <f>Domestic!AC81/Domestic!AC$96</f>
        <v>1.9448400343061842E-4</v>
      </c>
      <c r="AA80" s="15">
        <f>Domestic!AD81/Domestic!AD$96</f>
        <v>1.4488721102946448E-4</v>
      </c>
      <c r="AB80" s="15">
        <f>Domestic!AE81/Domestic!AE$96</f>
        <v>1.0162313205078356E-4</v>
      </c>
      <c r="AC80" s="15">
        <f>Domestic!AF81/Domestic!AF$96</f>
        <v>8.3660973309390721E-5</v>
      </c>
      <c r="AD80" s="15">
        <f>Domestic!AG81/Domestic!AG$96</f>
        <v>4.2105537036653819E-5</v>
      </c>
      <c r="AE80" s="15">
        <f>Domestic!AH81/Domestic!AH$96</f>
        <v>6.4117861584284599E-5</v>
      </c>
      <c r="AF80" s="15">
        <f>Domestic!AI81/Domestic!AI$96</f>
        <v>2.4598086203320363E-4</v>
      </c>
      <c r="AG80" s="15">
        <f>Domestic!AJ81/Domestic!AJ$96</f>
        <v>5.5469163912821345E-5</v>
      </c>
      <c r="AH80" s="15">
        <f>Domestic!AK81/Domestic!AK$96</f>
        <v>1.7499859095695905E-5</v>
      </c>
      <c r="AI80" s="15">
        <f>Domestic!AL81/Domestic!AL$96</f>
        <v>8.1794237939074351E-5</v>
      </c>
      <c r="AJ80" s="15">
        <f>Domestic!AM81/Domestic!AM$96</f>
        <v>2.0750387143999465E-4</v>
      </c>
      <c r="AK80" s="15">
        <f>Domestic!AN81/Domestic!AN$96</f>
        <v>4.6448154171223127E-4</v>
      </c>
      <c r="AL80" s="15">
        <f>Domestic!AO81/Domestic!AO$96</f>
        <v>4.5449807511485814E-4</v>
      </c>
      <c r="AM80" s="15">
        <f>Domestic!AP81/Domestic!AP$96</f>
        <v>1.3374554892198659E-4</v>
      </c>
      <c r="AN80" s="15">
        <f>Domestic!AQ81/Domestic!AQ$96</f>
        <v>3.1119057434566493E-5</v>
      </c>
      <c r="AO80" s="15">
        <f>Domestic!AR81/Domestic!AR$96</f>
        <v>2.9626040811160507E-4</v>
      </c>
      <c r="AP80" s="15">
        <f>Domestic!AS81/Domestic!AS$96</f>
        <v>1.670785243987077E-3</v>
      </c>
      <c r="AQ80" s="15">
        <f>Domestic!AT81/Domestic!AT$96</f>
        <v>1.3158791606956161E-4</v>
      </c>
      <c r="AR80" s="15">
        <f>Domestic!AU81/Domestic!AU$96</f>
        <v>4.231493016140831E-4</v>
      </c>
      <c r="AS80" s="15">
        <f>Domestic!AV81/Domestic!AV$96</f>
        <v>3.63041997915265E-4</v>
      </c>
      <c r="AT80" s="15">
        <f>Domestic!AW81/Domestic!AW$96</f>
        <v>3.0380902458236592E-4</v>
      </c>
      <c r="AU80" s="15">
        <f>Domestic!AX81/Domestic!AX$96</f>
        <v>5.3898686980711227E-4</v>
      </c>
      <c r="AV80" s="15">
        <f>Domestic!AY81/Domestic!AY$96</f>
        <v>3.2268775070024074E-4</v>
      </c>
      <c r="AW80" s="15">
        <f>Domestic!AZ81/Domestic!AZ$96</f>
        <v>2.8804219182754329E-4</v>
      </c>
      <c r="AX80" s="15">
        <f>Domestic!BA81/Domestic!BA$96</f>
        <v>5.953594563059499E-4</v>
      </c>
      <c r="AY80" s="15">
        <f>Domestic!BB81/Domestic!BB$96</f>
        <v>1.1686774329724456E-3</v>
      </c>
      <c r="AZ80" s="15">
        <f>Domestic!BC81/Domestic!BC$96</f>
        <v>3.7529660568121564E-4</v>
      </c>
      <c r="BA80" s="15">
        <f>Domestic!BD81/Domestic!BD$96</f>
        <v>8.9944870175111193E-4</v>
      </c>
      <c r="BB80" s="15">
        <f>Domestic!BE81/Domestic!BE$96</f>
        <v>4.0669994107672653E-4</v>
      </c>
      <c r="BC80" s="15">
        <f>Domestic!BF81/Domestic!BF$96</f>
        <v>4.8339731466016299E-4</v>
      </c>
      <c r="BD80" s="15">
        <f>Domestic!BG81/Domestic!BG$96</f>
        <v>3.6426179472250319E-4</v>
      </c>
      <c r="BE80" s="15">
        <f>Domestic!BH81/Domestic!BH$96</f>
        <v>2.3546409754920814E-4</v>
      </c>
      <c r="BF80" s="15">
        <f>Domestic!BI81/Domestic!BI$96</f>
        <v>3.379045289454641E-5</v>
      </c>
      <c r="BG80" s="15">
        <f>Domestic!BJ81/Domestic!BJ$96</f>
        <v>8.5834487870425013E-5</v>
      </c>
      <c r="BH80" s="15">
        <f>Domestic!BK81/Domestic!BK$96</f>
        <v>9.0448695768828025E-6</v>
      </c>
      <c r="BI80" s="15">
        <f>Domestic!BL81/Domestic!BL$96</f>
        <v>2.405218316487249E-4</v>
      </c>
      <c r="BJ80" s="15">
        <f>Domestic!BM81/Domestic!BM$96</f>
        <v>4.5802804504176032E-5</v>
      </c>
      <c r="BK80" s="15">
        <f>Domestic!BN81/Domestic!BN$96</f>
        <v>9.3682260428475662E-5</v>
      </c>
      <c r="BL80" s="15">
        <f>Domestic!BO81/Domestic!BO$96</f>
        <v>8.6053490693354094E-6</v>
      </c>
      <c r="BM80" s="15">
        <f>Domestic!BP81/Domestic!BP$96</f>
        <v>5.055543754946515E-4</v>
      </c>
      <c r="BN80" s="15">
        <f>Domestic!BQ81/Domestic!BQ$96</f>
        <v>2.4089510885657132E-3</v>
      </c>
      <c r="BO80" s="15">
        <f>Domestic!BR81/Domestic!BR$96</f>
        <v>1.1869590360818021E-3</v>
      </c>
      <c r="BP80" s="15">
        <f>Domestic!BS81/Domestic!BS$96</f>
        <v>1.2479034174295899E-3</v>
      </c>
      <c r="BQ80" s="15">
        <f>Domestic!BT81/Domestic!BT$96</f>
        <v>2.6905605568181939E-4</v>
      </c>
      <c r="BR80" s="15">
        <f>Domestic!BU81/Domestic!BU$96</f>
        <v>2.5379250754029712E-5</v>
      </c>
      <c r="BS80" s="15">
        <f>Domestic!BV81/Domestic!BV$96</f>
        <v>5.4757013601589E-4</v>
      </c>
      <c r="BT80" s="15">
        <f>Domestic!BW81/Domestic!BW$96</f>
        <v>3.1747283328949173E-4</v>
      </c>
      <c r="BU80" s="15">
        <f>Domestic!BX81/Domestic!BX$96</f>
        <v>7.0679855901660375E-4</v>
      </c>
      <c r="BV80" s="15">
        <f>Domestic!BY81/Domestic!BY$96</f>
        <v>5.9957445885330762E-5</v>
      </c>
      <c r="BW80" s="15">
        <f>Domestic!BZ81/Domestic!BZ$96</f>
        <v>3.1705678173234369E-5</v>
      </c>
      <c r="BX80" s="15">
        <f>Domestic!CA81/Domestic!CA$96</f>
        <v>1.777313401084051E-4</v>
      </c>
      <c r="BY80" s="15">
        <f>Domestic!CB81/Domestic!CB$96</f>
        <v>9.2145876388597791E-4</v>
      </c>
      <c r="BZ80" s="15">
        <f>Domestic!CC81/Domestic!CC$96</f>
        <v>0</v>
      </c>
      <c r="CA80" s="15">
        <f>Domestic!CD81/Domestic!CD$96</f>
        <v>1.4931705249845951E-3</v>
      </c>
    </row>
    <row r="81" spans="1:79" x14ac:dyDescent="0.3">
      <c r="A81" s="7" t="s">
        <v>169</v>
      </c>
      <c r="B81" s="15">
        <f>Domestic!E82/Domestic!E$96</f>
        <v>1.4644581127006369E-9</v>
      </c>
      <c r="C81" s="15">
        <f>Domestic!F82/Domestic!F$96</f>
        <v>3.0074523785930973E-5</v>
      </c>
      <c r="D81" s="15">
        <f>Domestic!G82/Domestic!G$96</f>
        <v>3.8213040824577481E-4</v>
      </c>
      <c r="E81" s="15">
        <f>Domestic!H82/Domestic!H$96</f>
        <v>6.6827743351342557E-4</v>
      </c>
      <c r="F81" s="15">
        <f>Domestic!I82/Domestic!I$96</f>
        <v>3.4548911098368674E-4</v>
      </c>
      <c r="G81" s="15">
        <f>Domestic!J82/Domestic!J$96</f>
        <v>4.5119572874660992E-9</v>
      </c>
      <c r="H81" s="15">
        <f>Domestic!K82/Domestic!K$96</f>
        <v>1.3302886685387568E-6</v>
      </c>
      <c r="I81" s="15">
        <f>Domestic!L82/Domestic!L$96</f>
        <v>0</v>
      </c>
      <c r="J81" s="15">
        <f>Domestic!M82/Domestic!M$96</f>
        <v>0</v>
      </c>
      <c r="K81" s="15">
        <f>Domestic!N82/Domestic!N$96</f>
        <v>1.0094184530275663E-7</v>
      </c>
      <c r="L81" s="15">
        <f>Domestic!O82/Domestic!O$96</f>
        <v>2.7141175683323629E-5</v>
      </c>
      <c r="M81" s="15">
        <f>Domestic!P82/Domestic!P$96</f>
        <v>3.0635891886820156E-5</v>
      </c>
      <c r="N81" s="15">
        <f>Domestic!Q82/Domestic!Q$96</f>
        <v>1.0873832241903789E-7</v>
      </c>
      <c r="O81" s="15">
        <f>Domestic!R82/Domestic!R$96</f>
        <v>1.3249510195769549E-6</v>
      </c>
      <c r="P81" s="15">
        <f>Domestic!S82/Domestic!S$96</f>
        <v>9.6768237509711625E-5</v>
      </c>
      <c r="Q81" s="15">
        <f>Domestic!T82/Domestic!T$96</f>
        <v>2.8666836544216558E-4</v>
      </c>
      <c r="R81" s="15">
        <f>Domestic!U82/Domestic!U$96</f>
        <v>3.4891817000150184E-4</v>
      </c>
      <c r="S81" s="15">
        <f>Domestic!V82/Domestic!V$96</f>
        <v>1.3169327446934401E-4</v>
      </c>
      <c r="T81" s="15">
        <f>Domestic!W82/Domestic!W$96</f>
        <v>4.1258043513082889E-4</v>
      </c>
      <c r="U81" s="15">
        <f>Domestic!X82/Domestic!X$96</f>
        <v>1.1899370880795136E-3</v>
      </c>
      <c r="V81" s="15">
        <f>Domestic!Y82/Domestic!Y$96</f>
        <v>1.2222199906331474E-3</v>
      </c>
      <c r="W81" s="15">
        <f>Domestic!Z82/Domestic!Z$96</f>
        <v>1.344207570898746E-4</v>
      </c>
      <c r="X81" s="15">
        <f>Domestic!AA82/Domestic!AA$96</f>
        <v>6.2084480091714452E-4</v>
      </c>
      <c r="Y81" s="15">
        <f>Domestic!AB82/Domestic!AB$96</f>
        <v>5.396590838554836E-4</v>
      </c>
      <c r="Z81" s="15">
        <f>Domestic!AC82/Domestic!AC$96</f>
        <v>6.0983890828929027E-4</v>
      </c>
      <c r="AA81" s="15">
        <f>Domestic!AD82/Domestic!AD$96</f>
        <v>1.365391333750925E-3</v>
      </c>
      <c r="AB81" s="15">
        <f>Domestic!AE82/Domestic!AE$96</f>
        <v>8.8869790657790794E-4</v>
      </c>
      <c r="AC81" s="15">
        <f>Domestic!AF82/Domestic!AF$96</f>
        <v>7.3370369092283635E-4</v>
      </c>
      <c r="AD81" s="15">
        <f>Domestic!AG82/Domestic!AG$96</f>
        <v>2.0000573506272855E-4</v>
      </c>
      <c r="AE81" s="15">
        <f>Domestic!AH82/Domestic!AH$96</f>
        <v>2.7437921105262649E-4</v>
      </c>
      <c r="AF81" s="15">
        <f>Domestic!AI82/Domestic!AI$96</f>
        <v>1.3215618749369158E-3</v>
      </c>
      <c r="AG81" s="15">
        <f>Domestic!AJ82/Domestic!AJ$96</f>
        <v>2.8365720320461198E-4</v>
      </c>
      <c r="AH81" s="15">
        <f>Domestic!AK82/Domestic!AK$96</f>
        <v>1.2153954320016782E-4</v>
      </c>
      <c r="AI81" s="15">
        <f>Domestic!AL82/Domestic!AL$96</f>
        <v>4.6643020887031864E-8</v>
      </c>
      <c r="AJ81" s="15">
        <f>Domestic!AM82/Domestic!AM$96</f>
        <v>3.5636584084461504E-7</v>
      </c>
      <c r="AK81" s="15">
        <f>Domestic!AN82/Domestic!AN$96</f>
        <v>0</v>
      </c>
      <c r="AL81" s="15">
        <f>Domestic!AO82/Domestic!AO$96</f>
        <v>0</v>
      </c>
      <c r="AM81" s="15">
        <f>Domestic!AP82/Domestic!AP$96</f>
        <v>0</v>
      </c>
      <c r="AN81" s="15">
        <f>Domestic!AQ82/Domestic!AQ$96</f>
        <v>0</v>
      </c>
      <c r="AO81" s="15">
        <f>Domestic!AR82/Domestic!AR$96</f>
        <v>8.0996017594385276E-7</v>
      </c>
      <c r="AP81" s="15">
        <f>Domestic!AS82/Domestic!AS$96</f>
        <v>0</v>
      </c>
      <c r="AQ81" s="15">
        <f>Domestic!AT82/Domestic!AT$96</f>
        <v>0</v>
      </c>
      <c r="AR81" s="15">
        <f>Domestic!AU82/Domestic!AU$96</f>
        <v>0</v>
      </c>
      <c r="AS81" s="15">
        <f>Domestic!AV82/Domestic!AV$96</f>
        <v>0</v>
      </c>
      <c r="AT81" s="15">
        <f>Domestic!AW82/Domestic!AW$96</f>
        <v>0</v>
      </c>
      <c r="AU81" s="15">
        <f>Domestic!AX82/Domestic!AX$96</f>
        <v>0</v>
      </c>
      <c r="AV81" s="15">
        <f>Domestic!AY82/Domestic!AY$96</f>
        <v>0</v>
      </c>
      <c r="AW81" s="15">
        <f>Domestic!AZ82/Domestic!AZ$96</f>
        <v>7.0831208338057183E-8</v>
      </c>
      <c r="AX81" s="15">
        <f>Domestic!BA82/Domestic!BA$96</f>
        <v>8.4152087869622301E-6</v>
      </c>
      <c r="AY81" s="15">
        <f>Domestic!BB82/Domestic!BB$96</f>
        <v>0</v>
      </c>
      <c r="AZ81" s="15">
        <f>Domestic!BC82/Domestic!BC$96</f>
        <v>0</v>
      </c>
      <c r="BA81" s="15">
        <f>Domestic!BD82/Domestic!BD$96</f>
        <v>0</v>
      </c>
      <c r="BB81" s="15">
        <f>Domestic!BE82/Domestic!BE$96</f>
        <v>0</v>
      </c>
      <c r="BC81" s="15">
        <f>Domestic!BF82/Domestic!BF$96</f>
        <v>1.1242324229700049E-3</v>
      </c>
      <c r="BD81" s="15">
        <f>Domestic!BG82/Domestic!BG$96</f>
        <v>1.2797489244635774E-2</v>
      </c>
      <c r="BE81" s="15">
        <f>Domestic!BH82/Domestic!BH$96</f>
        <v>0</v>
      </c>
      <c r="BF81" s="15">
        <f>Domestic!BI82/Domestic!BI$96</f>
        <v>4.0922693816924718E-8</v>
      </c>
      <c r="BG81" s="15">
        <f>Domestic!BJ82/Domestic!BJ$96</f>
        <v>0</v>
      </c>
      <c r="BH81" s="15">
        <f>Domestic!BK82/Domestic!BK$96</f>
        <v>0</v>
      </c>
      <c r="BI81" s="15">
        <f>Domestic!BL82/Domestic!BL$96</f>
        <v>2.3384944138327087E-7</v>
      </c>
      <c r="BJ81" s="15">
        <f>Domestic!BM82/Domestic!BM$96</f>
        <v>0</v>
      </c>
      <c r="BK81" s="15">
        <f>Domestic!BN82/Domestic!BN$96</f>
        <v>4.1711420633544374E-5</v>
      </c>
      <c r="BL81" s="15">
        <f>Domestic!BO82/Domestic!BO$96</f>
        <v>0</v>
      </c>
      <c r="BM81" s="15">
        <f>Domestic!BP82/Domestic!BP$96</f>
        <v>5.9555117289884495E-6</v>
      </c>
      <c r="BN81" s="15">
        <f>Domestic!BQ82/Domestic!BQ$96</f>
        <v>8.9449295035619552E-6</v>
      </c>
      <c r="BO81" s="15">
        <f>Domestic!BR82/Domestic!BR$96</f>
        <v>1.588148552808677E-5</v>
      </c>
      <c r="BP81" s="15">
        <f>Domestic!BS82/Domestic!BS$96</f>
        <v>2.1839401775106575E-7</v>
      </c>
      <c r="BQ81" s="15">
        <f>Domestic!BT82/Domestic!BT$96</f>
        <v>5.9502215073053998E-6</v>
      </c>
      <c r="BR81" s="15">
        <f>Domestic!BU82/Domestic!BU$96</f>
        <v>8.6500570665000078E-3</v>
      </c>
      <c r="BS81" s="15">
        <f>Domestic!BV82/Domestic!BV$96</f>
        <v>0</v>
      </c>
      <c r="BT81" s="15">
        <f>Domestic!BW82/Domestic!BW$96</f>
        <v>1.1020927087399908E-7</v>
      </c>
      <c r="BU81" s="15">
        <f>Domestic!BX82/Domestic!BX$96</f>
        <v>5.850357568299825E-4</v>
      </c>
      <c r="BV81" s="15">
        <f>Domestic!BY82/Domestic!BY$96</f>
        <v>7.0161345986395698E-7</v>
      </c>
      <c r="BW81" s="15">
        <f>Domestic!BZ82/Domestic!BZ$96</f>
        <v>3.9577798907066804E-7</v>
      </c>
      <c r="BX81" s="15">
        <f>Domestic!CA82/Domestic!CA$96</f>
        <v>7.4487444574951155E-6</v>
      </c>
      <c r="BY81" s="15">
        <f>Domestic!CB82/Domestic!CB$96</f>
        <v>4.2506067114573951E-5</v>
      </c>
      <c r="BZ81" s="15">
        <f>Domestic!CC82/Domestic!CC$96</f>
        <v>0</v>
      </c>
      <c r="CA81" s="15">
        <f>Domestic!CD82/Domestic!CD$96</f>
        <v>1.0949973336929783E-7</v>
      </c>
    </row>
    <row r="82" spans="1:79" x14ac:dyDescent="0.3">
      <c r="A82" s="8" t="s">
        <v>170</v>
      </c>
      <c r="B82" s="15">
        <f>Domestic!E83/Domestic!E$96</f>
        <v>0</v>
      </c>
      <c r="C82" s="15">
        <f>Domestic!F83/Domestic!F$96</f>
        <v>0</v>
      </c>
      <c r="D82" s="15">
        <f>Domestic!G83/Domestic!G$96</f>
        <v>0</v>
      </c>
      <c r="E82" s="15">
        <f>Domestic!H83/Domestic!H$96</f>
        <v>0</v>
      </c>
      <c r="F82" s="15">
        <f>Domestic!I83/Domestic!I$96</f>
        <v>0</v>
      </c>
      <c r="G82" s="15">
        <f>Domestic!J83/Domestic!J$96</f>
        <v>0</v>
      </c>
      <c r="H82" s="15">
        <f>Domestic!K83/Domestic!K$96</f>
        <v>0</v>
      </c>
      <c r="I82" s="15">
        <f>Domestic!L83/Domestic!L$96</f>
        <v>0</v>
      </c>
      <c r="J82" s="15">
        <f>Domestic!M83/Domestic!M$96</f>
        <v>0</v>
      </c>
      <c r="K82" s="15">
        <f>Domestic!N83/Domestic!N$96</f>
        <v>0</v>
      </c>
      <c r="L82" s="15">
        <f>Domestic!O83/Domestic!O$96</f>
        <v>0</v>
      </c>
      <c r="M82" s="15">
        <f>Domestic!P83/Domestic!P$96</f>
        <v>0</v>
      </c>
      <c r="N82" s="15">
        <f>Domestic!Q83/Domestic!Q$96</f>
        <v>0</v>
      </c>
      <c r="O82" s="15">
        <f>Domestic!R83/Domestic!R$96</f>
        <v>0</v>
      </c>
      <c r="P82" s="15">
        <f>Domestic!S83/Domestic!S$96</f>
        <v>0</v>
      </c>
      <c r="Q82" s="15">
        <f>Domestic!T83/Domestic!T$96</f>
        <v>0</v>
      </c>
      <c r="R82" s="15">
        <f>Domestic!U83/Domestic!U$96</f>
        <v>0</v>
      </c>
      <c r="S82" s="15">
        <f>Domestic!V83/Domestic!V$96</f>
        <v>0</v>
      </c>
      <c r="T82" s="15">
        <f>Domestic!W83/Domestic!W$96</f>
        <v>0</v>
      </c>
      <c r="U82" s="15">
        <f>Domestic!X83/Domestic!X$96</f>
        <v>0</v>
      </c>
      <c r="V82" s="15">
        <f>Domestic!Y83/Domestic!Y$96</f>
        <v>0</v>
      </c>
      <c r="W82" s="15">
        <f>Domestic!Z83/Domestic!Z$96</f>
        <v>0</v>
      </c>
      <c r="X82" s="15">
        <f>Domestic!AA83/Domestic!AA$96</f>
        <v>0</v>
      </c>
      <c r="Y82" s="15">
        <f>Domestic!AB83/Domestic!AB$96</f>
        <v>0</v>
      </c>
      <c r="Z82" s="15">
        <f>Domestic!AC83/Domestic!AC$96</f>
        <v>0</v>
      </c>
      <c r="AA82" s="15">
        <f>Domestic!AD83/Domestic!AD$96</f>
        <v>0</v>
      </c>
      <c r="AB82" s="15">
        <f>Domestic!AE83/Domestic!AE$96</f>
        <v>0</v>
      </c>
      <c r="AC82" s="15">
        <f>Domestic!AF83/Domestic!AF$96</f>
        <v>0</v>
      </c>
      <c r="AD82" s="15">
        <f>Domestic!AG83/Domestic!AG$96</f>
        <v>0</v>
      </c>
      <c r="AE82" s="15">
        <f>Domestic!AH83/Domestic!AH$96</f>
        <v>0</v>
      </c>
      <c r="AF82" s="15">
        <f>Domestic!AI83/Domestic!AI$96</f>
        <v>0</v>
      </c>
      <c r="AG82" s="15">
        <f>Domestic!AJ83/Domestic!AJ$96</f>
        <v>0</v>
      </c>
      <c r="AH82" s="15">
        <f>Domestic!AK83/Domestic!AK$96</f>
        <v>0</v>
      </c>
      <c r="AI82" s="15">
        <f>Domestic!AL83/Domestic!AL$96</f>
        <v>0</v>
      </c>
      <c r="AJ82" s="15">
        <f>Domestic!AM83/Domestic!AM$96</f>
        <v>0</v>
      </c>
      <c r="AK82" s="15">
        <f>Domestic!AN83/Domestic!AN$96</f>
        <v>0</v>
      </c>
      <c r="AL82" s="15">
        <f>Domestic!AO83/Domestic!AO$96</f>
        <v>0</v>
      </c>
      <c r="AM82" s="15">
        <f>Domestic!AP83/Domestic!AP$96</f>
        <v>0</v>
      </c>
      <c r="AN82" s="15">
        <f>Domestic!AQ83/Domestic!AQ$96</f>
        <v>0</v>
      </c>
      <c r="AO82" s="15">
        <f>Domestic!AR83/Domestic!AR$96</f>
        <v>0</v>
      </c>
      <c r="AP82" s="15">
        <f>Domestic!AS83/Domestic!AS$96</f>
        <v>0</v>
      </c>
      <c r="AQ82" s="15">
        <f>Domestic!AT83/Domestic!AT$96</f>
        <v>0</v>
      </c>
      <c r="AR82" s="15">
        <f>Domestic!AU83/Domestic!AU$96</f>
        <v>0</v>
      </c>
      <c r="AS82" s="15">
        <f>Domestic!AV83/Domestic!AV$96</f>
        <v>0</v>
      </c>
      <c r="AT82" s="15">
        <f>Domestic!AW83/Domestic!AW$96</f>
        <v>0</v>
      </c>
      <c r="AU82" s="15">
        <f>Domestic!AX83/Domestic!AX$96</f>
        <v>0</v>
      </c>
      <c r="AV82" s="15">
        <f>Domestic!AY83/Domestic!AY$96</f>
        <v>0</v>
      </c>
      <c r="AW82" s="15">
        <f>Domestic!AZ83/Domestic!AZ$96</f>
        <v>0</v>
      </c>
      <c r="AX82" s="15">
        <f>Domestic!BA83/Domestic!BA$96</f>
        <v>0</v>
      </c>
      <c r="AY82" s="15">
        <f>Domestic!BB83/Domestic!BB$96</f>
        <v>0</v>
      </c>
      <c r="AZ82" s="15">
        <f>Domestic!BC83/Domestic!BC$96</f>
        <v>0</v>
      </c>
      <c r="BA82" s="15">
        <f>Domestic!BD83/Domestic!BD$96</f>
        <v>0</v>
      </c>
      <c r="BB82" s="15">
        <f>Domestic!BE83/Domestic!BE$96</f>
        <v>0</v>
      </c>
      <c r="BC82" s="15">
        <f>Domestic!BF83/Domestic!BF$96</f>
        <v>0</v>
      </c>
      <c r="BD82" s="15">
        <f>Domestic!BG83/Domestic!BG$96</f>
        <v>0</v>
      </c>
      <c r="BE82" s="15">
        <f>Domestic!BH83/Domestic!BH$96</f>
        <v>0</v>
      </c>
      <c r="BF82" s="15">
        <f>Domestic!BI83/Domestic!BI$96</f>
        <v>0</v>
      </c>
      <c r="BG82" s="15">
        <f>Domestic!BJ83/Domestic!BJ$96</f>
        <v>0</v>
      </c>
      <c r="BH82" s="15">
        <f>Domestic!BK83/Domestic!BK$96</f>
        <v>0</v>
      </c>
      <c r="BI82" s="15">
        <f>Domestic!BL83/Domestic!BL$96</f>
        <v>0</v>
      </c>
      <c r="BJ82" s="15">
        <f>Domestic!BM83/Domestic!BM$96</f>
        <v>0</v>
      </c>
      <c r="BK82" s="15">
        <f>Domestic!BN83/Domestic!BN$96</f>
        <v>0</v>
      </c>
      <c r="BL82" s="15">
        <f>Domestic!BO83/Domestic!BO$96</f>
        <v>0</v>
      </c>
      <c r="BM82" s="15">
        <f>Domestic!BP83/Domestic!BP$96</f>
        <v>0</v>
      </c>
      <c r="BN82" s="15">
        <f>Domestic!BQ83/Domestic!BQ$96</f>
        <v>0</v>
      </c>
      <c r="BO82" s="15">
        <f>Domestic!BR83/Domestic!BR$96</f>
        <v>0</v>
      </c>
      <c r="BP82" s="15">
        <f>Domestic!BS83/Domestic!BS$96</f>
        <v>0</v>
      </c>
      <c r="BQ82" s="15">
        <f>Domestic!BT83/Domestic!BT$96</f>
        <v>0</v>
      </c>
      <c r="BR82" s="15">
        <f>Domestic!BU83/Domestic!BU$96</f>
        <v>0</v>
      </c>
      <c r="BS82" s="15">
        <f>Domestic!BV83/Domestic!BV$96</f>
        <v>0</v>
      </c>
      <c r="BT82" s="15">
        <f>Domestic!BW83/Domestic!BW$96</f>
        <v>0</v>
      </c>
      <c r="BU82" s="15">
        <f>Domestic!BX83/Domestic!BX$96</f>
        <v>0</v>
      </c>
      <c r="BV82" s="15">
        <f>Domestic!BY83/Domestic!BY$96</f>
        <v>0</v>
      </c>
      <c r="BW82" s="15">
        <f>Domestic!BZ83/Domestic!BZ$96</f>
        <v>0</v>
      </c>
      <c r="BX82" s="15">
        <f>Domestic!CA83/Domestic!CA$96</f>
        <v>0</v>
      </c>
      <c r="BY82" s="15">
        <f>Domestic!CB83/Domestic!CB$96</f>
        <v>0</v>
      </c>
      <c r="BZ82" s="15">
        <f>Domestic!CC83/Domestic!CC$96</f>
        <v>0</v>
      </c>
      <c r="CA82" s="15">
        <f>Domestic!CD83/Domestic!CD$96</f>
        <v>0</v>
      </c>
    </row>
    <row r="83" spans="1:79" x14ac:dyDescent="0.3">
      <c r="A83" s="7" t="s">
        <v>171</v>
      </c>
      <c r="B83" s="15">
        <f>Domestic!E84/Domestic!E$96</f>
        <v>0</v>
      </c>
      <c r="C83" s="15">
        <f>Domestic!F84/Domestic!F$96</f>
        <v>0</v>
      </c>
      <c r="D83" s="15">
        <f>Domestic!G84/Domestic!G$96</f>
        <v>0</v>
      </c>
      <c r="E83" s="15">
        <f>Domestic!H84/Domestic!H$96</f>
        <v>0</v>
      </c>
      <c r="F83" s="15">
        <f>Domestic!I84/Domestic!I$96</f>
        <v>0</v>
      </c>
      <c r="G83" s="15">
        <f>Domestic!J84/Domestic!J$96</f>
        <v>0</v>
      </c>
      <c r="H83" s="15">
        <f>Domestic!K84/Domestic!K$96</f>
        <v>0</v>
      </c>
      <c r="I83" s="15">
        <f>Domestic!L84/Domestic!L$96</f>
        <v>0</v>
      </c>
      <c r="J83" s="15">
        <f>Domestic!M84/Domestic!M$96</f>
        <v>0</v>
      </c>
      <c r="K83" s="15">
        <f>Domestic!N84/Domestic!N$96</f>
        <v>0</v>
      </c>
      <c r="L83" s="15">
        <f>Domestic!O84/Domestic!O$96</f>
        <v>0</v>
      </c>
      <c r="M83" s="15">
        <f>Domestic!P84/Domestic!P$96</f>
        <v>0</v>
      </c>
      <c r="N83" s="15">
        <f>Domestic!Q84/Domestic!Q$96</f>
        <v>0</v>
      </c>
      <c r="O83" s="15">
        <f>Domestic!R84/Domestic!R$96</f>
        <v>0</v>
      </c>
      <c r="P83" s="15">
        <f>Domestic!S84/Domestic!S$96</f>
        <v>0</v>
      </c>
      <c r="Q83" s="15">
        <f>Domestic!T84/Domestic!T$96</f>
        <v>0</v>
      </c>
      <c r="R83" s="15">
        <f>Domestic!U84/Domestic!U$96</f>
        <v>0</v>
      </c>
      <c r="S83" s="15">
        <f>Domestic!V84/Domestic!V$96</f>
        <v>0</v>
      </c>
      <c r="T83" s="15">
        <f>Domestic!W84/Domestic!W$96</f>
        <v>0</v>
      </c>
      <c r="U83" s="15">
        <f>Domestic!X84/Domestic!X$96</f>
        <v>0</v>
      </c>
      <c r="V83" s="15">
        <f>Domestic!Y84/Domestic!Y$96</f>
        <v>0</v>
      </c>
      <c r="W83" s="15">
        <f>Domestic!Z84/Domestic!Z$96</f>
        <v>0</v>
      </c>
      <c r="X83" s="15">
        <f>Domestic!AA84/Domestic!AA$96</f>
        <v>0</v>
      </c>
      <c r="Y83" s="15">
        <f>Domestic!AB84/Domestic!AB$96</f>
        <v>0</v>
      </c>
      <c r="Z83" s="15">
        <f>Domestic!AC84/Domestic!AC$96</f>
        <v>0</v>
      </c>
      <c r="AA83" s="15">
        <f>Domestic!AD84/Domestic!AD$96</f>
        <v>0</v>
      </c>
      <c r="AB83" s="15">
        <f>Domestic!AE84/Domestic!AE$96</f>
        <v>0</v>
      </c>
      <c r="AC83" s="15">
        <f>Domestic!AF84/Domestic!AF$96</f>
        <v>0</v>
      </c>
      <c r="AD83" s="15">
        <f>Domestic!AG84/Domestic!AG$96</f>
        <v>0</v>
      </c>
      <c r="AE83" s="15">
        <f>Domestic!AH84/Domestic!AH$96</f>
        <v>0</v>
      </c>
      <c r="AF83" s="15">
        <f>Domestic!AI84/Domestic!AI$96</f>
        <v>0</v>
      </c>
      <c r="AG83" s="15">
        <f>Domestic!AJ84/Domestic!AJ$96</f>
        <v>0</v>
      </c>
      <c r="AH83" s="15">
        <f>Domestic!AK84/Domestic!AK$96</f>
        <v>0</v>
      </c>
      <c r="AI83" s="15">
        <f>Domestic!AL84/Domestic!AL$96</f>
        <v>0</v>
      </c>
      <c r="AJ83" s="15">
        <f>Domestic!AM84/Domestic!AM$96</f>
        <v>0</v>
      </c>
      <c r="AK83" s="15">
        <f>Domestic!AN84/Domestic!AN$96</f>
        <v>0</v>
      </c>
      <c r="AL83" s="15">
        <f>Domestic!AO84/Domestic!AO$96</f>
        <v>0</v>
      </c>
      <c r="AM83" s="15">
        <f>Domestic!AP84/Domestic!AP$96</f>
        <v>0</v>
      </c>
      <c r="AN83" s="15">
        <f>Domestic!AQ84/Domestic!AQ$96</f>
        <v>0</v>
      </c>
      <c r="AO83" s="15">
        <f>Domestic!AR84/Domestic!AR$96</f>
        <v>0</v>
      </c>
      <c r="AP83" s="15">
        <f>Domestic!AS84/Domestic!AS$96</f>
        <v>0</v>
      </c>
      <c r="AQ83" s="15">
        <f>Domestic!AT84/Domestic!AT$96</f>
        <v>0</v>
      </c>
      <c r="AR83" s="15">
        <f>Domestic!AU84/Domestic!AU$96</f>
        <v>0</v>
      </c>
      <c r="AS83" s="15">
        <f>Domestic!AV84/Domestic!AV$96</f>
        <v>0</v>
      </c>
      <c r="AT83" s="15">
        <f>Domestic!AW84/Domestic!AW$96</f>
        <v>0</v>
      </c>
      <c r="AU83" s="15">
        <f>Domestic!AX84/Domestic!AX$96</f>
        <v>0</v>
      </c>
      <c r="AV83" s="15">
        <f>Domestic!AY84/Domestic!AY$96</f>
        <v>0</v>
      </c>
      <c r="AW83" s="15">
        <f>Domestic!AZ84/Domestic!AZ$96</f>
        <v>0</v>
      </c>
      <c r="AX83" s="15">
        <f>Domestic!BA84/Domestic!BA$96</f>
        <v>0</v>
      </c>
      <c r="AY83" s="15">
        <f>Domestic!BB84/Domestic!BB$96</f>
        <v>0</v>
      </c>
      <c r="AZ83" s="15">
        <f>Domestic!BC84/Domestic!BC$96</f>
        <v>0</v>
      </c>
      <c r="BA83" s="15">
        <f>Domestic!BD84/Domestic!BD$96</f>
        <v>0</v>
      </c>
      <c r="BB83" s="15">
        <f>Domestic!BE84/Domestic!BE$96</f>
        <v>0</v>
      </c>
      <c r="BC83" s="15">
        <f>Domestic!BF84/Domestic!BF$96</f>
        <v>4.3932740708232785E-5</v>
      </c>
      <c r="BD83" s="15">
        <f>Domestic!BG84/Domestic!BG$96</f>
        <v>5.6370166153571738E-4</v>
      </c>
      <c r="BE83" s="15">
        <f>Domestic!BH84/Domestic!BH$96</f>
        <v>1.2465565189967802E-3</v>
      </c>
      <c r="BF83" s="15">
        <f>Domestic!BI84/Domestic!BI$96</f>
        <v>0</v>
      </c>
      <c r="BG83" s="15">
        <f>Domestic!BJ84/Domestic!BJ$96</f>
        <v>0</v>
      </c>
      <c r="BH83" s="15">
        <f>Domestic!BK84/Domestic!BK$96</f>
        <v>0</v>
      </c>
      <c r="BI83" s="15">
        <f>Domestic!BL84/Domestic!BL$96</f>
        <v>0</v>
      </c>
      <c r="BJ83" s="15">
        <f>Domestic!BM84/Domestic!BM$96</f>
        <v>0</v>
      </c>
      <c r="BK83" s="15">
        <f>Domestic!BN84/Domestic!BN$96</f>
        <v>0</v>
      </c>
      <c r="BL83" s="15">
        <f>Domestic!BO84/Domestic!BO$96</f>
        <v>0</v>
      </c>
      <c r="BM83" s="15">
        <f>Domestic!BP84/Domestic!BP$96</f>
        <v>0</v>
      </c>
      <c r="BN83" s="15">
        <f>Domestic!BQ84/Domestic!BQ$96</f>
        <v>0</v>
      </c>
      <c r="BO83" s="15">
        <f>Domestic!BR84/Domestic!BR$96</f>
        <v>0</v>
      </c>
      <c r="BP83" s="15">
        <f>Domestic!BS84/Domestic!BS$96</f>
        <v>0</v>
      </c>
      <c r="BQ83" s="15">
        <f>Domestic!BT84/Domestic!BT$96</f>
        <v>0</v>
      </c>
      <c r="BR83" s="15">
        <f>Domestic!BU84/Domestic!BU$96</f>
        <v>0</v>
      </c>
      <c r="BS83" s="15">
        <f>Domestic!BV84/Domestic!BV$96</f>
        <v>0</v>
      </c>
      <c r="BT83" s="15">
        <f>Domestic!BW84/Domestic!BW$96</f>
        <v>0</v>
      </c>
      <c r="BU83" s="15">
        <f>Domestic!BX84/Domestic!BX$96</f>
        <v>0</v>
      </c>
      <c r="BV83" s="15">
        <f>Domestic!BY84/Domestic!BY$96</f>
        <v>0</v>
      </c>
      <c r="BW83" s="15">
        <f>Domestic!BZ84/Domestic!BZ$96</f>
        <v>0</v>
      </c>
      <c r="BX83" s="15">
        <f>Domestic!CA84/Domestic!CA$96</f>
        <v>0</v>
      </c>
      <c r="BY83" s="15">
        <f>Domestic!CB84/Domestic!CB$96</f>
        <v>0</v>
      </c>
      <c r="BZ83" s="15">
        <f>Domestic!CC84/Domestic!CC$96</f>
        <v>0</v>
      </c>
      <c r="CA83" s="15">
        <f>Domestic!CD84/Domestic!CD$96</f>
        <v>0</v>
      </c>
    </row>
    <row r="84" spans="1:79" x14ac:dyDescent="0.3">
      <c r="A84" s="8" t="s">
        <v>216</v>
      </c>
      <c r="B84" s="15">
        <v>0.15990869332122801</v>
      </c>
      <c r="C84" s="15">
        <v>0.48692347959346</v>
      </c>
      <c r="D84" s="15">
        <v>0.17128853326062601</v>
      </c>
      <c r="E84" s="15">
        <v>0.469301048928294</v>
      </c>
      <c r="F84" s="15">
        <v>0.32629488664570599</v>
      </c>
      <c r="G84" s="15">
        <v>0.212440985643161</v>
      </c>
      <c r="H84" s="15">
        <v>0.27409874537392998</v>
      </c>
      <c r="I84" s="15">
        <v>0.43085586874045401</v>
      </c>
      <c r="J84" s="15">
        <v>0.207787769384881</v>
      </c>
      <c r="K84" s="15">
        <v>0.41286245627322399</v>
      </c>
      <c r="L84" s="15">
        <v>0.55190894874588103</v>
      </c>
      <c r="M84" s="15">
        <v>0.29914716035813099</v>
      </c>
      <c r="N84" s="15">
        <v>0.495517487662958</v>
      </c>
      <c r="O84" s="15">
        <v>0.35462655510093599</v>
      </c>
      <c r="P84" s="15">
        <v>0.47845235696618299</v>
      </c>
      <c r="Q84" s="15">
        <v>0.46869856583277097</v>
      </c>
      <c r="R84" s="15">
        <v>0.339554827933229</v>
      </c>
      <c r="S84" s="15">
        <v>0.423194996120901</v>
      </c>
      <c r="T84" s="15">
        <v>0.44083545328100798</v>
      </c>
      <c r="U84" s="15">
        <v>0.39552550114054502</v>
      </c>
      <c r="V84" s="15">
        <v>0.45759829591977202</v>
      </c>
      <c r="W84" s="15">
        <v>0.41083611329050601</v>
      </c>
      <c r="X84" s="15">
        <v>0.39294854458831302</v>
      </c>
      <c r="Y84" s="15">
        <v>0.35353193336428201</v>
      </c>
      <c r="Z84" s="15">
        <v>0.46461329003308699</v>
      </c>
      <c r="AA84" s="15">
        <v>0.47683714852907799</v>
      </c>
      <c r="AB84" s="15">
        <v>0.33496909121159302</v>
      </c>
      <c r="AC84" s="15">
        <v>0.24564226023706301</v>
      </c>
      <c r="AD84" s="15">
        <v>0.14731724041804301</v>
      </c>
      <c r="AE84" s="15">
        <v>0.25691241889699001</v>
      </c>
      <c r="AF84" s="15">
        <v>0.305865768167769</v>
      </c>
      <c r="AG84" s="15">
        <v>0.35354491506674701</v>
      </c>
      <c r="AH84" s="15">
        <v>0.147790099420087</v>
      </c>
      <c r="AI84" s="15">
        <v>0.166538091724553</v>
      </c>
      <c r="AJ84" s="15">
        <v>0.16062985383011799</v>
      </c>
      <c r="AK84" s="15">
        <v>0.431115023155557</v>
      </c>
      <c r="AL84" s="15">
        <v>0.322467673721758</v>
      </c>
      <c r="AM84" s="15">
        <v>0.30000819841228399</v>
      </c>
      <c r="AN84" s="15">
        <v>0.18801291183360899</v>
      </c>
      <c r="AO84" s="15">
        <v>0.27313314924094301</v>
      </c>
      <c r="AP84" s="15">
        <v>0.405637304877489</v>
      </c>
      <c r="AQ84" s="15">
        <v>0.365304529239597</v>
      </c>
      <c r="AR84" s="15">
        <v>0.21474671644288301</v>
      </c>
      <c r="AS84" s="15">
        <v>0.16331111453689201</v>
      </c>
      <c r="AT84" s="15">
        <v>0.41141490017705001</v>
      </c>
      <c r="AU84" s="15">
        <v>0.36859830970366197</v>
      </c>
      <c r="AV84" s="15">
        <v>0.33102082511895897</v>
      </c>
      <c r="AW84" s="15">
        <v>0.431112052945818</v>
      </c>
      <c r="AX84" s="15">
        <v>0.40511175121179499</v>
      </c>
      <c r="AY84" s="15">
        <v>0.30556402391526999</v>
      </c>
      <c r="AZ84" s="15">
        <v>0.35706265382354602</v>
      </c>
      <c r="BA84" s="15">
        <v>0.401174360291981</v>
      </c>
      <c r="BB84" s="15">
        <v>0.115078859313301</v>
      </c>
      <c r="BC84" s="15">
        <v>0.25860076943978799</v>
      </c>
      <c r="BD84" s="15">
        <v>0.37129537046942102</v>
      </c>
      <c r="BE84" s="15">
        <v>0.47862570142079103</v>
      </c>
      <c r="BF84" s="15">
        <v>6.4724441500880595E-2</v>
      </c>
      <c r="BG84" s="15">
        <v>0.29136573221678902</v>
      </c>
      <c r="BH84" s="15">
        <v>5.9264907040652501E-3</v>
      </c>
      <c r="BI84" s="15">
        <v>0.18489233026354501</v>
      </c>
      <c r="BJ84" s="15">
        <v>0.36450450967227699</v>
      </c>
      <c r="BK84" s="15">
        <v>0.179803955905042</v>
      </c>
      <c r="BL84" s="15">
        <v>0.31798505438619701</v>
      </c>
      <c r="BM84" s="15">
        <v>0.103763954043069</v>
      </c>
      <c r="BN84" s="15">
        <v>0.24427325430833199</v>
      </c>
      <c r="BO84" s="15">
        <v>0.30386662469502002</v>
      </c>
      <c r="BP84" s="15">
        <v>0.35571821056677599</v>
      </c>
      <c r="BQ84" s="15">
        <v>0.45271167500620701</v>
      </c>
      <c r="BR84" s="15">
        <v>0.165862434423412</v>
      </c>
      <c r="BS84" s="15">
        <v>0.32852026326221201</v>
      </c>
      <c r="BT84" s="15">
        <v>0.31277495271896999</v>
      </c>
      <c r="BU84" s="15">
        <v>0.30290428980852302</v>
      </c>
      <c r="BV84" s="15">
        <v>0.30194996816915098</v>
      </c>
      <c r="BW84" s="15">
        <v>0.32561341497795598</v>
      </c>
      <c r="BX84" s="15">
        <v>0.15595301530748801</v>
      </c>
      <c r="BY84" s="15">
        <v>0.27529394126133799</v>
      </c>
      <c r="BZ84" s="15">
        <v>0</v>
      </c>
      <c r="CA84" s="15">
        <v>0.27837780139073598</v>
      </c>
    </row>
    <row r="85" spans="1:79" x14ac:dyDescent="0.3">
      <c r="A85" s="7" t="s">
        <v>217</v>
      </c>
      <c r="B85" s="16">
        <v>8.1997792200522807E-2</v>
      </c>
      <c r="C85" s="16">
        <v>2.2954107306030001E-2</v>
      </c>
      <c r="D85" s="16">
        <v>3.9642526299650101E-2</v>
      </c>
      <c r="E85" s="16">
        <v>0.103524062144752</v>
      </c>
      <c r="F85" s="16">
        <v>0.10174120354513599</v>
      </c>
      <c r="G85" s="16">
        <v>8.3317954420918106E-2</v>
      </c>
      <c r="H85" s="16">
        <v>8.7176455685152393E-2</v>
      </c>
      <c r="I85" s="16">
        <v>0.15241998834439799</v>
      </c>
      <c r="J85" s="16">
        <v>0.14061773274492301</v>
      </c>
      <c r="K85" s="16">
        <v>7.6253362960099796E-2</v>
      </c>
      <c r="L85" s="16">
        <v>6.5101467103130695E-2</v>
      </c>
      <c r="M85" s="16">
        <v>0.10319244597456299</v>
      </c>
      <c r="N85" s="16">
        <v>0.120474811321759</v>
      </c>
      <c r="O85" s="16">
        <v>0.124754757490854</v>
      </c>
      <c r="P85" s="16">
        <v>0.19050160926550899</v>
      </c>
      <c r="Q85" s="16">
        <v>0.16253014832680501</v>
      </c>
      <c r="R85" s="16">
        <v>0.24776666853259999</v>
      </c>
      <c r="S85" s="16">
        <v>0.20167776804329601</v>
      </c>
      <c r="T85" s="16">
        <v>0.124065361161298</v>
      </c>
      <c r="U85" s="16">
        <v>0.25030058172812703</v>
      </c>
      <c r="V85" s="16">
        <v>0.25056647336254001</v>
      </c>
      <c r="W85" s="16">
        <v>0.35029193694481903</v>
      </c>
      <c r="X85" s="16">
        <v>0.27888251339088499</v>
      </c>
      <c r="Y85" s="16">
        <v>0.36746540881404899</v>
      </c>
      <c r="Z85" s="16">
        <v>0.135037202183836</v>
      </c>
      <c r="AA85" s="16">
        <v>0.22841746834465701</v>
      </c>
      <c r="AB85" s="16">
        <v>0.32966419642964301</v>
      </c>
      <c r="AC85" s="16">
        <v>0.40593363676946598</v>
      </c>
      <c r="AD85" s="16">
        <v>0.63873380467319196</v>
      </c>
      <c r="AE85" s="16">
        <v>0.44924290679643297</v>
      </c>
      <c r="AF85" s="16">
        <v>0.405841062602526</v>
      </c>
      <c r="AG85" s="16">
        <v>0.242306647972411</v>
      </c>
      <c r="AH85" s="16">
        <v>0.55848425228507104</v>
      </c>
      <c r="AI85" s="16">
        <v>4.4651708708006298E-2</v>
      </c>
      <c r="AJ85" s="16">
        <v>6.0823089678256698E-2</v>
      </c>
      <c r="AK85" s="16">
        <v>0.248620974257204</v>
      </c>
      <c r="AL85" s="16">
        <v>0.10634760797102601</v>
      </c>
      <c r="AM85" s="16">
        <v>9.2945686421250506E-2</v>
      </c>
      <c r="AN85" s="16">
        <v>0.115653963334268</v>
      </c>
      <c r="AO85" s="16">
        <v>9.5773794453629504E-2</v>
      </c>
      <c r="AP85" s="16">
        <v>9.4667773733254398E-2</v>
      </c>
      <c r="AQ85" s="16">
        <v>0.110436033754875</v>
      </c>
      <c r="AR85" s="16">
        <v>0.123206928957524</v>
      </c>
      <c r="AS85" s="16">
        <v>3.7903585601239798E-2</v>
      </c>
      <c r="AT85" s="16">
        <v>0.108816610177334</v>
      </c>
      <c r="AU85" s="16">
        <v>0.17026753153676299</v>
      </c>
      <c r="AV85" s="16">
        <v>0.16295774562797999</v>
      </c>
      <c r="AW85" s="16">
        <v>4.2603073538958001E-2</v>
      </c>
      <c r="AX85" s="16">
        <v>0.13416570570945799</v>
      </c>
      <c r="AY85" s="16">
        <v>0.109260537487087</v>
      </c>
      <c r="AZ85" s="16">
        <v>2.4490553043639899E-2</v>
      </c>
      <c r="BA85" s="16">
        <v>6.0466828283853899E-2</v>
      </c>
      <c r="BB85" s="16">
        <v>3.30886472808525E-3</v>
      </c>
      <c r="BC85" s="16">
        <v>2.00085408386825E-2</v>
      </c>
      <c r="BD85" s="16">
        <v>1.6023705127063401E-2</v>
      </c>
      <c r="BE85" s="16">
        <v>0.10382196807574801</v>
      </c>
      <c r="BF85" s="16">
        <v>1.83757676874758E-2</v>
      </c>
      <c r="BG85" s="16">
        <v>0.19748079334777999</v>
      </c>
      <c r="BH85" s="16">
        <v>1.9844683980961698E-3</v>
      </c>
      <c r="BI85" s="16">
        <v>6.8223449395434094E-2</v>
      </c>
      <c r="BJ85" s="16">
        <v>3.6500194562510503E-2</v>
      </c>
      <c r="BK85" s="16">
        <v>4.3804844713684399E-2</v>
      </c>
      <c r="BL85" s="16">
        <v>0.102032958956318</v>
      </c>
      <c r="BM85" s="16">
        <v>2.6447186652457301E-2</v>
      </c>
      <c r="BN85" s="16">
        <v>4.6145957435733E-2</v>
      </c>
      <c r="BO85" s="16">
        <v>6.0612040453871002E-2</v>
      </c>
      <c r="BP85" s="16">
        <v>3.5685145712488597E-2</v>
      </c>
      <c r="BQ85" s="16">
        <v>4.7901816396430402E-2</v>
      </c>
      <c r="BR85" s="16">
        <v>5.1920297191777598E-2</v>
      </c>
      <c r="BS85" s="16">
        <v>6.1710184624665397E-2</v>
      </c>
      <c r="BT85" s="16">
        <v>0.115675400233734</v>
      </c>
      <c r="BU85" s="16">
        <v>5.19662368214628E-2</v>
      </c>
      <c r="BV85" s="16">
        <v>5.8199438968142697E-2</v>
      </c>
      <c r="BW85" s="16">
        <v>0.10204015203415701</v>
      </c>
      <c r="BX85" s="16">
        <v>5.6821744378401498E-2</v>
      </c>
      <c r="BY85" s="16">
        <v>4.0561739845616201E-2</v>
      </c>
      <c r="BZ85" s="16">
        <v>0</v>
      </c>
      <c r="CA85" s="16">
        <v>2.3463477286259301E-2</v>
      </c>
    </row>
    <row r="86" spans="1:79" x14ac:dyDescent="0.3">
      <c r="A86" s="8" t="s">
        <v>218</v>
      </c>
      <c r="B86" s="15">
        <v>1.9138973785722401E-3</v>
      </c>
      <c r="C86" s="15">
        <v>6.2054514178552604E-4</v>
      </c>
      <c r="D86" s="15">
        <v>1.9557473145331099E-3</v>
      </c>
      <c r="E86" s="15">
        <v>9.1679201584329399E-3</v>
      </c>
      <c r="F86" s="15">
        <v>2.9872156521672201E-3</v>
      </c>
      <c r="G86" s="15">
        <v>3.14990002940837E-3</v>
      </c>
      <c r="H86" s="15">
        <v>1.0175138526267001E-2</v>
      </c>
      <c r="I86" s="15">
        <v>1.31620995899367E-2</v>
      </c>
      <c r="J86" s="15">
        <v>3.0657364351856099E-2</v>
      </c>
      <c r="K86" s="15">
        <v>1.42626091278821E-3</v>
      </c>
      <c r="L86" s="15">
        <v>6.2374332471355296E-3</v>
      </c>
      <c r="M86" s="15">
        <v>1.14722342797295E-3</v>
      </c>
      <c r="N86" s="15">
        <v>2.7068330973607198E-3</v>
      </c>
      <c r="O86" s="15">
        <v>3.1889653632424702E-3</v>
      </c>
      <c r="P86" s="15">
        <v>1.8682000203721499E-3</v>
      </c>
      <c r="Q86" s="15">
        <v>2.0256416334319001E-3</v>
      </c>
      <c r="R86" s="15">
        <v>2.1838973085240702E-3</v>
      </c>
      <c r="S86" s="15">
        <v>1.94931924287312E-3</v>
      </c>
      <c r="T86" s="15">
        <v>1.60385565591533E-3</v>
      </c>
      <c r="U86" s="15">
        <v>3.6854726207697199E-3</v>
      </c>
      <c r="V86" s="15">
        <v>4.9055528436897002E-3</v>
      </c>
      <c r="W86" s="15">
        <v>7.4319004621608897E-2</v>
      </c>
      <c r="X86" s="15">
        <v>8.9745641455397096E-3</v>
      </c>
      <c r="Y86" s="15">
        <v>3.5016063101236399E-3</v>
      </c>
      <c r="Z86" s="15">
        <v>4.3045298528522303E-3</v>
      </c>
      <c r="AA86" s="15">
        <v>2.6218450343694901E-3</v>
      </c>
      <c r="AB86" s="15">
        <v>2.5197529780134299E-3</v>
      </c>
      <c r="AC86" s="15">
        <v>9.32815110185781E-4</v>
      </c>
      <c r="AD86" s="15">
        <v>4.3492535597907799E-4</v>
      </c>
      <c r="AE86" s="15">
        <v>1.0954435033387201E-3</v>
      </c>
      <c r="AF86" s="15">
        <v>1.2974225640937701E-3</v>
      </c>
      <c r="AG86" s="15">
        <v>1.70075485307722E-3</v>
      </c>
      <c r="AH86" s="15">
        <v>6.8512588006629303E-4</v>
      </c>
      <c r="AI86" s="15">
        <v>5.1171173725285098E-3</v>
      </c>
      <c r="AJ86" s="15">
        <v>3.03808037875342E-3</v>
      </c>
      <c r="AK86" s="15">
        <v>4.3156033037338302E-2</v>
      </c>
      <c r="AL86" s="15">
        <v>1.6505107610670901E-2</v>
      </c>
      <c r="AM86" s="15">
        <v>1.6779915147366601E-2</v>
      </c>
      <c r="AN86" s="15">
        <v>1.01957740062E-2</v>
      </c>
      <c r="AO86" s="15">
        <v>1.2766756752146001E-2</v>
      </c>
      <c r="AP86" s="15">
        <v>7.7213149040517596E-3</v>
      </c>
      <c r="AQ86" s="15">
        <v>1.20805532211342E-2</v>
      </c>
      <c r="AR86" s="15">
        <v>2.1548729176437201E-3</v>
      </c>
      <c r="AS86" s="15">
        <v>-1.0136589957539599E-2</v>
      </c>
      <c r="AT86" s="15">
        <v>1.30785694763173E-2</v>
      </c>
      <c r="AU86" s="15">
        <v>4.7982873020637898E-3</v>
      </c>
      <c r="AV86" s="15">
        <v>2.1090753024800798E-3</v>
      </c>
      <c r="AW86" s="15">
        <v>2.9768231928235301E-3</v>
      </c>
      <c r="AX86" s="15">
        <v>1.1133586271097099E-3</v>
      </c>
      <c r="AY86" s="15">
        <v>1.65475361688953E-3</v>
      </c>
      <c r="AZ86" s="15">
        <v>9.1515661618744198E-4</v>
      </c>
      <c r="BA86" s="15">
        <v>9.8668356248921597E-3</v>
      </c>
      <c r="BB86" s="15">
        <v>-1.1093839705978001E-3</v>
      </c>
      <c r="BC86" s="15">
        <v>-3.6460867896635801E-4</v>
      </c>
      <c r="BD86" s="15">
        <v>1.0884648093582401E-3</v>
      </c>
      <c r="BE86" s="15">
        <v>-1.2335482090191901E-3</v>
      </c>
      <c r="BF86" s="15">
        <v>9.1637378804361805E-4</v>
      </c>
      <c r="BG86" s="15">
        <v>4.1736426947381802E-3</v>
      </c>
      <c r="BH86" s="15">
        <v>9.8533048222502001E-5</v>
      </c>
      <c r="BI86" s="15">
        <v>3.2095443235901199E-3</v>
      </c>
      <c r="BJ86" s="15">
        <v>5.40451574111312E-3</v>
      </c>
      <c r="BK86" s="15">
        <v>1.38503153869252E-3</v>
      </c>
      <c r="BL86" s="15">
        <v>2.4289771204890499E-3</v>
      </c>
      <c r="BM86" s="15">
        <v>8.5653874624441496E-3</v>
      </c>
      <c r="BN86" s="15">
        <v>1.8942913490849801E-2</v>
      </c>
      <c r="BO86" s="15">
        <v>1.82575593495212E-2</v>
      </c>
      <c r="BP86" s="15">
        <v>6.1464812355859896E-3</v>
      </c>
      <c r="BQ86" s="15">
        <v>2.1985626621361699E-2</v>
      </c>
      <c r="BR86" s="15">
        <v>7.9667707020606993E-3</v>
      </c>
      <c r="BS86" s="15">
        <v>2.0797264307694099E-2</v>
      </c>
      <c r="BT86" s="15">
        <v>5.8092308580147403E-3</v>
      </c>
      <c r="BU86" s="15">
        <v>1.73333588427226E-2</v>
      </c>
      <c r="BV86" s="15">
        <v>1.20717991329625E-2</v>
      </c>
      <c r="BW86" s="15">
        <v>8.8216500483430697E-4</v>
      </c>
      <c r="BX86" s="15">
        <v>7.5007603292475799E-4</v>
      </c>
      <c r="BY86" s="15">
        <v>1.0529287764580401E-3</v>
      </c>
      <c r="BZ86" s="15">
        <v>0</v>
      </c>
      <c r="CA86" s="15">
        <v>4.3171586940575699E-2</v>
      </c>
    </row>
    <row r="87" spans="1:79" x14ac:dyDescent="0.3">
      <c r="A87" s="7" t="s">
        <v>181</v>
      </c>
      <c r="B87" s="16">
        <v>0.75617961709967696</v>
      </c>
      <c r="C87" s="16">
        <v>0.48950186795872502</v>
      </c>
      <c r="D87" s="16">
        <v>0.78711319312519101</v>
      </c>
      <c r="E87" s="16">
        <v>0.418006968768521</v>
      </c>
      <c r="F87" s="16">
        <v>0.56897669415699104</v>
      </c>
      <c r="G87" s="16">
        <v>0.70109115990651305</v>
      </c>
      <c r="H87" s="16">
        <v>0.62854966041465099</v>
      </c>
      <c r="I87" s="16">
        <v>0.40356204332521101</v>
      </c>
      <c r="J87" s="16">
        <v>0.62093713351834001</v>
      </c>
      <c r="K87" s="16">
        <v>0.509457919853888</v>
      </c>
      <c r="L87" s="16">
        <v>0.376752150903853</v>
      </c>
      <c r="M87" s="16">
        <v>0.59651317023933303</v>
      </c>
      <c r="N87" s="16">
        <v>0.381300867917923</v>
      </c>
      <c r="O87" s="16">
        <v>0.51742972204496696</v>
      </c>
      <c r="P87" s="16">
        <v>0.32917783374793602</v>
      </c>
      <c r="Q87" s="16">
        <v>0.36674564420699202</v>
      </c>
      <c r="R87" s="16">
        <v>0.41049460622564699</v>
      </c>
      <c r="S87" s="16">
        <v>0.37317791659292998</v>
      </c>
      <c r="T87" s="16">
        <v>0.43349532990177803</v>
      </c>
      <c r="U87" s="16">
        <v>0.35048844451055799</v>
      </c>
      <c r="V87" s="16">
        <v>0.28692967787399798</v>
      </c>
      <c r="W87" s="16">
        <v>0.16455294514306701</v>
      </c>
      <c r="X87" s="16">
        <v>0.319194377875262</v>
      </c>
      <c r="Y87" s="16">
        <v>0.27550105151154602</v>
      </c>
      <c r="Z87" s="16">
        <v>0.39604497793022397</v>
      </c>
      <c r="AA87" s="16">
        <v>0.29212353809189601</v>
      </c>
      <c r="AB87" s="16">
        <v>0.33284695938074998</v>
      </c>
      <c r="AC87" s="16">
        <v>0.34749128788328598</v>
      </c>
      <c r="AD87" s="16">
        <v>0.21351402955278601</v>
      </c>
      <c r="AE87" s="16">
        <v>0.292749230803239</v>
      </c>
      <c r="AF87" s="16">
        <v>0.28699574666561201</v>
      </c>
      <c r="AG87" s="16">
        <v>0.40244768210776499</v>
      </c>
      <c r="AH87" s="16">
        <v>0.29304052241477502</v>
      </c>
      <c r="AI87" s="16">
        <v>0.78369308219491196</v>
      </c>
      <c r="AJ87" s="16">
        <v>0.77550897611287095</v>
      </c>
      <c r="AK87" s="16">
        <v>0.27710796954990102</v>
      </c>
      <c r="AL87" s="16">
        <v>0.55467961069654503</v>
      </c>
      <c r="AM87" s="16">
        <v>0.59026620001909802</v>
      </c>
      <c r="AN87" s="16">
        <v>0.68613735082592298</v>
      </c>
      <c r="AO87" s="16">
        <v>0.618326299553281</v>
      </c>
      <c r="AP87" s="16">
        <v>0.491973606485205</v>
      </c>
      <c r="AQ87" s="16">
        <v>0.51217888378439402</v>
      </c>
      <c r="AR87" s="16">
        <v>0.659891481681949</v>
      </c>
      <c r="AS87" s="16">
        <v>0.80892188981940805</v>
      </c>
      <c r="AT87" s="16">
        <v>0.466689920169299</v>
      </c>
      <c r="AU87" s="16">
        <v>0.45633587145750998</v>
      </c>
      <c r="AV87" s="16">
        <v>0.50391235395058098</v>
      </c>
      <c r="AW87" s="16">
        <v>0.52330805032240002</v>
      </c>
      <c r="AX87" s="16">
        <v>0.45960918445163601</v>
      </c>
      <c r="AY87" s="16">
        <v>0.58352068498075405</v>
      </c>
      <c r="AZ87" s="16">
        <v>0.61753163651662701</v>
      </c>
      <c r="BA87" s="16">
        <v>0.52849197579927298</v>
      </c>
      <c r="BB87" s="16">
        <v>0.88272165992921103</v>
      </c>
      <c r="BC87" s="16">
        <v>0.72175529840049601</v>
      </c>
      <c r="BD87" s="16">
        <v>0.61159245959415798</v>
      </c>
      <c r="BE87" s="16">
        <v>0.41878587871248002</v>
      </c>
      <c r="BF87" s="16">
        <v>0.91598341702359998</v>
      </c>
      <c r="BG87" s="16">
        <v>0.50697983174069305</v>
      </c>
      <c r="BH87" s="16">
        <v>0.99199050784961595</v>
      </c>
      <c r="BI87" s="16">
        <v>0.74367467601743098</v>
      </c>
      <c r="BJ87" s="16">
        <v>0.59359078002410004</v>
      </c>
      <c r="BK87" s="16">
        <v>0.77500616784258103</v>
      </c>
      <c r="BL87" s="16">
        <v>0.57755300953699495</v>
      </c>
      <c r="BM87" s="16">
        <v>0.86122347184202996</v>
      </c>
      <c r="BN87" s="16">
        <v>0.69063787476508598</v>
      </c>
      <c r="BO87" s="16">
        <v>0.61726377550158695</v>
      </c>
      <c r="BP87" s="16">
        <v>0.60245016248514904</v>
      </c>
      <c r="BQ87" s="16">
        <v>0.477400881976001</v>
      </c>
      <c r="BR87" s="16">
        <v>0.77425049768275001</v>
      </c>
      <c r="BS87" s="16">
        <v>0.58897228780542799</v>
      </c>
      <c r="BT87" s="16">
        <v>0.56574041618928095</v>
      </c>
      <c r="BU87" s="16">
        <v>0.627796114527292</v>
      </c>
      <c r="BV87" s="16">
        <v>0.62777879372974399</v>
      </c>
      <c r="BW87" s="16">
        <v>0.57146426798305305</v>
      </c>
      <c r="BX87" s="16">
        <v>0.78647516428118602</v>
      </c>
      <c r="BY87" s="16">
        <v>0.68309139011658804</v>
      </c>
      <c r="BZ87" s="16">
        <v>1</v>
      </c>
      <c r="CA87" s="16">
        <v>0.65498713438242895</v>
      </c>
    </row>
    <row r="88" spans="1:79" x14ac:dyDescent="0.3">
      <c r="A88" s="8" t="s">
        <v>182</v>
      </c>
      <c r="B88" s="15">
        <v>1</v>
      </c>
      <c r="C88" s="15">
        <v>1</v>
      </c>
      <c r="D88" s="15">
        <v>1</v>
      </c>
      <c r="E88" s="15">
        <v>1</v>
      </c>
      <c r="F88" s="15">
        <v>1</v>
      </c>
      <c r="G88" s="15">
        <v>1</v>
      </c>
      <c r="H88" s="15">
        <v>1</v>
      </c>
      <c r="I88" s="15">
        <v>1</v>
      </c>
      <c r="J88" s="15">
        <v>1</v>
      </c>
      <c r="K88" s="15">
        <v>1</v>
      </c>
      <c r="L88" s="15">
        <v>1</v>
      </c>
      <c r="M88" s="15">
        <v>1</v>
      </c>
      <c r="N88" s="15">
        <v>1</v>
      </c>
      <c r="O88" s="15">
        <v>1</v>
      </c>
      <c r="P88" s="15">
        <v>1</v>
      </c>
      <c r="Q88" s="15">
        <v>1</v>
      </c>
      <c r="R88" s="15">
        <v>1</v>
      </c>
      <c r="S88" s="15">
        <v>1</v>
      </c>
      <c r="T88" s="15">
        <v>1</v>
      </c>
      <c r="U88" s="15">
        <v>1</v>
      </c>
      <c r="V88" s="15">
        <v>1</v>
      </c>
      <c r="W88" s="15">
        <v>1</v>
      </c>
      <c r="X88" s="15">
        <v>1</v>
      </c>
      <c r="Y88" s="15">
        <v>1</v>
      </c>
      <c r="Z88" s="15">
        <v>1</v>
      </c>
      <c r="AA88" s="15">
        <v>1</v>
      </c>
      <c r="AB88" s="15">
        <v>1</v>
      </c>
      <c r="AC88" s="15">
        <v>1</v>
      </c>
      <c r="AD88" s="15">
        <v>1</v>
      </c>
      <c r="AE88" s="15">
        <v>1</v>
      </c>
      <c r="AF88" s="15">
        <v>1</v>
      </c>
      <c r="AG88" s="15">
        <v>1</v>
      </c>
      <c r="AH88" s="15">
        <v>1</v>
      </c>
      <c r="AI88" s="15">
        <v>1</v>
      </c>
      <c r="AJ88" s="15">
        <v>1</v>
      </c>
      <c r="AK88" s="15">
        <v>1</v>
      </c>
      <c r="AL88" s="15">
        <v>1</v>
      </c>
      <c r="AM88" s="15">
        <v>1</v>
      </c>
      <c r="AN88" s="15">
        <v>1</v>
      </c>
      <c r="AO88" s="15">
        <v>1</v>
      </c>
      <c r="AP88" s="15">
        <v>1</v>
      </c>
      <c r="AQ88" s="15">
        <v>1</v>
      </c>
      <c r="AR88" s="15">
        <v>1</v>
      </c>
      <c r="AS88" s="15">
        <v>1</v>
      </c>
      <c r="AT88" s="15">
        <v>1</v>
      </c>
      <c r="AU88" s="15">
        <v>1</v>
      </c>
      <c r="AV88" s="15">
        <v>1</v>
      </c>
      <c r="AW88" s="15">
        <v>1</v>
      </c>
      <c r="AX88" s="15">
        <v>1</v>
      </c>
      <c r="AY88" s="15">
        <v>1</v>
      </c>
      <c r="AZ88" s="15">
        <v>1</v>
      </c>
      <c r="BA88" s="15">
        <v>1</v>
      </c>
      <c r="BB88" s="15">
        <v>1</v>
      </c>
      <c r="BC88" s="15">
        <v>1</v>
      </c>
      <c r="BD88" s="15">
        <v>1</v>
      </c>
      <c r="BE88" s="15">
        <v>1</v>
      </c>
      <c r="BF88" s="15">
        <v>1</v>
      </c>
      <c r="BG88" s="15">
        <v>1</v>
      </c>
      <c r="BH88" s="15">
        <v>1</v>
      </c>
      <c r="BI88" s="15">
        <v>1</v>
      </c>
      <c r="BJ88" s="15">
        <v>1</v>
      </c>
      <c r="BK88" s="15">
        <v>1</v>
      </c>
      <c r="BL88" s="15">
        <v>1</v>
      </c>
      <c r="BM88" s="15">
        <v>1</v>
      </c>
      <c r="BN88" s="15">
        <v>1</v>
      </c>
      <c r="BO88" s="15">
        <v>1</v>
      </c>
      <c r="BP88" s="15">
        <v>1</v>
      </c>
      <c r="BQ88" s="15">
        <v>1</v>
      </c>
      <c r="BR88" s="15">
        <v>1</v>
      </c>
      <c r="BS88" s="15">
        <v>1</v>
      </c>
      <c r="BT88" s="15">
        <v>1</v>
      </c>
      <c r="BU88" s="15">
        <v>1</v>
      </c>
      <c r="BV88" s="15">
        <v>1</v>
      </c>
      <c r="BW88" s="15">
        <v>1</v>
      </c>
      <c r="BX88" s="15">
        <v>1</v>
      </c>
      <c r="BY88" s="15">
        <v>1</v>
      </c>
      <c r="BZ88" s="15">
        <v>1</v>
      </c>
      <c r="CA88" s="15">
        <v>1</v>
      </c>
    </row>
    <row r="92" spans="1:79" x14ac:dyDescent="0.3">
      <c r="A92" s="5" t="s">
        <v>205</v>
      </c>
    </row>
    <row r="93" spans="1:79" x14ac:dyDescent="0.3">
      <c r="A9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5810-3B96-4B18-8332-A72E97FBE08A}">
  <dimension ref="A1:CK139"/>
  <sheetViews>
    <sheetView tabSelected="1" topLeftCell="A3" workbookViewId="0">
      <pane ySplit="4" topLeftCell="A114" activePane="bottomLeft" state="frozen"/>
      <selection activeCell="A3" sqref="A3"/>
      <selection pane="bottomLeft" activeCell="C117" sqref="C117"/>
    </sheetView>
  </sheetViews>
  <sheetFormatPr defaultRowHeight="14.4" x14ac:dyDescent="0.3"/>
  <cols>
    <col min="1" max="1" width="38.44140625" customWidth="1"/>
    <col min="2" max="11" width="14" customWidth="1"/>
    <col min="12" max="12" width="17.5546875" customWidth="1"/>
    <col min="13" max="89" width="14" customWidth="1"/>
  </cols>
  <sheetData>
    <row r="1" spans="1:89" ht="15.6" x14ac:dyDescent="0.3">
      <c r="A1" s="1" t="s">
        <v>0</v>
      </c>
    </row>
    <row r="2" spans="1:89" x14ac:dyDescent="0.3">
      <c r="A2" s="2" t="s">
        <v>1</v>
      </c>
    </row>
    <row r="3" spans="1:89" x14ac:dyDescent="0.3">
      <c r="A3" s="4" t="s">
        <v>206</v>
      </c>
    </row>
    <row r="5" spans="1:89" x14ac:dyDescent="0.3">
      <c r="A5" s="31" t="s">
        <v>3</v>
      </c>
      <c r="B5" s="33" t="s">
        <v>207</v>
      </c>
      <c r="C5" s="9"/>
      <c r="D5" s="33" t="s">
        <v>5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3" t="s">
        <v>208</v>
      </c>
      <c r="CF5" s="34"/>
      <c r="CG5" s="34"/>
      <c r="CH5" s="34"/>
      <c r="CI5" s="34"/>
      <c r="CJ5" s="34"/>
      <c r="CK5" s="34"/>
    </row>
    <row r="6" spans="1:89" ht="171.6" x14ac:dyDescent="0.3">
      <c r="A6" s="32"/>
      <c r="B6" s="32"/>
      <c r="C6" s="14" t="s">
        <v>239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  <c r="W6" s="9" t="s">
        <v>26</v>
      </c>
      <c r="X6" s="9" t="s">
        <v>27</v>
      </c>
      <c r="Y6" s="9" t="s">
        <v>28</v>
      </c>
      <c r="Z6" s="9" t="s">
        <v>29</v>
      </c>
      <c r="AA6" s="9" t="s">
        <v>30</v>
      </c>
      <c r="AB6" s="9" t="s">
        <v>31</v>
      </c>
      <c r="AC6" s="9" t="s">
        <v>32</v>
      </c>
      <c r="AD6" s="9" t="s">
        <v>33</v>
      </c>
      <c r="AE6" s="9" t="s">
        <v>34</v>
      </c>
      <c r="AF6" s="9" t="s">
        <v>35</v>
      </c>
      <c r="AG6" s="9" t="s">
        <v>36</v>
      </c>
      <c r="AH6" s="9" t="s">
        <v>37</v>
      </c>
      <c r="AI6" s="9" t="s">
        <v>38</v>
      </c>
      <c r="AJ6" s="9" t="s">
        <v>39</v>
      </c>
      <c r="AK6" s="9" t="s">
        <v>40</v>
      </c>
      <c r="AL6" s="9" t="s">
        <v>41</v>
      </c>
      <c r="AM6" s="9" t="s">
        <v>42</v>
      </c>
      <c r="AN6" s="9" t="s">
        <v>43</v>
      </c>
      <c r="AO6" s="9" t="s">
        <v>44</v>
      </c>
      <c r="AP6" s="9" t="s">
        <v>45</v>
      </c>
      <c r="AQ6" s="9" t="s">
        <v>46</v>
      </c>
      <c r="AR6" s="9" t="s">
        <v>47</v>
      </c>
      <c r="AS6" s="9" t="s">
        <v>48</v>
      </c>
      <c r="AT6" s="9" t="s">
        <v>49</v>
      </c>
      <c r="AU6" s="9" t="s">
        <v>50</v>
      </c>
      <c r="AV6" s="9" t="s">
        <v>51</v>
      </c>
      <c r="AW6" s="9" t="s">
        <v>52</v>
      </c>
      <c r="AX6" s="9" t="s">
        <v>53</v>
      </c>
      <c r="AY6" s="9" t="s">
        <v>54</v>
      </c>
      <c r="AZ6" s="9" t="s">
        <v>55</v>
      </c>
      <c r="BA6" s="9" t="s">
        <v>56</v>
      </c>
      <c r="BB6" s="9" t="s">
        <v>57</v>
      </c>
      <c r="BC6" s="9" t="s">
        <v>58</v>
      </c>
      <c r="BD6" s="9" t="s">
        <v>59</v>
      </c>
      <c r="BE6" s="9" t="s">
        <v>60</v>
      </c>
      <c r="BF6" s="9" t="s">
        <v>61</v>
      </c>
      <c r="BG6" s="9" t="s">
        <v>62</v>
      </c>
      <c r="BH6" s="9" t="s">
        <v>63</v>
      </c>
      <c r="BI6" s="9" t="s">
        <v>64</v>
      </c>
      <c r="BJ6" s="9" t="s">
        <v>65</v>
      </c>
      <c r="BK6" s="9" t="s">
        <v>66</v>
      </c>
      <c r="BL6" s="9" t="s">
        <v>67</v>
      </c>
      <c r="BM6" s="9" t="s">
        <v>68</v>
      </c>
      <c r="BN6" s="9" t="s">
        <v>69</v>
      </c>
      <c r="BO6" s="9" t="s">
        <v>70</v>
      </c>
      <c r="BP6" s="9" t="s">
        <v>71</v>
      </c>
      <c r="BQ6" s="9" t="s">
        <v>72</v>
      </c>
      <c r="BR6" s="9" t="s">
        <v>73</v>
      </c>
      <c r="BS6" s="9" t="s">
        <v>74</v>
      </c>
      <c r="BT6" s="9" t="s">
        <v>75</v>
      </c>
      <c r="BU6" s="9" t="s">
        <v>76</v>
      </c>
      <c r="BV6" s="9" t="s">
        <v>77</v>
      </c>
      <c r="BW6" s="9" t="s">
        <v>78</v>
      </c>
      <c r="BX6" s="9" t="s">
        <v>79</v>
      </c>
      <c r="BY6" s="9" t="s">
        <v>80</v>
      </c>
      <c r="BZ6" s="9" t="s">
        <v>81</v>
      </c>
      <c r="CA6" s="9" t="s">
        <v>82</v>
      </c>
      <c r="CB6" s="9" t="s">
        <v>83</v>
      </c>
      <c r="CC6" s="9" t="s">
        <v>84</v>
      </c>
      <c r="CD6" s="9" t="s">
        <v>85</v>
      </c>
      <c r="CE6" s="9" t="s">
        <v>7</v>
      </c>
      <c r="CF6" s="9" t="s">
        <v>209</v>
      </c>
      <c r="CG6" s="9" t="s">
        <v>87</v>
      </c>
      <c r="CH6" s="9" t="s">
        <v>88</v>
      </c>
      <c r="CI6" s="9" t="s">
        <v>89</v>
      </c>
      <c r="CJ6" s="9" t="s">
        <v>90</v>
      </c>
      <c r="CK6" s="9" t="s">
        <v>92</v>
      </c>
    </row>
    <row r="7" spans="1:89" x14ac:dyDescent="0.3">
      <c r="A7" s="7" t="s">
        <v>93</v>
      </c>
      <c r="B7" s="10">
        <v>682846.43400000001</v>
      </c>
      <c r="C7" s="10">
        <f>D7-J7</f>
        <v>320479.864</v>
      </c>
      <c r="D7" s="10">
        <v>320479.864</v>
      </c>
      <c r="E7" s="10">
        <v>13002.531999999999</v>
      </c>
      <c r="F7" s="10">
        <v>56384.337</v>
      </c>
      <c r="G7" s="10">
        <v>176.56899999999999</v>
      </c>
      <c r="H7" s="10">
        <v>11.872</v>
      </c>
      <c r="I7" s="10">
        <v>314.23599999999999</v>
      </c>
      <c r="J7" s="10">
        <v>0</v>
      </c>
      <c r="K7" s="10">
        <v>0</v>
      </c>
      <c r="L7" s="10">
        <v>0</v>
      </c>
      <c r="M7" s="10">
        <v>0</v>
      </c>
      <c r="N7" s="10">
        <v>34.722999999999999</v>
      </c>
      <c r="O7" s="10">
        <v>1356.941</v>
      </c>
      <c r="P7" s="10">
        <v>8.2409999999999997</v>
      </c>
      <c r="Q7" s="10">
        <v>176378.12100000001</v>
      </c>
      <c r="R7" s="10">
        <v>25693.13</v>
      </c>
      <c r="S7" s="10">
        <v>11070.905000000001</v>
      </c>
      <c r="T7" s="10">
        <v>0</v>
      </c>
      <c r="U7" s="10">
        <v>475.72800000000001</v>
      </c>
      <c r="V7" s="10">
        <v>0.151</v>
      </c>
      <c r="W7" s="10">
        <v>422.11599999999999</v>
      </c>
      <c r="X7" s="10">
        <v>5.2619999999999996</v>
      </c>
      <c r="Y7" s="10">
        <v>0</v>
      </c>
      <c r="Z7" s="10">
        <v>0</v>
      </c>
      <c r="AA7" s="10">
        <v>1328.653</v>
      </c>
      <c r="AB7" s="10">
        <v>341.31200000000001</v>
      </c>
      <c r="AC7" s="10">
        <v>2.1520000000000001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166.334</v>
      </c>
      <c r="AL7" s="10">
        <v>0</v>
      </c>
      <c r="AM7" s="10">
        <v>0.14099999999999999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5.0000000000000001E-3</v>
      </c>
      <c r="BB7" s="10">
        <v>0</v>
      </c>
      <c r="BC7" s="10">
        <v>0</v>
      </c>
      <c r="BD7" s="10">
        <v>1E-3</v>
      </c>
      <c r="BE7" s="10">
        <v>0</v>
      </c>
      <c r="BF7" s="10">
        <v>0</v>
      </c>
      <c r="BG7" s="10">
        <v>0</v>
      </c>
      <c r="BH7" s="10">
        <v>0</v>
      </c>
      <c r="BI7" s="10">
        <v>1.4E-2</v>
      </c>
      <c r="BJ7" s="10">
        <v>0</v>
      </c>
      <c r="BK7" s="10">
        <v>0</v>
      </c>
      <c r="BL7" s="10">
        <v>0.66100000000000003</v>
      </c>
      <c r="BM7" s="10">
        <v>0</v>
      </c>
      <c r="BN7" s="10">
        <v>1.944</v>
      </c>
      <c r="BO7" s="10">
        <v>0</v>
      </c>
      <c r="BP7" s="10">
        <v>2.7429999999999999</v>
      </c>
      <c r="BQ7" s="10">
        <v>0.10100000000000001</v>
      </c>
      <c r="BR7" s="10">
        <v>566.12400000000002</v>
      </c>
      <c r="BS7" s="10">
        <v>49.113999999999997</v>
      </c>
      <c r="BT7" s="10">
        <v>261.142</v>
      </c>
      <c r="BU7" s="10">
        <v>0</v>
      </c>
      <c r="BV7" s="10">
        <v>0</v>
      </c>
      <c r="BW7" s="10">
        <v>8.5000000000000006E-2</v>
      </c>
      <c r="BX7" s="10">
        <v>10288.218000000001</v>
      </c>
      <c r="BY7" s="10">
        <v>21879.593000000001</v>
      </c>
      <c r="BZ7" s="10">
        <v>1E-3</v>
      </c>
      <c r="CA7" s="10">
        <v>13.112</v>
      </c>
      <c r="CB7" s="10">
        <v>202.69200000000001</v>
      </c>
      <c r="CC7" s="10">
        <v>0</v>
      </c>
      <c r="CD7" s="10">
        <v>40.857999999999997</v>
      </c>
      <c r="CE7" s="10">
        <v>362366.57</v>
      </c>
      <c r="CF7" s="10">
        <v>146003.22200000001</v>
      </c>
      <c r="CG7" s="10">
        <v>401.57799999999997</v>
      </c>
      <c r="CH7" s="10">
        <v>12915.213</v>
      </c>
      <c r="CI7" s="10">
        <v>0</v>
      </c>
      <c r="CJ7" s="10">
        <v>203046.557</v>
      </c>
      <c r="CK7" s="10">
        <v>0</v>
      </c>
    </row>
    <row r="8" spans="1:89" x14ac:dyDescent="0.3">
      <c r="A8" s="8" t="s">
        <v>95</v>
      </c>
      <c r="B8" s="11">
        <v>495469.19199999998</v>
      </c>
      <c r="C8" s="10">
        <f t="shared" ref="C8:C71" si="0">D8-J8</f>
        <v>367447.09600000002</v>
      </c>
      <c r="D8" s="11">
        <v>367447.10399999999</v>
      </c>
      <c r="E8" s="11">
        <v>5038.3019999999997</v>
      </c>
      <c r="F8" s="11">
        <v>11513.626</v>
      </c>
      <c r="G8" s="11">
        <v>0</v>
      </c>
      <c r="H8" s="11">
        <v>0</v>
      </c>
      <c r="I8" s="11">
        <v>0</v>
      </c>
      <c r="J8" s="11">
        <v>8.0000000000000002E-3</v>
      </c>
      <c r="K8" s="11">
        <v>1E-3</v>
      </c>
      <c r="L8" s="11">
        <v>1.2E-2</v>
      </c>
      <c r="M8" s="11">
        <v>2E-3</v>
      </c>
      <c r="N8" s="11">
        <v>618.97699999999998</v>
      </c>
      <c r="O8" s="11">
        <v>0.01</v>
      </c>
      <c r="P8" s="11">
        <v>1.0999999999999999E-2</v>
      </c>
      <c r="Q8" s="11">
        <v>347545.59899999999</v>
      </c>
      <c r="R8" s="11">
        <v>3.347</v>
      </c>
      <c r="S8" s="11">
        <v>589.88099999999997</v>
      </c>
      <c r="T8" s="11">
        <v>0</v>
      </c>
      <c r="U8" s="11">
        <v>1E-3</v>
      </c>
      <c r="V8" s="11">
        <v>0</v>
      </c>
      <c r="W8" s="11">
        <v>0</v>
      </c>
      <c r="X8" s="11">
        <v>1E-3</v>
      </c>
      <c r="Y8" s="11">
        <v>1E-3</v>
      </c>
      <c r="Z8" s="11">
        <v>0</v>
      </c>
      <c r="AA8" s="11">
        <v>287.81900000000002</v>
      </c>
      <c r="AB8" s="11">
        <v>2E-3</v>
      </c>
      <c r="AC8" s="11">
        <v>0</v>
      </c>
      <c r="AD8" s="11">
        <v>1E-3</v>
      </c>
      <c r="AE8" s="11">
        <v>1E-3</v>
      </c>
      <c r="AF8" s="11">
        <v>1E-3</v>
      </c>
      <c r="AG8" s="11">
        <v>2E-3</v>
      </c>
      <c r="AH8" s="11">
        <v>0</v>
      </c>
      <c r="AI8" s="11">
        <v>2.1000000000000001E-2</v>
      </c>
      <c r="AJ8" s="11">
        <v>1E-3</v>
      </c>
      <c r="AK8" s="11">
        <v>175.22399999999999</v>
      </c>
      <c r="AL8" s="11">
        <v>2.7E-2</v>
      </c>
      <c r="AM8" s="11">
        <v>4.3999999999999997E-2</v>
      </c>
      <c r="AN8" s="11">
        <v>1E-3</v>
      </c>
      <c r="AO8" s="11">
        <v>0</v>
      </c>
      <c r="AP8" s="11">
        <v>0</v>
      </c>
      <c r="AQ8" s="11">
        <v>0</v>
      </c>
      <c r="AR8" s="11">
        <v>4.0000000000000001E-3</v>
      </c>
      <c r="AS8" s="11">
        <v>0</v>
      </c>
      <c r="AT8" s="11">
        <v>0</v>
      </c>
      <c r="AU8" s="11">
        <v>1E-3</v>
      </c>
      <c r="AV8" s="11">
        <v>0</v>
      </c>
      <c r="AW8" s="11">
        <v>0</v>
      </c>
      <c r="AX8" s="11">
        <v>2E-3</v>
      </c>
      <c r="AY8" s="11">
        <v>0</v>
      </c>
      <c r="AZ8" s="11">
        <v>1.4E-2</v>
      </c>
      <c r="BA8" s="11">
        <v>0.113</v>
      </c>
      <c r="BB8" s="11">
        <v>1.4E-2</v>
      </c>
      <c r="BC8" s="11">
        <v>0</v>
      </c>
      <c r="BD8" s="11">
        <v>3.6999999999999998E-2</v>
      </c>
      <c r="BE8" s="11">
        <v>0</v>
      </c>
      <c r="BF8" s="11">
        <v>1.0999999999999999E-2</v>
      </c>
      <c r="BG8" s="11">
        <v>0</v>
      </c>
      <c r="BH8" s="11">
        <v>2E-3</v>
      </c>
      <c r="BI8" s="11">
        <v>0.39400000000000002</v>
      </c>
      <c r="BJ8" s="11">
        <v>0</v>
      </c>
      <c r="BK8" s="11">
        <v>0</v>
      </c>
      <c r="BL8" s="11">
        <v>2E-3</v>
      </c>
      <c r="BM8" s="11">
        <v>2E-3</v>
      </c>
      <c r="BN8" s="11">
        <v>52.521999999999998</v>
      </c>
      <c r="BO8" s="11">
        <v>0</v>
      </c>
      <c r="BP8" s="11">
        <v>7.6999999999999999E-2</v>
      </c>
      <c r="BQ8" s="11">
        <v>2.77</v>
      </c>
      <c r="BR8" s="11">
        <v>284.09899999999999</v>
      </c>
      <c r="BS8" s="11">
        <v>21.023</v>
      </c>
      <c r="BT8" s="11">
        <v>29.419</v>
      </c>
      <c r="BU8" s="11">
        <v>0</v>
      </c>
      <c r="BV8" s="11">
        <v>0</v>
      </c>
      <c r="BW8" s="11">
        <v>2.306</v>
      </c>
      <c r="BX8" s="11">
        <v>2E-3</v>
      </c>
      <c r="BY8" s="11">
        <v>1274.867</v>
      </c>
      <c r="BZ8" s="11">
        <v>4.5999999999999999E-2</v>
      </c>
      <c r="CA8" s="11">
        <v>3.1539999999999999</v>
      </c>
      <c r="CB8" s="11">
        <v>1E-3</v>
      </c>
      <c r="CC8" s="11">
        <v>0</v>
      </c>
      <c r="CD8" s="11">
        <v>3.2989999999999999</v>
      </c>
      <c r="CE8" s="11">
        <v>128022.088</v>
      </c>
      <c r="CF8" s="11">
        <v>53632.631999999998</v>
      </c>
      <c r="CG8" s="11">
        <v>3.35</v>
      </c>
      <c r="CH8" s="11">
        <v>58787.773000000001</v>
      </c>
      <c r="CI8" s="11">
        <v>4318.5309999999999</v>
      </c>
      <c r="CJ8" s="11">
        <v>11279.802</v>
      </c>
      <c r="CK8" s="11">
        <v>0</v>
      </c>
    </row>
    <row r="9" spans="1:89" x14ac:dyDescent="0.3">
      <c r="A9" s="7" t="s">
        <v>96</v>
      </c>
      <c r="B9" s="10">
        <v>28827.855</v>
      </c>
      <c r="C9" s="10">
        <f t="shared" si="0"/>
        <v>24233.094000000001</v>
      </c>
      <c r="D9" s="10">
        <v>24233.094000000001</v>
      </c>
      <c r="E9" s="10">
        <v>0</v>
      </c>
      <c r="F9" s="10">
        <v>0</v>
      </c>
      <c r="G9" s="10">
        <v>1262.96</v>
      </c>
      <c r="H9" s="10">
        <v>0</v>
      </c>
      <c r="I9" s="10">
        <v>5.7000000000000002E-2</v>
      </c>
      <c r="J9" s="10">
        <v>0</v>
      </c>
      <c r="K9" s="10">
        <v>0.67100000000000004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757.44899999999996</v>
      </c>
      <c r="R9" s="10">
        <v>0</v>
      </c>
      <c r="S9" s="10">
        <v>0</v>
      </c>
      <c r="T9" s="10">
        <v>0</v>
      </c>
      <c r="U9" s="10">
        <v>0</v>
      </c>
      <c r="V9" s="10">
        <v>117.005</v>
      </c>
      <c r="W9" s="10">
        <v>15476.057000000001</v>
      </c>
      <c r="X9" s="10">
        <v>1172.4010000000001</v>
      </c>
      <c r="Y9" s="10">
        <v>0</v>
      </c>
      <c r="Z9" s="10">
        <v>0</v>
      </c>
      <c r="AA9" s="10">
        <v>3381.7150000000001</v>
      </c>
      <c r="AB9" s="10">
        <v>667.32500000000005</v>
      </c>
      <c r="AC9" s="10">
        <v>65.644999999999996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623.41200000000003</v>
      </c>
      <c r="AK9" s="10">
        <v>708.37900000000002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8.0000000000000002E-3</v>
      </c>
      <c r="BM9" s="10">
        <v>0</v>
      </c>
      <c r="BN9" s="10">
        <v>0</v>
      </c>
      <c r="BO9" s="10">
        <v>0</v>
      </c>
      <c r="BP9" s="10">
        <v>0.01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4594.7610000000004</v>
      </c>
      <c r="CF9" s="10">
        <v>3226.3989999999999</v>
      </c>
      <c r="CG9" s="10">
        <v>0</v>
      </c>
      <c r="CH9" s="10">
        <v>0</v>
      </c>
      <c r="CI9" s="10">
        <v>0</v>
      </c>
      <c r="CJ9" s="10">
        <v>1368.3620000000001</v>
      </c>
      <c r="CK9" s="10">
        <v>0</v>
      </c>
    </row>
    <row r="10" spans="1:89" x14ac:dyDescent="0.3">
      <c r="A10" s="8" t="s">
        <v>97</v>
      </c>
      <c r="B10" s="11">
        <v>22972.494999999999</v>
      </c>
      <c r="C10" s="10">
        <f t="shared" si="0"/>
        <v>6163.1019999999999</v>
      </c>
      <c r="D10" s="11">
        <v>6165.2420000000002</v>
      </c>
      <c r="E10" s="11">
        <v>0</v>
      </c>
      <c r="F10" s="11">
        <v>3.2000000000000001E-2</v>
      </c>
      <c r="G10" s="11">
        <v>1.7000000000000001E-2</v>
      </c>
      <c r="H10" s="11">
        <v>16.151</v>
      </c>
      <c r="I10" s="11">
        <v>7.0000000000000001E-3</v>
      </c>
      <c r="J10" s="11">
        <v>2.14</v>
      </c>
      <c r="K10" s="11">
        <v>0.34699999999999998</v>
      </c>
      <c r="L10" s="11">
        <v>3.202</v>
      </c>
      <c r="M10" s="11">
        <v>0.376</v>
      </c>
      <c r="N10" s="11">
        <v>5.52</v>
      </c>
      <c r="O10" s="11">
        <v>2.3140000000000001</v>
      </c>
      <c r="P10" s="11">
        <v>2.5270000000000001</v>
      </c>
      <c r="Q10" s="11">
        <v>4860.8310000000001</v>
      </c>
      <c r="R10" s="11">
        <v>0.14799999999999999</v>
      </c>
      <c r="S10" s="11">
        <v>0.06</v>
      </c>
      <c r="T10" s="11">
        <v>5.6000000000000001E-2</v>
      </c>
      <c r="U10" s="11">
        <v>0.17399999999999999</v>
      </c>
      <c r="V10" s="11">
        <v>4.2000000000000003E-2</v>
      </c>
      <c r="W10" s="11">
        <v>4.9000000000000002E-2</v>
      </c>
      <c r="X10" s="11">
        <v>8.4890000000000008</v>
      </c>
      <c r="Y10" s="11">
        <v>0.122</v>
      </c>
      <c r="Z10" s="11">
        <v>1.6E-2</v>
      </c>
      <c r="AA10" s="11">
        <v>0.441</v>
      </c>
      <c r="AB10" s="11">
        <v>0.33</v>
      </c>
      <c r="AC10" s="11">
        <v>0.17100000000000001</v>
      </c>
      <c r="AD10" s="11">
        <v>0.22800000000000001</v>
      </c>
      <c r="AE10" s="11">
        <v>0.307</v>
      </c>
      <c r="AF10" s="11">
        <v>0.28100000000000003</v>
      </c>
      <c r="AG10" s="11">
        <v>0.627</v>
      </c>
      <c r="AH10" s="11">
        <v>0.14899999999999999</v>
      </c>
      <c r="AI10" s="11">
        <v>4.4320000000000004</v>
      </c>
      <c r="AJ10" s="11">
        <v>0.13400000000000001</v>
      </c>
      <c r="AK10" s="11">
        <v>0.13100000000000001</v>
      </c>
      <c r="AL10" s="11">
        <v>4.1239999999999997</v>
      </c>
      <c r="AM10" s="11">
        <v>6.4859999999999998</v>
      </c>
      <c r="AN10" s="11">
        <v>0.104</v>
      </c>
      <c r="AO10" s="11">
        <v>4.1000000000000002E-2</v>
      </c>
      <c r="AP10" s="11">
        <v>0.02</v>
      </c>
      <c r="AQ10" s="11">
        <v>6.3E-2</v>
      </c>
      <c r="AR10" s="11">
        <v>0.61899999999999999</v>
      </c>
      <c r="AS10" s="11">
        <v>8.0000000000000002E-3</v>
      </c>
      <c r="AT10" s="11">
        <v>3.0000000000000001E-3</v>
      </c>
      <c r="AU10" s="11">
        <v>0.20100000000000001</v>
      </c>
      <c r="AV10" s="11">
        <v>4.0000000000000001E-3</v>
      </c>
      <c r="AW10" s="11">
        <v>0.02</v>
      </c>
      <c r="AX10" s="11">
        <v>0.23499999999999999</v>
      </c>
      <c r="AY10" s="11">
        <v>2.9000000000000001E-2</v>
      </c>
      <c r="AZ10" s="11">
        <v>0.46300000000000002</v>
      </c>
      <c r="BA10" s="11">
        <v>0.124</v>
      </c>
      <c r="BB10" s="11">
        <v>1.873</v>
      </c>
      <c r="BC10" s="11">
        <v>1.2E-2</v>
      </c>
      <c r="BD10" s="11">
        <v>1.2999999999999999E-2</v>
      </c>
      <c r="BE10" s="11">
        <v>2E-3</v>
      </c>
      <c r="BF10" s="11">
        <v>1.71</v>
      </c>
      <c r="BG10" s="11">
        <v>7.8E-2</v>
      </c>
      <c r="BH10" s="11">
        <v>0.23</v>
      </c>
      <c r="BI10" s="11">
        <v>0.60399999999999998</v>
      </c>
      <c r="BJ10" s="11">
        <v>8.5999999999999993E-2</v>
      </c>
      <c r="BK10" s="11">
        <v>2E-3</v>
      </c>
      <c r="BL10" s="11">
        <v>0.74199999999999999</v>
      </c>
      <c r="BM10" s="11">
        <v>0.26300000000000001</v>
      </c>
      <c r="BN10" s="11">
        <v>0.72599999999999998</v>
      </c>
      <c r="BO10" s="11">
        <v>1.4E-2</v>
      </c>
      <c r="BP10" s="11">
        <v>1.696</v>
      </c>
      <c r="BQ10" s="11">
        <v>1.6339999999999999</v>
      </c>
      <c r="BR10" s="11">
        <v>0.68200000000000005</v>
      </c>
      <c r="BS10" s="11">
        <v>2.8000000000000001E-2</v>
      </c>
      <c r="BT10" s="11">
        <v>0.18</v>
      </c>
      <c r="BU10" s="11">
        <v>7.8E-2</v>
      </c>
      <c r="BV10" s="11">
        <v>0.46</v>
      </c>
      <c r="BW10" s="11">
        <v>0.34200000000000003</v>
      </c>
      <c r="BX10" s="11">
        <v>657.32500000000005</v>
      </c>
      <c r="BY10" s="11">
        <v>567.20799999999997</v>
      </c>
      <c r="BZ10" s="11">
        <v>0.48699999999999999</v>
      </c>
      <c r="CA10" s="11">
        <v>0.6</v>
      </c>
      <c r="CB10" s="11">
        <v>0.24399999999999999</v>
      </c>
      <c r="CC10" s="11">
        <v>0</v>
      </c>
      <c r="CD10" s="11">
        <v>5.5279999999999996</v>
      </c>
      <c r="CE10" s="11">
        <v>16807.253000000001</v>
      </c>
      <c r="CF10" s="11">
        <v>12067.784</v>
      </c>
      <c r="CG10" s="11">
        <v>2E-3</v>
      </c>
      <c r="CH10" s="11">
        <v>23.382000000000001</v>
      </c>
      <c r="CI10" s="11">
        <v>0</v>
      </c>
      <c r="CJ10" s="11">
        <v>4716.085</v>
      </c>
      <c r="CK10" s="11">
        <v>0</v>
      </c>
    </row>
    <row r="11" spans="1:89" x14ac:dyDescent="0.3">
      <c r="A11" s="7" t="s">
        <v>98</v>
      </c>
      <c r="B11" s="10">
        <v>10393.959999999999</v>
      </c>
      <c r="C11" s="10">
        <f t="shared" si="0"/>
        <v>9546.5110000000095</v>
      </c>
      <c r="D11" s="10">
        <v>9546.5270000000091</v>
      </c>
      <c r="E11" s="10">
        <v>3859.953</v>
      </c>
      <c r="F11" s="10">
        <v>729.70299999999997</v>
      </c>
      <c r="G11" s="10">
        <v>77.338999999999999</v>
      </c>
      <c r="H11" s="10">
        <v>19.417999999999999</v>
      </c>
      <c r="I11" s="10">
        <v>0.26100000000000001</v>
      </c>
      <c r="J11" s="10">
        <v>1.6E-2</v>
      </c>
      <c r="K11" s="10">
        <v>3.0000000000000001E-3</v>
      </c>
      <c r="L11" s="10">
        <v>1E-3</v>
      </c>
      <c r="M11" s="10">
        <v>5.0000000000000001E-3</v>
      </c>
      <c r="N11" s="10">
        <v>0.22500000000000001</v>
      </c>
      <c r="O11" s="10">
        <v>2.1000000000000001E-2</v>
      </c>
      <c r="P11" s="10">
        <v>6.0000000000000001E-3</v>
      </c>
      <c r="Q11" s="10">
        <v>4104.7889999999998</v>
      </c>
      <c r="R11" s="10">
        <v>1.2E-2</v>
      </c>
      <c r="S11" s="10">
        <v>527.495</v>
      </c>
      <c r="T11" s="10">
        <v>2E-3</v>
      </c>
      <c r="U11" s="10">
        <v>224.95099999999999</v>
      </c>
      <c r="V11" s="10">
        <v>1E-3</v>
      </c>
      <c r="W11" s="10">
        <v>2E-3</v>
      </c>
      <c r="X11" s="10">
        <v>0.01</v>
      </c>
      <c r="Y11" s="10">
        <v>3.0000000000000001E-3</v>
      </c>
      <c r="Z11" s="10">
        <v>1.4E-2</v>
      </c>
      <c r="AA11" s="10">
        <v>4.2000000000000003E-2</v>
      </c>
      <c r="AB11" s="10">
        <v>1.6E-2</v>
      </c>
      <c r="AC11" s="10">
        <v>0.01</v>
      </c>
      <c r="AD11" s="10">
        <v>2.1999999999999999E-2</v>
      </c>
      <c r="AE11" s="10">
        <v>1.4999999999999999E-2</v>
      </c>
      <c r="AF11" s="10">
        <v>1.4999999999999999E-2</v>
      </c>
      <c r="AG11" s="10">
        <v>2.1999999999999999E-2</v>
      </c>
      <c r="AH11" s="10">
        <v>1.2E-2</v>
      </c>
      <c r="AI11" s="10">
        <v>0.156</v>
      </c>
      <c r="AJ11" s="10">
        <v>4.0000000000000001E-3</v>
      </c>
      <c r="AK11" s="10">
        <v>0.81200000000000006</v>
      </c>
      <c r="AL11" s="10">
        <v>7.0000000000000007E-2</v>
      </c>
      <c r="AM11" s="10">
        <v>4.9000000000000002E-2</v>
      </c>
      <c r="AN11" s="10">
        <v>4.0000000000000001E-3</v>
      </c>
      <c r="AO11" s="10">
        <v>1E-3</v>
      </c>
      <c r="AP11" s="10">
        <v>0</v>
      </c>
      <c r="AQ11" s="10">
        <v>8.0000000000000002E-3</v>
      </c>
      <c r="AR11" s="10">
        <v>5.0000000000000001E-3</v>
      </c>
      <c r="AS11" s="10">
        <v>0</v>
      </c>
      <c r="AT11" s="10">
        <v>0</v>
      </c>
      <c r="AU11" s="10">
        <v>2E-3</v>
      </c>
      <c r="AV11" s="10">
        <v>0</v>
      </c>
      <c r="AW11" s="10">
        <v>1E-3</v>
      </c>
      <c r="AX11" s="10">
        <v>0</v>
      </c>
      <c r="AY11" s="10">
        <v>0</v>
      </c>
      <c r="AZ11" s="10">
        <v>2.1999999999999999E-2</v>
      </c>
      <c r="BA11" s="10">
        <v>1E-3</v>
      </c>
      <c r="BB11" s="10">
        <v>6.0000000000000001E-3</v>
      </c>
      <c r="BC11" s="10">
        <v>0</v>
      </c>
      <c r="BD11" s="10">
        <v>0</v>
      </c>
      <c r="BE11" s="10">
        <v>1E-3</v>
      </c>
      <c r="BF11" s="10">
        <v>0.13300000000000001</v>
      </c>
      <c r="BG11" s="10">
        <v>3.0000000000000001E-3</v>
      </c>
      <c r="BH11" s="10">
        <v>1E-3</v>
      </c>
      <c r="BI11" s="10">
        <v>1.7000000000000001E-2</v>
      </c>
      <c r="BJ11" s="10">
        <v>2E-3</v>
      </c>
      <c r="BK11" s="10">
        <v>0</v>
      </c>
      <c r="BL11" s="10">
        <v>3.5000000000000003E-2</v>
      </c>
      <c r="BM11" s="10">
        <v>1E-3</v>
      </c>
      <c r="BN11" s="10">
        <v>2.1999999999999999E-2</v>
      </c>
      <c r="BO11" s="10">
        <v>0</v>
      </c>
      <c r="BP11" s="10">
        <v>9.4E-2</v>
      </c>
      <c r="BQ11" s="10">
        <v>1.9E-2</v>
      </c>
      <c r="BR11" s="10">
        <v>3.4000000000000002E-2</v>
      </c>
      <c r="BS11" s="10">
        <v>0</v>
      </c>
      <c r="BT11" s="10">
        <v>0</v>
      </c>
      <c r="BU11" s="10">
        <v>0</v>
      </c>
      <c r="BV11" s="10">
        <v>1E-3</v>
      </c>
      <c r="BW11" s="10">
        <v>2E-3</v>
      </c>
      <c r="BX11" s="10">
        <v>5.0000000000000001E-3</v>
      </c>
      <c r="BY11" s="10">
        <v>1.4999999999999999E-2</v>
      </c>
      <c r="BZ11" s="10">
        <v>5.0000000000000001E-3</v>
      </c>
      <c r="CA11" s="10">
        <v>1E-3</v>
      </c>
      <c r="CB11" s="10">
        <v>4.5999999999999999E-2</v>
      </c>
      <c r="CC11" s="10">
        <v>0</v>
      </c>
      <c r="CD11" s="10">
        <v>0.56499999999999995</v>
      </c>
      <c r="CE11" s="10">
        <v>847.43299999999999</v>
      </c>
      <c r="CF11" s="10">
        <v>828.83500000000004</v>
      </c>
      <c r="CG11" s="10">
        <v>0.32400000000000001</v>
      </c>
      <c r="CH11" s="10">
        <v>17.856999999999999</v>
      </c>
      <c r="CI11" s="10">
        <v>0</v>
      </c>
      <c r="CJ11" s="10">
        <v>0.41699999999999998</v>
      </c>
      <c r="CK11" s="10">
        <v>0</v>
      </c>
    </row>
    <row r="12" spans="1:89" x14ac:dyDescent="0.3">
      <c r="A12" s="8" t="s">
        <v>99</v>
      </c>
      <c r="B12" s="11">
        <v>886533.21499999997</v>
      </c>
      <c r="C12" s="10">
        <f t="shared" si="0"/>
        <v>392463.451</v>
      </c>
      <c r="D12" s="11">
        <v>392467.07799999998</v>
      </c>
      <c r="E12" s="11">
        <v>4.4169999999999998</v>
      </c>
      <c r="F12" s="11">
        <v>8.0570000000000004</v>
      </c>
      <c r="G12" s="11">
        <v>0.11899999999999999</v>
      </c>
      <c r="H12" s="11">
        <v>0.218</v>
      </c>
      <c r="I12" s="11">
        <v>8.4000000000000005E-2</v>
      </c>
      <c r="J12" s="11">
        <v>3.6269999999999998</v>
      </c>
      <c r="K12" s="11">
        <v>1.7490000000000001</v>
      </c>
      <c r="L12" s="11">
        <v>0.90200000000000002</v>
      </c>
      <c r="M12" s="11">
        <v>3.2429999999999999</v>
      </c>
      <c r="N12" s="11">
        <v>35.283000000000001</v>
      </c>
      <c r="O12" s="11">
        <v>4.8490000000000002</v>
      </c>
      <c r="P12" s="11">
        <v>2.6960000000000002</v>
      </c>
      <c r="Q12" s="11">
        <v>34.100999999999999</v>
      </c>
      <c r="R12" s="11">
        <v>3.4420000000000002</v>
      </c>
      <c r="S12" s="11">
        <v>0.85299999999999998</v>
      </c>
      <c r="T12" s="11">
        <v>0.67400000000000004</v>
      </c>
      <c r="U12" s="11">
        <v>1.4330000000000001</v>
      </c>
      <c r="V12" s="11">
        <v>0.86199999999999999</v>
      </c>
      <c r="W12" s="11">
        <v>1.0509999999999999</v>
      </c>
      <c r="X12" s="11">
        <v>5.0209999999999999</v>
      </c>
      <c r="Y12" s="11">
        <v>1.3540000000000001</v>
      </c>
      <c r="Z12" s="11">
        <v>280841.51699999999</v>
      </c>
      <c r="AA12" s="11">
        <v>111323.31600000001</v>
      </c>
      <c r="AB12" s="11">
        <v>8.3369999999999997</v>
      </c>
      <c r="AC12" s="11">
        <v>5.258</v>
      </c>
      <c r="AD12" s="11">
        <v>12.183999999999999</v>
      </c>
      <c r="AE12" s="11">
        <v>7.65</v>
      </c>
      <c r="AF12" s="11">
        <v>8.6069999999999993</v>
      </c>
      <c r="AG12" s="11">
        <v>12.086</v>
      </c>
      <c r="AH12" s="11">
        <v>6.4189999999999996</v>
      </c>
      <c r="AI12" s="11">
        <v>68.119</v>
      </c>
      <c r="AJ12" s="11">
        <v>2</v>
      </c>
      <c r="AK12" s="11">
        <v>3.0339999999999998</v>
      </c>
      <c r="AL12" s="11">
        <v>4.18</v>
      </c>
      <c r="AM12" s="11">
        <v>1.9830000000000001</v>
      </c>
      <c r="AN12" s="11">
        <v>1.9430000000000001</v>
      </c>
      <c r="AO12" s="11">
        <v>0.24099999999999999</v>
      </c>
      <c r="AP12" s="11">
        <v>0.154</v>
      </c>
      <c r="AQ12" s="11">
        <v>4.3550000000000004</v>
      </c>
      <c r="AR12" s="11">
        <v>3.194</v>
      </c>
      <c r="AS12" s="11">
        <v>0.128</v>
      </c>
      <c r="AT12" s="11">
        <v>1.9E-2</v>
      </c>
      <c r="AU12" s="11">
        <v>1.5309999999999999</v>
      </c>
      <c r="AV12" s="11">
        <v>4.0000000000000001E-3</v>
      </c>
      <c r="AW12" s="11">
        <v>0.29499999999999998</v>
      </c>
      <c r="AX12" s="11">
        <v>0.183</v>
      </c>
      <c r="AY12" s="11">
        <v>6.6000000000000003E-2</v>
      </c>
      <c r="AZ12" s="11">
        <v>0.155</v>
      </c>
      <c r="BA12" s="11">
        <v>0.20599999999999999</v>
      </c>
      <c r="BB12" s="11">
        <v>2.4710000000000001</v>
      </c>
      <c r="BC12" s="11">
        <v>3.5000000000000003E-2</v>
      </c>
      <c r="BD12" s="11">
        <v>3.0000000000000001E-3</v>
      </c>
      <c r="BE12" s="11">
        <v>0.13900000000000001</v>
      </c>
      <c r="BF12" s="11">
        <v>1.238</v>
      </c>
      <c r="BG12" s="11">
        <v>4.3999999999999997E-2</v>
      </c>
      <c r="BH12" s="11">
        <v>8.5000000000000006E-2</v>
      </c>
      <c r="BI12" s="11">
        <v>2.3460000000000001</v>
      </c>
      <c r="BJ12" s="11">
        <v>0.86</v>
      </c>
      <c r="BK12" s="11">
        <v>5.0000000000000001E-3</v>
      </c>
      <c r="BL12" s="11">
        <v>2.0179999999999998</v>
      </c>
      <c r="BM12" s="11">
        <v>0.28100000000000003</v>
      </c>
      <c r="BN12" s="11">
        <v>3.7189999999999999</v>
      </c>
      <c r="BO12" s="11">
        <v>0.19500000000000001</v>
      </c>
      <c r="BP12" s="11">
        <v>1.6240000000000001</v>
      </c>
      <c r="BQ12" s="11">
        <v>2.4119999999999999</v>
      </c>
      <c r="BR12" s="11">
        <v>4.4740000000000002</v>
      </c>
      <c r="BS12" s="11">
        <v>4.1000000000000002E-2</v>
      </c>
      <c r="BT12" s="11">
        <v>0.30099999999999999</v>
      </c>
      <c r="BU12" s="11">
        <v>0.215</v>
      </c>
      <c r="BV12" s="11">
        <v>6.6000000000000003E-2</v>
      </c>
      <c r="BW12" s="11">
        <v>0.72799999999999998</v>
      </c>
      <c r="BX12" s="11">
        <v>2.3380000000000001</v>
      </c>
      <c r="BY12" s="11">
        <v>4.117</v>
      </c>
      <c r="BZ12" s="11">
        <v>1.9790000000000001</v>
      </c>
      <c r="CA12" s="11">
        <v>0.69699999999999995</v>
      </c>
      <c r="CB12" s="11">
        <v>0.5</v>
      </c>
      <c r="CC12" s="11">
        <v>0</v>
      </c>
      <c r="CD12" s="11">
        <v>2.948</v>
      </c>
      <c r="CE12" s="11">
        <v>494066.13699999999</v>
      </c>
      <c r="CF12" s="11">
        <v>518.71299999999997</v>
      </c>
      <c r="CG12" s="11">
        <v>0</v>
      </c>
      <c r="CH12" s="11">
        <v>95.936000000000007</v>
      </c>
      <c r="CI12" s="11">
        <v>0</v>
      </c>
      <c r="CJ12" s="11">
        <v>493451.48800000001</v>
      </c>
      <c r="CK12" s="11">
        <v>0</v>
      </c>
    </row>
    <row r="13" spans="1:89" x14ac:dyDescent="0.3">
      <c r="A13" s="7" t="s">
        <v>100</v>
      </c>
      <c r="B13" s="10">
        <v>421712.98100000003</v>
      </c>
      <c r="C13" s="10">
        <f t="shared" si="0"/>
        <v>322518.81</v>
      </c>
      <c r="D13" s="10">
        <v>323263.478</v>
      </c>
      <c r="E13" s="10">
        <v>513.08600000000001</v>
      </c>
      <c r="F13" s="10">
        <v>199.65299999999999</v>
      </c>
      <c r="G13" s="10">
        <v>15.74</v>
      </c>
      <c r="H13" s="10">
        <v>13.651</v>
      </c>
      <c r="I13" s="10">
        <v>2.02</v>
      </c>
      <c r="J13" s="10">
        <v>744.66800000000001</v>
      </c>
      <c r="K13" s="10">
        <v>4136.3339999999998</v>
      </c>
      <c r="L13" s="10">
        <v>330.827</v>
      </c>
      <c r="M13" s="10">
        <v>10931.14</v>
      </c>
      <c r="N13" s="10">
        <v>26090.879000000001</v>
      </c>
      <c r="O13" s="10">
        <v>14408.831</v>
      </c>
      <c r="P13" s="10">
        <v>4949.2659999999996</v>
      </c>
      <c r="Q13" s="10">
        <v>757.51900000000001</v>
      </c>
      <c r="R13" s="10">
        <v>810.15099999999995</v>
      </c>
      <c r="S13" s="10">
        <v>1.4330000000000001</v>
      </c>
      <c r="T13" s="10">
        <v>2.052</v>
      </c>
      <c r="U13" s="10">
        <v>4.3609999999999998</v>
      </c>
      <c r="V13" s="10">
        <v>2.3149999999999999</v>
      </c>
      <c r="W13" s="10">
        <v>2.552</v>
      </c>
      <c r="X13" s="10">
        <v>176.358</v>
      </c>
      <c r="Y13" s="10">
        <v>6.1929999999999996</v>
      </c>
      <c r="Z13" s="10">
        <v>788.37800000000004</v>
      </c>
      <c r="AA13" s="10">
        <v>4712.799</v>
      </c>
      <c r="AB13" s="10">
        <v>118.068</v>
      </c>
      <c r="AC13" s="10">
        <v>58284.243000000002</v>
      </c>
      <c r="AD13" s="10">
        <v>190920.63099999999</v>
      </c>
      <c r="AE13" s="10">
        <v>654.30100000000004</v>
      </c>
      <c r="AF13" s="10">
        <v>18.827999999999999</v>
      </c>
      <c r="AG13" s="10">
        <v>41.991999999999997</v>
      </c>
      <c r="AH13" s="10">
        <v>73.593000000000004</v>
      </c>
      <c r="AI13" s="10">
        <v>399.61099999999999</v>
      </c>
      <c r="AJ13" s="10">
        <v>2.2789999999999999</v>
      </c>
      <c r="AK13" s="10">
        <v>572.23299999999995</v>
      </c>
      <c r="AL13" s="10">
        <v>180.285</v>
      </c>
      <c r="AM13" s="10">
        <v>183.113</v>
      </c>
      <c r="AN13" s="10">
        <v>10.593999999999999</v>
      </c>
      <c r="AO13" s="10">
        <v>29.542000000000002</v>
      </c>
      <c r="AP13" s="10">
        <v>1.29</v>
      </c>
      <c r="AQ13" s="10">
        <v>190.904</v>
      </c>
      <c r="AR13" s="10">
        <v>360.22199999999998</v>
      </c>
      <c r="AS13" s="10">
        <v>21.885999999999999</v>
      </c>
      <c r="AT13" s="10">
        <v>1.929</v>
      </c>
      <c r="AU13" s="10">
        <v>34.917999999999999</v>
      </c>
      <c r="AV13" s="10">
        <v>2.9000000000000001E-2</v>
      </c>
      <c r="AW13" s="10">
        <v>34.972999999999999</v>
      </c>
      <c r="AX13" s="10">
        <v>4.6390000000000002</v>
      </c>
      <c r="AY13" s="10">
        <v>1.181</v>
      </c>
      <c r="AZ13" s="10">
        <v>14.432</v>
      </c>
      <c r="BA13" s="10">
        <v>19.747</v>
      </c>
      <c r="BB13" s="10">
        <v>161.374</v>
      </c>
      <c r="BC13" s="10">
        <v>1.3160000000000001</v>
      </c>
      <c r="BD13" s="10">
        <v>0.51</v>
      </c>
      <c r="BE13" s="10">
        <v>3.3000000000000002E-2</v>
      </c>
      <c r="BF13" s="10">
        <v>34.146999999999998</v>
      </c>
      <c r="BG13" s="10">
        <v>2.5590000000000002</v>
      </c>
      <c r="BH13" s="10">
        <v>5.3049999999999997</v>
      </c>
      <c r="BI13" s="10">
        <v>191.137</v>
      </c>
      <c r="BJ13" s="10">
        <v>15.029</v>
      </c>
      <c r="BK13" s="10">
        <v>0.14599999999999999</v>
      </c>
      <c r="BL13" s="10">
        <v>65.167000000000002</v>
      </c>
      <c r="BM13" s="10">
        <v>3.9380000000000002</v>
      </c>
      <c r="BN13" s="10">
        <v>57.828000000000003</v>
      </c>
      <c r="BO13" s="10">
        <v>1.1859999999999999</v>
      </c>
      <c r="BP13" s="10">
        <v>121.85599999999999</v>
      </c>
      <c r="BQ13" s="10">
        <v>129.501</v>
      </c>
      <c r="BR13" s="10">
        <v>44.179000000000002</v>
      </c>
      <c r="BS13" s="10">
        <v>2.52</v>
      </c>
      <c r="BT13" s="10">
        <v>12.725</v>
      </c>
      <c r="BU13" s="10">
        <v>2.1949999999999998</v>
      </c>
      <c r="BV13" s="10">
        <v>2.1480000000000001</v>
      </c>
      <c r="BW13" s="10">
        <v>22.065999999999999</v>
      </c>
      <c r="BX13" s="10">
        <v>47.759</v>
      </c>
      <c r="BY13" s="10">
        <v>77.551000000000002</v>
      </c>
      <c r="BZ13" s="10">
        <v>2.7</v>
      </c>
      <c r="CA13" s="10">
        <v>21.417000000000002</v>
      </c>
      <c r="CB13" s="10">
        <v>19.657</v>
      </c>
      <c r="CC13" s="10">
        <v>0</v>
      </c>
      <c r="CD13" s="10">
        <v>441.86</v>
      </c>
      <c r="CE13" s="10">
        <v>98449.502999999997</v>
      </c>
      <c r="CF13" s="10">
        <v>20.853999999999999</v>
      </c>
      <c r="CG13" s="10">
        <v>6.359</v>
      </c>
      <c r="CH13" s="10">
        <v>441.53699999999998</v>
      </c>
      <c r="CI13" s="10">
        <v>1628.537</v>
      </c>
      <c r="CJ13" s="10">
        <v>96352.216</v>
      </c>
      <c r="CK13" s="10">
        <v>0</v>
      </c>
    </row>
    <row r="14" spans="1:89" x14ac:dyDescent="0.3">
      <c r="A14" s="8" t="s">
        <v>101</v>
      </c>
      <c r="B14" s="11">
        <v>152934.18700000001</v>
      </c>
      <c r="C14" s="10">
        <f t="shared" si="0"/>
        <v>381.67399999999998</v>
      </c>
      <c r="D14" s="11">
        <v>3485.319</v>
      </c>
      <c r="E14" s="11">
        <v>0</v>
      </c>
      <c r="F14" s="11">
        <v>7.0000000000000001E-3</v>
      </c>
      <c r="G14" s="11">
        <v>2.3E-2</v>
      </c>
      <c r="H14" s="11">
        <v>1.0999999999999999E-2</v>
      </c>
      <c r="I14" s="11">
        <v>5.0000000000000001E-3</v>
      </c>
      <c r="J14" s="11">
        <v>3103.645</v>
      </c>
      <c r="K14" s="11">
        <v>300.16699999999997</v>
      </c>
      <c r="L14" s="11">
        <v>43.921999999999997</v>
      </c>
      <c r="M14" s="11">
        <v>0.35699999999999998</v>
      </c>
      <c r="N14" s="11">
        <v>7.1820000000000004</v>
      </c>
      <c r="O14" s="11">
        <v>3.089</v>
      </c>
      <c r="P14" s="11">
        <v>3.2559999999999998</v>
      </c>
      <c r="Q14" s="11">
        <v>0.09</v>
      </c>
      <c r="R14" s="11">
        <v>1.6E-2</v>
      </c>
      <c r="S14" s="11">
        <v>7.0000000000000001E-3</v>
      </c>
      <c r="T14" s="11">
        <v>0.01</v>
      </c>
      <c r="U14" s="11">
        <v>2.9000000000000001E-2</v>
      </c>
      <c r="V14" s="11">
        <v>7.0000000000000001E-3</v>
      </c>
      <c r="W14" s="11">
        <v>1.4E-2</v>
      </c>
      <c r="X14" s="11">
        <v>8.7999999999999995E-2</v>
      </c>
      <c r="Y14" s="11">
        <v>5.1999999999999998E-2</v>
      </c>
      <c r="Z14" s="11">
        <v>8.9999999999999993E-3</v>
      </c>
      <c r="AA14" s="11">
        <v>0.159</v>
      </c>
      <c r="AB14" s="11">
        <v>9.5000000000000001E-2</v>
      </c>
      <c r="AC14" s="11">
        <v>6.5000000000000002E-2</v>
      </c>
      <c r="AD14" s="11">
        <v>0.28999999999999998</v>
      </c>
      <c r="AE14" s="11">
        <v>0.107</v>
      </c>
      <c r="AF14" s="11">
        <v>0.14899999999999999</v>
      </c>
      <c r="AG14" s="11">
        <v>0.65500000000000003</v>
      </c>
      <c r="AH14" s="11">
        <v>8.3000000000000004E-2</v>
      </c>
      <c r="AI14" s="11">
        <v>4.18</v>
      </c>
      <c r="AJ14" s="11">
        <v>0.02</v>
      </c>
      <c r="AK14" s="11">
        <v>3.5999999999999997E-2</v>
      </c>
      <c r="AL14" s="11">
        <v>1.4119999999999999</v>
      </c>
      <c r="AM14" s="11">
        <v>1.395</v>
      </c>
      <c r="AN14" s="11">
        <v>2.4E-2</v>
      </c>
      <c r="AO14" s="11">
        <v>3.7999999999999999E-2</v>
      </c>
      <c r="AP14" s="11">
        <v>1.2E-2</v>
      </c>
      <c r="AQ14" s="11">
        <v>1.2E-2</v>
      </c>
      <c r="AR14" s="11">
        <v>1.2E-2</v>
      </c>
      <c r="AS14" s="11">
        <v>1E-3</v>
      </c>
      <c r="AT14" s="11">
        <v>0</v>
      </c>
      <c r="AU14" s="11">
        <v>4.3999999999999997E-2</v>
      </c>
      <c r="AV14" s="11">
        <v>0</v>
      </c>
      <c r="AW14" s="11">
        <v>2E-3</v>
      </c>
      <c r="AX14" s="11">
        <v>7.6999999999999999E-2</v>
      </c>
      <c r="AY14" s="11">
        <v>4.0000000000000001E-3</v>
      </c>
      <c r="AZ14" s="11">
        <v>0.09</v>
      </c>
      <c r="BA14" s="11">
        <v>3.1E-2</v>
      </c>
      <c r="BB14" s="11">
        <v>3.4000000000000002E-2</v>
      </c>
      <c r="BC14" s="11">
        <v>3.0000000000000001E-3</v>
      </c>
      <c r="BD14" s="11">
        <v>6.0000000000000001E-3</v>
      </c>
      <c r="BE14" s="11">
        <v>1E-3</v>
      </c>
      <c r="BF14" s="11">
        <v>0.65700000000000003</v>
      </c>
      <c r="BG14" s="11">
        <v>4.3999999999999997E-2</v>
      </c>
      <c r="BH14" s="11">
        <v>7.9000000000000001E-2</v>
      </c>
      <c r="BI14" s="11">
        <v>0.21099999999999999</v>
      </c>
      <c r="BJ14" s="11">
        <v>1.4999999999999999E-2</v>
      </c>
      <c r="BK14" s="11">
        <v>0</v>
      </c>
      <c r="BL14" s="11">
        <v>0.22900000000000001</v>
      </c>
      <c r="BM14" s="11">
        <v>4.0000000000000001E-3</v>
      </c>
      <c r="BN14" s="11">
        <v>0.13700000000000001</v>
      </c>
      <c r="BO14" s="11">
        <v>5.0000000000000001E-3</v>
      </c>
      <c r="BP14" s="11">
        <v>1.821</v>
      </c>
      <c r="BQ14" s="11">
        <v>1.643</v>
      </c>
      <c r="BR14" s="11">
        <v>0.71199999999999997</v>
      </c>
      <c r="BS14" s="11">
        <v>3.5000000000000003E-2</v>
      </c>
      <c r="BT14" s="11">
        <v>0.2</v>
      </c>
      <c r="BU14" s="11">
        <v>1.4999999999999999E-2</v>
      </c>
      <c r="BV14" s="11">
        <v>1.7999999999999999E-2</v>
      </c>
      <c r="BW14" s="11">
        <v>9.1999999999999998E-2</v>
      </c>
      <c r="BX14" s="11">
        <v>7.2999999999999995E-2</v>
      </c>
      <c r="BY14" s="11">
        <v>0.187</v>
      </c>
      <c r="BZ14" s="11">
        <v>2.5999999999999999E-2</v>
      </c>
      <c r="CA14" s="11">
        <v>0.253</v>
      </c>
      <c r="CB14" s="11">
        <v>0.29599999999999999</v>
      </c>
      <c r="CC14" s="11">
        <v>0</v>
      </c>
      <c r="CD14" s="11">
        <v>7.5439999999999996</v>
      </c>
      <c r="CE14" s="11">
        <v>149448.86799999999</v>
      </c>
      <c r="CF14" s="11">
        <v>0.34399999999999997</v>
      </c>
      <c r="CG14" s="11">
        <v>0.108</v>
      </c>
      <c r="CH14" s="11">
        <v>149442.796</v>
      </c>
      <c r="CI14" s="11">
        <v>5.4480000000000004</v>
      </c>
      <c r="CJ14" s="11">
        <v>0.17199999999999999</v>
      </c>
      <c r="CK14" s="11">
        <v>0</v>
      </c>
    </row>
    <row r="15" spans="1:89" x14ac:dyDescent="0.3">
      <c r="A15" s="7" t="s">
        <v>102</v>
      </c>
      <c r="B15" s="10">
        <v>735834.91200000001</v>
      </c>
      <c r="C15" s="10">
        <f t="shared" si="0"/>
        <v>441715.57300000003</v>
      </c>
      <c r="D15" s="10">
        <v>444940.84100000001</v>
      </c>
      <c r="E15" s="10">
        <v>10645.011</v>
      </c>
      <c r="F15" s="10">
        <v>5365.3609999999999</v>
      </c>
      <c r="G15" s="10">
        <v>103.524</v>
      </c>
      <c r="H15" s="10">
        <v>94.781000000000006</v>
      </c>
      <c r="I15" s="10">
        <v>164.84899999999999</v>
      </c>
      <c r="J15" s="10">
        <v>3225.268</v>
      </c>
      <c r="K15" s="10">
        <v>13707.433999999999</v>
      </c>
      <c r="L15" s="10">
        <v>6089.415</v>
      </c>
      <c r="M15" s="10">
        <v>11714.333000000001</v>
      </c>
      <c r="N15" s="10">
        <v>2369.8049999999998</v>
      </c>
      <c r="O15" s="10">
        <v>3568.8710000000001</v>
      </c>
      <c r="P15" s="10">
        <v>1575.7360000000001</v>
      </c>
      <c r="Q15" s="10">
        <v>24625.93</v>
      </c>
      <c r="R15" s="10">
        <v>4610.8990000000003</v>
      </c>
      <c r="S15" s="10">
        <v>6490.9790000000003</v>
      </c>
      <c r="T15" s="10">
        <v>1281.8820000000001</v>
      </c>
      <c r="U15" s="10">
        <v>4409.4970000000003</v>
      </c>
      <c r="V15" s="10">
        <v>1528.3530000000001</v>
      </c>
      <c r="W15" s="10">
        <v>1295.9760000000001</v>
      </c>
      <c r="X15" s="10">
        <v>5628.5290000000005</v>
      </c>
      <c r="Y15" s="10">
        <v>1230.5419999999999</v>
      </c>
      <c r="Z15" s="10">
        <v>10712.519</v>
      </c>
      <c r="AA15" s="10">
        <v>13106.267</v>
      </c>
      <c r="AB15" s="10">
        <v>12342.045</v>
      </c>
      <c r="AC15" s="10">
        <v>8180.0709999999999</v>
      </c>
      <c r="AD15" s="10">
        <v>27534.364000000001</v>
      </c>
      <c r="AE15" s="10">
        <v>6582.5320000000002</v>
      </c>
      <c r="AF15" s="10">
        <v>8374.3119999999999</v>
      </c>
      <c r="AG15" s="10">
        <v>15245.329</v>
      </c>
      <c r="AH15" s="10">
        <v>3824.6529999999998</v>
      </c>
      <c r="AI15" s="10">
        <v>41047.321000000004</v>
      </c>
      <c r="AJ15" s="10">
        <v>989.54899999999998</v>
      </c>
      <c r="AK15" s="10">
        <v>2203.817</v>
      </c>
      <c r="AL15" s="10">
        <v>15647.29</v>
      </c>
      <c r="AM15" s="10">
        <v>66085.608999999997</v>
      </c>
      <c r="AN15" s="10">
        <v>110.393</v>
      </c>
      <c r="AO15" s="10">
        <v>90.412000000000006</v>
      </c>
      <c r="AP15" s="10">
        <v>157.911</v>
      </c>
      <c r="AQ15" s="10">
        <v>642.428</v>
      </c>
      <c r="AR15" s="10">
        <v>1718.521</v>
      </c>
      <c r="AS15" s="10">
        <v>351.40499999999997</v>
      </c>
      <c r="AT15" s="10">
        <v>18.460999999999999</v>
      </c>
      <c r="AU15" s="10">
        <v>1029.4549999999999</v>
      </c>
      <c r="AV15" s="10">
        <v>15.718</v>
      </c>
      <c r="AW15" s="10">
        <v>114.779</v>
      </c>
      <c r="AX15" s="10">
        <v>1854.3879999999999</v>
      </c>
      <c r="AY15" s="10">
        <v>149.714</v>
      </c>
      <c r="AZ15" s="10">
        <v>616.88699999999994</v>
      </c>
      <c r="BA15" s="10">
        <v>992.76900000000001</v>
      </c>
      <c r="BB15" s="10">
        <v>4973.8599999999997</v>
      </c>
      <c r="BC15" s="10">
        <v>266.96800000000002</v>
      </c>
      <c r="BD15" s="10">
        <v>26.085999999999999</v>
      </c>
      <c r="BE15" s="10">
        <v>33.625</v>
      </c>
      <c r="BF15" s="10">
        <v>3780.7289999999998</v>
      </c>
      <c r="BG15" s="10">
        <v>157.654</v>
      </c>
      <c r="BH15" s="10">
        <v>1412.5809999999999</v>
      </c>
      <c r="BI15" s="10">
        <v>18416.008999999998</v>
      </c>
      <c r="BJ15" s="10">
        <v>588.67499999999995</v>
      </c>
      <c r="BK15" s="10">
        <v>8.5449999999999999</v>
      </c>
      <c r="BL15" s="10">
        <v>4005.7190000000001</v>
      </c>
      <c r="BM15" s="10">
        <v>492.09100000000001</v>
      </c>
      <c r="BN15" s="10">
        <v>5859.7280000000001</v>
      </c>
      <c r="BO15" s="10">
        <v>116.496</v>
      </c>
      <c r="BP15" s="10">
        <v>12114.514999999999</v>
      </c>
      <c r="BQ15" s="10">
        <v>3922.4479999999999</v>
      </c>
      <c r="BR15" s="10">
        <v>4302.1270000000004</v>
      </c>
      <c r="BS15" s="10">
        <v>147.46</v>
      </c>
      <c r="BT15" s="10">
        <v>487.726</v>
      </c>
      <c r="BU15" s="10">
        <v>340.983</v>
      </c>
      <c r="BV15" s="10">
        <v>199.048</v>
      </c>
      <c r="BW15" s="10">
        <v>2154.0839999999998</v>
      </c>
      <c r="BX15" s="10">
        <v>5095.5370000000003</v>
      </c>
      <c r="BY15" s="10">
        <v>4840.03</v>
      </c>
      <c r="BZ15" s="10">
        <v>1990.5260000000001</v>
      </c>
      <c r="CA15" s="10">
        <v>2878.6689999999999</v>
      </c>
      <c r="CB15" s="10">
        <v>1180.347</v>
      </c>
      <c r="CC15" s="10">
        <v>0</v>
      </c>
      <c r="CD15" s="10">
        <v>15682.681</v>
      </c>
      <c r="CE15" s="10">
        <v>290894.071</v>
      </c>
      <c r="CF15" s="10">
        <v>286082.97200000001</v>
      </c>
      <c r="CG15" s="10">
        <v>17.510999999999999</v>
      </c>
      <c r="CH15" s="10">
        <v>484.36</v>
      </c>
      <c r="CI15" s="10">
        <v>0</v>
      </c>
      <c r="CJ15" s="10">
        <v>4309.2280000000001</v>
      </c>
      <c r="CK15" s="10">
        <v>0</v>
      </c>
    </row>
    <row r="16" spans="1:89" x14ac:dyDescent="0.3">
      <c r="A16" s="8" t="s">
        <v>103</v>
      </c>
      <c r="B16" s="11">
        <v>2090312.49</v>
      </c>
      <c r="C16" s="10">
        <f t="shared" si="0"/>
        <v>23704.143</v>
      </c>
      <c r="D16" s="11">
        <v>24145.843000000001</v>
      </c>
      <c r="E16" s="11">
        <v>11.804</v>
      </c>
      <c r="F16" s="11">
        <v>17.666</v>
      </c>
      <c r="G16" s="11">
        <v>1.5089999999999999</v>
      </c>
      <c r="H16" s="11">
        <v>6.1239999999999997</v>
      </c>
      <c r="I16" s="11">
        <v>0.97799999999999998</v>
      </c>
      <c r="J16" s="11">
        <v>441.7</v>
      </c>
      <c r="K16" s="11">
        <v>260.63</v>
      </c>
      <c r="L16" s="11">
        <v>390.13799999999998</v>
      </c>
      <c r="M16" s="11">
        <v>449.68799999999999</v>
      </c>
      <c r="N16" s="11">
        <v>15576.753000000001</v>
      </c>
      <c r="O16" s="11">
        <v>1144.3040000000001</v>
      </c>
      <c r="P16" s="11">
        <v>575.39599999999996</v>
      </c>
      <c r="Q16" s="11">
        <v>118.596</v>
      </c>
      <c r="R16" s="11">
        <v>16.358000000000001</v>
      </c>
      <c r="S16" s="11">
        <v>4.4580000000000002</v>
      </c>
      <c r="T16" s="11">
        <v>3.7250000000000001</v>
      </c>
      <c r="U16" s="11">
        <v>12.438000000000001</v>
      </c>
      <c r="V16" s="11">
        <v>4.1340000000000003</v>
      </c>
      <c r="W16" s="11">
        <v>7.2060000000000004</v>
      </c>
      <c r="X16" s="11">
        <v>33.905999999999999</v>
      </c>
      <c r="Y16" s="11">
        <v>26.056000000000001</v>
      </c>
      <c r="Z16" s="11">
        <v>13.000999999999999</v>
      </c>
      <c r="AA16" s="11">
        <v>429.79899999999998</v>
      </c>
      <c r="AB16" s="11">
        <v>57.198</v>
      </c>
      <c r="AC16" s="11">
        <v>34.298999999999999</v>
      </c>
      <c r="AD16" s="11">
        <v>73.617999999999995</v>
      </c>
      <c r="AE16" s="11">
        <v>67.313000000000002</v>
      </c>
      <c r="AF16" s="11">
        <v>45.234000000000002</v>
      </c>
      <c r="AG16" s="11">
        <v>76.28</v>
      </c>
      <c r="AH16" s="11">
        <v>26.893000000000001</v>
      </c>
      <c r="AI16" s="11">
        <v>958.18399999999997</v>
      </c>
      <c r="AJ16" s="11">
        <v>16.414999999999999</v>
      </c>
      <c r="AK16" s="11">
        <v>12.712999999999999</v>
      </c>
      <c r="AL16" s="11">
        <v>169.03299999999999</v>
      </c>
      <c r="AM16" s="11">
        <v>227.52799999999999</v>
      </c>
      <c r="AN16" s="11">
        <v>5.98</v>
      </c>
      <c r="AO16" s="11">
        <v>2.8330000000000002</v>
      </c>
      <c r="AP16" s="11">
        <v>1.1819999999999999</v>
      </c>
      <c r="AQ16" s="11">
        <v>7.2380000000000004</v>
      </c>
      <c r="AR16" s="11">
        <v>20.524000000000001</v>
      </c>
      <c r="AS16" s="11">
        <v>122.11</v>
      </c>
      <c r="AT16" s="11">
        <v>0.10199999999999999</v>
      </c>
      <c r="AU16" s="11">
        <v>9.8000000000000007</v>
      </c>
      <c r="AV16" s="11">
        <v>0.125</v>
      </c>
      <c r="AW16" s="11">
        <v>1.0069999999999999</v>
      </c>
      <c r="AX16" s="11">
        <v>18.238</v>
      </c>
      <c r="AY16" s="11">
        <v>1.5609999999999999</v>
      </c>
      <c r="AZ16" s="11">
        <v>17.846</v>
      </c>
      <c r="BA16" s="11">
        <v>11.709</v>
      </c>
      <c r="BB16" s="11">
        <v>57.667000000000002</v>
      </c>
      <c r="BC16" s="11">
        <v>0.56200000000000006</v>
      </c>
      <c r="BD16" s="11">
        <v>1.3120000000000001</v>
      </c>
      <c r="BE16" s="11">
        <v>0.22600000000000001</v>
      </c>
      <c r="BF16" s="11">
        <v>63.835999999999999</v>
      </c>
      <c r="BG16" s="11">
        <v>9.3539999999999992</v>
      </c>
      <c r="BH16" s="11">
        <v>130.34</v>
      </c>
      <c r="BI16" s="11">
        <v>100.357</v>
      </c>
      <c r="BJ16" s="11">
        <v>7.32</v>
      </c>
      <c r="BK16" s="11">
        <v>0.112</v>
      </c>
      <c r="BL16" s="11">
        <v>108.98</v>
      </c>
      <c r="BM16" s="11">
        <v>7.4189999999999996</v>
      </c>
      <c r="BN16" s="11">
        <v>729.54</v>
      </c>
      <c r="BO16" s="11">
        <v>3.4239999999999999</v>
      </c>
      <c r="BP16" s="11">
        <v>180.197</v>
      </c>
      <c r="BQ16" s="11">
        <v>187.566</v>
      </c>
      <c r="BR16" s="11">
        <v>52.222999999999999</v>
      </c>
      <c r="BS16" s="11">
        <v>2.7170000000000001</v>
      </c>
      <c r="BT16" s="11">
        <v>23.83</v>
      </c>
      <c r="BU16" s="11">
        <v>7.4059999999999997</v>
      </c>
      <c r="BV16" s="11">
        <v>2.5179999999999998</v>
      </c>
      <c r="BW16" s="11">
        <v>49.604999999999997</v>
      </c>
      <c r="BX16" s="11">
        <v>34.753</v>
      </c>
      <c r="BY16" s="11">
        <v>91.608000000000004</v>
      </c>
      <c r="BZ16" s="11">
        <v>27.451000000000001</v>
      </c>
      <c r="CA16" s="11">
        <v>94.400999999999996</v>
      </c>
      <c r="CB16" s="11">
        <v>41.723999999999997</v>
      </c>
      <c r="CC16" s="11">
        <v>0</v>
      </c>
      <c r="CD16" s="11">
        <v>598.06500000000005</v>
      </c>
      <c r="CE16" s="11">
        <v>2066166.6470000001</v>
      </c>
      <c r="CF16" s="11">
        <v>4232.2690000000002</v>
      </c>
      <c r="CG16" s="11">
        <v>59.436999999999998</v>
      </c>
      <c r="CH16" s="11">
        <v>2059378.1240000001</v>
      </c>
      <c r="CI16" s="11">
        <v>0</v>
      </c>
      <c r="CJ16" s="11">
        <v>2496.817</v>
      </c>
      <c r="CK16" s="11">
        <v>0</v>
      </c>
    </row>
    <row r="17" spans="1:89" x14ac:dyDescent="0.3">
      <c r="A17" s="7" t="s">
        <v>104</v>
      </c>
      <c r="B17" s="10">
        <v>568177.30299999996</v>
      </c>
      <c r="C17" s="10">
        <f t="shared" si="0"/>
        <v>43033.246999999996</v>
      </c>
      <c r="D17" s="10">
        <v>43608.637999999999</v>
      </c>
      <c r="E17" s="10">
        <v>8.8640000000000008</v>
      </c>
      <c r="F17" s="10">
        <v>12.771000000000001</v>
      </c>
      <c r="G17" s="10">
        <v>2.649</v>
      </c>
      <c r="H17" s="10">
        <v>6.2709999999999999</v>
      </c>
      <c r="I17" s="10">
        <v>1.1060000000000001</v>
      </c>
      <c r="J17" s="10">
        <v>575.39099999999996</v>
      </c>
      <c r="K17" s="10">
        <v>270.27699999999999</v>
      </c>
      <c r="L17" s="10">
        <v>596.03800000000001</v>
      </c>
      <c r="M17" s="10">
        <v>443.60899999999998</v>
      </c>
      <c r="N17" s="10">
        <v>2351.3519999999999</v>
      </c>
      <c r="O17" s="10">
        <v>33676.195</v>
      </c>
      <c r="P17" s="10">
        <v>721.23699999999997</v>
      </c>
      <c r="Q17" s="10">
        <v>81.248000000000005</v>
      </c>
      <c r="R17" s="10">
        <v>11.877000000000001</v>
      </c>
      <c r="S17" s="10">
        <v>3.0129999999999999</v>
      </c>
      <c r="T17" s="10">
        <v>2.76</v>
      </c>
      <c r="U17" s="10">
        <v>9.657</v>
      </c>
      <c r="V17" s="10">
        <v>3.1320000000000001</v>
      </c>
      <c r="W17" s="10">
        <v>6.298</v>
      </c>
      <c r="X17" s="10">
        <v>31.585000000000001</v>
      </c>
      <c r="Y17" s="10">
        <v>25.193999999999999</v>
      </c>
      <c r="Z17" s="10">
        <v>9.2840000000000007</v>
      </c>
      <c r="AA17" s="10">
        <v>402.625</v>
      </c>
      <c r="AB17" s="10">
        <v>50.029000000000003</v>
      </c>
      <c r="AC17" s="10">
        <v>30.914999999999999</v>
      </c>
      <c r="AD17" s="10">
        <v>67.055000000000007</v>
      </c>
      <c r="AE17" s="10">
        <v>61.277000000000001</v>
      </c>
      <c r="AF17" s="10">
        <v>43.372</v>
      </c>
      <c r="AG17" s="10">
        <v>98.846000000000004</v>
      </c>
      <c r="AH17" s="10">
        <v>24.997</v>
      </c>
      <c r="AI17" s="10">
        <v>1075.2339999999999</v>
      </c>
      <c r="AJ17" s="10">
        <v>13.263</v>
      </c>
      <c r="AK17" s="10">
        <v>10.356</v>
      </c>
      <c r="AL17" s="10">
        <v>175.60300000000001</v>
      </c>
      <c r="AM17" s="10">
        <v>187.34200000000001</v>
      </c>
      <c r="AN17" s="10">
        <v>4.3440000000000003</v>
      </c>
      <c r="AO17" s="10">
        <v>4.3680000000000003</v>
      </c>
      <c r="AP17" s="10">
        <v>1.482</v>
      </c>
      <c r="AQ17" s="10">
        <v>4.1210000000000004</v>
      </c>
      <c r="AR17" s="10">
        <v>6.4269999999999996</v>
      </c>
      <c r="AS17" s="10">
        <v>116.127</v>
      </c>
      <c r="AT17" s="10">
        <v>5.5E-2</v>
      </c>
      <c r="AU17" s="10">
        <v>7.5970000000000004</v>
      </c>
      <c r="AV17" s="10">
        <v>7.2999999999999995E-2</v>
      </c>
      <c r="AW17" s="10">
        <v>0.54300000000000004</v>
      </c>
      <c r="AX17" s="10">
        <v>17.949000000000002</v>
      </c>
      <c r="AY17" s="10">
        <v>1.18</v>
      </c>
      <c r="AZ17" s="10">
        <v>11.435</v>
      </c>
      <c r="BA17" s="10">
        <v>9.5289999999999999</v>
      </c>
      <c r="BB17" s="10">
        <v>18.978000000000002</v>
      </c>
      <c r="BC17" s="10">
        <v>0.46300000000000002</v>
      </c>
      <c r="BD17" s="10">
        <v>1.0469999999999999</v>
      </c>
      <c r="BE17" s="10">
        <v>0.128</v>
      </c>
      <c r="BF17" s="10">
        <v>57.875</v>
      </c>
      <c r="BG17" s="10">
        <v>10.090999999999999</v>
      </c>
      <c r="BH17" s="10">
        <v>124.886</v>
      </c>
      <c r="BI17" s="10">
        <v>91.293999999999997</v>
      </c>
      <c r="BJ17" s="10">
        <v>5.7949999999999999</v>
      </c>
      <c r="BK17" s="10">
        <v>9.1999999999999998E-2</v>
      </c>
      <c r="BL17" s="10">
        <v>102.14700000000001</v>
      </c>
      <c r="BM17" s="10">
        <v>1.956</v>
      </c>
      <c r="BN17" s="10">
        <v>124.172</v>
      </c>
      <c r="BO17" s="10">
        <v>3.2090000000000001</v>
      </c>
      <c r="BP17" s="10">
        <v>251.845</v>
      </c>
      <c r="BQ17" s="10">
        <v>227.30600000000001</v>
      </c>
      <c r="BR17" s="10">
        <v>80.108999999999995</v>
      </c>
      <c r="BS17" s="10">
        <v>4.3890000000000002</v>
      </c>
      <c r="BT17" s="10">
        <v>23.584</v>
      </c>
      <c r="BU17" s="10">
        <v>6.3810000000000002</v>
      </c>
      <c r="BV17" s="10">
        <v>2.8359999999999999</v>
      </c>
      <c r="BW17" s="10">
        <v>21.695</v>
      </c>
      <c r="BX17" s="10">
        <v>31.11</v>
      </c>
      <c r="BY17" s="10">
        <v>73.006</v>
      </c>
      <c r="BZ17" s="10">
        <v>16.731999999999999</v>
      </c>
      <c r="CA17" s="10">
        <v>78.5</v>
      </c>
      <c r="CB17" s="10">
        <v>54.685000000000002</v>
      </c>
      <c r="CC17" s="10">
        <v>0</v>
      </c>
      <c r="CD17" s="10">
        <v>918.375</v>
      </c>
      <c r="CE17" s="10">
        <v>524568.66500000004</v>
      </c>
      <c r="CF17" s="10">
        <v>1420.3630000000001</v>
      </c>
      <c r="CG17" s="10">
        <v>21666.505000000001</v>
      </c>
      <c r="CH17" s="10">
        <v>499205.74699999997</v>
      </c>
      <c r="CI17" s="10">
        <v>0</v>
      </c>
      <c r="CJ17" s="10">
        <v>2276.0500000000002</v>
      </c>
      <c r="CK17" s="10">
        <v>0</v>
      </c>
    </row>
    <row r="18" spans="1:89" x14ac:dyDescent="0.3">
      <c r="A18" s="8" t="s">
        <v>105</v>
      </c>
      <c r="B18" s="11">
        <v>304773.239</v>
      </c>
      <c r="C18" s="10">
        <f t="shared" si="0"/>
        <v>286189.7</v>
      </c>
      <c r="D18" s="11">
        <v>286355.58500000002</v>
      </c>
      <c r="E18" s="11">
        <v>7.9020000000000001</v>
      </c>
      <c r="F18" s="11">
        <v>21.423999999999999</v>
      </c>
      <c r="G18" s="11">
        <v>1283.7149999999999</v>
      </c>
      <c r="H18" s="11">
        <v>0.871</v>
      </c>
      <c r="I18" s="11">
        <v>12.135</v>
      </c>
      <c r="J18" s="11">
        <v>165.88499999999999</v>
      </c>
      <c r="K18" s="11">
        <v>4899.49</v>
      </c>
      <c r="L18" s="11">
        <v>1171.653</v>
      </c>
      <c r="M18" s="11">
        <v>58.292999999999999</v>
      </c>
      <c r="N18" s="11">
        <v>183442.32199999999</v>
      </c>
      <c r="O18" s="11">
        <v>69075.203999999998</v>
      </c>
      <c r="P18" s="11">
        <v>1353.0650000000001</v>
      </c>
      <c r="Q18" s="11">
        <v>921.2</v>
      </c>
      <c r="R18" s="11">
        <v>29.978000000000002</v>
      </c>
      <c r="S18" s="11">
        <v>2.7330000000000001</v>
      </c>
      <c r="T18" s="11">
        <v>13.246</v>
      </c>
      <c r="U18" s="11">
        <v>41.981999999999999</v>
      </c>
      <c r="V18" s="11">
        <v>10.868</v>
      </c>
      <c r="W18" s="11">
        <v>4.7510000000000003</v>
      </c>
      <c r="X18" s="11">
        <v>22.353999999999999</v>
      </c>
      <c r="Y18" s="11">
        <v>24.268000000000001</v>
      </c>
      <c r="Z18" s="11">
        <v>137.29400000000001</v>
      </c>
      <c r="AA18" s="11">
        <v>51.457999999999998</v>
      </c>
      <c r="AB18" s="11">
        <v>22.85</v>
      </c>
      <c r="AC18" s="11">
        <v>22.565000000000001</v>
      </c>
      <c r="AD18" s="11">
        <v>33.026000000000003</v>
      </c>
      <c r="AE18" s="11">
        <v>24.673999999999999</v>
      </c>
      <c r="AF18" s="11">
        <v>30.254000000000001</v>
      </c>
      <c r="AG18" s="11">
        <v>37.206000000000003</v>
      </c>
      <c r="AH18" s="11">
        <v>13.891</v>
      </c>
      <c r="AI18" s="11">
        <v>232.506</v>
      </c>
      <c r="AJ18" s="11">
        <v>9.7080000000000002</v>
      </c>
      <c r="AK18" s="11">
        <v>14.864000000000001</v>
      </c>
      <c r="AL18" s="11">
        <v>995.51400000000001</v>
      </c>
      <c r="AM18" s="11">
        <v>1029.1659999999999</v>
      </c>
      <c r="AN18" s="11">
        <v>82.197000000000003</v>
      </c>
      <c r="AO18" s="11">
        <v>5.24</v>
      </c>
      <c r="AP18" s="11">
        <v>15.224</v>
      </c>
      <c r="AQ18" s="11">
        <v>36.802999999999997</v>
      </c>
      <c r="AR18" s="11">
        <v>124.747</v>
      </c>
      <c r="AS18" s="11">
        <v>15.832000000000001</v>
      </c>
      <c r="AT18" s="11">
        <v>1.522</v>
      </c>
      <c r="AU18" s="11">
        <v>24.001000000000001</v>
      </c>
      <c r="AV18" s="11">
        <v>0.40600000000000003</v>
      </c>
      <c r="AW18" s="11">
        <v>5.74</v>
      </c>
      <c r="AX18" s="11">
        <v>33.061999999999998</v>
      </c>
      <c r="AY18" s="11">
        <v>2.4300000000000002</v>
      </c>
      <c r="AZ18" s="11">
        <v>8.0709999999999997</v>
      </c>
      <c r="BA18" s="11">
        <v>6.2560000000000002</v>
      </c>
      <c r="BB18" s="11">
        <v>44.045999999999999</v>
      </c>
      <c r="BC18" s="11">
        <v>0.30599999999999999</v>
      </c>
      <c r="BD18" s="11">
        <v>3.4460000000000002</v>
      </c>
      <c r="BE18" s="11">
        <v>0.24099999999999999</v>
      </c>
      <c r="BF18" s="11">
        <v>1115.3430000000001</v>
      </c>
      <c r="BG18" s="11">
        <v>1.3</v>
      </c>
      <c r="BH18" s="11">
        <v>16.626999999999999</v>
      </c>
      <c r="BI18" s="11">
        <v>89.471999999999994</v>
      </c>
      <c r="BJ18" s="11">
        <v>4.6580000000000004</v>
      </c>
      <c r="BK18" s="11">
        <v>3.6999999999999998E-2</v>
      </c>
      <c r="BL18" s="11">
        <v>423.83100000000002</v>
      </c>
      <c r="BM18" s="11">
        <v>2.8239999999999998</v>
      </c>
      <c r="BN18" s="11">
        <v>55.277999999999999</v>
      </c>
      <c r="BO18" s="11">
        <v>1.1659999999999999</v>
      </c>
      <c r="BP18" s="11">
        <v>4400.665</v>
      </c>
      <c r="BQ18" s="11">
        <v>1792.386</v>
      </c>
      <c r="BR18" s="11">
        <v>1206.922</v>
      </c>
      <c r="BS18" s="11">
        <v>1.597</v>
      </c>
      <c r="BT18" s="11">
        <v>69.86</v>
      </c>
      <c r="BU18" s="11">
        <v>28.465</v>
      </c>
      <c r="BV18" s="11">
        <v>346.07900000000001</v>
      </c>
      <c r="BW18" s="11">
        <v>132.024</v>
      </c>
      <c r="BX18" s="11">
        <v>33.331000000000003</v>
      </c>
      <c r="BY18" s="11">
        <v>165.98</v>
      </c>
      <c r="BZ18" s="11">
        <v>114.816</v>
      </c>
      <c r="CA18" s="11">
        <v>23.556000000000001</v>
      </c>
      <c r="CB18" s="11">
        <v>8.6690000000000005</v>
      </c>
      <c r="CC18" s="11">
        <v>0</v>
      </c>
      <c r="CD18" s="11">
        <v>10692.814</v>
      </c>
      <c r="CE18" s="11">
        <v>18417.653999999999</v>
      </c>
      <c r="CF18" s="11">
        <v>969.495</v>
      </c>
      <c r="CG18" s="11">
        <v>38.329000000000001</v>
      </c>
      <c r="CH18" s="11">
        <v>17055.457999999999</v>
      </c>
      <c r="CI18" s="11">
        <v>3.4740000000000002</v>
      </c>
      <c r="CJ18" s="11">
        <v>350.89800000000002</v>
      </c>
      <c r="CK18" s="11">
        <v>0</v>
      </c>
    </row>
    <row r="19" spans="1:89" x14ac:dyDescent="0.3">
      <c r="A19" s="7" t="s">
        <v>106</v>
      </c>
      <c r="B19" s="10">
        <v>2391061.35</v>
      </c>
      <c r="C19" s="10">
        <f t="shared" si="0"/>
        <v>477585.92300000001</v>
      </c>
      <c r="D19" s="10">
        <v>477681.13500000001</v>
      </c>
      <c r="E19" s="10">
        <v>224.97499999999999</v>
      </c>
      <c r="F19" s="10">
        <v>105047.594</v>
      </c>
      <c r="G19" s="10">
        <v>7.4740000000000002</v>
      </c>
      <c r="H19" s="10">
        <v>2888.645</v>
      </c>
      <c r="I19" s="10">
        <v>2.9540000000000002</v>
      </c>
      <c r="J19" s="10">
        <v>95.212000000000003</v>
      </c>
      <c r="K19" s="10">
        <v>126.61499999999999</v>
      </c>
      <c r="L19" s="10">
        <v>75.858999999999995</v>
      </c>
      <c r="M19" s="10">
        <v>128.857</v>
      </c>
      <c r="N19" s="10">
        <v>369.56099999999998</v>
      </c>
      <c r="O19" s="10">
        <v>152.27099999999999</v>
      </c>
      <c r="P19" s="10">
        <v>67.355000000000004</v>
      </c>
      <c r="Q19" s="10">
        <v>241608</v>
      </c>
      <c r="R19" s="10">
        <v>13973.174999999999</v>
      </c>
      <c r="S19" s="10">
        <v>83.587000000000003</v>
      </c>
      <c r="T19" s="10">
        <v>17.937000000000001</v>
      </c>
      <c r="U19" s="10">
        <v>154.84399999999999</v>
      </c>
      <c r="V19" s="10">
        <v>2308.7829999999999</v>
      </c>
      <c r="W19" s="10">
        <v>20.687000000000001</v>
      </c>
      <c r="X19" s="10">
        <v>1438.248</v>
      </c>
      <c r="Y19" s="10">
        <v>93.677999999999997</v>
      </c>
      <c r="Z19" s="10">
        <v>142.18</v>
      </c>
      <c r="AA19" s="10">
        <v>6093.0010000000002</v>
      </c>
      <c r="AB19" s="10">
        <v>280.53800000000001</v>
      </c>
      <c r="AC19" s="10">
        <v>649.25900000000001</v>
      </c>
      <c r="AD19" s="10">
        <v>342.78699999999998</v>
      </c>
      <c r="AE19" s="10">
        <v>149.131</v>
      </c>
      <c r="AF19" s="10">
        <v>169.26</v>
      </c>
      <c r="AG19" s="10">
        <v>255.49700000000001</v>
      </c>
      <c r="AH19" s="10">
        <v>100.49299999999999</v>
      </c>
      <c r="AI19" s="10">
        <v>1020.346</v>
      </c>
      <c r="AJ19" s="10">
        <v>32.478000000000002</v>
      </c>
      <c r="AK19" s="10">
        <v>74.637</v>
      </c>
      <c r="AL19" s="10">
        <v>224.041</v>
      </c>
      <c r="AM19" s="10">
        <v>675.14800000000002</v>
      </c>
      <c r="AN19" s="10">
        <v>2709.4430000000002</v>
      </c>
      <c r="AO19" s="10">
        <v>208.786</v>
      </c>
      <c r="AP19" s="10">
        <v>183.685</v>
      </c>
      <c r="AQ19" s="10">
        <v>634.17399999999998</v>
      </c>
      <c r="AR19" s="10">
        <v>1667.5029999999999</v>
      </c>
      <c r="AS19" s="10">
        <v>6.2610000000000001</v>
      </c>
      <c r="AT19" s="10">
        <v>19.594000000000001</v>
      </c>
      <c r="AU19" s="10">
        <v>374.13</v>
      </c>
      <c r="AV19" s="10">
        <v>1.292</v>
      </c>
      <c r="AW19" s="10">
        <v>78.186000000000007</v>
      </c>
      <c r="AX19" s="10">
        <v>165.441</v>
      </c>
      <c r="AY19" s="10">
        <v>63.835000000000001</v>
      </c>
      <c r="AZ19" s="10">
        <v>221.238</v>
      </c>
      <c r="BA19" s="10">
        <v>1111.327</v>
      </c>
      <c r="BB19" s="10">
        <v>1414.8320000000001</v>
      </c>
      <c r="BC19" s="10">
        <v>10.715999999999999</v>
      </c>
      <c r="BD19" s="10">
        <v>15.012</v>
      </c>
      <c r="BE19" s="10">
        <v>20.213999999999999</v>
      </c>
      <c r="BF19" s="10">
        <v>202.03299999999999</v>
      </c>
      <c r="BG19" s="10">
        <v>10.903</v>
      </c>
      <c r="BH19" s="10">
        <v>47.515999999999998</v>
      </c>
      <c r="BI19" s="10">
        <v>3012.8429999999998</v>
      </c>
      <c r="BJ19" s="10">
        <v>245.40299999999999</v>
      </c>
      <c r="BK19" s="10">
        <v>9.2910000000000004</v>
      </c>
      <c r="BL19" s="10">
        <v>671.58900000000006</v>
      </c>
      <c r="BM19" s="10">
        <v>520.52599999999995</v>
      </c>
      <c r="BN19" s="10">
        <v>9729.4419999999991</v>
      </c>
      <c r="BO19" s="10">
        <v>78.557000000000002</v>
      </c>
      <c r="BP19" s="10">
        <v>1805.989</v>
      </c>
      <c r="BQ19" s="10">
        <v>468.51</v>
      </c>
      <c r="BR19" s="10">
        <v>7977.7690000000002</v>
      </c>
      <c r="BS19" s="10">
        <v>367.01799999999997</v>
      </c>
      <c r="BT19" s="10">
        <v>1384.712</v>
      </c>
      <c r="BU19" s="10">
        <v>356.15</v>
      </c>
      <c r="BV19" s="10">
        <v>73.179000000000002</v>
      </c>
      <c r="BW19" s="10">
        <v>1409.2449999999999</v>
      </c>
      <c r="BX19" s="10">
        <v>10104.772999999999</v>
      </c>
      <c r="BY19" s="10">
        <v>38034.874000000003</v>
      </c>
      <c r="BZ19" s="10">
        <v>110.419</v>
      </c>
      <c r="CA19" s="10">
        <v>829.34299999999996</v>
      </c>
      <c r="CB19" s="10">
        <v>2798.3220000000001</v>
      </c>
      <c r="CC19" s="10">
        <v>0</v>
      </c>
      <c r="CD19" s="10">
        <v>9431.9529999999995</v>
      </c>
      <c r="CE19" s="10">
        <v>1913380.2150000001</v>
      </c>
      <c r="CF19" s="10">
        <v>1711076.3189999999</v>
      </c>
      <c r="CG19" s="10">
        <v>174.66300000000001</v>
      </c>
      <c r="CH19" s="10">
        <v>1511.1949999999999</v>
      </c>
      <c r="CI19" s="10">
        <v>4700.3729999999996</v>
      </c>
      <c r="CJ19" s="10">
        <v>195917.66500000001</v>
      </c>
      <c r="CK19" s="10">
        <v>0</v>
      </c>
    </row>
    <row r="20" spans="1:89" x14ac:dyDescent="0.3">
      <c r="A20" s="8" t="s">
        <v>107</v>
      </c>
      <c r="B20" s="11">
        <v>464168.10200000001</v>
      </c>
      <c r="C20" s="10">
        <f t="shared" si="0"/>
        <v>60555.65</v>
      </c>
      <c r="D20" s="11">
        <v>60589.421999999999</v>
      </c>
      <c r="E20" s="11">
        <v>12.436999999999999</v>
      </c>
      <c r="F20" s="11">
        <v>58.808999999999997</v>
      </c>
      <c r="G20" s="11">
        <v>3.673</v>
      </c>
      <c r="H20" s="11">
        <v>33.274999999999999</v>
      </c>
      <c r="I20" s="11">
        <v>0.54200000000000004</v>
      </c>
      <c r="J20" s="11">
        <v>33.771999999999998</v>
      </c>
      <c r="K20" s="11">
        <v>21.733000000000001</v>
      </c>
      <c r="L20" s="11">
        <v>17.605</v>
      </c>
      <c r="M20" s="11">
        <v>26.806999999999999</v>
      </c>
      <c r="N20" s="11">
        <v>93.301000000000002</v>
      </c>
      <c r="O20" s="11">
        <v>60.017000000000003</v>
      </c>
      <c r="P20" s="11">
        <v>20.52</v>
      </c>
      <c r="Q20" s="11">
        <v>1308.21</v>
      </c>
      <c r="R20" s="11">
        <v>1425.32</v>
      </c>
      <c r="S20" s="11">
        <v>49.536999999999999</v>
      </c>
      <c r="T20" s="11">
        <v>57.24</v>
      </c>
      <c r="U20" s="11">
        <v>254.108</v>
      </c>
      <c r="V20" s="11">
        <v>48.972999999999999</v>
      </c>
      <c r="W20" s="11">
        <v>21.652999999999999</v>
      </c>
      <c r="X20" s="11">
        <v>110.289</v>
      </c>
      <c r="Y20" s="11">
        <v>27.818999999999999</v>
      </c>
      <c r="Z20" s="11">
        <v>569.19200000000001</v>
      </c>
      <c r="AA20" s="11">
        <v>2857.1329999999998</v>
      </c>
      <c r="AB20" s="11">
        <v>1237.1389999999999</v>
      </c>
      <c r="AC20" s="11">
        <v>999.56200000000001</v>
      </c>
      <c r="AD20" s="11">
        <v>270.67899999999997</v>
      </c>
      <c r="AE20" s="11">
        <v>115.011</v>
      </c>
      <c r="AF20" s="11">
        <v>122.092</v>
      </c>
      <c r="AG20" s="11">
        <v>220.23</v>
      </c>
      <c r="AH20" s="11">
        <v>114.67</v>
      </c>
      <c r="AI20" s="11">
        <v>1018.814</v>
      </c>
      <c r="AJ20" s="11">
        <v>20.122</v>
      </c>
      <c r="AK20" s="11">
        <v>111.202</v>
      </c>
      <c r="AL20" s="11">
        <v>50.603000000000002</v>
      </c>
      <c r="AM20" s="11">
        <v>101.047</v>
      </c>
      <c r="AN20" s="11">
        <v>73.355999999999995</v>
      </c>
      <c r="AO20" s="11">
        <v>3.8740000000000001</v>
      </c>
      <c r="AP20" s="11">
        <v>2.4740000000000002</v>
      </c>
      <c r="AQ20" s="11">
        <v>35.856999999999999</v>
      </c>
      <c r="AR20" s="11">
        <v>34.03</v>
      </c>
      <c r="AS20" s="11">
        <v>2.645</v>
      </c>
      <c r="AT20" s="11">
        <v>0.435</v>
      </c>
      <c r="AU20" s="11">
        <v>605.78</v>
      </c>
      <c r="AV20" s="11">
        <v>1.1140000000000001</v>
      </c>
      <c r="AW20" s="11">
        <v>9.7260000000000009</v>
      </c>
      <c r="AX20" s="11">
        <v>256.02100000000002</v>
      </c>
      <c r="AY20" s="11">
        <v>107.76300000000001</v>
      </c>
      <c r="AZ20" s="11">
        <v>365.315</v>
      </c>
      <c r="BA20" s="11">
        <v>1932.96</v>
      </c>
      <c r="BB20" s="11">
        <v>2229.7820000000002</v>
      </c>
      <c r="BC20" s="11">
        <v>15.477</v>
      </c>
      <c r="BD20" s="11">
        <v>25.039000000000001</v>
      </c>
      <c r="BE20" s="11">
        <v>15.956</v>
      </c>
      <c r="BF20" s="11">
        <v>373.83100000000002</v>
      </c>
      <c r="BG20" s="11">
        <v>10.983000000000001</v>
      </c>
      <c r="BH20" s="11">
        <v>43.826999999999998</v>
      </c>
      <c r="BI20" s="11">
        <v>5309.4930000000004</v>
      </c>
      <c r="BJ20" s="11">
        <v>442.8</v>
      </c>
      <c r="BK20" s="11">
        <v>16.068000000000001</v>
      </c>
      <c r="BL20" s="11">
        <v>642.11199999999997</v>
      </c>
      <c r="BM20" s="11">
        <v>1001.478</v>
      </c>
      <c r="BN20" s="11">
        <v>1872.1849999999999</v>
      </c>
      <c r="BO20" s="11">
        <v>28.361000000000001</v>
      </c>
      <c r="BP20" s="11">
        <v>845.90599999999995</v>
      </c>
      <c r="BQ20" s="11">
        <v>665.18299999999999</v>
      </c>
      <c r="BR20" s="11">
        <v>660.89</v>
      </c>
      <c r="BS20" s="11">
        <v>5.6269999999999998</v>
      </c>
      <c r="BT20" s="11">
        <v>94.593999999999994</v>
      </c>
      <c r="BU20" s="11">
        <v>807.03200000000004</v>
      </c>
      <c r="BV20" s="11">
        <v>36.405999999999999</v>
      </c>
      <c r="BW20" s="11">
        <v>823.38900000000001</v>
      </c>
      <c r="BX20" s="11">
        <v>12097.596</v>
      </c>
      <c r="BY20" s="11">
        <v>12810.353999999999</v>
      </c>
      <c r="BZ20" s="11">
        <v>24.745999999999999</v>
      </c>
      <c r="CA20" s="11">
        <v>178.54499999999999</v>
      </c>
      <c r="CB20" s="11">
        <v>301.202</v>
      </c>
      <c r="CC20" s="11">
        <v>0</v>
      </c>
      <c r="CD20" s="11">
        <v>4286.0739999999996</v>
      </c>
      <c r="CE20" s="11">
        <v>403578.68</v>
      </c>
      <c r="CF20" s="11">
        <v>295358.94500000001</v>
      </c>
      <c r="CG20" s="11">
        <v>20.219000000000001</v>
      </c>
      <c r="CH20" s="11">
        <v>263.33499999999998</v>
      </c>
      <c r="CI20" s="11">
        <v>609.45100000000002</v>
      </c>
      <c r="CJ20" s="11">
        <v>107326.73</v>
      </c>
      <c r="CK20" s="11">
        <v>0</v>
      </c>
    </row>
    <row r="21" spans="1:89" x14ac:dyDescent="0.3">
      <c r="A21" s="7" t="s">
        <v>108</v>
      </c>
      <c r="B21" s="10">
        <v>98772.078999999998</v>
      </c>
      <c r="C21" s="10">
        <f t="shared" si="0"/>
        <v>57762.887999999999</v>
      </c>
      <c r="D21" s="10">
        <v>57776.17</v>
      </c>
      <c r="E21" s="10">
        <v>58.893000000000001</v>
      </c>
      <c r="F21" s="10">
        <v>10.433</v>
      </c>
      <c r="G21" s="10">
        <v>1.4419999999999999</v>
      </c>
      <c r="H21" s="10">
        <v>0.28100000000000003</v>
      </c>
      <c r="I21" s="10">
        <v>0.96499999999999997</v>
      </c>
      <c r="J21" s="10">
        <v>13.282</v>
      </c>
      <c r="K21" s="10">
        <v>5.7080000000000002</v>
      </c>
      <c r="L21" s="10">
        <v>4.6289999999999996</v>
      </c>
      <c r="M21" s="10">
        <v>5.3940000000000001</v>
      </c>
      <c r="N21" s="10">
        <v>62.149000000000001</v>
      </c>
      <c r="O21" s="10">
        <v>25.204999999999998</v>
      </c>
      <c r="P21" s="10">
        <v>7.5659999999999998</v>
      </c>
      <c r="Q21" s="10">
        <v>65.864000000000004</v>
      </c>
      <c r="R21" s="10">
        <v>18.321999999999999</v>
      </c>
      <c r="S21" s="10">
        <v>8560.8610000000008</v>
      </c>
      <c r="T21" s="10">
        <v>8068.8980000000001</v>
      </c>
      <c r="U21" s="10">
        <v>15650.826999999999</v>
      </c>
      <c r="V21" s="10">
        <v>1319.7370000000001</v>
      </c>
      <c r="W21" s="10">
        <v>25.058</v>
      </c>
      <c r="X21" s="10">
        <v>2213.971</v>
      </c>
      <c r="Y21" s="10">
        <v>3036.74</v>
      </c>
      <c r="Z21" s="10">
        <v>10.255000000000001</v>
      </c>
      <c r="AA21" s="10">
        <v>164.899</v>
      </c>
      <c r="AB21" s="10">
        <v>524.75099999999998</v>
      </c>
      <c r="AC21" s="10">
        <v>44.704000000000001</v>
      </c>
      <c r="AD21" s="10">
        <v>16.509</v>
      </c>
      <c r="AE21" s="10">
        <v>39.656999999999996</v>
      </c>
      <c r="AF21" s="10">
        <v>14.846</v>
      </c>
      <c r="AG21" s="10">
        <v>36.744</v>
      </c>
      <c r="AH21" s="10">
        <v>33.506999999999998</v>
      </c>
      <c r="AI21" s="10">
        <v>6864.8339999999998</v>
      </c>
      <c r="AJ21" s="10">
        <v>2096.9470000000001</v>
      </c>
      <c r="AK21" s="10">
        <v>640.33299999999997</v>
      </c>
      <c r="AL21" s="10">
        <v>18.196000000000002</v>
      </c>
      <c r="AM21" s="10">
        <v>34.01</v>
      </c>
      <c r="AN21" s="10">
        <v>3.6549999999999998</v>
      </c>
      <c r="AO21" s="10">
        <v>0.44600000000000001</v>
      </c>
      <c r="AP21" s="10">
        <v>0.46800000000000003</v>
      </c>
      <c r="AQ21" s="10">
        <v>1170.4359999999999</v>
      </c>
      <c r="AR21" s="10">
        <v>5.9829999999999997</v>
      </c>
      <c r="AS21" s="10">
        <v>0.69799999999999995</v>
      </c>
      <c r="AT21" s="10">
        <v>0.04</v>
      </c>
      <c r="AU21" s="10">
        <v>3.9209999999999998</v>
      </c>
      <c r="AV21" s="10">
        <v>0.14000000000000001</v>
      </c>
      <c r="AW21" s="10">
        <v>0.52700000000000002</v>
      </c>
      <c r="AX21" s="10">
        <v>1.9810000000000001</v>
      </c>
      <c r="AY21" s="10">
        <v>0.48899999999999999</v>
      </c>
      <c r="AZ21" s="10">
        <v>1.2310000000000001</v>
      </c>
      <c r="BA21" s="10">
        <v>2.0110000000000001</v>
      </c>
      <c r="BB21" s="10">
        <v>19.117000000000001</v>
      </c>
      <c r="BC21" s="10">
        <v>0.182</v>
      </c>
      <c r="BD21" s="10">
        <v>0.192</v>
      </c>
      <c r="BE21" s="10">
        <v>1.694</v>
      </c>
      <c r="BF21" s="10">
        <v>26.138999999999999</v>
      </c>
      <c r="BG21" s="10">
        <v>1.4</v>
      </c>
      <c r="BH21" s="10">
        <v>6.8529999999999998</v>
      </c>
      <c r="BI21" s="10">
        <v>18.405000000000001</v>
      </c>
      <c r="BJ21" s="10">
        <v>1.3580000000000001</v>
      </c>
      <c r="BK21" s="10">
        <v>2.1000000000000001E-2</v>
      </c>
      <c r="BL21" s="10">
        <v>12.87</v>
      </c>
      <c r="BM21" s="10">
        <v>15.042</v>
      </c>
      <c r="BN21" s="10">
        <v>658.72</v>
      </c>
      <c r="BO21" s="10">
        <v>238.11099999999999</v>
      </c>
      <c r="BP21" s="10">
        <v>65.576999999999998</v>
      </c>
      <c r="BQ21" s="10">
        <v>794.86800000000005</v>
      </c>
      <c r="BR21" s="10">
        <v>865.44299999999998</v>
      </c>
      <c r="BS21" s="10">
        <v>13.619</v>
      </c>
      <c r="BT21" s="10">
        <v>114.486</v>
      </c>
      <c r="BU21" s="10">
        <v>101.188</v>
      </c>
      <c r="BV21" s="10">
        <v>6.2489999999999997</v>
      </c>
      <c r="BW21" s="10">
        <v>278.31799999999998</v>
      </c>
      <c r="BX21" s="10">
        <v>1100.049</v>
      </c>
      <c r="BY21" s="10">
        <v>42.593000000000004</v>
      </c>
      <c r="BZ21" s="10">
        <v>764.78800000000001</v>
      </c>
      <c r="CA21" s="10">
        <v>1159.059</v>
      </c>
      <c r="CB21" s="10">
        <v>212.54900000000001</v>
      </c>
      <c r="CC21" s="10">
        <v>0</v>
      </c>
      <c r="CD21" s="10">
        <v>368.83699999999999</v>
      </c>
      <c r="CE21" s="10">
        <v>40995.909</v>
      </c>
      <c r="CF21" s="10">
        <v>21727.213</v>
      </c>
      <c r="CG21" s="10">
        <v>8.6170000000000009</v>
      </c>
      <c r="CH21" s="10">
        <v>108.917</v>
      </c>
      <c r="CI21" s="10">
        <v>872.38699999999994</v>
      </c>
      <c r="CJ21" s="10">
        <v>18278.775000000001</v>
      </c>
      <c r="CK21" s="10">
        <v>0</v>
      </c>
    </row>
    <row r="22" spans="1:89" x14ac:dyDescent="0.3">
      <c r="A22" s="8" t="s">
        <v>109</v>
      </c>
      <c r="B22" s="11">
        <v>47249.72</v>
      </c>
      <c r="C22" s="10">
        <f t="shared" si="0"/>
        <v>13895.614000000001</v>
      </c>
      <c r="D22" s="11">
        <v>13899.602000000001</v>
      </c>
      <c r="E22" s="11">
        <v>175.756</v>
      </c>
      <c r="F22" s="11">
        <v>3.254</v>
      </c>
      <c r="G22" s="11">
        <v>3.6150000000000002</v>
      </c>
      <c r="H22" s="11">
        <v>0.38400000000000001</v>
      </c>
      <c r="I22" s="11">
        <v>6.43</v>
      </c>
      <c r="J22" s="11">
        <v>3.988</v>
      </c>
      <c r="K22" s="11">
        <v>1.5880000000000001</v>
      </c>
      <c r="L22" s="11">
        <v>0.81699999999999995</v>
      </c>
      <c r="M22" s="11">
        <v>1.8280000000000001</v>
      </c>
      <c r="N22" s="11">
        <v>78.712000000000003</v>
      </c>
      <c r="O22" s="11">
        <v>17.808</v>
      </c>
      <c r="P22" s="11">
        <v>22</v>
      </c>
      <c r="Q22" s="11">
        <v>748.78</v>
      </c>
      <c r="R22" s="11">
        <v>6.6379999999999999</v>
      </c>
      <c r="S22" s="11">
        <v>64.665999999999997</v>
      </c>
      <c r="T22" s="11">
        <v>2441.0100000000002</v>
      </c>
      <c r="U22" s="11">
        <v>343.34</v>
      </c>
      <c r="V22" s="11">
        <v>44.506999999999998</v>
      </c>
      <c r="W22" s="11">
        <v>5.7750000000000004</v>
      </c>
      <c r="X22" s="11">
        <v>663.62599999999998</v>
      </c>
      <c r="Y22" s="11">
        <v>13.529</v>
      </c>
      <c r="Z22" s="11">
        <v>3.899</v>
      </c>
      <c r="AA22" s="11">
        <v>309.88099999999997</v>
      </c>
      <c r="AB22" s="11">
        <v>112.07</v>
      </c>
      <c r="AC22" s="11">
        <v>12.923999999999999</v>
      </c>
      <c r="AD22" s="11">
        <v>29.326000000000001</v>
      </c>
      <c r="AE22" s="11">
        <v>29.619</v>
      </c>
      <c r="AF22" s="11">
        <v>13.926</v>
      </c>
      <c r="AG22" s="11">
        <v>23.481000000000002</v>
      </c>
      <c r="AH22" s="11">
        <v>19.376000000000001</v>
      </c>
      <c r="AI22" s="11">
        <v>458.404</v>
      </c>
      <c r="AJ22" s="11">
        <v>166.35599999999999</v>
      </c>
      <c r="AK22" s="11">
        <v>337.27100000000002</v>
      </c>
      <c r="AL22" s="11">
        <v>1667.47</v>
      </c>
      <c r="AM22" s="11">
        <v>1742.3689999999999</v>
      </c>
      <c r="AN22" s="11">
        <v>1.2230000000000001</v>
      </c>
      <c r="AO22" s="11">
        <v>0.159</v>
      </c>
      <c r="AP22" s="11">
        <v>0.10199999999999999</v>
      </c>
      <c r="AQ22" s="11">
        <v>73.391999999999996</v>
      </c>
      <c r="AR22" s="11">
        <v>18.818999999999999</v>
      </c>
      <c r="AS22" s="11">
        <v>0.14099999999999999</v>
      </c>
      <c r="AT22" s="11">
        <v>0.109</v>
      </c>
      <c r="AU22" s="11">
        <v>3.93</v>
      </c>
      <c r="AV22" s="11">
        <v>1.4999999999999999E-2</v>
      </c>
      <c r="AW22" s="11">
        <v>0.28499999999999998</v>
      </c>
      <c r="AX22" s="11">
        <v>0.82</v>
      </c>
      <c r="AY22" s="11">
        <v>0.36399999999999999</v>
      </c>
      <c r="AZ22" s="11">
        <v>0.91500000000000004</v>
      </c>
      <c r="BA22" s="11">
        <v>0.38700000000000001</v>
      </c>
      <c r="BB22" s="11">
        <v>3.141</v>
      </c>
      <c r="BC22" s="11">
        <v>3.3000000000000002E-2</v>
      </c>
      <c r="BD22" s="11">
        <v>5.3999999999999999E-2</v>
      </c>
      <c r="BE22" s="11">
        <v>0.36699999999999999</v>
      </c>
      <c r="BF22" s="11">
        <v>3.5819999999999999</v>
      </c>
      <c r="BG22" s="11">
        <v>0.14199999999999999</v>
      </c>
      <c r="BH22" s="11">
        <v>0.61699999999999999</v>
      </c>
      <c r="BI22" s="11">
        <v>20.571999999999999</v>
      </c>
      <c r="BJ22" s="11">
        <v>27.998000000000001</v>
      </c>
      <c r="BK22" s="11">
        <v>4.0000000000000001E-3</v>
      </c>
      <c r="BL22" s="11">
        <v>11.432</v>
      </c>
      <c r="BM22" s="11">
        <v>7.7329999999999997</v>
      </c>
      <c r="BN22" s="11">
        <v>1793.961</v>
      </c>
      <c r="BO22" s="11">
        <v>2.7850000000000001</v>
      </c>
      <c r="BP22" s="11">
        <v>164.59700000000001</v>
      </c>
      <c r="BQ22" s="11">
        <v>68.94</v>
      </c>
      <c r="BR22" s="11">
        <v>153.72499999999999</v>
      </c>
      <c r="BS22" s="11">
        <v>1.175</v>
      </c>
      <c r="BT22" s="11">
        <v>14.836</v>
      </c>
      <c r="BU22" s="11">
        <v>92.241</v>
      </c>
      <c r="BV22" s="11">
        <v>15.135999999999999</v>
      </c>
      <c r="BW22" s="11">
        <v>102.761</v>
      </c>
      <c r="BX22" s="11">
        <v>569.87</v>
      </c>
      <c r="BY22" s="11">
        <v>450</v>
      </c>
      <c r="BZ22" s="11">
        <v>40.261000000000003</v>
      </c>
      <c r="CA22" s="11">
        <v>259.59399999999999</v>
      </c>
      <c r="CB22" s="11">
        <v>194.03399999999999</v>
      </c>
      <c r="CC22" s="11">
        <v>0</v>
      </c>
      <c r="CD22" s="11">
        <v>224.92699999999999</v>
      </c>
      <c r="CE22" s="11">
        <v>33350.118000000002</v>
      </c>
      <c r="CF22" s="11">
        <v>13262.995999999999</v>
      </c>
      <c r="CG22" s="11">
        <v>0.46400000000000002</v>
      </c>
      <c r="CH22" s="11">
        <v>293.08600000000001</v>
      </c>
      <c r="CI22" s="11">
        <v>-355.00400000000002</v>
      </c>
      <c r="CJ22" s="11">
        <v>20148.576000000001</v>
      </c>
      <c r="CK22" s="11">
        <v>0</v>
      </c>
    </row>
    <row r="23" spans="1:89" x14ac:dyDescent="0.3">
      <c r="A23" s="7" t="s">
        <v>110</v>
      </c>
      <c r="B23" s="10">
        <v>173407.421</v>
      </c>
      <c r="C23" s="10">
        <f t="shared" si="0"/>
        <v>34705.765999999996</v>
      </c>
      <c r="D23" s="10">
        <v>35319.786999999997</v>
      </c>
      <c r="E23" s="10">
        <v>10.260999999999999</v>
      </c>
      <c r="F23" s="10">
        <v>22.873000000000001</v>
      </c>
      <c r="G23" s="10">
        <v>2.8029999999999999</v>
      </c>
      <c r="H23" s="10">
        <v>3.766</v>
      </c>
      <c r="I23" s="10">
        <v>0.93799999999999994</v>
      </c>
      <c r="J23" s="10">
        <v>614.02099999999996</v>
      </c>
      <c r="K23" s="10">
        <v>183.49799999999999</v>
      </c>
      <c r="L23" s="10">
        <v>27.19</v>
      </c>
      <c r="M23" s="10">
        <v>70.64</v>
      </c>
      <c r="N23" s="10">
        <v>1503.894</v>
      </c>
      <c r="O23" s="10">
        <v>2442.9679999999998</v>
      </c>
      <c r="P23" s="10">
        <v>5069.7740000000003</v>
      </c>
      <c r="Q23" s="10">
        <v>625.84799999999996</v>
      </c>
      <c r="R23" s="10">
        <v>42.249000000000002</v>
      </c>
      <c r="S23" s="10">
        <v>68.503</v>
      </c>
      <c r="T23" s="10">
        <v>264.03300000000002</v>
      </c>
      <c r="U23" s="10">
        <v>12120.644</v>
      </c>
      <c r="V23" s="10">
        <v>28.045999999999999</v>
      </c>
      <c r="W23" s="10">
        <v>4.5170000000000003</v>
      </c>
      <c r="X23" s="10">
        <v>71.665999999999997</v>
      </c>
      <c r="Y23" s="10">
        <v>52.988</v>
      </c>
      <c r="Z23" s="10">
        <v>291.774</v>
      </c>
      <c r="AA23" s="10">
        <v>343.04700000000003</v>
      </c>
      <c r="AB23" s="10">
        <v>77.923000000000002</v>
      </c>
      <c r="AC23" s="10">
        <v>47.323</v>
      </c>
      <c r="AD23" s="10">
        <v>95.572999999999993</v>
      </c>
      <c r="AE23" s="10">
        <v>44.188000000000002</v>
      </c>
      <c r="AF23" s="10">
        <v>51.847999999999999</v>
      </c>
      <c r="AG23" s="10">
        <v>114.188</v>
      </c>
      <c r="AH23" s="10">
        <v>64.748000000000005</v>
      </c>
      <c r="AI23" s="10">
        <v>651.89499999999998</v>
      </c>
      <c r="AJ23" s="10">
        <v>32.957999999999998</v>
      </c>
      <c r="AK23" s="10">
        <v>37.976999999999997</v>
      </c>
      <c r="AL23" s="10">
        <v>1230.402</v>
      </c>
      <c r="AM23" s="10">
        <v>418.40600000000001</v>
      </c>
      <c r="AN23" s="10">
        <v>45.036000000000001</v>
      </c>
      <c r="AO23" s="10">
        <v>12.755000000000001</v>
      </c>
      <c r="AP23" s="10">
        <v>2.9929999999999999</v>
      </c>
      <c r="AQ23" s="10">
        <v>36.134</v>
      </c>
      <c r="AR23" s="10">
        <v>154.95699999999999</v>
      </c>
      <c r="AS23" s="10">
        <v>17.66</v>
      </c>
      <c r="AT23" s="10">
        <v>0.33400000000000002</v>
      </c>
      <c r="AU23" s="10">
        <v>41.323999999999998</v>
      </c>
      <c r="AV23" s="10">
        <v>0.82799999999999996</v>
      </c>
      <c r="AW23" s="10">
        <v>4.5039999999999996</v>
      </c>
      <c r="AX23" s="10">
        <v>16.417999999999999</v>
      </c>
      <c r="AY23" s="10">
        <v>4.5869999999999997</v>
      </c>
      <c r="AZ23" s="10">
        <v>9.4</v>
      </c>
      <c r="BA23" s="10">
        <v>23.571000000000002</v>
      </c>
      <c r="BB23" s="10">
        <v>227.18600000000001</v>
      </c>
      <c r="BC23" s="10">
        <v>2.2149999999999999</v>
      </c>
      <c r="BD23" s="10">
        <v>1.1839999999999999</v>
      </c>
      <c r="BE23" s="10">
        <v>4.5629999999999997</v>
      </c>
      <c r="BF23" s="10">
        <v>94.613</v>
      </c>
      <c r="BG23" s="10">
        <v>1.655</v>
      </c>
      <c r="BH23" s="10">
        <v>13.619</v>
      </c>
      <c r="BI23" s="10">
        <v>50.728999999999999</v>
      </c>
      <c r="BJ23" s="10">
        <v>4.2430000000000003</v>
      </c>
      <c r="BK23" s="10">
        <v>0.126</v>
      </c>
      <c r="BL23" s="10">
        <v>72.852999999999994</v>
      </c>
      <c r="BM23" s="10">
        <v>39.392000000000003</v>
      </c>
      <c r="BN23" s="10">
        <v>583.67899999999997</v>
      </c>
      <c r="BO23" s="10">
        <v>16.763999999999999</v>
      </c>
      <c r="BP23" s="10">
        <v>886.04600000000005</v>
      </c>
      <c r="BQ23" s="10">
        <v>683.47699999999998</v>
      </c>
      <c r="BR23" s="10">
        <v>578.73699999999997</v>
      </c>
      <c r="BS23" s="10">
        <v>10.46</v>
      </c>
      <c r="BT23" s="10">
        <v>7.5839999999999996</v>
      </c>
      <c r="BU23" s="10">
        <v>96.284000000000006</v>
      </c>
      <c r="BV23" s="10">
        <v>89.721000000000004</v>
      </c>
      <c r="BW23" s="10">
        <v>789.24400000000003</v>
      </c>
      <c r="BX23" s="10">
        <v>338.18400000000003</v>
      </c>
      <c r="BY23" s="10">
        <v>48.320999999999998</v>
      </c>
      <c r="BZ23" s="10">
        <v>32.44</v>
      </c>
      <c r="CA23" s="10">
        <v>104.631</v>
      </c>
      <c r="CB23" s="10">
        <v>60.844000000000001</v>
      </c>
      <c r="CC23" s="10">
        <v>0</v>
      </c>
      <c r="CD23" s="10">
        <v>3377.1219999999998</v>
      </c>
      <c r="CE23" s="10">
        <v>138087.63399999999</v>
      </c>
      <c r="CF23" s="10">
        <v>66187.077000000005</v>
      </c>
      <c r="CG23" s="10">
        <v>1.7250000000000001</v>
      </c>
      <c r="CH23" s="10">
        <v>204.39599999999999</v>
      </c>
      <c r="CI23" s="10">
        <v>161.261</v>
      </c>
      <c r="CJ23" s="10">
        <v>71533.175000000003</v>
      </c>
      <c r="CK23" s="10">
        <v>0</v>
      </c>
    </row>
    <row r="24" spans="1:89" x14ac:dyDescent="0.3">
      <c r="A24" s="8" t="s">
        <v>111</v>
      </c>
      <c r="B24" s="11">
        <v>84241.203999999998</v>
      </c>
      <c r="C24" s="10">
        <f t="shared" si="0"/>
        <v>23480.827000000001</v>
      </c>
      <c r="D24" s="11">
        <v>23510.927</v>
      </c>
      <c r="E24" s="11">
        <v>2.2549999999999999</v>
      </c>
      <c r="F24" s="11">
        <v>2.484</v>
      </c>
      <c r="G24" s="11">
        <v>0.13500000000000001</v>
      </c>
      <c r="H24" s="11">
        <v>3.589</v>
      </c>
      <c r="I24" s="11">
        <v>0.20699999999999999</v>
      </c>
      <c r="J24" s="11">
        <v>30.1</v>
      </c>
      <c r="K24" s="11">
        <v>19.187999999999999</v>
      </c>
      <c r="L24" s="11">
        <v>8.6270000000000007</v>
      </c>
      <c r="M24" s="11">
        <v>13.294</v>
      </c>
      <c r="N24" s="11">
        <v>84.007000000000005</v>
      </c>
      <c r="O24" s="11">
        <v>254.80699999999999</v>
      </c>
      <c r="P24" s="11">
        <v>18.638999999999999</v>
      </c>
      <c r="Q24" s="11">
        <v>98.186000000000007</v>
      </c>
      <c r="R24" s="11">
        <v>2.4390000000000001</v>
      </c>
      <c r="S24" s="11">
        <v>10.727</v>
      </c>
      <c r="T24" s="11">
        <v>13.026</v>
      </c>
      <c r="U24" s="11">
        <v>355.53899999999999</v>
      </c>
      <c r="V24" s="11">
        <v>18292.53</v>
      </c>
      <c r="W24" s="11">
        <v>3.5880000000000001</v>
      </c>
      <c r="X24" s="11">
        <v>30.501000000000001</v>
      </c>
      <c r="Y24" s="11">
        <v>36.234999999999999</v>
      </c>
      <c r="Z24" s="11">
        <v>108.934</v>
      </c>
      <c r="AA24" s="11">
        <v>575.279</v>
      </c>
      <c r="AB24" s="11">
        <v>236.83699999999999</v>
      </c>
      <c r="AC24" s="11">
        <v>190.92699999999999</v>
      </c>
      <c r="AD24" s="11">
        <v>87.531000000000006</v>
      </c>
      <c r="AE24" s="11">
        <v>45.807000000000002</v>
      </c>
      <c r="AF24" s="11">
        <v>37.881</v>
      </c>
      <c r="AG24" s="11">
        <v>53.037999999999997</v>
      </c>
      <c r="AH24" s="11">
        <v>24.69</v>
      </c>
      <c r="AI24" s="11">
        <v>845.12</v>
      </c>
      <c r="AJ24" s="11">
        <v>327.58699999999999</v>
      </c>
      <c r="AK24" s="11">
        <v>29.356000000000002</v>
      </c>
      <c r="AL24" s="11">
        <v>35.884</v>
      </c>
      <c r="AM24" s="11">
        <v>53.786999999999999</v>
      </c>
      <c r="AN24" s="11">
        <v>0.63</v>
      </c>
      <c r="AO24" s="11">
        <v>0.34</v>
      </c>
      <c r="AP24" s="11">
        <v>0.436</v>
      </c>
      <c r="AQ24" s="11">
        <v>46.067</v>
      </c>
      <c r="AR24" s="11">
        <v>8.6850000000000005</v>
      </c>
      <c r="AS24" s="11">
        <v>0.27400000000000002</v>
      </c>
      <c r="AT24" s="11">
        <v>7.2999999999999995E-2</v>
      </c>
      <c r="AU24" s="11">
        <v>1.0249999999999999</v>
      </c>
      <c r="AV24" s="11">
        <v>1.2999999999999999E-2</v>
      </c>
      <c r="AW24" s="11">
        <v>0.114</v>
      </c>
      <c r="AX24" s="11">
        <v>0.749</v>
      </c>
      <c r="AY24" s="11">
        <v>8.8999999999999996E-2</v>
      </c>
      <c r="AZ24" s="11">
        <v>0.377</v>
      </c>
      <c r="BA24" s="11">
        <v>0.51200000000000001</v>
      </c>
      <c r="BB24" s="11">
        <v>3.5369999999999999</v>
      </c>
      <c r="BC24" s="11">
        <v>7.4999999999999997E-2</v>
      </c>
      <c r="BD24" s="11">
        <v>6.7000000000000004E-2</v>
      </c>
      <c r="BE24" s="11">
        <v>0.187</v>
      </c>
      <c r="BF24" s="11">
        <v>39.786000000000001</v>
      </c>
      <c r="BG24" s="11">
        <v>1.6839999999999999</v>
      </c>
      <c r="BH24" s="11">
        <v>0.97</v>
      </c>
      <c r="BI24" s="11">
        <v>7.09</v>
      </c>
      <c r="BJ24" s="11">
        <v>3.3780000000000001</v>
      </c>
      <c r="BK24" s="11">
        <v>3.0000000000000001E-3</v>
      </c>
      <c r="BL24" s="11">
        <v>10.147</v>
      </c>
      <c r="BM24" s="11">
        <v>43.472000000000001</v>
      </c>
      <c r="BN24" s="11">
        <v>80.218999999999994</v>
      </c>
      <c r="BO24" s="11">
        <v>0.84299999999999997</v>
      </c>
      <c r="BP24" s="11">
        <v>133.22800000000001</v>
      </c>
      <c r="BQ24" s="11">
        <v>28.126999999999999</v>
      </c>
      <c r="BR24" s="11">
        <v>44.17</v>
      </c>
      <c r="BS24" s="11">
        <v>0.56699999999999995</v>
      </c>
      <c r="BT24" s="11">
        <v>1.0109999999999999</v>
      </c>
      <c r="BU24" s="11">
        <v>3.0939999999999999</v>
      </c>
      <c r="BV24" s="11">
        <v>0.47599999999999998</v>
      </c>
      <c r="BW24" s="11">
        <v>37.662999999999997</v>
      </c>
      <c r="BX24" s="11">
        <v>72.072999999999993</v>
      </c>
      <c r="BY24" s="11">
        <v>10.157999999999999</v>
      </c>
      <c r="BZ24" s="11">
        <v>204.839</v>
      </c>
      <c r="CA24" s="11">
        <v>6.8739999999999997</v>
      </c>
      <c r="CB24" s="11">
        <v>8.2859999999999996</v>
      </c>
      <c r="CC24" s="11">
        <v>0</v>
      </c>
      <c r="CD24" s="11">
        <v>776.75800000000004</v>
      </c>
      <c r="CE24" s="11">
        <v>60730.277000000002</v>
      </c>
      <c r="CF24" s="11">
        <v>40321.781000000003</v>
      </c>
      <c r="CG24" s="11">
        <v>4.3150000000000004</v>
      </c>
      <c r="CH24" s="11">
        <v>312.58199999999999</v>
      </c>
      <c r="CI24" s="11">
        <v>28.599</v>
      </c>
      <c r="CJ24" s="11">
        <v>20063</v>
      </c>
      <c r="CK24" s="11">
        <v>0</v>
      </c>
    </row>
    <row r="25" spans="1:89" x14ac:dyDescent="0.3">
      <c r="A25" s="7" t="s">
        <v>112</v>
      </c>
      <c r="B25" s="10">
        <v>89592.226999999999</v>
      </c>
      <c r="C25" s="10">
        <f t="shared" si="0"/>
        <v>75728.512000000002</v>
      </c>
      <c r="D25" s="10">
        <v>75941.551999999996</v>
      </c>
      <c r="E25" s="10">
        <v>522.98400000000004</v>
      </c>
      <c r="F25" s="10">
        <v>10.834</v>
      </c>
      <c r="G25" s="10">
        <v>1.016</v>
      </c>
      <c r="H25" s="10">
        <v>22.803999999999998</v>
      </c>
      <c r="I25" s="10">
        <v>6.133</v>
      </c>
      <c r="J25" s="10">
        <v>213.04</v>
      </c>
      <c r="K25" s="10">
        <v>16707.485000000001</v>
      </c>
      <c r="L25" s="10">
        <v>374.46899999999999</v>
      </c>
      <c r="M25" s="10">
        <v>31.908999999999999</v>
      </c>
      <c r="N25" s="10">
        <v>17326.682000000001</v>
      </c>
      <c r="O25" s="10">
        <v>1711.9939999999999</v>
      </c>
      <c r="P25" s="10">
        <v>385.1</v>
      </c>
      <c r="Q25" s="10">
        <v>462.214</v>
      </c>
      <c r="R25" s="10">
        <v>151.09299999999999</v>
      </c>
      <c r="S25" s="10">
        <v>34.264000000000003</v>
      </c>
      <c r="T25" s="10">
        <v>52.679000000000002</v>
      </c>
      <c r="U25" s="10">
        <v>160.63399999999999</v>
      </c>
      <c r="V25" s="10">
        <v>20.065999999999999</v>
      </c>
      <c r="W25" s="10">
        <v>9192.5930000000008</v>
      </c>
      <c r="X25" s="10">
        <v>105.764</v>
      </c>
      <c r="Y25" s="10">
        <v>55.277999999999999</v>
      </c>
      <c r="Z25" s="10">
        <v>126.34</v>
      </c>
      <c r="AA25" s="10">
        <v>393.80200000000002</v>
      </c>
      <c r="AB25" s="10">
        <v>361.07499999999999</v>
      </c>
      <c r="AC25" s="10">
        <v>181.63499999999999</v>
      </c>
      <c r="AD25" s="10">
        <v>150.184</v>
      </c>
      <c r="AE25" s="10">
        <v>2052.6419999999998</v>
      </c>
      <c r="AF25" s="10">
        <v>517.12900000000002</v>
      </c>
      <c r="AG25" s="10">
        <v>1969.43</v>
      </c>
      <c r="AH25" s="10">
        <v>794.17100000000005</v>
      </c>
      <c r="AI25" s="10">
        <v>3253</v>
      </c>
      <c r="AJ25" s="10">
        <v>7561.71</v>
      </c>
      <c r="AK25" s="10">
        <v>1503.318</v>
      </c>
      <c r="AL25" s="10">
        <v>972.15099999999995</v>
      </c>
      <c r="AM25" s="10">
        <v>1057.6289999999999</v>
      </c>
      <c r="AN25" s="10">
        <v>20.277000000000001</v>
      </c>
      <c r="AO25" s="10">
        <v>52.104999999999997</v>
      </c>
      <c r="AP25" s="10">
        <v>3.53</v>
      </c>
      <c r="AQ25" s="10">
        <v>376.61900000000003</v>
      </c>
      <c r="AR25" s="10">
        <v>764.45699999999999</v>
      </c>
      <c r="AS25" s="10">
        <v>41.823999999999998</v>
      </c>
      <c r="AT25" s="10">
        <v>3.6720000000000002</v>
      </c>
      <c r="AU25" s="10">
        <v>97.673000000000002</v>
      </c>
      <c r="AV25" s="10">
        <v>0.111</v>
      </c>
      <c r="AW25" s="10">
        <v>66.775999999999996</v>
      </c>
      <c r="AX25" s="10">
        <v>2.0299999999999998</v>
      </c>
      <c r="AY25" s="10">
        <v>4.1920000000000002</v>
      </c>
      <c r="AZ25" s="10">
        <v>25.954999999999998</v>
      </c>
      <c r="BA25" s="10">
        <v>36.347999999999999</v>
      </c>
      <c r="BB25" s="10">
        <v>320.30599999999998</v>
      </c>
      <c r="BC25" s="10">
        <v>3.07</v>
      </c>
      <c r="BD25" s="10">
        <v>0.48</v>
      </c>
      <c r="BE25" s="10">
        <v>0.71</v>
      </c>
      <c r="BF25" s="10">
        <v>47.161999999999999</v>
      </c>
      <c r="BG25" s="10">
        <v>2.363</v>
      </c>
      <c r="BH25" s="10">
        <v>8.8870000000000005</v>
      </c>
      <c r="BI25" s="10">
        <v>396.84100000000001</v>
      </c>
      <c r="BJ25" s="10">
        <v>29.088999999999999</v>
      </c>
      <c r="BK25" s="10">
        <v>0.25800000000000001</v>
      </c>
      <c r="BL25" s="10">
        <v>213.70400000000001</v>
      </c>
      <c r="BM25" s="10">
        <v>26.928999999999998</v>
      </c>
      <c r="BN25" s="10">
        <v>259.91699999999997</v>
      </c>
      <c r="BO25" s="10">
        <v>4.524</v>
      </c>
      <c r="BP25" s="10">
        <v>102.152</v>
      </c>
      <c r="BQ25" s="10">
        <v>1930.441</v>
      </c>
      <c r="BR25" s="10">
        <v>75.891999999999996</v>
      </c>
      <c r="BS25" s="10">
        <v>2.6539999999999999</v>
      </c>
      <c r="BT25" s="10">
        <v>6.8490000000000002</v>
      </c>
      <c r="BU25" s="10">
        <v>23.616</v>
      </c>
      <c r="BV25" s="10">
        <v>11.753</v>
      </c>
      <c r="BW25" s="10">
        <v>79.906999999999996</v>
      </c>
      <c r="BX25" s="10">
        <v>189.72</v>
      </c>
      <c r="BY25" s="10">
        <v>1985.432</v>
      </c>
      <c r="BZ25" s="10">
        <v>85.382000000000005</v>
      </c>
      <c r="CA25" s="10">
        <v>31.003</v>
      </c>
      <c r="CB25" s="10">
        <v>14.49</v>
      </c>
      <c r="CC25" s="10">
        <v>0</v>
      </c>
      <c r="CD25" s="10">
        <v>149.20099999999999</v>
      </c>
      <c r="CE25" s="10">
        <v>13650.674999999999</v>
      </c>
      <c r="CF25" s="10">
        <v>4889.8720000000003</v>
      </c>
      <c r="CG25" s="10">
        <v>4.5209999999999999</v>
      </c>
      <c r="CH25" s="10">
        <v>294.41500000000002</v>
      </c>
      <c r="CI25" s="10">
        <v>47.901000000000003</v>
      </c>
      <c r="CJ25" s="10">
        <v>8413.9660000000003</v>
      </c>
      <c r="CK25" s="10">
        <v>0</v>
      </c>
    </row>
    <row r="26" spans="1:89" x14ac:dyDescent="0.3">
      <c r="A26" s="8" t="s">
        <v>113</v>
      </c>
      <c r="B26" s="11">
        <v>289915.32699999999</v>
      </c>
      <c r="C26" s="10">
        <f t="shared" si="0"/>
        <v>178617.38</v>
      </c>
      <c r="D26" s="11">
        <v>178673.84299999999</v>
      </c>
      <c r="E26" s="11">
        <v>272.32299999999998</v>
      </c>
      <c r="F26" s="11">
        <v>55.296999999999997</v>
      </c>
      <c r="G26" s="11">
        <v>37.402999999999999</v>
      </c>
      <c r="H26" s="11">
        <v>18.887</v>
      </c>
      <c r="I26" s="11">
        <v>3.6680000000000001</v>
      </c>
      <c r="J26" s="11">
        <v>56.463000000000001</v>
      </c>
      <c r="K26" s="11">
        <v>25.562999999999999</v>
      </c>
      <c r="L26" s="11">
        <v>13.154999999999999</v>
      </c>
      <c r="M26" s="11">
        <v>57.052</v>
      </c>
      <c r="N26" s="11">
        <v>153.072</v>
      </c>
      <c r="O26" s="11">
        <v>87.075000000000003</v>
      </c>
      <c r="P26" s="11">
        <v>39.749000000000002</v>
      </c>
      <c r="Q26" s="11">
        <v>7191.2920000000004</v>
      </c>
      <c r="R26" s="11">
        <v>1961.6880000000001</v>
      </c>
      <c r="S26" s="11">
        <v>323.5</v>
      </c>
      <c r="T26" s="11">
        <v>358.75</v>
      </c>
      <c r="U26" s="11">
        <v>1953.3910000000001</v>
      </c>
      <c r="V26" s="11">
        <v>300.89699999999999</v>
      </c>
      <c r="W26" s="11">
        <v>132.77099999999999</v>
      </c>
      <c r="X26" s="11">
        <v>40113.631999999998</v>
      </c>
      <c r="Y26" s="11">
        <v>9334.0840000000007</v>
      </c>
      <c r="Z26" s="11">
        <v>101.075</v>
      </c>
      <c r="AA26" s="11">
        <v>2971.7150000000001</v>
      </c>
      <c r="AB26" s="11">
        <v>3190.114</v>
      </c>
      <c r="AC26" s="11">
        <v>1606.3420000000001</v>
      </c>
      <c r="AD26" s="11">
        <v>1060.875</v>
      </c>
      <c r="AE26" s="11">
        <v>3931.848</v>
      </c>
      <c r="AF26" s="11">
        <v>4759.9030000000002</v>
      </c>
      <c r="AG26" s="11">
        <v>20027.021000000001</v>
      </c>
      <c r="AH26" s="11">
        <v>7651.6779999999999</v>
      </c>
      <c r="AI26" s="11">
        <v>29977.919000000002</v>
      </c>
      <c r="AJ26" s="11">
        <v>1935.26</v>
      </c>
      <c r="AK26" s="11">
        <v>8849.9279999999999</v>
      </c>
      <c r="AL26" s="11">
        <v>4326.125</v>
      </c>
      <c r="AM26" s="11">
        <v>7153.97</v>
      </c>
      <c r="AN26" s="11">
        <v>3.5510000000000002</v>
      </c>
      <c r="AO26" s="11">
        <v>0.627</v>
      </c>
      <c r="AP26" s="11">
        <v>0.76200000000000001</v>
      </c>
      <c r="AQ26" s="11">
        <v>11.584</v>
      </c>
      <c r="AR26" s="11">
        <v>23.788</v>
      </c>
      <c r="AS26" s="11">
        <v>0.872</v>
      </c>
      <c r="AT26" s="11">
        <v>2.9239999999999999</v>
      </c>
      <c r="AU26" s="11">
        <v>45.707000000000001</v>
      </c>
      <c r="AV26" s="11">
        <v>0.13500000000000001</v>
      </c>
      <c r="AW26" s="11">
        <v>3.4449999999999998</v>
      </c>
      <c r="AX26" s="11">
        <v>6.931</v>
      </c>
      <c r="AY26" s="11">
        <v>1.891</v>
      </c>
      <c r="AZ26" s="11">
        <v>3.5209999999999999</v>
      </c>
      <c r="BA26" s="11">
        <v>3.2410000000000001</v>
      </c>
      <c r="BB26" s="11">
        <v>21.094000000000001</v>
      </c>
      <c r="BC26" s="11">
        <v>0.55200000000000005</v>
      </c>
      <c r="BD26" s="11">
        <v>1.369</v>
      </c>
      <c r="BE26" s="11">
        <v>6.125</v>
      </c>
      <c r="BF26" s="11">
        <v>211.27199999999999</v>
      </c>
      <c r="BG26" s="11">
        <v>18.061</v>
      </c>
      <c r="BH26" s="11">
        <v>20.393000000000001</v>
      </c>
      <c r="BI26" s="11">
        <v>82.06</v>
      </c>
      <c r="BJ26" s="11">
        <v>28.231999999999999</v>
      </c>
      <c r="BK26" s="11">
        <v>3.9E-2</v>
      </c>
      <c r="BL26" s="11">
        <v>291.61799999999999</v>
      </c>
      <c r="BM26" s="11">
        <v>435.82100000000003</v>
      </c>
      <c r="BN26" s="11">
        <v>2930.201</v>
      </c>
      <c r="BO26" s="11">
        <v>78.683999999999997</v>
      </c>
      <c r="BP26" s="11">
        <v>3824.2240000000002</v>
      </c>
      <c r="BQ26" s="11">
        <v>796.03599999999994</v>
      </c>
      <c r="BR26" s="11">
        <v>1395.3979999999999</v>
      </c>
      <c r="BS26" s="11">
        <v>51.411999999999999</v>
      </c>
      <c r="BT26" s="11">
        <v>424.24900000000002</v>
      </c>
      <c r="BU26" s="11">
        <v>479.08</v>
      </c>
      <c r="BV26" s="11">
        <v>84.861999999999995</v>
      </c>
      <c r="BW26" s="11">
        <v>460.31599999999997</v>
      </c>
      <c r="BX26" s="11">
        <v>782.51599999999996</v>
      </c>
      <c r="BY26" s="11">
        <v>1546.806</v>
      </c>
      <c r="BZ26" s="11">
        <v>141.08500000000001</v>
      </c>
      <c r="CA26" s="11">
        <v>288.786</v>
      </c>
      <c r="CB26" s="11">
        <v>256.01400000000001</v>
      </c>
      <c r="CC26" s="11">
        <v>0</v>
      </c>
      <c r="CD26" s="11">
        <v>3875.0740000000001</v>
      </c>
      <c r="CE26" s="11">
        <v>111241.484</v>
      </c>
      <c r="CF26" s="11">
        <v>71848.523000000001</v>
      </c>
      <c r="CG26" s="11">
        <v>30.091000000000001</v>
      </c>
      <c r="CH26" s="11">
        <v>214.10599999999999</v>
      </c>
      <c r="CI26" s="11">
        <v>274.20800000000003</v>
      </c>
      <c r="CJ26" s="11">
        <v>38874.555999999997</v>
      </c>
      <c r="CK26" s="11">
        <v>0</v>
      </c>
    </row>
    <row r="27" spans="1:89" x14ac:dyDescent="0.3">
      <c r="A27" s="7" t="s">
        <v>114</v>
      </c>
      <c r="B27" s="10">
        <v>85887.975000000006</v>
      </c>
      <c r="C27" s="10">
        <f t="shared" si="0"/>
        <v>60999.289999999994</v>
      </c>
      <c r="D27" s="10">
        <v>61078.860999999997</v>
      </c>
      <c r="E27" s="10">
        <v>4.3920000000000003</v>
      </c>
      <c r="F27" s="10">
        <v>4.673</v>
      </c>
      <c r="G27" s="10">
        <v>0.71599999999999997</v>
      </c>
      <c r="H27" s="10">
        <v>1.4690000000000001</v>
      </c>
      <c r="I27" s="10">
        <v>46.558999999999997</v>
      </c>
      <c r="J27" s="10">
        <v>79.570999999999998</v>
      </c>
      <c r="K27" s="10">
        <v>31.134</v>
      </c>
      <c r="L27" s="10">
        <v>35.520000000000003</v>
      </c>
      <c r="M27" s="10">
        <v>21.556000000000001</v>
      </c>
      <c r="N27" s="10">
        <v>195.631</v>
      </c>
      <c r="O27" s="10">
        <v>473.41399999999999</v>
      </c>
      <c r="P27" s="10">
        <v>366.65899999999999</v>
      </c>
      <c r="Q27" s="10">
        <v>540.97799999999995</v>
      </c>
      <c r="R27" s="10">
        <v>27.614999999999998</v>
      </c>
      <c r="S27" s="10">
        <v>3.4409999999999998</v>
      </c>
      <c r="T27" s="10">
        <v>29.030999999999999</v>
      </c>
      <c r="U27" s="10">
        <v>520.78</v>
      </c>
      <c r="V27" s="10">
        <v>11.601000000000001</v>
      </c>
      <c r="W27" s="10">
        <v>21.231999999999999</v>
      </c>
      <c r="X27" s="10">
        <v>785.41800000000001</v>
      </c>
      <c r="Y27" s="10">
        <v>877.59900000000005</v>
      </c>
      <c r="Z27" s="10">
        <v>97.305000000000007</v>
      </c>
      <c r="AA27" s="10">
        <v>229.85</v>
      </c>
      <c r="AB27" s="10">
        <v>124.846</v>
      </c>
      <c r="AC27" s="10">
        <v>52.085000000000001</v>
      </c>
      <c r="AD27" s="10">
        <v>211.065</v>
      </c>
      <c r="AE27" s="10">
        <v>114.495</v>
      </c>
      <c r="AF27" s="10">
        <v>638.77200000000005</v>
      </c>
      <c r="AG27" s="10">
        <v>161.33500000000001</v>
      </c>
      <c r="AH27" s="10">
        <v>65.62</v>
      </c>
      <c r="AI27" s="10">
        <v>529.01099999999997</v>
      </c>
      <c r="AJ27" s="10">
        <v>37.026000000000003</v>
      </c>
      <c r="AK27" s="10">
        <v>70.656000000000006</v>
      </c>
      <c r="AL27" s="10">
        <v>10765.661</v>
      </c>
      <c r="AM27" s="10">
        <v>1357.6569999999999</v>
      </c>
      <c r="AN27" s="10">
        <v>19.059000000000001</v>
      </c>
      <c r="AO27" s="10">
        <v>3.11</v>
      </c>
      <c r="AP27" s="10">
        <v>19.949000000000002</v>
      </c>
      <c r="AQ27" s="10">
        <v>79.076999999999998</v>
      </c>
      <c r="AR27" s="10">
        <v>81.933999999999997</v>
      </c>
      <c r="AS27" s="10">
        <v>6.343</v>
      </c>
      <c r="AT27" s="10">
        <v>1.2509999999999999</v>
      </c>
      <c r="AU27" s="10">
        <v>300.24900000000002</v>
      </c>
      <c r="AV27" s="10">
        <v>0.88300000000000001</v>
      </c>
      <c r="AW27" s="10">
        <v>18.536000000000001</v>
      </c>
      <c r="AX27" s="10">
        <v>266.81599999999997</v>
      </c>
      <c r="AY27" s="10">
        <v>30.481000000000002</v>
      </c>
      <c r="AZ27" s="10">
        <v>26.742999999999999</v>
      </c>
      <c r="BA27" s="10">
        <v>53.832000000000001</v>
      </c>
      <c r="BB27" s="10">
        <v>72.558999999999997</v>
      </c>
      <c r="BC27" s="10">
        <v>7.88</v>
      </c>
      <c r="BD27" s="10">
        <v>1.9419999999999999</v>
      </c>
      <c r="BE27" s="10">
        <v>11.394</v>
      </c>
      <c r="BF27" s="10">
        <v>10975.37</v>
      </c>
      <c r="BG27" s="10">
        <v>107.709</v>
      </c>
      <c r="BH27" s="10">
        <v>629.923</v>
      </c>
      <c r="BI27" s="10">
        <v>959.44399999999996</v>
      </c>
      <c r="BJ27" s="10">
        <v>128.33699999999999</v>
      </c>
      <c r="BK27" s="10">
        <v>0.218</v>
      </c>
      <c r="BL27" s="10">
        <v>6407.4650000000001</v>
      </c>
      <c r="BM27" s="10">
        <v>158.57499999999999</v>
      </c>
      <c r="BN27" s="10">
        <v>3643.4850000000001</v>
      </c>
      <c r="BO27" s="10">
        <v>9.6120000000000001</v>
      </c>
      <c r="BP27" s="10">
        <v>2679.3009999999999</v>
      </c>
      <c r="BQ27" s="10">
        <v>1070.001</v>
      </c>
      <c r="BR27" s="10">
        <v>262.31200000000001</v>
      </c>
      <c r="BS27" s="10">
        <v>3.7120000000000002</v>
      </c>
      <c r="BT27" s="10">
        <v>32.454999999999998</v>
      </c>
      <c r="BU27" s="10">
        <v>10.88</v>
      </c>
      <c r="BV27" s="10">
        <v>33.716999999999999</v>
      </c>
      <c r="BW27" s="10">
        <v>86.200999999999993</v>
      </c>
      <c r="BX27" s="10">
        <v>166.92099999999999</v>
      </c>
      <c r="BY27" s="10">
        <v>85.724000000000004</v>
      </c>
      <c r="BZ27" s="10">
        <v>120.751</v>
      </c>
      <c r="CA27" s="10">
        <v>181.88</v>
      </c>
      <c r="CB27" s="10">
        <v>167.69499999999999</v>
      </c>
      <c r="CC27" s="10">
        <v>0</v>
      </c>
      <c r="CD27" s="10">
        <v>13620.762000000001</v>
      </c>
      <c r="CE27" s="10">
        <v>24809.114000000001</v>
      </c>
      <c r="CF27" s="10">
        <v>10835.227999999999</v>
      </c>
      <c r="CG27" s="10">
        <v>2487.7359999999999</v>
      </c>
      <c r="CH27" s="10">
        <v>89.795000000000002</v>
      </c>
      <c r="CI27" s="10">
        <v>155.76900000000001</v>
      </c>
      <c r="CJ27" s="10">
        <v>11240.585999999999</v>
      </c>
      <c r="CK27" s="10">
        <v>0</v>
      </c>
    </row>
    <row r="28" spans="1:89" x14ac:dyDescent="0.3">
      <c r="A28" s="8" t="s">
        <v>115</v>
      </c>
      <c r="B28" s="11">
        <v>999295.071</v>
      </c>
      <c r="C28" s="10">
        <f t="shared" si="0"/>
        <v>492214.56699999998</v>
      </c>
      <c r="D28" s="11">
        <v>497746.48</v>
      </c>
      <c r="E28" s="11">
        <v>7965.03</v>
      </c>
      <c r="F28" s="11">
        <v>3773.3710000000001</v>
      </c>
      <c r="G28" s="11">
        <v>225.76300000000001</v>
      </c>
      <c r="H28" s="11">
        <v>1804.009</v>
      </c>
      <c r="I28" s="11">
        <v>125.398</v>
      </c>
      <c r="J28" s="11">
        <v>5531.9129999999996</v>
      </c>
      <c r="K28" s="11">
        <v>31732.148000000001</v>
      </c>
      <c r="L28" s="11">
        <v>10169.385</v>
      </c>
      <c r="M28" s="11">
        <v>52475.639000000003</v>
      </c>
      <c r="N28" s="11">
        <v>13855.04</v>
      </c>
      <c r="O28" s="11">
        <v>19116.864000000001</v>
      </c>
      <c r="P28" s="11">
        <v>2552.4699999999998</v>
      </c>
      <c r="Q28" s="11">
        <v>16475.29</v>
      </c>
      <c r="R28" s="11">
        <v>3359.8040000000001</v>
      </c>
      <c r="S28" s="11">
        <v>355.65600000000001</v>
      </c>
      <c r="T28" s="11">
        <v>254.029</v>
      </c>
      <c r="U28" s="11">
        <v>677.42499999999995</v>
      </c>
      <c r="V28" s="11">
        <v>233.36199999999999</v>
      </c>
      <c r="W28" s="11">
        <v>1211.625</v>
      </c>
      <c r="X28" s="11">
        <v>4180.7280000000001</v>
      </c>
      <c r="Y28" s="11">
        <v>752.98400000000004</v>
      </c>
      <c r="Z28" s="11">
        <v>6924.5860000000002</v>
      </c>
      <c r="AA28" s="11">
        <v>21447.134999999998</v>
      </c>
      <c r="AB28" s="11">
        <v>4321.9979999999996</v>
      </c>
      <c r="AC28" s="11">
        <v>9571.3639999999996</v>
      </c>
      <c r="AD28" s="11">
        <v>9076.7790000000005</v>
      </c>
      <c r="AE28" s="11">
        <v>3519.4290000000001</v>
      </c>
      <c r="AF28" s="11">
        <v>1389.337</v>
      </c>
      <c r="AG28" s="11">
        <v>1654.73</v>
      </c>
      <c r="AH28" s="11">
        <v>854.61500000000001</v>
      </c>
      <c r="AI28" s="11">
        <v>11511.084999999999</v>
      </c>
      <c r="AJ28" s="11">
        <v>864.47199999999998</v>
      </c>
      <c r="AK28" s="11">
        <v>583.35500000000002</v>
      </c>
      <c r="AL28" s="11">
        <v>4350.0039999999999</v>
      </c>
      <c r="AM28" s="11">
        <v>1944.816</v>
      </c>
      <c r="AN28" s="11">
        <v>14368.091</v>
      </c>
      <c r="AO28" s="11">
        <v>8684.5540000000001</v>
      </c>
      <c r="AP28" s="11">
        <v>1613.7729999999999</v>
      </c>
      <c r="AQ28" s="11">
        <v>67882.509000000005</v>
      </c>
      <c r="AR28" s="11">
        <v>94597.370999999999</v>
      </c>
      <c r="AS28" s="11">
        <v>1815.6</v>
      </c>
      <c r="AT28" s="11">
        <v>635.38599999999997</v>
      </c>
      <c r="AU28" s="11">
        <v>824.4</v>
      </c>
      <c r="AV28" s="11">
        <v>19.263999999999999</v>
      </c>
      <c r="AW28" s="11">
        <v>4576.2370000000001</v>
      </c>
      <c r="AX28" s="11">
        <v>1036.7660000000001</v>
      </c>
      <c r="AY28" s="11">
        <v>166.23400000000001</v>
      </c>
      <c r="AZ28" s="11">
        <v>182.072</v>
      </c>
      <c r="BA28" s="11">
        <v>564.19500000000005</v>
      </c>
      <c r="BB28" s="11">
        <v>3903.875</v>
      </c>
      <c r="BC28" s="11">
        <v>98.566999999999993</v>
      </c>
      <c r="BD28" s="11">
        <v>4.7169999999999996</v>
      </c>
      <c r="BE28" s="11">
        <v>7.9329999999999998</v>
      </c>
      <c r="BF28" s="11">
        <v>870.423</v>
      </c>
      <c r="BG28" s="11">
        <v>251.256</v>
      </c>
      <c r="BH28" s="11">
        <v>230.947</v>
      </c>
      <c r="BI28" s="11">
        <v>4415.6419999999998</v>
      </c>
      <c r="BJ28" s="11">
        <v>1332.0350000000001</v>
      </c>
      <c r="BK28" s="11">
        <v>8.9420000000000002</v>
      </c>
      <c r="BL28" s="11">
        <v>4476.9650000000001</v>
      </c>
      <c r="BM28" s="11">
        <v>1452.0070000000001</v>
      </c>
      <c r="BN28" s="11">
        <v>7176.3370000000004</v>
      </c>
      <c r="BO28" s="11">
        <v>588.04899999999998</v>
      </c>
      <c r="BP28" s="11">
        <v>1493.3389999999999</v>
      </c>
      <c r="BQ28" s="11">
        <v>1034.174</v>
      </c>
      <c r="BR28" s="11">
        <v>538.17999999999995</v>
      </c>
      <c r="BS28" s="11">
        <v>48.113999999999997</v>
      </c>
      <c r="BT28" s="11">
        <v>136.023</v>
      </c>
      <c r="BU28" s="11">
        <v>60.075000000000003</v>
      </c>
      <c r="BV28" s="11">
        <v>38.137999999999998</v>
      </c>
      <c r="BW28" s="11">
        <v>339.88400000000001</v>
      </c>
      <c r="BX28" s="11">
        <v>834.63</v>
      </c>
      <c r="BY28" s="11">
        <v>1592.1990000000001</v>
      </c>
      <c r="BZ28" s="11">
        <v>2066.0390000000002</v>
      </c>
      <c r="CA28" s="11">
        <v>528.16899999999998</v>
      </c>
      <c r="CB28" s="11">
        <v>487.17399999999998</v>
      </c>
      <c r="CC28" s="11">
        <v>0</v>
      </c>
      <c r="CD28" s="11">
        <v>11924.557000000001</v>
      </c>
      <c r="CE28" s="11">
        <v>501548.59100000001</v>
      </c>
      <c r="CF28" s="11">
        <v>440235.96799999999</v>
      </c>
      <c r="CG28" s="11">
        <v>2.069</v>
      </c>
      <c r="CH28" s="11">
        <v>92.534000000000006</v>
      </c>
      <c r="CI28" s="11">
        <v>2237.6909999999998</v>
      </c>
      <c r="CJ28" s="11">
        <v>58980.328999999998</v>
      </c>
      <c r="CK28" s="11">
        <v>0</v>
      </c>
    </row>
    <row r="29" spans="1:89" x14ac:dyDescent="0.3">
      <c r="A29" s="7" t="s">
        <v>116</v>
      </c>
      <c r="B29" s="10">
        <v>1116578.57</v>
      </c>
      <c r="C29" s="10">
        <f t="shared" si="0"/>
        <v>532759.50199999998</v>
      </c>
      <c r="D29" s="10">
        <v>568424.77399999998</v>
      </c>
      <c r="E29" s="10">
        <v>28422.657999999999</v>
      </c>
      <c r="F29" s="10">
        <v>2766.46</v>
      </c>
      <c r="G29" s="10">
        <v>302.30599999999998</v>
      </c>
      <c r="H29" s="10">
        <v>401.387</v>
      </c>
      <c r="I29" s="10">
        <v>771.32600000000002</v>
      </c>
      <c r="J29" s="10">
        <v>35665.271999999997</v>
      </c>
      <c r="K29" s="10">
        <v>2237.431</v>
      </c>
      <c r="L29" s="10">
        <v>1696.038</v>
      </c>
      <c r="M29" s="10">
        <v>2660.067</v>
      </c>
      <c r="N29" s="10">
        <v>10414.684999999999</v>
      </c>
      <c r="O29" s="10">
        <v>4419.9440000000004</v>
      </c>
      <c r="P29" s="10">
        <v>6639.8909999999996</v>
      </c>
      <c r="Q29" s="10">
        <v>27618.571</v>
      </c>
      <c r="R29" s="10">
        <v>33304.074000000001</v>
      </c>
      <c r="S29" s="10">
        <v>8598.3639999999996</v>
      </c>
      <c r="T29" s="10">
        <v>1496.771</v>
      </c>
      <c r="U29" s="10">
        <v>1672.421</v>
      </c>
      <c r="V29" s="10">
        <v>1097.634</v>
      </c>
      <c r="W29" s="10">
        <v>1734.6189999999999</v>
      </c>
      <c r="X29" s="10">
        <v>7007.4620000000004</v>
      </c>
      <c r="Y29" s="10">
        <v>4224.415</v>
      </c>
      <c r="Z29" s="10">
        <v>18159.816999999999</v>
      </c>
      <c r="AA29" s="10">
        <v>100260.753</v>
      </c>
      <c r="AB29" s="10">
        <v>51473.194000000003</v>
      </c>
      <c r="AC29" s="10">
        <v>9706.1489999999994</v>
      </c>
      <c r="AD29" s="10">
        <v>4641.7520000000004</v>
      </c>
      <c r="AE29" s="10">
        <v>7092.2920000000004</v>
      </c>
      <c r="AF29" s="10">
        <v>2929.8710000000001</v>
      </c>
      <c r="AG29" s="10">
        <v>4250.3069999999998</v>
      </c>
      <c r="AH29" s="10">
        <v>4772.9880000000003</v>
      </c>
      <c r="AI29" s="10">
        <v>40539.656000000003</v>
      </c>
      <c r="AJ29" s="10">
        <v>1454.271</v>
      </c>
      <c r="AK29" s="10">
        <v>6964.6760000000004</v>
      </c>
      <c r="AL29" s="10">
        <v>1947.2719999999999</v>
      </c>
      <c r="AM29" s="10">
        <v>4945.8789999999999</v>
      </c>
      <c r="AN29" s="10">
        <v>328.67599999999999</v>
      </c>
      <c r="AO29" s="10">
        <v>233.54300000000001</v>
      </c>
      <c r="AP29" s="10">
        <v>607.38199999999995</v>
      </c>
      <c r="AQ29" s="10">
        <v>2328.5839999999998</v>
      </c>
      <c r="AR29" s="10">
        <v>6988.598</v>
      </c>
      <c r="AS29" s="10">
        <v>104.633</v>
      </c>
      <c r="AT29" s="10">
        <v>31.068999999999999</v>
      </c>
      <c r="AU29" s="10">
        <v>936.30499999999995</v>
      </c>
      <c r="AV29" s="10">
        <v>2.8170000000000002</v>
      </c>
      <c r="AW29" s="10">
        <v>181.71199999999999</v>
      </c>
      <c r="AX29" s="10">
        <v>340.31400000000002</v>
      </c>
      <c r="AY29" s="10">
        <v>61.036000000000001</v>
      </c>
      <c r="AZ29" s="10">
        <v>108.792</v>
      </c>
      <c r="BA29" s="10">
        <v>348.209</v>
      </c>
      <c r="BB29" s="10">
        <v>952.95699999999999</v>
      </c>
      <c r="BC29" s="10">
        <v>11.02</v>
      </c>
      <c r="BD29" s="10">
        <v>7.9950000000000001</v>
      </c>
      <c r="BE29" s="10">
        <v>7.5140000000000002</v>
      </c>
      <c r="BF29" s="10">
        <v>341.411</v>
      </c>
      <c r="BG29" s="10">
        <v>43.332999999999998</v>
      </c>
      <c r="BH29" s="10">
        <v>81.936000000000007</v>
      </c>
      <c r="BI29" s="10">
        <v>3003.2629999999999</v>
      </c>
      <c r="BJ29" s="10">
        <v>961.19899999999996</v>
      </c>
      <c r="BK29" s="10">
        <v>13.116</v>
      </c>
      <c r="BL29" s="10">
        <v>1642.835</v>
      </c>
      <c r="BM29" s="10">
        <v>654.30499999999995</v>
      </c>
      <c r="BN29" s="10">
        <v>15811.752</v>
      </c>
      <c r="BO29" s="10">
        <v>2991.1840000000002</v>
      </c>
      <c r="BP29" s="10">
        <v>3780.634</v>
      </c>
      <c r="BQ29" s="10">
        <v>16975.28</v>
      </c>
      <c r="BR29" s="10">
        <v>36084.898999999998</v>
      </c>
      <c r="BS29" s="10">
        <v>53.985999999999997</v>
      </c>
      <c r="BT29" s="10">
        <v>2293.5129999999999</v>
      </c>
      <c r="BU29" s="10">
        <v>165.21299999999999</v>
      </c>
      <c r="BV29" s="10">
        <v>64.376000000000005</v>
      </c>
      <c r="BW29" s="10">
        <v>2322.8960000000002</v>
      </c>
      <c r="BX29" s="10">
        <v>7041.6289999999999</v>
      </c>
      <c r="BY29" s="10">
        <v>1161.4059999999999</v>
      </c>
      <c r="BZ29" s="10">
        <v>4774.9350000000004</v>
      </c>
      <c r="CA29" s="10">
        <v>5634.857</v>
      </c>
      <c r="CB29" s="10">
        <v>1513.8440000000001</v>
      </c>
      <c r="CC29" s="10">
        <v>0</v>
      </c>
      <c r="CD29" s="10">
        <v>5141.143</v>
      </c>
      <c r="CE29" s="10">
        <v>548153.79599999997</v>
      </c>
      <c r="CF29" s="10">
        <v>329924.14899999998</v>
      </c>
      <c r="CG29" s="10">
        <v>289.60500000000002</v>
      </c>
      <c r="CH29" s="10">
        <v>3052.68</v>
      </c>
      <c r="CI29" s="10">
        <v>8714.0169999999998</v>
      </c>
      <c r="CJ29" s="10">
        <v>206173.345</v>
      </c>
      <c r="CK29" s="10">
        <v>0</v>
      </c>
    </row>
    <row r="30" spans="1:89" x14ac:dyDescent="0.3">
      <c r="A30" s="8" t="s">
        <v>117</v>
      </c>
      <c r="B30" s="11">
        <v>550282.59299999999</v>
      </c>
      <c r="C30" s="10">
        <f t="shared" si="0"/>
        <v>268785.38499999995</v>
      </c>
      <c r="D30" s="11">
        <v>268848.84499999997</v>
      </c>
      <c r="E30" s="11">
        <v>2553.8629999999998</v>
      </c>
      <c r="F30" s="11">
        <v>46.457999999999998</v>
      </c>
      <c r="G30" s="11">
        <v>41.305</v>
      </c>
      <c r="H30" s="11">
        <v>27.111999999999998</v>
      </c>
      <c r="I30" s="11">
        <v>12.688000000000001</v>
      </c>
      <c r="J30" s="11">
        <v>63.46</v>
      </c>
      <c r="K30" s="11">
        <v>69.227000000000004</v>
      </c>
      <c r="L30" s="11">
        <v>209.20400000000001</v>
      </c>
      <c r="M30" s="11">
        <v>82.808999999999997</v>
      </c>
      <c r="N30" s="11">
        <v>19403.989000000001</v>
      </c>
      <c r="O30" s="11">
        <v>3907.0010000000002</v>
      </c>
      <c r="P30" s="11">
        <v>683.46600000000001</v>
      </c>
      <c r="Q30" s="11">
        <v>15640.4</v>
      </c>
      <c r="R30" s="11">
        <v>7033.2560000000003</v>
      </c>
      <c r="S30" s="11">
        <v>475.3</v>
      </c>
      <c r="T30" s="11">
        <v>258.57</v>
      </c>
      <c r="U30" s="11">
        <v>1011.122</v>
      </c>
      <c r="V30" s="11">
        <v>1370.905</v>
      </c>
      <c r="W30" s="11">
        <v>146.233</v>
      </c>
      <c r="X30" s="11">
        <v>2617.598</v>
      </c>
      <c r="Y30" s="11">
        <v>2821.261</v>
      </c>
      <c r="Z30" s="11">
        <v>194.666</v>
      </c>
      <c r="AA30" s="11">
        <v>4676.8980000000001</v>
      </c>
      <c r="AB30" s="11">
        <v>24389.625</v>
      </c>
      <c r="AC30" s="11">
        <v>1467.0419999999999</v>
      </c>
      <c r="AD30" s="11">
        <v>860.7</v>
      </c>
      <c r="AE30" s="11">
        <v>2773.8629999999998</v>
      </c>
      <c r="AF30" s="11">
        <v>3810.8670000000002</v>
      </c>
      <c r="AG30" s="11">
        <v>12313.735000000001</v>
      </c>
      <c r="AH30" s="11">
        <v>14152.447</v>
      </c>
      <c r="AI30" s="11">
        <v>86426.604999999996</v>
      </c>
      <c r="AJ30" s="11">
        <v>6585.848</v>
      </c>
      <c r="AK30" s="11">
        <v>7030.1030000000001</v>
      </c>
      <c r="AL30" s="11">
        <v>4868.8389999999999</v>
      </c>
      <c r="AM30" s="11">
        <v>9923.7780000000002</v>
      </c>
      <c r="AN30" s="11">
        <v>200.22900000000001</v>
      </c>
      <c r="AO30" s="11">
        <v>12.959</v>
      </c>
      <c r="AP30" s="11">
        <v>9.7159999999999993</v>
      </c>
      <c r="AQ30" s="11">
        <v>418.774</v>
      </c>
      <c r="AR30" s="11">
        <v>66.962000000000003</v>
      </c>
      <c r="AS30" s="11">
        <v>2.153</v>
      </c>
      <c r="AT30" s="11">
        <v>0.60799999999999998</v>
      </c>
      <c r="AU30" s="11">
        <v>127.589</v>
      </c>
      <c r="AV30" s="11">
        <v>0.26500000000000001</v>
      </c>
      <c r="AW30" s="11">
        <v>15.885</v>
      </c>
      <c r="AX30" s="11">
        <v>58.764000000000003</v>
      </c>
      <c r="AY30" s="11">
        <v>28.695</v>
      </c>
      <c r="AZ30" s="11">
        <v>64.119</v>
      </c>
      <c r="BA30" s="11">
        <v>15.041</v>
      </c>
      <c r="BB30" s="11">
        <v>87.328000000000003</v>
      </c>
      <c r="BC30" s="11">
        <v>10.72</v>
      </c>
      <c r="BD30" s="11">
        <v>0.56599999999999995</v>
      </c>
      <c r="BE30" s="11">
        <v>82.998999999999995</v>
      </c>
      <c r="BF30" s="11">
        <v>717.50699999999995</v>
      </c>
      <c r="BG30" s="11">
        <v>6.3310000000000004</v>
      </c>
      <c r="BH30" s="11">
        <v>46.881999999999998</v>
      </c>
      <c r="BI30" s="11">
        <v>190.77699999999999</v>
      </c>
      <c r="BJ30" s="11">
        <v>44.094000000000001</v>
      </c>
      <c r="BK30" s="11">
        <v>0.08</v>
      </c>
      <c r="BL30" s="11">
        <v>348.39400000000001</v>
      </c>
      <c r="BM30" s="11">
        <v>44.256</v>
      </c>
      <c r="BN30" s="11">
        <v>11883.656999999999</v>
      </c>
      <c r="BO30" s="11">
        <v>343.74299999999999</v>
      </c>
      <c r="BP30" s="11">
        <v>938.61800000000005</v>
      </c>
      <c r="BQ30" s="11">
        <v>691.05600000000004</v>
      </c>
      <c r="BR30" s="11">
        <v>1560.6890000000001</v>
      </c>
      <c r="BS30" s="11">
        <v>5.1989999999999998</v>
      </c>
      <c r="BT30" s="11">
        <v>25.693999999999999</v>
      </c>
      <c r="BU30" s="11">
        <v>111.575</v>
      </c>
      <c r="BV30" s="11">
        <v>97.688000000000002</v>
      </c>
      <c r="BW30" s="11">
        <v>947.80600000000004</v>
      </c>
      <c r="BX30" s="11">
        <v>1410.8920000000001</v>
      </c>
      <c r="BY30" s="11">
        <v>4527.3429999999998</v>
      </c>
      <c r="BZ30" s="11">
        <v>2302.9810000000002</v>
      </c>
      <c r="CA30" s="11">
        <v>1707.1790000000001</v>
      </c>
      <c r="CB30" s="11">
        <v>691.34100000000001</v>
      </c>
      <c r="CC30" s="11">
        <v>0</v>
      </c>
      <c r="CD30" s="11">
        <v>1051.4480000000001</v>
      </c>
      <c r="CE30" s="11">
        <v>281433.74800000002</v>
      </c>
      <c r="CF30" s="11">
        <v>104340.91</v>
      </c>
      <c r="CG30" s="11">
        <v>62.86</v>
      </c>
      <c r="CH30" s="11">
        <v>2982.2550000000001</v>
      </c>
      <c r="CI30" s="11">
        <v>591.68399999999997</v>
      </c>
      <c r="CJ30" s="11">
        <v>173456.03899999999</v>
      </c>
      <c r="CK30" s="11">
        <v>0</v>
      </c>
    </row>
    <row r="31" spans="1:89" x14ac:dyDescent="0.3">
      <c r="A31" s="7" t="s">
        <v>118</v>
      </c>
      <c r="B31" s="10">
        <v>397924.75799999997</v>
      </c>
      <c r="C31" s="10">
        <f t="shared" si="0"/>
        <v>313943.08399999997</v>
      </c>
      <c r="D31" s="10">
        <v>314585.29399999999</v>
      </c>
      <c r="E31" s="10">
        <v>832.57399999999996</v>
      </c>
      <c r="F31" s="10">
        <v>202.83600000000001</v>
      </c>
      <c r="G31" s="10">
        <v>4.4260000000000002</v>
      </c>
      <c r="H31" s="10">
        <v>171.30199999999999</v>
      </c>
      <c r="I31" s="10">
        <v>36.906999999999996</v>
      </c>
      <c r="J31" s="10">
        <v>642.21</v>
      </c>
      <c r="K31" s="10">
        <v>17.797999999999998</v>
      </c>
      <c r="L31" s="10">
        <v>1951.31</v>
      </c>
      <c r="M31" s="10">
        <v>56.098999999999997</v>
      </c>
      <c r="N31" s="10">
        <v>134734.302</v>
      </c>
      <c r="O31" s="10">
        <v>31366.031999999999</v>
      </c>
      <c r="P31" s="10">
        <v>10989.108</v>
      </c>
      <c r="Q31" s="10">
        <v>9848.9330000000009</v>
      </c>
      <c r="R31" s="10">
        <v>17807.05</v>
      </c>
      <c r="S31" s="10">
        <v>45.295000000000002</v>
      </c>
      <c r="T31" s="10">
        <v>55.534999999999997</v>
      </c>
      <c r="U31" s="10">
        <v>246.00899999999999</v>
      </c>
      <c r="V31" s="10">
        <v>46.267000000000003</v>
      </c>
      <c r="W31" s="10">
        <v>170.15100000000001</v>
      </c>
      <c r="X31" s="10">
        <v>205.691</v>
      </c>
      <c r="Y31" s="10">
        <v>116.43300000000001</v>
      </c>
      <c r="Z31" s="10">
        <v>511.56799999999998</v>
      </c>
      <c r="AA31" s="10">
        <v>2036.1220000000001</v>
      </c>
      <c r="AB31" s="10">
        <v>904.74099999999999</v>
      </c>
      <c r="AC31" s="10">
        <v>36634.879999999997</v>
      </c>
      <c r="AD31" s="10">
        <v>1396.5309999999999</v>
      </c>
      <c r="AE31" s="10">
        <v>2867.5839999999998</v>
      </c>
      <c r="AF31" s="10">
        <v>951.38900000000001</v>
      </c>
      <c r="AG31" s="10">
        <v>2757.364</v>
      </c>
      <c r="AH31" s="10">
        <v>2722.4490000000001</v>
      </c>
      <c r="AI31" s="10">
        <v>14848.53</v>
      </c>
      <c r="AJ31" s="10">
        <v>1127.1489999999999</v>
      </c>
      <c r="AK31" s="10">
        <v>2002.6590000000001</v>
      </c>
      <c r="AL31" s="10">
        <v>2054.942</v>
      </c>
      <c r="AM31" s="10">
        <v>210.65799999999999</v>
      </c>
      <c r="AN31" s="10">
        <v>212.83199999999999</v>
      </c>
      <c r="AO31" s="10">
        <v>590.80899999999997</v>
      </c>
      <c r="AP31" s="10">
        <v>16.341000000000001</v>
      </c>
      <c r="AQ31" s="10">
        <v>4164.4610000000002</v>
      </c>
      <c r="AR31" s="10">
        <v>7833.6930000000002</v>
      </c>
      <c r="AS31" s="10">
        <v>472.62900000000002</v>
      </c>
      <c r="AT31" s="10">
        <v>41.738</v>
      </c>
      <c r="AU31" s="10">
        <v>775.76300000000003</v>
      </c>
      <c r="AV31" s="10">
        <v>0.49</v>
      </c>
      <c r="AW31" s="10">
        <v>755.62900000000002</v>
      </c>
      <c r="AX31" s="10">
        <v>19.713000000000001</v>
      </c>
      <c r="AY31" s="10">
        <v>29.029</v>
      </c>
      <c r="AZ31" s="10">
        <v>256.87799999999999</v>
      </c>
      <c r="BA31" s="10">
        <v>491.38400000000001</v>
      </c>
      <c r="BB31" s="10">
        <v>3657.877</v>
      </c>
      <c r="BC31" s="10">
        <v>93.9</v>
      </c>
      <c r="BD31" s="10">
        <v>4.7359999999999998</v>
      </c>
      <c r="BE31" s="10">
        <v>2.1850000000000001</v>
      </c>
      <c r="BF31" s="10">
        <v>141.279</v>
      </c>
      <c r="BG31" s="10">
        <v>6.2960000000000003</v>
      </c>
      <c r="BH31" s="10">
        <v>33.648000000000003</v>
      </c>
      <c r="BI31" s="10">
        <v>5382.6049999999996</v>
      </c>
      <c r="BJ31" s="10">
        <v>351.62099999999998</v>
      </c>
      <c r="BK31" s="10">
        <v>3.5470000000000002</v>
      </c>
      <c r="BL31" s="10">
        <v>1249.1969999999999</v>
      </c>
      <c r="BM31" s="10">
        <v>125.88800000000001</v>
      </c>
      <c r="BN31" s="10">
        <v>1565.758</v>
      </c>
      <c r="BO31" s="10">
        <v>45.503</v>
      </c>
      <c r="BP31" s="10">
        <v>511.68299999999999</v>
      </c>
      <c r="BQ31" s="10">
        <v>249.672</v>
      </c>
      <c r="BR31" s="10">
        <v>331.68200000000002</v>
      </c>
      <c r="BS31" s="10">
        <v>12.503</v>
      </c>
      <c r="BT31" s="10">
        <v>26.795000000000002</v>
      </c>
      <c r="BU31" s="10">
        <v>39.31</v>
      </c>
      <c r="BV31" s="10">
        <v>25.678000000000001</v>
      </c>
      <c r="BW31" s="10">
        <v>366.68</v>
      </c>
      <c r="BX31" s="10">
        <v>1344.7570000000001</v>
      </c>
      <c r="BY31" s="10">
        <v>1059.17</v>
      </c>
      <c r="BZ31" s="10">
        <v>260.91899999999998</v>
      </c>
      <c r="CA31" s="10">
        <v>313.10199999999998</v>
      </c>
      <c r="CB31" s="10">
        <v>68.698999999999998</v>
      </c>
      <c r="CC31" s="10">
        <v>0</v>
      </c>
      <c r="CD31" s="10">
        <v>1076.3810000000001</v>
      </c>
      <c r="CE31" s="10">
        <v>83339.464000000007</v>
      </c>
      <c r="CF31" s="10">
        <v>15183.392</v>
      </c>
      <c r="CG31" s="10">
        <v>48.695999999999998</v>
      </c>
      <c r="CH31" s="10">
        <v>939.44</v>
      </c>
      <c r="CI31" s="10">
        <v>105.21599999999999</v>
      </c>
      <c r="CJ31" s="10">
        <v>67062.720000000001</v>
      </c>
      <c r="CK31" s="10">
        <v>0</v>
      </c>
    </row>
    <row r="32" spans="1:89" x14ac:dyDescent="0.3">
      <c r="A32" s="8" t="s">
        <v>119</v>
      </c>
      <c r="B32" s="11">
        <v>880705.75100000005</v>
      </c>
      <c r="C32" s="10">
        <f t="shared" si="0"/>
        <v>509158.49100000004</v>
      </c>
      <c r="D32" s="11">
        <v>530293.59100000001</v>
      </c>
      <c r="E32" s="11">
        <v>84.724999999999994</v>
      </c>
      <c r="F32" s="11">
        <v>268.483</v>
      </c>
      <c r="G32" s="11">
        <v>97.543000000000006</v>
      </c>
      <c r="H32" s="11">
        <v>24.788</v>
      </c>
      <c r="I32" s="11">
        <v>8.56</v>
      </c>
      <c r="J32" s="11">
        <v>21135.1</v>
      </c>
      <c r="K32" s="11">
        <v>311.97000000000003</v>
      </c>
      <c r="L32" s="11">
        <v>304.76299999999998</v>
      </c>
      <c r="M32" s="11">
        <v>5743.5569999999998</v>
      </c>
      <c r="N32" s="11">
        <v>96182.491999999998</v>
      </c>
      <c r="O32" s="11">
        <v>15802.089</v>
      </c>
      <c r="P32" s="11">
        <v>597.02800000000002</v>
      </c>
      <c r="Q32" s="11">
        <v>899.93799999999999</v>
      </c>
      <c r="R32" s="11">
        <v>432.33300000000003</v>
      </c>
      <c r="S32" s="11">
        <v>68.343999999999994</v>
      </c>
      <c r="T32" s="11">
        <v>70.114000000000004</v>
      </c>
      <c r="U32" s="11">
        <v>168.20099999999999</v>
      </c>
      <c r="V32" s="11">
        <v>29.056999999999999</v>
      </c>
      <c r="W32" s="11">
        <v>27.927</v>
      </c>
      <c r="X32" s="11">
        <v>189.57900000000001</v>
      </c>
      <c r="Y32" s="11">
        <v>272.49900000000002</v>
      </c>
      <c r="Z32" s="11">
        <v>257.74400000000003</v>
      </c>
      <c r="AA32" s="11">
        <v>2668.8290000000002</v>
      </c>
      <c r="AB32" s="11">
        <v>1910.5530000000001</v>
      </c>
      <c r="AC32" s="11">
        <v>2256.8710000000001</v>
      </c>
      <c r="AD32" s="11">
        <v>53243.688999999998</v>
      </c>
      <c r="AE32" s="11">
        <v>60870.178</v>
      </c>
      <c r="AF32" s="11">
        <v>30018.661</v>
      </c>
      <c r="AG32" s="11">
        <v>18877.553</v>
      </c>
      <c r="AH32" s="11">
        <v>49032.296000000002</v>
      </c>
      <c r="AI32" s="11">
        <v>119367.29399999999</v>
      </c>
      <c r="AJ32" s="11">
        <v>4559.7619999999997</v>
      </c>
      <c r="AK32" s="11">
        <v>5055.3100000000004</v>
      </c>
      <c r="AL32" s="11">
        <v>464.93900000000002</v>
      </c>
      <c r="AM32" s="11">
        <v>799.48299999999995</v>
      </c>
      <c r="AN32" s="11">
        <v>182.779</v>
      </c>
      <c r="AO32" s="11">
        <v>41.027000000000001</v>
      </c>
      <c r="AP32" s="11">
        <v>115.767</v>
      </c>
      <c r="AQ32" s="11">
        <v>1215.9939999999999</v>
      </c>
      <c r="AR32" s="11">
        <v>2687.8960000000002</v>
      </c>
      <c r="AS32" s="11">
        <v>127.209</v>
      </c>
      <c r="AT32" s="11">
        <v>16.609000000000002</v>
      </c>
      <c r="AU32" s="11">
        <v>4711.3109999999997</v>
      </c>
      <c r="AV32" s="11">
        <v>10.866</v>
      </c>
      <c r="AW32" s="11">
        <v>234.67599999999999</v>
      </c>
      <c r="AX32" s="11">
        <v>1667.8240000000001</v>
      </c>
      <c r="AY32" s="11">
        <v>29.850999999999999</v>
      </c>
      <c r="AZ32" s="11">
        <v>136.10400000000001</v>
      </c>
      <c r="BA32" s="11">
        <v>170</v>
      </c>
      <c r="BB32" s="11">
        <v>1643.354</v>
      </c>
      <c r="BC32" s="11">
        <v>12.427</v>
      </c>
      <c r="BD32" s="11">
        <v>10.324999999999999</v>
      </c>
      <c r="BE32" s="11">
        <v>26.927</v>
      </c>
      <c r="BF32" s="11">
        <v>1298.557</v>
      </c>
      <c r="BG32" s="11">
        <v>74.049000000000007</v>
      </c>
      <c r="BH32" s="11">
        <v>355.26</v>
      </c>
      <c r="BI32" s="11">
        <v>1743.4380000000001</v>
      </c>
      <c r="BJ32" s="11">
        <v>119.441</v>
      </c>
      <c r="BK32" s="11">
        <v>1.542</v>
      </c>
      <c r="BL32" s="11">
        <v>706.77</v>
      </c>
      <c r="BM32" s="11">
        <v>774.10299999999995</v>
      </c>
      <c r="BN32" s="11">
        <v>2477.8009999999999</v>
      </c>
      <c r="BO32" s="11">
        <v>158.46100000000001</v>
      </c>
      <c r="BP32" s="11">
        <v>1389.5940000000001</v>
      </c>
      <c r="BQ32" s="11">
        <v>610.26800000000003</v>
      </c>
      <c r="BR32" s="11">
        <v>817.49300000000005</v>
      </c>
      <c r="BS32" s="11">
        <v>17.268999999999998</v>
      </c>
      <c r="BT32" s="11">
        <v>151.345</v>
      </c>
      <c r="BU32" s="11">
        <v>65.718000000000004</v>
      </c>
      <c r="BV32" s="11">
        <v>107.52</v>
      </c>
      <c r="BW32" s="11">
        <v>508.19799999999998</v>
      </c>
      <c r="BX32" s="11">
        <v>464.79399999999998</v>
      </c>
      <c r="BY32" s="11">
        <v>307.87099999999998</v>
      </c>
      <c r="BZ32" s="11">
        <v>7234.8670000000002</v>
      </c>
      <c r="CA32" s="11">
        <v>203.273</v>
      </c>
      <c r="CB32" s="11">
        <v>109.128</v>
      </c>
      <c r="CC32" s="11">
        <v>0</v>
      </c>
      <c r="CD32" s="11">
        <v>5453.6329999999998</v>
      </c>
      <c r="CE32" s="11">
        <v>350412.16</v>
      </c>
      <c r="CF32" s="11">
        <v>14293.028</v>
      </c>
      <c r="CG32" s="11">
        <v>31.547999999999998</v>
      </c>
      <c r="CH32" s="11">
        <v>80606.896999999997</v>
      </c>
      <c r="CI32" s="11">
        <v>1871.299</v>
      </c>
      <c r="CJ32" s="11">
        <v>253609.38800000001</v>
      </c>
      <c r="CK32" s="11">
        <v>0</v>
      </c>
    </row>
    <row r="33" spans="1:89" x14ac:dyDescent="0.3">
      <c r="A33" s="7" t="s">
        <v>120</v>
      </c>
      <c r="B33" s="10">
        <v>512885.196</v>
      </c>
      <c r="C33" s="10">
        <f t="shared" si="0"/>
        <v>182198.179</v>
      </c>
      <c r="D33" s="10">
        <v>184637.231</v>
      </c>
      <c r="E33" s="10">
        <v>353.12900000000002</v>
      </c>
      <c r="F33" s="10">
        <v>2504.5659999999998</v>
      </c>
      <c r="G33" s="10">
        <v>11.663</v>
      </c>
      <c r="H33" s="10">
        <v>66.045000000000002</v>
      </c>
      <c r="I33" s="10">
        <v>112.426</v>
      </c>
      <c r="J33" s="10">
        <v>2439.0520000000001</v>
      </c>
      <c r="K33" s="10">
        <v>59.96</v>
      </c>
      <c r="L33" s="10">
        <v>1093.3869999999999</v>
      </c>
      <c r="M33" s="10">
        <v>15282.392</v>
      </c>
      <c r="N33" s="10">
        <v>36670.697</v>
      </c>
      <c r="O33" s="10">
        <v>21100.186000000002</v>
      </c>
      <c r="P33" s="10">
        <v>6948.8419999999996</v>
      </c>
      <c r="Q33" s="10">
        <v>3898.7759999999998</v>
      </c>
      <c r="R33" s="10">
        <v>9939.0490000000009</v>
      </c>
      <c r="S33" s="10">
        <v>44.436</v>
      </c>
      <c r="T33" s="10">
        <v>94.096000000000004</v>
      </c>
      <c r="U33" s="10">
        <v>102.185</v>
      </c>
      <c r="V33" s="10">
        <v>107.377</v>
      </c>
      <c r="W33" s="10">
        <v>419.70400000000001</v>
      </c>
      <c r="X33" s="10">
        <v>335.233</v>
      </c>
      <c r="Y33" s="10">
        <v>132.18799999999999</v>
      </c>
      <c r="Z33" s="10">
        <v>333.827</v>
      </c>
      <c r="AA33" s="10">
        <v>761.61599999999999</v>
      </c>
      <c r="AB33" s="10">
        <v>1696.7149999999999</v>
      </c>
      <c r="AC33" s="10">
        <v>486.75299999999999</v>
      </c>
      <c r="AD33" s="10">
        <v>6718.3580000000002</v>
      </c>
      <c r="AE33" s="10">
        <v>8220.9269999999997</v>
      </c>
      <c r="AF33" s="10">
        <v>3913.4479999999999</v>
      </c>
      <c r="AG33" s="10">
        <v>3324.8719999999998</v>
      </c>
      <c r="AH33" s="10">
        <v>3200.3739999999998</v>
      </c>
      <c r="AI33" s="10">
        <v>19268.398000000001</v>
      </c>
      <c r="AJ33" s="10">
        <v>1057.356</v>
      </c>
      <c r="AK33" s="10">
        <v>632.80200000000002</v>
      </c>
      <c r="AL33" s="10">
        <v>478.50200000000001</v>
      </c>
      <c r="AM33" s="10">
        <v>1703.05</v>
      </c>
      <c r="AN33" s="10">
        <v>143.24</v>
      </c>
      <c r="AO33" s="10">
        <v>192.239</v>
      </c>
      <c r="AP33" s="10">
        <v>29.925999999999998</v>
      </c>
      <c r="AQ33" s="10">
        <v>1429.778</v>
      </c>
      <c r="AR33" s="10">
        <v>3237.0949999999998</v>
      </c>
      <c r="AS33" s="10">
        <v>188.24600000000001</v>
      </c>
      <c r="AT33" s="10">
        <v>18.388000000000002</v>
      </c>
      <c r="AU33" s="10">
        <v>2290.9450000000002</v>
      </c>
      <c r="AV33" s="10">
        <v>2.375</v>
      </c>
      <c r="AW33" s="10">
        <v>314.04500000000002</v>
      </c>
      <c r="AX33" s="10">
        <v>714.82600000000002</v>
      </c>
      <c r="AY33" s="10">
        <v>19.265999999999998</v>
      </c>
      <c r="AZ33" s="10">
        <v>134.13300000000001</v>
      </c>
      <c r="BA33" s="10">
        <v>168.738</v>
      </c>
      <c r="BB33" s="10">
        <v>1482.854</v>
      </c>
      <c r="BC33" s="10">
        <v>16.297999999999998</v>
      </c>
      <c r="BD33" s="10">
        <v>1.9279999999999999</v>
      </c>
      <c r="BE33" s="10">
        <v>101.54900000000001</v>
      </c>
      <c r="BF33" s="10">
        <v>181.12299999999999</v>
      </c>
      <c r="BG33" s="10">
        <v>10.586</v>
      </c>
      <c r="BH33" s="10">
        <v>36.543999999999997</v>
      </c>
      <c r="BI33" s="10">
        <v>1625.6949999999999</v>
      </c>
      <c r="BJ33" s="10">
        <v>154.15100000000001</v>
      </c>
      <c r="BK33" s="10">
        <v>1.26</v>
      </c>
      <c r="BL33" s="10">
        <v>1118.519</v>
      </c>
      <c r="BM33" s="10">
        <v>105.105</v>
      </c>
      <c r="BN33" s="10">
        <v>3883.4360000000001</v>
      </c>
      <c r="BO33" s="10">
        <v>531.82299999999998</v>
      </c>
      <c r="BP33" s="10">
        <v>2220.3789999999999</v>
      </c>
      <c r="BQ33" s="10">
        <v>582.298</v>
      </c>
      <c r="BR33" s="10">
        <v>1368.9949999999999</v>
      </c>
      <c r="BS33" s="10">
        <v>7.2110000000000003</v>
      </c>
      <c r="BT33" s="10">
        <v>113.991</v>
      </c>
      <c r="BU33" s="10">
        <v>104.824</v>
      </c>
      <c r="BV33" s="10">
        <v>16.79</v>
      </c>
      <c r="BW33" s="10">
        <v>611.15700000000004</v>
      </c>
      <c r="BX33" s="10">
        <v>722.274</v>
      </c>
      <c r="BY33" s="10">
        <v>490.99400000000003</v>
      </c>
      <c r="BZ33" s="10">
        <v>3898.4870000000001</v>
      </c>
      <c r="CA33" s="10">
        <v>1924.646</v>
      </c>
      <c r="CB33" s="10">
        <v>117.711</v>
      </c>
      <c r="CC33" s="10">
        <v>0</v>
      </c>
      <c r="CD33" s="10">
        <v>810.976</v>
      </c>
      <c r="CE33" s="10">
        <v>328247.96500000003</v>
      </c>
      <c r="CF33" s="10">
        <v>83066.782000000007</v>
      </c>
      <c r="CG33" s="10">
        <v>48.317999999999998</v>
      </c>
      <c r="CH33" s="10">
        <v>31163.276000000002</v>
      </c>
      <c r="CI33" s="10">
        <v>860.16600000000005</v>
      </c>
      <c r="CJ33" s="10">
        <v>213109.42300000001</v>
      </c>
      <c r="CK33" s="10">
        <v>0</v>
      </c>
    </row>
    <row r="34" spans="1:89" x14ac:dyDescent="0.3">
      <c r="A34" s="8" t="s">
        <v>121</v>
      </c>
      <c r="B34" s="11">
        <v>600985.11899999995</v>
      </c>
      <c r="C34" s="10">
        <f t="shared" si="0"/>
        <v>47970.044000000002</v>
      </c>
      <c r="D34" s="11">
        <v>49841.788</v>
      </c>
      <c r="E34" s="11">
        <v>1175.405</v>
      </c>
      <c r="F34" s="11">
        <v>225.86600000000001</v>
      </c>
      <c r="G34" s="11">
        <v>7.0270000000000001</v>
      </c>
      <c r="H34" s="11">
        <v>4.806</v>
      </c>
      <c r="I34" s="11">
        <v>20.416</v>
      </c>
      <c r="J34" s="11">
        <v>1871.7439999999999</v>
      </c>
      <c r="K34" s="11">
        <v>306.15699999999998</v>
      </c>
      <c r="L34" s="11">
        <v>2361.5509999999999</v>
      </c>
      <c r="M34" s="11">
        <v>927.149</v>
      </c>
      <c r="N34" s="11">
        <v>10483.141</v>
      </c>
      <c r="O34" s="11">
        <v>1800.5450000000001</v>
      </c>
      <c r="P34" s="11">
        <v>963.31</v>
      </c>
      <c r="Q34" s="11">
        <v>1119.2159999999999</v>
      </c>
      <c r="R34" s="11">
        <v>258.72899999999998</v>
      </c>
      <c r="S34" s="11">
        <v>20.423999999999999</v>
      </c>
      <c r="T34" s="11">
        <v>38.140999999999998</v>
      </c>
      <c r="U34" s="11">
        <v>64.334999999999994</v>
      </c>
      <c r="V34" s="11">
        <v>28.640999999999998</v>
      </c>
      <c r="W34" s="11">
        <v>60.697000000000003</v>
      </c>
      <c r="X34" s="11">
        <v>158.75899999999999</v>
      </c>
      <c r="Y34" s="11">
        <v>135.505</v>
      </c>
      <c r="Z34" s="11">
        <v>125.11199999999999</v>
      </c>
      <c r="AA34" s="11">
        <v>480.66199999999998</v>
      </c>
      <c r="AB34" s="11">
        <v>337.935</v>
      </c>
      <c r="AC34" s="11">
        <v>180.268</v>
      </c>
      <c r="AD34" s="11">
        <v>965.27700000000004</v>
      </c>
      <c r="AE34" s="11">
        <v>1295.777</v>
      </c>
      <c r="AF34" s="11">
        <v>6230.24</v>
      </c>
      <c r="AG34" s="11">
        <v>1709.413</v>
      </c>
      <c r="AH34" s="11">
        <v>601.74800000000005</v>
      </c>
      <c r="AI34" s="11">
        <v>5450.6459999999997</v>
      </c>
      <c r="AJ34" s="11">
        <v>86.734999999999999</v>
      </c>
      <c r="AK34" s="11">
        <v>353.125</v>
      </c>
      <c r="AL34" s="11">
        <v>331.94799999999998</v>
      </c>
      <c r="AM34" s="11">
        <v>643.05700000000002</v>
      </c>
      <c r="AN34" s="11">
        <v>49.082999999999998</v>
      </c>
      <c r="AO34" s="11">
        <v>8.5289999999999999</v>
      </c>
      <c r="AP34" s="11">
        <v>367.56</v>
      </c>
      <c r="AQ34" s="11">
        <v>374.33600000000001</v>
      </c>
      <c r="AR34" s="11">
        <v>252.55099999999999</v>
      </c>
      <c r="AS34" s="11">
        <v>5.9329999999999998</v>
      </c>
      <c r="AT34" s="11">
        <v>1.677</v>
      </c>
      <c r="AU34" s="11">
        <v>172.68299999999999</v>
      </c>
      <c r="AV34" s="11">
        <v>0.66900000000000004</v>
      </c>
      <c r="AW34" s="11">
        <v>10.683</v>
      </c>
      <c r="AX34" s="11">
        <v>42.213000000000001</v>
      </c>
      <c r="AY34" s="11">
        <v>51.703000000000003</v>
      </c>
      <c r="AZ34" s="11">
        <v>134.76</v>
      </c>
      <c r="BA34" s="11">
        <v>171.24</v>
      </c>
      <c r="BB34" s="11">
        <v>444.28399999999999</v>
      </c>
      <c r="BC34" s="11">
        <v>18.318999999999999</v>
      </c>
      <c r="BD34" s="11">
        <v>3.6110000000000002</v>
      </c>
      <c r="BE34" s="11">
        <v>55.414999999999999</v>
      </c>
      <c r="BF34" s="11">
        <v>282.51900000000001</v>
      </c>
      <c r="BG34" s="11">
        <v>8.6999999999999993</v>
      </c>
      <c r="BH34" s="11">
        <v>39.072000000000003</v>
      </c>
      <c r="BI34" s="11">
        <v>653.97699999999998</v>
      </c>
      <c r="BJ34" s="11">
        <v>371.565</v>
      </c>
      <c r="BK34" s="11">
        <v>1.873</v>
      </c>
      <c r="BL34" s="11">
        <v>333.53899999999999</v>
      </c>
      <c r="BM34" s="11">
        <v>92.319000000000003</v>
      </c>
      <c r="BN34" s="11">
        <v>320.22899999999998</v>
      </c>
      <c r="BO34" s="11">
        <v>88.733000000000004</v>
      </c>
      <c r="BP34" s="11">
        <v>227.416</v>
      </c>
      <c r="BQ34" s="11">
        <v>147.49199999999999</v>
      </c>
      <c r="BR34" s="11">
        <v>152.761</v>
      </c>
      <c r="BS34" s="11">
        <v>3.16</v>
      </c>
      <c r="BT34" s="11">
        <v>14.805</v>
      </c>
      <c r="BU34" s="11">
        <v>17.577000000000002</v>
      </c>
      <c r="BV34" s="11">
        <v>3.9060000000000001</v>
      </c>
      <c r="BW34" s="11">
        <v>108.001</v>
      </c>
      <c r="BX34" s="11">
        <v>338.923</v>
      </c>
      <c r="BY34" s="11">
        <v>164.83699999999999</v>
      </c>
      <c r="BZ34" s="11">
        <v>2645.5839999999998</v>
      </c>
      <c r="CA34" s="11">
        <v>209.126</v>
      </c>
      <c r="CB34" s="11">
        <v>42.645000000000003</v>
      </c>
      <c r="CC34" s="11">
        <v>0</v>
      </c>
      <c r="CD34" s="11">
        <v>584.27300000000002</v>
      </c>
      <c r="CE34" s="11">
        <v>551143.33100000001</v>
      </c>
      <c r="CF34" s="11">
        <v>15339.484</v>
      </c>
      <c r="CG34" s="11">
        <v>154.85900000000001</v>
      </c>
      <c r="CH34" s="11">
        <v>114152.984</v>
      </c>
      <c r="CI34" s="11">
        <v>523.75599999999997</v>
      </c>
      <c r="CJ34" s="11">
        <v>420972.24800000002</v>
      </c>
      <c r="CK34" s="11">
        <v>0</v>
      </c>
    </row>
    <row r="35" spans="1:89" x14ac:dyDescent="0.3">
      <c r="A35" s="7" t="s">
        <v>122</v>
      </c>
      <c r="B35" s="10">
        <v>1916945.031</v>
      </c>
      <c r="C35" s="10">
        <f t="shared" si="0"/>
        <v>218206.10100000002</v>
      </c>
      <c r="D35" s="10">
        <v>218636.40900000001</v>
      </c>
      <c r="E35" s="10">
        <v>76.53</v>
      </c>
      <c r="F35" s="10">
        <v>69.010000000000005</v>
      </c>
      <c r="G35" s="10">
        <v>9.4160000000000004</v>
      </c>
      <c r="H35" s="10">
        <v>3.3809999999999998</v>
      </c>
      <c r="I35" s="10">
        <v>88.11</v>
      </c>
      <c r="J35" s="10">
        <v>430.30799999999999</v>
      </c>
      <c r="K35" s="10">
        <v>485.57400000000001</v>
      </c>
      <c r="L35" s="10">
        <v>746.94399999999996</v>
      </c>
      <c r="M35" s="10">
        <v>2675.5</v>
      </c>
      <c r="N35" s="10">
        <v>4048.1759999999999</v>
      </c>
      <c r="O35" s="10">
        <v>4093.9749999999999</v>
      </c>
      <c r="P35" s="10">
        <v>5370.3710000000001</v>
      </c>
      <c r="Q35" s="10">
        <v>629.85</v>
      </c>
      <c r="R35" s="10">
        <v>213.221</v>
      </c>
      <c r="S35" s="10">
        <v>23.065999999999999</v>
      </c>
      <c r="T35" s="10">
        <v>20.228000000000002</v>
      </c>
      <c r="U35" s="10">
        <v>86.781000000000006</v>
      </c>
      <c r="V35" s="10">
        <v>46.344000000000001</v>
      </c>
      <c r="W35" s="10">
        <v>54.622</v>
      </c>
      <c r="X35" s="10">
        <v>845.702</v>
      </c>
      <c r="Y35" s="10">
        <v>221.602</v>
      </c>
      <c r="Z35" s="10">
        <v>191.42</v>
      </c>
      <c r="AA35" s="10">
        <v>2517.67</v>
      </c>
      <c r="AB35" s="10">
        <v>1468.2739999999999</v>
      </c>
      <c r="AC35" s="10">
        <v>1636.0440000000001</v>
      </c>
      <c r="AD35" s="10">
        <v>2638.3339999999998</v>
      </c>
      <c r="AE35" s="10">
        <v>961.35799999999995</v>
      </c>
      <c r="AF35" s="10">
        <v>5750.152</v>
      </c>
      <c r="AG35" s="10">
        <v>90323.274000000005</v>
      </c>
      <c r="AH35" s="10">
        <v>6222.5460000000003</v>
      </c>
      <c r="AI35" s="10">
        <v>29921.93</v>
      </c>
      <c r="AJ35" s="10">
        <v>212.82</v>
      </c>
      <c r="AK35" s="10">
        <v>474.46300000000002</v>
      </c>
      <c r="AL35" s="10">
        <v>720.85699999999997</v>
      </c>
      <c r="AM35" s="10">
        <v>1504.1579999999999</v>
      </c>
      <c r="AN35" s="10">
        <v>66.144999999999996</v>
      </c>
      <c r="AO35" s="10">
        <v>11.048</v>
      </c>
      <c r="AP35" s="10">
        <v>63.198</v>
      </c>
      <c r="AQ35" s="10">
        <v>396.61099999999999</v>
      </c>
      <c r="AR35" s="10">
        <v>154.99700000000001</v>
      </c>
      <c r="AS35" s="10">
        <v>5.5119999999999996</v>
      </c>
      <c r="AT35" s="10">
        <v>1.208</v>
      </c>
      <c r="AU35" s="10">
        <v>4596.6710000000003</v>
      </c>
      <c r="AV35" s="10">
        <v>0.41499999999999998</v>
      </c>
      <c r="AW35" s="10">
        <v>38.094000000000001</v>
      </c>
      <c r="AX35" s="10">
        <v>143.65700000000001</v>
      </c>
      <c r="AY35" s="10">
        <v>2932.4810000000002</v>
      </c>
      <c r="AZ35" s="10">
        <v>7044.1509999999998</v>
      </c>
      <c r="BA35" s="10">
        <v>612.56399999999996</v>
      </c>
      <c r="BB35" s="10">
        <v>3082.9189999999999</v>
      </c>
      <c r="BC35" s="10">
        <v>1588.105</v>
      </c>
      <c r="BD35" s="10">
        <v>7.9359999999999999</v>
      </c>
      <c r="BE35" s="10">
        <v>269.44299999999998</v>
      </c>
      <c r="BF35" s="10">
        <v>2481.73</v>
      </c>
      <c r="BG35" s="10">
        <v>35.052</v>
      </c>
      <c r="BH35" s="10">
        <v>383.25099999999998</v>
      </c>
      <c r="BI35" s="10">
        <v>476.06599999999997</v>
      </c>
      <c r="BJ35" s="10">
        <v>198.446</v>
      </c>
      <c r="BK35" s="10">
        <v>0.185</v>
      </c>
      <c r="BL35" s="10">
        <v>12148.413</v>
      </c>
      <c r="BM35" s="10">
        <v>149.58199999999999</v>
      </c>
      <c r="BN35" s="10">
        <v>9145.6849999999995</v>
      </c>
      <c r="BO35" s="10">
        <v>44.609000000000002</v>
      </c>
      <c r="BP35" s="10">
        <v>952.096</v>
      </c>
      <c r="BQ35" s="10">
        <v>676.79600000000005</v>
      </c>
      <c r="BR35" s="10">
        <v>479.226</v>
      </c>
      <c r="BS35" s="10">
        <v>11.297000000000001</v>
      </c>
      <c r="BT35" s="10">
        <v>38.747</v>
      </c>
      <c r="BU35" s="10">
        <v>501.18799999999999</v>
      </c>
      <c r="BV35" s="10">
        <v>9.4469999999999992</v>
      </c>
      <c r="BW35" s="10">
        <v>151.24199999999999</v>
      </c>
      <c r="BX35" s="10">
        <v>573.36400000000003</v>
      </c>
      <c r="BY35" s="10">
        <v>166.18600000000001</v>
      </c>
      <c r="BZ35" s="10">
        <v>1941.3420000000001</v>
      </c>
      <c r="CA35" s="10">
        <v>379.51299999999998</v>
      </c>
      <c r="CB35" s="10">
        <v>1106.604</v>
      </c>
      <c r="CC35" s="10">
        <v>0</v>
      </c>
      <c r="CD35" s="10">
        <v>789.17600000000004</v>
      </c>
      <c r="CE35" s="10">
        <v>1698308.622</v>
      </c>
      <c r="CF35" s="10">
        <v>138328.92600000001</v>
      </c>
      <c r="CG35" s="10">
        <v>74.555000000000007</v>
      </c>
      <c r="CH35" s="10">
        <v>50606.086000000003</v>
      </c>
      <c r="CI35" s="10">
        <v>340.16800000000001</v>
      </c>
      <c r="CJ35" s="10">
        <v>1508958.8870000001</v>
      </c>
      <c r="CK35" s="10">
        <v>0</v>
      </c>
    </row>
    <row r="36" spans="1:89" x14ac:dyDescent="0.3">
      <c r="A36" s="8" t="s">
        <v>123</v>
      </c>
      <c r="B36" s="11">
        <v>610126.39899999998</v>
      </c>
      <c r="C36" s="10">
        <f t="shared" si="0"/>
        <v>63385.118999999999</v>
      </c>
      <c r="D36" s="11">
        <v>63716.277999999998</v>
      </c>
      <c r="E36" s="11">
        <v>61.677999999999997</v>
      </c>
      <c r="F36" s="11">
        <v>27.161000000000001</v>
      </c>
      <c r="G36" s="11">
        <v>7.6719999999999997</v>
      </c>
      <c r="H36" s="11">
        <v>1.9359999999999999</v>
      </c>
      <c r="I36" s="11">
        <v>8.9649999999999999</v>
      </c>
      <c r="J36" s="11">
        <v>331.15899999999999</v>
      </c>
      <c r="K36" s="11">
        <v>101.76900000000001</v>
      </c>
      <c r="L36" s="11">
        <v>682.86599999999999</v>
      </c>
      <c r="M36" s="11">
        <v>854.596</v>
      </c>
      <c r="N36" s="11">
        <v>7731.433</v>
      </c>
      <c r="O36" s="11">
        <v>2368.752</v>
      </c>
      <c r="P36" s="11">
        <v>4840.5590000000002</v>
      </c>
      <c r="Q36" s="11">
        <v>656.51199999999994</v>
      </c>
      <c r="R36" s="11">
        <v>308.64800000000002</v>
      </c>
      <c r="S36" s="11">
        <v>31.114999999999998</v>
      </c>
      <c r="T36" s="11">
        <v>30.256</v>
      </c>
      <c r="U36" s="11">
        <v>63.23</v>
      </c>
      <c r="V36" s="11">
        <v>33.191000000000003</v>
      </c>
      <c r="W36" s="11">
        <v>23.78</v>
      </c>
      <c r="X36" s="11">
        <v>161.084</v>
      </c>
      <c r="Y36" s="11">
        <v>58.456000000000003</v>
      </c>
      <c r="Z36" s="11">
        <v>57.113999999999997</v>
      </c>
      <c r="AA36" s="11">
        <v>302.64100000000002</v>
      </c>
      <c r="AB36" s="11">
        <v>356.084</v>
      </c>
      <c r="AC36" s="11">
        <v>255.24700000000001</v>
      </c>
      <c r="AD36" s="11">
        <v>2165.674</v>
      </c>
      <c r="AE36" s="11">
        <v>750.19200000000001</v>
      </c>
      <c r="AF36" s="11">
        <v>2691.5059999999999</v>
      </c>
      <c r="AG36" s="11">
        <v>9869.6350000000002</v>
      </c>
      <c r="AH36" s="11">
        <v>4080.942</v>
      </c>
      <c r="AI36" s="11">
        <v>7543.3509999999997</v>
      </c>
      <c r="AJ36" s="11">
        <v>271.642</v>
      </c>
      <c r="AK36" s="11">
        <v>263.28800000000001</v>
      </c>
      <c r="AL36" s="11">
        <v>1097.1949999999999</v>
      </c>
      <c r="AM36" s="11">
        <v>1543.5820000000001</v>
      </c>
      <c r="AN36" s="11">
        <v>11.074999999999999</v>
      </c>
      <c r="AO36" s="11">
        <v>4.3070000000000004</v>
      </c>
      <c r="AP36" s="11">
        <v>25.838000000000001</v>
      </c>
      <c r="AQ36" s="11">
        <v>213.483</v>
      </c>
      <c r="AR36" s="11">
        <v>85.131</v>
      </c>
      <c r="AS36" s="11">
        <v>3.7360000000000002</v>
      </c>
      <c r="AT36" s="11">
        <v>0.60899999999999999</v>
      </c>
      <c r="AU36" s="11">
        <v>315.75700000000001</v>
      </c>
      <c r="AV36" s="11">
        <v>0.23</v>
      </c>
      <c r="AW36" s="11">
        <v>4.532</v>
      </c>
      <c r="AX36" s="11">
        <v>11.452999999999999</v>
      </c>
      <c r="AY36" s="11">
        <v>151.24600000000001</v>
      </c>
      <c r="AZ36" s="11">
        <v>327.96100000000001</v>
      </c>
      <c r="BA36" s="11">
        <v>45.383000000000003</v>
      </c>
      <c r="BB36" s="11">
        <v>3103.9459999999999</v>
      </c>
      <c r="BC36" s="11">
        <v>54.841999999999999</v>
      </c>
      <c r="BD36" s="11">
        <v>0.53600000000000003</v>
      </c>
      <c r="BE36" s="11">
        <v>17.997</v>
      </c>
      <c r="BF36" s="11">
        <v>197.11099999999999</v>
      </c>
      <c r="BG36" s="11">
        <v>3.7770000000000001</v>
      </c>
      <c r="BH36" s="11">
        <v>26.388999999999999</v>
      </c>
      <c r="BI36" s="11">
        <v>115.88800000000001</v>
      </c>
      <c r="BJ36" s="11">
        <v>33.061</v>
      </c>
      <c r="BK36" s="11">
        <v>0.186</v>
      </c>
      <c r="BL36" s="11">
        <v>1963.6880000000001</v>
      </c>
      <c r="BM36" s="11">
        <v>69.522999999999996</v>
      </c>
      <c r="BN36" s="11">
        <v>783.78300000000002</v>
      </c>
      <c r="BO36" s="11">
        <v>30.047999999999998</v>
      </c>
      <c r="BP36" s="11">
        <v>185.31299999999999</v>
      </c>
      <c r="BQ36" s="11">
        <v>96.468000000000004</v>
      </c>
      <c r="BR36" s="11">
        <v>127.375</v>
      </c>
      <c r="BS36" s="11">
        <v>1.012</v>
      </c>
      <c r="BT36" s="11">
        <v>8.3859999999999992</v>
      </c>
      <c r="BU36" s="11">
        <v>38.039000000000001</v>
      </c>
      <c r="BV36" s="11">
        <v>3.984</v>
      </c>
      <c r="BW36" s="11">
        <v>93.325999999999993</v>
      </c>
      <c r="BX36" s="11">
        <v>4140.8500000000004</v>
      </c>
      <c r="BY36" s="11">
        <v>246.76599999999999</v>
      </c>
      <c r="BZ36" s="11">
        <v>866.19600000000003</v>
      </c>
      <c r="CA36" s="11">
        <v>260.35199999999998</v>
      </c>
      <c r="CB36" s="11">
        <v>99.581999999999994</v>
      </c>
      <c r="CC36" s="11">
        <v>0</v>
      </c>
      <c r="CD36" s="11">
        <v>314.202</v>
      </c>
      <c r="CE36" s="11">
        <v>546410.12100000004</v>
      </c>
      <c r="CF36" s="11">
        <v>98606.724000000002</v>
      </c>
      <c r="CG36" s="11">
        <v>49.067999999999998</v>
      </c>
      <c r="CH36" s="11">
        <v>22423.298999999999</v>
      </c>
      <c r="CI36" s="11">
        <v>906.55799999999999</v>
      </c>
      <c r="CJ36" s="11">
        <v>424424.47200000001</v>
      </c>
      <c r="CK36" s="11">
        <v>0</v>
      </c>
    </row>
    <row r="37" spans="1:89" x14ac:dyDescent="0.3">
      <c r="A37" s="7" t="s">
        <v>124</v>
      </c>
      <c r="B37" s="10">
        <v>4071491.5449999999</v>
      </c>
      <c r="C37" s="10">
        <f t="shared" si="0"/>
        <v>454294.38</v>
      </c>
      <c r="D37" s="10">
        <v>455264.337</v>
      </c>
      <c r="E37" s="10">
        <v>771.38599999999997</v>
      </c>
      <c r="F37" s="10">
        <v>499.68</v>
      </c>
      <c r="G37" s="10">
        <v>22.434999999999999</v>
      </c>
      <c r="H37" s="10">
        <v>8.282</v>
      </c>
      <c r="I37" s="10">
        <v>42.521000000000001</v>
      </c>
      <c r="J37" s="10">
        <v>969.95699999999999</v>
      </c>
      <c r="K37" s="10">
        <v>141.90700000000001</v>
      </c>
      <c r="L37" s="10">
        <v>3596.6880000000001</v>
      </c>
      <c r="M37" s="10">
        <v>1519.3150000000001</v>
      </c>
      <c r="N37" s="10">
        <v>13637.96</v>
      </c>
      <c r="O37" s="10">
        <v>8327.2669999999998</v>
      </c>
      <c r="P37" s="10">
        <v>2097.123</v>
      </c>
      <c r="Q37" s="10">
        <v>2322.5889999999999</v>
      </c>
      <c r="R37" s="10">
        <v>1442.9659999999999</v>
      </c>
      <c r="S37" s="10">
        <v>80.486000000000004</v>
      </c>
      <c r="T37" s="10">
        <v>211.86600000000001</v>
      </c>
      <c r="U37" s="10">
        <v>167.34899999999999</v>
      </c>
      <c r="V37" s="10">
        <v>332.654</v>
      </c>
      <c r="W37" s="10">
        <v>254.649</v>
      </c>
      <c r="X37" s="10">
        <v>1208.827</v>
      </c>
      <c r="Y37" s="10">
        <v>633.24400000000003</v>
      </c>
      <c r="Z37" s="10">
        <v>178.19200000000001</v>
      </c>
      <c r="AA37" s="10">
        <v>1155.5519999999999</v>
      </c>
      <c r="AB37" s="10">
        <v>2391.1619999999998</v>
      </c>
      <c r="AC37" s="10">
        <v>893.697</v>
      </c>
      <c r="AD37" s="10">
        <v>4662.1540000000005</v>
      </c>
      <c r="AE37" s="10">
        <v>2388.1790000000001</v>
      </c>
      <c r="AF37" s="10">
        <v>2433.252</v>
      </c>
      <c r="AG37" s="10">
        <v>6133.3940000000002</v>
      </c>
      <c r="AH37" s="10">
        <v>2773.67</v>
      </c>
      <c r="AI37" s="10">
        <v>276430.06699999998</v>
      </c>
      <c r="AJ37" s="10">
        <v>1002.389</v>
      </c>
      <c r="AK37" s="10">
        <v>978.00099999999998</v>
      </c>
      <c r="AL37" s="10">
        <v>20700.281999999999</v>
      </c>
      <c r="AM37" s="10">
        <v>22832.377</v>
      </c>
      <c r="AN37" s="10">
        <v>177.66300000000001</v>
      </c>
      <c r="AO37" s="10">
        <v>231.416</v>
      </c>
      <c r="AP37" s="10">
        <v>326.06099999999998</v>
      </c>
      <c r="AQ37" s="10">
        <v>38429.909</v>
      </c>
      <c r="AR37" s="10">
        <v>6304.7269999999999</v>
      </c>
      <c r="AS37" s="10">
        <v>78.540999999999997</v>
      </c>
      <c r="AT37" s="10">
        <v>54.265000000000001</v>
      </c>
      <c r="AU37" s="10">
        <v>356.94799999999998</v>
      </c>
      <c r="AV37" s="10">
        <v>0.3</v>
      </c>
      <c r="AW37" s="10">
        <v>14.824999999999999</v>
      </c>
      <c r="AX37" s="10">
        <v>17.562000000000001</v>
      </c>
      <c r="AY37" s="10">
        <v>64.879000000000005</v>
      </c>
      <c r="AZ37" s="10">
        <v>154.321</v>
      </c>
      <c r="BA37" s="10">
        <v>40.938000000000002</v>
      </c>
      <c r="BB37" s="10">
        <v>929.02</v>
      </c>
      <c r="BC37" s="10">
        <v>25.742000000000001</v>
      </c>
      <c r="BD37" s="10">
        <v>0.77200000000000002</v>
      </c>
      <c r="BE37" s="10">
        <v>30.785</v>
      </c>
      <c r="BF37" s="10">
        <v>227.131</v>
      </c>
      <c r="BG37" s="10">
        <v>5.8680000000000003</v>
      </c>
      <c r="BH37" s="10">
        <v>19.84</v>
      </c>
      <c r="BI37" s="10">
        <v>201.178</v>
      </c>
      <c r="BJ37" s="10">
        <v>2591.2130000000002</v>
      </c>
      <c r="BK37" s="10">
        <v>0.36899999999999999</v>
      </c>
      <c r="BL37" s="10">
        <v>619.44500000000005</v>
      </c>
      <c r="BM37" s="10">
        <v>91.87</v>
      </c>
      <c r="BN37" s="10">
        <v>1772.3030000000001</v>
      </c>
      <c r="BO37" s="10">
        <v>137.02500000000001</v>
      </c>
      <c r="BP37" s="10">
        <v>509.61700000000002</v>
      </c>
      <c r="BQ37" s="10">
        <v>342.70400000000001</v>
      </c>
      <c r="BR37" s="10">
        <v>524.79999999999995</v>
      </c>
      <c r="BS37" s="10">
        <v>2.8879999999999999</v>
      </c>
      <c r="BT37" s="10">
        <v>27.606999999999999</v>
      </c>
      <c r="BU37" s="10">
        <v>116.83</v>
      </c>
      <c r="BV37" s="10">
        <v>22.920999999999999</v>
      </c>
      <c r="BW37" s="10">
        <v>376.57100000000003</v>
      </c>
      <c r="BX37" s="10">
        <v>1471.76</v>
      </c>
      <c r="BY37" s="10">
        <v>701.6</v>
      </c>
      <c r="BZ37" s="10">
        <v>13600.98</v>
      </c>
      <c r="CA37" s="10">
        <v>699.72299999999996</v>
      </c>
      <c r="CB37" s="10">
        <v>125.041</v>
      </c>
      <c r="CC37" s="10">
        <v>0</v>
      </c>
      <c r="CD37" s="10">
        <v>594.86</v>
      </c>
      <c r="CE37" s="10">
        <v>3616227.2080000001</v>
      </c>
      <c r="CF37" s="10">
        <v>607969.44499999995</v>
      </c>
      <c r="CG37" s="10">
        <v>1764.116</v>
      </c>
      <c r="CH37" s="10">
        <v>445461.52</v>
      </c>
      <c r="CI37" s="10">
        <v>21411.030999999999</v>
      </c>
      <c r="CJ37" s="10">
        <v>2539621.0959999999</v>
      </c>
      <c r="CK37" s="10">
        <v>0</v>
      </c>
    </row>
    <row r="38" spans="1:89" x14ac:dyDescent="0.3">
      <c r="A38" s="8" t="s">
        <v>125</v>
      </c>
      <c r="B38" s="11">
        <v>138004.60399999999</v>
      </c>
      <c r="C38" s="10">
        <f t="shared" si="0"/>
        <v>13414.912</v>
      </c>
      <c r="D38" s="11">
        <v>13430.784</v>
      </c>
      <c r="E38" s="11">
        <v>33.889000000000003</v>
      </c>
      <c r="F38" s="11">
        <v>6.9480000000000004</v>
      </c>
      <c r="G38" s="11">
        <v>0.97499999999999998</v>
      </c>
      <c r="H38" s="11">
        <v>1.8640000000000001</v>
      </c>
      <c r="I38" s="11">
        <v>1.4570000000000001</v>
      </c>
      <c r="J38" s="11">
        <v>15.872</v>
      </c>
      <c r="K38" s="11">
        <v>5.9109999999999996</v>
      </c>
      <c r="L38" s="11">
        <v>35.273000000000003</v>
      </c>
      <c r="M38" s="11">
        <v>53.390999999999998</v>
      </c>
      <c r="N38" s="11">
        <v>3908.83</v>
      </c>
      <c r="O38" s="11">
        <v>259.24299999999999</v>
      </c>
      <c r="P38" s="11">
        <v>73.162999999999997</v>
      </c>
      <c r="Q38" s="11">
        <v>103.262</v>
      </c>
      <c r="R38" s="11">
        <v>86.433000000000007</v>
      </c>
      <c r="S38" s="11">
        <v>33.43</v>
      </c>
      <c r="T38" s="11">
        <v>299.15100000000001</v>
      </c>
      <c r="U38" s="11">
        <v>25.021000000000001</v>
      </c>
      <c r="V38" s="11">
        <v>19.553000000000001</v>
      </c>
      <c r="W38" s="11">
        <v>69.552999999999997</v>
      </c>
      <c r="X38" s="11">
        <v>23.433</v>
      </c>
      <c r="Y38" s="11">
        <v>23.097999999999999</v>
      </c>
      <c r="Z38" s="11">
        <v>15.622</v>
      </c>
      <c r="AA38" s="11">
        <v>56.173000000000002</v>
      </c>
      <c r="AB38" s="11">
        <v>59.38</v>
      </c>
      <c r="AC38" s="11">
        <v>99.858000000000004</v>
      </c>
      <c r="AD38" s="11">
        <v>112.514</v>
      </c>
      <c r="AE38" s="11">
        <v>135.922</v>
      </c>
      <c r="AF38" s="11">
        <v>65.801000000000002</v>
      </c>
      <c r="AG38" s="11">
        <v>176.37299999999999</v>
      </c>
      <c r="AH38" s="11">
        <v>90.521000000000001</v>
      </c>
      <c r="AI38" s="11">
        <v>449.25599999999997</v>
      </c>
      <c r="AJ38" s="11">
        <v>964.495</v>
      </c>
      <c r="AK38" s="11">
        <v>88.248000000000005</v>
      </c>
      <c r="AL38" s="11">
        <v>82.668000000000006</v>
      </c>
      <c r="AM38" s="11">
        <v>105.03</v>
      </c>
      <c r="AN38" s="11">
        <v>4.7590000000000003</v>
      </c>
      <c r="AO38" s="11">
        <v>5.6340000000000003</v>
      </c>
      <c r="AP38" s="11">
        <v>0.64800000000000002</v>
      </c>
      <c r="AQ38" s="11">
        <v>48.064999999999998</v>
      </c>
      <c r="AR38" s="11">
        <v>77.817999999999998</v>
      </c>
      <c r="AS38" s="11">
        <v>4.7229999999999999</v>
      </c>
      <c r="AT38" s="11">
        <v>0.42799999999999999</v>
      </c>
      <c r="AU38" s="11">
        <v>17.09</v>
      </c>
      <c r="AV38" s="11">
        <v>0.111</v>
      </c>
      <c r="AW38" s="11">
        <v>7.3710000000000004</v>
      </c>
      <c r="AX38" s="11">
        <v>4.6369999999999996</v>
      </c>
      <c r="AY38" s="11">
        <v>1.4450000000000001</v>
      </c>
      <c r="AZ38" s="11">
        <v>3.8330000000000002</v>
      </c>
      <c r="BA38" s="11">
        <v>5.226</v>
      </c>
      <c r="BB38" s="11">
        <v>54.037999999999997</v>
      </c>
      <c r="BC38" s="11">
        <v>0.55400000000000005</v>
      </c>
      <c r="BD38" s="11">
        <v>0.17100000000000001</v>
      </c>
      <c r="BE38" s="11">
        <v>6.33</v>
      </c>
      <c r="BF38" s="11">
        <v>1277.3869999999999</v>
      </c>
      <c r="BG38" s="11">
        <v>217.648</v>
      </c>
      <c r="BH38" s="11">
        <v>73.677000000000007</v>
      </c>
      <c r="BI38" s="11">
        <v>53.433</v>
      </c>
      <c r="BJ38" s="11">
        <v>4.34</v>
      </c>
      <c r="BK38" s="11">
        <v>4.4999999999999998E-2</v>
      </c>
      <c r="BL38" s="11">
        <v>58.033000000000001</v>
      </c>
      <c r="BM38" s="11">
        <v>87.126000000000005</v>
      </c>
      <c r="BN38" s="11">
        <v>502.64400000000001</v>
      </c>
      <c r="BO38" s="11">
        <v>8.5749999999999993</v>
      </c>
      <c r="BP38" s="11">
        <v>887.19500000000005</v>
      </c>
      <c r="BQ38" s="11">
        <v>255.96299999999999</v>
      </c>
      <c r="BR38" s="11">
        <v>202.809</v>
      </c>
      <c r="BS38" s="11">
        <v>1.1020000000000001</v>
      </c>
      <c r="BT38" s="11">
        <v>37.906999999999996</v>
      </c>
      <c r="BU38" s="11">
        <v>40.210999999999999</v>
      </c>
      <c r="BV38" s="11">
        <v>7.3970000000000002</v>
      </c>
      <c r="BW38" s="11">
        <v>178.322</v>
      </c>
      <c r="BX38" s="11">
        <v>612.03499999999997</v>
      </c>
      <c r="BY38" s="11">
        <v>304.55799999999999</v>
      </c>
      <c r="BZ38" s="11">
        <v>29.835999999999999</v>
      </c>
      <c r="CA38" s="11">
        <v>148.566</v>
      </c>
      <c r="CB38" s="11">
        <v>69.802000000000007</v>
      </c>
      <c r="CC38" s="11">
        <v>0</v>
      </c>
      <c r="CD38" s="11">
        <v>547.68100000000004</v>
      </c>
      <c r="CE38" s="11">
        <v>124573.82</v>
      </c>
      <c r="CF38" s="11">
        <v>50366.642999999996</v>
      </c>
      <c r="CG38" s="11">
        <v>7.4530000000000003</v>
      </c>
      <c r="CH38" s="11">
        <v>25775.734</v>
      </c>
      <c r="CI38" s="11">
        <v>-151.92699999999999</v>
      </c>
      <c r="CJ38" s="11">
        <v>48575.917000000001</v>
      </c>
      <c r="CK38" s="11">
        <v>0</v>
      </c>
    </row>
    <row r="39" spans="1:89" x14ac:dyDescent="0.3">
      <c r="A39" s="7" t="s">
        <v>126</v>
      </c>
      <c r="B39" s="10">
        <v>453375.07900000003</v>
      </c>
      <c r="C39" s="10">
        <f t="shared" si="0"/>
        <v>77354.436000000002</v>
      </c>
      <c r="D39" s="10">
        <v>77604.914000000004</v>
      </c>
      <c r="E39" s="10">
        <v>132.964</v>
      </c>
      <c r="F39" s="10">
        <v>37.262</v>
      </c>
      <c r="G39" s="10">
        <v>6.4969999999999999</v>
      </c>
      <c r="H39" s="10">
        <v>5.9909999999999997</v>
      </c>
      <c r="I39" s="10">
        <v>123.99299999999999</v>
      </c>
      <c r="J39" s="10">
        <v>250.47800000000001</v>
      </c>
      <c r="K39" s="10">
        <v>206.18199999999999</v>
      </c>
      <c r="L39" s="10">
        <v>130.84399999999999</v>
      </c>
      <c r="M39" s="10">
        <v>407.185</v>
      </c>
      <c r="N39" s="10">
        <v>3998.6959999999999</v>
      </c>
      <c r="O39" s="10">
        <v>6553.14</v>
      </c>
      <c r="P39" s="10">
        <v>2865.181</v>
      </c>
      <c r="Q39" s="10">
        <v>1097.0329999999999</v>
      </c>
      <c r="R39" s="10">
        <v>265.11399999999998</v>
      </c>
      <c r="S39" s="10">
        <v>131.22399999999999</v>
      </c>
      <c r="T39" s="10">
        <v>620.74900000000002</v>
      </c>
      <c r="U39" s="10">
        <v>1197.568</v>
      </c>
      <c r="V39" s="10">
        <v>183.97200000000001</v>
      </c>
      <c r="W39" s="10">
        <v>84.055000000000007</v>
      </c>
      <c r="X39" s="10">
        <v>603.06600000000003</v>
      </c>
      <c r="Y39" s="10">
        <v>254.184</v>
      </c>
      <c r="Z39" s="10">
        <v>232.35400000000001</v>
      </c>
      <c r="AA39" s="10">
        <v>1724.9290000000001</v>
      </c>
      <c r="AB39" s="10">
        <v>1252.559</v>
      </c>
      <c r="AC39" s="10">
        <v>594.81200000000001</v>
      </c>
      <c r="AD39" s="10">
        <v>698.12599999999998</v>
      </c>
      <c r="AE39" s="10">
        <v>822.33</v>
      </c>
      <c r="AF39" s="10">
        <v>639.09299999999996</v>
      </c>
      <c r="AG39" s="10">
        <v>1575.3579999999999</v>
      </c>
      <c r="AH39" s="10">
        <v>948.71799999999996</v>
      </c>
      <c r="AI39" s="10">
        <v>5362.7839999999997</v>
      </c>
      <c r="AJ39" s="10">
        <v>370.16699999999997</v>
      </c>
      <c r="AK39" s="10">
        <v>3386.2150000000001</v>
      </c>
      <c r="AL39" s="10">
        <v>1747.357</v>
      </c>
      <c r="AM39" s="10">
        <v>2777.0279999999998</v>
      </c>
      <c r="AN39" s="10">
        <v>78.756</v>
      </c>
      <c r="AO39" s="10">
        <v>8.4580000000000002</v>
      </c>
      <c r="AP39" s="10">
        <v>29.991</v>
      </c>
      <c r="AQ39" s="10">
        <v>191.13300000000001</v>
      </c>
      <c r="AR39" s="10">
        <v>321.68</v>
      </c>
      <c r="AS39" s="10">
        <v>5.1760000000000002</v>
      </c>
      <c r="AT39" s="10">
        <v>2.145</v>
      </c>
      <c r="AU39" s="10">
        <v>669.85</v>
      </c>
      <c r="AV39" s="10">
        <v>0.872</v>
      </c>
      <c r="AW39" s="10">
        <v>15.683</v>
      </c>
      <c r="AX39" s="10">
        <v>279.238</v>
      </c>
      <c r="AY39" s="10">
        <v>86.450999999999993</v>
      </c>
      <c r="AZ39" s="10">
        <v>31.934000000000001</v>
      </c>
      <c r="BA39" s="10">
        <v>16.724</v>
      </c>
      <c r="BB39" s="10">
        <v>158.85499999999999</v>
      </c>
      <c r="BC39" s="10">
        <v>5.9509999999999996</v>
      </c>
      <c r="BD39" s="10">
        <v>0.45600000000000002</v>
      </c>
      <c r="BE39" s="10">
        <v>1990.001</v>
      </c>
      <c r="BF39" s="10">
        <v>373.77199999999999</v>
      </c>
      <c r="BG39" s="10">
        <v>27.385000000000002</v>
      </c>
      <c r="BH39" s="10">
        <v>33.026000000000003</v>
      </c>
      <c r="BI39" s="10">
        <v>127.005</v>
      </c>
      <c r="BJ39" s="10">
        <v>63.085000000000001</v>
      </c>
      <c r="BK39" s="10">
        <v>0.188</v>
      </c>
      <c r="BL39" s="10">
        <v>2001.914</v>
      </c>
      <c r="BM39" s="10">
        <v>131.042</v>
      </c>
      <c r="BN39" s="10">
        <v>1198.644</v>
      </c>
      <c r="BO39" s="10">
        <v>185.459</v>
      </c>
      <c r="BP39" s="10">
        <v>1779.999</v>
      </c>
      <c r="BQ39" s="10">
        <v>7518.924</v>
      </c>
      <c r="BR39" s="10">
        <v>7656.4840000000004</v>
      </c>
      <c r="BS39" s="10">
        <v>17.25</v>
      </c>
      <c r="BT39" s="10">
        <v>119.126</v>
      </c>
      <c r="BU39" s="10">
        <v>425.25200000000001</v>
      </c>
      <c r="BV39" s="10">
        <v>41.820999999999998</v>
      </c>
      <c r="BW39" s="10">
        <v>726.25800000000004</v>
      </c>
      <c r="BX39" s="10">
        <v>2222.6750000000002</v>
      </c>
      <c r="BY39" s="10">
        <v>843.60599999999999</v>
      </c>
      <c r="BZ39" s="10">
        <v>1057.7650000000001</v>
      </c>
      <c r="CA39" s="10">
        <v>1313.6310000000001</v>
      </c>
      <c r="CB39" s="10">
        <v>396.98700000000002</v>
      </c>
      <c r="CC39" s="10">
        <v>0</v>
      </c>
      <c r="CD39" s="10">
        <v>4163.0540000000001</v>
      </c>
      <c r="CE39" s="10">
        <v>375770.16499999998</v>
      </c>
      <c r="CF39" s="10">
        <v>50708.290999999997</v>
      </c>
      <c r="CG39" s="10">
        <v>72.2</v>
      </c>
      <c r="CH39" s="10">
        <v>8972.8529999999992</v>
      </c>
      <c r="CI39" s="10">
        <v>225.90799999999999</v>
      </c>
      <c r="CJ39" s="10">
        <v>315790.913</v>
      </c>
      <c r="CK39" s="10">
        <v>0</v>
      </c>
    </row>
    <row r="40" spans="1:89" x14ac:dyDescent="0.3">
      <c r="A40" s="8" t="s">
        <v>127</v>
      </c>
      <c r="B40" s="11">
        <v>2894323.6830000002</v>
      </c>
      <c r="C40" s="10">
        <f t="shared" si="0"/>
        <v>839061.81699999992</v>
      </c>
      <c r="D40" s="11">
        <v>848342.41599999997</v>
      </c>
      <c r="E40" s="11">
        <v>11783.937</v>
      </c>
      <c r="F40" s="11">
        <v>21045.632000000001</v>
      </c>
      <c r="G40" s="11">
        <v>311.06</v>
      </c>
      <c r="H40" s="11">
        <v>570.149</v>
      </c>
      <c r="I40" s="11">
        <v>224.87299999999999</v>
      </c>
      <c r="J40" s="11">
        <v>9280.5990000000002</v>
      </c>
      <c r="K40" s="11">
        <v>4523.8779999999997</v>
      </c>
      <c r="L40" s="11">
        <v>2143.4229999999998</v>
      </c>
      <c r="M40" s="11">
        <v>8419.1779999999999</v>
      </c>
      <c r="N40" s="11">
        <v>91870.429000000004</v>
      </c>
      <c r="O40" s="11">
        <v>12556.700999999999</v>
      </c>
      <c r="P40" s="11">
        <v>6872.5249999999996</v>
      </c>
      <c r="Q40" s="11">
        <v>88863.926999999996</v>
      </c>
      <c r="R40" s="11">
        <v>8983.1630000000005</v>
      </c>
      <c r="S40" s="11">
        <v>2248.373</v>
      </c>
      <c r="T40" s="11">
        <v>1796.636</v>
      </c>
      <c r="U40" s="11">
        <v>3845.61</v>
      </c>
      <c r="V40" s="11">
        <v>2255.7640000000001</v>
      </c>
      <c r="W40" s="11">
        <v>2757.9879999999998</v>
      </c>
      <c r="X40" s="11">
        <v>13077.316999999999</v>
      </c>
      <c r="Y40" s="11">
        <v>3528.5079999999998</v>
      </c>
      <c r="Z40" s="11">
        <v>16493.884999999998</v>
      </c>
      <c r="AA40" s="11">
        <v>43053.203999999998</v>
      </c>
      <c r="AB40" s="11">
        <v>21716.613000000001</v>
      </c>
      <c r="AC40" s="11">
        <v>13741.643</v>
      </c>
      <c r="AD40" s="11">
        <v>31749.54</v>
      </c>
      <c r="AE40" s="11">
        <v>19935.911</v>
      </c>
      <c r="AF40" s="11">
        <v>22390.291000000001</v>
      </c>
      <c r="AG40" s="11">
        <v>31422.938999999998</v>
      </c>
      <c r="AH40" s="11">
        <v>16724.077000000001</v>
      </c>
      <c r="AI40" s="11">
        <v>177080.93799999999</v>
      </c>
      <c r="AJ40" s="11">
        <v>5353.8720000000003</v>
      </c>
      <c r="AK40" s="11">
        <v>7916.3890000000001</v>
      </c>
      <c r="AL40" s="11">
        <v>11153.406999999999</v>
      </c>
      <c r="AM40" s="11">
        <v>5764.6570000000002</v>
      </c>
      <c r="AN40" s="11">
        <v>5061.4620000000004</v>
      </c>
      <c r="AO40" s="11">
        <v>629.10599999999999</v>
      </c>
      <c r="AP40" s="11">
        <v>400.988</v>
      </c>
      <c r="AQ40" s="11">
        <v>11328.687</v>
      </c>
      <c r="AR40" s="11">
        <v>8406.0709999999999</v>
      </c>
      <c r="AS40" s="11">
        <v>333.83</v>
      </c>
      <c r="AT40" s="11">
        <v>50.73</v>
      </c>
      <c r="AU40" s="11">
        <v>4001.35</v>
      </c>
      <c r="AV40" s="11">
        <v>11.472</v>
      </c>
      <c r="AW40" s="11">
        <v>769.08399999999995</v>
      </c>
      <c r="AX40" s="11">
        <v>494.63200000000001</v>
      </c>
      <c r="AY40" s="11">
        <v>174.85599999999999</v>
      </c>
      <c r="AZ40" s="11">
        <v>450.96800000000002</v>
      </c>
      <c r="BA40" s="11">
        <v>547.21699999999998</v>
      </c>
      <c r="BB40" s="11">
        <v>6627.2610000000004</v>
      </c>
      <c r="BC40" s="11">
        <v>93.203000000000003</v>
      </c>
      <c r="BD40" s="11">
        <v>8.5579999999999998</v>
      </c>
      <c r="BE40" s="11">
        <v>365.06799999999998</v>
      </c>
      <c r="BF40" s="11">
        <v>3385.8049999999998</v>
      </c>
      <c r="BG40" s="11">
        <v>115.98699999999999</v>
      </c>
      <c r="BH40" s="11">
        <v>235.21100000000001</v>
      </c>
      <c r="BI40" s="11">
        <v>6150.8760000000002</v>
      </c>
      <c r="BJ40" s="11">
        <v>2243.9749999999999</v>
      </c>
      <c r="BK40" s="11">
        <v>14.146000000000001</v>
      </c>
      <c r="BL40" s="11">
        <v>5312.808</v>
      </c>
      <c r="BM40" s="11">
        <v>761.096</v>
      </c>
      <c r="BN40" s="11">
        <v>9759.7330000000002</v>
      </c>
      <c r="BO40" s="11">
        <v>514.226</v>
      </c>
      <c r="BP40" s="11">
        <v>4213.7049999999999</v>
      </c>
      <c r="BQ40" s="11">
        <v>6265.29</v>
      </c>
      <c r="BR40" s="11">
        <v>11695.082</v>
      </c>
      <c r="BS40" s="11">
        <v>105.678</v>
      </c>
      <c r="BT40" s="11">
        <v>783.22500000000002</v>
      </c>
      <c r="BU40" s="11">
        <v>567.45100000000002</v>
      </c>
      <c r="BV40" s="11">
        <v>173.21</v>
      </c>
      <c r="BW40" s="11">
        <v>1932.386</v>
      </c>
      <c r="BX40" s="11">
        <v>6179.2550000000001</v>
      </c>
      <c r="BY40" s="11">
        <v>10841.341</v>
      </c>
      <c r="BZ40" s="11">
        <v>5204.9520000000002</v>
      </c>
      <c r="CA40" s="11">
        <v>1869.9059999999999</v>
      </c>
      <c r="CB40" s="11">
        <v>1293.1690000000001</v>
      </c>
      <c r="CC40" s="11">
        <v>0</v>
      </c>
      <c r="CD40" s="11">
        <v>7512.3239999999996</v>
      </c>
      <c r="CE40" s="11">
        <v>2045981.267</v>
      </c>
      <c r="CF40" s="11">
        <v>1361491.8670000001</v>
      </c>
      <c r="CG40" s="11">
        <v>231.01900000000001</v>
      </c>
      <c r="CH40" s="11">
        <v>252059.68799999999</v>
      </c>
      <c r="CI40" s="11">
        <v>39.962000000000003</v>
      </c>
      <c r="CJ40" s="11">
        <v>432158.73100000003</v>
      </c>
      <c r="CK40" s="11">
        <v>0</v>
      </c>
    </row>
    <row r="41" spans="1:89" x14ac:dyDescent="0.3">
      <c r="A41" s="7" t="s">
        <v>128</v>
      </c>
      <c r="B41" s="10">
        <v>2890288.2429999998</v>
      </c>
      <c r="C41" s="10">
        <f t="shared" si="0"/>
        <v>835757.00899999996</v>
      </c>
      <c r="D41" s="10">
        <v>845078.31299999997</v>
      </c>
      <c r="E41" s="10">
        <v>11440.916999999999</v>
      </c>
      <c r="F41" s="10">
        <v>20879.991000000002</v>
      </c>
      <c r="G41" s="10">
        <v>308.92399999999998</v>
      </c>
      <c r="H41" s="10">
        <v>565.33399999999995</v>
      </c>
      <c r="I41" s="10">
        <v>219.34899999999999</v>
      </c>
      <c r="J41" s="10">
        <v>9321.3040000000001</v>
      </c>
      <c r="K41" s="10">
        <v>4526.5330000000004</v>
      </c>
      <c r="L41" s="10">
        <v>2136.3919999999998</v>
      </c>
      <c r="M41" s="10">
        <v>8424.9989999999998</v>
      </c>
      <c r="N41" s="10">
        <v>91126.630999999994</v>
      </c>
      <c r="O41" s="10">
        <v>12441.179</v>
      </c>
      <c r="P41" s="10">
        <v>6854.8230000000003</v>
      </c>
      <c r="Q41" s="10">
        <v>88576.856</v>
      </c>
      <c r="R41" s="10">
        <v>9006.92</v>
      </c>
      <c r="S41" s="10">
        <v>2220.027</v>
      </c>
      <c r="T41" s="10">
        <v>1750.019</v>
      </c>
      <c r="U41" s="10">
        <v>3745.5459999999998</v>
      </c>
      <c r="V41" s="10">
        <v>2238.6329999999998</v>
      </c>
      <c r="W41" s="10">
        <v>2726.9009999999998</v>
      </c>
      <c r="X41" s="10">
        <v>13020.909</v>
      </c>
      <c r="Y41" s="10">
        <v>3515.076</v>
      </c>
      <c r="Z41" s="10">
        <v>16487.177</v>
      </c>
      <c r="AA41" s="10">
        <v>43028.123</v>
      </c>
      <c r="AB41" s="10">
        <v>21629.967000000001</v>
      </c>
      <c r="AC41" s="10">
        <v>13644.949000000001</v>
      </c>
      <c r="AD41" s="10">
        <v>31570.49</v>
      </c>
      <c r="AE41" s="10">
        <v>19839.553</v>
      </c>
      <c r="AF41" s="10">
        <v>22309.505000000001</v>
      </c>
      <c r="AG41" s="10">
        <v>31277.273000000001</v>
      </c>
      <c r="AH41" s="10">
        <v>16634.350999999999</v>
      </c>
      <c r="AI41" s="10">
        <v>176409.424</v>
      </c>
      <c r="AJ41" s="10">
        <v>5195.1660000000002</v>
      </c>
      <c r="AK41" s="10">
        <v>7878.2259999999997</v>
      </c>
      <c r="AL41" s="10">
        <v>11238.067999999999</v>
      </c>
      <c r="AM41" s="10">
        <v>5967.4650000000001</v>
      </c>
      <c r="AN41" s="10">
        <v>5056.4669999999996</v>
      </c>
      <c r="AO41" s="10">
        <v>630.03</v>
      </c>
      <c r="AP41" s="10">
        <v>401.27600000000001</v>
      </c>
      <c r="AQ41" s="10">
        <v>11321.904</v>
      </c>
      <c r="AR41" s="10">
        <v>8422.61</v>
      </c>
      <c r="AS41" s="10">
        <v>332.96199999999999</v>
      </c>
      <c r="AT41" s="10">
        <v>50.798999999999999</v>
      </c>
      <c r="AU41" s="10">
        <v>3988.0169999999998</v>
      </c>
      <c r="AV41" s="10">
        <v>11.571</v>
      </c>
      <c r="AW41" s="10">
        <v>767.96100000000001</v>
      </c>
      <c r="AX41" s="10">
        <v>496.73899999999998</v>
      </c>
      <c r="AY41" s="10">
        <v>175.53</v>
      </c>
      <c r="AZ41" s="10">
        <v>470.125</v>
      </c>
      <c r="BA41" s="10">
        <v>549.26300000000003</v>
      </c>
      <c r="BB41" s="10">
        <v>6675.67</v>
      </c>
      <c r="BC41" s="10">
        <v>93.090999999999994</v>
      </c>
      <c r="BD41" s="10">
        <v>8.8079999999999998</v>
      </c>
      <c r="BE41" s="10">
        <v>366.096</v>
      </c>
      <c r="BF41" s="10">
        <v>3454.154</v>
      </c>
      <c r="BG41" s="10">
        <v>118.11499999999999</v>
      </c>
      <c r="BH41" s="10">
        <v>240.517</v>
      </c>
      <c r="BI41" s="10">
        <v>6145.6009999999997</v>
      </c>
      <c r="BJ41" s="10">
        <v>2240.0500000000002</v>
      </c>
      <c r="BK41" s="10">
        <v>14.195</v>
      </c>
      <c r="BL41" s="10">
        <v>5315.5959999999995</v>
      </c>
      <c r="BM41" s="10">
        <v>767.38800000000003</v>
      </c>
      <c r="BN41" s="10">
        <v>9763.6460000000006</v>
      </c>
      <c r="BO41" s="10">
        <v>508.76400000000001</v>
      </c>
      <c r="BP41" s="10">
        <v>4227.2879999999996</v>
      </c>
      <c r="BQ41" s="10">
        <v>6242.0739999999996</v>
      </c>
      <c r="BR41" s="10">
        <v>11608.357</v>
      </c>
      <c r="BS41" s="10">
        <v>105.17400000000001</v>
      </c>
      <c r="BT41" s="10">
        <v>776.59299999999996</v>
      </c>
      <c r="BU41" s="10">
        <v>567.57299999999998</v>
      </c>
      <c r="BV41" s="10">
        <v>173.494</v>
      </c>
      <c r="BW41" s="10">
        <v>1923.748</v>
      </c>
      <c r="BX41" s="10">
        <v>6103.35</v>
      </c>
      <c r="BY41" s="10">
        <v>10833.013000000001</v>
      </c>
      <c r="BZ41" s="10">
        <v>5193.4399999999996</v>
      </c>
      <c r="CA41" s="10">
        <v>1860.615</v>
      </c>
      <c r="CB41" s="10">
        <v>1287.1880000000001</v>
      </c>
      <c r="CC41" s="10">
        <v>0</v>
      </c>
      <c r="CD41" s="10">
        <v>7632.4610000000002</v>
      </c>
      <c r="CE41" s="10">
        <v>2045209.93</v>
      </c>
      <c r="CF41" s="10">
        <v>1361698.635</v>
      </c>
      <c r="CG41" s="10">
        <v>51.665999999999997</v>
      </c>
      <c r="CH41" s="10">
        <v>253892.41099999999</v>
      </c>
      <c r="CI41" s="10">
        <v>7.109</v>
      </c>
      <c r="CJ41" s="10">
        <v>429560.109</v>
      </c>
      <c r="CK41" s="10">
        <v>0</v>
      </c>
    </row>
    <row r="42" spans="1:89" x14ac:dyDescent="0.3">
      <c r="A42" s="8" t="s">
        <v>129</v>
      </c>
      <c r="B42" s="11">
        <v>229421.38800000001</v>
      </c>
      <c r="C42" s="10">
        <f t="shared" si="0"/>
        <v>19210.663</v>
      </c>
      <c r="D42" s="11">
        <v>24662.904999999999</v>
      </c>
      <c r="E42" s="11">
        <v>30.542999999999999</v>
      </c>
      <c r="F42" s="11">
        <v>42.594000000000001</v>
      </c>
      <c r="G42" s="11">
        <v>1.2609999999999999</v>
      </c>
      <c r="H42" s="11">
        <v>1.633</v>
      </c>
      <c r="I42" s="11">
        <v>0.69</v>
      </c>
      <c r="J42" s="11">
        <v>5452.2420000000002</v>
      </c>
      <c r="K42" s="11">
        <v>46.704999999999998</v>
      </c>
      <c r="L42" s="11">
        <v>1287.4259999999999</v>
      </c>
      <c r="M42" s="11">
        <v>35.826999999999998</v>
      </c>
      <c r="N42" s="11">
        <v>408.60599999999999</v>
      </c>
      <c r="O42" s="11">
        <v>363.714</v>
      </c>
      <c r="P42" s="11">
        <v>94.608000000000004</v>
      </c>
      <c r="Q42" s="11">
        <v>288.59500000000003</v>
      </c>
      <c r="R42" s="11">
        <v>40.088000000000001</v>
      </c>
      <c r="S42" s="11">
        <v>8.7170000000000005</v>
      </c>
      <c r="T42" s="11">
        <v>5.5449999999999999</v>
      </c>
      <c r="U42" s="11">
        <v>16.071000000000002</v>
      </c>
      <c r="V42" s="11">
        <v>6.774</v>
      </c>
      <c r="W42" s="11">
        <v>6.9669999999999996</v>
      </c>
      <c r="X42" s="11">
        <v>35.908000000000001</v>
      </c>
      <c r="Y42" s="11">
        <v>10.005000000000001</v>
      </c>
      <c r="Z42" s="11">
        <v>259.77</v>
      </c>
      <c r="AA42" s="11">
        <v>308.47000000000003</v>
      </c>
      <c r="AB42" s="11">
        <v>108.902</v>
      </c>
      <c r="AC42" s="11">
        <v>59.255000000000003</v>
      </c>
      <c r="AD42" s="11">
        <v>97.962000000000003</v>
      </c>
      <c r="AE42" s="11">
        <v>48.052</v>
      </c>
      <c r="AF42" s="11">
        <v>74.036000000000001</v>
      </c>
      <c r="AG42" s="11">
        <v>75.058999999999997</v>
      </c>
      <c r="AH42" s="11">
        <v>37.332999999999998</v>
      </c>
      <c r="AI42" s="11">
        <v>558.25599999999997</v>
      </c>
      <c r="AJ42" s="11">
        <v>9.5549999999999997</v>
      </c>
      <c r="AK42" s="11">
        <v>14.76</v>
      </c>
      <c r="AL42" s="11">
        <v>3378.489</v>
      </c>
      <c r="AM42" s="11">
        <v>1825.1020000000001</v>
      </c>
      <c r="AN42" s="11">
        <v>535.76400000000001</v>
      </c>
      <c r="AO42" s="11">
        <v>11</v>
      </c>
      <c r="AP42" s="11">
        <v>10.893000000000001</v>
      </c>
      <c r="AQ42" s="11">
        <v>266.84699999999998</v>
      </c>
      <c r="AR42" s="11">
        <v>121.628</v>
      </c>
      <c r="AS42" s="11">
        <v>57.534999999999997</v>
      </c>
      <c r="AT42" s="11">
        <v>1.466</v>
      </c>
      <c r="AU42" s="11">
        <v>90.468000000000004</v>
      </c>
      <c r="AV42" s="11">
        <v>0.47299999999999998</v>
      </c>
      <c r="AW42" s="11">
        <v>25.571000000000002</v>
      </c>
      <c r="AX42" s="11">
        <v>61.253</v>
      </c>
      <c r="AY42" s="11">
        <v>22.847999999999999</v>
      </c>
      <c r="AZ42" s="11">
        <v>63.911999999999999</v>
      </c>
      <c r="BA42" s="11">
        <v>37.933</v>
      </c>
      <c r="BB42" s="11">
        <v>122.10299999999999</v>
      </c>
      <c r="BC42" s="11">
        <v>5.2910000000000004</v>
      </c>
      <c r="BD42" s="11">
        <v>7.1390000000000002</v>
      </c>
      <c r="BE42" s="11">
        <v>13.598000000000001</v>
      </c>
      <c r="BF42" s="11">
        <v>846.22900000000004</v>
      </c>
      <c r="BG42" s="11">
        <v>78.483000000000004</v>
      </c>
      <c r="BH42" s="11">
        <v>114.49299999999999</v>
      </c>
      <c r="BI42" s="11">
        <v>208.715</v>
      </c>
      <c r="BJ42" s="11">
        <v>32.86</v>
      </c>
      <c r="BK42" s="11">
        <v>1.0289999999999999</v>
      </c>
      <c r="BL42" s="11">
        <v>363.64400000000001</v>
      </c>
      <c r="BM42" s="11">
        <v>66.569000000000003</v>
      </c>
      <c r="BN42" s="11">
        <v>336.48200000000003</v>
      </c>
      <c r="BO42" s="11">
        <v>2.7210000000000001</v>
      </c>
      <c r="BP42" s="11">
        <v>1755.681</v>
      </c>
      <c r="BQ42" s="11">
        <v>819.32500000000005</v>
      </c>
      <c r="BR42" s="11">
        <v>104.47799999999999</v>
      </c>
      <c r="BS42" s="11">
        <v>1.655</v>
      </c>
      <c r="BT42" s="11">
        <v>11.238</v>
      </c>
      <c r="BU42" s="11">
        <v>26.631</v>
      </c>
      <c r="BV42" s="11">
        <v>21.158000000000001</v>
      </c>
      <c r="BW42" s="11">
        <v>21.611000000000001</v>
      </c>
      <c r="BX42" s="11">
        <v>42.256999999999998</v>
      </c>
      <c r="BY42" s="11">
        <v>26.204000000000001</v>
      </c>
      <c r="BZ42" s="11">
        <v>12.881</v>
      </c>
      <c r="CA42" s="11">
        <v>27.699000000000002</v>
      </c>
      <c r="CB42" s="11">
        <v>20.484999999999999</v>
      </c>
      <c r="CC42" s="11">
        <v>0</v>
      </c>
      <c r="CD42" s="11">
        <v>3225.1350000000002</v>
      </c>
      <c r="CE42" s="11">
        <v>204758.48300000001</v>
      </c>
      <c r="CF42" s="11">
        <v>187793.364</v>
      </c>
      <c r="CG42" s="11">
        <v>3.1739999999999999</v>
      </c>
      <c r="CH42" s="11">
        <v>882.07500000000005</v>
      </c>
      <c r="CI42" s="11">
        <v>0</v>
      </c>
      <c r="CJ42" s="11">
        <v>16079.87</v>
      </c>
      <c r="CK42" s="11">
        <v>0</v>
      </c>
    </row>
    <row r="43" spans="1:89" x14ac:dyDescent="0.3">
      <c r="A43" s="7" t="s">
        <v>130</v>
      </c>
      <c r="B43" s="10">
        <v>69410.634999999995</v>
      </c>
      <c r="C43" s="10">
        <f t="shared" si="0"/>
        <v>14483.88</v>
      </c>
      <c r="D43" s="10">
        <v>14790.767</v>
      </c>
      <c r="E43" s="10">
        <v>258.82299999999998</v>
      </c>
      <c r="F43" s="10">
        <v>359.77800000000002</v>
      </c>
      <c r="G43" s="10">
        <v>6.0750000000000002</v>
      </c>
      <c r="H43" s="10">
        <v>11.682</v>
      </c>
      <c r="I43" s="10">
        <v>4.8109999999999999</v>
      </c>
      <c r="J43" s="10">
        <v>306.887</v>
      </c>
      <c r="K43" s="10">
        <v>73.031000000000006</v>
      </c>
      <c r="L43" s="10">
        <v>64.694000000000003</v>
      </c>
      <c r="M43" s="10">
        <v>149.27799999999999</v>
      </c>
      <c r="N43" s="10">
        <v>1136.9559999999999</v>
      </c>
      <c r="O43" s="10">
        <v>311.26100000000002</v>
      </c>
      <c r="P43" s="10">
        <v>118.34099999999999</v>
      </c>
      <c r="Q43" s="10">
        <v>1488.09</v>
      </c>
      <c r="R43" s="10">
        <v>247.982</v>
      </c>
      <c r="S43" s="10">
        <v>53.353000000000002</v>
      </c>
      <c r="T43" s="10">
        <v>17.222000000000001</v>
      </c>
      <c r="U43" s="10">
        <v>48.195</v>
      </c>
      <c r="V43" s="10">
        <v>31.600999999999999</v>
      </c>
      <c r="W43" s="10">
        <v>42.573</v>
      </c>
      <c r="X43" s="10">
        <v>143.39099999999999</v>
      </c>
      <c r="Y43" s="10">
        <v>41.265999999999998</v>
      </c>
      <c r="Z43" s="10">
        <v>316.74599999999998</v>
      </c>
      <c r="AA43" s="10">
        <v>775.71100000000001</v>
      </c>
      <c r="AB43" s="10">
        <v>284.06799999999998</v>
      </c>
      <c r="AC43" s="10">
        <v>256.572</v>
      </c>
      <c r="AD43" s="10">
        <v>668.40200000000004</v>
      </c>
      <c r="AE43" s="10">
        <v>263.67399999999998</v>
      </c>
      <c r="AF43" s="10">
        <v>251.828</v>
      </c>
      <c r="AG43" s="10">
        <v>293.40600000000001</v>
      </c>
      <c r="AH43" s="10">
        <v>211.06700000000001</v>
      </c>
      <c r="AI43" s="10">
        <v>2495.0430000000001</v>
      </c>
      <c r="AJ43" s="10">
        <v>44.546999999999997</v>
      </c>
      <c r="AK43" s="10">
        <v>83.143000000000001</v>
      </c>
      <c r="AL43" s="10">
        <v>191.613</v>
      </c>
      <c r="AM43" s="10">
        <v>201.816</v>
      </c>
      <c r="AN43" s="10">
        <v>41.366999999999997</v>
      </c>
      <c r="AO43" s="10">
        <v>1378.145</v>
      </c>
      <c r="AP43" s="10">
        <v>6.2510000000000003</v>
      </c>
      <c r="AQ43" s="10">
        <v>501.64600000000002</v>
      </c>
      <c r="AR43" s="10">
        <v>254.12200000000001</v>
      </c>
      <c r="AS43" s="10">
        <v>9.5079999999999991</v>
      </c>
      <c r="AT43" s="10">
        <v>1.6140000000000001</v>
      </c>
      <c r="AU43" s="10">
        <v>55.624000000000002</v>
      </c>
      <c r="AV43" s="10">
        <v>1.3879999999999999</v>
      </c>
      <c r="AW43" s="10">
        <v>16.43</v>
      </c>
      <c r="AX43" s="10">
        <v>25.433</v>
      </c>
      <c r="AY43" s="10">
        <v>6.4740000000000002</v>
      </c>
      <c r="AZ43" s="10">
        <v>9</v>
      </c>
      <c r="BA43" s="10">
        <v>19.831</v>
      </c>
      <c r="BB43" s="10">
        <v>72.846999999999994</v>
      </c>
      <c r="BC43" s="10">
        <v>1.708</v>
      </c>
      <c r="BD43" s="10">
        <v>0.309</v>
      </c>
      <c r="BE43" s="10">
        <v>3.6659999999999999</v>
      </c>
      <c r="BF43" s="10">
        <v>32.887999999999998</v>
      </c>
      <c r="BG43" s="10">
        <v>1.359</v>
      </c>
      <c r="BH43" s="10">
        <v>2.1840000000000002</v>
      </c>
      <c r="BI43" s="10">
        <v>85.165000000000006</v>
      </c>
      <c r="BJ43" s="10">
        <v>28.611999999999998</v>
      </c>
      <c r="BK43" s="10">
        <v>0.14799999999999999</v>
      </c>
      <c r="BL43" s="10">
        <v>72.313000000000002</v>
      </c>
      <c r="BM43" s="10">
        <v>13.063000000000001</v>
      </c>
      <c r="BN43" s="10">
        <v>139.13200000000001</v>
      </c>
      <c r="BO43" s="10">
        <v>10.385</v>
      </c>
      <c r="BP43" s="10">
        <v>58.323</v>
      </c>
      <c r="BQ43" s="10">
        <v>63.545000000000002</v>
      </c>
      <c r="BR43" s="10">
        <v>102.751</v>
      </c>
      <c r="BS43" s="10">
        <v>1.0960000000000001</v>
      </c>
      <c r="BT43" s="10">
        <v>8.1479999999999997</v>
      </c>
      <c r="BU43" s="10">
        <v>9.2080000000000002</v>
      </c>
      <c r="BV43" s="10">
        <v>2.2090000000000001</v>
      </c>
      <c r="BW43" s="10">
        <v>28.504999999999999</v>
      </c>
      <c r="BX43" s="10">
        <v>103.943</v>
      </c>
      <c r="BY43" s="10">
        <v>134.816</v>
      </c>
      <c r="BZ43" s="10">
        <v>86.97</v>
      </c>
      <c r="CA43" s="10">
        <v>33.155999999999999</v>
      </c>
      <c r="CB43" s="10">
        <v>14.303000000000001</v>
      </c>
      <c r="CC43" s="10">
        <v>0</v>
      </c>
      <c r="CD43" s="10">
        <v>100.256</v>
      </c>
      <c r="CE43" s="10">
        <v>54619.868000000002</v>
      </c>
      <c r="CF43" s="10">
        <v>34341.241999999998</v>
      </c>
      <c r="CG43" s="10">
        <v>1.9E-2</v>
      </c>
      <c r="CH43" s="10">
        <v>7373.0290000000005</v>
      </c>
      <c r="CI43" s="10">
        <v>0</v>
      </c>
      <c r="CJ43" s="10">
        <v>12905.578</v>
      </c>
      <c r="CK43" s="10">
        <v>0</v>
      </c>
    </row>
    <row r="44" spans="1:89" x14ac:dyDescent="0.3">
      <c r="A44" s="8" t="s">
        <v>131</v>
      </c>
      <c r="B44" s="11">
        <v>32128.171999999999</v>
      </c>
      <c r="C44" s="10">
        <f t="shared" si="0"/>
        <v>4335.1409999999996</v>
      </c>
      <c r="D44" s="11">
        <v>10030.91</v>
      </c>
      <c r="E44" s="11">
        <v>70.382000000000005</v>
      </c>
      <c r="F44" s="11">
        <v>97.817999999999998</v>
      </c>
      <c r="G44" s="11">
        <v>1.635</v>
      </c>
      <c r="H44" s="11">
        <v>3.1680000000000001</v>
      </c>
      <c r="I44" s="11">
        <v>1.3069999999999999</v>
      </c>
      <c r="J44" s="11">
        <v>5695.7690000000002</v>
      </c>
      <c r="K44" s="11">
        <v>19.562999999999999</v>
      </c>
      <c r="L44" s="11">
        <v>305.92500000000001</v>
      </c>
      <c r="M44" s="11">
        <v>40.465000000000003</v>
      </c>
      <c r="N44" s="11">
        <v>302.98099999999999</v>
      </c>
      <c r="O44" s="11">
        <v>82.433000000000007</v>
      </c>
      <c r="P44" s="11">
        <v>29.917999999999999</v>
      </c>
      <c r="Q44" s="11">
        <v>405.17399999999998</v>
      </c>
      <c r="R44" s="11">
        <v>67.531999999999996</v>
      </c>
      <c r="S44" s="11">
        <v>14.569000000000001</v>
      </c>
      <c r="T44" s="11">
        <v>4.7370000000000001</v>
      </c>
      <c r="U44" s="11">
        <v>13.266</v>
      </c>
      <c r="V44" s="11">
        <v>8.6280000000000001</v>
      </c>
      <c r="W44" s="11">
        <v>11.606999999999999</v>
      </c>
      <c r="X44" s="11">
        <v>39.061999999999998</v>
      </c>
      <c r="Y44" s="11">
        <v>11.276</v>
      </c>
      <c r="Z44" s="11">
        <v>86.106999999999999</v>
      </c>
      <c r="AA44" s="11">
        <v>211.13499999999999</v>
      </c>
      <c r="AB44" s="11">
        <v>77.45</v>
      </c>
      <c r="AC44" s="11">
        <v>69.846999999999994</v>
      </c>
      <c r="AD44" s="11">
        <v>181.779</v>
      </c>
      <c r="AE44" s="11">
        <v>71.863</v>
      </c>
      <c r="AF44" s="11">
        <v>68.515000000000001</v>
      </c>
      <c r="AG44" s="11">
        <v>79.438000000000002</v>
      </c>
      <c r="AH44" s="11">
        <v>57.420999999999999</v>
      </c>
      <c r="AI44" s="11">
        <v>676.81200000000001</v>
      </c>
      <c r="AJ44" s="11">
        <v>12.24</v>
      </c>
      <c r="AK44" s="11">
        <v>22.702000000000002</v>
      </c>
      <c r="AL44" s="11">
        <v>52.365000000000002</v>
      </c>
      <c r="AM44" s="11">
        <v>58.06</v>
      </c>
      <c r="AN44" s="11">
        <v>11.202</v>
      </c>
      <c r="AO44" s="11">
        <v>4.5279999999999996</v>
      </c>
      <c r="AP44" s="11">
        <v>543.06700000000001</v>
      </c>
      <c r="AQ44" s="11">
        <v>90.38</v>
      </c>
      <c r="AR44" s="11">
        <v>61.491</v>
      </c>
      <c r="AS44" s="11">
        <v>2.556</v>
      </c>
      <c r="AT44" s="11">
        <v>0.38500000000000001</v>
      </c>
      <c r="AU44" s="11">
        <v>15.061999999999999</v>
      </c>
      <c r="AV44" s="11">
        <v>0.36199999999999999</v>
      </c>
      <c r="AW44" s="11">
        <v>3.3679999999999999</v>
      </c>
      <c r="AX44" s="11">
        <v>6.9290000000000003</v>
      </c>
      <c r="AY44" s="11">
        <v>1.7509999999999999</v>
      </c>
      <c r="AZ44" s="11">
        <v>2.87</v>
      </c>
      <c r="BA44" s="11">
        <v>5.0720000000000001</v>
      </c>
      <c r="BB44" s="11">
        <v>21.663</v>
      </c>
      <c r="BC44" s="11">
        <v>0.46700000000000003</v>
      </c>
      <c r="BD44" s="11">
        <v>7.6999999999999999E-2</v>
      </c>
      <c r="BE44" s="11">
        <v>1</v>
      </c>
      <c r="BF44" s="11">
        <v>10.51</v>
      </c>
      <c r="BG44" s="11">
        <v>0.40400000000000003</v>
      </c>
      <c r="BH44" s="11">
        <v>0.75900000000000001</v>
      </c>
      <c r="BI44" s="11">
        <v>21.748000000000001</v>
      </c>
      <c r="BJ44" s="11">
        <v>7.7670000000000003</v>
      </c>
      <c r="BK44" s="11">
        <v>3.9E-2</v>
      </c>
      <c r="BL44" s="11">
        <v>19.806999999999999</v>
      </c>
      <c r="BM44" s="11">
        <v>3.581</v>
      </c>
      <c r="BN44" s="11">
        <v>37.981000000000002</v>
      </c>
      <c r="BO44" s="11">
        <v>2.8319999999999999</v>
      </c>
      <c r="BP44" s="11">
        <v>15.239000000000001</v>
      </c>
      <c r="BQ44" s="11">
        <v>16.632999999999999</v>
      </c>
      <c r="BR44" s="11">
        <v>27.690999999999999</v>
      </c>
      <c r="BS44" s="11">
        <v>0.27400000000000002</v>
      </c>
      <c r="BT44" s="11">
        <v>2.1030000000000002</v>
      </c>
      <c r="BU44" s="11">
        <v>2.573</v>
      </c>
      <c r="BV44" s="11">
        <v>0.58699999999999997</v>
      </c>
      <c r="BW44" s="11">
        <v>8.0139999999999993</v>
      </c>
      <c r="BX44" s="11">
        <v>28.477</v>
      </c>
      <c r="BY44" s="11">
        <v>37.869999999999997</v>
      </c>
      <c r="BZ44" s="11">
        <v>24.23</v>
      </c>
      <c r="CA44" s="11">
        <v>9.3490000000000002</v>
      </c>
      <c r="CB44" s="11">
        <v>3.7149999999999999</v>
      </c>
      <c r="CC44" s="11">
        <v>0</v>
      </c>
      <c r="CD44" s="11">
        <v>23.547999999999998</v>
      </c>
      <c r="CE44" s="11">
        <v>22097.261999999999</v>
      </c>
      <c r="CF44" s="11">
        <v>11857.504999999999</v>
      </c>
      <c r="CG44" s="11">
        <v>2.0329999999999999</v>
      </c>
      <c r="CH44" s="11">
        <v>1928.7940000000001</v>
      </c>
      <c r="CI44" s="11">
        <v>0</v>
      </c>
      <c r="CJ44" s="11">
        <v>8308.93</v>
      </c>
      <c r="CK44" s="11">
        <v>0</v>
      </c>
    </row>
    <row r="45" spans="1:89" x14ac:dyDescent="0.3">
      <c r="A45" s="7" t="s">
        <v>132</v>
      </c>
      <c r="B45" s="10">
        <v>1248045.513</v>
      </c>
      <c r="C45" s="10">
        <f t="shared" si="0"/>
        <v>260595.769</v>
      </c>
      <c r="D45" s="10">
        <v>266615.02799999999</v>
      </c>
      <c r="E45" s="10">
        <v>5219.7020000000002</v>
      </c>
      <c r="F45" s="10">
        <v>7254.9110000000001</v>
      </c>
      <c r="G45" s="10">
        <v>121.155</v>
      </c>
      <c r="H45" s="10">
        <v>234.74600000000001</v>
      </c>
      <c r="I45" s="10">
        <v>96.688000000000002</v>
      </c>
      <c r="J45" s="10">
        <v>6019.259</v>
      </c>
      <c r="K45" s="10">
        <v>1447.423</v>
      </c>
      <c r="L45" s="10">
        <v>1043.3209999999999</v>
      </c>
      <c r="M45" s="10">
        <v>2988.9470000000001</v>
      </c>
      <c r="N45" s="10">
        <v>22445.098999999998</v>
      </c>
      <c r="O45" s="10">
        <v>6106.0079999999998</v>
      </c>
      <c r="P45" s="10">
        <v>2198.8939999999998</v>
      </c>
      <c r="Q45" s="10">
        <v>29968.542000000001</v>
      </c>
      <c r="R45" s="10">
        <v>4995.6959999999999</v>
      </c>
      <c r="S45" s="10">
        <v>1075.079</v>
      </c>
      <c r="T45" s="10">
        <v>346.30200000000002</v>
      </c>
      <c r="U45" s="10">
        <v>969.12800000000004</v>
      </c>
      <c r="V45" s="10">
        <v>636.34500000000003</v>
      </c>
      <c r="W45" s="10">
        <v>857.11400000000003</v>
      </c>
      <c r="X45" s="10">
        <v>2882.8919999999998</v>
      </c>
      <c r="Y45" s="10">
        <v>964.85</v>
      </c>
      <c r="Z45" s="10">
        <v>6385.9740000000002</v>
      </c>
      <c r="AA45" s="10">
        <v>15632.504999999999</v>
      </c>
      <c r="AB45" s="10">
        <v>5748.4480000000003</v>
      </c>
      <c r="AC45" s="10">
        <v>5177.4709999999995</v>
      </c>
      <c r="AD45" s="10">
        <v>13468.871999999999</v>
      </c>
      <c r="AE45" s="10">
        <v>5306.8050000000003</v>
      </c>
      <c r="AF45" s="10">
        <v>5065.2669999999998</v>
      </c>
      <c r="AG45" s="10">
        <v>5877.4790000000003</v>
      </c>
      <c r="AH45" s="10">
        <v>4250.2449999999999</v>
      </c>
      <c r="AI45" s="10">
        <v>50055.220999999998</v>
      </c>
      <c r="AJ45" s="10">
        <v>895.67700000000002</v>
      </c>
      <c r="AK45" s="10">
        <v>1673.4459999999999</v>
      </c>
      <c r="AL45" s="10">
        <v>3582.3359999999998</v>
      </c>
      <c r="AM45" s="10">
        <v>3766.1320000000001</v>
      </c>
      <c r="AN45" s="10">
        <v>824.02200000000005</v>
      </c>
      <c r="AO45" s="10">
        <v>334.63900000000001</v>
      </c>
      <c r="AP45" s="10">
        <v>130.93</v>
      </c>
      <c r="AQ45" s="10">
        <v>7118.6509999999998</v>
      </c>
      <c r="AR45" s="10">
        <v>4570.7879999999996</v>
      </c>
      <c r="AS45" s="10">
        <v>189.19300000000001</v>
      </c>
      <c r="AT45" s="10">
        <v>29.779</v>
      </c>
      <c r="AU45" s="10">
        <v>1101.7619999999999</v>
      </c>
      <c r="AV45" s="10">
        <v>26.702999999999999</v>
      </c>
      <c r="AW45" s="10">
        <v>258.483</v>
      </c>
      <c r="AX45" s="10">
        <v>496.76600000000002</v>
      </c>
      <c r="AY45" s="10">
        <v>128.90600000000001</v>
      </c>
      <c r="AZ45" s="10">
        <v>169.27500000000001</v>
      </c>
      <c r="BA45" s="10">
        <v>368.82600000000002</v>
      </c>
      <c r="BB45" s="10">
        <v>1421.825</v>
      </c>
      <c r="BC45" s="10">
        <v>33.584000000000003</v>
      </c>
      <c r="BD45" s="10">
        <v>5.859</v>
      </c>
      <c r="BE45" s="10">
        <v>139.898</v>
      </c>
      <c r="BF45" s="10">
        <v>933.67399999999998</v>
      </c>
      <c r="BG45" s="10">
        <v>30.2</v>
      </c>
      <c r="BH45" s="10">
        <v>56.917999999999999</v>
      </c>
      <c r="BI45" s="10">
        <v>1747.453</v>
      </c>
      <c r="BJ45" s="10">
        <v>586.93899999999996</v>
      </c>
      <c r="BK45" s="10">
        <v>2.7040000000000002</v>
      </c>
      <c r="BL45" s="10">
        <v>1502.701</v>
      </c>
      <c r="BM45" s="10">
        <v>253.63499999999999</v>
      </c>
      <c r="BN45" s="10">
        <v>2837.1219999999998</v>
      </c>
      <c r="BO45" s="10">
        <v>209.023</v>
      </c>
      <c r="BP45" s="10">
        <v>1216.5329999999999</v>
      </c>
      <c r="BQ45" s="10">
        <v>1294.125</v>
      </c>
      <c r="BR45" s="10">
        <v>2458.335</v>
      </c>
      <c r="BS45" s="10">
        <v>19.895</v>
      </c>
      <c r="BT45" s="10">
        <v>153.62100000000001</v>
      </c>
      <c r="BU45" s="10">
        <v>185.685</v>
      </c>
      <c r="BV45" s="10">
        <v>85.37</v>
      </c>
      <c r="BW45" s="10">
        <v>585.67899999999997</v>
      </c>
      <c r="BX45" s="10">
        <v>2089.3760000000002</v>
      </c>
      <c r="BY45" s="10">
        <v>2694.4850000000001</v>
      </c>
      <c r="BZ45" s="10">
        <v>1753.944</v>
      </c>
      <c r="CA45" s="10">
        <v>650.84199999999998</v>
      </c>
      <c r="CB45" s="10">
        <v>271.80599999999998</v>
      </c>
      <c r="CC45" s="10">
        <v>0</v>
      </c>
      <c r="CD45" s="10">
        <v>2887.0949999999998</v>
      </c>
      <c r="CE45" s="10">
        <v>981430.48499999999</v>
      </c>
      <c r="CF45" s="10">
        <v>575331.98499999999</v>
      </c>
      <c r="CG45" s="10">
        <v>44.872999999999998</v>
      </c>
      <c r="CH45" s="10">
        <v>142978.92600000001</v>
      </c>
      <c r="CI45" s="10">
        <v>0</v>
      </c>
      <c r="CJ45" s="10">
        <v>263074.701</v>
      </c>
      <c r="CK45" s="10">
        <v>0</v>
      </c>
    </row>
    <row r="46" spans="1:89" x14ac:dyDescent="0.3">
      <c r="A46" s="8" t="s">
        <v>133</v>
      </c>
      <c r="B46" s="11">
        <v>729665.50399999996</v>
      </c>
      <c r="C46" s="10">
        <f t="shared" si="0"/>
        <v>19185.891</v>
      </c>
      <c r="D46" s="11">
        <v>19605.966</v>
      </c>
      <c r="E46" s="11">
        <v>15.09</v>
      </c>
      <c r="F46" s="11">
        <v>20.756</v>
      </c>
      <c r="G46" s="11">
        <v>0.38900000000000001</v>
      </c>
      <c r="H46" s="11">
        <v>0.69699999999999995</v>
      </c>
      <c r="I46" s="11">
        <v>0.3</v>
      </c>
      <c r="J46" s="11">
        <v>420.07499999999999</v>
      </c>
      <c r="K46" s="11">
        <v>47.612000000000002</v>
      </c>
      <c r="L46" s="11">
        <v>1185.479</v>
      </c>
      <c r="M46" s="11">
        <v>24.481999999999999</v>
      </c>
      <c r="N46" s="11">
        <v>243.22900000000001</v>
      </c>
      <c r="O46" s="11">
        <v>215.78100000000001</v>
      </c>
      <c r="P46" s="11">
        <v>82.936999999999998</v>
      </c>
      <c r="Q46" s="11">
        <v>219.10400000000001</v>
      </c>
      <c r="R46" s="11">
        <v>26.608000000000001</v>
      </c>
      <c r="S46" s="11">
        <v>19.997</v>
      </c>
      <c r="T46" s="11">
        <v>27.943999999999999</v>
      </c>
      <c r="U46" s="11">
        <v>110.39400000000001</v>
      </c>
      <c r="V46" s="11">
        <v>31.132999999999999</v>
      </c>
      <c r="W46" s="11">
        <v>14.513</v>
      </c>
      <c r="X46" s="11">
        <v>134.31100000000001</v>
      </c>
      <c r="Y46" s="11">
        <v>35.15</v>
      </c>
      <c r="Z46" s="11">
        <v>34.581000000000003</v>
      </c>
      <c r="AA46" s="11">
        <v>399.77699999999999</v>
      </c>
      <c r="AB46" s="11">
        <v>257.75599999999997</v>
      </c>
      <c r="AC46" s="11">
        <v>104.6</v>
      </c>
      <c r="AD46" s="11">
        <v>291.774</v>
      </c>
      <c r="AE46" s="11">
        <v>150.67699999999999</v>
      </c>
      <c r="AF46" s="11">
        <v>272.21800000000002</v>
      </c>
      <c r="AG46" s="11">
        <v>203.87799999999999</v>
      </c>
      <c r="AH46" s="11">
        <v>103.136</v>
      </c>
      <c r="AI46" s="11">
        <v>1771.61</v>
      </c>
      <c r="AJ46" s="11">
        <v>26.074000000000002</v>
      </c>
      <c r="AK46" s="11">
        <v>34.064</v>
      </c>
      <c r="AL46" s="11">
        <v>48.722000000000001</v>
      </c>
      <c r="AM46" s="11">
        <v>78.11</v>
      </c>
      <c r="AN46" s="11">
        <v>407.28300000000002</v>
      </c>
      <c r="AO46" s="11">
        <v>10.327999999999999</v>
      </c>
      <c r="AP46" s="11">
        <v>10.552</v>
      </c>
      <c r="AQ46" s="11">
        <v>193.74299999999999</v>
      </c>
      <c r="AR46" s="11">
        <v>220.99799999999999</v>
      </c>
      <c r="AS46" s="11">
        <v>28.908000000000001</v>
      </c>
      <c r="AT46" s="11">
        <v>2.3730000000000002</v>
      </c>
      <c r="AU46" s="11">
        <v>96.980999999999995</v>
      </c>
      <c r="AV46" s="11">
        <v>0.39600000000000002</v>
      </c>
      <c r="AW46" s="11">
        <v>28.283999999999999</v>
      </c>
      <c r="AX46" s="11">
        <v>65.977000000000004</v>
      </c>
      <c r="AY46" s="11">
        <v>26.670999999999999</v>
      </c>
      <c r="AZ46" s="11">
        <v>71.844999999999999</v>
      </c>
      <c r="BA46" s="11">
        <v>39.798999999999999</v>
      </c>
      <c r="BB46" s="11">
        <v>136.59800000000001</v>
      </c>
      <c r="BC46" s="11">
        <v>5.8040000000000003</v>
      </c>
      <c r="BD46" s="11">
        <v>8.1859999999999999</v>
      </c>
      <c r="BE46" s="11">
        <v>5.5659999999999998</v>
      </c>
      <c r="BF46" s="11">
        <v>361.28800000000001</v>
      </c>
      <c r="BG46" s="11">
        <v>32.045999999999999</v>
      </c>
      <c r="BH46" s="11">
        <v>44.26</v>
      </c>
      <c r="BI46" s="11">
        <v>378.012</v>
      </c>
      <c r="BJ46" s="11">
        <v>52.798000000000002</v>
      </c>
      <c r="BK46" s="11">
        <v>1.1180000000000001</v>
      </c>
      <c r="BL46" s="11">
        <v>436.50700000000001</v>
      </c>
      <c r="BM46" s="11">
        <v>363.91800000000001</v>
      </c>
      <c r="BN46" s="11">
        <v>1040.0709999999999</v>
      </c>
      <c r="BO46" s="11">
        <v>6.3029999999999999</v>
      </c>
      <c r="BP46" s="11">
        <v>1021.5940000000001</v>
      </c>
      <c r="BQ46" s="11">
        <v>242.80099999999999</v>
      </c>
      <c r="BR46" s="11">
        <v>154.24100000000001</v>
      </c>
      <c r="BS46" s="11">
        <v>2.5790000000000002</v>
      </c>
      <c r="BT46" s="11">
        <v>7.282</v>
      </c>
      <c r="BU46" s="11">
        <v>46.100999999999999</v>
      </c>
      <c r="BV46" s="11">
        <v>23.163</v>
      </c>
      <c r="BW46" s="11">
        <v>46.746000000000002</v>
      </c>
      <c r="BX46" s="11">
        <v>83.524000000000001</v>
      </c>
      <c r="BY46" s="11">
        <v>28.724</v>
      </c>
      <c r="BZ46" s="11">
        <v>26.087</v>
      </c>
      <c r="CA46" s="11">
        <v>59.588999999999999</v>
      </c>
      <c r="CB46" s="11">
        <v>102.39</v>
      </c>
      <c r="CC46" s="11">
        <v>0</v>
      </c>
      <c r="CD46" s="11">
        <v>7031.5739999999996</v>
      </c>
      <c r="CE46" s="11">
        <v>710059.53799999994</v>
      </c>
      <c r="CF46" s="11">
        <v>708758.20200000005</v>
      </c>
      <c r="CG46" s="11">
        <v>39.148000000000003</v>
      </c>
      <c r="CH46" s="11">
        <v>487.185</v>
      </c>
      <c r="CI46" s="11">
        <v>0</v>
      </c>
      <c r="CJ46" s="11">
        <v>775.00300000000004</v>
      </c>
      <c r="CK46" s="11">
        <v>0</v>
      </c>
    </row>
    <row r="47" spans="1:89" x14ac:dyDescent="0.3">
      <c r="A47" s="7" t="s">
        <v>134</v>
      </c>
      <c r="B47" s="10">
        <v>25919.548999999999</v>
      </c>
      <c r="C47" s="10">
        <f t="shared" si="0"/>
        <v>70.256</v>
      </c>
      <c r="D47" s="10">
        <v>71.037000000000006</v>
      </c>
      <c r="E47" s="10">
        <v>0.96799999999999997</v>
      </c>
      <c r="F47" s="10">
        <v>1.7649999999999999</v>
      </c>
      <c r="G47" s="10">
        <v>2.5000000000000001E-2</v>
      </c>
      <c r="H47" s="10">
        <v>4.8000000000000001E-2</v>
      </c>
      <c r="I47" s="10">
        <v>1.7999999999999999E-2</v>
      </c>
      <c r="J47" s="10">
        <v>0.78100000000000003</v>
      </c>
      <c r="K47" s="10">
        <v>0.38200000000000001</v>
      </c>
      <c r="L47" s="10">
        <v>0.17899999999999999</v>
      </c>
      <c r="M47" s="10">
        <v>0.70899999999999996</v>
      </c>
      <c r="N47" s="10">
        <v>7.6989999999999998</v>
      </c>
      <c r="O47" s="10">
        <v>1.0489999999999999</v>
      </c>
      <c r="P47" s="10">
        <v>0.57599999999999996</v>
      </c>
      <c r="Q47" s="10">
        <v>7.4710000000000001</v>
      </c>
      <c r="R47" s="10">
        <v>0.754</v>
      </c>
      <c r="S47" s="10">
        <v>0.187</v>
      </c>
      <c r="T47" s="10">
        <v>0.14799999999999999</v>
      </c>
      <c r="U47" s="10">
        <v>0.314</v>
      </c>
      <c r="V47" s="10">
        <v>0.188</v>
      </c>
      <c r="W47" s="10">
        <v>0.23</v>
      </c>
      <c r="X47" s="10">
        <v>1.099</v>
      </c>
      <c r="Y47" s="10">
        <v>0.29599999999999999</v>
      </c>
      <c r="Z47" s="10">
        <v>1.3919999999999999</v>
      </c>
      <c r="AA47" s="10">
        <v>3.625</v>
      </c>
      <c r="AB47" s="10">
        <v>1.8260000000000001</v>
      </c>
      <c r="AC47" s="10">
        <v>1.151</v>
      </c>
      <c r="AD47" s="10">
        <v>2.6680000000000001</v>
      </c>
      <c r="AE47" s="10">
        <v>1.675</v>
      </c>
      <c r="AF47" s="10">
        <v>1.885</v>
      </c>
      <c r="AG47" s="10">
        <v>2.6459999999999999</v>
      </c>
      <c r="AH47" s="10">
        <v>1.4059999999999999</v>
      </c>
      <c r="AI47" s="10">
        <v>14.906000000000001</v>
      </c>
      <c r="AJ47" s="10">
        <v>0.438</v>
      </c>
      <c r="AK47" s="10">
        <v>0.66400000000000003</v>
      </c>
      <c r="AL47" s="10">
        <v>0.90900000000000003</v>
      </c>
      <c r="AM47" s="10">
        <v>0.42799999999999999</v>
      </c>
      <c r="AN47" s="10">
        <v>0.42599999999999999</v>
      </c>
      <c r="AO47" s="10">
        <v>5.2999999999999999E-2</v>
      </c>
      <c r="AP47" s="10">
        <v>3.4000000000000002E-2</v>
      </c>
      <c r="AQ47" s="10">
        <v>0.95399999999999996</v>
      </c>
      <c r="AR47" s="10">
        <v>0.70099999999999996</v>
      </c>
      <c r="AS47" s="10">
        <v>2.8000000000000001E-2</v>
      </c>
      <c r="AT47" s="10">
        <v>4.0000000000000001E-3</v>
      </c>
      <c r="AU47" s="10">
        <v>0.33500000000000002</v>
      </c>
      <c r="AV47" s="10">
        <v>1E-3</v>
      </c>
      <c r="AW47" s="10">
        <v>6.4000000000000001E-2</v>
      </c>
      <c r="AX47" s="10">
        <v>0.04</v>
      </c>
      <c r="AY47" s="10">
        <v>1.4E-2</v>
      </c>
      <c r="AZ47" s="10">
        <v>3.4000000000000002E-2</v>
      </c>
      <c r="BA47" s="10">
        <v>4.4999999999999998E-2</v>
      </c>
      <c r="BB47" s="10">
        <v>0.54100000000000004</v>
      </c>
      <c r="BC47" s="10">
        <v>8.0000000000000002E-3</v>
      </c>
      <c r="BD47" s="10">
        <v>1E-3</v>
      </c>
      <c r="BE47" s="10">
        <v>3.1E-2</v>
      </c>
      <c r="BF47" s="10">
        <v>0.27</v>
      </c>
      <c r="BG47" s="10">
        <v>8.9999999999999993E-3</v>
      </c>
      <c r="BH47" s="10">
        <v>1.7999999999999999E-2</v>
      </c>
      <c r="BI47" s="10">
        <v>0.51300000000000001</v>
      </c>
      <c r="BJ47" s="10">
        <v>0.188</v>
      </c>
      <c r="BK47" s="10">
        <v>1E-3</v>
      </c>
      <c r="BL47" s="10">
        <v>0.442</v>
      </c>
      <c r="BM47" s="10">
        <v>6.2E-2</v>
      </c>
      <c r="BN47" s="10">
        <v>0.81399999999999995</v>
      </c>
      <c r="BO47" s="10">
        <v>4.2999999999999997E-2</v>
      </c>
      <c r="BP47" s="10">
        <v>0.34699999999999998</v>
      </c>
      <c r="BQ47" s="10">
        <v>0.52100000000000002</v>
      </c>
      <c r="BR47" s="10">
        <v>0.97599999999999998</v>
      </c>
      <c r="BS47" s="10">
        <v>8.0000000000000002E-3</v>
      </c>
      <c r="BT47" s="10">
        <v>6.5000000000000002E-2</v>
      </c>
      <c r="BU47" s="10">
        <v>4.7E-2</v>
      </c>
      <c r="BV47" s="10">
        <v>1.4E-2</v>
      </c>
      <c r="BW47" s="10">
        <v>0.16</v>
      </c>
      <c r="BX47" s="10">
        <v>0.51200000000000001</v>
      </c>
      <c r="BY47" s="10">
        <v>0.9</v>
      </c>
      <c r="BZ47" s="10">
        <v>0.433</v>
      </c>
      <c r="CA47" s="10">
        <v>0.151</v>
      </c>
      <c r="CB47" s="10">
        <v>0.108</v>
      </c>
      <c r="CC47" s="10">
        <v>0</v>
      </c>
      <c r="CD47" s="10">
        <v>0.61599999999999999</v>
      </c>
      <c r="CE47" s="10">
        <v>25848.511999999999</v>
      </c>
      <c r="CF47" s="10">
        <v>25782.588</v>
      </c>
      <c r="CG47" s="10">
        <v>0</v>
      </c>
      <c r="CH47" s="10">
        <v>21.170999999999999</v>
      </c>
      <c r="CI47" s="10">
        <v>0</v>
      </c>
      <c r="CJ47" s="10">
        <v>44.753</v>
      </c>
      <c r="CK47" s="10">
        <v>0</v>
      </c>
    </row>
    <row r="48" spans="1:89" x14ac:dyDescent="0.3">
      <c r="A48" s="8" t="s">
        <v>135</v>
      </c>
      <c r="B48" s="11">
        <v>4856.0690000000004</v>
      </c>
      <c r="C48" s="10">
        <f t="shared" si="0"/>
        <v>9.8109999999999999</v>
      </c>
      <c r="D48" s="11">
        <v>9.82</v>
      </c>
      <c r="E48" s="11">
        <v>3.0000000000000001E-3</v>
      </c>
      <c r="F48" s="11">
        <v>0</v>
      </c>
      <c r="G48" s="11">
        <v>0</v>
      </c>
      <c r="H48" s="11">
        <v>0</v>
      </c>
      <c r="I48" s="11">
        <v>0</v>
      </c>
      <c r="J48" s="11">
        <v>8.9999999999999993E-3</v>
      </c>
      <c r="K48" s="11">
        <v>5.0000000000000001E-3</v>
      </c>
      <c r="L48" s="11">
        <v>3.0000000000000001E-3</v>
      </c>
      <c r="M48" s="11">
        <v>3.0000000000000001E-3</v>
      </c>
      <c r="N48" s="11">
        <v>0.01</v>
      </c>
      <c r="O48" s="11">
        <v>8.5999999999999993E-2</v>
      </c>
      <c r="P48" s="11">
        <v>0.05</v>
      </c>
      <c r="Q48" s="11">
        <v>8.5999999999999993E-2</v>
      </c>
      <c r="R48" s="11">
        <v>2E-3</v>
      </c>
      <c r="S48" s="11">
        <v>0</v>
      </c>
      <c r="T48" s="11">
        <v>0</v>
      </c>
      <c r="U48" s="11">
        <v>8.9999999999999993E-3</v>
      </c>
      <c r="V48" s="11">
        <v>0</v>
      </c>
      <c r="W48" s="11">
        <v>0</v>
      </c>
      <c r="X48" s="11">
        <v>8.0000000000000002E-3</v>
      </c>
      <c r="Y48" s="11">
        <v>4.0000000000000001E-3</v>
      </c>
      <c r="Z48" s="11">
        <v>0</v>
      </c>
      <c r="AA48" s="11">
        <v>0.06</v>
      </c>
      <c r="AB48" s="11">
        <v>0.32300000000000001</v>
      </c>
      <c r="AC48" s="11">
        <v>0.10199999999999999</v>
      </c>
      <c r="AD48" s="11">
        <v>2E-3</v>
      </c>
      <c r="AE48" s="11">
        <v>7.0000000000000001E-3</v>
      </c>
      <c r="AF48" s="11">
        <v>2.1000000000000001E-2</v>
      </c>
      <c r="AG48" s="11">
        <v>2.1999999999999999E-2</v>
      </c>
      <c r="AH48" s="11">
        <v>8.9999999999999993E-3</v>
      </c>
      <c r="AI48" s="11">
        <v>0.25</v>
      </c>
      <c r="AJ48" s="11">
        <v>0</v>
      </c>
      <c r="AK48" s="11">
        <v>1E-3</v>
      </c>
      <c r="AL48" s="11">
        <v>0.193</v>
      </c>
      <c r="AM48" s="11">
        <v>0.51</v>
      </c>
      <c r="AN48" s="11">
        <v>1.6E-2</v>
      </c>
      <c r="AO48" s="11">
        <v>3.0000000000000001E-3</v>
      </c>
      <c r="AP48" s="11">
        <v>6.8000000000000005E-2</v>
      </c>
      <c r="AQ48" s="11">
        <v>0.20899999999999999</v>
      </c>
      <c r="AR48" s="11">
        <v>0.14099999999999999</v>
      </c>
      <c r="AS48" s="11">
        <v>0</v>
      </c>
      <c r="AT48" s="11">
        <v>1.4999999999999999E-2</v>
      </c>
      <c r="AU48" s="11">
        <v>3.0000000000000001E-3</v>
      </c>
      <c r="AV48" s="11">
        <v>0</v>
      </c>
      <c r="AW48" s="11">
        <v>0.03</v>
      </c>
      <c r="AX48" s="11">
        <v>2E-3</v>
      </c>
      <c r="AY48" s="11">
        <v>1.7000000000000001E-2</v>
      </c>
      <c r="AZ48" s="11">
        <v>8.9999999999999993E-3</v>
      </c>
      <c r="BA48" s="11">
        <v>8.0000000000000002E-3</v>
      </c>
      <c r="BB48" s="11">
        <v>3.1E-2</v>
      </c>
      <c r="BC48" s="11">
        <v>0</v>
      </c>
      <c r="BD48" s="11">
        <v>0</v>
      </c>
      <c r="BE48" s="11">
        <v>0</v>
      </c>
      <c r="BF48" s="11">
        <v>0.1</v>
      </c>
      <c r="BG48" s="11">
        <v>0</v>
      </c>
      <c r="BH48" s="11">
        <v>0.161</v>
      </c>
      <c r="BI48" s="11">
        <v>1.7809999999999999</v>
      </c>
      <c r="BJ48" s="11">
        <v>0.19</v>
      </c>
      <c r="BK48" s="11">
        <v>0</v>
      </c>
      <c r="BL48" s="11">
        <v>0.54300000000000004</v>
      </c>
      <c r="BM48" s="11">
        <v>0.13200000000000001</v>
      </c>
      <c r="BN48" s="11">
        <v>0.83299999999999996</v>
      </c>
      <c r="BO48" s="11">
        <v>0</v>
      </c>
      <c r="BP48" s="11">
        <v>0.24099999999999999</v>
      </c>
      <c r="BQ48" s="11">
        <v>0.16400000000000001</v>
      </c>
      <c r="BR48" s="11">
        <v>7.2999999999999995E-2</v>
      </c>
      <c r="BS48" s="11">
        <v>0</v>
      </c>
      <c r="BT48" s="11">
        <v>1E-3</v>
      </c>
      <c r="BU48" s="11">
        <v>1.7000000000000001E-2</v>
      </c>
      <c r="BV48" s="11">
        <v>1E-3</v>
      </c>
      <c r="BW48" s="11">
        <v>0.20699999999999999</v>
      </c>
      <c r="BX48" s="11">
        <v>2.4E-2</v>
      </c>
      <c r="BY48" s="11">
        <v>1.7000000000000001E-2</v>
      </c>
      <c r="BZ48" s="11">
        <v>5.1999999999999998E-2</v>
      </c>
      <c r="CA48" s="11">
        <v>7.0000000000000001E-3</v>
      </c>
      <c r="CB48" s="11">
        <v>0.01</v>
      </c>
      <c r="CC48" s="11">
        <v>0</v>
      </c>
      <c r="CD48" s="11">
        <v>2.9359999999999999</v>
      </c>
      <c r="CE48" s="11">
        <v>4846.2489999999998</v>
      </c>
      <c r="CF48" s="11">
        <v>4843.5990000000002</v>
      </c>
      <c r="CG48" s="11">
        <v>0.69399999999999995</v>
      </c>
      <c r="CH48" s="11">
        <v>1.577</v>
      </c>
      <c r="CI48" s="11">
        <v>0</v>
      </c>
      <c r="CJ48" s="11">
        <v>0.379</v>
      </c>
      <c r="CK48" s="11">
        <v>0</v>
      </c>
    </row>
    <row r="49" spans="1:89" x14ac:dyDescent="0.3">
      <c r="A49" s="7" t="s">
        <v>136</v>
      </c>
      <c r="B49" s="10">
        <v>234215.204</v>
      </c>
      <c r="C49" s="10">
        <f t="shared" si="0"/>
        <v>166143.696</v>
      </c>
      <c r="D49" s="10">
        <v>166147.875</v>
      </c>
      <c r="E49" s="10">
        <v>0.65500000000000003</v>
      </c>
      <c r="F49" s="10">
        <v>106.19199999999999</v>
      </c>
      <c r="G49" s="10">
        <v>0.34799999999999998</v>
      </c>
      <c r="H49" s="10">
        <v>2709.9949999999999</v>
      </c>
      <c r="I49" s="10">
        <v>0.69</v>
      </c>
      <c r="J49" s="10">
        <v>4.1790000000000003</v>
      </c>
      <c r="K49" s="10">
        <v>2.972</v>
      </c>
      <c r="L49" s="10">
        <v>297.565</v>
      </c>
      <c r="M49" s="10">
        <v>8.5389999999999997</v>
      </c>
      <c r="N49" s="10">
        <v>22.628</v>
      </c>
      <c r="O49" s="10">
        <v>187.315</v>
      </c>
      <c r="P49" s="10">
        <v>6.835</v>
      </c>
      <c r="Q49" s="10">
        <v>808.75</v>
      </c>
      <c r="R49" s="10">
        <v>80.914000000000001</v>
      </c>
      <c r="S49" s="10">
        <v>3.6309999999999998</v>
      </c>
      <c r="T49" s="10">
        <v>3.4039999999999999</v>
      </c>
      <c r="U49" s="10">
        <v>17.797999999999998</v>
      </c>
      <c r="V49" s="10">
        <v>5.6749999999999998</v>
      </c>
      <c r="W49" s="10">
        <v>14.895</v>
      </c>
      <c r="X49" s="10">
        <v>131.078</v>
      </c>
      <c r="Y49" s="10">
        <v>34.472999999999999</v>
      </c>
      <c r="Z49" s="10">
        <v>23.219000000000001</v>
      </c>
      <c r="AA49" s="10">
        <v>92.168999999999997</v>
      </c>
      <c r="AB49" s="10">
        <v>64.555999999999997</v>
      </c>
      <c r="AC49" s="10">
        <v>32.130000000000003</v>
      </c>
      <c r="AD49" s="10">
        <v>136.61699999999999</v>
      </c>
      <c r="AE49" s="10">
        <v>125.083</v>
      </c>
      <c r="AF49" s="10">
        <v>250.86500000000001</v>
      </c>
      <c r="AG49" s="10">
        <v>162.40899999999999</v>
      </c>
      <c r="AH49" s="10">
        <v>68.649000000000001</v>
      </c>
      <c r="AI49" s="10">
        <v>1049.5239999999999</v>
      </c>
      <c r="AJ49" s="10">
        <v>33.445999999999998</v>
      </c>
      <c r="AK49" s="10">
        <v>31.366</v>
      </c>
      <c r="AL49" s="10">
        <v>6403.6850000000004</v>
      </c>
      <c r="AM49" s="10">
        <v>5973.5209999999997</v>
      </c>
      <c r="AN49" s="10">
        <v>41884.591</v>
      </c>
      <c r="AO49" s="10">
        <v>5446.1369999999997</v>
      </c>
      <c r="AP49" s="10">
        <v>2641.3760000000002</v>
      </c>
      <c r="AQ49" s="10">
        <v>67399.506999999998</v>
      </c>
      <c r="AR49" s="10">
        <v>14086.105</v>
      </c>
      <c r="AS49" s="10">
        <v>49.02</v>
      </c>
      <c r="AT49" s="10">
        <v>352.53800000000001</v>
      </c>
      <c r="AU49" s="10">
        <v>470.69799999999998</v>
      </c>
      <c r="AV49" s="10">
        <v>25.507999999999999</v>
      </c>
      <c r="AW49" s="10">
        <v>1884.116</v>
      </c>
      <c r="AX49" s="10">
        <v>271.69299999999998</v>
      </c>
      <c r="AY49" s="10">
        <v>80.222999999999999</v>
      </c>
      <c r="AZ49" s="10">
        <v>219.96700000000001</v>
      </c>
      <c r="BA49" s="10">
        <v>1037.0540000000001</v>
      </c>
      <c r="BB49" s="10">
        <v>1201.585</v>
      </c>
      <c r="BC49" s="10">
        <v>18.652000000000001</v>
      </c>
      <c r="BD49" s="10">
        <v>19.475000000000001</v>
      </c>
      <c r="BE49" s="10">
        <v>1.1080000000000001</v>
      </c>
      <c r="BF49" s="10">
        <v>35.154000000000003</v>
      </c>
      <c r="BG49" s="10">
        <v>0.77400000000000002</v>
      </c>
      <c r="BH49" s="10">
        <v>1372.778</v>
      </c>
      <c r="BI49" s="10">
        <v>3692.61</v>
      </c>
      <c r="BJ49" s="10">
        <v>225.93100000000001</v>
      </c>
      <c r="BK49" s="10">
        <v>8.6959999999999997</v>
      </c>
      <c r="BL49" s="10">
        <v>782.03899999999999</v>
      </c>
      <c r="BM49" s="10">
        <v>475.18599999999998</v>
      </c>
      <c r="BN49" s="10">
        <v>932.12099999999998</v>
      </c>
      <c r="BO49" s="10">
        <v>2.879</v>
      </c>
      <c r="BP49" s="10">
        <v>288.65199999999999</v>
      </c>
      <c r="BQ49" s="10">
        <v>21.457000000000001</v>
      </c>
      <c r="BR49" s="10">
        <v>72.655000000000001</v>
      </c>
      <c r="BS49" s="10">
        <v>2.9089999999999998</v>
      </c>
      <c r="BT49" s="10">
        <v>7.1420000000000003</v>
      </c>
      <c r="BU49" s="10">
        <v>34.582000000000001</v>
      </c>
      <c r="BV49" s="10">
        <v>46.573999999999998</v>
      </c>
      <c r="BW49" s="10">
        <v>26.712</v>
      </c>
      <c r="BX49" s="10">
        <v>53.405999999999999</v>
      </c>
      <c r="BY49" s="10">
        <v>213.74799999999999</v>
      </c>
      <c r="BZ49" s="10">
        <v>4.9829999999999997</v>
      </c>
      <c r="CA49" s="10">
        <v>10.619</v>
      </c>
      <c r="CB49" s="10">
        <v>6.851</v>
      </c>
      <c r="CC49" s="10">
        <v>0</v>
      </c>
      <c r="CD49" s="10">
        <v>1844.2940000000001</v>
      </c>
      <c r="CE49" s="10">
        <v>68067.328999999998</v>
      </c>
      <c r="CF49" s="10">
        <v>40948.561000000002</v>
      </c>
      <c r="CG49" s="10">
        <v>49.369</v>
      </c>
      <c r="CH49" s="10">
        <v>96.165999999999997</v>
      </c>
      <c r="CI49" s="10">
        <v>0</v>
      </c>
      <c r="CJ49" s="10">
        <v>26973.233</v>
      </c>
      <c r="CK49" s="10">
        <v>0</v>
      </c>
    </row>
    <row r="50" spans="1:89" x14ac:dyDescent="0.3">
      <c r="A50" s="8" t="s">
        <v>137</v>
      </c>
      <c r="B50" s="11">
        <v>4897.5050000000001</v>
      </c>
      <c r="C50" s="10">
        <f t="shared" si="0"/>
        <v>4535.2619999999997</v>
      </c>
      <c r="D50" s="11">
        <v>4535.2619999999997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2E-3</v>
      </c>
      <c r="O50" s="11">
        <v>15.164999999999999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0.13</v>
      </c>
      <c r="Y50" s="11">
        <v>1.0109999999999999</v>
      </c>
      <c r="Z50" s="11">
        <v>0</v>
      </c>
      <c r="AA50" s="11">
        <v>0</v>
      </c>
      <c r="AB50" s="11">
        <v>0</v>
      </c>
      <c r="AC50" s="11">
        <v>0</v>
      </c>
      <c r="AD50" s="11">
        <v>0.3</v>
      </c>
      <c r="AE50" s="11">
        <v>0.156</v>
      </c>
      <c r="AF50" s="11">
        <v>0.255</v>
      </c>
      <c r="AG50" s="11">
        <v>0.38800000000000001</v>
      </c>
      <c r="AH50" s="11">
        <v>0.125</v>
      </c>
      <c r="AI50" s="11">
        <v>1.097</v>
      </c>
      <c r="AJ50" s="11">
        <v>2.8000000000000001E-2</v>
      </c>
      <c r="AK50" s="11">
        <v>4.5999999999999999E-2</v>
      </c>
      <c r="AL50" s="11">
        <v>149.27000000000001</v>
      </c>
      <c r="AM50" s="11">
        <v>201.42699999999999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96.382999999999996</v>
      </c>
      <c r="AW50" s="11">
        <v>0</v>
      </c>
      <c r="AX50" s="11">
        <v>0</v>
      </c>
      <c r="AY50" s="11">
        <v>0</v>
      </c>
      <c r="AZ50" s="11">
        <v>0.39600000000000002</v>
      </c>
      <c r="BA50" s="11">
        <v>3.3000000000000002E-2</v>
      </c>
      <c r="BB50" s="11">
        <v>0</v>
      </c>
      <c r="BC50" s="11">
        <v>0</v>
      </c>
      <c r="BD50" s="11">
        <v>0.307</v>
      </c>
      <c r="BE50" s="11">
        <v>94.924999999999997</v>
      </c>
      <c r="BF50" s="11">
        <v>1193.9829999999999</v>
      </c>
      <c r="BG50" s="11">
        <v>24.347999999999999</v>
      </c>
      <c r="BH50" s="11">
        <v>867.42</v>
      </c>
      <c r="BI50" s="11">
        <v>2.7490000000000001</v>
      </c>
      <c r="BJ50" s="11">
        <v>0</v>
      </c>
      <c r="BK50" s="11">
        <v>0</v>
      </c>
      <c r="BL50" s="11">
        <v>26.527000000000001</v>
      </c>
      <c r="BM50" s="11">
        <v>2.4990000000000001</v>
      </c>
      <c r="BN50" s="11">
        <v>31.262</v>
      </c>
      <c r="BO50" s="11">
        <v>0.17699999999999999</v>
      </c>
      <c r="BP50" s="11">
        <v>201.255</v>
      </c>
      <c r="BQ50" s="11">
        <v>32.445</v>
      </c>
      <c r="BR50" s="11">
        <v>38.292999999999999</v>
      </c>
      <c r="BS50" s="11">
        <v>2.5999999999999999E-2</v>
      </c>
      <c r="BT50" s="11">
        <v>1.88</v>
      </c>
      <c r="BU50" s="11">
        <v>2.1389999999999998</v>
      </c>
      <c r="BV50" s="11">
        <v>6.9370000000000003</v>
      </c>
      <c r="BW50" s="11">
        <v>2.9319999999999999</v>
      </c>
      <c r="BX50" s="11">
        <v>8.0820000000000007</v>
      </c>
      <c r="BY50" s="11">
        <v>0.24199999999999999</v>
      </c>
      <c r="BZ50" s="11">
        <v>0.60899999999999999</v>
      </c>
      <c r="CA50" s="11">
        <v>2.8380000000000001</v>
      </c>
      <c r="CB50" s="11">
        <v>3.661</v>
      </c>
      <c r="CC50" s="11">
        <v>0</v>
      </c>
      <c r="CD50" s="11">
        <v>1523.5139999999999</v>
      </c>
      <c r="CE50" s="11">
        <v>362.24299999999999</v>
      </c>
      <c r="CF50" s="11">
        <v>362.24299999999999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</row>
    <row r="51" spans="1:89" x14ac:dyDescent="0.3">
      <c r="A51" s="7" t="s">
        <v>138</v>
      </c>
      <c r="B51" s="10">
        <v>46206.659</v>
      </c>
      <c r="C51" s="10">
        <f t="shared" si="0"/>
        <v>17487.402000000002</v>
      </c>
      <c r="D51" s="10">
        <v>17880.433000000001</v>
      </c>
      <c r="E51" s="10">
        <v>5.2999999999999999E-2</v>
      </c>
      <c r="F51" s="10">
        <v>5.0000000000000001E-3</v>
      </c>
      <c r="G51" s="10">
        <v>0</v>
      </c>
      <c r="H51" s="10">
        <v>2.1000000000000001E-2</v>
      </c>
      <c r="I51" s="10">
        <v>0.01</v>
      </c>
      <c r="J51" s="10">
        <v>393.03100000000001</v>
      </c>
      <c r="K51" s="10">
        <v>30.626000000000001</v>
      </c>
      <c r="L51" s="10">
        <v>218.72</v>
      </c>
      <c r="M51" s="10">
        <v>74.912000000000006</v>
      </c>
      <c r="N51" s="10">
        <v>92.769000000000005</v>
      </c>
      <c r="O51" s="10">
        <v>131.07599999999999</v>
      </c>
      <c r="P51" s="10">
        <v>7.399</v>
      </c>
      <c r="Q51" s="10">
        <v>164.608</v>
      </c>
      <c r="R51" s="10">
        <v>25.231999999999999</v>
      </c>
      <c r="S51" s="10">
        <v>2.601</v>
      </c>
      <c r="T51" s="10">
        <v>32.079000000000001</v>
      </c>
      <c r="U51" s="10">
        <v>19.228999999999999</v>
      </c>
      <c r="V51" s="10">
        <v>4.0330000000000004</v>
      </c>
      <c r="W51" s="10">
        <v>7.3999999999999996E-2</v>
      </c>
      <c r="X51" s="10">
        <v>0.255</v>
      </c>
      <c r="Y51" s="10">
        <v>0.126</v>
      </c>
      <c r="Z51" s="10">
        <v>13.378</v>
      </c>
      <c r="AA51" s="10">
        <v>130.17400000000001</v>
      </c>
      <c r="AB51" s="10">
        <v>66.978999999999999</v>
      </c>
      <c r="AC51" s="10">
        <v>63.042999999999999</v>
      </c>
      <c r="AD51" s="10">
        <v>0.35399999999999998</v>
      </c>
      <c r="AE51" s="10">
        <v>0.25700000000000001</v>
      </c>
      <c r="AF51" s="10">
        <v>0.44600000000000001</v>
      </c>
      <c r="AG51" s="10">
        <v>0.53600000000000003</v>
      </c>
      <c r="AH51" s="10">
        <v>0.252</v>
      </c>
      <c r="AI51" s="10">
        <v>2.9790000000000001</v>
      </c>
      <c r="AJ51" s="10">
        <v>9.8000000000000004E-2</v>
      </c>
      <c r="AK51" s="10">
        <v>0.33700000000000002</v>
      </c>
      <c r="AL51" s="10">
        <v>153.43</v>
      </c>
      <c r="AM51" s="10">
        <v>171.18299999999999</v>
      </c>
      <c r="AN51" s="10">
        <v>704.87400000000002</v>
      </c>
      <c r="AO51" s="10">
        <v>40.182000000000002</v>
      </c>
      <c r="AP51" s="10">
        <v>4.867</v>
      </c>
      <c r="AQ51" s="10">
        <v>131.108</v>
      </c>
      <c r="AR51" s="10">
        <v>47.393000000000001</v>
      </c>
      <c r="AS51" s="10">
        <v>111.45099999999999</v>
      </c>
      <c r="AT51" s="10">
        <v>1.32</v>
      </c>
      <c r="AU51" s="10">
        <v>61.046999999999997</v>
      </c>
      <c r="AV51" s="10">
        <v>1.706</v>
      </c>
      <c r="AW51" s="10">
        <v>5368.2330000000002</v>
      </c>
      <c r="AX51" s="10">
        <v>73.335999999999999</v>
      </c>
      <c r="AY51" s="10">
        <v>33.427999999999997</v>
      </c>
      <c r="AZ51" s="10">
        <v>41.902999999999999</v>
      </c>
      <c r="BA51" s="10">
        <v>251.059</v>
      </c>
      <c r="BB51" s="10">
        <v>674.53599999999994</v>
      </c>
      <c r="BC51" s="10">
        <v>10.49</v>
      </c>
      <c r="BD51" s="10">
        <v>8.6289999999999996</v>
      </c>
      <c r="BE51" s="10">
        <v>13.303000000000001</v>
      </c>
      <c r="BF51" s="10">
        <v>4327.6779999999999</v>
      </c>
      <c r="BG51" s="10">
        <v>110.098</v>
      </c>
      <c r="BH51" s="10">
        <v>730.625</v>
      </c>
      <c r="BI51" s="10">
        <v>971.55600000000004</v>
      </c>
      <c r="BJ51" s="10">
        <v>51.338999999999999</v>
      </c>
      <c r="BK51" s="10">
        <v>1.2490000000000001</v>
      </c>
      <c r="BL51" s="10">
        <v>454.9</v>
      </c>
      <c r="BM51" s="10">
        <v>65.16</v>
      </c>
      <c r="BN51" s="10">
        <v>721.98099999999999</v>
      </c>
      <c r="BO51" s="10">
        <v>4.4340000000000002</v>
      </c>
      <c r="BP51" s="10">
        <v>150.02500000000001</v>
      </c>
      <c r="BQ51" s="10">
        <v>22.603999999999999</v>
      </c>
      <c r="BR51" s="10">
        <v>30.521999999999998</v>
      </c>
      <c r="BS51" s="10">
        <v>0.49099999999999999</v>
      </c>
      <c r="BT51" s="10">
        <v>3.161</v>
      </c>
      <c r="BU51" s="10">
        <v>5.8529999999999998</v>
      </c>
      <c r="BV51" s="10">
        <v>3.2530000000000001</v>
      </c>
      <c r="BW51" s="10">
        <v>46.694000000000003</v>
      </c>
      <c r="BX51" s="10">
        <v>199.554</v>
      </c>
      <c r="BY51" s="10">
        <v>6.8079999999999998</v>
      </c>
      <c r="BZ51" s="10">
        <v>16.007000000000001</v>
      </c>
      <c r="CA51" s="10">
        <v>69.838999999999999</v>
      </c>
      <c r="CB51" s="10">
        <v>87.231999999999999</v>
      </c>
      <c r="CC51" s="10">
        <v>0</v>
      </c>
      <c r="CD51" s="10">
        <v>420.2</v>
      </c>
      <c r="CE51" s="10">
        <v>28326.225999999999</v>
      </c>
      <c r="CF51" s="10">
        <v>28286.267</v>
      </c>
      <c r="CG51" s="10">
        <v>10.442</v>
      </c>
      <c r="CH51" s="10">
        <v>26.186</v>
      </c>
      <c r="CI51" s="10">
        <v>0</v>
      </c>
      <c r="CJ51" s="10">
        <v>3.331</v>
      </c>
      <c r="CK51" s="10">
        <v>0</v>
      </c>
    </row>
    <row r="52" spans="1:89" x14ac:dyDescent="0.3">
      <c r="A52" s="8" t="s">
        <v>139</v>
      </c>
      <c r="B52" s="11">
        <v>65406.046000000002</v>
      </c>
      <c r="C52" s="10">
        <f t="shared" si="0"/>
        <v>65278.084999999999</v>
      </c>
      <c r="D52" s="11">
        <v>65278.411999999997</v>
      </c>
      <c r="E52" s="11">
        <v>0.3</v>
      </c>
      <c r="F52" s="11">
        <v>0.52600000000000002</v>
      </c>
      <c r="G52" s="11">
        <v>7.0000000000000001E-3</v>
      </c>
      <c r="H52" s="11">
        <v>5.6529999999999996</v>
      </c>
      <c r="I52" s="11">
        <v>9.49</v>
      </c>
      <c r="J52" s="11">
        <v>0.32700000000000001</v>
      </c>
      <c r="K52" s="11">
        <v>55.88</v>
      </c>
      <c r="L52" s="11">
        <v>597.25800000000004</v>
      </c>
      <c r="M52" s="11">
        <v>1.2869999999999999</v>
      </c>
      <c r="N52" s="11">
        <v>51.131999999999998</v>
      </c>
      <c r="O52" s="11">
        <v>31.210999999999999</v>
      </c>
      <c r="P52" s="11">
        <v>46.719000000000001</v>
      </c>
      <c r="Q52" s="11">
        <v>3200.8780000000002</v>
      </c>
      <c r="R52" s="11">
        <v>802.89800000000002</v>
      </c>
      <c r="S52" s="11">
        <v>160.494</v>
      </c>
      <c r="T52" s="11">
        <v>86.76</v>
      </c>
      <c r="U52" s="11">
        <v>224.12799999999999</v>
      </c>
      <c r="V52" s="11">
        <v>67.492000000000004</v>
      </c>
      <c r="W52" s="11">
        <v>85.986000000000004</v>
      </c>
      <c r="X52" s="11">
        <v>459.45499999999998</v>
      </c>
      <c r="Y52" s="11">
        <v>85.745000000000005</v>
      </c>
      <c r="Z52" s="11">
        <v>44.603999999999999</v>
      </c>
      <c r="AA52" s="11">
        <v>946.23099999999999</v>
      </c>
      <c r="AB52" s="11">
        <v>442.358</v>
      </c>
      <c r="AC52" s="11">
        <v>372.57100000000003</v>
      </c>
      <c r="AD52" s="11">
        <v>146.15799999999999</v>
      </c>
      <c r="AE52" s="11">
        <v>273.14499999999998</v>
      </c>
      <c r="AF52" s="11">
        <v>120.473</v>
      </c>
      <c r="AG52" s="11">
        <v>156.941</v>
      </c>
      <c r="AH52" s="11">
        <v>124.904</v>
      </c>
      <c r="AI52" s="11">
        <v>704.76700000000005</v>
      </c>
      <c r="AJ52" s="11">
        <v>238.01499999999999</v>
      </c>
      <c r="AK52" s="11">
        <v>141.155</v>
      </c>
      <c r="AL52" s="11">
        <v>23282.969000000001</v>
      </c>
      <c r="AM52" s="11">
        <v>21822.468000000001</v>
      </c>
      <c r="AN52" s="11">
        <v>0.13500000000000001</v>
      </c>
      <c r="AO52" s="11">
        <v>1.9E-2</v>
      </c>
      <c r="AP52" s="11">
        <v>2.9000000000000001E-2</v>
      </c>
      <c r="AQ52" s="11">
        <v>17.149000000000001</v>
      </c>
      <c r="AR52" s="11">
        <v>0.70099999999999996</v>
      </c>
      <c r="AS52" s="11">
        <v>1.7000000000000001E-2</v>
      </c>
      <c r="AT52" s="11">
        <v>1.9E-2</v>
      </c>
      <c r="AU52" s="11">
        <v>551.654</v>
      </c>
      <c r="AV52" s="11">
        <v>2E-3</v>
      </c>
      <c r="AW52" s="11">
        <v>1.099</v>
      </c>
      <c r="AX52" s="11">
        <v>414.447</v>
      </c>
      <c r="AY52" s="11">
        <v>57.860999999999997</v>
      </c>
      <c r="AZ52" s="11">
        <v>22.364999999999998</v>
      </c>
      <c r="BA52" s="11">
        <v>1.9019999999999999</v>
      </c>
      <c r="BB52" s="11">
        <v>12.051</v>
      </c>
      <c r="BC52" s="11">
        <v>0.92800000000000005</v>
      </c>
      <c r="BD52" s="11">
        <v>5.0000000000000001E-3</v>
      </c>
      <c r="BE52" s="11">
        <v>8.9999999999999993E-3</v>
      </c>
      <c r="BF52" s="11">
        <v>2241.0419999999999</v>
      </c>
      <c r="BG52" s="11">
        <v>3.5000000000000003E-2</v>
      </c>
      <c r="BH52" s="11">
        <v>0.20399999999999999</v>
      </c>
      <c r="BI52" s="11">
        <v>337.80799999999999</v>
      </c>
      <c r="BJ52" s="11">
        <v>113.08199999999999</v>
      </c>
      <c r="BK52" s="11">
        <v>0.26100000000000001</v>
      </c>
      <c r="BL52" s="11">
        <v>1276.039</v>
      </c>
      <c r="BM52" s="11">
        <v>136.922</v>
      </c>
      <c r="BN52" s="11">
        <v>3169.181</v>
      </c>
      <c r="BO52" s="11">
        <v>9.0030000000000001</v>
      </c>
      <c r="BP52" s="11">
        <v>383.214</v>
      </c>
      <c r="BQ52" s="11">
        <v>35.963999999999999</v>
      </c>
      <c r="BR52" s="11">
        <v>829.63</v>
      </c>
      <c r="BS52" s="11">
        <v>0.82399999999999995</v>
      </c>
      <c r="BT52" s="11">
        <v>6.351</v>
      </c>
      <c r="BU52" s="11">
        <v>39.347000000000001</v>
      </c>
      <c r="BV52" s="11">
        <v>3.18</v>
      </c>
      <c r="BW52" s="11">
        <v>12.138999999999999</v>
      </c>
      <c r="BX52" s="11">
        <v>35.215000000000003</v>
      </c>
      <c r="BY52" s="11">
        <v>351.54300000000001</v>
      </c>
      <c r="BZ52" s="11">
        <v>221.66499999999999</v>
      </c>
      <c r="CA52" s="11">
        <v>91.83</v>
      </c>
      <c r="CB52" s="11">
        <v>69.266000000000005</v>
      </c>
      <c r="CC52" s="11">
        <v>0</v>
      </c>
      <c r="CD52" s="11">
        <v>43.89</v>
      </c>
      <c r="CE52" s="11">
        <v>127.634</v>
      </c>
      <c r="CF52" s="11">
        <v>87.475999999999999</v>
      </c>
      <c r="CG52" s="11">
        <v>12.81</v>
      </c>
      <c r="CH52" s="11">
        <v>18.846</v>
      </c>
      <c r="CI52" s="11">
        <v>0</v>
      </c>
      <c r="CJ52" s="11">
        <v>8.5020000000000007</v>
      </c>
      <c r="CK52" s="11">
        <v>0</v>
      </c>
    </row>
    <row r="53" spans="1:89" x14ac:dyDescent="0.3">
      <c r="A53" s="7" t="s">
        <v>140</v>
      </c>
      <c r="B53" s="10">
        <v>32443.128000000001</v>
      </c>
      <c r="C53" s="10">
        <f t="shared" si="0"/>
        <v>14302.752</v>
      </c>
      <c r="D53" s="10">
        <v>14303.527</v>
      </c>
      <c r="E53" s="10">
        <v>0.89400000000000002</v>
      </c>
      <c r="F53" s="10">
        <v>1.6140000000000001</v>
      </c>
      <c r="G53" s="10">
        <v>2.4E-2</v>
      </c>
      <c r="H53" s="10">
        <v>4.3999999999999997E-2</v>
      </c>
      <c r="I53" s="10">
        <v>1.7999999999999999E-2</v>
      </c>
      <c r="J53" s="10">
        <v>0.77500000000000002</v>
      </c>
      <c r="K53" s="10">
        <v>0.497</v>
      </c>
      <c r="L53" s="10">
        <v>0.22700000000000001</v>
      </c>
      <c r="M53" s="10">
        <v>0.77800000000000002</v>
      </c>
      <c r="N53" s="10">
        <v>7.0110000000000001</v>
      </c>
      <c r="O53" s="10">
        <v>31.54</v>
      </c>
      <c r="P53" s="10">
        <v>0.53700000000000003</v>
      </c>
      <c r="Q53" s="10">
        <v>9.2319999999999993</v>
      </c>
      <c r="R53" s="10">
        <v>0.77800000000000002</v>
      </c>
      <c r="S53" s="10">
        <v>3.9409999999999998</v>
      </c>
      <c r="T53" s="10">
        <v>5.31</v>
      </c>
      <c r="U53" s="10">
        <v>26.047000000000001</v>
      </c>
      <c r="V53" s="10">
        <v>5.2060000000000004</v>
      </c>
      <c r="W53" s="10">
        <v>13.127000000000001</v>
      </c>
      <c r="X53" s="10">
        <v>120.723</v>
      </c>
      <c r="Y53" s="10">
        <v>38.287999999999997</v>
      </c>
      <c r="Z53" s="10">
        <v>53.332000000000001</v>
      </c>
      <c r="AA53" s="10">
        <v>271.64800000000002</v>
      </c>
      <c r="AB53" s="10">
        <v>116.717</v>
      </c>
      <c r="AC53" s="10">
        <v>94.986000000000004</v>
      </c>
      <c r="AD53" s="10">
        <v>414.46100000000001</v>
      </c>
      <c r="AE53" s="10">
        <v>160.827</v>
      </c>
      <c r="AF53" s="10">
        <v>164.34399999999999</v>
      </c>
      <c r="AG53" s="10">
        <v>198.21</v>
      </c>
      <c r="AH53" s="10">
        <v>103.02500000000001</v>
      </c>
      <c r="AI53" s="10">
        <v>2065.9380000000001</v>
      </c>
      <c r="AJ53" s="10">
        <v>15.532</v>
      </c>
      <c r="AK53" s="10">
        <v>24.486000000000001</v>
      </c>
      <c r="AL53" s="10">
        <v>969.596</v>
      </c>
      <c r="AM53" s="10">
        <v>959.47699999999998</v>
      </c>
      <c r="AN53" s="10">
        <v>0.47799999999999998</v>
      </c>
      <c r="AO53" s="10">
        <v>7.8E-2</v>
      </c>
      <c r="AP53" s="10">
        <v>4.2999999999999997E-2</v>
      </c>
      <c r="AQ53" s="10">
        <v>0.97699999999999998</v>
      </c>
      <c r="AR53" s="10">
        <v>0.78200000000000003</v>
      </c>
      <c r="AS53" s="10">
        <v>7.1999999999999995E-2</v>
      </c>
      <c r="AT53" s="10">
        <v>6.0000000000000001E-3</v>
      </c>
      <c r="AU53" s="10">
        <v>0.54100000000000004</v>
      </c>
      <c r="AV53" s="10">
        <v>2.1000000000000001E-2</v>
      </c>
      <c r="AW53" s="10">
        <v>8.6999999999999994E-2</v>
      </c>
      <c r="AX53" s="10">
        <v>0.20200000000000001</v>
      </c>
      <c r="AY53" s="10">
        <v>1381.2329999999999</v>
      </c>
      <c r="AZ53" s="10">
        <v>26.401</v>
      </c>
      <c r="BA53" s="10">
        <v>0.82299999999999995</v>
      </c>
      <c r="BB53" s="10">
        <v>1.056</v>
      </c>
      <c r="BC53" s="10">
        <v>1.2999999999999999E-2</v>
      </c>
      <c r="BD53" s="10">
        <v>0.23300000000000001</v>
      </c>
      <c r="BE53" s="10">
        <v>0.57199999999999995</v>
      </c>
      <c r="BF53" s="10">
        <v>309.93900000000002</v>
      </c>
      <c r="BG53" s="10">
        <v>5.8380000000000001</v>
      </c>
      <c r="BH53" s="10">
        <v>10.69</v>
      </c>
      <c r="BI53" s="10">
        <v>18.036000000000001</v>
      </c>
      <c r="BJ53" s="10">
        <v>0.253</v>
      </c>
      <c r="BK53" s="10">
        <v>7.0000000000000001E-3</v>
      </c>
      <c r="BL53" s="10">
        <v>181.28800000000001</v>
      </c>
      <c r="BM53" s="10">
        <v>217.68600000000001</v>
      </c>
      <c r="BN53" s="10">
        <v>1009.997</v>
      </c>
      <c r="BO53" s="10">
        <v>1.7190000000000001</v>
      </c>
      <c r="BP53" s="10">
        <v>1737.0360000000001</v>
      </c>
      <c r="BQ53" s="10">
        <v>76.861999999999995</v>
      </c>
      <c r="BR53" s="10">
        <v>76.215999999999994</v>
      </c>
      <c r="BS53" s="10">
        <v>1.175</v>
      </c>
      <c r="BT53" s="10">
        <v>3.254</v>
      </c>
      <c r="BU53" s="10">
        <v>53.207000000000001</v>
      </c>
      <c r="BV53" s="10">
        <v>37.598999999999997</v>
      </c>
      <c r="BW53" s="10">
        <v>69.876999999999995</v>
      </c>
      <c r="BX53" s="10">
        <v>251.68</v>
      </c>
      <c r="BY53" s="10">
        <v>5.28</v>
      </c>
      <c r="BZ53" s="10">
        <v>5.6349999999999998</v>
      </c>
      <c r="CA53" s="10">
        <v>58.173999999999999</v>
      </c>
      <c r="CB53" s="10">
        <v>168.60900000000001</v>
      </c>
      <c r="CC53" s="10">
        <v>0</v>
      </c>
      <c r="CD53" s="10">
        <v>2710.6619999999998</v>
      </c>
      <c r="CE53" s="10">
        <v>18139.600999999999</v>
      </c>
      <c r="CF53" s="10">
        <v>12745.039000000001</v>
      </c>
      <c r="CG53" s="10">
        <v>0.184</v>
      </c>
      <c r="CH53" s="10">
        <v>5251.2089999999998</v>
      </c>
      <c r="CI53" s="10">
        <v>0</v>
      </c>
      <c r="CJ53" s="10">
        <v>143.16900000000001</v>
      </c>
      <c r="CK53" s="10">
        <v>0</v>
      </c>
    </row>
    <row r="54" spans="1:89" x14ac:dyDescent="0.3">
      <c r="A54" s="8" t="s">
        <v>141</v>
      </c>
      <c r="B54" s="11">
        <v>70590.353000000003</v>
      </c>
      <c r="C54" s="10">
        <f t="shared" si="0"/>
        <v>17597.766</v>
      </c>
      <c r="D54" s="11">
        <v>17598.11</v>
      </c>
      <c r="E54" s="11">
        <v>0.36599999999999999</v>
      </c>
      <c r="F54" s="11">
        <v>0.66800000000000004</v>
      </c>
      <c r="G54" s="11">
        <v>1.0999999999999999E-2</v>
      </c>
      <c r="H54" s="11">
        <v>1.7999999999999999E-2</v>
      </c>
      <c r="I54" s="11">
        <v>8.0000000000000002E-3</v>
      </c>
      <c r="J54" s="11">
        <v>0.34399999999999997</v>
      </c>
      <c r="K54" s="11">
        <v>0.27200000000000002</v>
      </c>
      <c r="L54" s="11">
        <v>7.9000000000000001E-2</v>
      </c>
      <c r="M54" s="11">
        <v>0.28399999999999997</v>
      </c>
      <c r="N54" s="11">
        <v>2.96</v>
      </c>
      <c r="O54" s="11">
        <v>12.154999999999999</v>
      </c>
      <c r="P54" s="11">
        <v>0.22</v>
      </c>
      <c r="Q54" s="11">
        <v>3.0310000000000001</v>
      </c>
      <c r="R54" s="11">
        <v>0.29599999999999999</v>
      </c>
      <c r="S54" s="11">
        <v>7.8E-2</v>
      </c>
      <c r="T54" s="11">
        <v>5.7000000000000002E-2</v>
      </c>
      <c r="U54" s="11">
        <v>0.13</v>
      </c>
      <c r="V54" s="11">
        <v>7.4999999999999997E-2</v>
      </c>
      <c r="W54" s="11">
        <v>8.6999999999999994E-2</v>
      </c>
      <c r="X54" s="11">
        <v>0.497</v>
      </c>
      <c r="Y54" s="11">
        <v>0.115</v>
      </c>
      <c r="Z54" s="11">
        <v>0.53600000000000003</v>
      </c>
      <c r="AA54" s="11">
        <v>1.452</v>
      </c>
      <c r="AB54" s="11">
        <v>0.79500000000000004</v>
      </c>
      <c r="AC54" s="11">
        <v>0.45100000000000001</v>
      </c>
      <c r="AD54" s="11">
        <v>1.0309999999999999</v>
      </c>
      <c r="AE54" s="11">
        <v>0.70499999999999996</v>
      </c>
      <c r="AF54" s="11">
        <v>0.91900000000000004</v>
      </c>
      <c r="AG54" s="11">
        <v>1.0089999999999999</v>
      </c>
      <c r="AH54" s="11">
        <v>0.61</v>
      </c>
      <c r="AI54" s="11">
        <v>7.6289999999999996</v>
      </c>
      <c r="AJ54" s="11">
        <v>0.16900000000000001</v>
      </c>
      <c r="AK54" s="11">
        <v>0.253</v>
      </c>
      <c r="AL54" s="11">
        <v>2.2320000000000002</v>
      </c>
      <c r="AM54" s="11">
        <v>6.8520000000000003</v>
      </c>
      <c r="AN54" s="11">
        <v>0.23300000000000001</v>
      </c>
      <c r="AO54" s="11">
        <v>4.1000000000000002E-2</v>
      </c>
      <c r="AP54" s="11">
        <v>2.3E-2</v>
      </c>
      <c r="AQ54" s="11">
        <v>0.36399999999999999</v>
      </c>
      <c r="AR54" s="11">
        <v>0.27600000000000002</v>
      </c>
      <c r="AS54" s="11">
        <v>1.0999999999999999E-2</v>
      </c>
      <c r="AT54" s="11">
        <v>1E-3</v>
      </c>
      <c r="AU54" s="11">
        <v>0.17599999999999999</v>
      </c>
      <c r="AV54" s="11">
        <v>0</v>
      </c>
      <c r="AW54" s="11">
        <v>3.3000000000000002E-2</v>
      </c>
      <c r="AX54" s="11">
        <v>1.9E-2</v>
      </c>
      <c r="AY54" s="11">
        <v>3.2000000000000001E-2</v>
      </c>
      <c r="AZ54" s="11">
        <v>5720.7730000000001</v>
      </c>
      <c r="BA54" s="11">
        <v>5556.3760000000002</v>
      </c>
      <c r="BB54" s="11">
        <v>3968.53</v>
      </c>
      <c r="BC54" s="11">
        <v>4.0000000000000001E-3</v>
      </c>
      <c r="BD54" s="11">
        <v>1E-3</v>
      </c>
      <c r="BE54" s="11">
        <v>1.2E-2</v>
      </c>
      <c r="BF54" s="11">
        <v>1.1060000000000001</v>
      </c>
      <c r="BG54" s="11">
        <v>0.01</v>
      </c>
      <c r="BH54" s="11">
        <v>0.01</v>
      </c>
      <c r="BI54" s="11">
        <v>0.28000000000000003</v>
      </c>
      <c r="BJ54" s="11">
        <v>0.105</v>
      </c>
      <c r="BK54" s="11">
        <v>6.0000000000000001E-3</v>
      </c>
      <c r="BL54" s="11">
        <v>0.23300000000000001</v>
      </c>
      <c r="BM54" s="11">
        <v>35.473999999999997</v>
      </c>
      <c r="BN54" s="11">
        <v>0.34300000000000003</v>
      </c>
      <c r="BO54" s="11">
        <v>1.6E-2</v>
      </c>
      <c r="BP54" s="11">
        <v>36.375</v>
      </c>
      <c r="BQ54" s="11">
        <v>9.9510000000000005</v>
      </c>
      <c r="BR54" s="11">
        <v>88.722999999999999</v>
      </c>
      <c r="BS54" s="11">
        <v>3.0000000000000001E-3</v>
      </c>
      <c r="BT54" s="11">
        <v>2.5000000000000001E-2</v>
      </c>
      <c r="BU54" s="11">
        <v>85.259</v>
      </c>
      <c r="BV54" s="11">
        <v>50.189</v>
      </c>
      <c r="BW54" s="11">
        <v>289.17200000000003</v>
      </c>
      <c r="BX54" s="11">
        <v>632.82899999999995</v>
      </c>
      <c r="BY54" s="11">
        <v>437.75200000000001</v>
      </c>
      <c r="BZ54" s="11">
        <v>14.084</v>
      </c>
      <c r="CA54" s="11">
        <v>147.74199999999999</v>
      </c>
      <c r="CB54" s="11">
        <v>5.0110000000000001</v>
      </c>
      <c r="CC54" s="11">
        <v>0</v>
      </c>
      <c r="CD54" s="11">
        <v>470.113</v>
      </c>
      <c r="CE54" s="11">
        <v>52992.243000000002</v>
      </c>
      <c r="CF54" s="11">
        <v>51886.972000000002</v>
      </c>
      <c r="CG54" s="11">
        <v>583.86400000000003</v>
      </c>
      <c r="CH54" s="11">
        <v>502.98599999999999</v>
      </c>
      <c r="CI54" s="11">
        <v>0</v>
      </c>
      <c r="CJ54" s="11">
        <v>18.420999999999999</v>
      </c>
      <c r="CK54" s="11">
        <v>0</v>
      </c>
    </row>
    <row r="55" spans="1:89" x14ac:dyDescent="0.3">
      <c r="A55" s="7" t="s">
        <v>142</v>
      </c>
      <c r="B55" s="10">
        <v>90550.338000000003</v>
      </c>
      <c r="C55" s="10">
        <f t="shared" si="0"/>
        <v>21022.377</v>
      </c>
      <c r="D55" s="10">
        <v>21024.928</v>
      </c>
      <c r="E55" s="10">
        <v>0.01</v>
      </c>
      <c r="F55" s="10">
        <v>1.4E-2</v>
      </c>
      <c r="G55" s="10">
        <v>0</v>
      </c>
      <c r="H55" s="10">
        <v>0</v>
      </c>
      <c r="I55" s="10">
        <v>1.4999999999999999E-2</v>
      </c>
      <c r="J55" s="10">
        <v>2.5510000000000002</v>
      </c>
      <c r="K55" s="10">
        <v>1.7909999999999999</v>
      </c>
      <c r="L55" s="10">
        <v>0.51100000000000001</v>
      </c>
      <c r="M55" s="10">
        <v>0.57999999999999996</v>
      </c>
      <c r="N55" s="10">
        <v>9.8000000000000004E-2</v>
      </c>
      <c r="O55" s="10">
        <v>0.113</v>
      </c>
      <c r="P55" s="10">
        <v>6.7000000000000004E-2</v>
      </c>
      <c r="Q55" s="10">
        <v>1926.124</v>
      </c>
      <c r="R55" s="10">
        <v>385.79700000000003</v>
      </c>
      <c r="S55" s="10">
        <v>0.183</v>
      </c>
      <c r="T55" s="10">
        <v>1.7000000000000001E-2</v>
      </c>
      <c r="U55" s="10">
        <v>0.51400000000000001</v>
      </c>
      <c r="V55" s="10">
        <v>0.11700000000000001</v>
      </c>
      <c r="W55" s="10">
        <v>3.0000000000000001E-3</v>
      </c>
      <c r="X55" s="10">
        <v>4.2510000000000003</v>
      </c>
      <c r="Y55" s="10">
        <v>0.129</v>
      </c>
      <c r="Z55" s="10">
        <v>0.28199999999999997</v>
      </c>
      <c r="AA55" s="10">
        <v>4.1760000000000002</v>
      </c>
      <c r="AB55" s="10">
        <v>5.3639999999999999</v>
      </c>
      <c r="AC55" s="10">
        <v>0.69599999999999995</v>
      </c>
      <c r="AD55" s="10">
        <v>0.51100000000000001</v>
      </c>
      <c r="AE55" s="10">
        <v>3.7389999999999999</v>
      </c>
      <c r="AF55" s="10">
        <v>10.867000000000001</v>
      </c>
      <c r="AG55" s="10">
        <v>0.121</v>
      </c>
      <c r="AH55" s="10">
        <v>4.1509999999999998</v>
      </c>
      <c r="AI55" s="10">
        <v>106.023</v>
      </c>
      <c r="AJ55" s="10">
        <v>0.128</v>
      </c>
      <c r="AK55" s="10">
        <v>4.2000000000000003E-2</v>
      </c>
      <c r="AL55" s="10">
        <v>101.089</v>
      </c>
      <c r="AM55" s="10">
        <v>358.02699999999999</v>
      </c>
      <c r="AN55" s="10">
        <v>971.37900000000002</v>
      </c>
      <c r="AO55" s="10">
        <v>27.548999999999999</v>
      </c>
      <c r="AP55" s="10">
        <v>8.6850000000000005</v>
      </c>
      <c r="AQ55" s="10">
        <v>124.43899999999999</v>
      </c>
      <c r="AR55" s="10">
        <v>303.036</v>
      </c>
      <c r="AS55" s="10">
        <v>3.2770000000000001</v>
      </c>
      <c r="AT55" s="10">
        <v>7.6829999999999998</v>
      </c>
      <c r="AU55" s="10">
        <v>142.196</v>
      </c>
      <c r="AV55" s="10">
        <v>4.3650000000000002</v>
      </c>
      <c r="AW55" s="10">
        <v>169.92599999999999</v>
      </c>
      <c r="AX55" s="10">
        <v>298.87200000000001</v>
      </c>
      <c r="AY55" s="10">
        <v>283.101</v>
      </c>
      <c r="AZ55" s="10">
        <v>1191.9290000000001</v>
      </c>
      <c r="BA55" s="10">
        <v>2774.1759999999999</v>
      </c>
      <c r="BB55" s="10">
        <v>3830.59</v>
      </c>
      <c r="BC55" s="10">
        <v>6.6319999999999997</v>
      </c>
      <c r="BD55" s="10">
        <v>47.524999999999999</v>
      </c>
      <c r="BE55" s="10">
        <v>0</v>
      </c>
      <c r="BF55" s="10">
        <v>92.756</v>
      </c>
      <c r="BG55" s="10">
        <v>15.756</v>
      </c>
      <c r="BH55" s="10">
        <v>0.17599999999999999</v>
      </c>
      <c r="BI55" s="10">
        <v>3566.1170000000002</v>
      </c>
      <c r="BJ55" s="10">
        <v>164.12899999999999</v>
      </c>
      <c r="BK55" s="10">
        <v>24.1</v>
      </c>
      <c r="BL55" s="10">
        <v>1338.7819999999999</v>
      </c>
      <c r="BM55" s="10">
        <v>1E-3</v>
      </c>
      <c r="BN55" s="10">
        <v>26.238</v>
      </c>
      <c r="BO55" s="10">
        <v>1E-3</v>
      </c>
      <c r="BP55" s="10">
        <v>3.6859999999999999</v>
      </c>
      <c r="BQ55" s="10">
        <v>2.2749999999999999</v>
      </c>
      <c r="BR55" s="10">
        <v>5.0720000000000001</v>
      </c>
      <c r="BS55" s="10">
        <v>1E-3</v>
      </c>
      <c r="BT55" s="10">
        <v>1.7999999999999999E-2</v>
      </c>
      <c r="BU55" s="10">
        <v>17.922999999999998</v>
      </c>
      <c r="BV55" s="10">
        <v>10.301</v>
      </c>
      <c r="BW55" s="10">
        <v>56.985999999999997</v>
      </c>
      <c r="BX55" s="10">
        <v>1618.723</v>
      </c>
      <c r="BY55" s="10">
        <v>80.441000000000003</v>
      </c>
      <c r="BZ55" s="10">
        <v>2.294</v>
      </c>
      <c r="CA55" s="10">
        <v>25.809000000000001</v>
      </c>
      <c r="CB55" s="10">
        <v>19.785</v>
      </c>
      <c r="CC55" s="10">
        <v>0</v>
      </c>
      <c r="CD55" s="10">
        <v>840.09699999999998</v>
      </c>
      <c r="CE55" s="10">
        <v>69525.41</v>
      </c>
      <c r="CF55" s="10">
        <v>56955.909</v>
      </c>
      <c r="CG55" s="10">
        <v>91.745999999999995</v>
      </c>
      <c r="CH55" s="10">
        <v>263.32900000000001</v>
      </c>
      <c r="CI55" s="10">
        <v>0</v>
      </c>
      <c r="CJ55" s="10">
        <v>12214.425999999999</v>
      </c>
      <c r="CK55" s="10">
        <v>0</v>
      </c>
    </row>
    <row r="56" spans="1:89" x14ac:dyDescent="0.3">
      <c r="A56" s="8" t="s">
        <v>143</v>
      </c>
      <c r="B56" s="11">
        <v>456700.01400000002</v>
      </c>
      <c r="C56" s="10">
        <f t="shared" si="0"/>
        <v>115831.46799999999</v>
      </c>
      <c r="D56" s="11">
        <v>122140.405</v>
      </c>
      <c r="E56" s="11">
        <v>6.0069999999999997</v>
      </c>
      <c r="F56" s="11">
        <v>30.722999999999999</v>
      </c>
      <c r="G56" s="11">
        <v>121.58</v>
      </c>
      <c r="H56" s="11">
        <v>83.396000000000001</v>
      </c>
      <c r="I56" s="11">
        <v>40.735999999999997</v>
      </c>
      <c r="J56" s="11">
        <v>6308.9369999999999</v>
      </c>
      <c r="K56" s="11">
        <v>457.90800000000002</v>
      </c>
      <c r="L56" s="11">
        <v>708.851</v>
      </c>
      <c r="M56" s="11">
        <v>458.06400000000002</v>
      </c>
      <c r="N56" s="11">
        <v>2962.721</v>
      </c>
      <c r="O56" s="11">
        <v>1201.07</v>
      </c>
      <c r="P56" s="11">
        <v>732.53</v>
      </c>
      <c r="Q56" s="11">
        <v>2395.3240000000001</v>
      </c>
      <c r="R56" s="11">
        <v>225.61199999999999</v>
      </c>
      <c r="S56" s="11">
        <v>35.860999999999997</v>
      </c>
      <c r="T56" s="11">
        <v>98.066000000000003</v>
      </c>
      <c r="U56" s="11">
        <v>315.80099999999999</v>
      </c>
      <c r="V56" s="11">
        <v>59.069000000000003</v>
      </c>
      <c r="W56" s="11">
        <v>114.205</v>
      </c>
      <c r="X56" s="11">
        <v>388.44600000000003</v>
      </c>
      <c r="Y56" s="11">
        <v>265.69600000000003</v>
      </c>
      <c r="Z56" s="11">
        <v>117.169</v>
      </c>
      <c r="AA56" s="11">
        <v>1087.482</v>
      </c>
      <c r="AB56" s="11">
        <v>557.01499999999999</v>
      </c>
      <c r="AC56" s="11">
        <v>575.69000000000005</v>
      </c>
      <c r="AD56" s="11">
        <v>812.91200000000003</v>
      </c>
      <c r="AE56" s="11">
        <v>537.01900000000001</v>
      </c>
      <c r="AF56" s="11">
        <v>645.57000000000005</v>
      </c>
      <c r="AG56" s="11">
        <v>751.899</v>
      </c>
      <c r="AH56" s="11">
        <v>208.33699999999999</v>
      </c>
      <c r="AI56" s="11">
        <v>2441.6320000000001</v>
      </c>
      <c r="AJ56" s="11">
        <v>190.142</v>
      </c>
      <c r="AK56" s="11">
        <v>241.416</v>
      </c>
      <c r="AL56" s="11">
        <v>10809.478999999999</v>
      </c>
      <c r="AM56" s="11">
        <v>6533.741</v>
      </c>
      <c r="AN56" s="11">
        <v>3741.9389999999999</v>
      </c>
      <c r="AO56" s="11">
        <v>326.03199999999998</v>
      </c>
      <c r="AP56" s="11">
        <v>74.260000000000005</v>
      </c>
      <c r="AQ56" s="11">
        <v>784.43100000000004</v>
      </c>
      <c r="AR56" s="11">
        <v>859.48900000000003</v>
      </c>
      <c r="AS56" s="11">
        <v>903.88900000000001</v>
      </c>
      <c r="AT56" s="11">
        <v>12.983000000000001</v>
      </c>
      <c r="AU56" s="11">
        <v>517.64300000000003</v>
      </c>
      <c r="AV56" s="11">
        <v>13.743</v>
      </c>
      <c r="AW56" s="11">
        <v>131.49700000000001</v>
      </c>
      <c r="AX56" s="11">
        <v>601.48</v>
      </c>
      <c r="AY56" s="11">
        <v>271.92899999999997</v>
      </c>
      <c r="AZ56" s="11">
        <v>359.358</v>
      </c>
      <c r="BA56" s="11">
        <v>2133.1970000000001</v>
      </c>
      <c r="BB56" s="11">
        <v>3819.6439999999998</v>
      </c>
      <c r="BC56" s="11">
        <v>85.093000000000004</v>
      </c>
      <c r="BD56" s="11">
        <v>100.20699999999999</v>
      </c>
      <c r="BE56" s="11">
        <v>287.69400000000002</v>
      </c>
      <c r="BF56" s="11">
        <v>3039.5329999999999</v>
      </c>
      <c r="BG56" s="11">
        <v>1156.8340000000001</v>
      </c>
      <c r="BH56" s="11">
        <v>1448.7650000000001</v>
      </c>
      <c r="BI56" s="11">
        <v>6682.7179999999998</v>
      </c>
      <c r="BJ56" s="11">
        <v>459.21600000000001</v>
      </c>
      <c r="BK56" s="11">
        <v>10.090999999999999</v>
      </c>
      <c r="BL56" s="11">
        <v>4542.2929999999997</v>
      </c>
      <c r="BM56" s="11">
        <v>8786.7929999999997</v>
      </c>
      <c r="BN56" s="11">
        <v>10090.493</v>
      </c>
      <c r="BO56" s="11">
        <v>76.37</v>
      </c>
      <c r="BP56" s="11">
        <v>3448.8020000000001</v>
      </c>
      <c r="BQ56" s="11">
        <v>1180.018</v>
      </c>
      <c r="BR56" s="11">
        <v>1032.4549999999999</v>
      </c>
      <c r="BS56" s="11">
        <v>28.536999999999999</v>
      </c>
      <c r="BT56" s="11">
        <v>61.441000000000003</v>
      </c>
      <c r="BU56" s="11">
        <v>145.02000000000001</v>
      </c>
      <c r="BV56" s="11">
        <v>88.388999999999996</v>
      </c>
      <c r="BW56" s="11">
        <v>753.39700000000005</v>
      </c>
      <c r="BX56" s="11">
        <v>2626.1219999999998</v>
      </c>
      <c r="BY56" s="11">
        <v>722.34400000000005</v>
      </c>
      <c r="BZ56" s="11">
        <v>761.15</v>
      </c>
      <c r="CA56" s="11">
        <v>1188.1420000000001</v>
      </c>
      <c r="CB56" s="11">
        <v>289.69400000000002</v>
      </c>
      <c r="CC56" s="11">
        <v>0</v>
      </c>
      <c r="CD56" s="11">
        <v>15977.174000000001</v>
      </c>
      <c r="CE56" s="11">
        <v>334559.609</v>
      </c>
      <c r="CF56" s="11">
        <v>318778.57</v>
      </c>
      <c r="CG56" s="11">
        <v>1.865</v>
      </c>
      <c r="CH56" s="11">
        <v>2795.36</v>
      </c>
      <c r="CI56" s="11">
        <v>0</v>
      </c>
      <c r="CJ56" s="11">
        <v>12983.814</v>
      </c>
      <c r="CK56" s="11">
        <v>0</v>
      </c>
    </row>
    <row r="57" spans="1:89" x14ac:dyDescent="0.3">
      <c r="A57" s="7" t="s">
        <v>144</v>
      </c>
      <c r="B57" s="10">
        <v>13472.011</v>
      </c>
      <c r="C57" s="10">
        <f t="shared" si="0"/>
        <v>8962.6740000000009</v>
      </c>
      <c r="D57" s="10">
        <v>8963.2780000000002</v>
      </c>
      <c r="E57" s="10">
        <v>0.2</v>
      </c>
      <c r="F57" s="10">
        <v>0.35399999999999998</v>
      </c>
      <c r="G57" s="10">
        <v>1.2999999999999999E-2</v>
      </c>
      <c r="H57" s="10">
        <v>1.4999999999999999E-2</v>
      </c>
      <c r="I57" s="10">
        <v>6.0000000000000001E-3</v>
      </c>
      <c r="J57" s="10">
        <v>0.60399999999999998</v>
      </c>
      <c r="K57" s="10">
        <v>0.104</v>
      </c>
      <c r="L57" s="10">
        <v>8.1000000000000003E-2</v>
      </c>
      <c r="M57" s="10">
        <v>0.16200000000000001</v>
      </c>
      <c r="N57" s="10">
        <v>1.7410000000000001</v>
      </c>
      <c r="O57" s="10">
        <v>21.783000000000001</v>
      </c>
      <c r="P57" s="10">
        <v>0.16500000000000001</v>
      </c>
      <c r="Q57" s="10">
        <v>9.5470000000000006</v>
      </c>
      <c r="R57" s="10">
        <v>1.38</v>
      </c>
      <c r="S57" s="10">
        <v>0.16600000000000001</v>
      </c>
      <c r="T57" s="10">
        <v>0.35299999999999998</v>
      </c>
      <c r="U57" s="10">
        <v>1.0069999999999999</v>
      </c>
      <c r="V57" s="10">
        <v>0.23599999999999999</v>
      </c>
      <c r="W57" s="10">
        <v>0.66800000000000004</v>
      </c>
      <c r="X57" s="10">
        <v>3.78</v>
      </c>
      <c r="Y57" s="10">
        <v>7.6760000000000002</v>
      </c>
      <c r="Z57" s="10">
        <v>0.93200000000000005</v>
      </c>
      <c r="AA57" s="10">
        <v>7.0730000000000004</v>
      </c>
      <c r="AB57" s="10">
        <v>3.6219999999999999</v>
      </c>
      <c r="AC57" s="10">
        <v>3.306</v>
      </c>
      <c r="AD57" s="10">
        <v>9.1709999999999994</v>
      </c>
      <c r="AE57" s="10">
        <v>4.665</v>
      </c>
      <c r="AF57" s="10">
        <v>7.3849999999999998</v>
      </c>
      <c r="AG57" s="10">
        <v>9.3369999999999997</v>
      </c>
      <c r="AH57" s="10">
        <v>2.8420000000000001</v>
      </c>
      <c r="AI57" s="10">
        <v>36.241</v>
      </c>
      <c r="AJ57" s="10">
        <v>0.878</v>
      </c>
      <c r="AK57" s="10">
        <v>1.0960000000000001</v>
      </c>
      <c r="AL57" s="10">
        <v>132.86600000000001</v>
      </c>
      <c r="AM57" s="10">
        <v>136.667</v>
      </c>
      <c r="AN57" s="10">
        <v>34.311999999999998</v>
      </c>
      <c r="AO57" s="10">
        <v>1.9690000000000001</v>
      </c>
      <c r="AP57" s="10">
        <v>0.63700000000000001</v>
      </c>
      <c r="AQ57" s="10">
        <v>5.01</v>
      </c>
      <c r="AR57" s="10">
        <v>2.3170000000000002</v>
      </c>
      <c r="AS57" s="10">
        <v>25.876000000000001</v>
      </c>
      <c r="AT57" s="10">
        <v>6.4000000000000001E-2</v>
      </c>
      <c r="AU57" s="10">
        <v>5.9690000000000003</v>
      </c>
      <c r="AV57" s="10">
        <v>0.39300000000000002</v>
      </c>
      <c r="AW57" s="10">
        <v>3.746</v>
      </c>
      <c r="AX57" s="10">
        <v>14.069000000000001</v>
      </c>
      <c r="AY57" s="10">
        <v>1.633</v>
      </c>
      <c r="AZ57" s="10">
        <v>13.069000000000001</v>
      </c>
      <c r="BA57" s="10">
        <v>22.587</v>
      </c>
      <c r="BB57" s="10">
        <v>156.47399999999999</v>
      </c>
      <c r="BC57" s="10">
        <v>0.51300000000000001</v>
      </c>
      <c r="BD57" s="10">
        <v>0.86899999999999999</v>
      </c>
      <c r="BE57" s="10">
        <v>9.484</v>
      </c>
      <c r="BF57" s="10">
        <v>1846.2449999999999</v>
      </c>
      <c r="BG57" s="10">
        <v>21.72</v>
      </c>
      <c r="BH57" s="10">
        <v>496.91300000000001</v>
      </c>
      <c r="BI57" s="10">
        <v>80.614999999999995</v>
      </c>
      <c r="BJ57" s="10">
        <v>2.5369999999999999</v>
      </c>
      <c r="BK57" s="10">
        <v>6.0999999999999999E-2</v>
      </c>
      <c r="BL57" s="10">
        <v>62.997</v>
      </c>
      <c r="BM57" s="10">
        <v>11.122999999999999</v>
      </c>
      <c r="BN57" s="10">
        <v>52.680999999999997</v>
      </c>
      <c r="BO57" s="10">
        <v>0.33100000000000002</v>
      </c>
      <c r="BP57" s="10">
        <v>1100.7280000000001</v>
      </c>
      <c r="BQ57" s="10">
        <v>32.085000000000001</v>
      </c>
      <c r="BR57" s="10">
        <v>132.77500000000001</v>
      </c>
      <c r="BS57" s="10">
        <v>0.02</v>
      </c>
      <c r="BT57" s="10">
        <v>0.58599999999999997</v>
      </c>
      <c r="BU57" s="10">
        <v>1.2250000000000001</v>
      </c>
      <c r="BV57" s="10">
        <v>9.5830000000000002</v>
      </c>
      <c r="BW57" s="10">
        <v>29.905000000000001</v>
      </c>
      <c r="BX57" s="10">
        <v>14.598000000000001</v>
      </c>
      <c r="BY57" s="10">
        <v>0.66400000000000003</v>
      </c>
      <c r="BZ57" s="10">
        <v>1.23</v>
      </c>
      <c r="CA57" s="10">
        <v>10.547000000000001</v>
      </c>
      <c r="CB57" s="10">
        <v>340.74200000000002</v>
      </c>
      <c r="CC57" s="10">
        <v>0</v>
      </c>
      <c r="CD57" s="10">
        <v>4008.2539999999999</v>
      </c>
      <c r="CE57" s="10">
        <v>4508.7330000000002</v>
      </c>
      <c r="CF57" s="10">
        <v>44.4</v>
      </c>
      <c r="CG57" s="10">
        <v>1.1279999999999999</v>
      </c>
      <c r="CH57" s="10">
        <v>1530.1980000000001</v>
      </c>
      <c r="CI57" s="10">
        <v>0</v>
      </c>
      <c r="CJ57" s="10">
        <v>2933.0070000000001</v>
      </c>
      <c r="CK57" s="10">
        <v>0</v>
      </c>
    </row>
    <row r="58" spans="1:89" x14ac:dyDescent="0.3">
      <c r="A58" s="8" t="s">
        <v>145</v>
      </c>
      <c r="B58" s="11">
        <v>2915.1190000000001</v>
      </c>
      <c r="C58" s="10">
        <f t="shared" si="0"/>
        <v>2080.5839999999998</v>
      </c>
      <c r="D58" s="11">
        <v>2080.5889999999999</v>
      </c>
      <c r="E58" s="11">
        <v>6.0000000000000001E-3</v>
      </c>
      <c r="F58" s="11">
        <v>1.0999999999999999E-2</v>
      </c>
      <c r="G58" s="11">
        <v>0</v>
      </c>
      <c r="H58" s="11">
        <v>0</v>
      </c>
      <c r="I58" s="11">
        <v>0.34100000000000003</v>
      </c>
      <c r="J58" s="11">
        <v>5.0000000000000001E-3</v>
      </c>
      <c r="K58" s="11">
        <v>7.0000000000000001E-3</v>
      </c>
      <c r="L58" s="11">
        <v>1E-3</v>
      </c>
      <c r="M58" s="11">
        <v>5.0000000000000001E-3</v>
      </c>
      <c r="N58" s="11">
        <v>9.2999999999999999E-2</v>
      </c>
      <c r="O58" s="11">
        <v>0.35599999999999998</v>
      </c>
      <c r="P58" s="11">
        <v>3.0000000000000001E-3</v>
      </c>
      <c r="Q58" s="11">
        <v>170.09299999999999</v>
      </c>
      <c r="R58" s="11">
        <v>10.89</v>
      </c>
      <c r="S58" s="11">
        <v>0.16400000000000001</v>
      </c>
      <c r="T58" s="11">
        <v>4.1500000000000004</v>
      </c>
      <c r="U58" s="11">
        <v>2.68</v>
      </c>
      <c r="V58" s="11">
        <v>0.89</v>
      </c>
      <c r="W58" s="11">
        <v>0.183</v>
      </c>
      <c r="X58" s="11">
        <v>1.071</v>
      </c>
      <c r="Y58" s="11">
        <v>0.498</v>
      </c>
      <c r="Z58" s="11">
        <v>2.141</v>
      </c>
      <c r="AA58" s="11">
        <v>29</v>
      </c>
      <c r="AB58" s="11">
        <v>3.0880000000000001</v>
      </c>
      <c r="AC58" s="11">
        <v>5.0880000000000001</v>
      </c>
      <c r="AD58" s="11">
        <v>1.407</v>
      </c>
      <c r="AE58" s="11">
        <v>0.83199999999999996</v>
      </c>
      <c r="AF58" s="11">
        <v>1.26</v>
      </c>
      <c r="AG58" s="11">
        <v>2.8919999999999999</v>
      </c>
      <c r="AH58" s="11">
        <v>1.1120000000000001</v>
      </c>
      <c r="AI58" s="11">
        <v>7.1920000000000002</v>
      </c>
      <c r="AJ58" s="11">
        <v>0.60799999999999998</v>
      </c>
      <c r="AK58" s="11">
        <v>2.0049999999999999</v>
      </c>
      <c r="AL58" s="11">
        <v>20.448</v>
      </c>
      <c r="AM58" s="11">
        <v>27.672000000000001</v>
      </c>
      <c r="AN58" s="11">
        <v>27.228000000000002</v>
      </c>
      <c r="AO58" s="11">
        <v>0.74399999999999999</v>
      </c>
      <c r="AP58" s="11">
        <v>2.0019999999999998</v>
      </c>
      <c r="AQ58" s="11">
        <v>6.0570000000000004</v>
      </c>
      <c r="AR58" s="11">
        <v>8.74</v>
      </c>
      <c r="AS58" s="11">
        <v>2.3E-2</v>
      </c>
      <c r="AT58" s="11">
        <v>0.217</v>
      </c>
      <c r="AU58" s="11">
        <v>3.9580000000000002</v>
      </c>
      <c r="AV58" s="11">
        <v>0.123</v>
      </c>
      <c r="AW58" s="11">
        <v>4.7850000000000001</v>
      </c>
      <c r="AX58" s="11">
        <v>8.7449999999999992</v>
      </c>
      <c r="AY58" s="11">
        <v>5.7409999999999997</v>
      </c>
      <c r="AZ58" s="11">
        <v>11.629</v>
      </c>
      <c r="BA58" s="11">
        <v>103.854</v>
      </c>
      <c r="BB58" s="11">
        <v>25.318000000000001</v>
      </c>
      <c r="BC58" s="11">
        <v>0.32400000000000001</v>
      </c>
      <c r="BD58" s="11">
        <v>1.375</v>
      </c>
      <c r="BE58" s="11">
        <v>18.266999999999999</v>
      </c>
      <c r="BF58" s="11">
        <v>53.618000000000002</v>
      </c>
      <c r="BG58" s="11">
        <v>8.5999999999999993E-2</v>
      </c>
      <c r="BH58" s="11">
        <v>20.077999999999999</v>
      </c>
      <c r="BI58" s="11">
        <v>648.91899999999998</v>
      </c>
      <c r="BJ58" s="11">
        <v>4.5750000000000002</v>
      </c>
      <c r="BK58" s="11">
        <v>0.67</v>
      </c>
      <c r="BL58" s="11">
        <v>144.10300000000001</v>
      </c>
      <c r="BM58" s="11">
        <v>12.114000000000001</v>
      </c>
      <c r="BN58" s="11">
        <v>49.262</v>
      </c>
      <c r="BO58" s="11">
        <v>28.725999999999999</v>
      </c>
      <c r="BP58" s="11">
        <v>93.468999999999994</v>
      </c>
      <c r="BQ58" s="11">
        <v>19.63</v>
      </c>
      <c r="BR58" s="11">
        <v>10.545999999999999</v>
      </c>
      <c r="BS58" s="11">
        <v>0.30499999999999999</v>
      </c>
      <c r="BT58" s="11">
        <v>2.4169999999999998</v>
      </c>
      <c r="BU58" s="11">
        <v>2.6480000000000001</v>
      </c>
      <c r="BV58" s="11">
        <v>1.5680000000000001</v>
      </c>
      <c r="BW58" s="11">
        <v>7.43</v>
      </c>
      <c r="BX58" s="11">
        <v>11.874000000000001</v>
      </c>
      <c r="BY58" s="11">
        <v>8.19</v>
      </c>
      <c r="BZ58" s="11">
        <v>0.26</v>
      </c>
      <c r="CA58" s="11">
        <v>2.8650000000000002</v>
      </c>
      <c r="CB58" s="11">
        <v>3.774</v>
      </c>
      <c r="CC58" s="11">
        <v>0</v>
      </c>
      <c r="CD58" s="11">
        <v>428.14</v>
      </c>
      <c r="CE58" s="11">
        <v>834.53</v>
      </c>
      <c r="CF58" s="11">
        <v>505.84</v>
      </c>
      <c r="CG58" s="11">
        <v>327.60199999999998</v>
      </c>
      <c r="CH58" s="11">
        <v>0.84399999999999997</v>
      </c>
      <c r="CI58" s="11">
        <v>0</v>
      </c>
      <c r="CJ58" s="11">
        <v>0.24399999999999999</v>
      </c>
      <c r="CK58" s="11">
        <v>0</v>
      </c>
    </row>
    <row r="59" spans="1:89" x14ac:dyDescent="0.3">
      <c r="A59" s="7" t="s">
        <v>146</v>
      </c>
      <c r="B59" s="10">
        <v>43137.453999999998</v>
      </c>
      <c r="C59" s="10">
        <f t="shared" si="0"/>
        <v>35970.326999999997</v>
      </c>
      <c r="D59" s="10">
        <v>35970.326999999997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35970.326999999997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7167.1270000000004</v>
      </c>
      <c r="CF59" s="10">
        <v>0</v>
      </c>
      <c r="CG59" s="10">
        <v>7167.1270000000004</v>
      </c>
      <c r="CH59" s="10">
        <v>0</v>
      </c>
      <c r="CI59" s="10">
        <v>0</v>
      </c>
      <c r="CJ59" s="10">
        <v>0</v>
      </c>
      <c r="CK59" s="10">
        <v>0</v>
      </c>
    </row>
    <row r="60" spans="1:89" x14ac:dyDescent="0.3">
      <c r="A60" s="8" t="s">
        <v>147</v>
      </c>
      <c r="B60" s="11">
        <v>940460.33400000003</v>
      </c>
      <c r="C60" s="10">
        <f t="shared" si="0"/>
        <v>137121.122</v>
      </c>
      <c r="D60" s="11">
        <v>137598.25700000001</v>
      </c>
      <c r="E60" s="11">
        <v>1692.7719999999999</v>
      </c>
      <c r="F60" s="11">
        <v>438.036</v>
      </c>
      <c r="G60" s="11">
        <v>1.1459999999999999</v>
      </c>
      <c r="H60" s="11">
        <v>16.065999999999999</v>
      </c>
      <c r="I60" s="11">
        <v>14.465999999999999</v>
      </c>
      <c r="J60" s="11">
        <v>477.13499999999999</v>
      </c>
      <c r="K60" s="11">
        <v>312.87</v>
      </c>
      <c r="L60" s="11">
        <v>3001.3359999999998</v>
      </c>
      <c r="M60" s="11">
        <v>487.654</v>
      </c>
      <c r="N60" s="11">
        <v>2904.1979999999999</v>
      </c>
      <c r="O60" s="11">
        <v>2457.25</v>
      </c>
      <c r="P60" s="11">
        <v>172.27799999999999</v>
      </c>
      <c r="Q60" s="11">
        <v>3164.1660000000002</v>
      </c>
      <c r="R60" s="11">
        <v>304.524</v>
      </c>
      <c r="S60" s="11">
        <v>207.62799999999999</v>
      </c>
      <c r="T60" s="11">
        <v>53.545000000000002</v>
      </c>
      <c r="U60" s="11">
        <v>215.93199999999999</v>
      </c>
      <c r="V60" s="11">
        <v>200.84700000000001</v>
      </c>
      <c r="W60" s="11">
        <v>143.34299999999999</v>
      </c>
      <c r="X60" s="11">
        <v>826.59</v>
      </c>
      <c r="Y60" s="11">
        <v>245.75399999999999</v>
      </c>
      <c r="Z60" s="11">
        <v>57.457000000000001</v>
      </c>
      <c r="AA60" s="11">
        <v>1707.0730000000001</v>
      </c>
      <c r="AB60" s="11">
        <v>1133.5419999999999</v>
      </c>
      <c r="AC60" s="11">
        <v>1088.1759999999999</v>
      </c>
      <c r="AD60" s="11">
        <v>2242.9450000000002</v>
      </c>
      <c r="AE60" s="11">
        <v>1135.8489999999999</v>
      </c>
      <c r="AF60" s="11">
        <v>474.68099999999998</v>
      </c>
      <c r="AG60" s="11">
        <v>117.333</v>
      </c>
      <c r="AH60" s="11">
        <v>244.89099999999999</v>
      </c>
      <c r="AI60" s="11">
        <v>1824.75</v>
      </c>
      <c r="AJ60" s="11">
        <v>137.23599999999999</v>
      </c>
      <c r="AK60" s="11">
        <v>158.04400000000001</v>
      </c>
      <c r="AL60" s="11">
        <v>40431.874000000003</v>
      </c>
      <c r="AM60" s="11">
        <v>24514.032999999999</v>
      </c>
      <c r="AN60" s="11">
        <v>673.09199999999998</v>
      </c>
      <c r="AO60" s="11">
        <v>224.55600000000001</v>
      </c>
      <c r="AP60" s="11">
        <v>13.877000000000001</v>
      </c>
      <c r="AQ60" s="11">
        <v>313.03899999999999</v>
      </c>
      <c r="AR60" s="11">
        <v>557.303</v>
      </c>
      <c r="AS60" s="11">
        <v>109.58</v>
      </c>
      <c r="AT60" s="11">
        <v>9.6069999999999993</v>
      </c>
      <c r="AU60" s="11">
        <v>313.928</v>
      </c>
      <c r="AV60" s="11">
        <v>5.1239999999999997</v>
      </c>
      <c r="AW60" s="11">
        <v>39.966999999999999</v>
      </c>
      <c r="AX60" s="11">
        <v>254.81100000000001</v>
      </c>
      <c r="AY60" s="11">
        <v>46.124000000000002</v>
      </c>
      <c r="AZ60" s="11">
        <v>54.115000000000002</v>
      </c>
      <c r="BA60" s="11">
        <v>552.15700000000004</v>
      </c>
      <c r="BB60" s="11">
        <v>1025.0830000000001</v>
      </c>
      <c r="BC60" s="11">
        <v>18.498000000000001</v>
      </c>
      <c r="BD60" s="11">
        <v>0.65</v>
      </c>
      <c r="BE60" s="11">
        <v>109.447</v>
      </c>
      <c r="BF60" s="11">
        <v>10734.785</v>
      </c>
      <c r="BG60" s="11">
        <v>761.24</v>
      </c>
      <c r="BH60" s="11">
        <v>4962.07</v>
      </c>
      <c r="BI60" s="11">
        <v>956.93499999999995</v>
      </c>
      <c r="BJ60" s="11">
        <v>152.131</v>
      </c>
      <c r="BK60" s="11">
        <v>1.2350000000000001</v>
      </c>
      <c r="BL60" s="11">
        <v>2345.415</v>
      </c>
      <c r="BM60" s="11">
        <v>1767.5889999999999</v>
      </c>
      <c r="BN60" s="11">
        <v>1244.3399999999999</v>
      </c>
      <c r="BO60" s="11">
        <v>50.957999999999998</v>
      </c>
      <c r="BP60" s="11">
        <v>529.15099999999995</v>
      </c>
      <c r="BQ60" s="11">
        <v>173.38900000000001</v>
      </c>
      <c r="BR60" s="11">
        <v>360.76100000000002</v>
      </c>
      <c r="BS60" s="11">
        <v>9.6000000000000002E-2</v>
      </c>
      <c r="BT60" s="11">
        <v>5.274</v>
      </c>
      <c r="BU60" s="11">
        <v>14.051</v>
      </c>
      <c r="BV60" s="11">
        <v>12.523</v>
      </c>
      <c r="BW60" s="11">
        <v>37.195</v>
      </c>
      <c r="BX60" s="11">
        <v>1201.3030000000001</v>
      </c>
      <c r="BY60" s="11">
        <v>374.363</v>
      </c>
      <c r="BZ60" s="11">
        <v>42.103000000000002</v>
      </c>
      <c r="CA60" s="11">
        <v>29.942</v>
      </c>
      <c r="CB60" s="11">
        <v>27.943000000000001</v>
      </c>
      <c r="CC60" s="11">
        <v>0</v>
      </c>
      <c r="CD60" s="11">
        <v>14887.087</v>
      </c>
      <c r="CE60" s="11">
        <v>802862.07700000005</v>
      </c>
      <c r="CF60" s="11">
        <v>792673.49699999997</v>
      </c>
      <c r="CG60" s="11">
        <v>0</v>
      </c>
      <c r="CH60" s="11">
        <v>0</v>
      </c>
      <c r="CI60" s="11">
        <v>0</v>
      </c>
      <c r="CJ60" s="11">
        <v>10188.58</v>
      </c>
      <c r="CK60" s="11">
        <v>0</v>
      </c>
    </row>
    <row r="61" spans="1:89" x14ac:dyDescent="0.3">
      <c r="A61" s="7" t="s">
        <v>148</v>
      </c>
      <c r="B61" s="10">
        <v>37495.010999999999</v>
      </c>
      <c r="C61" s="10">
        <f t="shared" si="0"/>
        <v>28117.102999999999</v>
      </c>
      <c r="D61" s="10">
        <v>28117.102999999999</v>
      </c>
      <c r="E61" s="10">
        <v>0</v>
      </c>
      <c r="F61" s="10">
        <v>0.35099999999999998</v>
      </c>
      <c r="G61" s="10">
        <v>0</v>
      </c>
      <c r="H61" s="10">
        <v>0</v>
      </c>
      <c r="I61" s="10">
        <v>0</v>
      </c>
      <c r="J61" s="10">
        <v>0</v>
      </c>
      <c r="K61" s="10">
        <v>10.621</v>
      </c>
      <c r="L61" s="10">
        <v>225.04</v>
      </c>
      <c r="M61" s="10">
        <v>176.76</v>
      </c>
      <c r="N61" s="10">
        <v>48.774999999999999</v>
      </c>
      <c r="O61" s="10">
        <v>46.097000000000001</v>
      </c>
      <c r="P61" s="10">
        <v>0.13200000000000001</v>
      </c>
      <c r="Q61" s="10">
        <v>121.268</v>
      </c>
      <c r="R61" s="10">
        <v>56.6</v>
      </c>
      <c r="S61" s="10">
        <v>0.46100000000000002</v>
      </c>
      <c r="T61" s="10">
        <v>0</v>
      </c>
      <c r="U61" s="10">
        <v>0.69599999999999995</v>
      </c>
      <c r="V61" s="10">
        <v>0</v>
      </c>
      <c r="W61" s="10">
        <v>0</v>
      </c>
      <c r="X61" s="10">
        <v>50.982999999999997</v>
      </c>
      <c r="Y61" s="10">
        <v>21.625</v>
      </c>
      <c r="Z61" s="10">
        <v>0</v>
      </c>
      <c r="AA61" s="10">
        <v>127.292</v>
      </c>
      <c r="AB61" s="10">
        <v>37.104999999999997</v>
      </c>
      <c r="AC61" s="10">
        <v>100.367</v>
      </c>
      <c r="AD61" s="10">
        <v>132.59899999999999</v>
      </c>
      <c r="AE61" s="10">
        <v>49.167000000000002</v>
      </c>
      <c r="AF61" s="10">
        <v>20.780999999999999</v>
      </c>
      <c r="AG61" s="10">
        <v>18.7</v>
      </c>
      <c r="AH61" s="10">
        <v>51.158000000000001</v>
      </c>
      <c r="AI61" s="10">
        <v>132.25200000000001</v>
      </c>
      <c r="AJ61" s="10">
        <v>13.638999999999999</v>
      </c>
      <c r="AK61" s="10">
        <v>3.8479999999999999</v>
      </c>
      <c r="AL61" s="10">
        <v>0</v>
      </c>
      <c r="AM61" s="10">
        <v>179.35300000000001</v>
      </c>
      <c r="AN61" s="10">
        <v>1408.6610000000001</v>
      </c>
      <c r="AO61" s="10">
        <v>10.092000000000001</v>
      </c>
      <c r="AP61" s="10">
        <v>0</v>
      </c>
      <c r="AQ61" s="10">
        <v>0.26400000000000001</v>
      </c>
      <c r="AR61" s="10">
        <v>38.996000000000002</v>
      </c>
      <c r="AS61" s="10">
        <v>0</v>
      </c>
      <c r="AT61" s="10">
        <v>1.123</v>
      </c>
      <c r="AU61" s="10">
        <v>102.568</v>
      </c>
      <c r="AV61" s="10">
        <v>1.5489999999999999</v>
      </c>
      <c r="AW61" s="10">
        <v>6.6029999999999998</v>
      </c>
      <c r="AX61" s="10">
        <v>14.834</v>
      </c>
      <c r="AY61" s="10">
        <v>0</v>
      </c>
      <c r="AZ61" s="10">
        <v>14.039</v>
      </c>
      <c r="BA61" s="10">
        <v>26.69</v>
      </c>
      <c r="BB61" s="10">
        <v>525.30899999999997</v>
      </c>
      <c r="BC61" s="10">
        <v>5.9530000000000003</v>
      </c>
      <c r="BD61" s="10">
        <v>0</v>
      </c>
      <c r="BE61" s="10">
        <v>0</v>
      </c>
      <c r="BF61" s="10">
        <v>1203.701</v>
      </c>
      <c r="BG61" s="10">
        <v>1973.7159999999999</v>
      </c>
      <c r="BH61" s="10">
        <v>1220.421</v>
      </c>
      <c r="BI61" s="10">
        <v>94.763999999999996</v>
      </c>
      <c r="BJ61" s="10">
        <v>15.618</v>
      </c>
      <c r="BK61" s="10">
        <v>0</v>
      </c>
      <c r="BL61" s="10">
        <v>90.481999999999999</v>
      </c>
      <c r="BM61" s="10">
        <v>19115.168000000001</v>
      </c>
      <c r="BN61" s="10">
        <v>315.21199999999999</v>
      </c>
      <c r="BO61" s="10">
        <v>0</v>
      </c>
      <c r="BP61" s="10">
        <v>36.978000000000002</v>
      </c>
      <c r="BQ61" s="10">
        <v>11.817</v>
      </c>
      <c r="BR61" s="10">
        <v>17.091000000000001</v>
      </c>
      <c r="BS61" s="10">
        <v>0</v>
      </c>
      <c r="BT61" s="10">
        <v>0.97499999999999998</v>
      </c>
      <c r="BU61" s="10">
        <v>1.587</v>
      </c>
      <c r="BV61" s="10">
        <v>0</v>
      </c>
      <c r="BW61" s="10">
        <v>11.933</v>
      </c>
      <c r="BX61" s="10">
        <v>88.227999999999994</v>
      </c>
      <c r="BY61" s="10">
        <v>106.706</v>
      </c>
      <c r="BZ61" s="10">
        <v>13.602</v>
      </c>
      <c r="CA61" s="10">
        <v>14.944000000000001</v>
      </c>
      <c r="CB61" s="10">
        <v>1.8089999999999999</v>
      </c>
      <c r="CC61" s="10">
        <v>0</v>
      </c>
      <c r="CD61" s="10">
        <v>0</v>
      </c>
      <c r="CE61" s="10">
        <v>9377.9079999999994</v>
      </c>
      <c r="CF61" s="10">
        <v>9377.9079999999994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</row>
    <row r="62" spans="1:89" x14ac:dyDescent="0.3">
      <c r="A62" s="8" t="s">
        <v>149</v>
      </c>
      <c r="B62" s="11">
        <v>350698.9</v>
      </c>
      <c r="C62" s="10">
        <f t="shared" si="0"/>
        <v>91733.881999999998</v>
      </c>
      <c r="D62" s="11">
        <v>95357.228000000003</v>
      </c>
      <c r="E62" s="11">
        <v>1025.201</v>
      </c>
      <c r="F62" s="11">
        <v>6.4530000000000003</v>
      </c>
      <c r="G62" s="11">
        <v>0</v>
      </c>
      <c r="H62" s="11">
        <v>7.95</v>
      </c>
      <c r="I62" s="11">
        <v>4.7300000000000004</v>
      </c>
      <c r="J62" s="11">
        <v>3623.346</v>
      </c>
      <c r="K62" s="11">
        <v>129.976</v>
      </c>
      <c r="L62" s="11">
        <v>2973.569</v>
      </c>
      <c r="M62" s="11">
        <v>560.74800000000005</v>
      </c>
      <c r="N62" s="11">
        <v>377.51900000000001</v>
      </c>
      <c r="O62" s="11">
        <v>468.72699999999998</v>
      </c>
      <c r="P62" s="11">
        <v>73.171000000000006</v>
      </c>
      <c r="Q62" s="11">
        <v>331.15499999999997</v>
      </c>
      <c r="R62" s="11">
        <v>33.978999999999999</v>
      </c>
      <c r="S62" s="11">
        <v>18.826000000000001</v>
      </c>
      <c r="T62" s="11">
        <v>16.800999999999998</v>
      </c>
      <c r="U62" s="11">
        <v>66.126000000000005</v>
      </c>
      <c r="V62" s="11">
        <v>14.002000000000001</v>
      </c>
      <c r="W62" s="11">
        <v>13.678000000000001</v>
      </c>
      <c r="X62" s="11">
        <v>91.828999999999994</v>
      </c>
      <c r="Y62" s="11">
        <v>29.884</v>
      </c>
      <c r="Z62" s="11">
        <v>1704.8030000000001</v>
      </c>
      <c r="AA62" s="11">
        <v>328.59800000000001</v>
      </c>
      <c r="AB62" s="11">
        <v>150.958</v>
      </c>
      <c r="AC62" s="11">
        <v>243.339</v>
      </c>
      <c r="AD62" s="11">
        <v>156.411</v>
      </c>
      <c r="AE62" s="11">
        <v>130.995</v>
      </c>
      <c r="AF62" s="11">
        <v>139.239</v>
      </c>
      <c r="AG62" s="11">
        <v>560.88499999999999</v>
      </c>
      <c r="AH62" s="11">
        <v>129.69900000000001</v>
      </c>
      <c r="AI62" s="11">
        <v>1238.0309999999999</v>
      </c>
      <c r="AJ62" s="11">
        <v>19.542999999999999</v>
      </c>
      <c r="AK62" s="11">
        <v>44.076999999999998</v>
      </c>
      <c r="AL62" s="11">
        <v>5791.9840000000004</v>
      </c>
      <c r="AM62" s="11">
        <v>2366.587</v>
      </c>
      <c r="AN62" s="11">
        <v>144.68799999999999</v>
      </c>
      <c r="AO62" s="11">
        <v>67.346000000000004</v>
      </c>
      <c r="AP62" s="11">
        <v>40.256999999999998</v>
      </c>
      <c r="AQ62" s="11">
        <v>2403.5740000000001</v>
      </c>
      <c r="AR62" s="11">
        <v>696.03099999999995</v>
      </c>
      <c r="AS62" s="11">
        <v>128.06399999999999</v>
      </c>
      <c r="AT62" s="11">
        <v>6.8019999999999996</v>
      </c>
      <c r="AU62" s="11">
        <v>228.024</v>
      </c>
      <c r="AV62" s="11">
        <v>2.536</v>
      </c>
      <c r="AW62" s="11">
        <v>77.991</v>
      </c>
      <c r="AX62" s="11">
        <v>187.56899999999999</v>
      </c>
      <c r="AY62" s="11">
        <v>12.567</v>
      </c>
      <c r="AZ62" s="11">
        <v>21.233000000000001</v>
      </c>
      <c r="BA62" s="11">
        <v>241.01499999999999</v>
      </c>
      <c r="BB62" s="11">
        <v>1236.4960000000001</v>
      </c>
      <c r="BC62" s="11">
        <v>2.145</v>
      </c>
      <c r="BD62" s="11">
        <v>1.278</v>
      </c>
      <c r="BE62" s="11">
        <v>2.9289999999999998</v>
      </c>
      <c r="BF62" s="11">
        <v>2757.1709999999998</v>
      </c>
      <c r="BG62" s="11">
        <v>8.8239999999999998</v>
      </c>
      <c r="BH62" s="11">
        <v>51141.51</v>
      </c>
      <c r="BI62" s="11">
        <v>594.99699999999996</v>
      </c>
      <c r="BJ62" s="11">
        <v>61.680999999999997</v>
      </c>
      <c r="BK62" s="11">
        <v>0.96699999999999997</v>
      </c>
      <c r="BL62" s="11">
        <v>349.28199999999998</v>
      </c>
      <c r="BM62" s="11">
        <v>106.057</v>
      </c>
      <c r="BN62" s="11">
        <v>313.27699999999999</v>
      </c>
      <c r="BO62" s="11">
        <v>4.7610000000000001</v>
      </c>
      <c r="BP62" s="11">
        <v>979.37199999999996</v>
      </c>
      <c r="BQ62" s="11">
        <v>1284.1030000000001</v>
      </c>
      <c r="BR62" s="11">
        <v>1201.117</v>
      </c>
      <c r="BS62" s="11">
        <v>7.1609999999999996</v>
      </c>
      <c r="BT62" s="11">
        <v>420.04700000000003</v>
      </c>
      <c r="BU62" s="11">
        <v>24.974</v>
      </c>
      <c r="BV62" s="11">
        <v>15.472</v>
      </c>
      <c r="BW62" s="11">
        <v>40.292000000000002</v>
      </c>
      <c r="BX62" s="11">
        <v>244.10300000000001</v>
      </c>
      <c r="BY62" s="11">
        <v>18.837</v>
      </c>
      <c r="BZ62" s="11">
        <v>9.8989999999999991</v>
      </c>
      <c r="CA62" s="11">
        <v>50.811</v>
      </c>
      <c r="CB62" s="11">
        <v>32.432000000000002</v>
      </c>
      <c r="CC62" s="11">
        <v>0</v>
      </c>
      <c r="CD62" s="11">
        <v>7316.7169999999996</v>
      </c>
      <c r="CE62" s="11">
        <v>255341.67199999999</v>
      </c>
      <c r="CF62" s="11">
        <v>192184.533</v>
      </c>
      <c r="CG62" s="11">
        <v>0</v>
      </c>
      <c r="CH62" s="11">
        <v>0</v>
      </c>
      <c r="CI62" s="11">
        <v>0</v>
      </c>
      <c r="CJ62" s="11">
        <v>63157.139000000003</v>
      </c>
      <c r="CK62" s="11">
        <v>0</v>
      </c>
    </row>
    <row r="63" spans="1:89" x14ac:dyDescent="0.3">
      <c r="A63" s="7" t="s">
        <v>150</v>
      </c>
      <c r="B63" s="10">
        <v>2223705.0279999999</v>
      </c>
      <c r="C63" s="10">
        <f t="shared" si="0"/>
        <v>427491.16800000001</v>
      </c>
      <c r="D63" s="10">
        <v>427788.37</v>
      </c>
      <c r="E63" s="10">
        <v>5.0000000000000001E-3</v>
      </c>
      <c r="F63" s="10">
        <v>80.995000000000005</v>
      </c>
      <c r="G63" s="10">
        <v>0</v>
      </c>
      <c r="H63" s="10">
        <v>23.617000000000001</v>
      </c>
      <c r="I63" s="10">
        <v>46.798999999999999</v>
      </c>
      <c r="J63" s="10">
        <v>297.202</v>
      </c>
      <c r="K63" s="10">
        <v>426.096</v>
      </c>
      <c r="L63" s="10">
        <v>2151.9119999999998</v>
      </c>
      <c r="M63" s="10">
        <v>1667.1869999999999</v>
      </c>
      <c r="N63" s="10">
        <v>818.21</v>
      </c>
      <c r="O63" s="10">
        <v>975.35</v>
      </c>
      <c r="P63" s="10">
        <v>1982.9459999999999</v>
      </c>
      <c r="Q63" s="10">
        <v>14108.478999999999</v>
      </c>
      <c r="R63" s="10">
        <v>2033.33</v>
      </c>
      <c r="S63" s="10">
        <v>822.83399999999995</v>
      </c>
      <c r="T63" s="10">
        <v>717.92200000000003</v>
      </c>
      <c r="U63" s="10">
        <v>2269.8620000000001</v>
      </c>
      <c r="V63" s="10">
        <v>547.34</v>
      </c>
      <c r="W63" s="10">
        <v>572.54999999999995</v>
      </c>
      <c r="X63" s="10">
        <v>2182.2370000000001</v>
      </c>
      <c r="Y63" s="10">
        <v>1275.1659999999999</v>
      </c>
      <c r="Z63" s="10">
        <v>147.68100000000001</v>
      </c>
      <c r="AA63" s="10">
        <v>4888.473</v>
      </c>
      <c r="AB63" s="10">
        <v>4048.183</v>
      </c>
      <c r="AC63" s="10">
        <v>1862.8630000000001</v>
      </c>
      <c r="AD63" s="10">
        <v>2155.9630000000002</v>
      </c>
      <c r="AE63" s="10">
        <v>3422.09</v>
      </c>
      <c r="AF63" s="10">
        <v>2547.1010000000001</v>
      </c>
      <c r="AG63" s="10">
        <v>2233.9180000000001</v>
      </c>
      <c r="AH63" s="10">
        <v>1304.0309999999999</v>
      </c>
      <c r="AI63" s="10">
        <v>21192.210999999999</v>
      </c>
      <c r="AJ63" s="10">
        <v>1769.6510000000001</v>
      </c>
      <c r="AK63" s="10">
        <v>1540.682</v>
      </c>
      <c r="AL63" s="10">
        <v>57112.841</v>
      </c>
      <c r="AM63" s="10">
        <v>100647.518</v>
      </c>
      <c r="AN63" s="10">
        <v>1423.279</v>
      </c>
      <c r="AO63" s="10">
        <v>197.28200000000001</v>
      </c>
      <c r="AP63" s="10">
        <v>169.79900000000001</v>
      </c>
      <c r="AQ63" s="10">
        <v>935.69899999999996</v>
      </c>
      <c r="AR63" s="10">
        <v>9091.2009999999991</v>
      </c>
      <c r="AS63" s="10">
        <v>125.83</v>
      </c>
      <c r="AT63" s="10">
        <v>37.893999999999998</v>
      </c>
      <c r="AU63" s="10">
        <v>2741.9769999999999</v>
      </c>
      <c r="AV63" s="10">
        <v>55.923000000000002</v>
      </c>
      <c r="AW63" s="10">
        <v>323.90300000000002</v>
      </c>
      <c r="AX63" s="10">
        <v>3108.7489999999998</v>
      </c>
      <c r="AY63" s="10">
        <v>434.35599999999999</v>
      </c>
      <c r="AZ63" s="10">
        <v>6763.1260000000002</v>
      </c>
      <c r="BA63" s="10">
        <v>1780.9190000000001</v>
      </c>
      <c r="BB63" s="10">
        <v>30601.705000000002</v>
      </c>
      <c r="BC63" s="10">
        <v>163.09200000000001</v>
      </c>
      <c r="BD63" s="10">
        <v>131.26599999999999</v>
      </c>
      <c r="BE63" s="10">
        <v>25.986000000000001</v>
      </c>
      <c r="BF63" s="10">
        <v>22686.911</v>
      </c>
      <c r="BG63" s="10">
        <v>774.19299999999998</v>
      </c>
      <c r="BH63" s="10">
        <v>2816.8270000000002</v>
      </c>
      <c r="BI63" s="10">
        <v>8302.0589999999993</v>
      </c>
      <c r="BJ63" s="10">
        <v>1233.9939999999999</v>
      </c>
      <c r="BK63" s="10">
        <v>33.027999999999999</v>
      </c>
      <c r="BL63" s="10">
        <v>9448.9629999999997</v>
      </c>
      <c r="BM63" s="10">
        <v>3902.9949999999999</v>
      </c>
      <c r="BN63" s="10">
        <v>9570.7630000000008</v>
      </c>
      <c r="BO63" s="10">
        <v>164.571</v>
      </c>
      <c r="BP63" s="10">
        <v>8684.2199999999993</v>
      </c>
      <c r="BQ63" s="10">
        <v>6568.9489999999996</v>
      </c>
      <c r="BR63" s="10">
        <v>2992.9609999999998</v>
      </c>
      <c r="BS63" s="10">
        <v>68.852999999999994</v>
      </c>
      <c r="BT63" s="10">
        <v>484.60500000000002</v>
      </c>
      <c r="BU63" s="10">
        <v>1024.508</v>
      </c>
      <c r="BV63" s="10">
        <v>381.42</v>
      </c>
      <c r="BW63" s="10">
        <v>4157.9279999999999</v>
      </c>
      <c r="BX63" s="10">
        <v>3755.6289999999999</v>
      </c>
      <c r="BY63" s="10">
        <v>16730.999</v>
      </c>
      <c r="BZ63" s="10">
        <v>6854.5940000000001</v>
      </c>
      <c r="CA63" s="10">
        <v>6301.1980000000003</v>
      </c>
      <c r="CB63" s="10">
        <v>454.697</v>
      </c>
      <c r="CC63" s="10">
        <v>0</v>
      </c>
      <c r="CD63" s="10">
        <v>14408.273999999999</v>
      </c>
      <c r="CE63" s="10">
        <v>1795916.6580000001</v>
      </c>
      <c r="CF63" s="10">
        <v>1783017.703</v>
      </c>
      <c r="CG63" s="10">
        <v>227.27699999999999</v>
      </c>
      <c r="CH63" s="10">
        <v>86.700999999999993</v>
      </c>
      <c r="CI63" s="10">
        <v>0</v>
      </c>
      <c r="CJ63" s="10">
        <v>12584.977000000001</v>
      </c>
      <c r="CK63" s="10">
        <v>0</v>
      </c>
    </row>
    <row r="64" spans="1:89" x14ac:dyDescent="0.3">
      <c r="A64" s="8" t="s">
        <v>151</v>
      </c>
      <c r="B64" s="11">
        <v>67478.703999999998</v>
      </c>
      <c r="C64" s="10">
        <f t="shared" si="0"/>
        <v>56888.229999999996</v>
      </c>
      <c r="D64" s="11">
        <v>59645.534</v>
      </c>
      <c r="E64" s="11">
        <v>4.3970000000000002</v>
      </c>
      <c r="F64" s="11">
        <v>7.1980000000000004</v>
      </c>
      <c r="G64" s="11">
        <v>22.285</v>
      </c>
      <c r="H64" s="11">
        <v>32.752000000000002</v>
      </c>
      <c r="I64" s="11">
        <v>4.992</v>
      </c>
      <c r="J64" s="11">
        <v>2757.3040000000001</v>
      </c>
      <c r="K64" s="11">
        <v>434.43200000000002</v>
      </c>
      <c r="L64" s="11">
        <v>3964.0839999999998</v>
      </c>
      <c r="M64" s="11">
        <v>358.93799999999999</v>
      </c>
      <c r="N64" s="11">
        <v>6696.3810000000003</v>
      </c>
      <c r="O64" s="11">
        <v>3071.817</v>
      </c>
      <c r="P64" s="11">
        <v>3185.913</v>
      </c>
      <c r="Q64" s="11">
        <v>237.76300000000001</v>
      </c>
      <c r="R64" s="11">
        <v>17.369</v>
      </c>
      <c r="S64" s="11">
        <v>6.05</v>
      </c>
      <c r="T64" s="11">
        <v>10.644</v>
      </c>
      <c r="U64" s="11">
        <v>43.314</v>
      </c>
      <c r="V64" s="11">
        <v>7.2160000000000002</v>
      </c>
      <c r="W64" s="11">
        <v>13.909000000000001</v>
      </c>
      <c r="X64" s="11">
        <v>88.804000000000002</v>
      </c>
      <c r="Y64" s="11">
        <v>54.936</v>
      </c>
      <c r="Z64" s="11">
        <v>9.9260000000000002</v>
      </c>
      <c r="AA64" s="11">
        <v>266.88799999999998</v>
      </c>
      <c r="AB64" s="11">
        <v>741.21400000000006</v>
      </c>
      <c r="AC64" s="11">
        <v>266.44499999999999</v>
      </c>
      <c r="AD64" s="11">
        <v>116.357</v>
      </c>
      <c r="AE64" s="11">
        <v>106.55800000000001</v>
      </c>
      <c r="AF64" s="11">
        <v>158.226</v>
      </c>
      <c r="AG64" s="11">
        <v>666.26199999999994</v>
      </c>
      <c r="AH64" s="11">
        <v>87.584000000000003</v>
      </c>
      <c r="AI64" s="11">
        <v>4122.1819999999998</v>
      </c>
      <c r="AJ64" s="11">
        <v>19.672000000000001</v>
      </c>
      <c r="AK64" s="11">
        <v>37.700000000000003</v>
      </c>
      <c r="AL64" s="11">
        <v>1463.55</v>
      </c>
      <c r="AM64" s="11">
        <v>1447.1990000000001</v>
      </c>
      <c r="AN64" s="11">
        <v>47.883000000000003</v>
      </c>
      <c r="AO64" s="11">
        <v>41.209000000000003</v>
      </c>
      <c r="AP64" s="11">
        <v>151.95099999999999</v>
      </c>
      <c r="AQ64" s="11">
        <v>442.62099999999998</v>
      </c>
      <c r="AR64" s="11">
        <v>323.90600000000001</v>
      </c>
      <c r="AS64" s="11">
        <v>2.0099999999999998</v>
      </c>
      <c r="AT64" s="11">
        <v>20.533999999999999</v>
      </c>
      <c r="AU64" s="11">
        <v>45.47</v>
      </c>
      <c r="AV64" s="11">
        <v>0.499</v>
      </c>
      <c r="AW64" s="11">
        <v>61.686</v>
      </c>
      <c r="AX64" s="11">
        <v>81.802000000000007</v>
      </c>
      <c r="AY64" s="11">
        <v>37.064999999999998</v>
      </c>
      <c r="AZ64" s="11">
        <v>51.204999999999998</v>
      </c>
      <c r="BA64" s="11">
        <v>31.161999999999999</v>
      </c>
      <c r="BB64" s="11">
        <v>40.298999999999999</v>
      </c>
      <c r="BC64" s="11">
        <v>2.7570000000000001</v>
      </c>
      <c r="BD64" s="11">
        <v>6.2679999999999998</v>
      </c>
      <c r="BE64" s="11">
        <v>0.24399999999999999</v>
      </c>
      <c r="BF64" s="11">
        <v>405.82900000000001</v>
      </c>
      <c r="BG64" s="11">
        <v>37.476999999999997</v>
      </c>
      <c r="BH64" s="11">
        <v>411.69600000000003</v>
      </c>
      <c r="BI64" s="11">
        <v>3830.16</v>
      </c>
      <c r="BJ64" s="11">
        <v>399.69900000000001</v>
      </c>
      <c r="BK64" s="11">
        <v>0.437</v>
      </c>
      <c r="BL64" s="11">
        <v>1298.9939999999999</v>
      </c>
      <c r="BM64" s="11">
        <v>272.72800000000001</v>
      </c>
      <c r="BN64" s="11">
        <v>1838.2729999999999</v>
      </c>
      <c r="BO64" s="11">
        <v>6.65</v>
      </c>
      <c r="BP64" s="11">
        <v>2346.7910000000002</v>
      </c>
      <c r="BQ64" s="11">
        <v>2015.2650000000001</v>
      </c>
      <c r="BR64" s="11">
        <v>797.01300000000003</v>
      </c>
      <c r="BS64" s="11">
        <v>35.082000000000001</v>
      </c>
      <c r="BT64" s="11">
        <v>205.06899999999999</v>
      </c>
      <c r="BU64" s="11">
        <v>192.73</v>
      </c>
      <c r="BV64" s="11">
        <v>19.838000000000001</v>
      </c>
      <c r="BW64" s="11">
        <v>511.32799999999997</v>
      </c>
      <c r="BX64" s="11">
        <v>103.65300000000001</v>
      </c>
      <c r="BY64" s="11">
        <v>249.84899999999999</v>
      </c>
      <c r="BZ64" s="11">
        <v>128.691</v>
      </c>
      <c r="CA64" s="11">
        <v>264.142</v>
      </c>
      <c r="CB64" s="11">
        <v>343.91199999999998</v>
      </c>
      <c r="CC64" s="11">
        <v>0</v>
      </c>
      <c r="CD64" s="11">
        <v>12011.396000000001</v>
      </c>
      <c r="CE64" s="11">
        <v>7833.17</v>
      </c>
      <c r="CF64" s="11">
        <v>7627.0709999999999</v>
      </c>
      <c r="CG64" s="11">
        <v>8.2870000000000008</v>
      </c>
      <c r="CH64" s="11">
        <v>105.17400000000001</v>
      </c>
      <c r="CI64" s="11">
        <v>0</v>
      </c>
      <c r="CJ64" s="11">
        <v>92.638000000000005</v>
      </c>
      <c r="CK64" s="11">
        <v>0</v>
      </c>
    </row>
    <row r="65" spans="1:89" x14ac:dyDescent="0.3">
      <c r="A65" s="7" t="s">
        <v>152</v>
      </c>
      <c r="B65" s="10">
        <v>49973.080999999998</v>
      </c>
      <c r="C65" s="10">
        <f t="shared" si="0"/>
        <v>29735.321</v>
      </c>
      <c r="D65" s="10">
        <v>29836.058000000001</v>
      </c>
      <c r="E65" s="10">
        <v>0</v>
      </c>
      <c r="F65" s="10">
        <v>0</v>
      </c>
      <c r="G65" s="10">
        <v>0</v>
      </c>
      <c r="H65" s="10">
        <v>0</v>
      </c>
      <c r="I65" s="10">
        <v>0.59699999999999998</v>
      </c>
      <c r="J65" s="10">
        <v>100.73699999999999</v>
      </c>
      <c r="K65" s="10">
        <v>70.480999999999995</v>
      </c>
      <c r="L65" s="10">
        <v>20.033999999999999</v>
      </c>
      <c r="M65" s="10">
        <v>22.312000000000001</v>
      </c>
      <c r="N65" s="10">
        <v>4.0000000000000001E-3</v>
      </c>
      <c r="O65" s="10">
        <v>3.56</v>
      </c>
      <c r="P65" s="10">
        <v>2.4540000000000002</v>
      </c>
      <c r="Q65" s="10">
        <v>420.73099999999999</v>
      </c>
      <c r="R65" s="10">
        <v>21.024999999999999</v>
      </c>
      <c r="S65" s="10">
        <v>6.9349999999999996</v>
      </c>
      <c r="T65" s="10">
        <v>0.61899999999999999</v>
      </c>
      <c r="U65" s="10">
        <v>20.141999999999999</v>
      </c>
      <c r="V65" s="10">
        <v>4.5279999999999996</v>
      </c>
      <c r="W65" s="10">
        <v>2.5000000000000001E-2</v>
      </c>
      <c r="X65" s="10">
        <v>168.078</v>
      </c>
      <c r="Y65" s="10">
        <v>4.9359999999999999</v>
      </c>
      <c r="Z65" s="10">
        <v>10.377000000000001</v>
      </c>
      <c r="AA65" s="10">
        <v>164.08500000000001</v>
      </c>
      <c r="AB65" s="10">
        <v>211.74799999999999</v>
      </c>
      <c r="AC65" s="10">
        <v>26.965</v>
      </c>
      <c r="AD65" s="10">
        <v>18.402000000000001</v>
      </c>
      <c r="AE65" s="10">
        <v>147.613</v>
      </c>
      <c r="AF65" s="10">
        <v>430.17899999999997</v>
      </c>
      <c r="AG65" s="10">
        <v>3.3959999999999999</v>
      </c>
      <c r="AH65" s="10">
        <v>164.07599999999999</v>
      </c>
      <c r="AI65" s="10">
        <v>4198.9430000000002</v>
      </c>
      <c r="AJ65" s="10">
        <v>4.915</v>
      </c>
      <c r="AK65" s="10">
        <v>1.39</v>
      </c>
      <c r="AL65" s="10">
        <v>4009.3389999999999</v>
      </c>
      <c r="AM65" s="10">
        <v>14199.632</v>
      </c>
      <c r="AN65" s="10">
        <v>153.417</v>
      </c>
      <c r="AO65" s="10">
        <v>44.959000000000003</v>
      </c>
      <c r="AP65" s="10">
        <v>23.135999999999999</v>
      </c>
      <c r="AQ65" s="10">
        <v>8.0039999999999996</v>
      </c>
      <c r="AR65" s="10">
        <v>21.233000000000001</v>
      </c>
      <c r="AS65" s="10">
        <v>0</v>
      </c>
      <c r="AT65" s="10">
        <v>9.5000000000000001E-2</v>
      </c>
      <c r="AU65" s="10">
        <v>102.997</v>
      </c>
      <c r="AV65" s="10">
        <v>0</v>
      </c>
      <c r="AW65" s="10">
        <v>17.597000000000001</v>
      </c>
      <c r="AX65" s="10">
        <v>7.0339999999999998</v>
      </c>
      <c r="AY65" s="10">
        <v>55.609000000000002</v>
      </c>
      <c r="AZ65" s="10">
        <v>105.154</v>
      </c>
      <c r="BA65" s="10">
        <v>246.82</v>
      </c>
      <c r="BB65" s="10">
        <v>757.96500000000003</v>
      </c>
      <c r="BC65" s="10">
        <v>2.5030000000000001</v>
      </c>
      <c r="BD65" s="10">
        <v>1.0029999999999999</v>
      </c>
      <c r="BE65" s="10">
        <v>0</v>
      </c>
      <c r="BF65" s="10">
        <v>2036.627</v>
      </c>
      <c r="BG65" s="10">
        <v>11.016</v>
      </c>
      <c r="BH65" s="10">
        <v>6.94</v>
      </c>
      <c r="BI65" s="10">
        <v>156.47999999999999</v>
      </c>
      <c r="BJ65" s="10">
        <v>73.238</v>
      </c>
      <c r="BK65" s="10">
        <v>11.249000000000001</v>
      </c>
      <c r="BL65" s="10">
        <v>124.913</v>
      </c>
      <c r="BM65" s="10">
        <v>0</v>
      </c>
      <c r="BN65" s="10">
        <v>61.959000000000003</v>
      </c>
      <c r="BO65" s="10">
        <v>3.1E-2</v>
      </c>
      <c r="BP65" s="10">
        <v>105.622</v>
      </c>
      <c r="BQ65" s="10">
        <v>11.337</v>
      </c>
      <c r="BR65" s="10">
        <v>30.355</v>
      </c>
      <c r="BS65" s="10">
        <v>3.5999999999999997E-2</v>
      </c>
      <c r="BT65" s="10">
        <v>0.67400000000000004</v>
      </c>
      <c r="BU65" s="10">
        <v>17.707000000000001</v>
      </c>
      <c r="BV65" s="10">
        <v>0.80800000000000005</v>
      </c>
      <c r="BW65" s="10">
        <v>68.064999999999998</v>
      </c>
      <c r="BX65" s="10">
        <v>224.803</v>
      </c>
      <c r="BY65" s="10">
        <v>376.94099999999997</v>
      </c>
      <c r="BZ65" s="10">
        <v>2.1560000000000001</v>
      </c>
      <c r="CA65" s="10">
        <v>49.670999999999999</v>
      </c>
      <c r="CB65" s="10">
        <v>8.6010000000000009</v>
      </c>
      <c r="CC65" s="10">
        <v>0</v>
      </c>
      <c r="CD65" s="10">
        <v>451.04500000000002</v>
      </c>
      <c r="CE65" s="10">
        <v>20137.023000000001</v>
      </c>
      <c r="CF65" s="10">
        <v>0</v>
      </c>
      <c r="CG65" s="10">
        <v>0</v>
      </c>
      <c r="CH65" s="10">
        <v>10155.468000000001</v>
      </c>
      <c r="CI65" s="10">
        <v>0</v>
      </c>
      <c r="CJ65" s="10">
        <v>9981.5550000000003</v>
      </c>
      <c r="CK65" s="10">
        <v>0</v>
      </c>
    </row>
    <row r="66" spans="1:89" x14ac:dyDescent="0.3">
      <c r="A66" s="8" t="s">
        <v>153</v>
      </c>
      <c r="B66" s="11">
        <v>585847.027</v>
      </c>
      <c r="C66" s="10">
        <f t="shared" si="0"/>
        <v>430092.85700000002</v>
      </c>
      <c r="D66" s="11">
        <v>438900.87</v>
      </c>
      <c r="E66" s="11">
        <v>161.72499999999999</v>
      </c>
      <c r="F66" s="11">
        <v>420.608</v>
      </c>
      <c r="G66" s="11">
        <v>261.928</v>
      </c>
      <c r="H66" s="11">
        <v>178.93100000000001</v>
      </c>
      <c r="I66" s="11">
        <v>348.34199999999998</v>
      </c>
      <c r="J66" s="11">
        <v>8808.0130000000008</v>
      </c>
      <c r="K66" s="11">
        <v>6195.3540000000003</v>
      </c>
      <c r="L66" s="11">
        <v>3969.616</v>
      </c>
      <c r="M66" s="11">
        <v>9963.8379999999997</v>
      </c>
      <c r="N66" s="11">
        <v>23471.998</v>
      </c>
      <c r="O66" s="11">
        <v>13178.859</v>
      </c>
      <c r="P66" s="11">
        <v>5903.3389999999999</v>
      </c>
      <c r="Q66" s="11">
        <v>15995.955</v>
      </c>
      <c r="R66" s="11">
        <v>1635.2660000000001</v>
      </c>
      <c r="S66" s="11">
        <v>153.63</v>
      </c>
      <c r="T66" s="11">
        <v>143.364</v>
      </c>
      <c r="U66" s="11">
        <v>716.63099999999997</v>
      </c>
      <c r="V66" s="11">
        <v>173.43100000000001</v>
      </c>
      <c r="W66" s="11">
        <v>217.334</v>
      </c>
      <c r="X66" s="11">
        <v>1497.3920000000001</v>
      </c>
      <c r="Y66" s="11">
        <v>1079.0930000000001</v>
      </c>
      <c r="Z66" s="11">
        <v>713.548</v>
      </c>
      <c r="AA66" s="11">
        <v>5806.2539999999999</v>
      </c>
      <c r="AB66" s="11">
        <v>2186.933</v>
      </c>
      <c r="AC66" s="11">
        <v>1190.182</v>
      </c>
      <c r="AD66" s="11">
        <v>2427.3180000000002</v>
      </c>
      <c r="AE66" s="11">
        <v>2170.9780000000001</v>
      </c>
      <c r="AF66" s="11">
        <v>2955.183</v>
      </c>
      <c r="AG66" s="11">
        <v>2479.9459999999999</v>
      </c>
      <c r="AH66" s="11">
        <v>782.42499999999995</v>
      </c>
      <c r="AI66" s="11">
        <v>13252.19</v>
      </c>
      <c r="AJ66" s="11">
        <v>602.05600000000004</v>
      </c>
      <c r="AK66" s="11">
        <v>412.75400000000002</v>
      </c>
      <c r="AL66" s="11">
        <v>35400.300999999999</v>
      </c>
      <c r="AM66" s="11">
        <v>36021.421000000002</v>
      </c>
      <c r="AN66" s="11">
        <v>1193.452</v>
      </c>
      <c r="AO66" s="11">
        <v>350.63499999999999</v>
      </c>
      <c r="AP66" s="11">
        <v>178.631</v>
      </c>
      <c r="AQ66" s="11">
        <v>2382.3009999999999</v>
      </c>
      <c r="AR66" s="11">
        <v>3227.8649999999998</v>
      </c>
      <c r="AS66" s="11">
        <v>1835.6579999999999</v>
      </c>
      <c r="AT66" s="11">
        <v>54.546999999999997</v>
      </c>
      <c r="AU66" s="11">
        <v>5583.9089999999997</v>
      </c>
      <c r="AV66" s="11">
        <v>379.995</v>
      </c>
      <c r="AW66" s="11">
        <v>574.98699999999997</v>
      </c>
      <c r="AX66" s="11">
        <v>3949.9079999999999</v>
      </c>
      <c r="AY66" s="11">
        <v>904.64700000000005</v>
      </c>
      <c r="AZ66" s="11">
        <v>1933.4939999999999</v>
      </c>
      <c r="BA66" s="11">
        <v>4544.6769999999997</v>
      </c>
      <c r="BB66" s="11">
        <v>8037.1959999999999</v>
      </c>
      <c r="BC66" s="11">
        <v>419.32600000000002</v>
      </c>
      <c r="BD66" s="11">
        <v>295.53399999999999</v>
      </c>
      <c r="BE66" s="11">
        <v>135.054</v>
      </c>
      <c r="BF66" s="11">
        <v>17968.8</v>
      </c>
      <c r="BG66" s="11">
        <v>909.36</v>
      </c>
      <c r="BH66" s="11">
        <v>8179.13</v>
      </c>
      <c r="BI66" s="11">
        <v>37785.087</v>
      </c>
      <c r="BJ66" s="11">
        <v>1553.4880000000001</v>
      </c>
      <c r="BK66" s="11">
        <v>48.072000000000003</v>
      </c>
      <c r="BL66" s="11">
        <v>15662.281000000001</v>
      </c>
      <c r="BM66" s="11">
        <v>12328.029</v>
      </c>
      <c r="BN66" s="11">
        <v>14013.849</v>
      </c>
      <c r="BO66" s="11">
        <v>59.527999999999999</v>
      </c>
      <c r="BP66" s="11">
        <v>9478.0810000000001</v>
      </c>
      <c r="BQ66" s="11">
        <v>4673.7269999999999</v>
      </c>
      <c r="BR66" s="11">
        <v>5220.7280000000001</v>
      </c>
      <c r="BS66" s="11">
        <v>27.523</v>
      </c>
      <c r="BT66" s="11">
        <v>419.75799999999998</v>
      </c>
      <c r="BU66" s="11">
        <v>266.19299999999998</v>
      </c>
      <c r="BV66" s="11">
        <v>167.46799999999999</v>
      </c>
      <c r="BW66" s="11">
        <v>1022.393</v>
      </c>
      <c r="BX66" s="11">
        <v>1735.596</v>
      </c>
      <c r="BY66" s="11">
        <v>1714.7149999999999</v>
      </c>
      <c r="BZ66" s="11">
        <v>638.98599999999999</v>
      </c>
      <c r="CA66" s="11">
        <v>843.30899999999997</v>
      </c>
      <c r="CB66" s="11">
        <v>4604.5249999999996</v>
      </c>
      <c r="CC66" s="11">
        <v>0</v>
      </c>
      <c r="CD66" s="11">
        <v>62722.292000000001</v>
      </c>
      <c r="CE66" s="11">
        <v>146946.15700000001</v>
      </c>
      <c r="CF66" s="11">
        <v>45982.37</v>
      </c>
      <c r="CG66" s="11">
        <v>23932.361000000001</v>
      </c>
      <c r="CH66" s="11">
        <v>32143.307000000001</v>
      </c>
      <c r="CI66" s="11">
        <v>0</v>
      </c>
      <c r="CJ66" s="11">
        <v>44888.118999999999</v>
      </c>
      <c r="CK66" s="11">
        <v>0</v>
      </c>
    </row>
    <row r="67" spans="1:89" x14ac:dyDescent="0.3">
      <c r="A67" s="7" t="s">
        <v>154</v>
      </c>
      <c r="B67" s="10">
        <v>213764.20300000001</v>
      </c>
      <c r="C67" s="10">
        <f t="shared" si="0"/>
        <v>195454.413</v>
      </c>
      <c r="D67" s="10">
        <v>213564.39199999999</v>
      </c>
      <c r="E67" s="10">
        <v>0.59599999999999997</v>
      </c>
      <c r="F67" s="10">
        <v>3.7999999999999999E-2</v>
      </c>
      <c r="G67" s="10">
        <v>0</v>
      </c>
      <c r="H67" s="10">
        <v>0</v>
      </c>
      <c r="I67" s="10">
        <v>0</v>
      </c>
      <c r="J67" s="10">
        <v>18109.978999999999</v>
      </c>
      <c r="K67" s="10">
        <v>68.256</v>
      </c>
      <c r="L67" s="10">
        <v>1912.88</v>
      </c>
      <c r="M67" s="10">
        <v>0</v>
      </c>
      <c r="N67" s="10">
        <v>1.6E-2</v>
      </c>
      <c r="O67" s="10">
        <v>113.91800000000001</v>
      </c>
      <c r="P67" s="10">
        <v>19.61</v>
      </c>
      <c r="Q67" s="10">
        <v>157.61600000000001</v>
      </c>
      <c r="R67" s="10">
        <v>10.093999999999999</v>
      </c>
      <c r="S67" s="10">
        <v>0</v>
      </c>
      <c r="T67" s="10">
        <v>0</v>
      </c>
      <c r="U67" s="10">
        <v>0</v>
      </c>
      <c r="V67" s="10">
        <v>0</v>
      </c>
      <c r="W67" s="10">
        <v>0.01</v>
      </c>
      <c r="X67" s="10">
        <v>4.8000000000000001E-2</v>
      </c>
      <c r="Y67" s="10">
        <v>5.6000000000000001E-2</v>
      </c>
      <c r="Z67" s="10">
        <v>40471.146000000001</v>
      </c>
      <c r="AA67" s="10">
        <v>10487.009</v>
      </c>
      <c r="AB67" s="10">
        <v>1.5269999999999999</v>
      </c>
      <c r="AC67" s="10">
        <v>0</v>
      </c>
      <c r="AD67" s="10">
        <v>915.024</v>
      </c>
      <c r="AE67" s="10">
        <v>0.124</v>
      </c>
      <c r="AF67" s="10">
        <v>5.7000000000000002E-2</v>
      </c>
      <c r="AG67" s="10">
        <v>6.4000000000000001E-2</v>
      </c>
      <c r="AH67" s="10">
        <v>0.105</v>
      </c>
      <c r="AI67" s="10">
        <v>1.1990000000000001</v>
      </c>
      <c r="AJ67" s="10">
        <v>2.7E-2</v>
      </c>
      <c r="AK67" s="10">
        <v>7.2130000000000001</v>
      </c>
      <c r="AL67" s="10">
        <v>54662.012000000002</v>
      </c>
      <c r="AM67" s="10">
        <v>32824.642999999996</v>
      </c>
      <c r="AN67" s="10">
        <v>9.3859999999999992</v>
      </c>
      <c r="AO67" s="10">
        <v>40.173000000000002</v>
      </c>
      <c r="AP67" s="10">
        <v>25.326000000000001</v>
      </c>
      <c r="AQ67" s="10">
        <v>49.182000000000002</v>
      </c>
      <c r="AR67" s="10">
        <v>1130.51</v>
      </c>
      <c r="AS67" s="10">
        <v>0</v>
      </c>
      <c r="AT67" s="10">
        <v>2.0640000000000001</v>
      </c>
      <c r="AU67" s="10">
        <v>121.333</v>
      </c>
      <c r="AV67" s="10">
        <v>6.2</v>
      </c>
      <c r="AW67" s="10">
        <v>154.376</v>
      </c>
      <c r="AX67" s="10">
        <v>33.36</v>
      </c>
      <c r="AY67" s="10">
        <v>55.095999999999997</v>
      </c>
      <c r="AZ67" s="10">
        <v>51.9</v>
      </c>
      <c r="BA67" s="10">
        <v>1057.1980000000001</v>
      </c>
      <c r="BB67" s="10">
        <v>871.36300000000006</v>
      </c>
      <c r="BC67" s="10">
        <v>19.959</v>
      </c>
      <c r="BD67" s="10">
        <v>2.9350000000000001</v>
      </c>
      <c r="BE67" s="10">
        <v>3.0000000000000001E-3</v>
      </c>
      <c r="BF67" s="10">
        <v>4730.5730000000003</v>
      </c>
      <c r="BG67" s="10">
        <v>1311.0619999999999</v>
      </c>
      <c r="BH67" s="10">
        <v>17814.991999999998</v>
      </c>
      <c r="BI67" s="10">
        <v>338.83199999999999</v>
      </c>
      <c r="BJ67" s="10">
        <v>0</v>
      </c>
      <c r="BK67" s="10">
        <v>0</v>
      </c>
      <c r="BL67" s="10">
        <v>368.87400000000002</v>
      </c>
      <c r="BM67" s="10">
        <v>18643.624</v>
      </c>
      <c r="BN67" s="10">
        <v>5064.3149999999996</v>
      </c>
      <c r="BO67" s="10">
        <v>45.463999999999999</v>
      </c>
      <c r="BP67" s="10">
        <v>7.2889999999999997</v>
      </c>
      <c r="BQ67" s="10">
        <v>0.156</v>
      </c>
      <c r="BR67" s="10">
        <v>0.255</v>
      </c>
      <c r="BS67" s="10">
        <v>0</v>
      </c>
      <c r="BT67" s="10">
        <v>0.37</v>
      </c>
      <c r="BU67" s="10">
        <v>53.399000000000001</v>
      </c>
      <c r="BV67" s="10">
        <v>4.0000000000000001E-3</v>
      </c>
      <c r="BW67" s="10">
        <v>129.702</v>
      </c>
      <c r="BX67" s="10">
        <v>1640.7380000000001</v>
      </c>
      <c r="BY67" s="10">
        <v>6.0229999999999997</v>
      </c>
      <c r="BZ67" s="10">
        <v>0.14199999999999999</v>
      </c>
      <c r="CA67" s="10">
        <v>0</v>
      </c>
      <c r="CB67" s="10">
        <v>7.3179999999999996</v>
      </c>
      <c r="CC67" s="10">
        <v>0</v>
      </c>
      <c r="CD67" s="10">
        <v>7.6289999999999996</v>
      </c>
      <c r="CE67" s="10">
        <v>199.81100000000001</v>
      </c>
      <c r="CF67" s="10">
        <v>0</v>
      </c>
      <c r="CG67" s="10">
        <v>118.592</v>
      </c>
      <c r="CH67" s="10">
        <v>80.373000000000005</v>
      </c>
      <c r="CI67" s="10">
        <v>0</v>
      </c>
      <c r="CJ67" s="10">
        <v>0.84599999999999997</v>
      </c>
      <c r="CK67" s="10">
        <v>0</v>
      </c>
    </row>
    <row r="68" spans="1:89" x14ac:dyDescent="0.3">
      <c r="A68" s="8" t="s">
        <v>155</v>
      </c>
      <c r="B68" s="11">
        <v>1004832.714</v>
      </c>
      <c r="C68" s="10">
        <f t="shared" si="0"/>
        <v>916915.27799999993</v>
      </c>
      <c r="D68" s="11">
        <v>919671.45499999996</v>
      </c>
      <c r="E68" s="11">
        <v>0.17799999999999999</v>
      </c>
      <c r="F68" s="11">
        <v>176.036</v>
      </c>
      <c r="G68" s="11">
        <v>0</v>
      </c>
      <c r="H68" s="11">
        <v>474.68599999999998</v>
      </c>
      <c r="I68" s="11">
        <v>398.83</v>
      </c>
      <c r="J68" s="11">
        <v>2756.1770000000001</v>
      </c>
      <c r="K68" s="11">
        <v>16568.155999999999</v>
      </c>
      <c r="L68" s="11">
        <v>4232.2860000000001</v>
      </c>
      <c r="M68" s="11">
        <v>5980.7150000000001</v>
      </c>
      <c r="N68" s="11">
        <v>6543.1909999999998</v>
      </c>
      <c r="O68" s="11">
        <v>6976.6540000000005</v>
      </c>
      <c r="P68" s="11">
        <v>1222.799</v>
      </c>
      <c r="Q68" s="11">
        <v>31413.214</v>
      </c>
      <c r="R68" s="11">
        <v>11210.236000000001</v>
      </c>
      <c r="S68" s="11">
        <v>2325.9569999999999</v>
      </c>
      <c r="T68" s="11">
        <v>863.62699999999995</v>
      </c>
      <c r="U68" s="11">
        <v>3800.2579999999998</v>
      </c>
      <c r="V68" s="11">
        <v>1716.412</v>
      </c>
      <c r="W68" s="11">
        <v>839.37400000000002</v>
      </c>
      <c r="X68" s="11">
        <v>7995.6559999999999</v>
      </c>
      <c r="Y68" s="11">
        <v>2991.0509999999999</v>
      </c>
      <c r="Z68" s="11">
        <v>4485.277</v>
      </c>
      <c r="AA68" s="11">
        <v>17121.239000000001</v>
      </c>
      <c r="AB68" s="11">
        <v>23256.413</v>
      </c>
      <c r="AC68" s="11">
        <v>10772.376</v>
      </c>
      <c r="AD68" s="11">
        <v>20825.348999999998</v>
      </c>
      <c r="AE68" s="11">
        <v>10879.111999999999</v>
      </c>
      <c r="AF68" s="11">
        <v>11839.406000000001</v>
      </c>
      <c r="AG68" s="11">
        <v>12647.471</v>
      </c>
      <c r="AH68" s="11">
        <v>12436.282999999999</v>
      </c>
      <c r="AI68" s="11">
        <v>59352.521000000001</v>
      </c>
      <c r="AJ68" s="11">
        <v>1591.4829999999999</v>
      </c>
      <c r="AK68" s="11">
        <v>3173.0810000000001</v>
      </c>
      <c r="AL68" s="11">
        <v>133370.66200000001</v>
      </c>
      <c r="AM68" s="11">
        <v>66056.626999999993</v>
      </c>
      <c r="AN68" s="11">
        <v>7651.9430000000002</v>
      </c>
      <c r="AO68" s="11">
        <v>1585.5509999999999</v>
      </c>
      <c r="AP68" s="11">
        <v>364.315</v>
      </c>
      <c r="AQ68" s="11">
        <v>3256.0990000000002</v>
      </c>
      <c r="AR68" s="11">
        <v>4424.5349999999999</v>
      </c>
      <c r="AS68" s="11">
        <v>1198.297</v>
      </c>
      <c r="AT68" s="11">
        <v>109.20699999999999</v>
      </c>
      <c r="AU68" s="11">
        <v>8668.5259999999998</v>
      </c>
      <c r="AV68" s="11">
        <v>48.103999999999999</v>
      </c>
      <c r="AW68" s="11">
        <v>1187.7829999999999</v>
      </c>
      <c r="AX68" s="11">
        <v>3189.3620000000001</v>
      </c>
      <c r="AY68" s="11">
        <v>2153.0390000000002</v>
      </c>
      <c r="AZ68" s="11">
        <v>1824.739</v>
      </c>
      <c r="BA68" s="11">
        <v>6740.7340000000004</v>
      </c>
      <c r="BB68" s="11">
        <v>30262.821</v>
      </c>
      <c r="BC68" s="11">
        <v>1506.5550000000001</v>
      </c>
      <c r="BD68" s="11">
        <v>228.19</v>
      </c>
      <c r="BE68" s="11">
        <v>602.84400000000005</v>
      </c>
      <c r="BF68" s="11">
        <v>92043.626000000004</v>
      </c>
      <c r="BG68" s="11">
        <v>4570.8280000000004</v>
      </c>
      <c r="BH68" s="11">
        <v>42984.754999999997</v>
      </c>
      <c r="BI68" s="11">
        <v>8772.1939999999995</v>
      </c>
      <c r="BJ68" s="11">
        <v>1682.913</v>
      </c>
      <c r="BK68" s="11">
        <v>46.186</v>
      </c>
      <c r="BL68" s="11">
        <v>13233.241</v>
      </c>
      <c r="BM68" s="11">
        <v>2917.2930000000001</v>
      </c>
      <c r="BN68" s="11">
        <v>20729.400000000001</v>
      </c>
      <c r="BO68" s="11">
        <v>639.48400000000004</v>
      </c>
      <c r="BP68" s="11">
        <v>14082.023999999999</v>
      </c>
      <c r="BQ68" s="11">
        <v>7946.1109999999999</v>
      </c>
      <c r="BR68" s="11">
        <v>14409.897999999999</v>
      </c>
      <c r="BS68" s="11">
        <v>67.314999999999998</v>
      </c>
      <c r="BT68" s="11">
        <v>2069.8159999999998</v>
      </c>
      <c r="BU68" s="11">
        <v>2846.0010000000002</v>
      </c>
      <c r="BV68" s="11">
        <v>1283.4870000000001</v>
      </c>
      <c r="BW68" s="11">
        <v>5674.68</v>
      </c>
      <c r="BX68" s="11">
        <v>29724.146000000001</v>
      </c>
      <c r="BY68" s="11">
        <v>16023.575000000001</v>
      </c>
      <c r="BZ68" s="11">
        <v>1510.7760000000001</v>
      </c>
      <c r="CA68" s="11">
        <v>1269.42</v>
      </c>
      <c r="CB68" s="11">
        <v>2454.9169999999999</v>
      </c>
      <c r="CC68" s="11">
        <v>0</v>
      </c>
      <c r="CD68" s="11">
        <v>61393.932000000001</v>
      </c>
      <c r="CE68" s="11">
        <v>85161.259000000005</v>
      </c>
      <c r="CF68" s="11">
        <v>60911.514999999999</v>
      </c>
      <c r="CG68" s="11">
        <v>35.780999999999999</v>
      </c>
      <c r="CH68" s="11">
        <v>323.68799999999999</v>
      </c>
      <c r="CI68" s="11">
        <v>0</v>
      </c>
      <c r="CJ68" s="11">
        <v>23890.275000000001</v>
      </c>
      <c r="CK68" s="11">
        <v>0</v>
      </c>
    </row>
    <row r="69" spans="1:89" x14ac:dyDescent="0.3">
      <c r="A69" s="7" t="s">
        <v>156</v>
      </c>
      <c r="B69" s="10">
        <v>25565.493999999999</v>
      </c>
      <c r="C69" s="10">
        <f t="shared" si="0"/>
        <v>25496.834999999999</v>
      </c>
      <c r="D69" s="10">
        <v>25496.837</v>
      </c>
      <c r="E69" s="10">
        <v>1E-3</v>
      </c>
      <c r="F69" s="10">
        <v>0</v>
      </c>
      <c r="G69" s="10">
        <v>0</v>
      </c>
      <c r="H69" s="10">
        <v>0</v>
      </c>
      <c r="I69" s="10">
        <v>0</v>
      </c>
      <c r="J69" s="10">
        <v>2E-3</v>
      </c>
      <c r="K69" s="10">
        <v>13.1</v>
      </c>
      <c r="L69" s="10">
        <v>0</v>
      </c>
      <c r="M69" s="10">
        <v>0</v>
      </c>
      <c r="N69" s="10">
        <v>1318.5119999999999</v>
      </c>
      <c r="O69" s="10">
        <v>2194.1469999999999</v>
      </c>
      <c r="P69" s="10">
        <v>5.4969999999999999</v>
      </c>
      <c r="Q69" s="10">
        <v>2801.1350000000002</v>
      </c>
      <c r="R69" s="10">
        <v>479.428</v>
      </c>
      <c r="S69" s="10">
        <v>6.0000000000000001E-3</v>
      </c>
      <c r="T69" s="10">
        <v>0</v>
      </c>
      <c r="U69" s="10">
        <v>0</v>
      </c>
      <c r="V69" s="10">
        <v>0</v>
      </c>
      <c r="W69" s="10">
        <v>25.619</v>
      </c>
      <c r="X69" s="10">
        <v>240.279</v>
      </c>
      <c r="Y69" s="10">
        <v>73.168999999999997</v>
      </c>
      <c r="Z69" s="10">
        <v>86.471999999999994</v>
      </c>
      <c r="AA69" s="10">
        <v>446.24</v>
      </c>
      <c r="AB69" s="10">
        <v>191.16900000000001</v>
      </c>
      <c r="AC69" s="10">
        <v>3.0000000000000001E-3</v>
      </c>
      <c r="AD69" s="10">
        <v>866.16899999999998</v>
      </c>
      <c r="AE69" s="10">
        <v>338.55900000000003</v>
      </c>
      <c r="AF69" s="10">
        <v>305.78399999999999</v>
      </c>
      <c r="AG69" s="10">
        <v>255.471</v>
      </c>
      <c r="AH69" s="10">
        <v>108.828</v>
      </c>
      <c r="AI69" s="10">
        <v>3721.6030000000001</v>
      </c>
      <c r="AJ69" s="10">
        <v>26.85</v>
      </c>
      <c r="AK69" s="10">
        <v>34.497999999999998</v>
      </c>
      <c r="AL69" s="10">
        <v>15.173999999999999</v>
      </c>
      <c r="AM69" s="10">
        <v>0.22500000000000001</v>
      </c>
      <c r="AN69" s="10">
        <v>722.75900000000001</v>
      </c>
      <c r="AO69" s="10">
        <v>213.97200000000001</v>
      </c>
      <c r="AP69" s="10">
        <v>24.478000000000002</v>
      </c>
      <c r="AQ69" s="10">
        <v>256.22300000000001</v>
      </c>
      <c r="AR69" s="10">
        <v>851.46799999999996</v>
      </c>
      <c r="AS69" s="10">
        <v>293.75</v>
      </c>
      <c r="AT69" s="10">
        <v>1.4690000000000001</v>
      </c>
      <c r="AU69" s="10">
        <v>618.37400000000002</v>
      </c>
      <c r="AV69" s="10">
        <v>12.058</v>
      </c>
      <c r="AW69" s="10">
        <v>66.39</v>
      </c>
      <c r="AX69" s="10">
        <v>238.32499999999999</v>
      </c>
      <c r="AY69" s="10">
        <v>66.777000000000001</v>
      </c>
      <c r="AZ69" s="10">
        <v>171.76499999999999</v>
      </c>
      <c r="BA69" s="10">
        <v>660.00400000000002</v>
      </c>
      <c r="BB69" s="10">
        <v>3602.5070000000001</v>
      </c>
      <c r="BC69" s="10">
        <v>19.591999999999999</v>
      </c>
      <c r="BD69" s="10">
        <v>109.994</v>
      </c>
      <c r="BE69" s="10">
        <v>0</v>
      </c>
      <c r="BF69" s="10">
        <v>6.9000000000000006E-2</v>
      </c>
      <c r="BG69" s="10">
        <v>1E-3</v>
      </c>
      <c r="BH69" s="10">
        <v>999.95799999999997</v>
      </c>
      <c r="BI69" s="10">
        <v>1494.979</v>
      </c>
      <c r="BJ69" s="10">
        <v>30.645</v>
      </c>
      <c r="BK69" s="10">
        <v>1.8160000000000001</v>
      </c>
      <c r="BL69" s="10">
        <v>292.29500000000002</v>
      </c>
      <c r="BM69" s="10">
        <v>0</v>
      </c>
      <c r="BN69" s="10">
        <v>8.9999999999999993E-3</v>
      </c>
      <c r="BO69" s="10">
        <v>0.66700000000000004</v>
      </c>
      <c r="BP69" s="10">
        <v>29.873000000000001</v>
      </c>
      <c r="BQ69" s="10">
        <v>540.298</v>
      </c>
      <c r="BR69" s="10">
        <v>287.012</v>
      </c>
      <c r="BS69" s="10">
        <v>8.0000000000000002E-3</v>
      </c>
      <c r="BT69" s="10">
        <v>7.2539999999999996</v>
      </c>
      <c r="BU69" s="10">
        <v>47.500999999999998</v>
      </c>
      <c r="BV69" s="10">
        <v>0.71699999999999997</v>
      </c>
      <c r="BW69" s="10">
        <v>4.7460000000000004</v>
      </c>
      <c r="BX69" s="10">
        <v>21.658000000000001</v>
      </c>
      <c r="BY69" s="10">
        <v>0.156</v>
      </c>
      <c r="BZ69" s="10">
        <v>0.04</v>
      </c>
      <c r="CA69" s="10">
        <v>6.093</v>
      </c>
      <c r="CB69" s="10">
        <v>4.3999999999999997E-2</v>
      </c>
      <c r="CC69" s="10">
        <v>0</v>
      </c>
      <c r="CD69" s="10">
        <v>253.15299999999999</v>
      </c>
      <c r="CE69" s="10">
        <v>68.656999999999996</v>
      </c>
      <c r="CF69" s="10">
        <v>60.002000000000002</v>
      </c>
      <c r="CG69" s="10">
        <v>0.32300000000000001</v>
      </c>
      <c r="CH69" s="10">
        <v>8.2829999999999995</v>
      </c>
      <c r="CI69" s="10">
        <v>0</v>
      </c>
      <c r="CJ69" s="10">
        <v>4.9000000000000002E-2</v>
      </c>
      <c r="CK69" s="10">
        <v>0</v>
      </c>
    </row>
    <row r="70" spans="1:89" x14ac:dyDescent="0.3">
      <c r="A70" s="8" t="s">
        <v>157</v>
      </c>
      <c r="B70" s="11">
        <v>1019391.83</v>
      </c>
      <c r="C70" s="10">
        <f t="shared" si="0"/>
        <v>12994.829</v>
      </c>
      <c r="D70" s="11">
        <v>13040.911</v>
      </c>
      <c r="E70" s="11">
        <v>0.17599999999999999</v>
      </c>
      <c r="F70" s="11">
        <v>0.57399999999999995</v>
      </c>
      <c r="G70" s="11">
        <v>0</v>
      </c>
      <c r="H70" s="11">
        <v>1.59</v>
      </c>
      <c r="I70" s="11">
        <v>8.4469999999999992</v>
      </c>
      <c r="J70" s="11">
        <v>46.082000000000001</v>
      </c>
      <c r="K70" s="11">
        <v>16.161000000000001</v>
      </c>
      <c r="L70" s="11">
        <v>0.89</v>
      </c>
      <c r="M70" s="11">
        <v>5.08</v>
      </c>
      <c r="N70" s="11">
        <v>23.952999999999999</v>
      </c>
      <c r="O70" s="11">
        <v>41.411999999999999</v>
      </c>
      <c r="P70" s="11">
        <v>4.8570000000000002</v>
      </c>
      <c r="Q70" s="11">
        <v>171.697</v>
      </c>
      <c r="R70" s="11">
        <v>25.878</v>
      </c>
      <c r="S70" s="11">
        <v>0</v>
      </c>
      <c r="T70" s="11">
        <v>7.4470000000000001</v>
      </c>
      <c r="U70" s="11">
        <v>3.2639999999999998</v>
      </c>
      <c r="V70" s="11">
        <v>0.71699999999999997</v>
      </c>
      <c r="W70" s="11">
        <v>1.2609999999999999</v>
      </c>
      <c r="X70" s="11">
        <v>16.936</v>
      </c>
      <c r="Y70" s="11">
        <v>5.6360000000000001</v>
      </c>
      <c r="Z70" s="11">
        <v>0</v>
      </c>
      <c r="AA70" s="11">
        <v>45.322000000000003</v>
      </c>
      <c r="AB70" s="11">
        <v>0.11</v>
      </c>
      <c r="AC70" s="11">
        <v>1.728</v>
      </c>
      <c r="AD70" s="11">
        <v>39.828000000000003</v>
      </c>
      <c r="AE70" s="11">
        <v>20.603999999999999</v>
      </c>
      <c r="AF70" s="11">
        <v>30.77</v>
      </c>
      <c r="AG70" s="11">
        <v>329.63200000000001</v>
      </c>
      <c r="AH70" s="11">
        <v>91.105999999999995</v>
      </c>
      <c r="AI70" s="11">
        <v>4141.799</v>
      </c>
      <c r="AJ70" s="11">
        <v>2.6150000000000002</v>
      </c>
      <c r="AK70" s="11">
        <v>12.983000000000001</v>
      </c>
      <c r="AL70" s="11">
        <v>8.9700000000000006</v>
      </c>
      <c r="AM70" s="11">
        <v>5.6349999999999998</v>
      </c>
      <c r="AN70" s="11">
        <v>196.494</v>
      </c>
      <c r="AO70" s="11">
        <v>1.171</v>
      </c>
      <c r="AP70" s="11">
        <v>0.71699999999999997</v>
      </c>
      <c r="AQ70" s="11">
        <v>86.378</v>
      </c>
      <c r="AR70" s="11">
        <v>105.36499999999999</v>
      </c>
      <c r="AS70" s="11">
        <v>15.327999999999999</v>
      </c>
      <c r="AT70" s="11">
        <v>1.466</v>
      </c>
      <c r="AU70" s="11">
        <v>163.54900000000001</v>
      </c>
      <c r="AV70" s="11">
        <v>1.946</v>
      </c>
      <c r="AW70" s="11">
        <v>23.884</v>
      </c>
      <c r="AX70" s="11">
        <v>88.722999999999999</v>
      </c>
      <c r="AY70" s="11">
        <v>23.379000000000001</v>
      </c>
      <c r="AZ70" s="11">
        <v>54.386000000000003</v>
      </c>
      <c r="BA70" s="11">
        <v>35.292000000000002</v>
      </c>
      <c r="BB70" s="11">
        <v>778.01800000000003</v>
      </c>
      <c r="BC70" s="11">
        <v>5.6660000000000004</v>
      </c>
      <c r="BD70" s="11">
        <v>2.5209999999999999</v>
      </c>
      <c r="BE70" s="11">
        <v>8.9999999999999993E-3</v>
      </c>
      <c r="BF70" s="11">
        <v>47.335000000000001</v>
      </c>
      <c r="BG70" s="11">
        <v>6.8000000000000005E-2</v>
      </c>
      <c r="BH70" s="11">
        <v>0.67100000000000004</v>
      </c>
      <c r="BI70" s="11">
        <v>756.56200000000001</v>
      </c>
      <c r="BJ70" s="11">
        <v>60.945</v>
      </c>
      <c r="BK70" s="11">
        <v>0.60599999999999998</v>
      </c>
      <c r="BL70" s="11">
        <v>728.46100000000001</v>
      </c>
      <c r="BM70" s="11">
        <v>0</v>
      </c>
      <c r="BN70" s="11">
        <v>727.69299999999998</v>
      </c>
      <c r="BO70" s="11">
        <v>0.115</v>
      </c>
      <c r="BP70" s="11">
        <v>941.58</v>
      </c>
      <c r="BQ70" s="11">
        <v>141.96899999999999</v>
      </c>
      <c r="BR70" s="11">
        <v>76.683000000000007</v>
      </c>
      <c r="BS70" s="11">
        <v>7.3559999999999999</v>
      </c>
      <c r="BT70" s="11">
        <v>14.004</v>
      </c>
      <c r="BU70" s="11">
        <v>21.030999999999999</v>
      </c>
      <c r="BV70" s="11">
        <v>20.72</v>
      </c>
      <c r="BW70" s="11">
        <v>93.733000000000004</v>
      </c>
      <c r="BX70" s="11">
        <v>3.9319999999999999</v>
      </c>
      <c r="BY70" s="11">
        <v>7.7619999999999996</v>
      </c>
      <c r="BZ70" s="11">
        <v>1.5840000000000001</v>
      </c>
      <c r="CA70" s="11">
        <v>0.71499999999999997</v>
      </c>
      <c r="CB70" s="11">
        <v>89.706000000000003</v>
      </c>
      <c r="CC70" s="11">
        <v>0</v>
      </c>
      <c r="CD70" s="11">
        <v>2600.2280000000001</v>
      </c>
      <c r="CE70" s="11">
        <v>1006350.919</v>
      </c>
      <c r="CF70" s="11">
        <v>251086.587</v>
      </c>
      <c r="CG70" s="11">
        <v>754403.06099999999</v>
      </c>
      <c r="CH70" s="11">
        <v>256.209</v>
      </c>
      <c r="CI70" s="11">
        <v>0</v>
      </c>
      <c r="CJ70" s="11">
        <v>605.06200000000001</v>
      </c>
      <c r="CK70" s="11">
        <v>0</v>
      </c>
    </row>
    <row r="71" spans="1:89" x14ac:dyDescent="0.3">
      <c r="A71" s="7" t="s">
        <v>158</v>
      </c>
      <c r="B71" s="10">
        <v>355508.67099999997</v>
      </c>
      <c r="C71" s="10">
        <f t="shared" si="0"/>
        <v>13374.485000000001</v>
      </c>
      <c r="D71" s="10">
        <v>13374.679</v>
      </c>
      <c r="E71" s="10">
        <v>0.13700000000000001</v>
      </c>
      <c r="F71" s="10">
        <v>8.0000000000000002E-3</v>
      </c>
      <c r="G71" s="10">
        <v>0</v>
      </c>
      <c r="H71" s="10">
        <v>0</v>
      </c>
      <c r="I71" s="10">
        <v>0</v>
      </c>
      <c r="J71" s="10">
        <v>0.19400000000000001</v>
      </c>
      <c r="K71" s="10">
        <v>2.226</v>
      </c>
      <c r="L71" s="10">
        <v>0</v>
      </c>
      <c r="M71" s="10">
        <v>0</v>
      </c>
      <c r="N71" s="10">
        <v>1.85</v>
      </c>
      <c r="O71" s="10">
        <v>0.28299999999999997</v>
      </c>
      <c r="P71" s="10">
        <v>0</v>
      </c>
      <c r="Q71" s="10">
        <v>8.5000000000000006E-2</v>
      </c>
      <c r="R71" s="10">
        <v>5.0000000000000001E-3</v>
      </c>
      <c r="S71" s="10">
        <v>0</v>
      </c>
      <c r="T71" s="10">
        <v>0</v>
      </c>
      <c r="U71" s="10">
        <v>2E-3</v>
      </c>
      <c r="V71" s="10">
        <v>0</v>
      </c>
      <c r="W71" s="10">
        <v>1E-3</v>
      </c>
      <c r="X71" s="10">
        <v>1.0999999999999999E-2</v>
      </c>
      <c r="Y71" s="10">
        <v>5.5E-2</v>
      </c>
      <c r="Z71" s="10">
        <v>0</v>
      </c>
      <c r="AA71" s="10">
        <v>7.0000000000000001E-3</v>
      </c>
      <c r="AB71" s="10">
        <v>0</v>
      </c>
      <c r="AC71" s="10">
        <v>0</v>
      </c>
      <c r="AD71" s="10">
        <v>0.189</v>
      </c>
      <c r="AE71" s="10">
        <v>5.2999999999999999E-2</v>
      </c>
      <c r="AF71" s="10">
        <v>0.01</v>
      </c>
      <c r="AG71" s="10">
        <v>1.4E-2</v>
      </c>
      <c r="AH71" s="10">
        <v>2.3E-2</v>
      </c>
      <c r="AI71" s="10">
        <v>0.60299999999999998</v>
      </c>
      <c r="AJ71" s="10">
        <v>6.0000000000000001E-3</v>
      </c>
      <c r="AK71" s="10">
        <v>2E-3</v>
      </c>
      <c r="AL71" s="10">
        <v>5.0000000000000001E-3</v>
      </c>
      <c r="AM71" s="10">
        <v>5.0369999999999999</v>
      </c>
      <c r="AN71" s="10">
        <v>0</v>
      </c>
      <c r="AO71" s="10">
        <v>0</v>
      </c>
      <c r="AP71" s="10">
        <v>0</v>
      </c>
      <c r="AQ71" s="10">
        <v>1188.211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0.35699999999999998</v>
      </c>
      <c r="BA71" s="10">
        <v>7.0000000000000001E-3</v>
      </c>
      <c r="BB71" s="10">
        <v>0</v>
      </c>
      <c r="BC71" s="10">
        <v>0</v>
      </c>
      <c r="BD71" s="10">
        <v>0</v>
      </c>
      <c r="BE71" s="10">
        <v>6.0000000000000001E-3</v>
      </c>
      <c r="BF71" s="10">
        <v>2.1080000000000001</v>
      </c>
      <c r="BG71" s="10">
        <v>4.2000000000000003E-2</v>
      </c>
      <c r="BH71" s="10">
        <v>4968.9889999999996</v>
      </c>
      <c r="BI71" s="10">
        <v>0.219</v>
      </c>
      <c r="BJ71" s="10">
        <v>8.9999999999999993E-3</v>
      </c>
      <c r="BK71" s="10">
        <v>0</v>
      </c>
      <c r="BL71" s="10">
        <v>2.609</v>
      </c>
      <c r="BM71" s="10">
        <v>2.1429999999999998</v>
      </c>
      <c r="BN71" s="10">
        <v>1.2350000000000001</v>
      </c>
      <c r="BO71" s="10">
        <v>0</v>
      </c>
      <c r="BP71" s="10">
        <v>20.122</v>
      </c>
      <c r="BQ71" s="10">
        <v>1253.481</v>
      </c>
      <c r="BR71" s="10">
        <v>5663.96</v>
      </c>
      <c r="BS71" s="10">
        <v>167.74799999999999</v>
      </c>
      <c r="BT71" s="10">
        <v>26.594999999999999</v>
      </c>
      <c r="BU71" s="10">
        <v>0</v>
      </c>
      <c r="BV71" s="10">
        <v>6.0000000000000001E-3</v>
      </c>
      <c r="BW71" s="10">
        <v>2.4E-2</v>
      </c>
      <c r="BX71" s="10">
        <v>48.704999999999998</v>
      </c>
      <c r="BY71" s="10">
        <v>0.376</v>
      </c>
      <c r="BZ71" s="10">
        <v>8.3000000000000004E-2</v>
      </c>
      <c r="CA71" s="10">
        <v>0.26700000000000002</v>
      </c>
      <c r="CB71" s="10">
        <v>5.9749999999999996</v>
      </c>
      <c r="CC71" s="10">
        <v>0</v>
      </c>
      <c r="CD71" s="10">
        <v>10.596</v>
      </c>
      <c r="CE71" s="10">
        <v>342133.99200000003</v>
      </c>
      <c r="CF71" s="10">
        <v>122650.50900000001</v>
      </c>
      <c r="CG71" s="10">
        <v>219250.40400000001</v>
      </c>
      <c r="CH71" s="10">
        <v>231.61699999999999</v>
      </c>
      <c r="CI71" s="10">
        <v>0</v>
      </c>
      <c r="CJ71" s="10">
        <v>1.462</v>
      </c>
      <c r="CK71" s="10">
        <v>0</v>
      </c>
    </row>
    <row r="72" spans="1:89" x14ac:dyDescent="0.3">
      <c r="A72" s="8" t="s">
        <v>159</v>
      </c>
      <c r="B72" s="11">
        <v>458773.20400000003</v>
      </c>
      <c r="C72" s="10">
        <f t="shared" ref="C72:C115" si="1">D72-J72</f>
        <v>28920.258999999998</v>
      </c>
      <c r="D72" s="11">
        <v>28920.317999999999</v>
      </c>
      <c r="E72" s="11">
        <v>4.1000000000000002E-2</v>
      </c>
      <c r="F72" s="11">
        <v>2E-3</v>
      </c>
      <c r="G72" s="11">
        <v>0</v>
      </c>
      <c r="H72" s="11">
        <v>0</v>
      </c>
      <c r="I72" s="11">
        <v>0</v>
      </c>
      <c r="J72" s="11">
        <v>5.8999999999999997E-2</v>
      </c>
      <c r="K72" s="11">
        <v>0</v>
      </c>
      <c r="L72" s="11">
        <v>0</v>
      </c>
      <c r="M72" s="11">
        <v>0</v>
      </c>
      <c r="N72" s="11">
        <v>0.14399999999999999</v>
      </c>
      <c r="O72" s="11">
        <v>0.1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3.0000000000000001E-3</v>
      </c>
      <c r="Y72" s="11">
        <v>7.0000000000000001E-3</v>
      </c>
      <c r="Z72" s="11">
        <v>0</v>
      </c>
      <c r="AA72" s="11">
        <v>64.771000000000001</v>
      </c>
      <c r="AB72" s="11">
        <v>0</v>
      </c>
      <c r="AC72" s="11">
        <v>0</v>
      </c>
      <c r="AD72" s="11">
        <v>8.9999999999999993E-3</v>
      </c>
      <c r="AE72" s="11">
        <v>7.0000000000000001E-3</v>
      </c>
      <c r="AF72" s="11">
        <v>2E-3</v>
      </c>
      <c r="AG72" s="11">
        <v>3.0000000000000001E-3</v>
      </c>
      <c r="AH72" s="11">
        <v>7.0000000000000001E-3</v>
      </c>
      <c r="AI72" s="11">
        <v>0.21099999999999999</v>
      </c>
      <c r="AJ72" s="11">
        <v>2E-3</v>
      </c>
      <c r="AK72" s="11">
        <v>1E-3</v>
      </c>
      <c r="AL72" s="11">
        <v>0</v>
      </c>
      <c r="AM72" s="11">
        <v>0.16600000000000001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0.13400000000000001</v>
      </c>
      <c r="BA72" s="11">
        <v>2E-3</v>
      </c>
      <c r="BB72" s="11">
        <v>0</v>
      </c>
      <c r="BC72" s="11">
        <v>0</v>
      </c>
      <c r="BD72" s="11">
        <v>0</v>
      </c>
      <c r="BE72" s="11">
        <v>2E-3</v>
      </c>
      <c r="BF72" s="11">
        <v>0.78400000000000003</v>
      </c>
      <c r="BG72" s="11">
        <v>1.7000000000000001E-2</v>
      </c>
      <c r="BH72" s="11">
        <v>20712.918000000001</v>
      </c>
      <c r="BI72" s="11">
        <v>7.9000000000000001E-2</v>
      </c>
      <c r="BJ72" s="11">
        <v>0</v>
      </c>
      <c r="BK72" s="11">
        <v>0</v>
      </c>
      <c r="BL72" s="11">
        <v>8.7999999999999995E-2</v>
      </c>
      <c r="BM72" s="11">
        <v>0</v>
      </c>
      <c r="BN72" s="11">
        <v>1.2999999999999999E-2</v>
      </c>
      <c r="BO72" s="11">
        <v>0</v>
      </c>
      <c r="BP72" s="11">
        <v>1.127</v>
      </c>
      <c r="BQ72" s="11">
        <v>5.8369999999999997</v>
      </c>
      <c r="BR72" s="11">
        <v>7894.0940000000001</v>
      </c>
      <c r="BS72" s="11">
        <v>22.928999999999998</v>
      </c>
      <c r="BT72" s="11">
        <v>6.0000000000000001E-3</v>
      </c>
      <c r="BU72" s="11">
        <v>0</v>
      </c>
      <c r="BV72" s="11">
        <v>2E-3</v>
      </c>
      <c r="BW72" s="11">
        <v>0</v>
      </c>
      <c r="BX72" s="11">
        <v>0</v>
      </c>
      <c r="BY72" s="11">
        <v>1.7000000000000001E-2</v>
      </c>
      <c r="BZ72" s="11">
        <v>0</v>
      </c>
      <c r="CA72" s="11">
        <v>1.4999999999999999E-2</v>
      </c>
      <c r="CB72" s="11">
        <v>0.219</v>
      </c>
      <c r="CC72" s="11">
        <v>0</v>
      </c>
      <c r="CD72" s="11">
        <v>216.5</v>
      </c>
      <c r="CE72" s="11">
        <v>429852.886</v>
      </c>
      <c r="CF72" s="11">
        <v>78127.148000000001</v>
      </c>
      <c r="CG72" s="11">
        <v>350854.49200000003</v>
      </c>
      <c r="CH72" s="11">
        <v>40.005000000000003</v>
      </c>
      <c r="CI72" s="11">
        <v>0</v>
      </c>
      <c r="CJ72" s="11">
        <v>831.24099999999999</v>
      </c>
      <c r="CK72" s="11">
        <v>0</v>
      </c>
    </row>
    <row r="73" spans="1:89" x14ac:dyDescent="0.3">
      <c r="A73" s="7" t="s">
        <v>160</v>
      </c>
      <c r="B73" s="10">
        <v>4578.88</v>
      </c>
      <c r="C73" s="10">
        <f t="shared" si="1"/>
        <v>44.575000000000003</v>
      </c>
      <c r="D73" s="10">
        <v>44.575000000000003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0.129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0.04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0.01</v>
      </c>
      <c r="BO73" s="10">
        <v>0</v>
      </c>
      <c r="BP73" s="10">
        <v>0</v>
      </c>
      <c r="BQ73" s="10">
        <v>8.5000000000000006E-2</v>
      </c>
      <c r="BR73" s="10">
        <v>8.9999999999999993E-3</v>
      </c>
      <c r="BS73" s="10">
        <v>44.253</v>
      </c>
      <c r="BT73" s="10">
        <v>4.7E-2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1E-3</v>
      </c>
      <c r="CA73" s="10">
        <v>0</v>
      </c>
      <c r="CB73" s="10">
        <v>1E-3</v>
      </c>
      <c r="CC73" s="10">
        <v>0</v>
      </c>
      <c r="CD73" s="10">
        <v>0</v>
      </c>
      <c r="CE73" s="10">
        <v>4534.3050000000003</v>
      </c>
      <c r="CF73" s="10">
        <v>3458.9380000000001</v>
      </c>
      <c r="CG73" s="10">
        <v>1064.4939999999999</v>
      </c>
      <c r="CH73" s="10">
        <v>10.872999999999999</v>
      </c>
      <c r="CI73" s="10">
        <v>0</v>
      </c>
      <c r="CJ73" s="10">
        <v>0</v>
      </c>
      <c r="CK73" s="10">
        <v>0</v>
      </c>
    </row>
    <row r="74" spans="1:89" x14ac:dyDescent="0.3">
      <c r="A74" s="8" t="s">
        <v>161</v>
      </c>
      <c r="B74" s="11">
        <v>33948.315999999999</v>
      </c>
      <c r="C74" s="10">
        <f t="shared" si="1"/>
        <v>3524.6219999999998</v>
      </c>
      <c r="D74" s="11">
        <v>3524.6219999999998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0.187</v>
      </c>
      <c r="O74" s="11">
        <v>3.0000000000000001E-3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7.0000000000000001E-3</v>
      </c>
      <c r="AJ74" s="11">
        <v>0</v>
      </c>
      <c r="AK74" s="11">
        <v>0</v>
      </c>
      <c r="AL74" s="11">
        <v>0</v>
      </c>
      <c r="AM74" s="11">
        <v>2.4E-2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6.0000000000000001E-3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3.7999999999999999E-2</v>
      </c>
      <c r="BG74" s="11">
        <v>0</v>
      </c>
      <c r="BH74" s="11">
        <v>0</v>
      </c>
      <c r="BI74" s="11">
        <v>4.0000000000000001E-3</v>
      </c>
      <c r="BJ74" s="11">
        <v>3.0000000000000001E-3</v>
      </c>
      <c r="BK74" s="11">
        <v>0</v>
      </c>
      <c r="BL74" s="11">
        <v>4.0000000000000001E-3</v>
      </c>
      <c r="BM74" s="11">
        <v>0</v>
      </c>
      <c r="BN74" s="11">
        <v>1.4999999999999999E-2</v>
      </c>
      <c r="BO74" s="11">
        <v>0</v>
      </c>
      <c r="BP74" s="11">
        <v>1.3660000000000001</v>
      </c>
      <c r="BQ74" s="11">
        <v>5.0000000000000001E-3</v>
      </c>
      <c r="BR74" s="11">
        <v>8.0000000000000002E-3</v>
      </c>
      <c r="BS74" s="11">
        <v>0.38200000000000001</v>
      </c>
      <c r="BT74" s="11">
        <v>3521.6880000000001</v>
      </c>
      <c r="BU74" s="11">
        <v>0</v>
      </c>
      <c r="BV74" s="11">
        <v>0</v>
      </c>
      <c r="BW74" s="11">
        <v>0</v>
      </c>
      <c r="BX74" s="11">
        <v>0</v>
      </c>
      <c r="BY74" s="11">
        <v>8.6999999999999994E-2</v>
      </c>
      <c r="BZ74" s="11">
        <v>0</v>
      </c>
      <c r="CA74" s="11">
        <v>3.1E-2</v>
      </c>
      <c r="CB74" s="11">
        <v>5.5E-2</v>
      </c>
      <c r="CC74" s="11">
        <v>0</v>
      </c>
      <c r="CD74" s="11">
        <v>0.70899999999999996</v>
      </c>
      <c r="CE74" s="11">
        <v>30423.694</v>
      </c>
      <c r="CF74" s="11">
        <v>13105.179</v>
      </c>
      <c r="CG74" s="11">
        <v>17301.433000000001</v>
      </c>
      <c r="CH74" s="11">
        <v>17.055</v>
      </c>
      <c r="CI74" s="11">
        <v>0</v>
      </c>
      <c r="CJ74" s="11">
        <v>2.7E-2</v>
      </c>
      <c r="CK74" s="11">
        <v>0</v>
      </c>
    </row>
    <row r="75" spans="1:89" x14ac:dyDescent="0.3">
      <c r="A75" s="7" t="s">
        <v>162</v>
      </c>
      <c r="B75" s="10">
        <v>66550.428</v>
      </c>
      <c r="C75" s="10">
        <f t="shared" si="1"/>
        <v>161.62599999999998</v>
      </c>
      <c r="D75" s="10">
        <v>161.62799999999999</v>
      </c>
      <c r="E75" s="10">
        <v>1E-3</v>
      </c>
      <c r="F75" s="10">
        <v>0</v>
      </c>
      <c r="G75" s="10">
        <v>0</v>
      </c>
      <c r="H75" s="10">
        <v>0</v>
      </c>
      <c r="I75" s="10">
        <v>0</v>
      </c>
      <c r="J75" s="10">
        <v>2E-3</v>
      </c>
      <c r="K75" s="10">
        <v>0</v>
      </c>
      <c r="L75" s="10">
        <v>0</v>
      </c>
      <c r="M75" s="10">
        <v>0</v>
      </c>
      <c r="N75" s="10">
        <v>3.4000000000000002E-2</v>
      </c>
      <c r="O75" s="10">
        <v>0.498</v>
      </c>
      <c r="P75" s="10">
        <v>0</v>
      </c>
      <c r="Q75" s="10">
        <v>1E-3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0.01</v>
      </c>
      <c r="AJ75" s="10">
        <v>0</v>
      </c>
      <c r="AK75" s="10">
        <v>0</v>
      </c>
      <c r="AL75" s="10">
        <v>3.0000000000000001E-3</v>
      </c>
      <c r="AM75" s="10">
        <v>6.0000000000000001E-3</v>
      </c>
      <c r="AN75" s="10">
        <v>0</v>
      </c>
      <c r="AO75" s="10">
        <v>0</v>
      </c>
      <c r="AP75" s="10">
        <v>0</v>
      </c>
      <c r="AQ75" s="10">
        <v>0</v>
      </c>
      <c r="AR75" s="10">
        <v>1E-3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0.68799999999999994</v>
      </c>
      <c r="AZ75" s="10">
        <v>7.0000000000000001E-3</v>
      </c>
      <c r="BA75" s="10">
        <v>0</v>
      </c>
      <c r="BB75" s="10">
        <v>2E-3</v>
      </c>
      <c r="BC75" s="10">
        <v>0</v>
      </c>
      <c r="BD75" s="10">
        <v>0</v>
      </c>
      <c r="BE75" s="10">
        <v>0</v>
      </c>
      <c r="BF75" s="10">
        <v>3.9E-2</v>
      </c>
      <c r="BG75" s="10">
        <v>1E-3</v>
      </c>
      <c r="BH75" s="10">
        <v>0</v>
      </c>
      <c r="BI75" s="10">
        <v>0.04</v>
      </c>
      <c r="BJ75" s="10">
        <v>0</v>
      </c>
      <c r="BK75" s="10">
        <v>0</v>
      </c>
      <c r="BL75" s="10">
        <v>5.0000000000000001E-3</v>
      </c>
      <c r="BM75" s="10">
        <v>1.8320000000000001</v>
      </c>
      <c r="BN75" s="10">
        <v>2.1309999999999998</v>
      </c>
      <c r="BO75" s="10">
        <v>5.0000000000000001E-3</v>
      </c>
      <c r="BP75" s="10">
        <v>1.1319999999999999</v>
      </c>
      <c r="BQ75" s="10">
        <v>9.8000000000000004E-2</v>
      </c>
      <c r="BR75" s="10">
        <v>0.252</v>
      </c>
      <c r="BS75" s="10">
        <v>0</v>
      </c>
      <c r="BT75" s="10">
        <v>0</v>
      </c>
      <c r="BU75" s="10">
        <v>2.4060000000000001</v>
      </c>
      <c r="BV75" s="10">
        <v>1.7999999999999999E-2</v>
      </c>
      <c r="BW75" s="10">
        <v>1.0209999999999999</v>
      </c>
      <c r="BX75" s="10">
        <v>2.4809999999999999</v>
      </c>
      <c r="BY75" s="10">
        <v>4.9000000000000002E-2</v>
      </c>
      <c r="BZ75" s="10">
        <v>7.0000000000000001E-3</v>
      </c>
      <c r="CA75" s="10">
        <v>0.126</v>
      </c>
      <c r="CB75" s="10">
        <v>0.314</v>
      </c>
      <c r="CC75" s="10">
        <v>0</v>
      </c>
      <c r="CD75" s="10">
        <v>148.41800000000001</v>
      </c>
      <c r="CE75" s="10">
        <v>66388.800000000003</v>
      </c>
      <c r="CF75" s="10">
        <v>62190.788999999997</v>
      </c>
      <c r="CG75" s="10">
        <v>3835.5120000000002</v>
      </c>
      <c r="CH75" s="10">
        <v>4.133</v>
      </c>
      <c r="CI75" s="10">
        <v>0</v>
      </c>
      <c r="CJ75" s="10">
        <v>358.36599999999999</v>
      </c>
      <c r="CK75" s="10">
        <v>0</v>
      </c>
    </row>
    <row r="76" spans="1:89" x14ac:dyDescent="0.3">
      <c r="A76" s="8" t="s">
        <v>163</v>
      </c>
      <c r="B76" s="11">
        <v>12787.403</v>
      </c>
      <c r="C76" s="10">
        <f t="shared" si="1"/>
        <v>20.503999999999998</v>
      </c>
      <c r="D76" s="11">
        <v>20.518999999999998</v>
      </c>
      <c r="E76" s="11">
        <v>1.0999999999999999E-2</v>
      </c>
      <c r="F76" s="11">
        <v>1E-3</v>
      </c>
      <c r="G76" s="11">
        <v>0</v>
      </c>
      <c r="H76" s="11">
        <v>0</v>
      </c>
      <c r="I76" s="11">
        <v>0</v>
      </c>
      <c r="J76" s="11">
        <v>1.4999999999999999E-2</v>
      </c>
      <c r="K76" s="11">
        <v>0</v>
      </c>
      <c r="L76" s="11">
        <v>0</v>
      </c>
      <c r="M76" s="11">
        <v>0</v>
      </c>
      <c r="N76" s="11">
        <v>0.1</v>
      </c>
      <c r="O76" s="11">
        <v>1.0999999999999999E-2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1E-3</v>
      </c>
      <c r="Y76" s="11">
        <v>1E-3</v>
      </c>
      <c r="Z76" s="11">
        <v>0</v>
      </c>
      <c r="AA76" s="11">
        <v>1E-3</v>
      </c>
      <c r="AB76" s="11">
        <v>0</v>
      </c>
      <c r="AC76" s="11">
        <v>0</v>
      </c>
      <c r="AD76" s="11">
        <v>3.0000000000000001E-3</v>
      </c>
      <c r="AE76" s="11">
        <v>2E-3</v>
      </c>
      <c r="AF76" s="11">
        <v>0</v>
      </c>
      <c r="AG76" s="11">
        <v>1E-3</v>
      </c>
      <c r="AH76" s="11">
        <v>1E-3</v>
      </c>
      <c r="AI76" s="11">
        <v>2.4E-2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7.0000000000000001E-3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4.1000000000000002E-2</v>
      </c>
      <c r="BG76" s="11">
        <v>0</v>
      </c>
      <c r="BH76" s="11">
        <v>0</v>
      </c>
      <c r="BI76" s="11">
        <v>4.0000000000000001E-3</v>
      </c>
      <c r="BJ76" s="11">
        <v>0</v>
      </c>
      <c r="BK76" s="11">
        <v>0</v>
      </c>
      <c r="BL76" s="11">
        <v>5.0000000000000001E-3</v>
      </c>
      <c r="BM76" s="11">
        <v>6.8220000000000001</v>
      </c>
      <c r="BN76" s="11">
        <v>7.875</v>
      </c>
      <c r="BO76" s="11">
        <v>0</v>
      </c>
      <c r="BP76" s="11">
        <v>3.8210000000000002</v>
      </c>
      <c r="BQ76" s="11">
        <v>5.0000000000000001E-3</v>
      </c>
      <c r="BR76" s="11">
        <v>8.0000000000000002E-3</v>
      </c>
      <c r="BS76" s="11">
        <v>0</v>
      </c>
      <c r="BT76" s="11">
        <v>0</v>
      </c>
      <c r="BU76" s="11">
        <v>0.91500000000000004</v>
      </c>
      <c r="BV76" s="11">
        <v>0.06</v>
      </c>
      <c r="BW76" s="11">
        <v>0.46100000000000002</v>
      </c>
      <c r="BX76" s="11">
        <v>0</v>
      </c>
      <c r="BY76" s="11">
        <v>1E-3</v>
      </c>
      <c r="BZ76" s="11">
        <v>0</v>
      </c>
      <c r="CA76" s="11">
        <v>0</v>
      </c>
      <c r="CB76" s="11">
        <v>9.9000000000000005E-2</v>
      </c>
      <c r="CC76" s="11">
        <v>0</v>
      </c>
      <c r="CD76" s="11">
        <v>0.223</v>
      </c>
      <c r="CE76" s="11">
        <v>12766.884</v>
      </c>
      <c r="CF76" s="11">
        <v>4860.107</v>
      </c>
      <c r="CG76" s="11">
        <v>7896.3010000000004</v>
      </c>
      <c r="CH76" s="11">
        <v>10.446999999999999</v>
      </c>
      <c r="CI76" s="11">
        <v>0</v>
      </c>
      <c r="CJ76" s="11">
        <v>2.9000000000000001E-2</v>
      </c>
      <c r="CK76" s="11">
        <v>0</v>
      </c>
    </row>
    <row r="77" spans="1:89" x14ac:dyDescent="0.3">
      <c r="A77" s="7" t="s">
        <v>164</v>
      </c>
      <c r="B77" s="10">
        <v>99810.115000000005</v>
      </c>
      <c r="C77" s="10">
        <f t="shared" si="1"/>
        <v>655.46400000000006</v>
      </c>
      <c r="D77" s="10">
        <v>655.47</v>
      </c>
      <c r="E77" s="10">
        <v>4.0000000000000001E-3</v>
      </c>
      <c r="F77" s="10">
        <v>0</v>
      </c>
      <c r="G77" s="10">
        <v>0</v>
      </c>
      <c r="H77" s="10">
        <v>0</v>
      </c>
      <c r="I77" s="10">
        <v>0</v>
      </c>
      <c r="J77" s="10">
        <v>6.0000000000000001E-3</v>
      </c>
      <c r="K77" s="10">
        <v>8.6289999999999996</v>
      </c>
      <c r="L77" s="10">
        <v>0</v>
      </c>
      <c r="M77" s="10">
        <v>0</v>
      </c>
      <c r="N77" s="10">
        <v>1.633</v>
      </c>
      <c r="O77" s="10">
        <v>1.2E-2</v>
      </c>
      <c r="P77" s="10">
        <v>0</v>
      </c>
      <c r="Q77" s="10">
        <v>0.13300000000000001</v>
      </c>
      <c r="R77" s="10">
        <v>8.0000000000000002E-3</v>
      </c>
      <c r="S77" s="10">
        <v>0.23400000000000001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1E-3</v>
      </c>
      <c r="Z77" s="10">
        <v>0</v>
      </c>
      <c r="AA77" s="10">
        <v>0.89500000000000002</v>
      </c>
      <c r="AB77" s="10">
        <v>0</v>
      </c>
      <c r="AC77" s="10">
        <v>0.13500000000000001</v>
      </c>
      <c r="AD77" s="10">
        <v>3.2890000000000001</v>
      </c>
      <c r="AE77" s="10">
        <v>0.1</v>
      </c>
      <c r="AF77" s="10">
        <v>0</v>
      </c>
      <c r="AG77" s="10">
        <v>0</v>
      </c>
      <c r="AH77" s="10">
        <v>0</v>
      </c>
      <c r="AI77" s="10">
        <v>1.3520000000000001</v>
      </c>
      <c r="AJ77" s="10">
        <v>0.39200000000000002</v>
      </c>
      <c r="AK77" s="10">
        <v>0</v>
      </c>
      <c r="AL77" s="10">
        <v>0.109</v>
      </c>
      <c r="AM77" s="10">
        <v>1.988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1.7999999999999999E-2</v>
      </c>
      <c r="BA77" s="10">
        <v>5.0000000000000001E-3</v>
      </c>
      <c r="BB77" s="10">
        <v>0</v>
      </c>
      <c r="BC77" s="10">
        <v>0</v>
      </c>
      <c r="BD77" s="10">
        <v>0</v>
      </c>
      <c r="BE77" s="10">
        <v>0</v>
      </c>
      <c r="BF77" s="10">
        <v>0.10299999999999999</v>
      </c>
      <c r="BG77" s="10">
        <v>2E-3</v>
      </c>
      <c r="BH77" s="10">
        <v>0</v>
      </c>
      <c r="BI77" s="10">
        <v>1.0999999999999999E-2</v>
      </c>
      <c r="BJ77" s="10">
        <v>0</v>
      </c>
      <c r="BK77" s="10">
        <v>0</v>
      </c>
      <c r="BL77" s="10">
        <v>1.0999999999999999E-2</v>
      </c>
      <c r="BM77" s="10">
        <v>70.573999999999998</v>
      </c>
      <c r="BN77" s="10">
        <v>232.398</v>
      </c>
      <c r="BO77" s="10">
        <v>0.995</v>
      </c>
      <c r="BP77" s="10">
        <v>92.518000000000001</v>
      </c>
      <c r="BQ77" s="10">
        <v>10.757</v>
      </c>
      <c r="BR77" s="10">
        <v>62.948</v>
      </c>
      <c r="BS77" s="10">
        <v>4.0000000000000001E-3</v>
      </c>
      <c r="BT77" s="10">
        <v>2E-3</v>
      </c>
      <c r="BU77" s="10">
        <v>22.856999999999999</v>
      </c>
      <c r="BV77" s="10">
        <v>2.1999999999999999E-2</v>
      </c>
      <c r="BW77" s="10">
        <v>64.113</v>
      </c>
      <c r="BX77" s="10">
        <v>39.927999999999997</v>
      </c>
      <c r="BY77" s="10">
        <v>9.1460000000000008</v>
      </c>
      <c r="BZ77" s="10">
        <v>2.6360000000000001</v>
      </c>
      <c r="CA77" s="10">
        <v>17.372</v>
      </c>
      <c r="CB77" s="10">
        <v>9.6539999999999999</v>
      </c>
      <c r="CC77" s="10">
        <v>0</v>
      </c>
      <c r="CD77" s="10">
        <v>0.47599999999999998</v>
      </c>
      <c r="CE77" s="10">
        <v>99154.645000000004</v>
      </c>
      <c r="CF77" s="10">
        <v>98203.578999999998</v>
      </c>
      <c r="CG77" s="10">
        <v>834.23099999999999</v>
      </c>
      <c r="CH77" s="10">
        <v>116.762</v>
      </c>
      <c r="CI77" s="10">
        <v>0</v>
      </c>
      <c r="CJ77" s="10">
        <v>7.2999999999999995E-2</v>
      </c>
      <c r="CK77" s="10">
        <v>0</v>
      </c>
    </row>
    <row r="78" spans="1:89" x14ac:dyDescent="0.3">
      <c r="A78" s="8" t="s">
        <v>165</v>
      </c>
      <c r="B78" s="11">
        <v>405706.826</v>
      </c>
      <c r="C78" s="10">
        <f t="shared" si="1"/>
        <v>18635.936000000002</v>
      </c>
      <c r="D78" s="11">
        <v>22181.195</v>
      </c>
      <c r="E78" s="11">
        <v>1.6E-2</v>
      </c>
      <c r="F78" s="11">
        <v>3.3559999999999999</v>
      </c>
      <c r="G78" s="11">
        <v>0</v>
      </c>
      <c r="H78" s="11">
        <v>35.688000000000002</v>
      </c>
      <c r="I78" s="11">
        <v>7.4130000000000003</v>
      </c>
      <c r="J78" s="11">
        <v>3545.259</v>
      </c>
      <c r="K78" s="11">
        <v>61.091999999999999</v>
      </c>
      <c r="L78" s="11">
        <v>777.87699999999995</v>
      </c>
      <c r="M78" s="11">
        <v>20.995000000000001</v>
      </c>
      <c r="N78" s="11">
        <v>496.9</v>
      </c>
      <c r="O78" s="11">
        <v>418.71100000000001</v>
      </c>
      <c r="P78" s="11">
        <v>135.858</v>
      </c>
      <c r="Q78" s="11">
        <v>438.93</v>
      </c>
      <c r="R78" s="11">
        <v>37.503</v>
      </c>
      <c r="S78" s="11">
        <v>6.2859999999999996</v>
      </c>
      <c r="T78" s="11">
        <v>9.1530000000000005</v>
      </c>
      <c r="U78" s="11">
        <v>26.797999999999998</v>
      </c>
      <c r="V78" s="11">
        <v>7.9669999999999996</v>
      </c>
      <c r="W78" s="11">
        <v>0.126</v>
      </c>
      <c r="X78" s="11">
        <v>2.8000000000000001E-2</v>
      </c>
      <c r="Y78" s="11">
        <v>0.56299999999999994</v>
      </c>
      <c r="Z78" s="11">
        <v>582.005</v>
      </c>
      <c r="AA78" s="11">
        <v>415.7</v>
      </c>
      <c r="AB78" s="11">
        <v>201.89599999999999</v>
      </c>
      <c r="AC78" s="11">
        <v>76.453999999999994</v>
      </c>
      <c r="AD78" s="11">
        <v>0.58099999999999996</v>
      </c>
      <c r="AE78" s="11">
        <v>2.5999999999999999E-2</v>
      </c>
      <c r="AF78" s="11">
        <v>6.6000000000000003E-2</v>
      </c>
      <c r="AG78" s="11">
        <v>3.6999999999999998E-2</v>
      </c>
      <c r="AH78" s="11">
        <v>1.9E-2</v>
      </c>
      <c r="AI78" s="11">
        <v>0.44500000000000001</v>
      </c>
      <c r="AJ78" s="11">
        <v>5.0000000000000001E-3</v>
      </c>
      <c r="AK78" s="11">
        <v>2.7E-2</v>
      </c>
      <c r="AL78" s="11">
        <v>1075.278</v>
      </c>
      <c r="AM78" s="11">
        <v>549.74599999999998</v>
      </c>
      <c r="AN78" s="11">
        <v>1300.6780000000001</v>
      </c>
      <c r="AO78" s="11">
        <v>28.937000000000001</v>
      </c>
      <c r="AP78" s="11">
        <v>25.385999999999999</v>
      </c>
      <c r="AQ78" s="11">
        <v>495.72800000000001</v>
      </c>
      <c r="AR78" s="11">
        <v>280.80399999999997</v>
      </c>
      <c r="AS78" s="11">
        <v>205.54599999999999</v>
      </c>
      <c r="AT78" s="11">
        <v>4.3170000000000002</v>
      </c>
      <c r="AU78" s="11">
        <v>298.95400000000001</v>
      </c>
      <c r="AV78" s="11">
        <v>0.98199999999999998</v>
      </c>
      <c r="AW78" s="11">
        <v>79.512</v>
      </c>
      <c r="AX78" s="11">
        <v>204.05</v>
      </c>
      <c r="AY78" s="11">
        <v>78.528000000000006</v>
      </c>
      <c r="AZ78" s="11">
        <v>222.25399999999999</v>
      </c>
      <c r="BA78" s="11">
        <v>119.616</v>
      </c>
      <c r="BB78" s="11">
        <v>395.49700000000001</v>
      </c>
      <c r="BC78" s="11">
        <v>18.236999999999998</v>
      </c>
      <c r="BD78" s="11">
        <v>23.151</v>
      </c>
      <c r="BE78" s="11">
        <v>23.096</v>
      </c>
      <c r="BF78" s="11">
        <v>1068.0640000000001</v>
      </c>
      <c r="BG78" s="11">
        <v>135.774</v>
      </c>
      <c r="BH78" s="11">
        <v>197.221</v>
      </c>
      <c r="BI78" s="11">
        <v>673.976</v>
      </c>
      <c r="BJ78" s="11">
        <v>104.637</v>
      </c>
      <c r="BK78" s="11">
        <v>3.4540000000000002</v>
      </c>
      <c r="BL78" s="11">
        <v>849.25300000000004</v>
      </c>
      <c r="BM78" s="11">
        <v>19.346</v>
      </c>
      <c r="BN78" s="11">
        <v>9.5359999999999996</v>
      </c>
      <c r="BO78" s="11">
        <v>0</v>
      </c>
      <c r="BP78" s="11">
        <v>1142.9259999999999</v>
      </c>
      <c r="BQ78" s="11">
        <v>116.059</v>
      </c>
      <c r="BR78" s="11">
        <v>120.946</v>
      </c>
      <c r="BS78" s="11">
        <v>1.454</v>
      </c>
      <c r="BT78" s="11">
        <v>3.6280000000000001</v>
      </c>
      <c r="BU78" s="11">
        <v>16.876999999999999</v>
      </c>
      <c r="BV78" s="11">
        <v>9.8979999999999997</v>
      </c>
      <c r="BW78" s="11">
        <v>9.69</v>
      </c>
      <c r="BX78" s="11">
        <v>37.225999999999999</v>
      </c>
      <c r="BY78" s="11">
        <v>0.20899999999999999</v>
      </c>
      <c r="BZ78" s="11">
        <v>4.0000000000000001E-3</v>
      </c>
      <c r="CA78" s="11">
        <v>0.40799999999999997</v>
      </c>
      <c r="CB78" s="11">
        <v>153.458</v>
      </c>
      <c r="CC78" s="11">
        <v>0</v>
      </c>
      <c r="CD78" s="11">
        <v>4769.0739999999996</v>
      </c>
      <c r="CE78" s="11">
        <v>383525.63099999999</v>
      </c>
      <c r="CF78" s="11">
        <v>383381.25699999998</v>
      </c>
      <c r="CG78" s="11">
        <v>3.327</v>
      </c>
      <c r="CH78" s="11">
        <v>140.405</v>
      </c>
      <c r="CI78" s="11">
        <v>0</v>
      </c>
      <c r="CJ78" s="11">
        <v>0.64200000000000002</v>
      </c>
      <c r="CK78" s="11">
        <v>0</v>
      </c>
    </row>
    <row r="79" spans="1:89" x14ac:dyDescent="0.3">
      <c r="A79" s="7" t="s">
        <v>166</v>
      </c>
      <c r="B79" s="10">
        <v>524505.33100000001</v>
      </c>
      <c r="C79" s="10">
        <f t="shared" si="1"/>
        <v>31066.723999999998</v>
      </c>
      <c r="D79" s="10">
        <v>31970.335999999999</v>
      </c>
      <c r="E79" s="10">
        <v>1.2E-2</v>
      </c>
      <c r="F79" s="10">
        <v>2.75</v>
      </c>
      <c r="G79" s="10">
        <v>25.181000000000001</v>
      </c>
      <c r="H79" s="10">
        <v>30.347999999999999</v>
      </c>
      <c r="I79" s="10">
        <v>6.274</v>
      </c>
      <c r="J79" s="10">
        <v>903.61199999999997</v>
      </c>
      <c r="K79" s="10">
        <v>45.637999999999998</v>
      </c>
      <c r="L79" s="10">
        <v>9.3369999999999997</v>
      </c>
      <c r="M79" s="10">
        <v>215.99700000000001</v>
      </c>
      <c r="N79" s="10">
        <v>128.33000000000001</v>
      </c>
      <c r="O79" s="10">
        <v>248.84899999999999</v>
      </c>
      <c r="P79" s="10">
        <v>45.506999999999998</v>
      </c>
      <c r="Q79" s="10">
        <v>322.40300000000002</v>
      </c>
      <c r="R79" s="10">
        <v>27.271000000000001</v>
      </c>
      <c r="S79" s="10">
        <v>7.9610000000000003</v>
      </c>
      <c r="T79" s="10">
        <v>11.445</v>
      </c>
      <c r="U79" s="10">
        <v>38.801000000000002</v>
      </c>
      <c r="V79" s="10">
        <v>10.555</v>
      </c>
      <c r="W79" s="10">
        <v>31.259</v>
      </c>
      <c r="X79" s="10">
        <v>312.98099999999999</v>
      </c>
      <c r="Y79" s="10">
        <v>83.838999999999999</v>
      </c>
      <c r="Z79" s="10">
        <v>49.454999999999998</v>
      </c>
      <c r="AA79" s="10">
        <v>516.346</v>
      </c>
      <c r="AB79" s="10">
        <v>253.06899999999999</v>
      </c>
      <c r="AC79" s="10">
        <v>127.983</v>
      </c>
      <c r="AD79" s="10">
        <v>540.78399999999999</v>
      </c>
      <c r="AE79" s="10">
        <v>308.83</v>
      </c>
      <c r="AF79" s="10">
        <v>662.95100000000002</v>
      </c>
      <c r="AG79" s="10">
        <v>520.077</v>
      </c>
      <c r="AH79" s="10">
        <v>227.00700000000001</v>
      </c>
      <c r="AI79" s="10">
        <v>3633.93</v>
      </c>
      <c r="AJ79" s="10">
        <v>62.14</v>
      </c>
      <c r="AK79" s="10">
        <v>74.525999999999996</v>
      </c>
      <c r="AL79" s="10">
        <v>9.6999999999999993</v>
      </c>
      <c r="AM79" s="10">
        <v>8.2129999999999992</v>
      </c>
      <c r="AN79" s="10">
        <v>945.56299999999999</v>
      </c>
      <c r="AO79" s="10">
        <v>21.036000000000001</v>
      </c>
      <c r="AP79" s="10">
        <v>8.3439999999999994</v>
      </c>
      <c r="AQ79" s="10">
        <v>352.02600000000001</v>
      </c>
      <c r="AR79" s="10">
        <v>203.97200000000001</v>
      </c>
      <c r="AS79" s="10">
        <v>149.423</v>
      </c>
      <c r="AT79" s="10">
        <v>3.1389999999999998</v>
      </c>
      <c r="AU79" s="10">
        <v>217.69200000000001</v>
      </c>
      <c r="AV79" s="10">
        <v>0.71499999999999997</v>
      </c>
      <c r="AW79" s="10">
        <v>57.802999999999997</v>
      </c>
      <c r="AX79" s="10">
        <v>148.32599999999999</v>
      </c>
      <c r="AY79" s="10">
        <v>57.08</v>
      </c>
      <c r="AZ79" s="10">
        <v>162.346</v>
      </c>
      <c r="BA79" s="10">
        <v>86.983000000000004</v>
      </c>
      <c r="BB79" s="10">
        <v>287.517</v>
      </c>
      <c r="BC79" s="10">
        <v>7.577</v>
      </c>
      <c r="BD79" s="10">
        <v>17.736999999999998</v>
      </c>
      <c r="BE79" s="10">
        <v>28.347999999999999</v>
      </c>
      <c r="BF79" s="10">
        <v>1005.2430000000001</v>
      </c>
      <c r="BG79" s="10">
        <v>115.934</v>
      </c>
      <c r="BH79" s="10">
        <v>166.501</v>
      </c>
      <c r="BI79" s="10">
        <v>494.71699999999998</v>
      </c>
      <c r="BJ79" s="10">
        <v>76.075999999999993</v>
      </c>
      <c r="BK79" s="10">
        <v>2.5089999999999999</v>
      </c>
      <c r="BL79" s="10">
        <v>727.05100000000004</v>
      </c>
      <c r="BM79" s="10">
        <v>226.977</v>
      </c>
      <c r="BN79" s="10">
        <v>705.47799999999995</v>
      </c>
      <c r="BO79" s="10">
        <v>5.1420000000000003</v>
      </c>
      <c r="BP79" s="10">
        <v>1980.5619999999999</v>
      </c>
      <c r="BQ79" s="10">
        <v>1012.42</v>
      </c>
      <c r="BR79" s="10">
        <v>384.78100000000001</v>
      </c>
      <c r="BS79" s="10">
        <v>4.8550000000000004</v>
      </c>
      <c r="BT79" s="10">
        <v>274.221</v>
      </c>
      <c r="BU79" s="10">
        <v>39.658999999999999</v>
      </c>
      <c r="BV79" s="10">
        <v>24.856999999999999</v>
      </c>
      <c r="BW79" s="10">
        <v>26.111000000000001</v>
      </c>
      <c r="BX79" s="10">
        <v>130.03299999999999</v>
      </c>
      <c r="BY79" s="10">
        <v>569.74400000000003</v>
      </c>
      <c r="BZ79" s="10">
        <v>8.1590000000000007</v>
      </c>
      <c r="CA79" s="10">
        <v>69.167000000000002</v>
      </c>
      <c r="CB79" s="10">
        <v>152.82499999999999</v>
      </c>
      <c r="CC79" s="10">
        <v>0</v>
      </c>
      <c r="CD79" s="10">
        <v>11508.325999999999</v>
      </c>
      <c r="CE79" s="10">
        <v>492534.995</v>
      </c>
      <c r="CF79" s="10">
        <v>492211.68400000001</v>
      </c>
      <c r="CG79" s="10">
        <v>2.319</v>
      </c>
      <c r="CH79" s="10">
        <v>320.90199999999999</v>
      </c>
      <c r="CI79" s="10">
        <v>0</v>
      </c>
      <c r="CJ79" s="10">
        <v>0.09</v>
      </c>
      <c r="CK79" s="10">
        <v>0</v>
      </c>
    </row>
    <row r="80" spans="1:89" x14ac:dyDescent="0.3">
      <c r="A80" s="8" t="s">
        <v>167</v>
      </c>
      <c r="B80" s="11">
        <v>207186.86300000001</v>
      </c>
      <c r="C80" s="10">
        <f t="shared" si="1"/>
        <v>93895.37</v>
      </c>
      <c r="D80" s="11">
        <v>118850.232</v>
      </c>
      <c r="E80" s="11">
        <v>638.97299999999996</v>
      </c>
      <c r="F80" s="11">
        <v>363.935</v>
      </c>
      <c r="G80" s="11">
        <v>24.349</v>
      </c>
      <c r="H80" s="11">
        <v>114.04900000000001</v>
      </c>
      <c r="I80" s="11">
        <v>30.661999999999999</v>
      </c>
      <c r="J80" s="11">
        <v>24954.862000000001</v>
      </c>
      <c r="K80" s="11">
        <v>3611.9879999999998</v>
      </c>
      <c r="L80" s="11">
        <v>501.27800000000002</v>
      </c>
      <c r="M80" s="11">
        <v>6112.69</v>
      </c>
      <c r="N80" s="11">
        <v>4024.6889999999999</v>
      </c>
      <c r="O80" s="11">
        <v>2070.011</v>
      </c>
      <c r="P80" s="11">
        <v>1551.5219999999999</v>
      </c>
      <c r="Q80" s="11">
        <v>2758.5549999999998</v>
      </c>
      <c r="R80" s="11">
        <v>500.32499999999999</v>
      </c>
      <c r="S80" s="11">
        <v>33.798000000000002</v>
      </c>
      <c r="T80" s="11">
        <v>58.100999999999999</v>
      </c>
      <c r="U80" s="11">
        <v>63.917999999999999</v>
      </c>
      <c r="V80" s="11">
        <v>28.789000000000001</v>
      </c>
      <c r="W80" s="11">
        <v>46.881999999999998</v>
      </c>
      <c r="X80" s="11">
        <v>216.87799999999999</v>
      </c>
      <c r="Y80" s="11">
        <v>290.56299999999999</v>
      </c>
      <c r="Z80" s="11">
        <v>595.27099999999996</v>
      </c>
      <c r="AA80" s="11">
        <v>2401.1460000000002</v>
      </c>
      <c r="AB80" s="11">
        <v>335.86399999999998</v>
      </c>
      <c r="AC80" s="11">
        <v>407.36399999999998</v>
      </c>
      <c r="AD80" s="11">
        <v>541.64099999999996</v>
      </c>
      <c r="AE80" s="11">
        <v>238.84899999999999</v>
      </c>
      <c r="AF80" s="11">
        <v>265.40600000000001</v>
      </c>
      <c r="AG80" s="11">
        <v>245.82900000000001</v>
      </c>
      <c r="AH80" s="11">
        <v>89.271000000000001</v>
      </c>
      <c r="AI80" s="11">
        <v>1119.1980000000001</v>
      </c>
      <c r="AJ80" s="11">
        <v>52.844999999999999</v>
      </c>
      <c r="AK80" s="11">
        <v>40.031999999999996</v>
      </c>
      <c r="AL80" s="11">
        <v>1442.425</v>
      </c>
      <c r="AM80" s="11">
        <v>1734.6189999999999</v>
      </c>
      <c r="AN80" s="11">
        <v>4710.83</v>
      </c>
      <c r="AO80" s="11">
        <v>244.196</v>
      </c>
      <c r="AP80" s="11">
        <v>774.34500000000003</v>
      </c>
      <c r="AQ80" s="11">
        <v>2705.5120000000002</v>
      </c>
      <c r="AR80" s="11">
        <v>13155.546</v>
      </c>
      <c r="AS80" s="11">
        <v>840.68200000000002</v>
      </c>
      <c r="AT80" s="11">
        <v>154.392</v>
      </c>
      <c r="AU80" s="11">
        <v>1510.452</v>
      </c>
      <c r="AV80" s="11">
        <v>28.234000000000002</v>
      </c>
      <c r="AW80" s="11">
        <v>381.96</v>
      </c>
      <c r="AX80" s="11">
        <v>2252.8710000000001</v>
      </c>
      <c r="AY80" s="11">
        <v>159.50700000000001</v>
      </c>
      <c r="AZ80" s="11">
        <v>232.733</v>
      </c>
      <c r="BA80" s="11">
        <v>201.67699999999999</v>
      </c>
      <c r="BB80" s="11">
        <v>2754.0740000000001</v>
      </c>
      <c r="BC80" s="11">
        <v>11.321</v>
      </c>
      <c r="BD80" s="11">
        <v>7.21</v>
      </c>
      <c r="BE80" s="11">
        <v>3.7160000000000002</v>
      </c>
      <c r="BF80" s="11">
        <v>1402.9739999999999</v>
      </c>
      <c r="BG80" s="11">
        <v>59.122999999999998</v>
      </c>
      <c r="BH80" s="11">
        <v>1283.7719999999999</v>
      </c>
      <c r="BI80" s="11">
        <v>2121.165</v>
      </c>
      <c r="BJ80" s="11">
        <v>238.03800000000001</v>
      </c>
      <c r="BK80" s="11">
        <v>1.333</v>
      </c>
      <c r="BL80" s="11">
        <v>1110.7460000000001</v>
      </c>
      <c r="BM80" s="11">
        <v>19.773</v>
      </c>
      <c r="BN80" s="11">
        <v>740.24099999999999</v>
      </c>
      <c r="BO80" s="11">
        <v>35.753</v>
      </c>
      <c r="BP80" s="11">
        <v>2377.904</v>
      </c>
      <c r="BQ80" s="11">
        <v>1883.576</v>
      </c>
      <c r="BR80" s="11">
        <v>2462.8690000000001</v>
      </c>
      <c r="BS80" s="11">
        <v>31.212</v>
      </c>
      <c r="BT80" s="11">
        <v>93.197000000000003</v>
      </c>
      <c r="BU80" s="11">
        <v>34.862000000000002</v>
      </c>
      <c r="BV80" s="11">
        <v>175.48099999999999</v>
      </c>
      <c r="BW80" s="11">
        <v>310.27699999999999</v>
      </c>
      <c r="BX80" s="11">
        <v>490.53300000000002</v>
      </c>
      <c r="BY80" s="11">
        <v>173.655</v>
      </c>
      <c r="BZ80" s="11">
        <v>552.39099999999996</v>
      </c>
      <c r="CA80" s="11">
        <v>283.93700000000001</v>
      </c>
      <c r="CB80" s="11">
        <v>82.206999999999994</v>
      </c>
      <c r="CC80" s="11">
        <v>0</v>
      </c>
      <c r="CD80" s="11">
        <v>15249.378000000001</v>
      </c>
      <c r="CE80" s="11">
        <v>88336.630999999994</v>
      </c>
      <c r="CF80" s="11">
        <v>81041.118000000002</v>
      </c>
      <c r="CG80" s="11">
        <v>13.455</v>
      </c>
      <c r="CH80" s="11">
        <v>470.85300000000001</v>
      </c>
      <c r="CI80" s="11">
        <v>0</v>
      </c>
      <c r="CJ80" s="11">
        <v>6811.2049999999999</v>
      </c>
      <c r="CK80" s="11">
        <v>0</v>
      </c>
    </row>
    <row r="81" spans="1:89" x14ac:dyDescent="0.3">
      <c r="A81" s="7" t="s">
        <v>168</v>
      </c>
      <c r="B81" s="10">
        <v>223393.353</v>
      </c>
      <c r="C81" s="10">
        <f t="shared" si="1"/>
        <v>10040.978999999999</v>
      </c>
      <c r="D81" s="10">
        <v>10040.978999999999</v>
      </c>
      <c r="E81" s="10">
        <v>0</v>
      </c>
      <c r="F81" s="10">
        <v>0</v>
      </c>
      <c r="G81" s="10">
        <v>0</v>
      </c>
      <c r="H81" s="10">
        <v>1.7000000000000001E-2</v>
      </c>
      <c r="I81" s="10">
        <v>0.10199999999999999</v>
      </c>
      <c r="J81" s="10">
        <v>0</v>
      </c>
      <c r="K81" s="10">
        <v>4.524</v>
      </c>
      <c r="L81" s="10">
        <v>8.4000000000000005E-2</v>
      </c>
      <c r="M81" s="10">
        <v>0</v>
      </c>
      <c r="N81" s="10">
        <v>2.319</v>
      </c>
      <c r="O81" s="10">
        <v>9.2260000000000009</v>
      </c>
      <c r="P81" s="10">
        <v>0.371</v>
      </c>
      <c r="Q81" s="10">
        <v>718.52</v>
      </c>
      <c r="R81" s="10">
        <v>71.763000000000005</v>
      </c>
      <c r="S81" s="10">
        <v>12.106</v>
      </c>
      <c r="T81" s="10">
        <v>4.3970000000000002</v>
      </c>
      <c r="U81" s="10">
        <v>23.206</v>
      </c>
      <c r="V81" s="10">
        <v>4.7320000000000002</v>
      </c>
      <c r="W81" s="10">
        <v>4.4130000000000003</v>
      </c>
      <c r="X81" s="10">
        <v>36.326000000000001</v>
      </c>
      <c r="Y81" s="10">
        <v>13.09</v>
      </c>
      <c r="Z81" s="10">
        <v>42.526000000000003</v>
      </c>
      <c r="AA81" s="10">
        <v>242.66800000000001</v>
      </c>
      <c r="AB81" s="10">
        <v>94.805999999999997</v>
      </c>
      <c r="AC81" s="10">
        <v>77.39</v>
      </c>
      <c r="AD81" s="10">
        <v>127.60299999999999</v>
      </c>
      <c r="AE81" s="10">
        <v>52.121000000000002</v>
      </c>
      <c r="AF81" s="10">
        <v>50.279000000000003</v>
      </c>
      <c r="AG81" s="10">
        <v>80.713999999999999</v>
      </c>
      <c r="AH81" s="10">
        <v>39.119999999999997</v>
      </c>
      <c r="AI81" s="10">
        <v>1001.509</v>
      </c>
      <c r="AJ81" s="10">
        <v>7.6550000000000002</v>
      </c>
      <c r="AK81" s="10">
        <v>7.9340000000000002</v>
      </c>
      <c r="AL81" s="10">
        <v>236.739</v>
      </c>
      <c r="AM81" s="10">
        <v>599.74599999999998</v>
      </c>
      <c r="AN81" s="10">
        <v>106.562</v>
      </c>
      <c r="AO81" s="10">
        <v>31.547000000000001</v>
      </c>
      <c r="AP81" s="10">
        <v>4.2969999999999997</v>
      </c>
      <c r="AQ81" s="10">
        <v>38.838000000000001</v>
      </c>
      <c r="AR81" s="10">
        <v>216.17099999999999</v>
      </c>
      <c r="AS81" s="10">
        <v>43.305999999999997</v>
      </c>
      <c r="AT81" s="10">
        <v>0.63900000000000001</v>
      </c>
      <c r="AU81" s="10">
        <v>99.108000000000004</v>
      </c>
      <c r="AV81" s="10">
        <v>1.778</v>
      </c>
      <c r="AW81" s="10">
        <v>14.038</v>
      </c>
      <c r="AX81" s="10">
        <v>35.253</v>
      </c>
      <c r="AY81" s="10">
        <v>10.468999999999999</v>
      </c>
      <c r="AZ81" s="10">
        <v>20.332999999999998</v>
      </c>
      <c r="BA81" s="10">
        <v>53.91</v>
      </c>
      <c r="BB81" s="10">
        <v>533.73500000000001</v>
      </c>
      <c r="BC81" s="10">
        <v>5.056</v>
      </c>
      <c r="BD81" s="10">
        <v>2.6219999999999999</v>
      </c>
      <c r="BE81" s="10">
        <v>17.544</v>
      </c>
      <c r="BF81" s="10">
        <v>454.61599999999999</v>
      </c>
      <c r="BG81" s="10">
        <v>13.657999999999999</v>
      </c>
      <c r="BH81" s="10">
        <v>82.576999999999998</v>
      </c>
      <c r="BI81" s="10">
        <v>75.14</v>
      </c>
      <c r="BJ81" s="10">
        <v>5.7919999999999998</v>
      </c>
      <c r="BK81" s="10">
        <v>0.45200000000000001</v>
      </c>
      <c r="BL81" s="10">
        <v>140.90899999999999</v>
      </c>
      <c r="BM81" s="10">
        <v>9.7910000000000004</v>
      </c>
      <c r="BN81" s="10">
        <v>94.135000000000005</v>
      </c>
      <c r="BO81" s="10">
        <v>0.22</v>
      </c>
      <c r="BP81" s="10">
        <v>515.35799999999995</v>
      </c>
      <c r="BQ81" s="10">
        <v>856.40300000000002</v>
      </c>
      <c r="BR81" s="10">
        <v>544.54499999999996</v>
      </c>
      <c r="BS81" s="10">
        <v>5.7140000000000004</v>
      </c>
      <c r="BT81" s="10">
        <v>9.1340000000000003</v>
      </c>
      <c r="BU81" s="10">
        <v>1.6890000000000001</v>
      </c>
      <c r="BV81" s="10">
        <v>7.0019999999999998</v>
      </c>
      <c r="BW81" s="10">
        <v>31.687000000000001</v>
      </c>
      <c r="BX81" s="10">
        <v>286.75299999999999</v>
      </c>
      <c r="BY81" s="10">
        <v>31.448</v>
      </c>
      <c r="BZ81" s="10">
        <v>6.569</v>
      </c>
      <c r="CA81" s="10">
        <v>39.704000000000001</v>
      </c>
      <c r="CB81" s="10">
        <v>76.480999999999995</v>
      </c>
      <c r="CC81" s="10">
        <v>0</v>
      </c>
      <c r="CD81" s="10">
        <v>1949.99</v>
      </c>
      <c r="CE81" s="10">
        <v>213352.37400000001</v>
      </c>
      <c r="CF81" s="10">
        <v>213254.353</v>
      </c>
      <c r="CG81" s="10">
        <v>0.04</v>
      </c>
      <c r="CH81" s="10">
        <v>97.956000000000003</v>
      </c>
      <c r="CI81" s="10">
        <v>0</v>
      </c>
      <c r="CJ81" s="10">
        <v>2.5000000000000001E-2</v>
      </c>
      <c r="CK81" s="10">
        <v>0</v>
      </c>
    </row>
    <row r="82" spans="1:89" x14ac:dyDescent="0.3">
      <c r="A82" s="8" t="s">
        <v>169</v>
      </c>
      <c r="B82" s="11">
        <v>82999.915999999997</v>
      </c>
      <c r="C82" s="10">
        <f t="shared" si="1"/>
        <v>12562.462</v>
      </c>
      <c r="D82" s="11">
        <v>12562.466</v>
      </c>
      <c r="E82" s="11">
        <v>1E-3</v>
      </c>
      <c r="F82" s="11">
        <v>14.901</v>
      </c>
      <c r="G82" s="11">
        <v>11.016</v>
      </c>
      <c r="H82" s="11">
        <v>15.352</v>
      </c>
      <c r="I82" s="11">
        <v>3.5910000000000002</v>
      </c>
      <c r="J82" s="11">
        <v>4.0000000000000001E-3</v>
      </c>
      <c r="K82" s="11">
        <v>0.56100000000000005</v>
      </c>
      <c r="L82" s="11">
        <v>0</v>
      </c>
      <c r="M82" s="11">
        <v>0</v>
      </c>
      <c r="N82" s="11">
        <v>0.21099999999999999</v>
      </c>
      <c r="O82" s="11">
        <v>15.420999999999999</v>
      </c>
      <c r="P82" s="11">
        <v>9.3369999999999997</v>
      </c>
      <c r="Q82" s="11">
        <v>0.26</v>
      </c>
      <c r="R82" s="11">
        <v>0.61499999999999999</v>
      </c>
      <c r="S82" s="11">
        <v>9.5579999999999998</v>
      </c>
      <c r="T82" s="11">
        <v>13.545</v>
      </c>
      <c r="U82" s="11">
        <v>60.505000000000003</v>
      </c>
      <c r="V82" s="11">
        <v>11.093999999999999</v>
      </c>
      <c r="W82" s="11">
        <v>36.963999999999999</v>
      </c>
      <c r="X82" s="11">
        <v>344.98099999999999</v>
      </c>
      <c r="Y82" s="11">
        <v>104.974</v>
      </c>
      <c r="Z82" s="11">
        <v>134.32599999999999</v>
      </c>
      <c r="AA82" s="11">
        <v>693.22199999999998</v>
      </c>
      <c r="AB82" s="11">
        <v>296.96499999999997</v>
      </c>
      <c r="AC82" s="11">
        <v>242.67</v>
      </c>
      <c r="AD82" s="11">
        <v>1202.508</v>
      </c>
      <c r="AE82" s="11">
        <v>455.8</v>
      </c>
      <c r="AF82" s="11">
        <v>440.94499999999999</v>
      </c>
      <c r="AG82" s="11">
        <v>383.4</v>
      </c>
      <c r="AH82" s="11">
        <v>167.40600000000001</v>
      </c>
      <c r="AI82" s="11">
        <v>5380.7280000000001</v>
      </c>
      <c r="AJ82" s="11">
        <v>39.146000000000001</v>
      </c>
      <c r="AK82" s="11">
        <v>55.103000000000002</v>
      </c>
      <c r="AL82" s="11">
        <v>0.13500000000000001</v>
      </c>
      <c r="AM82" s="11">
        <v>1.03</v>
      </c>
      <c r="AN82" s="11">
        <v>0</v>
      </c>
      <c r="AO82" s="11">
        <v>0</v>
      </c>
      <c r="AP82" s="11">
        <v>0</v>
      </c>
      <c r="AQ82" s="11">
        <v>0</v>
      </c>
      <c r="AR82" s="11">
        <v>0.59099999999999997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5.0000000000000001E-3</v>
      </c>
      <c r="BA82" s="11">
        <v>0.76200000000000001</v>
      </c>
      <c r="BB82" s="11">
        <v>0</v>
      </c>
      <c r="BC82" s="11">
        <v>0</v>
      </c>
      <c r="BD82" s="11">
        <v>0</v>
      </c>
      <c r="BE82" s="11">
        <v>0</v>
      </c>
      <c r="BF82" s="11">
        <v>1057.296</v>
      </c>
      <c r="BG82" s="11">
        <v>479.84199999999998</v>
      </c>
      <c r="BH82" s="11">
        <v>0</v>
      </c>
      <c r="BI82" s="11">
        <v>9.0999999999999998E-2</v>
      </c>
      <c r="BJ82" s="11">
        <v>0</v>
      </c>
      <c r="BK82" s="11">
        <v>0</v>
      </c>
      <c r="BL82" s="11">
        <v>0.13700000000000001</v>
      </c>
      <c r="BM82" s="11">
        <v>0</v>
      </c>
      <c r="BN82" s="11">
        <v>41.912999999999997</v>
      </c>
      <c r="BO82" s="11">
        <v>0</v>
      </c>
      <c r="BP82" s="11">
        <v>6.0709999999999997</v>
      </c>
      <c r="BQ82" s="11">
        <v>3.18</v>
      </c>
      <c r="BR82" s="11">
        <v>7.2859999999999996</v>
      </c>
      <c r="BS82" s="11">
        <v>1E-3</v>
      </c>
      <c r="BT82" s="11">
        <v>0.20200000000000001</v>
      </c>
      <c r="BU82" s="11">
        <v>575.66499999999996</v>
      </c>
      <c r="BV82" s="11">
        <v>0</v>
      </c>
      <c r="BW82" s="11">
        <v>1.0999999999999999E-2</v>
      </c>
      <c r="BX82" s="11">
        <v>237.35300000000001</v>
      </c>
      <c r="BY82" s="11">
        <v>0.36799999999999999</v>
      </c>
      <c r="BZ82" s="11">
        <v>8.2000000000000003E-2</v>
      </c>
      <c r="CA82" s="11">
        <v>1.6639999999999999</v>
      </c>
      <c r="CB82" s="11">
        <v>3.528</v>
      </c>
      <c r="CC82" s="11">
        <v>0</v>
      </c>
      <c r="CD82" s="11">
        <v>0.14299999999999999</v>
      </c>
      <c r="CE82" s="11">
        <v>70437.45</v>
      </c>
      <c r="CF82" s="11">
        <v>70418.039000000004</v>
      </c>
      <c r="CG82" s="11">
        <v>0.54900000000000004</v>
      </c>
      <c r="CH82" s="11">
        <v>18.841000000000001</v>
      </c>
      <c r="CI82" s="11">
        <v>0</v>
      </c>
      <c r="CJ82" s="11">
        <v>2.1000000000000001E-2</v>
      </c>
      <c r="CK82" s="11">
        <v>0</v>
      </c>
    </row>
    <row r="83" spans="1:89" x14ac:dyDescent="0.3">
      <c r="A83" s="7" t="s">
        <v>170</v>
      </c>
      <c r="B83" s="10">
        <v>100065.28599999999</v>
      </c>
      <c r="C83" s="10">
        <f t="shared" si="1"/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100065.28599999999</v>
      </c>
      <c r="CF83" s="10">
        <v>100065.28599999999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</row>
    <row r="84" spans="1:89" x14ac:dyDescent="0.3">
      <c r="A84" s="8" t="s">
        <v>171</v>
      </c>
      <c r="B84" s="11">
        <v>1305939.253</v>
      </c>
      <c r="C84" s="10">
        <f t="shared" si="1"/>
        <v>499.61900000000003</v>
      </c>
      <c r="D84" s="11">
        <v>499.61900000000003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41.317</v>
      </c>
      <c r="BG84" s="11">
        <v>21.135999999999999</v>
      </c>
      <c r="BH84" s="11">
        <v>437.166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1305439.6340000001</v>
      </c>
      <c r="CF84" s="11">
        <v>6950.0969999999998</v>
      </c>
      <c r="CG84" s="11">
        <v>1298489.537</v>
      </c>
      <c r="CH84" s="11">
        <v>0</v>
      </c>
      <c r="CI84" s="11">
        <v>0</v>
      </c>
      <c r="CJ84" s="11">
        <v>0</v>
      </c>
      <c r="CK84" s="11">
        <v>0</v>
      </c>
    </row>
    <row r="85" spans="1:89" x14ac:dyDescent="0.3">
      <c r="A85" s="7" t="s">
        <v>210</v>
      </c>
      <c r="B85" s="10">
        <v>41959242.141999997</v>
      </c>
      <c r="C85" s="10">
        <f t="shared" si="1"/>
        <v>11422258.607999999</v>
      </c>
      <c r="D85" s="10">
        <v>11610594.597999999</v>
      </c>
      <c r="E85" s="10">
        <v>109193.08100000001</v>
      </c>
      <c r="F85" s="10">
        <v>241255.58300000001</v>
      </c>
      <c r="G85" s="10">
        <v>4937.8810000000003</v>
      </c>
      <c r="H85" s="10">
        <v>10781.016</v>
      </c>
      <c r="I85" s="10">
        <v>3391.4960000000001</v>
      </c>
      <c r="J85" s="10">
        <v>188335.99</v>
      </c>
      <c r="K85" s="10">
        <v>115590.999</v>
      </c>
      <c r="L85" s="10">
        <v>65892.592000000004</v>
      </c>
      <c r="M85" s="10">
        <v>152897.495</v>
      </c>
      <c r="N85" s="10">
        <v>863011.549</v>
      </c>
      <c r="O85" s="10">
        <v>313582.13799999998</v>
      </c>
      <c r="P85" s="10">
        <v>91172.048999999999</v>
      </c>
      <c r="Q85" s="10">
        <v>1184812.713</v>
      </c>
      <c r="R85" s="10">
        <v>164606.33499999999</v>
      </c>
      <c r="S85" s="10">
        <v>47257.733999999997</v>
      </c>
      <c r="T85" s="10">
        <v>22145.876</v>
      </c>
      <c r="U85" s="10">
        <v>58881.326999999997</v>
      </c>
      <c r="V85" s="10">
        <v>35650.455999999998</v>
      </c>
      <c r="W85" s="10">
        <v>39495.43</v>
      </c>
      <c r="X85" s="10">
        <v>114668.905</v>
      </c>
      <c r="Y85" s="10">
        <v>39302.190999999999</v>
      </c>
      <c r="Z85" s="10">
        <v>410546.50300000003</v>
      </c>
      <c r="AA85" s="10">
        <v>438757.924</v>
      </c>
      <c r="AB85" s="10">
        <v>194542.46900000001</v>
      </c>
      <c r="AC85" s="10">
        <v>184881.13099999999</v>
      </c>
      <c r="AD85" s="10">
        <v>419953.21899999998</v>
      </c>
      <c r="AE85" s="10">
        <v>171800.68799999999</v>
      </c>
      <c r="AF85" s="10">
        <v>147627.34299999999</v>
      </c>
      <c r="AG85" s="10">
        <v>282399.05200000003</v>
      </c>
      <c r="AH85" s="10">
        <v>156749.049</v>
      </c>
      <c r="AI85" s="10">
        <v>1245329.889</v>
      </c>
      <c r="AJ85" s="10">
        <v>48790.826000000001</v>
      </c>
      <c r="AK85" s="10">
        <v>67004.347999999998</v>
      </c>
      <c r="AL85" s="10">
        <v>482015.14299999998</v>
      </c>
      <c r="AM85" s="10">
        <v>464266.57799999998</v>
      </c>
      <c r="AN85" s="10">
        <v>98907.006999999998</v>
      </c>
      <c r="AO85" s="10">
        <v>22382.686000000002</v>
      </c>
      <c r="AP85" s="10">
        <v>9638.7150000000001</v>
      </c>
      <c r="AQ85" s="10">
        <v>234648.671</v>
      </c>
      <c r="AR85" s="10">
        <v>199295.837</v>
      </c>
      <c r="AS85" s="10">
        <v>10513.936</v>
      </c>
      <c r="AT85" s="10">
        <v>1773.944</v>
      </c>
      <c r="AU85" s="10">
        <v>50296.946000000004</v>
      </c>
      <c r="AV85" s="10">
        <v>799.81700000000001</v>
      </c>
      <c r="AW85" s="10">
        <v>19010.108</v>
      </c>
      <c r="AX85" s="10">
        <v>24108.558000000001</v>
      </c>
      <c r="AY85" s="10">
        <v>10739.351000000001</v>
      </c>
      <c r="AZ85" s="10">
        <v>30432.351999999999</v>
      </c>
      <c r="BA85" s="10">
        <v>36683.006000000001</v>
      </c>
      <c r="BB85" s="10">
        <v>139551.09400000001</v>
      </c>
      <c r="BC85" s="10">
        <v>4810.3519999999999</v>
      </c>
      <c r="BD85" s="10">
        <v>1169.471</v>
      </c>
      <c r="BE85" s="10">
        <v>4964.2089999999998</v>
      </c>
      <c r="BF85" s="10">
        <v>243203.766</v>
      </c>
      <c r="BG85" s="10">
        <v>13921.724</v>
      </c>
      <c r="BH85" s="10">
        <v>167853.50700000001</v>
      </c>
      <c r="BI85" s="10">
        <v>143928.06599999999</v>
      </c>
      <c r="BJ85" s="10">
        <v>19660.982</v>
      </c>
      <c r="BK85" s="10">
        <v>296.16500000000002</v>
      </c>
      <c r="BL85" s="10">
        <v>108318.622</v>
      </c>
      <c r="BM85" s="10">
        <v>77918.016000000003</v>
      </c>
      <c r="BN85" s="10">
        <v>180672.897</v>
      </c>
      <c r="BO85" s="10">
        <v>8129.4449999999997</v>
      </c>
      <c r="BP85" s="10">
        <v>105776.12699999999</v>
      </c>
      <c r="BQ85" s="10">
        <v>86841.26</v>
      </c>
      <c r="BR85" s="10">
        <v>139405.86499999999</v>
      </c>
      <c r="BS85" s="10">
        <v>1628.7909999999999</v>
      </c>
      <c r="BT85" s="10">
        <v>15368.799000000001</v>
      </c>
      <c r="BU85" s="10">
        <v>11038.216</v>
      </c>
      <c r="BV85" s="10">
        <v>4200.9210000000003</v>
      </c>
      <c r="BW85" s="10">
        <v>31218.103999999999</v>
      </c>
      <c r="BX85" s="10">
        <v>122890.338</v>
      </c>
      <c r="BY85" s="10">
        <v>158374.36799999999</v>
      </c>
      <c r="BZ85" s="10">
        <v>67462.822</v>
      </c>
      <c r="CA85" s="10">
        <v>34838.866999999998</v>
      </c>
      <c r="CB85" s="10">
        <v>22849.374</v>
      </c>
      <c r="CC85" s="10">
        <v>0</v>
      </c>
      <c r="CD85" s="10">
        <v>363544.49800000002</v>
      </c>
      <c r="CE85" s="10">
        <v>30348647.544</v>
      </c>
      <c r="CF85" s="10">
        <v>14348215.111</v>
      </c>
      <c r="CG85" s="10">
        <v>2714421.74</v>
      </c>
      <c r="CH85" s="10">
        <v>4302118.5999999996</v>
      </c>
      <c r="CI85" s="10">
        <v>50133.572999999997</v>
      </c>
      <c r="CJ85" s="10">
        <v>8933758.5200000107</v>
      </c>
      <c r="CK85" s="10">
        <v>0</v>
      </c>
    </row>
    <row r="86" spans="1:89" x14ac:dyDescent="0.3">
      <c r="A86" s="8" t="s">
        <v>211</v>
      </c>
      <c r="B86" s="11">
        <v>9670671.8440000005</v>
      </c>
      <c r="C86" s="10">
        <f t="shared" si="1"/>
        <v>7088636.8290000008</v>
      </c>
      <c r="D86" s="11">
        <v>7162500.9630000005</v>
      </c>
      <c r="E86" s="11">
        <v>55991.9</v>
      </c>
      <c r="F86" s="11">
        <v>11373.053</v>
      </c>
      <c r="G86" s="11">
        <v>1142.809</v>
      </c>
      <c r="H86" s="11">
        <v>2378.2060000000001</v>
      </c>
      <c r="I86" s="11">
        <v>1057.4939999999999</v>
      </c>
      <c r="J86" s="11">
        <v>73864.134000000005</v>
      </c>
      <c r="K86" s="11">
        <v>36763.442999999999</v>
      </c>
      <c r="L86" s="11">
        <v>23310.226999999999</v>
      </c>
      <c r="M86" s="11">
        <v>103471.43700000001</v>
      </c>
      <c r="N86" s="11">
        <v>159393.35699999999</v>
      </c>
      <c r="O86" s="11">
        <v>36989.175999999999</v>
      </c>
      <c r="P86" s="11">
        <v>31450.295999999998</v>
      </c>
      <c r="Q86" s="11">
        <v>288062.66499999998</v>
      </c>
      <c r="R86" s="11">
        <v>57907.178999999996</v>
      </c>
      <c r="S86" s="11">
        <v>18816.240000000002</v>
      </c>
      <c r="T86" s="11">
        <v>7679.5039999999999</v>
      </c>
      <c r="U86" s="11">
        <v>42964.578999999998</v>
      </c>
      <c r="V86" s="11">
        <v>16989.578000000001</v>
      </c>
      <c r="W86" s="11">
        <v>11115.291999999999</v>
      </c>
      <c r="X86" s="11">
        <v>72565.975000000006</v>
      </c>
      <c r="Y86" s="11">
        <v>21520.647000000001</v>
      </c>
      <c r="Z86" s="11">
        <v>350045.00599999999</v>
      </c>
      <c r="AA86" s="11">
        <v>311394.23800000001</v>
      </c>
      <c r="AB86" s="11">
        <v>202209.818</v>
      </c>
      <c r="AC86" s="11">
        <v>53734.646000000001</v>
      </c>
      <c r="AD86" s="11">
        <v>201168.57800000001</v>
      </c>
      <c r="AE86" s="11">
        <v>169079.886</v>
      </c>
      <c r="AF86" s="11">
        <v>243960.07500000001</v>
      </c>
      <c r="AG86" s="11">
        <v>1224417.5930000001</v>
      </c>
      <c r="AH86" s="11">
        <v>274094.95699999999</v>
      </c>
      <c r="AI86" s="11">
        <v>1652378.4550000001</v>
      </c>
      <c r="AJ86" s="11">
        <v>33439.432999999997</v>
      </c>
      <c r="AK86" s="11">
        <v>253202.842</v>
      </c>
      <c r="AL86" s="11">
        <v>129236.49800000001</v>
      </c>
      <c r="AM86" s="11">
        <v>175796.261</v>
      </c>
      <c r="AN86" s="11">
        <v>57038.968999999997</v>
      </c>
      <c r="AO86" s="11">
        <v>7381.6549999999997</v>
      </c>
      <c r="AP86" s="11">
        <v>2986.1750000000002</v>
      </c>
      <c r="AQ86" s="11">
        <v>144341.41</v>
      </c>
      <c r="AR86" s="11">
        <v>69882.833999999901</v>
      </c>
      <c r="AS86" s="11">
        <v>2453.7460000000001</v>
      </c>
      <c r="AT86" s="11">
        <v>536.28499999999997</v>
      </c>
      <c r="AU86" s="11">
        <v>28856.936000000002</v>
      </c>
      <c r="AV86" s="11">
        <v>185.63300000000001</v>
      </c>
      <c r="AW86" s="11">
        <v>5028.0519999999997</v>
      </c>
      <c r="AX86" s="11">
        <v>11136.526</v>
      </c>
      <c r="AY86" s="11">
        <v>5286.8590000000004</v>
      </c>
      <c r="AZ86" s="11">
        <v>3007.366</v>
      </c>
      <c r="BA86" s="11">
        <v>12148.75</v>
      </c>
      <c r="BB86" s="11">
        <v>49899.288999999997</v>
      </c>
      <c r="BC86" s="11">
        <v>329.93700000000001</v>
      </c>
      <c r="BD86" s="11">
        <v>176.268</v>
      </c>
      <c r="BE86" s="11">
        <v>142.73599999999999</v>
      </c>
      <c r="BF86" s="11">
        <v>18817.239000000001</v>
      </c>
      <c r="BG86" s="11">
        <v>600.80899999999997</v>
      </c>
      <c r="BH86" s="11">
        <v>36410.25</v>
      </c>
      <c r="BI86" s="11">
        <v>40862.286999999997</v>
      </c>
      <c r="BJ86" s="11">
        <v>13325.748</v>
      </c>
      <c r="BK86" s="11">
        <v>99.17</v>
      </c>
      <c r="BL86" s="11">
        <v>39968.504999999997</v>
      </c>
      <c r="BM86" s="11">
        <v>7802.4350000000004</v>
      </c>
      <c r="BN86" s="11">
        <v>44016.540999999997</v>
      </c>
      <c r="BO86" s="11">
        <v>2608.5230000000001</v>
      </c>
      <c r="BP86" s="11">
        <v>26960.045999999998</v>
      </c>
      <c r="BQ86" s="11">
        <v>16405.288</v>
      </c>
      <c r="BR86" s="11">
        <v>27807.18</v>
      </c>
      <c r="BS86" s="11">
        <v>163.398</v>
      </c>
      <c r="BT86" s="11">
        <v>1626.1859999999999</v>
      </c>
      <c r="BU86" s="11">
        <v>3455.3180000000002</v>
      </c>
      <c r="BV86" s="11">
        <v>789.11300000000006</v>
      </c>
      <c r="BW86" s="11">
        <v>11545.575000000001</v>
      </c>
      <c r="BX86" s="11">
        <v>21083.057000000001</v>
      </c>
      <c r="BY86" s="11">
        <v>30525.916000000001</v>
      </c>
      <c r="BZ86" s="11">
        <v>21141.379000000001</v>
      </c>
      <c r="CA86" s="11">
        <v>12693.6</v>
      </c>
      <c r="CB86" s="11">
        <v>3366.6210000000001</v>
      </c>
      <c r="CC86" s="11">
        <v>0</v>
      </c>
      <c r="CD86" s="11">
        <v>30641.876</v>
      </c>
      <c r="CE86" s="11">
        <v>2508170.8810000001</v>
      </c>
      <c r="CF86" s="11">
        <v>1223353.531</v>
      </c>
      <c r="CG86" s="11">
        <v>0</v>
      </c>
      <c r="CH86" s="11">
        <v>1230986.3400000001</v>
      </c>
      <c r="CI86" s="11">
        <v>53831.01</v>
      </c>
      <c r="CJ86" s="11">
        <v>0</v>
      </c>
      <c r="CK86" s="11">
        <v>0</v>
      </c>
    </row>
    <row r="87" spans="1:89" x14ac:dyDescent="0.3">
      <c r="A87" s="7" t="s">
        <v>173</v>
      </c>
      <c r="B87" s="10">
        <v>282556.603</v>
      </c>
      <c r="C87" s="10" t="e">
        <f t="shared" si="1"/>
        <v>#VALUE!</v>
      </c>
      <c r="D87" s="13" t="s">
        <v>94</v>
      </c>
      <c r="E87" s="13" t="s">
        <v>94</v>
      </c>
      <c r="F87" s="13" t="s">
        <v>94</v>
      </c>
      <c r="G87" s="13" t="s">
        <v>94</v>
      </c>
      <c r="H87" s="13" t="s">
        <v>94</v>
      </c>
      <c r="I87" s="13" t="s">
        <v>94</v>
      </c>
      <c r="J87" s="13" t="s">
        <v>94</v>
      </c>
      <c r="K87" s="13" t="s">
        <v>94</v>
      </c>
      <c r="L87" s="13" t="s">
        <v>94</v>
      </c>
      <c r="M87" s="13" t="s">
        <v>94</v>
      </c>
      <c r="N87" s="13" t="s">
        <v>94</v>
      </c>
      <c r="O87" s="13" t="s">
        <v>94</v>
      </c>
      <c r="P87" s="13" t="s">
        <v>94</v>
      </c>
      <c r="Q87" s="13" t="s">
        <v>94</v>
      </c>
      <c r="R87" s="13" t="s">
        <v>94</v>
      </c>
      <c r="S87" s="13" t="s">
        <v>94</v>
      </c>
      <c r="T87" s="13" t="s">
        <v>94</v>
      </c>
      <c r="U87" s="13" t="s">
        <v>94</v>
      </c>
      <c r="V87" s="13" t="s">
        <v>94</v>
      </c>
      <c r="W87" s="13" t="s">
        <v>94</v>
      </c>
      <c r="X87" s="13" t="s">
        <v>94</v>
      </c>
      <c r="Y87" s="13" t="s">
        <v>94</v>
      </c>
      <c r="Z87" s="13" t="s">
        <v>94</v>
      </c>
      <c r="AA87" s="13" t="s">
        <v>94</v>
      </c>
      <c r="AB87" s="13" t="s">
        <v>94</v>
      </c>
      <c r="AC87" s="13" t="s">
        <v>94</v>
      </c>
      <c r="AD87" s="13" t="s">
        <v>94</v>
      </c>
      <c r="AE87" s="13" t="s">
        <v>94</v>
      </c>
      <c r="AF87" s="13" t="s">
        <v>94</v>
      </c>
      <c r="AG87" s="13" t="s">
        <v>94</v>
      </c>
      <c r="AH87" s="13" t="s">
        <v>94</v>
      </c>
      <c r="AI87" s="13" t="s">
        <v>94</v>
      </c>
      <c r="AJ87" s="13" t="s">
        <v>94</v>
      </c>
      <c r="AK87" s="13" t="s">
        <v>94</v>
      </c>
      <c r="AL87" s="13" t="s">
        <v>94</v>
      </c>
      <c r="AM87" s="13" t="s">
        <v>94</v>
      </c>
      <c r="AN87" s="13" t="s">
        <v>94</v>
      </c>
      <c r="AO87" s="13" t="s">
        <v>94</v>
      </c>
      <c r="AP87" s="13" t="s">
        <v>94</v>
      </c>
      <c r="AQ87" s="13" t="s">
        <v>94</v>
      </c>
      <c r="AR87" s="13" t="s">
        <v>94</v>
      </c>
      <c r="AS87" s="13" t="s">
        <v>94</v>
      </c>
      <c r="AT87" s="13" t="s">
        <v>94</v>
      </c>
      <c r="AU87" s="13" t="s">
        <v>94</v>
      </c>
      <c r="AV87" s="13" t="s">
        <v>94</v>
      </c>
      <c r="AW87" s="13" t="s">
        <v>94</v>
      </c>
      <c r="AX87" s="13" t="s">
        <v>94</v>
      </c>
      <c r="AY87" s="13" t="s">
        <v>94</v>
      </c>
      <c r="AZ87" s="13" t="s">
        <v>94</v>
      </c>
      <c r="BA87" s="13" t="s">
        <v>94</v>
      </c>
      <c r="BB87" s="13" t="s">
        <v>94</v>
      </c>
      <c r="BC87" s="13" t="s">
        <v>94</v>
      </c>
      <c r="BD87" s="13" t="s">
        <v>94</v>
      </c>
      <c r="BE87" s="13" t="s">
        <v>94</v>
      </c>
      <c r="BF87" s="13" t="s">
        <v>94</v>
      </c>
      <c r="BG87" s="13" t="s">
        <v>94</v>
      </c>
      <c r="BH87" s="13" t="s">
        <v>94</v>
      </c>
      <c r="BI87" s="13" t="s">
        <v>94</v>
      </c>
      <c r="BJ87" s="13" t="s">
        <v>94</v>
      </c>
      <c r="BK87" s="13" t="s">
        <v>94</v>
      </c>
      <c r="BL87" s="13" t="s">
        <v>94</v>
      </c>
      <c r="BM87" s="13" t="s">
        <v>94</v>
      </c>
      <c r="BN87" s="13" t="s">
        <v>94</v>
      </c>
      <c r="BO87" s="13" t="s">
        <v>94</v>
      </c>
      <c r="BP87" s="13" t="s">
        <v>94</v>
      </c>
      <c r="BQ87" s="13" t="s">
        <v>94</v>
      </c>
      <c r="BR87" s="13" t="s">
        <v>94</v>
      </c>
      <c r="BS87" s="13" t="s">
        <v>94</v>
      </c>
      <c r="BT87" s="13" t="s">
        <v>94</v>
      </c>
      <c r="BU87" s="13" t="s">
        <v>94</v>
      </c>
      <c r="BV87" s="13" t="s">
        <v>94</v>
      </c>
      <c r="BW87" s="13" t="s">
        <v>94</v>
      </c>
      <c r="BX87" s="13" t="s">
        <v>94</v>
      </c>
      <c r="BY87" s="13" t="s">
        <v>94</v>
      </c>
      <c r="BZ87" s="13" t="s">
        <v>94</v>
      </c>
      <c r="CA87" s="13" t="s">
        <v>94</v>
      </c>
      <c r="CB87" s="13" t="s">
        <v>94</v>
      </c>
      <c r="CC87" s="13" t="s">
        <v>94</v>
      </c>
      <c r="CD87" s="13" t="s">
        <v>94</v>
      </c>
      <c r="CE87" s="10">
        <v>282556.603</v>
      </c>
      <c r="CF87" s="10">
        <v>270999.24300000002</v>
      </c>
      <c r="CG87" s="10">
        <v>11557.36</v>
      </c>
      <c r="CH87" s="10">
        <v>0</v>
      </c>
      <c r="CI87" s="10">
        <v>0</v>
      </c>
      <c r="CJ87" s="10">
        <v>0</v>
      </c>
      <c r="CK87" s="10">
        <v>0</v>
      </c>
    </row>
    <row r="88" spans="1:89" x14ac:dyDescent="0.3">
      <c r="A88" s="8" t="s">
        <v>174</v>
      </c>
      <c r="B88" s="11">
        <v>5.8207660913467401E-11</v>
      </c>
      <c r="C88" s="10" t="e">
        <f t="shared" si="1"/>
        <v>#VALUE!</v>
      </c>
      <c r="D88" s="12" t="s">
        <v>94</v>
      </c>
      <c r="E88" s="12" t="s">
        <v>94</v>
      </c>
      <c r="F88" s="12" t="s">
        <v>94</v>
      </c>
      <c r="G88" s="12" t="s">
        <v>94</v>
      </c>
      <c r="H88" s="12" t="s">
        <v>94</v>
      </c>
      <c r="I88" s="12" t="s">
        <v>94</v>
      </c>
      <c r="J88" s="12" t="s">
        <v>94</v>
      </c>
      <c r="K88" s="12" t="s">
        <v>94</v>
      </c>
      <c r="L88" s="12" t="s">
        <v>94</v>
      </c>
      <c r="M88" s="12" t="s">
        <v>94</v>
      </c>
      <c r="N88" s="12" t="s">
        <v>94</v>
      </c>
      <c r="O88" s="12" t="s">
        <v>94</v>
      </c>
      <c r="P88" s="12" t="s">
        <v>94</v>
      </c>
      <c r="Q88" s="12" t="s">
        <v>94</v>
      </c>
      <c r="R88" s="12" t="s">
        <v>94</v>
      </c>
      <c r="S88" s="12" t="s">
        <v>94</v>
      </c>
      <c r="T88" s="12" t="s">
        <v>94</v>
      </c>
      <c r="U88" s="12" t="s">
        <v>94</v>
      </c>
      <c r="V88" s="12" t="s">
        <v>94</v>
      </c>
      <c r="W88" s="12" t="s">
        <v>94</v>
      </c>
      <c r="X88" s="12" t="s">
        <v>94</v>
      </c>
      <c r="Y88" s="12" t="s">
        <v>94</v>
      </c>
      <c r="Z88" s="12" t="s">
        <v>94</v>
      </c>
      <c r="AA88" s="12" t="s">
        <v>94</v>
      </c>
      <c r="AB88" s="12" t="s">
        <v>94</v>
      </c>
      <c r="AC88" s="12" t="s">
        <v>94</v>
      </c>
      <c r="AD88" s="12" t="s">
        <v>94</v>
      </c>
      <c r="AE88" s="12" t="s">
        <v>94</v>
      </c>
      <c r="AF88" s="12" t="s">
        <v>94</v>
      </c>
      <c r="AG88" s="12" t="s">
        <v>94</v>
      </c>
      <c r="AH88" s="12" t="s">
        <v>94</v>
      </c>
      <c r="AI88" s="12" t="s">
        <v>94</v>
      </c>
      <c r="AJ88" s="12" t="s">
        <v>94</v>
      </c>
      <c r="AK88" s="12" t="s">
        <v>94</v>
      </c>
      <c r="AL88" s="12" t="s">
        <v>94</v>
      </c>
      <c r="AM88" s="12" t="s">
        <v>94</v>
      </c>
      <c r="AN88" s="12" t="s">
        <v>94</v>
      </c>
      <c r="AO88" s="12" t="s">
        <v>94</v>
      </c>
      <c r="AP88" s="12" t="s">
        <v>94</v>
      </c>
      <c r="AQ88" s="12" t="s">
        <v>94</v>
      </c>
      <c r="AR88" s="12" t="s">
        <v>94</v>
      </c>
      <c r="AS88" s="12" t="s">
        <v>94</v>
      </c>
      <c r="AT88" s="12" t="s">
        <v>94</v>
      </c>
      <c r="AU88" s="12" t="s">
        <v>94</v>
      </c>
      <c r="AV88" s="12" t="s">
        <v>94</v>
      </c>
      <c r="AW88" s="12" t="s">
        <v>94</v>
      </c>
      <c r="AX88" s="12" t="s">
        <v>94</v>
      </c>
      <c r="AY88" s="12" t="s">
        <v>94</v>
      </c>
      <c r="AZ88" s="12" t="s">
        <v>94</v>
      </c>
      <c r="BA88" s="12" t="s">
        <v>94</v>
      </c>
      <c r="BB88" s="12" t="s">
        <v>94</v>
      </c>
      <c r="BC88" s="12" t="s">
        <v>94</v>
      </c>
      <c r="BD88" s="12" t="s">
        <v>94</v>
      </c>
      <c r="BE88" s="12" t="s">
        <v>94</v>
      </c>
      <c r="BF88" s="12" t="s">
        <v>94</v>
      </c>
      <c r="BG88" s="12" t="s">
        <v>94</v>
      </c>
      <c r="BH88" s="12" t="s">
        <v>94</v>
      </c>
      <c r="BI88" s="12" t="s">
        <v>94</v>
      </c>
      <c r="BJ88" s="12" t="s">
        <v>94</v>
      </c>
      <c r="BK88" s="12" t="s">
        <v>94</v>
      </c>
      <c r="BL88" s="12" t="s">
        <v>94</v>
      </c>
      <c r="BM88" s="12" t="s">
        <v>94</v>
      </c>
      <c r="BN88" s="12" t="s">
        <v>94</v>
      </c>
      <c r="BO88" s="12" t="s">
        <v>94</v>
      </c>
      <c r="BP88" s="12" t="s">
        <v>94</v>
      </c>
      <c r="BQ88" s="12" t="s">
        <v>94</v>
      </c>
      <c r="BR88" s="12" t="s">
        <v>94</v>
      </c>
      <c r="BS88" s="12" t="s">
        <v>94</v>
      </c>
      <c r="BT88" s="12" t="s">
        <v>94</v>
      </c>
      <c r="BU88" s="12" t="s">
        <v>94</v>
      </c>
      <c r="BV88" s="12" t="s">
        <v>94</v>
      </c>
      <c r="BW88" s="12" t="s">
        <v>94</v>
      </c>
      <c r="BX88" s="12" t="s">
        <v>94</v>
      </c>
      <c r="BY88" s="12" t="s">
        <v>94</v>
      </c>
      <c r="BZ88" s="12" t="s">
        <v>94</v>
      </c>
      <c r="CA88" s="12" t="s">
        <v>94</v>
      </c>
      <c r="CB88" s="12" t="s">
        <v>94</v>
      </c>
      <c r="CC88" s="12" t="s">
        <v>94</v>
      </c>
      <c r="CD88" s="12" t="s">
        <v>94</v>
      </c>
      <c r="CE88" s="11">
        <v>5.8207660913467401E-11</v>
      </c>
      <c r="CF88" s="11">
        <v>-501182.33399999997</v>
      </c>
      <c r="CG88" s="11">
        <v>-4581.3329999999996</v>
      </c>
      <c r="CH88" s="11">
        <v>0</v>
      </c>
      <c r="CI88" s="11">
        <v>0</v>
      </c>
      <c r="CJ88" s="11">
        <v>505763.66700000002</v>
      </c>
      <c r="CK88" s="11">
        <v>0</v>
      </c>
    </row>
    <row r="89" spans="1:89" x14ac:dyDescent="0.3">
      <c r="A89" s="7" t="s">
        <v>175</v>
      </c>
      <c r="B89" s="10">
        <v>282556.603</v>
      </c>
      <c r="C89" s="10" t="e">
        <f t="shared" si="1"/>
        <v>#VALUE!</v>
      </c>
      <c r="D89" s="13" t="s">
        <v>94</v>
      </c>
      <c r="E89" s="13" t="s">
        <v>94</v>
      </c>
      <c r="F89" s="13" t="s">
        <v>94</v>
      </c>
      <c r="G89" s="13" t="s">
        <v>94</v>
      </c>
      <c r="H89" s="13" t="s">
        <v>94</v>
      </c>
      <c r="I89" s="13" t="s">
        <v>94</v>
      </c>
      <c r="J89" s="13" t="s">
        <v>94</v>
      </c>
      <c r="K89" s="13" t="s">
        <v>94</v>
      </c>
      <c r="L89" s="13" t="s">
        <v>94</v>
      </c>
      <c r="M89" s="13" t="s">
        <v>94</v>
      </c>
      <c r="N89" s="13" t="s">
        <v>94</v>
      </c>
      <c r="O89" s="13" t="s">
        <v>94</v>
      </c>
      <c r="P89" s="13" t="s">
        <v>94</v>
      </c>
      <c r="Q89" s="13" t="s">
        <v>94</v>
      </c>
      <c r="R89" s="13" t="s">
        <v>94</v>
      </c>
      <c r="S89" s="13" t="s">
        <v>94</v>
      </c>
      <c r="T89" s="13" t="s">
        <v>94</v>
      </c>
      <c r="U89" s="13" t="s">
        <v>94</v>
      </c>
      <c r="V89" s="13" t="s">
        <v>94</v>
      </c>
      <c r="W89" s="13" t="s">
        <v>94</v>
      </c>
      <c r="X89" s="13" t="s">
        <v>94</v>
      </c>
      <c r="Y89" s="13" t="s">
        <v>94</v>
      </c>
      <c r="Z89" s="13" t="s">
        <v>94</v>
      </c>
      <c r="AA89" s="13" t="s">
        <v>94</v>
      </c>
      <c r="AB89" s="13" t="s">
        <v>94</v>
      </c>
      <c r="AC89" s="13" t="s">
        <v>94</v>
      </c>
      <c r="AD89" s="13" t="s">
        <v>94</v>
      </c>
      <c r="AE89" s="13" t="s">
        <v>94</v>
      </c>
      <c r="AF89" s="13" t="s">
        <v>94</v>
      </c>
      <c r="AG89" s="13" t="s">
        <v>94</v>
      </c>
      <c r="AH89" s="13" t="s">
        <v>94</v>
      </c>
      <c r="AI89" s="13" t="s">
        <v>94</v>
      </c>
      <c r="AJ89" s="13" t="s">
        <v>94</v>
      </c>
      <c r="AK89" s="13" t="s">
        <v>94</v>
      </c>
      <c r="AL89" s="13" t="s">
        <v>94</v>
      </c>
      <c r="AM89" s="13" t="s">
        <v>94</v>
      </c>
      <c r="AN89" s="13" t="s">
        <v>94</v>
      </c>
      <c r="AO89" s="13" t="s">
        <v>94</v>
      </c>
      <c r="AP89" s="13" t="s">
        <v>94</v>
      </c>
      <c r="AQ89" s="13" t="s">
        <v>94</v>
      </c>
      <c r="AR89" s="13" t="s">
        <v>94</v>
      </c>
      <c r="AS89" s="13" t="s">
        <v>94</v>
      </c>
      <c r="AT89" s="13" t="s">
        <v>94</v>
      </c>
      <c r="AU89" s="13" t="s">
        <v>94</v>
      </c>
      <c r="AV89" s="13" t="s">
        <v>94</v>
      </c>
      <c r="AW89" s="13" t="s">
        <v>94</v>
      </c>
      <c r="AX89" s="13" t="s">
        <v>94</v>
      </c>
      <c r="AY89" s="13" t="s">
        <v>94</v>
      </c>
      <c r="AZ89" s="13" t="s">
        <v>94</v>
      </c>
      <c r="BA89" s="13" t="s">
        <v>94</v>
      </c>
      <c r="BB89" s="13" t="s">
        <v>94</v>
      </c>
      <c r="BC89" s="13" t="s">
        <v>94</v>
      </c>
      <c r="BD89" s="13" t="s">
        <v>94</v>
      </c>
      <c r="BE89" s="13" t="s">
        <v>94</v>
      </c>
      <c r="BF89" s="13" t="s">
        <v>94</v>
      </c>
      <c r="BG89" s="13" t="s">
        <v>94</v>
      </c>
      <c r="BH89" s="13" t="s">
        <v>94</v>
      </c>
      <c r="BI89" s="13" t="s">
        <v>94</v>
      </c>
      <c r="BJ89" s="13" t="s">
        <v>94</v>
      </c>
      <c r="BK89" s="13" t="s">
        <v>94</v>
      </c>
      <c r="BL89" s="13" t="s">
        <v>94</v>
      </c>
      <c r="BM89" s="13" t="s">
        <v>94</v>
      </c>
      <c r="BN89" s="13" t="s">
        <v>94</v>
      </c>
      <c r="BO89" s="13" t="s">
        <v>94</v>
      </c>
      <c r="BP89" s="13" t="s">
        <v>94</v>
      </c>
      <c r="BQ89" s="13" t="s">
        <v>94</v>
      </c>
      <c r="BR89" s="13" t="s">
        <v>94</v>
      </c>
      <c r="BS89" s="13" t="s">
        <v>94</v>
      </c>
      <c r="BT89" s="13" t="s">
        <v>94</v>
      </c>
      <c r="BU89" s="13" t="s">
        <v>94</v>
      </c>
      <c r="BV89" s="13" t="s">
        <v>94</v>
      </c>
      <c r="BW89" s="13" t="s">
        <v>94</v>
      </c>
      <c r="BX89" s="13" t="s">
        <v>94</v>
      </c>
      <c r="BY89" s="13" t="s">
        <v>94</v>
      </c>
      <c r="BZ89" s="13" t="s">
        <v>94</v>
      </c>
      <c r="CA89" s="13" t="s">
        <v>94</v>
      </c>
      <c r="CB89" s="13" t="s">
        <v>94</v>
      </c>
      <c r="CC89" s="13" t="s">
        <v>94</v>
      </c>
      <c r="CD89" s="13" t="s">
        <v>94</v>
      </c>
      <c r="CE89" s="10">
        <v>282556.603</v>
      </c>
      <c r="CF89" s="10">
        <v>-230183.09099999999</v>
      </c>
      <c r="CG89" s="10">
        <v>6976.027</v>
      </c>
      <c r="CH89" s="10">
        <v>0</v>
      </c>
      <c r="CI89" s="10">
        <v>0</v>
      </c>
      <c r="CJ89" s="10">
        <v>505763.66700000002</v>
      </c>
      <c r="CK89" s="10">
        <v>0</v>
      </c>
    </row>
    <row r="90" spans="1:89" x14ac:dyDescent="0.3">
      <c r="A90" s="8" t="s">
        <v>212</v>
      </c>
      <c r="B90" s="11">
        <v>9953228.4470000006</v>
      </c>
      <c r="C90" s="10">
        <f t="shared" si="1"/>
        <v>7088636.8290000008</v>
      </c>
      <c r="D90" s="11">
        <v>7162500.9630000005</v>
      </c>
      <c r="E90" s="11">
        <v>55991.9</v>
      </c>
      <c r="F90" s="11">
        <v>11373.053</v>
      </c>
      <c r="G90" s="11">
        <v>1142.809</v>
      </c>
      <c r="H90" s="11">
        <v>2378.2060000000001</v>
      </c>
      <c r="I90" s="11">
        <v>1057.4939999999999</v>
      </c>
      <c r="J90" s="11">
        <v>73864.134000000005</v>
      </c>
      <c r="K90" s="11">
        <v>36763.442999999999</v>
      </c>
      <c r="L90" s="11">
        <v>23310.226999999999</v>
      </c>
      <c r="M90" s="11">
        <v>103471.43700000001</v>
      </c>
      <c r="N90" s="11">
        <v>159393.35699999999</v>
      </c>
      <c r="O90" s="11">
        <v>36989.175999999999</v>
      </c>
      <c r="P90" s="11">
        <v>31450.295999999998</v>
      </c>
      <c r="Q90" s="11">
        <v>288062.66499999998</v>
      </c>
      <c r="R90" s="11">
        <v>57907.178999999996</v>
      </c>
      <c r="S90" s="11">
        <v>18816.240000000002</v>
      </c>
      <c r="T90" s="11">
        <v>7679.5039999999999</v>
      </c>
      <c r="U90" s="11">
        <v>42964.578999999998</v>
      </c>
      <c r="V90" s="11">
        <v>16989.578000000001</v>
      </c>
      <c r="W90" s="11">
        <v>11115.291999999999</v>
      </c>
      <c r="X90" s="11">
        <v>72565.975000000006</v>
      </c>
      <c r="Y90" s="11">
        <v>21520.647000000001</v>
      </c>
      <c r="Z90" s="11">
        <v>350045.00599999999</v>
      </c>
      <c r="AA90" s="11">
        <v>311394.23800000001</v>
      </c>
      <c r="AB90" s="11">
        <v>202209.818</v>
      </c>
      <c r="AC90" s="11">
        <v>53734.646000000001</v>
      </c>
      <c r="AD90" s="11">
        <v>201168.57800000001</v>
      </c>
      <c r="AE90" s="11">
        <v>169079.886</v>
      </c>
      <c r="AF90" s="11">
        <v>243960.07500000001</v>
      </c>
      <c r="AG90" s="11">
        <v>1224417.5930000001</v>
      </c>
      <c r="AH90" s="11">
        <v>274094.95699999999</v>
      </c>
      <c r="AI90" s="11">
        <v>1652378.4550000001</v>
      </c>
      <c r="AJ90" s="11">
        <v>33439.432999999997</v>
      </c>
      <c r="AK90" s="11">
        <v>253202.842</v>
      </c>
      <c r="AL90" s="11">
        <v>129236.49800000001</v>
      </c>
      <c r="AM90" s="11">
        <v>175796.261</v>
      </c>
      <c r="AN90" s="11">
        <v>57038.968999999997</v>
      </c>
      <c r="AO90" s="11">
        <v>7381.6549999999997</v>
      </c>
      <c r="AP90" s="11">
        <v>2986.1750000000002</v>
      </c>
      <c r="AQ90" s="11">
        <v>144341.41</v>
      </c>
      <c r="AR90" s="11">
        <v>69882.833999999901</v>
      </c>
      <c r="AS90" s="11">
        <v>2453.7460000000001</v>
      </c>
      <c r="AT90" s="11">
        <v>536.28499999999997</v>
      </c>
      <c r="AU90" s="11">
        <v>28856.936000000002</v>
      </c>
      <c r="AV90" s="11">
        <v>185.63300000000001</v>
      </c>
      <c r="AW90" s="11">
        <v>5028.0519999999997</v>
      </c>
      <c r="AX90" s="11">
        <v>11136.526</v>
      </c>
      <c r="AY90" s="11">
        <v>5286.8590000000004</v>
      </c>
      <c r="AZ90" s="11">
        <v>3007.366</v>
      </c>
      <c r="BA90" s="11">
        <v>12148.75</v>
      </c>
      <c r="BB90" s="11">
        <v>49899.288999999997</v>
      </c>
      <c r="BC90" s="11">
        <v>329.93700000000001</v>
      </c>
      <c r="BD90" s="11">
        <v>176.268</v>
      </c>
      <c r="BE90" s="11">
        <v>142.73599999999999</v>
      </c>
      <c r="BF90" s="11">
        <v>18817.239000000001</v>
      </c>
      <c r="BG90" s="11">
        <v>600.80899999999997</v>
      </c>
      <c r="BH90" s="11">
        <v>36410.25</v>
      </c>
      <c r="BI90" s="11">
        <v>40862.286999999997</v>
      </c>
      <c r="BJ90" s="11">
        <v>13325.748</v>
      </c>
      <c r="BK90" s="11">
        <v>99.17</v>
      </c>
      <c r="BL90" s="11">
        <v>39968.504999999997</v>
      </c>
      <c r="BM90" s="11">
        <v>7802.4350000000004</v>
      </c>
      <c r="BN90" s="11">
        <v>44016.540999999997</v>
      </c>
      <c r="BO90" s="11">
        <v>2608.5230000000001</v>
      </c>
      <c r="BP90" s="11">
        <v>26960.045999999998</v>
      </c>
      <c r="BQ90" s="11">
        <v>16405.288</v>
      </c>
      <c r="BR90" s="11">
        <v>27807.18</v>
      </c>
      <c r="BS90" s="11">
        <v>163.398</v>
      </c>
      <c r="BT90" s="11">
        <v>1626.1859999999999</v>
      </c>
      <c r="BU90" s="11">
        <v>3455.3180000000002</v>
      </c>
      <c r="BV90" s="11">
        <v>789.11300000000006</v>
      </c>
      <c r="BW90" s="11">
        <v>11545.575000000001</v>
      </c>
      <c r="BX90" s="11">
        <v>21083.057000000001</v>
      </c>
      <c r="BY90" s="11">
        <v>30525.916000000001</v>
      </c>
      <c r="BZ90" s="11">
        <v>21141.379000000001</v>
      </c>
      <c r="CA90" s="11">
        <v>12693.6</v>
      </c>
      <c r="CB90" s="11">
        <v>3366.6210000000001</v>
      </c>
      <c r="CC90" s="11">
        <v>0</v>
      </c>
      <c r="CD90" s="11">
        <v>30641.876</v>
      </c>
      <c r="CE90" s="11">
        <v>2790727.4840000002</v>
      </c>
      <c r="CF90" s="11">
        <v>993170.44</v>
      </c>
      <c r="CG90" s="11">
        <v>6976.027</v>
      </c>
      <c r="CH90" s="11">
        <v>1230986.3400000001</v>
      </c>
      <c r="CI90" s="11">
        <v>53831.01</v>
      </c>
      <c r="CJ90" s="11">
        <v>505763.66700000002</v>
      </c>
      <c r="CK90" s="11">
        <v>0</v>
      </c>
    </row>
    <row r="91" spans="1:89" x14ac:dyDescent="0.3">
      <c r="A91" s="7" t="s">
        <v>177</v>
      </c>
      <c r="B91" s="10">
        <v>1393818.827</v>
      </c>
      <c r="C91" s="10">
        <f t="shared" si="1"/>
        <v>313225.554</v>
      </c>
      <c r="D91" s="10">
        <v>316020.91499999998</v>
      </c>
      <c r="E91" s="10">
        <v>1306.8979999999999</v>
      </c>
      <c r="F91" s="10">
        <v>312.005</v>
      </c>
      <c r="G91" s="10">
        <v>56.494999999999997</v>
      </c>
      <c r="H91" s="10">
        <v>237.708</v>
      </c>
      <c r="I91" s="10">
        <v>31.071000000000002</v>
      </c>
      <c r="J91" s="10">
        <v>2795.3609999999999</v>
      </c>
      <c r="K91" s="10">
        <v>4291.201</v>
      </c>
      <c r="L91" s="10">
        <v>2013.14</v>
      </c>
      <c r="M91" s="10">
        <v>22558.955000000002</v>
      </c>
      <c r="N91" s="10">
        <v>2982.864</v>
      </c>
      <c r="O91" s="10">
        <v>3570.3609999999999</v>
      </c>
      <c r="P91" s="10">
        <v>349.786</v>
      </c>
      <c r="Q91" s="10">
        <v>6473.3069999999998</v>
      </c>
      <c r="R91" s="10">
        <v>1480.3209999999999</v>
      </c>
      <c r="S91" s="10">
        <v>184.55</v>
      </c>
      <c r="T91" s="10">
        <v>95.783000000000001</v>
      </c>
      <c r="U91" s="10">
        <v>378.85899999999998</v>
      </c>
      <c r="V91" s="10">
        <v>164.24100000000001</v>
      </c>
      <c r="W91" s="10">
        <v>143.733</v>
      </c>
      <c r="X91" s="10">
        <v>1068.6969999999999</v>
      </c>
      <c r="Y91" s="10">
        <v>421.91</v>
      </c>
      <c r="Z91" s="10">
        <v>74266.668000000005</v>
      </c>
      <c r="AA91" s="10">
        <v>10021.325999999999</v>
      </c>
      <c r="AB91" s="10">
        <v>1927.1389999999999</v>
      </c>
      <c r="AC91" s="10">
        <v>1713.18</v>
      </c>
      <c r="AD91" s="10">
        <v>2309.5430000000001</v>
      </c>
      <c r="AE91" s="10">
        <v>1292.634</v>
      </c>
      <c r="AF91" s="10">
        <v>560.99</v>
      </c>
      <c r="AG91" s="10">
        <v>834.19799999999998</v>
      </c>
      <c r="AH91" s="10">
        <v>668.49400000000003</v>
      </c>
      <c r="AI91" s="10">
        <v>5283.8980000000001</v>
      </c>
      <c r="AJ91" s="10">
        <v>234.804</v>
      </c>
      <c r="AK91" s="10">
        <v>310.73500000000001</v>
      </c>
      <c r="AL91" s="10">
        <v>14821.402</v>
      </c>
      <c r="AM91" s="10">
        <v>8958.1790000000001</v>
      </c>
      <c r="AN91" s="10">
        <v>9903.7019999999993</v>
      </c>
      <c r="AO91" s="10">
        <v>1145.789</v>
      </c>
      <c r="AP91" s="10">
        <v>567.66899999999998</v>
      </c>
      <c r="AQ91" s="10">
        <v>12725.16</v>
      </c>
      <c r="AR91" s="10">
        <v>9315.6290000000008</v>
      </c>
      <c r="AS91" s="10">
        <v>200.57300000000001</v>
      </c>
      <c r="AT91" s="10">
        <v>61.499000000000002</v>
      </c>
      <c r="AU91" s="10">
        <v>504.952</v>
      </c>
      <c r="AV91" s="10">
        <v>5.2939999999999996</v>
      </c>
      <c r="AW91" s="10">
        <v>604.38099999999997</v>
      </c>
      <c r="AX91" s="10">
        <v>314.12900000000002</v>
      </c>
      <c r="AY91" s="10">
        <v>68.557000000000002</v>
      </c>
      <c r="AZ91" s="10">
        <v>210.51499999999999</v>
      </c>
      <c r="BA91" s="10">
        <v>517.01800000000003</v>
      </c>
      <c r="BB91" s="10">
        <v>1225.02</v>
      </c>
      <c r="BC91" s="10">
        <v>12.37</v>
      </c>
      <c r="BD91" s="10">
        <v>28.966999999999999</v>
      </c>
      <c r="BE91" s="10">
        <v>6.3559999999999999</v>
      </c>
      <c r="BF91" s="10">
        <v>340.46800000000002</v>
      </c>
      <c r="BG91" s="10">
        <v>56.386000000000003</v>
      </c>
      <c r="BH91" s="10">
        <v>82.381</v>
      </c>
      <c r="BI91" s="10">
        <v>2043.191</v>
      </c>
      <c r="BJ91" s="10">
        <v>281.85000000000002</v>
      </c>
      <c r="BK91" s="10">
        <v>4.9290000000000003</v>
      </c>
      <c r="BL91" s="10">
        <v>1896.396</v>
      </c>
      <c r="BM91" s="10">
        <v>1161.2670000000001</v>
      </c>
      <c r="BN91" s="10">
        <v>1411.3209999999999</v>
      </c>
      <c r="BO91" s="10">
        <v>62.231999999999999</v>
      </c>
      <c r="BP91" s="10">
        <v>8837.6190000000006</v>
      </c>
      <c r="BQ91" s="10">
        <v>6752.0460000000003</v>
      </c>
      <c r="BR91" s="10">
        <v>8396.3880000000008</v>
      </c>
      <c r="BS91" s="10">
        <v>28.166</v>
      </c>
      <c r="BT91" s="10">
        <v>747.39099999999996</v>
      </c>
      <c r="BU91" s="10">
        <v>531.37</v>
      </c>
      <c r="BV91" s="10">
        <v>269.61700000000002</v>
      </c>
      <c r="BW91" s="10">
        <v>581.60199999999998</v>
      </c>
      <c r="BX91" s="10">
        <v>7037.4110000000001</v>
      </c>
      <c r="BY91" s="10">
        <v>6332.317</v>
      </c>
      <c r="BZ91" s="10">
        <v>183.45599999999999</v>
      </c>
      <c r="CA91" s="10">
        <v>169.50800000000001</v>
      </c>
      <c r="CB91" s="10">
        <v>89.682000000000002</v>
      </c>
      <c r="CC91" s="10">
        <v>0</v>
      </c>
      <c r="CD91" s="10">
        <v>57185.904999999999</v>
      </c>
      <c r="CE91" s="10">
        <v>1077797.912</v>
      </c>
      <c r="CF91" s="10">
        <v>1038457.4449999999</v>
      </c>
      <c r="CG91" s="10">
        <v>0</v>
      </c>
      <c r="CH91" s="10">
        <v>39340.29</v>
      </c>
      <c r="CI91" s="10">
        <v>0</v>
      </c>
      <c r="CJ91" s="10">
        <v>0.17699999999999999</v>
      </c>
      <c r="CK91" s="10">
        <v>0</v>
      </c>
    </row>
    <row r="92" spans="1:89" x14ac:dyDescent="0.3">
      <c r="A92" s="8" t="s">
        <v>178</v>
      </c>
      <c r="B92" s="11">
        <v>90793.994000000006</v>
      </c>
      <c r="C92" s="10">
        <f t="shared" si="1"/>
        <v>3517.0050000000001</v>
      </c>
      <c r="D92" s="11">
        <v>3519.875</v>
      </c>
      <c r="E92" s="11">
        <v>0</v>
      </c>
      <c r="F92" s="11">
        <v>4.5439999999999996</v>
      </c>
      <c r="G92" s="11">
        <v>0.115</v>
      </c>
      <c r="H92" s="11">
        <v>27.097999999999999</v>
      </c>
      <c r="I92" s="11">
        <v>2.1999999999999999E-2</v>
      </c>
      <c r="J92" s="11">
        <v>2.87</v>
      </c>
      <c r="K92" s="11">
        <v>0.21299999999999999</v>
      </c>
      <c r="L92" s="11">
        <v>0.20499999999999999</v>
      </c>
      <c r="M92" s="11">
        <v>0.19600000000000001</v>
      </c>
      <c r="N92" s="11">
        <v>1.5329999999999999</v>
      </c>
      <c r="O92" s="11">
        <v>26.393000000000001</v>
      </c>
      <c r="P92" s="11">
        <v>0.14299999999999999</v>
      </c>
      <c r="Q92" s="11">
        <v>1.103</v>
      </c>
      <c r="R92" s="11">
        <v>0.105</v>
      </c>
      <c r="S92" s="11">
        <v>2.4E-2</v>
      </c>
      <c r="T92" s="11">
        <v>7.1999999999999995E-2</v>
      </c>
      <c r="U92" s="11">
        <v>0.155</v>
      </c>
      <c r="V92" s="11">
        <v>2.8000000000000001E-2</v>
      </c>
      <c r="W92" s="11">
        <v>0.04</v>
      </c>
      <c r="X92" s="11">
        <v>0.222</v>
      </c>
      <c r="Y92" s="11">
        <v>0.58199999999999996</v>
      </c>
      <c r="Z92" s="11">
        <v>5.2999999999999999E-2</v>
      </c>
      <c r="AA92" s="11">
        <v>0.52</v>
      </c>
      <c r="AB92" s="11">
        <v>0.26600000000000001</v>
      </c>
      <c r="AC92" s="11">
        <v>0.30099999999999999</v>
      </c>
      <c r="AD92" s="11">
        <v>0.46899999999999997</v>
      </c>
      <c r="AE92" s="11">
        <v>0.28999999999999998</v>
      </c>
      <c r="AF92" s="11">
        <v>0.38200000000000001</v>
      </c>
      <c r="AG92" s="11">
        <v>0.47</v>
      </c>
      <c r="AH92" s="11">
        <v>0.13500000000000001</v>
      </c>
      <c r="AI92" s="11">
        <v>1.4530000000000001</v>
      </c>
      <c r="AJ92" s="11">
        <v>9.1999999999999998E-2</v>
      </c>
      <c r="AK92" s="11">
        <v>0.11600000000000001</v>
      </c>
      <c r="AL92" s="11">
        <v>10.808</v>
      </c>
      <c r="AM92" s="11">
        <v>177.251</v>
      </c>
      <c r="AN92" s="11">
        <v>2.7850000000000001</v>
      </c>
      <c r="AO92" s="11">
        <v>0.159</v>
      </c>
      <c r="AP92" s="11">
        <v>28.561</v>
      </c>
      <c r="AQ92" s="11">
        <v>0.37</v>
      </c>
      <c r="AR92" s="11">
        <v>0.16700000000000001</v>
      </c>
      <c r="AS92" s="11">
        <v>0.44</v>
      </c>
      <c r="AT92" s="11">
        <v>2.835</v>
      </c>
      <c r="AU92" s="11">
        <v>0.248</v>
      </c>
      <c r="AV92" s="11">
        <v>54.938000000000002</v>
      </c>
      <c r="AW92" s="11">
        <v>6.4000000000000001E-2</v>
      </c>
      <c r="AX92" s="11">
        <v>0.29199999999999998</v>
      </c>
      <c r="AY92" s="11">
        <v>0.13200000000000001</v>
      </c>
      <c r="AZ92" s="11">
        <v>0.38</v>
      </c>
      <c r="BA92" s="11">
        <v>416.20299999999997</v>
      </c>
      <c r="BB92" s="11">
        <v>469.29399999999998</v>
      </c>
      <c r="BC92" s="11">
        <v>4.1000000000000002E-2</v>
      </c>
      <c r="BD92" s="11">
        <v>0.20399999999999999</v>
      </c>
      <c r="BE92" s="11">
        <v>54.212000000000003</v>
      </c>
      <c r="BF92" s="11">
        <v>683.36800000000005</v>
      </c>
      <c r="BG92" s="11">
        <v>15.574</v>
      </c>
      <c r="BH92" s="11">
        <v>514.98500000000001</v>
      </c>
      <c r="BI92" s="11">
        <v>5.4459999999999997</v>
      </c>
      <c r="BJ92" s="11">
        <v>0.218</v>
      </c>
      <c r="BK92" s="11">
        <v>5.0000000000000001E-3</v>
      </c>
      <c r="BL92" s="11">
        <v>16.094000000000001</v>
      </c>
      <c r="BM92" s="11">
        <v>5.9749999999999996</v>
      </c>
      <c r="BN92" s="11">
        <v>19.596</v>
      </c>
      <c r="BO92" s="11">
        <v>0.13400000000000001</v>
      </c>
      <c r="BP92" s="11">
        <v>106.133</v>
      </c>
      <c r="BQ92" s="11">
        <v>17.675999999999998</v>
      </c>
      <c r="BR92" s="11">
        <v>20.309000000000001</v>
      </c>
      <c r="BS92" s="11">
        <v>2.1999999999999999E-2</v>
      </c>
      <c r="BT92" s="11">
        <v>1.016</v>
      </c>
      <c r="BU92" s="11">
        <v>1.1779999999999999</v>
      </c>
      <c r="BV92" s="11">
        <v>3.6739999999999999</v>
      </c>
      <c r="BW92" s="11">
        <v>1.782</v>
      </c>
      <c r="BX92" s="11">
        <v>5.149</v>
      </c>
      <c r="BY92" s="11">
        <v>0.59399999999999997</v>
      </c>
      <c r="BZ92" s="11">
        <v>0.68300000000000005</v>
      </c>
      <c r="CA92" s="11">
        <v>1.946</v>
      </c>
      <c r="CB92" s="11">
        <v>2.2890000000000001</v>
      </c>
      <c r="CC92" s="11">
        <v>0</v>
      </c>
      <c r="CD92" s="11">
        <v>806.43499999999995</v>
      </c>
      <c r="CE92" s="11">
        <v>87274.119000000006</v>
      </c>
      <c r="CF92" s="11">
        <v>86940.415999999997</v>
      </c>
      <c r="CG92" s="11">
        <v>0</v>
      </c>
      <c r="CH92" s="11">
        <v>333.70299999999997</v>
      </c>
      <c r="CI92" s="11">
        <v>0</v>
      </c>
      <c r="CJ92" s="11">
        <v>0</v>
      </c>
      <c r="CK92" s="11">
        <v>0</v>
      </c>
    </row>
    <row r="93" spans="1:89" x14ac:dyDescent="0.3">
      <c r="A93" s="7" t="s">
        <v>179</v>
      </c>
      <c r="B93" s="10">
        <v>1303024.8330000001</v>
      </c>
      <c r="C93" s="10">
        <f t="shared" si="1"/>
        <v>309708.549</v>
      </c>
      <c r="D93" s="10">
        <v>312501.03999999998</v>
      </c>
      <c r="E93" s="10">
        <v>1306.8979999999999</v>
      </c>
      <c r="F93" s="10">
        <v>307.46100000000001</v>
      </c>
      <c r="G93" s="10">
        <v>56.38</v>
      </c>
      <c r="H93" s="10">
        <v>210.61</v>
      </c>
      <c r="I93" s="10">
        <v>31.048999999999999</v>
      </c>
      <c r="J93" s="10">
        <v>2792.491</v>
      </c>
      <c r="K93" s="10">
        <v>4290.9880000000003</v>
      </c>
      <c r="L93" s="10">
        <v>2012.9349999999999</v>
      </c>
      <c r="M93" s="10">
        <v>22558.758999999998</v>
      </c>
      <c r="N93" s="10">
        <v>2981.3310000000001</v>
      </c>
      <c r="O93" s="10">
        <v>3543.9679999999998</v>
      </c>
      <c r="P93" s="10">
        <v>349.64299999999997</v>
      </c>
      <c r="Q93" s="10">
        <v>6472.2039999999997</v>
      </c>
      <c r="R93" s="10">
        <v>1480.2159999999999</v>
      </c>
      <c r="S93" s="10">
        <v>184.52600000000001</v>
      </c>
      <c r="T93" s="10">
        <v>95.710999999999999</v>
      </c>
      <c r="U93" s="10">
        <v>378.70400000000001</v>
      </c>
      <c r="V93" s="10">
        <v>164.21299999999999</v>
      </c>
      <c r="W93" s="10">
        <v>143.69300000000001</v>
      </c>
      <c r="X93" s="10">
        <v>1068.4749999999999</v>
      </c>
      <c r="Y93" s="10">
        <v>421.32799999999997</v>
      </c>
      <c r="Z93" s="10">
        <v>74266.615000000005</v>
      </c>
      <c r="AA93" s="10">
        <v>10020.806</v>
      </c>
      <c r="AB93" s="10">
        <v>1926.873</v>
      </c>
      <c r="AC93" s="10">
        <v>1712.8789999999999</v>
      </c>
      <c r="AD93" s="10">
        <v>2309.0740000000001</v>
      </c>
      <c r="AE93" s="10">
        <v>1292.3440000000001</v>
      </c>
      <c r="AF93" s="10">
        <v>560.60799999999995</v>
      </c>
      <c r="AG93" s="10">
        <v>833.72799999999995</v>
      </c>
      <c r="AH93" s="10">
        <v>668.35900000000004</v>
      </c>
      <c r="AI93" s="10">
        <v>5282.4449999999997</v>
      </c>
      <c r="AJ93" s="10">
        <v>234.71199999999999</v>
      </c>
      <c r="AK93" s="10">
        <v>310.61900000000003</v>
      </c>
      <c r="AL93" s="10">
        <v>14810.593999999999</v>
      </c>
      <c r="AM93" s="10">
        <v>8780.9279999999999</v>
      </c>
      <c r="AN93" s="10">
        <v>9900.9169999999995</v>
      </c>
      <c r="AO93" s="10">
        <v>1145.6300000000001</v>
      </c>
      <c r="AP93" s="10">
        <v>539.10799999999995</v>
      </c>
      <c r="AQ93" s="10">
        <v>12724.79</v>
      </c>
      <c r="AR93" s="10">
        <v>9315.4619999999995</v>
      </c>
      <c r="AS93" s="10">
        <v>200.13300000000001</v>
      </c>
      <c r="AT93" s="10">
        <v>58.664000000000001</v>
      </c>
      <c r="AU93" s="10">
        <v>504.70400000000001</v>
      </c>
      <c r="AV93" s="10">
        <v>-49.643999999999998</v>
      </c>
      <c r="AW93" s="10">
        <v>604.31700000000001</v>
      </c>
      <c r="AX93" s="10">
        <v>313.83699999999999</v>
      </c>
      <c r="AY93" s="10">
        <v>68.424999999999997</v>
      </c>
      <c r="AZ93" s="10">
        <v>210.13499999999999</v>
      </c>
      <c r="BA93" s="10">
        <v>100.815</v>
      </c>
      <c r="BB93" s="10">
        <v>755.726</v>
      </c>
      <c r="BC93" s="10">
        <v>12.329000000000001</v>
      </c>
      <c r="BD93" s="10">
        <v>28.763000000000002</v>
      </c>
      <c r="BE93" s="10">
        <v>-47.856000000000002</v>
      </c>
      <c r="BF93" s="10">
        <v>-342.9</v>
      </c>
      <c r="BG93" s="10">
        <v>40.811999999999998</v>
      </c>
      <c r="BH93" s="10">
        <v>-432.60399999999998</v>
      </c>
      <c r="BI93" s="10">
        <v>2037.7449999999999</v>
      </c>
      <c r="BJ93" s="10">
        <v>281.63200000000001</v>
      </c>
      <c r="BK93" s="10">
        <v>4.9240000000000004</v>
      </c>
      <c r="BL93" s="10">
        <v>1880.3019999999999</v>
      </c>
      <c r="BM93" s="10">
        <v>1155.2919999999999</v>
      </c>
      <c r="BN93" s="10">
        <v>1391.7249999999999</v>
      </c>
      <c r="BO93" s="10">
        <v>62.097999999999999</v>
      </c>
      <c r="BP93" s="10">
        <v>8731.4860000000008</v>
      </c>
      <c r="BQ93" s="10">
        <v>6734.37</v>
      </c>
      <c r="BR93" s="10">
        <v>8376.0789999999997</v>
      </c>
      <c r="BS93" s="10">
        <v>28.143999999999998</v>
      </c>
      <c r="BT93" s="10">
        <v>746.375</v>
      </c>
      <c r="BU93" s="10">
        <v>530.19200000000001</v>
      </c>
      <c r="BV93" s="10">
        <v>265.94299999999998</v>
      </c>
      <c r="BW93" s="10">
        <v>579.82000000000005</v>
      </c>
      <c r="BX93" s="10">
        <v>7032.2619999999997</v>
      </c>
      <c r="BY93" s="10">
        <v>6331.723</v>
      </c>
      <c r="BZ93" s="10">
        <v>182.773</v>
      </c>
      <c r="CA93" s="10">
        <v>167.56200000000001</v>
      </c>
      <c r="CB93" s="10">
        <v>87.393000000000001</v>
      </c>
      <c r="CC93" s="10">
        <v>0</v>
      </c>
      <c r="CD93" s="10">
        <v>56379.47</v>
      </c>
      <c r="CE93" s="10">
        <v>990523.79299999995</v>
      </c>
      <c r="CF93" s="10">
        <v>951517.02899999998</v>
      </c>
      <c r="CG93" s="10">
        <v>0</v>
      </c>
      <c r="CH93" s="10">
        <v>39006.587</v>
      </c>
      <c r="CI93" s="10">
        <v>0</v>
      </c>
      <c r="CJ93" s="10">
        <v>0.17699999999999999</v>
      </c>
      <c r="CK93" s="10">
        <v>0</v>
      </c>
    </row>
    <row r="94" spans="1:89" x14ac:dyDescent="0.3">
      <c r="A94" s="8" t="s">
        <v>213</v>
      </c>
      <c r="B94" s="11">
        <v>53215495.421999998</v>
      </c>
      <c r="C94" s="10">
        <f t="shared" si="1"/>
        <v>18820603.986000001</v>
      </c>
      <c r="D94" s="11">
        <v>19085596.601</v>
      </c>
      <c r="E94" s="11">
        <v>166491.87899999999</v>
      </c>
      <c r="F94" s="11">
        <v>252936.09700000001</v>
      </c>
      <c r="G94" s="11">
        <v>6137.07</v>
      </c>
      <c r="H94" s="11">
        <v>13369.832</v>
      </c>
      <c r="I94" s="11">
        <v>4480.0389999999998</v>
      </c>
      <c r="J94" s="11">
        <v>264992.61499999999</v>
      </c>
      <c r="K94" s="11">
        <v>156645.43</v>
      </c>
      <c r="L94" s="11">
        <v>91215.754000000001</v>
      </c>
      <c r="M94" s="11">
        <v>278927.69099999999</v>
      </c>
      <c r="N94" s="11">
        <v>1025386.237</v>
      </c>
      <c r="O94" s="11">
        <v>354115.28200000001</v>
      </c>
      <c r="P94" s="11">
        <v>122971.988</v>
      </c>
      <c r="Q94" s="11">
        <v>1479347.5819999999</v>
      </c>
      <c r="R94" s="11">
        <v>223993.73</v>
      </c>
      <c r="S94" s="11">
        <v>66258.5</v>
      </c>
      <c r="T94" s="11">
        <v>29921.091</v>
      </c>
      <c r="U94" s="11">
        <v>102224.61</v>
      </c>
      <c r="V94" s="11">
        <v>52804.247000000003</v>
      </c>
      <c r="W94" s="11">
        <v>50754.415000000001</v>
      </c>
      <c r="X94" s="11">
        <v>188303.35500000001</v>
      </c>
      <c r="Y94" s="11">
        <v>61244.165999999997</v>
      </c>
      <c r="Z94" s="11">
        <v>834858.12399999995</v>
      </c>
      <c r="AA94" s="11">
        <v>760172.96799999999</v>
      </c>
      <c r="AB94" s="11">
        <v>398679.16</v>
      </c>
      <c r="AC94" s="11">
        <v>240328.65599999999</v>
      </c>
      <c r="AD94" s="11">
        <v>623430.87100000004</v>
      </c>
      <c r="AE94" s="11">
        <v>342172.91800000001</v>
      </c>
      <c r="AF94" s="11">
        <v>392148.02600000001</v>
      </c>
      <c r="AG94" s="11">
        <v>1507650.3729999999</v>
      </c>
      <c r="AH94" s="11">
        <v>431512.36499999999</v>
      </c>
      <c r="AI94" s="11">
        <v>2902990.7889999999</v>
      </c>
      <c r="AJ94" s="11">
        <v>82464.971000000005</v>
      </c>
      <c r="AK94" s="11">
        <v>320517.80900000001</v>
      </c>
      <c r="AL94" s="11">
        <v>626062.23499999999</v>
      </c>
      <c r="AM94" s="11">
        <v>648843.76699999999</v>
      </c>
      <c r="AN94" s="11">
        <v>165846.89300000001</v>
      </c>
      <c r="AO94" s="11">
        <v>30909.971000000001</v>
      </c>
      <c r="AP94" s="11">
        <v>13163.998</v>
      </c>
      <c r="AQ94" s="11">
        <v>391714.87099999998</v>
      </c>
      <c r="AR94" s="11">
        <v>278494.13299999997</v>
      </c>
      <c r="AS94" s="11">
        <v>13167.815000000001</v>
      </c>
      <c r="AT94" s="11">
        <v>2368.893</v>
      </c>
      <c r="AU94" s="11">
        <v>79658.585999999996</v>
      </c>
      <c r="AV94" s="11">
        <v>935.80600000000004</v>
      </c>
      <c r="AW94" s="11">
        <v>24642.476999999999</v>
      </c>
      <c r="AX94" s="11">
        <v>35558.921000000002</v>
      </c>
      <c r="AY94" s="11">
        <v>16094.635</v>
      </c>
      <c r="AZ94" s="11">
        <v>33649.853000000003</v>
      </c>
      <c r="BA94" s="11">
        <v>48932.571000000004</v>
      </c>
      <c r="BB94" s="11">
        <v>190206.109</v>
      </c>
      <c r="BC94" s="11">
        <v>5152.6180000000004</v>
      </c>
      <c r="BD94" s="11">
        <v>1374.502</v>
      </c>
      <c r="BE94" s="11">
        <v>5059.0889999999999</v>
      </c>
      <c r="BF94" s="11">
        <v>261678.10500000001</v>
      </c>
      <c r="BG94" s="11">
        <v>14563.344999999999</v>
      </c>
      <c r="BH94" s="11">
        <v>203831.15299999999</v>
      </c>
      <c r="BI94" s="11">
        <v>186828.098</v>
      </c>
      <c r="BJ94" s="11">
        <v>33268.362000000001</v>
      </c>
      <c r="BK94" s="11">
        <v>400.25900000000001</v>
      </c>
      <c r="BL94" s="11">
        <v>150167.429</v>
      </c>
      <c r="BM94" s="11">
        <v>86875.743000000002</v>
      </c>
      <c r="BN94" s="11">
        <v>226081.163</v>
      </c>
      <c r="BO94" s="11">
        <v>10800.066000000001</v>
      </c>
      <c r="BP94" s="11">
        <v>141467.65900000001</v>
      </c>
      <c r="BQ94" s="11">
        <v>109980.91800000001</v>
      </c>
      <c r="BR94" s="11">
        <v>175589.12400000001</v>
      </c>
      <c r="BS94" s="11">
        <v>1820.3330000000001</v>
      </c>
      <c r="BT94" s="11">
        <v>17741.36</v>
      </c>
      <c r="BU94" s="11">
        <v>15023.726000000001</v>
      </c>
      <c r="BV94" s="11">
        <v>5255.9769999999999</v>
      </c>
      <c r="BW94" s="11">
        <v>43343.499000000003</v>
      </c>
      <c r="BX94" s="11">
        <v>151005.65700000001</v>
      </c>
      <c r="BY94" s="11">
        <v>195232.00700000001</v>
      </c>
      <c r="BZ94" s="11">
        <v>88786.974000000002</v>
      </c>
      <c r="CA94" s="11">
        <v>47700.029000000002</v>
      </c>
      <c r="CB94" s="11">
        <v>26303.387999999999</v>
      </c>
      <c r="CC94" s="11">
        <v>0</v>
      </c>
      <c r="CD94" s="11">
        <v>450565.84399999998</v>
      </c>
      <c r="CE94" s="11">
        <v>34129898.821000002</v>
      </c>
      <c r="CF94" s="11">
        <v>16292902.58</v>
      </c>
      <c r="CG94" s="11">
        <v>2721397.767</v>
      </c>
      <c r="CH94" s="11">
        <v>5572111.5269999998</v>
      </c>
      <c r="CI94" s="11">
        <v>103964.583</v>
      </c>
      <c r="CJ94" s="11">
        <v>9439522.3640000001</v>
      </c>
      <c r="CK94" s="11">
        <v>0</v>
      </c>
    </row>
    <row r="95" spans="1:89" x14ac:dyDescent="0.3">
      <c r="A95" s="7" t="s">
        <v>181</v>
      </c>
      <c r="B95" s="13" t="s">
        <v>94</v>
      </c>
      <c r="C95" s="10">
        <f t="shared" si="1"/>
        <v>22252104.941</v>
      </c>
      <c r="D95" s="10">
        <v>22873645.541000001</v>
      </c>
      <c r="E95" s="10">
        <v>516354.55499999999</v>
      </c>
      <c r="F95" s="10">
        <v>242533.095</v>
      </c>
      <c r="G95" s="10">
        <v>22690.785</v>
      </c>
      <c r="H95" s="10">
        <v>9602.6630000000005</v>
      </c>
      <c r="I95" s="10">
        <v>5913.9210000000003</v>
      </c>
      <c r="J95" s="10">
        <v>621540.6</v>
      </c>
      <c r="K95" s="10">
        <v>265067.55099999998</v>
      </c>
      <c r="L95" s="10">
        <v>61718.432999999997</v>
      </c>
      <c r="M95" s="10">
        <v>456907.22100000002</v>
      </c>
      <c r="N95" s="10">
        <v>1064926.253</v>
      </c>
      <c r="O95" s="10">
        <v>214062.02100000001</v>
      </c>
      <c r="P95" s="10">
        <v>181801.25099999999</v>
      </c>
      <c r="Q95" s="10">
        <v>911713.76800000004</v>
      </c>
      <c r="R95" s="10">
        <v>240174.372</v>
      </c>
      <c r="S95" s="10">
        <v>32513.579000000002</v>
      </c>
      <c r="T95" s="10">
        <v>17328.629000000001</v>
      </c>
      <c r="U95" s="10">
        <v>71182.811000000002</v>
      </c>
      <c r="V95" s="10">
        <v>31436.956999999999</v>
      </c>
      <c r="W95" s="10">
        <v>38837.811999999998</v>
      </c>
      <c r="X95" s="10">
        <v>101611.97199999999</v>
      </c>
      <c r="Y95" s="10">
        <v>24643.809000000001</v>
      </c>
      <c r="Z95" s="10">
        <v>164436.94699999999</v>
      </c>
      <c r="AA95" s="10">
        <v>356405.60200000001</v>
      </c>
      <c r="AB95" s="10">
        <v>151603.43299999999</v>
      </c>
      <c r="AC95" s="10">
        <v>157596.10200000001</v>
      </c>
      <c r="AD95" s="10">
        <v>257274.88</v>
      </c>
      <c r="AE95" s="10">
        <v>170712.27799999999</v>
      </c>
      <c r="AF95" s="10">
        <v>208837.09299999999</v>
      </c>
      <c r="AG95" s="10">
        <v>409294.65800000099</v>
      </c>
      <c r="AH95" s="10">
        <v>178614.03400000001</v>
      </c>
      <c r="AI95" s="10">
        <v>1168500.7560000001</v>
      </c>
      <c r="AJ95" s="10">
        <v>55539.633000000002</v>
      </c>
      <c r="AK95" s="10">
        <v>132857.26999999999</v>
      </c>
      <c r="AL95" s="10">
        <v>2268261.4479999999</v>
      </c>
      <c r="AM95" s="10">
        <v>2241444.4759999998</v>
      </c>
      <c r="AN95" s="10">
        <v>63574.495000000003</v>
      </c>
      <c r="AO95" s="10">
        <v>38500.663999999997</v>
      </c>
      <c r="AP95" s="10">
        <v>18964.173999999999</v>
      </c>
      <c r="AQ95" s="10">
        <v>856330.64199999999</v>
      </c>
      <c r="AR95" s="10">
        <v>451171.37099999998</v>
      </c>
      <c r="AS95" s="10">
        <v>12751.734</v>
      </c>
      <c r="AT95" s="10">
        <v>2487.1759999999999</v>
      </c>
      <c r="AU95" s="10">
        <v>154556.61799999999</v>
      </c>
      <c r="AV95" s="10">
        <v>3961.6990000000001</v>
      </c>
      <c r="AW95" s="10">
        <v>21564.182000000001</v>
      </c>
      <c r="AX95" s="10">
        <v>29847.125</v>
      </c>
      <c r="AY95" s="10">
        <v>16348.493</v>
      </c>
      <c r="AZ95" s="10">
        <v>36940.5</v>
      </c>
      <c r="BA95" s="10">
        <v>41617.767</v>
      </c>
      <c r="BB95" s="10">
        <v>266493.90500000003</v>
      </c>
      <c r="BC95" s="10">
        <v>8319.393</v>
      </c>
      <c r="BD95" s="10">
        <v>1540.617</v>
      </c>
      <c r="BE95" s="10">
        <v>38078.364999999998</v>
      </c>
      <c r="BF95" s="10">
        <v>678782.22900000005</v>
      </c>
      <c r="BG95" s="10">
        <v>22931.666000000001</v>
      </c>
      <c r="BH95" s="10">
        <v>146867.747</v>
      </c>
      <c r="BI95" s="10">
        <v>2036876.93</v>
      </c>
      <c r="BJ95" s="10">
        <v>34210.341999999997</v>
      </c>
      <c r="BK95" s="10">
        <v>49572.822</v>
      </c>
      <c r="BL95" s="10">
        <v>435679.598</v>
      </c>
      <c r="BM95" s="10">
        <v>126888.46</v>
      </c>
      <c r="BN95" s="10">
        <v>778751.55099999998</v>
      </c>
      <c r="BO95" s="10">
        <v>14765.428</v>
      </c>
      <c r="BP95" s="10">
        <v>877924.17099999997</v>
      </c>
      <c r="BQ95" s="10">
        <v>245527.753</v>
      </c>
      <c r="BR95" s="10">
        <v>283184.08</v>
      </c>
      <c r="BS95" s="10">
        <v>2758.547</v>
      </c>
      <c r="BT95" s="10">
        <v>16206.956</v>
      </c>
      <c r="BU95" s="10">
        <v>51526.701999999997</v>
      </c>
      <c r="BV95" s="10">
        <v>7531.4260000000004</v>
      </c>
      <c r="BW95" s="10">
        <v>56466.616000000002</v>
      </c>
      <c r="BX95" s="10">
        <v>254701.16899999999</v>
      </c>
      <c r="BY95" s="10">
        <v>329273.32400000002</v>
      </c>
      <c r="BZ95" s="10">
        <v>118399.889</v>
      </c>
      <c r="CA95" s="10">
        <v>175693.32399999999</v>
      </c>
      <c r="CB95" s="10">
        <v>56696.527999999998</v>
      </c>
      <c r="CC95" s="10">
        <v>100065.28599999999</v>
      </c>
      <c r="CD95" s="10">
        <v>855373.40899999999</v>
      </c>
      <c r="CE95" s="13" t="s">
        <v>94</v>
      </c>
      <c r="CF95" s="13" t="s">
        <v>94</v>
      </c>
      <c r="CG95" s="13" t="s">
        <v>94</v>
      </c>
      <c r="CH95" s="13" t="s">
        <v>94</v>
      </c>
      <c r="CI95" s="13" t="s">
        <v>94</v>
      </c>
      <c r="CJ95" s="13" t="s">
        <v>94</v>
      </c>
      <c r="CK95" s="13" t="s">
        <v>94</v>
      </c>
    </row>
    <row r="96" spans="1:89" x14ac:dyDescent="0.3">
      <c r="A96" s="8" t="s">
        <v>182</v>
      </c>
      <c r="B96" s="15"/>
      <c r="C96" s="10">
        <f t="shared" si="1"/>
        <v>41072708.926999994</v>
      </c>
      <c r="D96" s="11">
        <v>41959242.141999997</v>
      </c>
      <c r="E96" s="11">
        <v>682846.43400000001</v>
      </c>
      <c r="F96" s="11">
        <v>495469.19199999998</v>
      </c>
      <c r="G96" s="11">
        <v>28827.855</v>
      </c>
      <c r="H96" s="11">
        <v>22972.494999999999</v>
      </c>
      <c r="I96" s="11">
        <v>10393.959999999999</v>
      </c>
      <c r="J96" s="11">
        <v>886533.21499999997</v>
      </c>
      <c r="K96" s="11">
        <v>421712.98100000003</v>
      </c>
      <c r="L96" s="11">
        <v>152934.18700000001</v>
      </c>
      <c r="M96" s="11">
        <v>735834.91200000001</v>
      </c>
      <c r="N96" s="11">
        <v>2090312.49</v>
      </c>
      <c r="O96" s="11">
        <v>568177.30299999996</v>
      </c>
      <c r="P96" s="11">
        <v>304773.239</v>
      </c>
      <c r="Q96" s="11">
        <v>2391061.35</v>
      </c>
      <c r="R96" s="11">
        <v>464168.10200000001</v>
      </c>
      <c r="S96" s="11">
        <v>98772.078999999998</v>
      </c>
      <c r="T96" s="11">
        <v>47249.72</v>
      </c>
      <c r="U96" s="11">
        <v>173407.421</v>
      </c>
      <c r="V96" s="11">
        <v>84241.203999999998</v>
      </c>
      <c r="W96" s="11">
        <v>89592.226999999999</v>
      </c>
      <c r="X96" s="11">
        <v>289915.32699999999</v>
      </c>
      <c r="Y96" s="11">
        <v>85887.975000000006</v>
      </c>
      <c r="Z96" s="11">
        <v>999295.071</v>
      </c>
      <c r="AA96" s="11">
        <v>1116578.57</v>
      </c>
      <c r="AB96" s="11">
        <v>550282.59299999999</v>
      </c>
      <c r="AC96" s="11">
        <v>397924.75799999997</v>
      </c>
      <c r="AD96" s="11">
        <v>880705.75100000005</v>
      </c>
      <c r="AE96" s="11">
        <v>512885.196</v>
      </c>
      <c r="AF96" s="11">
        <v>600985.11899999995</v>
      </c>
      <c r="AG96" s="11">
        <v>1916945.031</v>
      </c>
      <c r="AH96" s="11">
        <v>610126.39899999998</v>
      </c>
      <c r="AI96" s="11">
        <v>4071491.5449999999</v>
      </c>
      <c r="AJ96" s="11">
        <v>138004.60399999999</v>
      </c>
      <c r="AK96" s="11">
        <v>453375.07900000003</v>
      </c>
      <c r="AL96" s="11">
        <v>2894323.6830000002</v>
      </c>
      <c r="AM96" s="11">
        <v>2890288.2429999998</v>
      </c>
      <c r="AN96" s="11">
        <v>229421.38800000001</v>
      </c>
      <c r="AO96" s="11">
        <v>69410.634999999995</v>
      </c>
      <c r="AP96" s="11">
        <v>32128.171999999999</v>
      </c>
      <c r="AQ96" s="11">
        <v>1248045.513</v>
      </c>
      <c r="AR96" s="11">
        <v>729665.50399999996</v>
      </c>
      <c r="AS96" s="11">
        <v>25919.548999999999</v>
      </c>
      <c r="AT96" s="11">
        <v>4856.0690000000004</v>
      </c>
      <c r="AU96" s="11">
        <v>234215.204</v>
      </c>
      <c r="AV96" s="11">
        <v>4897.5050000000001</v>
      </c>
      <c r="AW96" s="11">
        <v>46206.659</v>
      </c>
      <c r="AX96" s="11">
        <v>65406.046000000002</v>
      </c>
      <c r="AY96" s="11">
        <v>32443.128000000001</v>
      </c>
      <c r="AZ96" s="11">
        <v>70590.353000000003</v>
      </c>
      <c r="BA96" s="11">
        <v>90550.338000000003</v>
      </c>
      <c r="BB96" s="11">
        <v>456700.01400000002</v>
      </c>
      <c r="BC96" s="11">
        <v>13472.011</v>
      </c>
      <c r="BD96" s="11">
        <v>2915.1190000000001</v>
      </c>
      <c r="BE96" s="11">
        <v>43137.453999999998</v>
      </c>
      <c r="BF96" s="11">
        <v>940460.33400000003</v>
      </c>
      <c r="BG96" s="11">
        <v>37495.010999999999</v>
      </c>
      <c r="BH96" s="11">
        <v>350698.9</v>
      </c>
      <c r="BI96" s="11">
        <v>2223705.0279999999</v>
      </c>
      <c r="BJ96" s="11">
        <v>67478.703999999998</v>
      </c>
      <c r="BK96" s="11">
        <v>49973.080999999998</v>
      </c>
      <c r="BL96" s="11">
        <v>585847.027</v>
      </c>
      <c r="BM96" s="11">
        <v>213764.20300000001</v>
      </c>
      <c r="BN96" s="11">
        <v>1004832.714</v>
      </c>
      <c r="BO96" s="11">
        <v>25565.493999999999</v>
      </c>
      <c r="BP96" s="11">
        <v>1019391.83</v>
      </c>
      <c r="BQ96" s="11">
        <v>355508.67099999997</v>
      </c>
      <c r="BR96" s="11">
        <v>458773.20400000003</v>
      </c>
      <c r="BS96" s="11">
        <v>4578.88</v>
      </c>
      <c r="BT96" s="11">
        <v>33948.315999999999</v>
      </c>
      <c r="BU96" s="11">
        <v>66550.428</v>
      </c>
      <c r="BV96" s="11">
        <v>12787.403</v>
      </c>
      <c r="BW96" s="11">
        <v>99810.115000000005</v>
      </c>
      <c r="BX96" s="11">
        <v>405706.826</v>
      </c>
      <c r="BY96" s="11">
        <v>524505.33100000001</v>
      </c>
      <c r="BZ96" s="11">
        <v>207186.86300000001</v>
      </c>
      <c r="CA96" s="11">
        <v>223393.353</v>
      </c>
      <c r="CB96" s="11">
        <v>82999.915999999997</v>
      </c>
      <c r="CC96" s="11">
        <v>100065.28599999999</v>
      </c>
      <c r="CD96" s="11">
        <v>1305939.253</v>
      </c>
      <c r="CE96" s="12" t="s">
        <v>94</v>
      </c>
      <c r="CF96" s="12" t="s">
        <v>94</v>
      </c>
      <c r="CG96" s="12" t="s">
        <v>94</v>
      </c>
      <c r="CH96" s="12" t="s">
        <v>94</v>
      </c>
      <c r="CI96" s="12" t="s">
        <v>94</v>
      </c>
      <c r="CJ96" s="12" t="s">
        <v>94</v>
      </c>
      <c r="CK96" s="12" t="s">
        <v>94</v>
      </c>
    </row>
    <row r="97" spans="1:89" x14ac:dyDescent="0.3">
      <c r="A97" s="7" t="s">
        <v>183</v>
      </c>
      <c r="B97" s="10">
        <v>24176670.374000002</v>
      </c>
      <c r="C97" s="10">
        <f t="shared" si="1"/>
        <v>22561813.490000002</v>
      </c>
      <c r="D97" s="10">
        <v>23186146.581</v>
      </c>
      <c r="E97" s="10">
        <v>517661.45299999998</v>
      </c>
      <c r="F97" s="10">
        <v>242840.55600000001</v>
      </c>
      <c r="G97" s="10">
        <v>22747.165000000001</v>
      </c>
      <c r="H97" s="10">
        <v>9813.2729999999992</v>
      </c>
      <c r="I97" s="10">
        <v>5944.97</v>
      </c>
      <c r="J97" s="10">
        <v>624333.09100000001</v>
      </c>
      <c r="K97" s="10">
        <v>269358.53899999999</v>
      </c>
      <c r="L97" s="10">
        <v>63731.368000000002</v>
      </c>
      <c r="M97" s="10">
        <v>479465.98</v>
      </c>
      <c r="N97" s="10">
        <v>1067907.584</v>
      </c>
      <c r="O97" s="10">
        <v>217605.989</v>
      </c>
      <c r="P97" s="10">
        <v>182150.894</v>
      </c>
      <c r="Q97" s="10">
        <v>918185.97199999995</v>
      </c>
      <c r="R97" s="10">
        <v>241654.58799999999</v>
      </c>
      <c r="S97" s="10">
        <v>32698.105</v>
      </c>
      <c r="T97" s="10">
        <v>17424.34</v>
      </c>
      <c r="U97" s="10">
        <v>71561.514999999999</v>
      </c>
      <c r="V97" s="10">
        <v>31601.17</v>
      </c>
      <c r="W97" s="10">
        <v>38981.504999999997</v>
      </c>
      <c r="X97" s="10">
        <v>102680.447</v>
      </c>
      <c r="Y97" s="10">
        <v>25065.136999999999</v>
      </c>
      <c r="Z97" s="10">
        <v>238703.56200000001</v>
      </c>
      <c r="AA97" s="10">
        <v>366426.408</v>
      </c>
      <c r="AB97" s="10">
        <v>153530.30600000001</v>
      </c>
      <c r="AC97" s="10">
        <v>159308.981</v>
      </c>
      <c r="AD97" s="10">
        <v>259583.954</v>
      </c>
      <c r="AE97" s="10">
        <v>172004.622</v>
      </c>
      <c r="AF97" s="10">
        <v>209397.701</v>
      </c>
      <c r="AG97" s="10">
        <v>410128.38600000099</v>
      </c>
      <c r="AH97" s="10">
        <v>179282.39300000001</v>
      </c>
      <c r="AI97" s="10">
        <v>1173783.2009999999</v>
      </c>
      <c r="AJ97" s="10">
        <v>55774.345000000001</v>
      </c>
      <c r="AK97" s="10">
        <v>133167.889</v>
      </c>
      <c r="AL97" s="10">
        <v>2283072.0419999999</v>
      </c>
      <c r="AM97" s="10">
        <v>2250225.4040000001</v>
      </c>
      <c r="AN97" s="10">
        <v>73475.411999999997</v>
      </c>
      <c r="AO97" s="10">
        <v>39646.294000000002</v>
      </c>
      <c r="AP97" s="10">
        <v>19503.281999999999</v>
      </c>
      <c r="AQ97" s="10">
        <v>869055.43200000003</v>
      </c>
      <c r="AR97" s="10">
        <v>460486.83299999998</v>
      </c>
      <c r="AS97" s="10">
        <v>12951.867</v>
      </c>
      <c r="AT97" s="10">
        <v>2545.84</v>
      </c>
      <c r="AU97" s="10">
        <v>155061.32199999999</v>
      </c>
      <c r="AV97" s="10">
        <v>3912.0549999999998</v>
      </c>
      <c r="AW97" s="10">
        <v>22168.499</v>
      </c>
      <c r="AX97" s="10">
        <v>30160.962</v>
      </c>
      <c r="AY97" s="10">
        <v>16416.918000000001</v>
      </c>
      <c r="AZ97" s="10">
        <v>37150.635000000002</v>
      </c>
      <c r="BA97" s="10">
        <v>41718.582000000002</v>
      </c>
      <c r="BB97" s="10">
        <v>267249.63099999999</v>
      </c>
      <c r="BC97" s="10">
        <v>8331.7219999999998</v>
      </c>
      <c r="BD97" s="10">
        <v>1569.38</v>
      </c>
      <c r="BE97" s="10">
        <v>38030.508999999998</v>
      </c>
      <c r="BF97" s="10">
        <v>678439.32900000003</v>
      </c>
      <c r="BG97" s="10">
        <v>22972.477999999999</v>
      </c>
      <c r="BH97" s="10">
        <v>146435.14300000001</v>
      </c>
      <c r="BI97" s="10">
        <v>2038914.675</v>
      </c>
      <c r="BJ97" s="10">
        <v>34491.974000000002</v>
      </c>
      <c r="BK97" s="10">
        <v>49577.745999999999</v>
      </c>
      <c r="BL97" s="10">
        <v>437559.9</v>
      </c>
      <c r="BM97" s="10">
        <v>128043.75199999999</v>
      </c>
      <c r="BN97" s="10">
        <v>780143.27599999995</v>
      </c>
      <c r="BO97" s="10">
        <v>14827.526</v>
      </c>
      <c r="BP97" s="10">
        <v>886655.65700000001</v>
      </c>
      <c r="BQ97" s="10">
        <v>252262.12299999999</v>
      </c>
      <c r="BR97" s="10">
        <v>291560.15899999999</v>
      </c>
      <c r="BS97" s="10">
        <v>2786.6909999999998</v>
      </c>
      <c r="BT97" s="10">
        <v>16953.330999999998</v>
      </c>
      <c r="BU97" s="10">
        <v>52056.894</v>
      </c>
      <c r="BV97" s="10">
        <v>7797.3689999999997</v>
      </c>
      <c r="BW97" s="10">
        <v>57046.436000000002</v>
      </c>
      <c r="BX97" s="10">
        <v>261733.43100000001</v>
      </c>
      <c r="BY97" s="10">
        <v>335605.04700000002</v>
      </c>
      <c r="BZ97" s="10">
        <v>118582.662</v>
      </c>
      <c r="CA97" s="10">
        <v>175860.886</v>
      </c>
      <c r="CB97" s="10">
        <v>56783.921000000002</v>
      </c>
      <c r="CC97" s="10">
        <v>100065.28599999999</v>
      </c>
      <c r="CD97" s="10">
        <v>911752.87899999996</v>
      </c>
      <c r="CE97" s="10">
        <v>990523.79299999995</v>
      </c>
      <c r="CF97" s="10">
        <v>951517.02899999998</v>
      </c>
      <c r="CG97" s="10">
        <v>0</v>
      </c>
      <c r="CH97" s="10">
        <v>39006.587</v>
      </c>
      <c r="CI97" s="10">
        <v>0</v>
      </c>
      <c r="CJ97" s="10">
        <v>0.17699999999999999</v>
      </c>
      <c r="CK97" s="10">
        <v>0</v>
      </c>
    </row>
    <row r="98" spans="1:89" x14ac:dyDescent="0.3">
      <c r="A98" s="8" t="s">
        <v>214</v>
      </c>
      <c r="B98" s="12" t="s">
        <v>94</v>
      </c>
      <c r="C98" s="10">
        <f t="shared" si="1"/>
        <v>5942856.7889999999</v>
      </c>
      <c r="D98" s="11">
        <v>5974564.1449999996</v>
      </c>
      <c r="E98" s="11">
        <v>81952.982000000004</v>
      </c>
      <c r="F98" s="11">
        <v>43031.241000000002</v>
      </c>
      <c r="G98" s="11">
        <v>737.32</v>
      </c>
      <c r="H98" s="11">
        <v>3298.3609999999999</v>
      </c>
      <c r="I98" s="11">
        <v>1494.1030000000001</v>
      </c>
      <c r="J98" s="11">
        <v>31707.356</v>
      </c>
      <c r="K98" s="11">
        <v>34467.606</v>
      </c>
      <c r="L98" s="11">
        <v>5404.55</v>
      </c>
      <c r="M98" s="11">
        <v>80611.857999999993</v>
      </c>
      <c r="N98" s="11">
        <v>306662.63699999999</v>
      </c>
      <c r="O98" s="11">
        <v>47285.398000000001</v>
      </c>
      <c r="P98" s="11">
        <v>40442.470999999998</v>
      </c>
      <c r="Q98" s="11">
        <v>101965.913</v>
      </c>
      <c r="R98" s="11">
        <v>22523.696</v>
      </c>
      <c r="S98" s="11">
        <v>10797.038</v>
      </c>
      <c r="T98" s="11">
        <v>6271.6210000000001</v>
      </c>
      <c r="U98" s="11">
        <v>29620.008000000002</v>
      </c>
      <c r="V98" s="11">
        <v>14107.86</v>
      </c>
      <c r="W98" s="11">
        <v>10442.215</v>
      </c>
      <c r="X98" s="11">
        <v>20457.366999999998</v>
      </c>
      <c r="Y98" s="11">
        <v>10714.06</v>
      </c>
      <c r="Z98" s="11">
        <v>17586.133000000002</v>
      </c>
      <c r="AA98" s="11">
        <v>60324.339</v>
      </c>
      <c r="AB98" s="11">
        <v>45326.682999999997</v>
      </c>
      <c r="AC98" s="11">
        <v>25120.79</v>
      </c>
      <c r="AD98" s="11">
        <v>24772.187000000002</v>
      </c>
      <c r="AE98" s="11">
        <v>53298.487000000001</v>
      </c>
      <c r="AF98" s="11">
        <v>58863.987999999998</v>
      </c>
      <c r="AG98" s="11">
        <v>191288.82199999999</v>
      </c>
      <c r="AH98" s="11">
        <v>59237.737000000001</v>
      </c>
      <c r="AI98" s="11">
        <v>170394.66699999999</v>
      </c>
      <c r="AJ98" s="11">
        <v>22042.646000000001</v>
      </c>
      <c r="AK98" s="11">
        <v>51567.493999999999</v>
      </c>
      <c r="AL98" s="11">
        <v>92635.907000000007</v>
      </c>
      <c r="AM98" s="11">
        <v>481440.26500000001</v>
      </c>
      <c r="AN98" s="11">
        <v>14192.194</v>
      </c>
      <c r="AO98" s="11">
        <v>4005.5369999999998</v>
      </c>
      <c r="AP98" s="11">
        <v>3476.7370000000001</v>
      </c>
      <c r="AQ98" s="11">
        <v>149044.31200000001</v>
      </c>
      <c r="AR98" s="11">
        <v>167321.96</v>
      </c>
      <c r="AS98" s="11">
        <v>2463.319</v>
      </c>
      <c r="AT98" s="11">
        <v>953.77300000000002</v>
      </c>
      <c r="AU98" s="11">
        <v>28166.273000000001</v>
      </c>
      <c r="AV98" s="11">
        <v>3663.6790000000001</v>
      </c>
      <c r="AW98" s="11">
        <v>8213.0660000000007</v>
      </c>
      <c r="AX98" s="11">
        <v>14327.91</v>
      </c>
      <c r="AY98" s="11">
        <v>5852.1229999999996</v>
      </c>
      <c r="AZ98" s="11">
        <v>5883.84</v>
      </c>
      <c r="BA98" s="11">
        <v>2560.248</v>
      </c>
      <c r="BB98" s="11">
        <v>49401.885000000002</v>
      </c>
      <c r="BC98" s="11">
        <v>2601.8180000000002</v>
      </c>
      <c r="BD98" s="11">
        <v>611.29499999999996</v>
      </c>
      <c r="BE98" s="11">
        <v>2586</v>
      </c>
      <c r="BF98" s="11">
        <v>163352.296</v>
      </c>
      <c r="BG98" s="11">
        <v>6203.9650000000001</v>
      </c>
      <c r="BH98" s="11">
        <v>33450.741999999998</v>
      </c>
      <c r="BI98" s="11">
        <v>48351.87</v>
      </c>
      <c r="BJ98" s="11">
        <v>5260.59</v>
      </c>
      <c r="BK98" s="11">
        <v>94.009</v>
      </c>
      <c r="BL98" s="11">
        <v>141873.21900000001</v>
      </c>
      <c r="BM98" s="11">
        <v>19319.039000000001</v>
      </c>
      <c r="BN98" s="11">
        <v>489320.16499999998</v>
      </c>
      <c r="BO98" s="11">
        <v>3815.52</v>
      </c>
      <c r="BP98" s="11">
        <v>756662.076</v>
      </c>
      <c r="BQ98" s="11">
        <v>168780.851</v>
      </c>
      <c r="BR98" s="11">
        <v>249279.04300000001</v>
      </c>
      <c r="BS98" s="11">
        <v>2222.7130000000002</v>
      </c>
      <c r="BT98" s="11">
        <v>9365.7639999999992</v>
      </c>
      <c r="BU98" s="11">
        <v>16104.22</v>
      </c>
      <c r="BV98" s="11">
        <v>6455.4129999999996</v>
      </c>
      <c r="BW98" s="11">
        <v>10525.85</v>
      </c>
      <c r="BX98" s="11">
        <v>49994.966</v>
      </c>
      <c r="BY98" s="11">
        <v>70204.152000000002</v>
      </c>
      <c r="BZ98" s="11">
        <v>24456.582999999999</v>
      </c>
      <c r="CA98" s="11">
        <v>17336.449000000001</v>
      </c>
      <c r="CB98" s="11">
        <v>25190.881000000001</v>
      </c>
      <c r="CC98" s="11">
        <v>100065.28599999999</v>
      </c>
      <c r="CD98" s="11">
        <v>833656.70799999998</v>
      </c>
      <c r="CE98" s="12" t="s">
        <v>94</v>
      </c>
      <c r="CF98" s="12" t="s">
        <v>94</v>
      </c>
      <c r="CG98" s="12" t="s">
        <v>94</v>
      </c>
      <c r="CH98" s="12" t="s">
        <v>94</v>
      </c>
      <c r="CI98" s="12" t="s">
        <v>94</v>
      </c>
      <c r="CJ98" s="12" t="s">
        <v>94</v>
      </c>
      <c r="CK98" s="12" t="s">
        <v>94</v>
      </c>
    </row>
    <row r="99" spans="1:89" x14ac:dyDescent="0.3">
      <c r="A99" s="7" t="s">
        <v>185</v>
      </c>
      <c r="B99" s="13" t="s">
        <v>94</v>
      </c>
      <c r="C99" s="10">
        <f t="shared" si="1"/>
        <v>4862177.1670000004</v>
      </c>
      <c r="D99" s="10">
        <v>4889091.2050000001</v>
      </c>
      <c r="E99" s="10">
        <v>81952.982000000004</v>
      </c>
      <c r="F99" s="10">
        <v>42849.339</v>
      </c>
      <c r="G99" s="10">
        <v>737.32</v>
      </c>
      <c r="H99" s="10">
        <v>2998.8629999999998</v>
      </c>
      <c r="I99" s="10">
        <v>1285.2529999999999</v>
      </c>
      <c r="J99" s="10">
        <v>26914.038</v>
      </c>
      <c r="K99" s="10">
        <v>26518.322</v>
      </c>
      <c r="L99" s="10">
        <v>4641.0919999999996</v>
      </c>
      <c r="M99" s="10">
        <v>74736.36</v>
      </c>
      <c r="N99" s="10">
        <v>287809.37800000003</v>
      </c>
      <c r="O99" s="10">
        <v>39374.137999999999</v>
      </c>
      <c r="P99" s="10">
        <v>37804.951999999997</v>
      </c>
      <c r="Q99" s="10">
        <v>84080.995999999999</v>
      </c>
      <c r="R99" s="10">
        <v>17605.641</v>
      </c>
      <c r="S99" s="10">
        <v>8890.8529999999992</v>
      </c>
      <c r="T99" s="10">
        <v>5342.402</v>
      </c>
      <c r="U99" s="10">
        <v>24918.473000000002</v>
      </c>
      <c r="V99" s="10">
        <v>11916.927</v>
      </c>
      <c r="W99" s="10">
        <v>9376.1589999999997</v>
      </c>
      <c r="X99" s="10">
        <v>15799.88</v>
      </c>
      <c r="Y99" s="10">
        <v>8776.82</v>
      </c>
      <c r="Z99" s="10">
        <v>8632.9549999999999</v>
      </c>
      <c r="AA99" s="10">
        <v>36132.603999999999</v>
      </c>
      <c r="AB99" s="10">
        <v>35322.324999999997</v>
      </c>
      <c r="AC99" s="10">
        <v>18777.223999999998</v>
      </c>
      <c r="AD99" s="10">
        <v>16575.587</v>
      </c>
      <c r="AE99" s="10">
        <v>41773.586000000003</v>
      </c>
      <c r="AF99" s="10">
        <v>41500.406000000003</v>
      </c>
      <c r="AG99" s="10">
        <v>145311.198</v>
      </c>
      <c r="AH99" s="10">
        <v>40696.154000000002</v>
      </c>
      <c r="AI99" s="10">
        <v>122065.33100000001</v>
      </c>
      <c r="AJ99" s="10">
        <v>18444.418000000001</v>
      </c>
      <c r="AK99" s="10">
        <v>40220.072</v>
      </c>
      <c r="AL99" s="10">
        <v>77519.531000000003</v>
      </c>
      <c r="AM99" s="10">
        <v>427135.58899999998</v>
      </c>
      <c r="AN99" s="10">
        <v>12209.939</v>
      </c>
      <c r="AO99" s="10">
        <v>2960.5940000000001</v>
      </c>
      <c r="AP99" s="10">
        <v>2747.8119999999999</v>
      </c>
      <c r="AQ99" s="10">
        <v>122553.496</v>
      </c>
      <c r="AR99" s="10">
        <v>155578.30499999999</v>
      </c>
      <c r="AS99" s="10">
        <v>2074.3850000000002</v>
      </c>
      <c r="AT99" s="10">
        <v>922.67600000000004</v>
      </c>
      <c r="AU99" s="10">
        <v>22181.063999999998</v>
      </c>
      <c r="AV99" s="10">
        <v>3137.7860000000001</v>
      </c>
      <c r="AW99" s="10">
        <v>5793.3280000000004</v>
      </c>
      <c r="AX99" s="10">
        <v>11651.682000000001</v>
      </c>
      <c r="AY99" s="10">
        <v>4693.1390000000001</v>
      </c>
      <c r="AZ99" s="10">
        <v>4803.1109999999999</v>
      </c>
      <c r="BA99" s="10">
        <v>2143.5100000000002</v>
      </c>
      <c r="BB99" s="10">
        <v>35973.281999999999</v>
      </c>
      <c r="BC99" s="10">
        <v>2288.636</v>
      </c>
      <c r="BD99" s="10">
        <v>426.267</v>
      </c>
      <c r="BE99" s="10">
        <v>1970</v>
      </c>
      <c r="BF99" s="10">
        <v>132396.52499999999</v>
      </c>
      <c r="BG99" s="10">
        <v>5314.0709999999999</v>
      </c>
      <c r="BH99" s="10">
        <v>28196.328000000001</v>
      </c>
      <c r="BI99" s="10">
        <v>41978.97</v>
      </c>
      <c r="BJ99" s="10">
        <v>3926.0239999999999</v>
      </c>
      <c r="BK99" s="10">
        <v>84.394999999999996</v>
      </c>
      <c r="BL99" s="10">
        <v>119003.79399999999</v>
      </c>
      <c r="BM99" s="10">
        <v>10740.822</v>
      </c>
      <c r="BN99" s="10">
        <v>387623.842</v>
      </c>
      <c r="BO99" s="10">
        <v>3156.154</v>
      </c>
      <c r="BP99" s="10">
        <v>638785.00199999998</v>
      </c>
      <c r="BQ99" s="10">
        <v>120209.569</v>
      </c>
      <c r="BR99" s="10">
        <v>152118.747</v>
      </c>
      <c r="BS99" s="10">
        <v>1826.6579999999999</v>
      </c>
      <c r="BT99" s="10">
        <v>7058.4049999999997</v>
      </c>
      <c r="BU99" s="10">
        <v>15012.547</v>
      </c>
      <c r="BV99" s="10">
        <v>4789.2370000000001</v>
      </c>
      <c r="BW99" s="10">
        <v>8713.7849999999999</v>
      </c>
      <c r="BX99" s="10">
        <v>41367.995999999999</v>
      </c>
      <c r="BY99" s="10">
        <v>63216.224999999999</v>
      </c>
      <c r="BZ99" s="10">
        <v>21037.554</v>
      </c>
      <c r="CA99" s="10">
        <v>16097.380999999999</v>
      </c>
      <c r="CB99" s="10">
        <v>23464.444</v>
      </c>
      <c r="CC99" s="10">
        <v>100065.28599999999</v>
      </c>
      <c r="CD99" s="10">
        <v>664361.26399999997</v>
      </c>
      <c r="CE99" s="13" t="s">
        <v>94</v>
      </c>
      <c r="CF99" s="13" t="s">
        <v>94</v>
      </c>
      <c r="CG99" s="13" t="s">
        <v>94</v>
      </c>
      <c r="CH99" s="13" t="s">
        <v>94</v>
      </c>
      <c r="CI99" s="13" t="s">
        <v>94</v>
      </c>
      <c r="CJ99" s="13" t="s">
        <v>94</v>
      </c>
      <c r="CK99" s="13" t="s">
        <v>94</v>
      </c>
    </row>
    <row r="100" spans="1:89" x14ac:dyDescent="0.3">
      <c r="A100" s="8" t="s">
        <v>186</v>
      </c>
      <c r="B100" s="12" t="s">
        <v>94</v>
      </c>
      <c r="C100" s="10">
        <f t="shared" si="1"/>
        <v>2604615.7790000001</v>
      </c>
      <c r="D100" s="11">
        <v>2613159.9670000002</v>
      </c>
      <c r="E100" s="11">
        <v>81952.982000000004</v>
      </c>
      <c r="F100" s="11">
        <v>42793.47</v>
      </c>
      <c r="G100" s="11">
        <v>737.32</v>
      </c>
      <c r="H100" s="11">
        <v>2891.846</v>
      </c>
      <c r="I100" s="11">
        <v>1117.799</v>
      </c>
      <c r="J100" s="11">
        <v>8544.1880000000001</v>
      </c>
      <c r="K100" s="11">
        <v>21819.321</v>
      </c>
      <c r="L100" s="11">
        <v>3701.4319999999998</v>
      </c>
      <c r="M100" s="11">
        <v>65104.482000000004</v>
      </c>
      <c r="N100" s="11">
        <v>264066.58600000001</v>
      </c>
      <c r="O100" s="11">
        <v>25617.465</v>
      </c>
      <c r="P100" s="11">
        <v>33228.838000000003</v>
      </c>
      <c r="Q100" s="11">
        <v>62342.684000000001</v>
      </c>
      <c r="R100" s="11">
        <v>12380.844999999999</v>
      </c>
      <c r="S100" s="11">
        <v>7456.7870000000003</v>
      </c>
      <c r="T100" s="11">
        <v>4395.3760000000002</v>
      </c>
      <c r="U100" s="11">
        <v>21321.574000000001</v>
      </c>
      <c r="V100" s="11">
        <v>9963.9789999999994</v>
      </c>
      <c r="W100" s="11">
        <v>8380.1440000000002</v>
      </c>
      <c r="X100" s="11">
        <v>10885.648999999999</v>
      </c>
      <c r="Y100" s="11">
        <v>6307.5370000000003</v>
      </c>
      <c r="Z100" s="11">
        <v>6296.585</v>
      </c>
      <c r="AA100" s="11">
        <v>23660.273000000001</v>
      </c>
      <c r="AB100" s="11">
        <v>25272.132000000001</v>
      </c>
      <c r="AC100" s="11">
        <v>14587.248</v>
      </c>
      <c r="AD100" s="11">
        <v>11409.396000000001</v>
      </c>
      <c r="AE100" s="11">
        <v>28626.519</v>
      </c>
      <c r="AF100" s="11">
        <v>30211.871999999999</v>
      </c>
      <c r="AG100" s="11">
        <v>109410.148</v>
      </c>
      <c r="AH100" s="11">
        <v>30159.433000000001</v>
      </c>
      <c r="AI100" s="11">
        <v>92633.5</v>
      </c>
      <c r="AJ100" s="11">
        <v>14601.376</v>
      </c>
      <c r="AK100" s="11">
        <v>32265.816999999999</v>
      </c>
      <c r="AL100" s="11">
        <v>63329.159</v>
      </c>
      <c r="AM100" s="11">
        <v>376259.033</v>
      </c>
      <c r="AN100" s="11">
        <v>9615.7980000000007</v>
      </c>
      <c r="AO100" s="11">
        <v>1911.636</v>
      </c>
      <c r="AP100" s="11">
        <v>2323.3029999999999</v>
      </c>
      <c r="AQ100" s="11">
        <v>89600.398000000001</v>
      </c>
      <c r="AR100" s="11">
        <v>147553.66500000001</v>
      </c>
      <c r="AS100" s="11">
        <v>1472.71</v>
      </c>
      <c r="AT100" s="11">
        <v>794.18700000000001</v>
      </c>
      <c r="AU100" s="11">
        <v>12556.525</v>
      </c>
      <c r="AV100" s="11">
        <v>1960.2719999999999</v>
      </c>
      <c r="AW100" s="11">
        <v>3782.5219999999999</v>
      </c>
      <c r="AX100" s="11">
        <v>7239.35</v>
      </c>
      <c r="AY100" s="11">
        <v>2750.442</v>
      </c>
      <c r="AZ100" s="11">
        <v>2917.8240000000001</v>
      </c>
      <c r="BA100" s="11">
        <v>1539.3050000000001</v>
      </c>
      <c r="BB100" s="11">
        <v>26169.241000000002</v>
      </c>
      <c r="BC100" s="11">
        <v>1706.432</v>
      </c>
      <c r="BD100" s="11">
        <v>217.39400000000001</v>
      </c>
      <c r="BE100" s="11">
        <v>0</v>
      </c>
      <c r="BF100" s="11">
        <v>0</v>
      </c>
      <c r="BG100" s="11">
        <v>0</v>
      </c>
      <c r="BH100" s="11">
        <v>0</v>
      </c>
      <c r="BI100" s="11">
        <v>39305.883999999998</v>
      </c>
      <c r="BJ100" s="11">
        <v>3063.6260000000002</v>
      </c>
      <c r="BK100" s="11">
        <v>84.394999999999996</v>
      </c>
      <c r="BL100" s="11">
        <v>65505.137999999999</v>
      </c>
      <c r="BM100" s="11">
        <v>276.10199999999998</v>
      </c>
      <c r="BN100" s="11">
        <v>298992.45699999999</v>
      </c>
      <c r="BO100" s="11">
        <v>2815.6759999999999</v>
      </c>
      <c r="BP100" s="11">
        <v>41941.841999999997</v>
      </c>
      <c r="BQ100" s="11">
        <v>13016.295</v>
      </c>
      <c r="BR100" s="11">
        <v>13552.696</v>
      </c>
      <c r="BS100" s="11">
        <v>952.23199999999997</v>
      </c>
      <c r="BT100" s="11">
        <v>3524.63</v>
      </c>
      <c r="BU100" s="11">
        <v>10863.134</v>
      </c>
      <c r="BV100" s="11">
        <v>562.08500000000004</v>
      </c>
      <c r="BW100" s="11">
        <v>6680.732</v>
      </c>
      <c r="BX100" s="11">
        <v>32316.7</v>
      </c>
      <c r="BY100" s="11">
        <v>59205.34</v>
      </c>
      <c r="BZ100" s="11">
        <v>18434.807000000001</v>
      </c>
      <c r="CA100" s="11">
        <v>14538.441000000001</v>
      </c>
      <c r="CB100" s="11">
        <v>19618.669999999998</v>
      </c>
      <c r="CC100" s="11">
        <v>100065.28599999999</v>
      </c>
      <c r="CD100" s="11">
        <v>0</v>
      </c>
      <c r="CE100" s="12" t="s">
        <v>94</v>
      </c>
      <c r="CF100" s="12" t="s">
        <v>94</v>
      </c>
      <c r="CG100" s="12" t="s">
        <v>94</v>
      </c>
      <c r="CH100" s="12" t="s">
        <v>94</v>
      </c>
      <c r="CI100" s="12" t="s">
        <v>94</v>
      </c>
      <c r="CJ100" s="12" t="s">
        <v>94</v>
      </c>
      <c r="CK100" s="12" t="s">
        <v>94</v>
      </c>
    </row>
    <row r="101" spans="1:89" x14ac:dyDescent="0.3">
      <c r="A101" s="7" t="s">
        <v>187</v>
      </c>
      <c r="B101" s="13" t="s">
        <v>94</v>
      </c>
      <c r="C101" s="10">
        <f t="shared" si="1"/>
        <v>2257561.3879999998</v>
      </c>
      <c r="D101" s="10">
        <v>2275931.2379999999</v>
      </c>
      <c r="E101" s="10">
        <v>0</v>
      </c>
      <c r="F101" s="10">
        <v>55.869</v>
      </c>
      <c r="G101" s="10">
        <v>0</v>
      </c>
      <c r="H101" s="10">
        <v>107.017</v>
      </c>
      <c r="I101" s="10">
        <v>167.45400000000001</v>
      </c>
      <c r="J101" s="10">
        <v>18369.849999999999</v>
      </c>
      <c r="K101" s="10">
        <v>4699.0010000000002</v>
      </c>
      <c r="L101" s="10">
        <v>939.66</v>
      </c>
      <c r="M101" s="10">
        <v>9631.8780000000006</v>
      </c>
      <c r="N101" s="10">
        <v>23742.792000000001</v>
      </c>
      <c r="O101" s="10">
        <v>13756.673000000001</v>
      </c>
      <c r="P101" s="10">
        <v>4576.1139999999996</v>
      </c>
      <c r="Q101" s="10">
        <v>21738.312000000002</v>
      </c>
      <c r="R101" s="10">
        <v>5224.7960000000003</v>
      </c>
      <c r="S101" s="10">
        <v>1434.066</v>
      </c>
      <c r="T101" s="10">
        <v>947.02599999999995</v>
      </c>
      <c r="U101" s="10">
        <v>3596.8989999999999</v>
      </c>
      <c r="V101" s="10">
        <v>1952.9480000000001</v>
      </c>
      <c r="W101" s="10">
        <v>996.01499999999999</v>
      </c>
      <c r="X101" s="10">
        <v>4914.2309999999998</v>
      </c>
      <c r="Y101" s="10">
        <v>2469.2829999999999</v>
      </c>
      <c r="Z101" s="10">
        <v>2336.37</v>
      </c>
      <c r="AA101" s="10">
        <v>12472.331</v>
      </c>
      <c r="AB101" s="10">
        <v>10050.192999999999</v>
      </c>
      <c r="AC101" s="10">
        <v>4189.9759999999997</v>
      </c>
      <c r="AD101" s="10">
        <v>5166.1909999999998</v>
      </c>
      <c r="AE101" s="10">
        <v>13147.066999999999</v>
      </c>
      <c r="AF101" s="10">
        <v>11288.534</v>
      </c>
      <c r="AG101" s="10">
        <v>35901.050000000003</v>
      </c>
      <c r="AH101" s="10">
        <v>10536.721</v>
      </c>
      <c r="AI101" s="10">
        <v>29431.830999999998</v>
      </c>
      <c r="AJ101" s="10">
        <v>3843.0419999999999</v>
      </c>
      <c r="AK101" s="10">
        <v>7954.2550000000001</v>
      </c>
      <c r="AL101" s="10">
        <v>14190.371999999999</v>
      </c>
      <c r="AM101" s="10">
        <v>50876.555999999997</v>
      </c>
      <c r="AN101" s="10">
        <v>2594.1410000000001</v>
      </c>
      <c r="AO101" s="10">
        <v>1048.9580000000001</v>
      </c>
      <c r="AP101" s="10">
        <v>424.50900000000001</v>
      </c>
      <c r="AQ101" s="10">
        <v>32953.097999999998</v>
      </c>
      <c r="AR101" s="10">
        <v>8024.64</v>
      </c>
      <c r="AS101" s="10">
        <v>601.67499999999995</v>
      </c>
      <c r="AT101" s="10">
        <v>128.489</v>
      </c>
      <c r="AU101" s="10">
        <v>9624.5390000000007</v>
      </c>
      <c r="AV101" s="10">
        <v>1177.5139999999999</v>
      </c>
      <c r="AW101" s="10">
        <v>2010.806</v>
      </c>
      <c r="AX101" s="10">
        <v>4412.3320000000003</v>
      </c>
      <c r="AY101" s="10">
        <v>1942.6969999999999</v>
      </c>
      <c r="AZ101" s="10">
        <v>1885.287</v>
      </c>
      <c r="BA101" s="10">
        <v>604.20500000000004</v>
      </c>
      <c r="BB101" s="10">
        <v>9804.0409999999993</v>
      </c>
      <c r="BC101" s="10">
        <v>582.20399999999995</v>
      </c>
      <c r="BD101" s="10">
        <v>208.87299999999999</v>
      </c>
      <c r="BE101" s="10">
        <v>1970</v>
      </c>
      <c r="BF101" s="10">
        <v>132396.52499999999</v>
      </c>
      <c r="BG101" s="10">
        <v>5314.0709999999999</v>
      </c>
      <c r="BH101" s="10">
        <v>28196.328000000001</v>
      </c>
      <c r="BI101" s="10">
        <v>2673.0859999999998</v>
      </c>
      <c r="BJ101" s="10">
        <v>862.39800000000002</v>
      </c>
      <c r="BK101" s="10">
        <v>0</v>
      </c>
      <c r="BL101" s="10">
        <v>53498.656000000003</v>
      </c>
      <c r="BM101" s="10">
        <v>10464.719999999999</v>
      </c>
      <c r="BN101" s="10">
        <v>88631.384999999995</v>
      </c>
      <c r="BO101" s="10">
        <v>340.47800000000001</v>
      </c>
      <c r="BP101" s="10">
        <v>596843.16</v>
      </c>
      <c r="BQ101" s="10">
        <v>107193.274</v>
      </c>
      <c r="BR101" s="10">
        <v>138566.05100000001</v>
      </c>
      <c r="BS101" s="10">
        <v>874.42600000000004</v>
      </c>
      <c r="BT101" s="10">
        <v>3533.7750000000001</v>
      </c>
      <c r="BU101" s="10">
        <v>4149.4129999999996</v>
      </c>
      <c r="BV101" s="10">
        <v>4227.152</v>
      </c>
      <c r="BW101" s="10">
        <v>2033.0530000000001</v>
      </c>
      <c r="BX101" s="10">
        <v>9051.2960000000003</v>
      </c>
      <c r="BY101" s="10">
        <v>4010.8850000000002</v>
      </c>
      <c r="BZ101" s="10">
        <v>2602.7469999999998</v>
      </c>
      <c r="CA101" s="10">
        <v>1558.94</v>
      </c>
      <c r="CB101" s="10">
        <v>3845.7739999999999</v>
      </c>
      <c r="CC101" s="10">
        <v>0</v>
      </c>
      <c r="CD101" s="10">
        <v>664361.26399999997</v>
      </c>
      <c r="CE101" s="13" t="s">
        <v>94</v>
      </c>
      <c r="CF101" s="13" t="s">
        <v>94</v>
      </c>
      <c r="CG101" s="13" t="s">
        <v>94</v>
      </c>
      <c r="CH101" s="13" t="s">
        <v>94</v>
      </c>
      <c r="CI101" s="13" t="s">
        <v>94</v>
      </c>
      <c r="CJ101" s="13" t="s">
        <v>94</v>
      </c>
      <c r="CK101" s="13" t="s">
        <v>94</v>
      </c>
    </row>
    <row r="102" spans="1:89" x14ac:dyDescent="0.3">
      <c r="A102" s="8" t="s">
        <v>188</v>
      </c>
      <c r="B102" s="12" t="s">
        <v>94</v>
      </c>
      <c r="C102" s="10">
        <f t="shared" si="1"/>
        <v>721349.28700000001</v>
      </c>
      <c r="D102" s="11">
        <v>721349.28700000001</v>
      </c>
      <c r="E102" s="11">
        <v>0</v>
      </c>
      <c r="F102" s="11">
        <v>134.578</v>
      </c>
      <c r="G102" s="11">
        <v>0</v>
      </c>
      <c r="H102" s="11">
        <v>193.42400000000001</v>
      </c>
      <c r="I102" s="11">
        <v>155.88999999999999</v>
      </c>
      <c r="J102" s="11">
        <v>0</v>
      </c>
      <c r="K102" s="11">
        <v>2683.8879999999999</v>
      </c>
      <c r="L102" s="11">
        <v>543.74199999999996</v>
      </c>
      <c r="M102" s="11">
        <v>4721.0600000000004</v>
      </c>
      <c r="N102" s="11">
        <v>13208.656000000001</v>
      </c>
      <c r="O102" s="11">
        <v>5437.4679999999998</v>
      </c>
      <c r="P102" s="11">
        <v>1845.4960000000001</v>
      </c>
      <c r="Q102" s="11">
        <v>7792.9030000000002</v>
      </c>
      <c r="R102" s="11">
        <v>1766.2070000000001</v>
      </c>
      <c r="S102" s="11">
        <v>1249.81</v>
      </c>
      <c r="T102" s="11">
        <v>497.83800000000002</v>
      </c>
      <c r="U102" s="11">
        <v>2877.5920000000001</v>
      </c>
      <c r="V102" s="11">
        <v>1426.857</v>
      </c>
      <c r="W102" s="11">
        <v>738.92399999999998</v>
      </c>
      <c r="X102" s="11">
        <v>2369.6190000000001</v>
      </c>
      <c r="Y102" s="11">
        <v>1195.5050000000001</v>
      </c>
      <c r="Z102" s="11">
        <v>187.578</v>
      </c>
      <c r="AA102" s="11">
        <v>4839.9620000000004</v>
      </c>
      <c r="AB102" s="11">
        <v>4958.9399999999996</v>
      </c>
      <c r="AC102" s="11">
        <v>2113.4119999999998</v>
      </c>
      <c r="AD102" s="11">
        <v>3395.21</v>
      </c>
      <c r="AE102" s="11">
        <v>5709.0410000000002</v>
      </c>
      <c r="AF102" s="11">
        <v>8012.0150000000003</v>
      </c>
      <c r="AG102" s="11">
        <v>20521.103999999999</v>
      </c>
      <c r="AH102" s="11">
        <v>7357.5959999999995</v>
      </c>
      <c r="AI102" s="11">
        <v>20233.585999999999</v>
      </c>
      <c r="AJ102" s="11">
        <v>2256.0410000000002</v>
      </c>
      <c r="AK102" s="11">
        <v>5285.875</v>
      </c>
      <c r="AL102" s="11">
        <v>8587.7860000000001</v>
      </c>
      <c r="AM102" s="11">
        <v>34489.728999999999</v>
      </c>
      <c r="AN102" s="11">
        <v>1196.2270000000001</v>
      </c>
      <c r="AO102" s="11">
        <v>833.202</v>
      </c>
      <c r="AP102" s="11">
        <v>18.797000000000001</v>
      </c>
      <c r="AQ102" s="11">
        <v>17757.157999999999</v>
      </c>
      <c r="AR102" s="11">
        <v>7010.9610000000002</v>
      </c>
      <c r="AS102" s="11">
        <v>21.513000000000002</v>
      </c>
      <c r="AT102" s="11">
        <v>18.018999999999998</v>
      </c>
      <c r="AU102" s="11">
        <v>3673.0549999999998</v>
      </c>
      <c r="AV102" s="11">
        <v>516.38</v>
      </c>
      <c r="AW102" s="11">
        <v>1270.9359999999999</v>
      </c>
      <c r="AX102" s="11">
        <v>1080.8579999999999</v>
      </c>
      <c r="AY102" s="11">
        <v>689.52700000000004</v>
      </c>
      <c r="AZ102" s="11">
        <v>706.84799999999996</v>
      </c>
      <c r="BA102" s="11">
        <v>256.82499999999999</v>
      </c>
      <c r="BB102" s="11">
        <v>6517.6409999999996</v>
      </c>
      <c r="BC102" s="11">
        <v>126.07599999999999</v>
      </c>
      <c r="BD102" s="11">
        <v>98.367000000000004</v>
      </c>
      <c r="BE102" s="11">
        <v>265</v>
      </c>
      <c r="BF102" s="11">
        <v>17531.329000000002</v>
      </c>
      <c r="BG102" s="11">
        <v>670.24</v>
      </c>
      <c r="BH102" s="11">
        <v>2868.1320000000001</v>
      </c>
      <c r="BI102" s="11">
        <v>4174.3069999999998</v>
      </c>
      <c r="BJ102" s="11">
        <v>456.94099999999997</v>
      </c>
      <c r="BK102" s="11">
        <v>8.4830000000000005</v>
      </c>
      <c r="BL102" s="11">
        <v>13235.111000000001</v>
      </c>
      <c r="BM102" s="11">
        <v>2940.951</v>
      </c>
      <c r="BN102" s="11">
        <v>27795.339</v>
      </c>
      <c r="BO102" s="11">
        <v>265.85899999999998</v>
      </c>
      <c r="BP102" s="11">
        <v>109787.8</v>
      </c>
      <c r="BQ102" s="11">
        <v>47694.900999999998</v>
      </c>
      <c r="BR102" s="11">
        <v>92886.770999999993</v>
      </c>
      <c r="BS102" s="11">
        <v>356.27</v>
      </c>
      <c r="BT102" s="11">
        <v>2184.3380000000002</v>
      </c>
      <c r="BU102" s="11">
        <v>893.77300000000002</v>
      </c>
      <c r="BV102" s="11">
        <v>1526.242</v>
      </c>
      <c r="BW102" s="11">
        <v>1079.377</v>
      </c>
      <c r="BX102" s="11">
        <v>5894.1139999999996</v>
      </c>
      <c r="BY102" s="11">
        <v>3504.9250000000002</v>
      </c>
      <c r="BZ102" s="11">
        <v>1074.921</v>
      </c>
      <c r="CA102" s="11">
        <v>951.06100000000004</v>
      </c>
      <c r="CB102" s="11">
        <v>1056.924</v>
      </c>
      <c r="CC102" s="11">
        <v>0</v>
      </c>
      <c r="CD102" s="11">
        <v>163666.45600000001</v>
      </c>
      <c r="CE102" s="12" t="s">
        <v>94</v>
      </c>
      <c r="CF102" s="12" t="s">
        <v>94</v>
      </c>
      <c r="CG102" s="12" t="s">
        <v>94</v>
      </c>
      <c r="CH102" s="12" t="s">
        <v>94</v>
      </c>
      <c r="CI102" s="12" t="s">
        <v>94</v>
      </c>
      <c r="CJ102" s="12" t="s">
        <v>94</v>
      </c>
      <c r="CK102" s="12" t="s">
        <v>94</v>
      </c>
    </row>
    <row r="103" spans="1:89" x14ac:dyDescent="0.3">
      <c r="A103" s="7" t="s">
        <v>189</v>
      </c>
      <c r="B103" s="13" t="s">
        <v>94</v>
      </c>
      <c r="C103" s="10">
        <f t="shared" si="1"/>
        <v>359330.33499999996</v>
      </c>
      <c r="D103" s="10">
        <v>364123.65299999999</v>
      </c>
      <c r="E103" s="10">
        <v>0</v>
      </c>
      <c r="F103" s="10">
        <v>47.323999999999998</v>
      </c>
      <c r="G103" s="10">
        <v>0</v>
      </c>
      <c r="H103" s="10">
        <v>106.074</v>
      </c>
      <c r="I103" s="10">
        <v>52.96</v>
      </c>
      <c r="J103" s="10">
        <v>4793.3180000000002</v>
      </c>
      <c r="K103" s="10">
        <v>5265.3959999999997</v>
      </c>
      <c r="L103" s="10">
        <v>219.71600000000001</v>
      </c>
      <c r="M103" s="10">
        <v>1154.4380000000001</v>
      </c>
      <c r="N103" s="10">
        <v>5644.6030000000001</v>
      </c>
      <c r="O103" s="10">
        <v>2473.7919999999999</v>
      </c>
      <c r="P103" s="10">
        <v>792.02300000000002</v>
      </c>
      <c r="Q103" s="10">
        <v>10092.013999999999</v>
      </c>
      <c r="R103" s="10">
        <v>3151.848</v>
      </c>
      <c r="S103" s="10">
        <v>656.375</v>
      </c>
      <c r="T103" s="10">
        <v>431.38099999999997</v>
      </c>
      <c r="U103" s="10">
        <v>1823.943</v>
      </c>
      <c r="V103" s="10">
        <v>764.07600000000002</v>
      </c>
      <c r="W103" s="10">
        <v>327.13200000000001</v>
      </c>
      <c r="X103" s="10">
        <v>2287.8679999999999</v>
      </c>
      <c r="Y103" s="10">
        <v>741.73500000000001</v>
      </c>
      <c r="Z103" s="10">
        <v>8765.6</v>
      </c>
      <c r="AA103" s="10">
        <v>19351.773000000001</v>
      </c>
      <c r="AB103" s="10">
        <v>5045.4179999999997</v>
      </c>
      <c r="AC103" s="10">
        <v>4230.1540000000005</v>
      </c>
      <c r="AD103" s="10">
        <v>4801.3900000000003</v>
      </c>
      <c r="AE103" s="10">
        <v>5815.86</v>
      </c>
      <c r="AF103" s="10">
        <v>9351.5669999999991</v>
      </c>
      <c r="AG103" s="10">
        <v>25456.52</v>
      </c>
      <c r="AH103" s="10">
        <v>11183.986999999999</v>
      </c>
      <c r="AI103" s="10">
        <v>28095.75</v>
      </c>
      <c r="AJ103" s="10">
        <v>1342.1869999999999</v>
      </c>
      <c r="AK103" s="10">
        <v>6061.5469999999996</v>
      </c>
      <c r="AL103" s="10">
        <v>6528.59</v>
      </c>
      <c r="AM103" s="10">
        <v>19814.947</v>
      </c>
      <c r="AN103" s="10">
        <v>786.02800000000002</v>
      </c>
      <c r="AO103" s="10">
        <v>211.74100000000001</v>
      </c>
      <c r="AP103" s="10">
        <v>710.12800000000004</v>
      </c>
      <c r="AQ103" s="10">
        <v>8733.6579999999994</v>
      </c>
      <c r="AR103" s="10">
        <v>4732.6940000000004</v>
      </c>
      <c r="AS103" s="10">
        <v>367.42099999999999</v>
      </c>
      <c r="AT103" s="10">
        <v>13.077999999999999</v>
      </c>
      <c r="AU103" s="10">
        <v>2312.154</v>
      </c>
      <c r="AV103" s="10">
        <v>9.5129999999999999</v>
      </c>
      <c r="AW103" s="10">
        <v>1148.8019999999999</v>
      </c>
      <c r="AX103" s="10">
        <v>1595.37</v>
      </c>
      <c r="AY103" s="10">
        <v>469.45699999999999</v>
      </c>
      <c r="AZ103" s="10">
        <v>373.88099999999997</v>
      </c>
      <c r="BA103" s="10">
        <v>159.91300000000001</v>
      </c>
      <c r="BB103" s="10">
        <v>6910.9620000000004</v>
      </c>
      <c r="BC103" s="10">
        <v>187.10599999999999</v>
      </c>
      <c r="BD103" s="10">
        <v>86.661000000000001</v>
      </c>
      <c r="BE103" s="10">
        <v>351</v>
      </c>
      <c r="BF103" s="10">
        <v>13424.441999999999</v>
      </c>
      <c r="BG103" s="10">
        <v>219.654</v>
      </c>
      <c r="BH103" s="10">
        <v>2386.2820000000002</v>
      </c>
      <c r="BI103" s="10">
        <v>2198.5929999999998</v>
      </c>
      <c r="BJ103" s="10">
        <v>877.625</v>
      </c>
      <c r="BK103" s="10">
        <v>1.131</v>
      </c>
      <c r="BL103" s="10">
        <v>9634.3140000000003</v>
      </c>
      <c r="BM103" s="10">
        <v>5637.2659999999996</v>
      </c>
      <c r="BN103" s="10">
        <v>73900.983999999997</v>
      </c>
      <c r="BO103" s="10">
        <v>393.50700000000001</v>
      </c>
      <c r="BP103" s="10">
        <v>8089.2740000000003</v>
      </c>
      <c r="BQ103" s="10">
        <v>876.38099999999997</v>
      </c>
      <c r="BR103" s="10">
        <v>4273.5249999999996</v>
      </c>
      <c r="BS103" s="10">
        <v>39.784999999999997</v>
      </c>
      <c r="BT103" s="10">
        <v>123.021</v>
      </c>
      <c r="BU103" s="10">
        <v>197.9</v>
      </c>
      <c r="BV103" s="10">
        <v>139.934</v>
      </c>
      <c r="BW103" s="10">
        <v>732.68799999999999</v>
      </c>
      <c r="BX103" s="10">
        <v>2732.8560000000002</v>
      </c>
      <c r="BY103" s="10">
        <v>3483.002</v>
      </c>
      <c r="BZ103" s="10">
        <v>2344.1080000000002</v>
      </c>
      <c r="CA103" s="10">
        <v>288.00700000000001</v>
      </c>
      <c r="CB103" s="10">
        <v>669.51300000000003</v>
      </c>
      <c r="CC103" s="10">
        <v>0</v>
      </c>
      <c r="CD103" s="10">
        <v>5628.9880000000003</v>
      </c>
      <c r="CE103" s="13" t="s">
        <v>94</v>
      </c>
      <c r="CF103" s="13" t="s">
        <v>94</v>
      </c>
      <c r="CG103" s="13" t="s">
        <v>94</v>
      </c>
      <c r="CH103" s="13" t="s">
        <v>94</v>
      </c>
      <c r="CI103" s="13" t="s">
        <v>94</v>
      </c>
      <c r="CJ103" s="13" t="s">
        <v>94</v>
      </c>
      <c r="CK103" s="13" t="s">
        <v>94</v>
      </c>
    </row>
    <row r="104" spans="1:89" x14ac:dyDescent="0.3">
      <c r="A104" s="8" t="s">
        <v>190</v>
      </c>
      <c r="B104" s="12" t="s">
        <v>94</v>
      </c>
      <c r="C104" s="10">
        <f t="shared" si="1"/>
        <v>128552.00199999999</v>
      </c>
      <c r="D104" s="11">
        <v>130685.83199999999</v>
      </c>
      <c r="E104" s="11">
        <v>14.564</v>
      </c>
      <c r="F104" s="11">
        <v>6.923</v>
      </c>
      <c r="G104" s="11">
        <v>0.67500000000000004</v>
      </c>
      <c r="H104" s="11">
        <v>0.63600000000000001</v>
      </c>
      <c r="I104" s="11">
        <v>9.0999999999999998E-2</v>
      </c>
      <c r="J104" s="11">
        <v>2133.83</v>
      </c>
      <c r="K104" s="11">
        <v>1039.7270000000001</v>
      </c>
      <c r="L104" s="11">
        <v>367.10899999999998</v>
      </c>
      <c r="M104" s="11">
        <v>5730.5169999999998</v>
      </c>
      <c r="N104" s="11">
        <v>5014.5469999999996</v>
      </c>
      <c r="O104" s="11">
        <v>1516.221</v>
      </c>
      <c r="P104" s="11">
        <v>733.33199999999999</v>
      </c>
      <c r="Q104" s="11">
        <v>5752.415</v>
      </c>
      <c r="R104" s="11">
        <v>1081.8420000000001</v>
      </c>
      <c r="S104" s="11">
        <v>237.352</v>
      </c>
      <c r="T104" s="11">
        <v>113.46</v>
      </c>
      <c r="U104" s="11">
        <v>416.26400000000001</v>
      </c>
      <c r="V104" s="11">
        <v>202.47300000000001</v>
      </c>
      <c r="W104" s="11">
        <v>215.58099999999999</v>
      </c>
      <c r="X104" s="11">
        <v>696.89499999999998</v>
      </c>
      <c r="Y104" s="11">
        <v>176.93</v>
      </c>
      <c r="Z104" s="11">
        <v>1379.21</v>
      </c>
      <c r="AA104" s="11">
        <v>2575.0610000000001</v>
      </c>
      <c r="AB104" s="11">
        <v>1323.4849999999999</v>
      </c>
      <c r="AC104" s="11">
        <v>955.26400000000001</v>
      </c>
      <c r="AD104" s="11">
        <v>2111.1979999999999</v>
      </c>
      <c r="AE104" s="11">
        <v>1231.8989999999999</v>
      </c>
      <c r="AF104" s="11">
        <v>1401.028</v>
      </c>
      <c r="AG104" s="11">
        <v>4578.8720000000003</v>
      </c>
      <c r="AH104" s="11">
        <v>1466.2329999999999</v>
      </c>
      <c r="AI104" s="11">
        <v>9791.4650000000001</v>
      </c>
      <c r="AJ104" s="11">
        <v>332.12</v>
      </c>
      <c r="AK104" s="11">
        <v>1086.9480000000001</v>
      </c>
      <c r="AL104" s="11">
        <v>7834.1459999999997</v>
      </c>
      <c r="AM104" s="11">
        <v>10878.934999999999</v>
      </c>
      <c r="AN104" s="11">
        <v>552.20399999999995</v>
      </c>
      <c r="AO104" s="11">
        <v>167.065</v>
      </c>
      <c r="AP104" s="11">
        <v>290.52699999999999</v>
      </c>
      <c r="AQ104" s="11">
        <v>2463.8829999999998</v>
      </c>
      <c r="AR104" s="11">
        <v>-5966.3280000000004</v>
      </c>
      <c r="AS104" s="11">
        <v>62.298000000000002</v>
      </c>
      <c r="AT104" s="11">
        <v>11.676</v>
      </c>
      <c r="AU104" s="11">
        <v>563.27800000000002</v>
      </c>
      <c r="AV104" s="11">
        <v>120.27800000000001</v>
      </c>
      <c r="AW104" s="11">
        <v>111.155</v>
      </c>
      <c r="AX104" s="11">
        <v>153.30799999999999</v>
      </c>
      <c r="AY104" s="11">
        <v>78.037999999999997</v>
      </c>
      <c r="AZ104" s="11">
        <v>165.827</v>
      </c>
      <c r="BA104" s="11">
        <v>186.41399999999999</v>
      </c>
      <c r="BB104" s="11">
        <v>1098.961</v>
      </c>
      <c r="BC104" s="11">
        <v>32.423000000000002</v>
      </c>
      <c r="BD104" s="11">
        <v>10.266999999999999</v>
      </c>
      <c r="BE104" s="11">
        <v>79</v>
      </c>
      <c r="BF104" s="11">
        <v>19653.374</v>
      </c>
      <c r="BG104" s="11">
        <v>293.73200000000003</v>
      </c>
      <c r="BH104" s="11">
        <v>616.48699999999997</v>
      </c>
      <c r="BI104" s="11">
        <v>4804.9229999999998</v>
      </c>
      <c r="BJ104" s="11">
        <v>162.28299999999999</v>
      </c>
      <c r="BK104" s="11">
        <v>120.289</v>
      </c>
      <c r="BL104" s="11">
        <v>1287.8689999999999</v>
      </c>
      <c r="BM104" s="11">
        <v>1507.53</v>
      </c>
      <c r="BN104" s="11">
        <v>2416.36</v>
      </c>
      <c r="BO104" s="11">
        <v>61.524000000000001</v>
      </c>
      <c r="BP104" s="11">
        <v>3987.759</v>
      </c>
      <c r="BQ104" s="11">
        <v>1185.6679999999999</v>
      </c>
      <c r="BR104" s="11">
        <v>1368.6869999999999</v>
      </c>
      <c r="BS104" s="11">
        <v>34.090000000000003</v>
      </c>
      <c r="BT104" s="11">
        <v>37.472000000000001</v>
      </c>
      <c r="BU104" s="11">
        <v>134.24299999999999</v>
      </c>
      <c r="BV104" s="11">
        <v>118.72499999999999</v>
      </c>
      <c r="BW104" s="11">
        <v>244.57599999999999</v>
      </c>
      <c r="BX104" s="11">
        <v>1058.2940000000001</v>
      </c>
      <c r="BY104" s="11">
        <v>1324.0119999999999</v>
      </c>
      <c r="BZ104" s="11">
        <v>498.66399999999999</v>
      </c>
      <c r="CA104" s="11">
        <v>314.88400000000001</v>
      </c>
      <c r="CB104" s="11">
        <v>199.78399999999999</v>
      </c>
      <c r="CC104" s="11">
        <v>0</v>
      </c>
      <c r="CD104" s="11">
        <v>16677.080999999998</v>
      </c>
      <c r="CE104" s="12" t="s">
        <v>94</v>
      </c>
      <c r="CF104" s="12" t="s">
        <v>94</v>
      </c>
      <c r="CG104" s="12" t="s">
        <v>94</v>
      </c>
      <c r="CH104" s="12" t="s">
        <v>94</v>
      </c>
      <c r="CI104" s="12" t="s">
        <v>94</v>
      </c>
      <c r="CJ104" s="12" t="s">
        <v>94</v>
      </c>
      <c r="CK104" s="12" t="s">
        <v>94</v>
      </c>
    </row>
    <row r="105" spans="1:89" x14ac:dyDescent="0.3">
      <c r="A105" s="7" t="s">
        <v>191</v>
      </c>
      <c r="B105" s="13" t="s">
        <v>94</v>
      </c>
      <c r="C105" s="10">
        <f t="shared" si="1"/>
        <v>136580.77600000001</v>
      </c>
      <c r="D105" s="10">
        <v>138714.606</v>
      </c>
      <c r="E105" s="10">
        <v>14.564</v>
      </c>
      <c r="F105" s="10">
        <v>6.923</v>
      </c>
      <c r="G105" s="10">
        <v>0.67500000000000004</v>
      </c>
      <c r="H105" s="10">
        <v>0.63600000000000001</v>
      </c>
      <c r="I105" s="10">
        <v>9.0999999999999998E-2</v>
      </c>
      <c r="J105" s="10">
        <v>2133.83</v>
      </c>
      <c r="K105" s="10">
        <v>1039.7270000000001</v>
      </c>
      <c r="L105" s="10">
        <v>367.10899999999998</v>
      </c>
      <c r="M105" s="10">
        <v>5730.5169999999998</v>
      </c>
      <c r="N105" s="10">
        <v>5014.5469999999996</v>
      </c>
      <c r="O105" s="10">
        <v>1516.221</v>
      </c>
      <c r="P105" s="10">
        <v>733.33199999999999</v>
      </c>
      <c r="Q105" s="10">
        <v>5752.415</v>
      </c>
      <c r="R105" s="10">
        <v>1081.8420000000001</v>
      </c>
      <c r="S105" s="10">
        <v>237.352</v>
      </c>
      <c r="T105" s="10">
        <v>113.46</v>
      </c>
      <c r="U105" s="10">
        <v>416.26400000000001</v>
      </c>
      <c r="V105" s="10">
        <v>202.47300000000001</v>
      </c>
      <c r="W105" s="10">
        <v>215.58099999999999</v>
      </c>
      <c r="X105" s="10">
        <v>696.89499999999998</v>
      </c>
      <c r="Y105" s="10">
        <v>176.93</v>
      </c>
      <c r="Z105" s="10">
        <v>1379.21</v>
      </c>
      <c r="AA105" s="10">
        <v>2575.0610000000001</v>
      </c>
      <c r="AB105" s="10">
        <v>1323.4849999999999</v>
      </c>
      <c r="AC105" s="10">
        <v>955.26400000000001</v>
      </c>
      <c r="AD105" s="10">
        <v>2111.1979999999999</v>
      </c>
      <c r="AE105" s="10">
        <v>1231.8989999999999</v>
      </c>
      <c r="AF105" s="10">
        <v>1401.028</v>
      </c>
      <c r="AG105" s="10">
        <v>4578.8720000000003</v>
      </c>
      <c r="AH105" s="10">
        <v>1466.2329999999999</v>
      </c>
      <c r="AI105" s="10">
        <v>9791.4650000000001</v>
      </c>
      <c r="AJ105" s="10">
        <v>332.12</v>
      </c>
      <c r="AK105" s="10">
        <v>1086.9480000000001</v>
      </c>
      <c r="AL105" s="10">
        <v>7834.1459999999997</v>
      </c>
      <c r="AM105" s="10">
        <v>10878.934999999999</v>
      </c>
      <c r="AN105" s="10">
        <v>552.20399999999995</v>
      </c>
      <c r="AO105" s="10">
        <v>167.065</v>
      </c>
      <c r="AP105" s="10">
        <v>290.52699999999999</v>
      </c>
      <c r="AQ105" s="10">
        <v>2463.8829999999998</v>
      </c>
      <c r="AR105" s="10">
        <v>1754.646</v>
      </c>
      <c r="AS105" s="10">
        <v>62.298000000000002</v>
      </c>
      <c r="AT105" s="10">
        <v>11.676</v>
      </c>
      <c r="AU105" s="10">
        <v>563.27800000000002</v>
      </c>
      <c r="AV105" s="10">
        <v>120.27800000000001</v>
      </c>
      <c r="AW105" s="10">
        <v>111.155</v>
      </c>
      <c r="AX105" s="10">
        <v>153.30799999999999</v>
      </c>
      <c r="AY105" s="10">
        <v>78.037999999999997</v>
      </c>
      <c r="AZ105" s="10">
        <v>165.827</v>
      </c>
      <c r="BA105" s="10">
        <v>186.41399999999999</v>
      </c>
      <c r="BB105" s="10">
        <v>1098.961</v>
      </c>
      <c r="BC105" s="10">
        <v>32.423000000000002</v>
      </c>
      <c r="BD105" s="10">
        <v>10.266999999999999</v>
      </c>
      <c r="BE105" s="10">
        <v>79</v>
      </c>
      <c r="BF105" s="10">
        <v>19653.374</v>
      </c>
      <c r="BG105" s="10">
        <v>293.73200000000003</v>
      </c>
      <c r="BH105" s="10">
        <v>616.48699999999997</v>
      </c>
      <c r="BI105" s="10">
        <v>4804.9229999999998</v>
      </c>
      <c r="BJ105" s="10">
        <v>162.28299999999999</v>
      </c>
      <c r="BK105" s="10">
        <v>120.289</v>
      </c>
      <c r="BL105" s="10">
        <v>1595.6690000000001</v>
      </c>
      <c r="BM105" s="10">
        <v>1507.53</v>
      </c>
      <c r="BN105" s="10">
        <v>2416.36</v>
      </c>
      <c r="BO105" s="10">
        <v>61.524000000000001</v>
      </c>
      <c r="BP105" s="10">
        <v>3987.759</v>
      </c>
      <c r="BQ105" s="10">
        <v>1185.6679999999999</v>
      </c>
      <c r="BR105" s="10">
        <v>1368.6869999999999</v>
      </c>
      <c r="BS105" s="10">
        <v>34.090000000000003</v>
      </c>
      <c r="BT105" s="10">
        <v>37.472000000000001</v>
      </c>
      <c r="BU105" s="10">
        <v>134.24299999999999</v>
      </c>
      <c r="BV105" s="10">
        <v>118.72499999999999</v>
      </c>
      <c r="BW105" s="10">
        <v>244.57599999999999</v>
      </c>
      <c r="BX105" s="10">
        <v>1058.2940000000001</v>
      </c>
      <c r="BY105" s="10">
        <v>1324.0119999999999</v>
      </c>
      <c r="BZ105" s="10">
        <v>498.66399999999999</v>
      </c>
      <c r="CA105" s="10">
        <v>314.88400000000001</v>
      </c>
      <c r="CB105" s="10">
        <v>199.78399999999999</v>
      </c>
      <c r="CC105" s="10">
        <v>0</v>
      </c>
      <c r="CD105" s="10">
        <v>16677.080999999998</v>
      </c>
      <c r="CE105" s="13" t="s">
        <v>94</v>
      </c>
      <c r="CF105" s="13" t="s">
        <v>94</v>
      </c>
      <c r="CG105" s="13" t="s">
        <v>94</v>
      </c>
      <c r="CH105" s="13" t="s">
        <v>94</v>
      </c>
      <c r="CI105" s="13" t="s">
        <v>94</v>
      </c>
      <c r="CJ105" s="13" t="s">
        <v>94</v>
      </c>
      <c r="CK105" s="13" t="s">
        <v>94</v>
      </c>
    </row>
    <row r="106" spans="1:89" x14ac:dyDescent="0.3">
      <c r="A106" s="8" t="s">
        <v>192</v>
      </c>
      <c r="B106" s="12" t="s">
        <v>94</v>
      </c>
      <c r="C106" s="10">
        <f t="shared" si="1"/>
        <v>8028.7740000000003</v>
      </c>
      <c r="D106" s="11">
        <v>8028.7740000000003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7720.9740000000002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307.8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2" t="s">
        <v>94</v>
      </c>
      <c r="CF106" s="12" t="s">
        <v>94</v>
      </c>
      <c r="CG106" s="12" t="s">
        <v>94</v>
      </c>
      <c r="CH106" s="12" t="s">
        <v>94</v>
      </c>
      <c r="CI106" s="12" t="s">
        <v>94</v>
      </c>
      <c r="CJ106" s="12" t="s">
        <v>94</v>
      </c>
      <c r="CK106" s="12" t="s">
        <v>94</v>
      </c>
    </row>
    <row r="107" spans="1:89" x14ac:dyDescent="0.3">
      <c r="A107" s="7" t="s">
        <v>193</v>
      </c>
      <c r="B107" s="13" t="s">
        <v>94</v>
      </c>
      <c r="C107" s="10">
        <f t="shared" si="1"/>
        <v>16180696.149999999</v>
      </c>
      <c r="D107" s="10">
        <v>16768395.563999999</v>
      </c>
      <c r="E107" s="10">
        <v>434387.00900000002</v>
      </c>
      <c r="F107" s="10">
        <v>199494.93100000001</v>
      </c>
      <c r="G107" s="10">
        <v>21952.79</v>
      </c>
      <c r="H107" s="10">
        <v>6303.6660000000002</v>
      </c>
      <c r="I107" s="10">
        <v>4419.7269999999999</v>
      </c>
      <c r="J107" s="10">
        <v>587699.41399999999</v>
      </c>
      <c r="K107" s="10">
        <v>229560.21799999999</v>
      </c>
      <c r="L107" s="10">
        <v>55946.773999999998</v>
      </c>
      <c r="M107" s="10">
        <v>370564.84600000002</v>
      </c>
      <c r="N107" s="10">
        <v>753249.06900000002</v>
      </c>
      <c r="O107" s="10">
        <v>165260.402</v>
      </c>
      <c r="P107" s="10">
        <v>140625.448</v>
      </c>
      <c r="Q107" s="10">
        <v>803995.44</v>
      </c>
      <c r="R107" s="10">
        <v>216568.834</v>
      </c>
      <c r="S107" s="10">
        <v>21479.188999999998</v>
      </c>
      <c r="T107" s="10">
        <v>10943.548000000001</v>
      </c>
      <c r="U107" s="10">
        <v>41146.538999999997</v>
      </c>
      <c r="V107" s="10">
        <v>17126.624</v>
      </c>
      <c r="W107" s="10">
        <v>28180.016</v>
      </c>
      <c r="X107" s="10">
        <v>80457.709999999905</v>
      </c>
      <c r="Y107" s="10">
        <v>13752.819</v>
      </c>
      <c r="Z107" s="10">
        <v>145471.60399999999</v>
      </c>
      <c r="AA107" s="10">
        <v>293506.20199999999</v>
      </c>
      <c r="AB107" s="10">
        <v>104953.265</v>
      </c>
      <c r="AC107" s="10">
        <v>131520.04800000001</v>
      </c>
      <c r="AD107" s="10">
        <v>230391.495</v>
      </c>
      <c r="AE107" s="10">
        <v>116181.89200000001</v>
      </c>
      <c r="AF107" s="10">
        <v>148572.07699999999</v>
      </c>
      <c r="AG107" s="10">
        <v>213426.964000001</v>
      </c>
      <c r="AH107" s="10">
        <v>117910.064</v>
      </c>
      <c r="AI107" s="10">
        <v>988314.624000001</v>
      </c>
      <c r="AJ107" s="10">
        <v>33164.866999999998</v>
      </c>
      <c r="AK107" s="10">
        <v>80202.828000000096</v>
      </c>
      <c r="AL107" s="10">
        <v>2167791.395</v>
      </c>
      <c r="AM107" s="10">
        <v>1749125.2760000001</v>
      </c>
      <c r="AN107" s="10">
        <v>48830.097000000002</v>
      </c>
      <c r="AO107" s="10">
        <v>34328.061999999998</v>
      </c>
      <c r="AP107" s="10">
        <v>15196.91</v>
      </c>
      <c r="AQ107" s="10">
        <v>704822.44700000004</v>
      </c>
      <c r="AR107" s="10">
        <v>289815.739</v>
      </c>
      <c r="AS107" s="10">
        <v>10226.117</v>
      </c>
      <c r="AT107" s="10">
        <v>1521.7270000000001</v>
      </c>
      <c r="AU107" s="10">
        <v>125827.067</v>
      </c>
      <c r="AV107" s="10">
        <v>177.74199999999999</v>
      </c>
      <c r="AW107" s="10">
        <v>13239.960999999999</v>
      </c>
      <c r="AX107" s="10">
        <v>15365.906999999999</v>
      </c>
      <c r="AY107" s="10">
        <v>10418.332</v>
      </c>
      <c r="AZ107" s="10">
        <v>30890.832999999999</v>
      </c>
      <c r="BA107" s="10">
        <v>38871.105000000003</v>
      </c>
      <c r="BB107" s="10">
        <v>215993.05900000001</v>
      </c>
      <c r="BC107" s="10">
        <v>5685.152</v>
      </c>
      <c r="BD107" s="10">
        <v>919.05499999999995</v>
      </c>
      <c r="BE107" s="10">
        <v>35413.364999999998</v>
      </c>
      <c r="BF107" s="10">
        <v>495776.55900000001</v>
      </c>
      <c r="BG107" s="10">
        <v>16433.969000000001</v>
      </c>
      <c r="BH107" s="10">
        <v>112800.518</v>
      </c>
      <c r="BI107" s="10">
        <v>1983720.1370000001</v>
      </c>
      <c r="BJ107" s="10">
        <v>28787.469000000001</v>
      </c>
      <c r="BK107" s="10">
        <v>49358.523999999998</v>
      </c>
      <c r="BL107" s="10">
        <v>292518.51</v>
      </c>
      <c r="BM107" s="10">
        <v>106061.891</v>
      </c>
      <c r="BN107" s="10">
        <v>287015.02600000001</v>
      </c>
      <c r="BO107" s="10">
        <v>10888.384</v>
      </c>
      <c r="BP107" s="10">
        <v>117274.336</v>
      </c>
      <c r="BQ107" s="10">
        <v>75561.233999999997</v>
      </c>
      <c r="BR107" s="10">
        <v>32536.35</v>
      </c>
      <c r="BS107" s="10">
        <v>501.74400000000003</v>
      </c>
      <c r="BT107" s="10">
        <v>6803.7199999999903</v>
      </c>
      <c r="BU107" s="10">
        <v>35288.239000000001</v>
      </c>
      <c r="BV107" s="10">
        <v>957.28799999999899</v>
      </c>
      <c r="BW107" s="10">
        <v>45696.19</v>
      </c>
      <c r="BX107" s="10">
        <v>203647.90900000001</v>
      </c>
      <c r="BY107" s="10">
        <v>257745.16</v>
      </c>
      <c r="BZ107" s="10">
        <v>93444.642000000007</v>
      </c>
      <c r="CA107" s="10">
        <v>158041.99100000001</v>
      </c>
      <c r="CB107" s="10">
        <v>31305.863000000001</v>
      </c>
      <c r="CC107" s="10">
        <v>0</v>
      </c>
      <c r="CD107" s="10">
        <v>5039.62</v>
      </c>
      <c r="CE107" s="13" t="s">
        <v>94</v>
      </c>
      <c r="CF107" s="13" t="s">
        <v>94</v>
      </c>
      <c r="CG107" s="13" t="s">
        <v>94</v>
      </c>
      <c r="CH107" s="13" t="s">
        <v>94</v>
      </c>
      <c r="CI107" s="13" t="s">
        <v>94</v>
      </c>
      <c r="CJ107" s="13" t="s">
        <v>94</v>
      </c>
      <c r="CK107" s="13" t="s">
        <v>94</v>
      </c>
    </row>
    <row r="108" spans="1:89" x14ac:dyDescent="0.3">
      <c r="A108" s="8" t="s">
        <v>194</v>
      </c>
      <c r="B108" s="12" t="s">
        <v>94</v>
      </c>
      <c r="C108" s="10">
        <f t="shared" si="1"/>
        <v>59467002</v>
      </c>
      <c r="D108" s="11">
        <v>59505022</v>
      </c>
      <c r="E108" s="11">
        <v>6412119</v>
      </c>
      <c r="F108" s="11">
        <v>1204660</v>
      </c>
      <c r="G108" s="11">
        <v>72310</v>
      </c>
      <c r="H108" s="11">
        <v>179676</v>
      </c>
      <c r="I108" s="11">
        <v>20080</v>
      </c>
      <c r="J108" s="11">
        <v>38020</v>
      </c>
      <c r="K108" s="11">
        <v>198950</v>
      </c>
      <c r="L108" s="11">
        <v>24322</v>
      </c>
      <c r="M108" s="11">
        <v>215438</v>
      </c>
      <c r="N108" s="11">
        <v>3388685</v>
      </c>
      <c r="O108" s="11">
        <v>485188</v>
      </c>
      <c r="P108" s="11">
        <v>1122289</v>
      </c>
      <c r="Q108" s="11">
        <v>1728806</v>
      </c>
      <c r="R108" s="11">
        <v>182083</v>
      </c>
      <c r="S108" s="11">
        <v>133466</v>
      </c>
      <c r="T108" s="11">
        <v>225523</v>
      </c>
      <c r="U108" s="11">
        <v>596975</v>
      </c>
      <c r="V108" s="11">
        <v>187414</v>
      </c>
      <c r="W108" s="11">
        <v>197584</v>
      </c>
      <c r="X108" s="11">
        <v>149383</v>
      </c>
      <c r="Y108" s="11">
        <v>114009</v>
      </c>
      <c r="Z108" s="11">
        <v>29875</v>
      </c>
      <c r="AA108" s="11">
        <v>215415</v>
      </c>
      <c r="AB108" s="11">
        <v>279254</v>
      </c>
      <c r="AC108" s="11">
        <v>391866</v>
      </c>
      <c r="AD108" s="11">
        <v>94523</v>
      </c>
      <c r="AE108" s="11">
        <v>561602</v>
      </c>
      <c r="AF108" s="11">
        <v>318587</v>
      </c>
      <c r="AG108" s="11">
        <v>917547</v>
      </c>
      <c r="AH108" s="11">
        <v>340577</v>
      </c>
      <c r="AI108" s="11">
        <v>896614</v>
      </c>
      <c r="AJ108" s="11">
        <v>374427</v>
      </c>
      <c r="AK108" s="11">
        <v>526211</v>
      </c>
      <c r="AL108" s="11">
        <v>1594832</v>
      </c>
      <c r="AM108" s="11">
        <v>9973725</v>
      </c>
      <c r="AN108" s="11">
        <v>33574</v>
      </c>
      <c r="AO108" s="11">
        <v>11382</v>
      </c>
      <c r="AP108" s="11">
        <v>7646</v>
      </c>
      <c r="AQ108" s="11">
        <v>1099711</v>
      </c>
      <c r="AR108" s="11">
        <v>1592721</v>
      </c>
      <c r="AS108" s="11">
        <v>4097</v>
      </c>
      <c r="AT108" s="11">
        <v>19490</v>
      </c>
      <c r="AU108" s="11">
        <v>180047</v>
      </c>
      <c r="AV108" s="11">
        <v>14929</v>
      </c>
      <c r="AW108" s="11">
        <v>60933</v>
      </c>
      <c r="AX108" s="11">
        <v>152695</v>
      </c>
      <c r="AY108" s="11">
        <v>35089</v>
      </c>
      <c r="AZ108" s="11">
        <v>38582</v>
      </c>
      <c r="BA108" s="11">
        <v>22781</v>
      </c>
      <c r="BB108" s="11">
        <v>113906</v>
      </c>
      <c r="BC108" s="11">
        <v>11214</v>
      </c>
      <c r="BD108" s="11">
        <v>3843</v>
      </c>
      <c r="BE108" s="11">
        <v>3317</v>
      </c>
      <c r="BF108" s="11">
        <v>214283</v>
      </c>
      <c r="BG108" s="11">
        <v>13362</v>
      </c>
      <c r="BH108" s="11">
        <v>135021</v>
      </c>
      <c r="BI108" s="11">
        <v>610938</v>
      </c>
      <c r="BJ108" s="11">
        <v>108525</v>
      </c>
      <c r="BK108" s="11">
        <v>779</v>
      </c>
      <c r="BL108" s="11">
        <v>988290</v>
      </c>
      <c r="BM108" s="11">
        <v>41691</v>
      </c>
      <c r="BN108" s="11">
        <v>5028012</v>
      </c>
      <c r="BO108" s="11">
        <v>104238</v>
      </c>
      <c r="BP108" s="11">
        <v>2572328</v>
      </c>
      <c r="BQ108" s="11">
        <v>782009</v>
      </c>
      <c r="BR108" s="11">
        <v>614384</v>
      </c>
      <c r="BS108" s="11">
        <v>32812</v>
      </c>
      <c r="BT108" s="11">
        <v>204921</v>
      </c>
      <c r="BU108" s="11">
        <v>168594</v>
      </c>
      <c r="BV108" s="11">
        <v>17687</v>
      </c>
      <c r="BW108" s="11">
        <v>171118</v>
      </c>
      <c r="BX108" s="11">
        <v>582491</v>
      </c>
      <c r="BY108" s="11">
        <v>2627312</v>
      </c>
      <c r="BZ108" s="11">
        <v>1166324</v>
      </c>
      <c r="CA108" s="11">
        <v>1120214</v>
      </c>
      <c r="CB108" s="11">
        <v>310459</v>
      </c>
      <c r="CC108" s="11">
        <v>2374735</v>
      </c>
      <c r="CD108" s="11">
        <v>2716503</v>
      </c>
      <c r="CE108" s="12" t="s">
        <v>94</v>
      </c>
      <c r="CF108" s="12" t="s">
        <v>94</v>
      </c>
      <c r="CG108" s="12" t="s">
        <v>94</v>
      </c>
      <c r="CH108" s="12" t="s">
        <v>94</v>
      </c>
      <c r="CI108" s="12" t="s">
        <v>94</v>
      </c>
      <c r="CJ108" s="12" t="s">
        <v>94</v>
      </c>
      <c r="CK108" s="12" t="s">
        <v>94</v>
      </c>
    </row>
    <row r="109" spans="1:89" x14ac:dyDescent="0.3">
      <c r="A109" s="7" t="s">
        <v>195</v>
      </c>
      <c r="B109" s="13" t="s">
        <v>94</v>
      </c>
      <c r="C109" s="10">
        <f t="shared" si="1"/>
        <v>58479111</v>
      </c>
      <c r="D109" s="10">
        <v>58517123</v>
      </c>
      <c r="E109" s="10">
        <v>6412119</v>
      </c>
      <c r="F109" s="10">
        <v>1204660</v>
      </c>
      <c r="G109" s="10">
        <v>72310</v>
      </c>
      <c r="H109" s="10">
        <v>179676</v>
      </c>
      <c r="I109" s="10">
        <v>19152</v>
      </c>
      <c r="J109" s="10">
        <v>38012</v>
      </c>
      <c r="K109" s="10">
        <v>197426</v>
      </c>
      <c r="L109" s="10">
        <v>23620</v>
      </c>
      <c r="M109" s="10">
        <v>214478</v>
      </c>
      <c r="N109" s="10">
        <v>3359925</v>
      </c>
      <c r="O109" s="10">
        <v>478984</v>
      </c>
      <c r="P109" s="10">
        <v>1118666</v>
      </c>
      <c r="Q109" s="10">
        <v>1722825</v>
      </c>
      <c r="R109" s="10">
        <v>179629</v>
      </c>
      <c r="S109" s="10">
        <v>132957</v>
      </c>
      <c r="T109" s="10">
        <v>225043</v>
      </c>
      <c r="U109" s="10">
        <v>594172</v>
      </c>
      <c r="V109" s="10">
        <v>184682</v>
      </c>
      <c r="W109" s="10">
        <v>196113</v>
      </c>
      <c r="X109" s="10">
        <v>148589</v>
      </c>
      <c r="Y109" s="10">
        <v>112096</v>
      </c>
      <c r="Z109" s="10">
        <v>29794</v>
      </c>
      <c r="AA109" s="10">
        <v>213674</v>
      </c>
      <c r="AB109" s="10">
        <v>277855</v>
      </c>
      <c r="AC109" s="10">
        <v>387787</v>
      </c>
      <c r="AD109" s="10">
        <v>90651</v>
      </c>
      <c r="AE109" s="10">
        <v>551546</v>
      </c>
      <c r="AF109" s="10">
        <v>303835</v>
      </c>
      <c r="AG109" s="10">
        <v>897834</v>
      </c>
      <c r="AH109" s="10">
        <v>325693</v>
      </c>
      <c r="AI109" s="10">
        <v>875587</v>
      </c>
      <c r="AJ109" s="10">
        <v>372105</v>
      </c>
      <c r="AK109" s="10">
        <v>520100</v>
      </c>
      <c r="AL109" s="10">
        <v>1558759</v>
      </c>
      <c r="AM109" s="10">
        <v>9656826</v>
      </c>
      <c r="AN109" s="10">
        <v>33447</v>
      </c>
      <c r="AO109" s="10">
        <v>11361</v>
      </c>
      <c r="AP109" s="10">
        <v>7608</v>
      </c>
      <c r="AQ109" s="10">
        <v>1095705</v>
      </c>
      <c r="AR109" s="10">
        <v>1586404</v>
      </c>
      <c r="AS109" s="10">
        <v>4093</v>
      </c>
      <c r="AT109" s="10">
        <v>19010</v>
      </c>
      <c r="AU109" s="10">
        <v>176598</v>
      </c>
      <c r="AV109" s="10">
        <v>14929</v>
      </c>
      <c r="AW109" s="10">
        <v>60933</v>
      </c>
      <c r="AX109" s="10">
        <v>150853</v>
      </c>
      <c r="AY109" s="10">
        <v>32818</v>
      </c>
      <c r="AZ109" s="10">
        <v>33898</v>
      </c>
      <c r="BA109" s="10">
        <v>19632</v>
      </c>
      <c r="BB109" s="10">
        <v>106907</v>
      </c>
      <c r="BC109" s="10">
        <v>10744</v>
      </c>
      <c r="BD109" s="10">
        <v>3488</v>
      </c>
      <c r="BE109" s="10">
        <v>3317</v>
      </c>
      <c r="BF109" s="10">
        <v>204216</v>
      </c>
      <c r="BG109" s="10">
        <v>12973</v>
      </c>
      <c r="BH109" s="10">
        <v>114758</v>
      </c>
      <c r="BI109" s="10">
        <v>590784</v>
      </c>
      <c r="BJ109" s="10">
        <v>105686</v>
      </c>
      <c r="BK109" s="10">
        <v>761</v>
      </c>
      <c r="BL109" s="10">
        <v>946614</v>
      </c>
      <c r="BM109" s="10">
        <v>41505</v>
      </c>
      <c r="BN109" s="10">
        <v>4997262</v>
      </c>
      <c r="BO109" s="10">
        <v>104040</v>
      </c>
      <c r="BP109" s="10">
        <v>2430209</v>
      </c>
      <c r="BQ109" s="10">
        <v>758231</v>
      </c>
      <c r="BR109" s="10">
        <v>603900</v>
      </c>
      <c r="BS109" s="10">
        <v>31386</v>
      </c>
      <c r="BT109" s="10">
        <v>202487</v>
      </c>
      <c r="BU109" s="10">
        <v>162651</v>
      </c>
      <c r="BV109" s="10">
        <v>17096</v>
      </c>
      <c r="BW109" s="10">
        <v>162274</v>
      </c>
      <c r="BX109" s="10">
        <v>577870</v>
      </c>
      <c r="BY109" s="10">
        <v>2584814</v>
      </c>
      <c r="BZ109" s="10">
        <v>1135737</v>
      </c>
      <c r="CA109" s="10">
        <v>1095123</v>
      </c>
      <c r="CB109" s="10">
        <v>296583</v>
      </c>
      <c r="CC109" s="10">
        <v>2374735</v>
      </c>
      <c r="CD109" s="10">
        <v>2716503</v>
      </c>
      <c r="CE109" s="13" t="s">
        <v>94</v>
      </c>
      <c r="CF109" s="13" t="s">
        <v>94</v>
      </c>
      <c r="CG109" s="13" t="s">
        <v>94</v>
      </c>
      <c r="CH109" s="13" t="s">
        <v>94</v>
      </c>
      <c r="CI109" s="13" t="s">
        <v>94</v>
      </c>
      <c r="CJ109" s="13" t="s">
        <v>94</v>
      </c>
      <c r="CK109" s="13" t="s">
        <v>94</v>
      </c>
    </row>
    <row r="110" spans="1:89" x14ac:dyDescent="0.3">
      <c r="A110" s="8" t="s">
        <v>196</v>
      </c>
      <c r="B110" s="12" t="s">
        <v>94</v>
      </c>
      <c r="C110" s="10">
        <f t="shared" si="1"/>
        <v>39667335</v>
      </c>
      <c r="D110" s="11">
        <v>39705347</v>
      </c>
      <c r="E110" s="11">
        <v>2385928</v>
      </c>
      <c r="F110" s="11">
        <v>513059</v>
      </c>
      <c r="G110" s="11">
        <v>16409</v>
      </c>
      <c r="H110" s="11">
        <v>72286</v>
      </c>
      <c r="I110" s="11">
        <v>17759</v>
      </c>
      <c r="J110" s="11">
        <v>38012</v>
      </c>
      <c r="K110" s="11">
        <v>180039</v>
      </c>
      <c r="L110" s="11">
        <v>23512</v>
      </c>
      <c r="M110" s="11">
        <v>210012</v>
      </c>
      <c r="N110" s="11">
        <v>2729134</v>
      </c>
      <c r="O110" s="11">
        <v>466923</v>
      </c>
      <c r="P110" s="11">
        <v>594423</v>
      </c>
      <c r="Q110" s="11">
        <v>1051781</v>
      </c>
      <c r="R110" s="11">
        <v>133883</v>
      </c>
      <c r="S110" s="11">
        <v>89647</v>
      </c>
      <c r="T110" s="11">
        <v>92463</v>
      </c>
      <c r="U110" s="11">
        <v>389797</v>
      </c>
      <c r="V110" s="11">
        <v>158292</v>
      </c>
      <c r="W110" s="11">
        <v>125002</v>
      </c>
      <c r="X110" s="11">
        <v>120675</v>
      </c>
      <c r="Y110" s="11">
        <v>92455</v>
      </c>
      <c r="Z110" s="11">
        <v>29684</v>
      </c>
      <c r="AA110" s="11">
        <v>198833</v>
      </c>
      <c r="AB110" s="11">
        <v>272043</v>
      </c>
      <c r="AC110" s="11">
        <v>184321</v>
      </c>
      <c r="AD110" s="11">
        <v>87481</v>
      </c>
      <c r="AE110" s="11">
        <v>405040</v>
      </c>
      <c r="AF110" s="11">
        <v>295091</v>
      </c>
      <c r="AG110" s="11">
        <v>870461</v>
      </c>
      <c r="AH110" s="11">
        <v>318309</v>
      </c>
      <c r="AI110" s="11">
        <v>862524</v>
      </c>
      <c r="AJ110" s="11">
        <v>216395</v>
      </c>
      <c r="AK110" s="11">
        <v>374874</v>
      </c>
      <c r="AL110" s="11">
        <v>1287819</v>
      </c>
      <c r="AM110" s="11">
        <v>3765302</v>
      </c>
      <c r="AN110" s="11">
        <v>33405</v>
      </c>
      <c r="AO110" s="11">
        <v>11361</v>
      </c>
      <c r="AP110" s="11">
        <v>6636</v>
      </c>
      <c r="AQ110" s="11">
        <v>986425</v>
      </c>
      <c r="AR110" s="11">
        <v>1277114</v>
      </c>
      <c r="AS110" s="11">
        <v>4093</v>
      </c>
      <c r="AT110" s="11">
        <v>11051</v>
      </c>
      <c r="AU110" s="11">
        <v>163298</v>
      </c>
      <c r="AV110" s="11">
        <v>14929</v>
      </c>
      <c r="AW110" s="11">
        <v>39795</v>
      </c>
      <c r="AX110" s="11">
        <v>139124</v>
      </c>
      <c r="AY110" s="11">
        <v>31229</v>
      </c>
      <c r="AZ110" s="11">
        <v>32951</v>
      </c>
      <c r="BA110" s="11">
        <v>16549</v>
      </c>
      <c r="BB110" s="11">
        <v>95479</v>
      </c>
      <c r="BC110" s="11">
        <v>10648</v>
      </c>
      <c r="BD110" s="11">
        <v>2855</v>
      </c>
      <c r="BE110" s="11">
        <v>3317</v>
      </c>
      <c r="BF110" s="11">
        <v>204216</v>
      </c>
      <c r="BG110" s="11">
        <v>12973</v>
      </c>
      <c r="BH110" s="11">
        <v>114758</v>
      </c>
      <c r="BI110" s="11">
        <v>512555</v>
      </c>
      <c r="BJ110" s="11">
        <v>52795</v>
      </c>
      <c r="BK110" s="11">
        <v>741</v>
      </c>
      <c r="BL110" s="11">
        <v>689558</v>
      </c>
      <c r="BM110" s="11">
        <v>33134</v>
      </c>
      <c r="BN110" s="11">
        <v>4840076</v>
      </c>
      <c r="BO110" s="11">
        <v>39593</v>
      </c>
      <c r="BP110" s="11">
        <v>2296654</v>
      </c>
      <c r="BQ110" s="11">
        <v>558044</v>
      </c>
      <c r="BR110" s="11">
        <v>598437</v>
      </c>
      <c r="BS110" s="11">
        <v>19181</v>
      </c>
      <c r="BT110" s="11">
        <v>89993</v>
      </c>
      <c r="BU110" s="11">
        <v>86570</v>
      </c>
      <c r="BV110" s="11">
        <v>15399</v>
      </c>
      <c r="BW110" s="11">
        <v>104020</v>
      </c>
      <c r="BX110" s="11">
        <v>534615</v>
      </c>
      <c r="BY110" s="11">
        <v>1338598</v>
      </c>
      <c r="BZ110" s="11">
        <v>411252</v>
      </c>
      <c r="CA110" s="11">
        <v>306203</v>
      </c>
      <c r="CB110" s="11">
        <v>204817</v>
      </c>
      <c r="CC110" s="11">
        <v>2374735</v>
      </c>
      <c r="CD110" s="11">
        <v>2716503</v>
      </c>
      <c r="CE110" s="12" t="s">
        <v>94</v>
      </c>
      <c r="CF110" s="12" t="s">
        <v>94</v>
      </c>
      <c r="CG110" s="12" t="s">
        <v>94</v>
      </c>
      <c r="CH110" s="12" t="s">
        <v>94</v>
      </c>
      <c r="CI110" s="12" t="s">
        <v>94</v>
      </c>
      <c r="CJ110" s="12" t="s">
        <v>94</v>
      </c>
      <c r="CK110" s="12" t="s">
        <v>94</v>
      </c>
    </row>
    <row r="111" spans="1:89" x14ac:dyDescent="0.3">
      <c r="A111" s="7" t="s">
        <v>197</v>
      </c>
      <c r="B111" s="13" t="s">
        <v>94</v>
      </c>
      <c r="C111" s="10">
        <f t="shared" si="1"/>
        <v>29980646</v>
      </c>
      <c r="D111" s="10">
        <v>30007952</v>
      </c>
      <c r="E111" s="10">
        <v>2385928</v>
      </c>
      <c r="F111" s="10">
        <v>512488</v>
      </c>
      <c r="G111" s="10">
        <v>16409</v>
      </c>
      <c r="H111" s="10">
        <v>70925</v>
      </c>
      <c r="I111" s="10">
        <v>15690</v>
      </c>
      <c r="J111" s="10">
        <v>27306</v>
      </c>
      <c r="K111" s="10">
        <v>152579</v>
      </c>
      <c r="L111" s="10">
        <v>19305</v>
      </c>
      <c r="M111" s="10">
        <v>165861</v>
      </c>
      <c r="N111" s="10">
        <v>2491112</v>
      </c>
      <c r="O111" s="10">
        <v>371806</v>
      </c>
      <c r="P111" s="10">
        <v>541637</v>
      </c>
      <c r="Q111" s="10">
        <v>907415</v>
      </c>
      <c r="R111" s="10">
        <v>109774</v>
      </c>
      <c r="S111" s="10">
        <v>81755</v>
      </c>
      <c r="T111" s="10">
        <v>85668</v>
      </c>
      <c r="U111" s="10">
        <v>353382</v>
      </c>
      <c r="V111" s="10">
        <v>142418</v>
      </c>
      <c r="W111" s="10">
        <v>116578</v>
      </c>
      <c r="X111" s="10">
        <v>98130</v>
      </c>
      <c r="Y111" s="10">
        <v>75445</v>
      </c>
      <c r="Z111" s="10">
        <v>26132</v>
      </c>
      <c r="AA111" s="10">
        <v>149878</v>
      </c>
      <c r="AB111" s="10">
        <v>231544</v>
      </c>
      <c r="AC111" s="10">
        <v>165094</v>
      </c>
      <c r="AD111" s="10">
        <v>68758</v>
      </c>
      <c r="AE111" s="10">
        <v>327926</v>
      </c>
      <c r="AF111" s="10">
        <v>242135</v>
      </c>
      <c r="AG111" s="10">
        <v>730520</v>
      </c>
      <c r="AH111" s="10">
        <v>272461</v>
      </c>
      <c r="AI111" s="10">
        <v>735882</v>
      </c>
      <c r="AJ111" s="10">
        <v>187678</v>
      </c>
      <c r="AK111" s="10">
        <v>333193</v>
      </c>
      <c r="AL111" s="10">
        <v>1203170</v>
      </c>
      <c r="AM111" s="10">
        <v>3576391</v>
      </c>
      <c r="AN111" s="10">
        <v>25362</v>
      </c>
      <c r="AO111" s="10">
        <v>9083</v>
      </c>
      <c r="AP111" s="10">
        <v>5926</v>
      </c>
      <c r="AQ111" s="10">
        <v>791091</v>
      </c>
      <c r="AR111" s="10">
        <v>1225563</v>
      </c>
      <c r="AS111" s="10">
        <v>3660</v>
      </c>
      <c r="AT111" s="10">
        <v>9763</v>
      </c>
      <c r="AU111" s="10">
        <v>114063</v>
      </c>
      <c r="AV111" s="10">
        <v>13360</v>
      </c>
      <c r="AW111" s="10">
        <v>26416</v>
      </c>
      <c r="AX111" s="10">
        <v>103546</v>
      </c>
      <c r="AY111" s="10">
        <v>21484</v>
      </c>
      <c r="AZ111" s="10">
        <v>25012</v>
      </c>
      <c r="BA111" s="10">
        <v>12337</v>
      </c>
      <c r="BB111" s="10">
        <v>73363</v>
      </c>
      <c r="BC111" s="10">
        <v>8669</v>
      </c>
      <c r="BD111" s="10">
        <v>1852</v>
      </c>
      <c r="BE111" s="10">
        <v>0</v>
      </c>
      <c r="BF111" s="10">
        <v>0</v>
      </c>
      <c r="BG111" s="10">
        <v>0</v>
      </c>
      <c r="BH111" s="10">
        <v>0</v>
      </c>
      <c r="BI111" s="10">
        <v>486201</v>
      </c>
      <c r="BJ111" s="10">
        <v>43713</v>
      </c>
      <c r="BK111" s="10">
        <v>741</v>
      </c>
      <c r="BL111" s="10">
        <v>442771</v>
      </c>
      <c r="BM111" s="10">
        <v>3207</v>
      </c>
      <c r="BN111" s="10">
        <v>3681796</v>
      </c>
      <c r="BO111" s="10">
        <v>36061</v>
      </c>
      <c r="BP111" s="10">
        <v>406507</v>
      </c>
      <c r="BQ111" s="10">
        <v>186289</v>
      </c>
      <c r="BR111" s="10">
        <v>81127</v>
      </c>
      <c r="BS111" s="10">
        <v>14719</v>
      </c>
      <c r="BT111" s="10">
        <v>67590</v>
      </c>
      <c r="BU111" s="10">
        <v>66839</v>
      </c>
      <c r="BV111" s="10">
        <v>3820</v>
      </c>
      <c r="BW111" s="10">
        <v>91316</v>
      </c>
      <c r="BX111" s="10">
        <v>457843</v>
      </c>
      <c r="BY111" s="10">
        <v>1285885</v>
      </c>
      <c r="BZ111" s="10">
        <v>365585</v>
      </c>
      <c r="CA111" s="10">
        <v>282579</v>
      </c>
      <c r="CB111" s="10">
        <v>165705</v>
      </c>
      <c r="CC111" s="10">
        <v>2374735</v>
      </c>
      <c r="CD111" s="10">
        <v>0</v>
      </c>
      <c r="CE111" s="13" t="s">
        <v>94</v>
      </c>
      <c r="CF111" s="13" t="s">
        <v>94</v>
      </c>
      <c r="CG111" s="13" t="s">
        <v>94</v>
      </c>
      <c r="CH111" s="13" t="s">
        <v>94</v>
      </c>
      <c r="CI111" s="13" t="s">
        <v>94</v>
      </c>
      <c r="CJ111" s="13" t="s">
        <v>94</v>
      </c>
      <c r="CK111" s="13" t="s">
        <v>94</v>
      </c>
    </row>
    <row r="112" spans="1:89" x14ac:dyDescent="0.3">
      <c r="A112" s="8" t="s">
        <v>198</v>
      </c>
      <c r="B112" s="12" t="s">
        <v>94</v>
      </c>
      <c r="C112" s="10">
        <f t="shared" si="1"/>
        <v>9686689</v>
      </c>
      <c r="D112" s="11">
        <v>9697395</v>
      </c>
      <c r="E112" s="11">
        <v>0</v>
      </c>
      <c r="F112" s="11">
        <v>571</v>
      </c>
      <c r="G112" s="11">
        <v>0</v>
      </c>
      <c r="H112" s="11">
        <v>1361</v>
      </c>
      <c r="I112" s="11">
        <v>2069</v>
      </c>
      <c r="J112" s="11">
        <v>10706</v>
      </c>
      <c r="K112" s="11">
        <v>27460</v>
      </c>
      <c r="L112" s="11">
        <v>4207</v>
      </c>
      <c r="M112" s="11">
        <v>44151</v>
      </c>
      <c r="N112" s="11">
        <v>238022</v>
      </c>
      <c r="O112" s="11">
        <v>95117</v>
      </c>
      <c r="P112" s="11">
        <v>52786</v>
      </c>
      <c r="Q112" s="11">
        <v>144366</v>
      </c>
      <c r="R112" s="11">
        <v>24109</v>
      </c>
      <c r="S112" s="11">
        <v>7892</v>
      </c>
      <c r="T112" s="11">
        <v>6795</v>
      </c>
      <c r="U112" s="11">
        <v>36415</v>
      </c>
      <c r="V112" s="11">
        <v>15874</v>
      </c>
      <c r="W112" s="11">
        <v>8424</v>
      </c>
      <c r="X112" s="11">
        <v>22545</v>
      </c>
      <c r="Y112" s="11">
        <v>17010</v>
      </c>
      <c r="Z112" s="11">
        <v>3552</v>
      </c>
      <c r="AA112" s="11">
        <v>48955</v>
      </c>
      <c r="AB112" s="11">
        <v>40499</v>
      </c>
      <c r="AC112" s="11">
        <v>19227</v>
      </c>
      <c r="AD112" s="11">
        <v>18723</v>
      </c>
      <c r="AE112" s="11">
        <v>77114</v>
      </c>
      <c r="AF112" s="11">
        <v>52956</v>
      </c>
      <c r="AG112" s="11">
        <v>139941</v>
      </c>
      <c r="AH112" s="11">
        <v>45848</v>
      </c>
      <c r="AI112" s="11">
        <v>126642</v>
      </c>
      <c r="AJ112" s="11">
        <v>28717</v>
      </c>
      <c r="AK112" s="11">
        <v>41681</v>
      </c>
      <c r="AL112" s="11">
        <v>84649</v>
      </c>
      <c r="AM112" s="11">
        <v>188911</v>
      </c>
      <c r="AN112" s="11">
        <v>8043</v>
      </c>
      <c r="AO112" s="11">
        <v>2278</v>
      </c>
      <c r="AP112" s="11">
        <v>710</v>
      </c>
      <c r="AQ112" s="11">
        <v>195334</v>
      </c>
      <c r="AR112" s="11">
        <v>51551</v>
      </c>
      <c r="AS112" s="11">
        <v>433</v>
      </c>
      <c r="AT112" s="11">
        <v>1288</v>
      </c>
      <c r="AU112" s="11">
        <v>49235</v>
      </c>
      <c r="AV112" s="11">
        <v>1569</v>
      </c>
      <c r="AW112" s="11">
        <v>13379</v>
      </c>
      <c r="AX112" s="11">
        <v>35578</v>
      </c>
      <c r="AY112" s="11">
        <v>9745</v>
      </c>
      <c r="AZ112" s="11">
        <v>7939</v>
      </c>
      <c r="BA112" s="11">
        <v>4212</v>
      </c>
      <c r="BB112" s="11">
        <v>22116</v>
      </c>
      <c r="BC112" s="11">
        <v>1979</v>
      </c>
      <c r="BD112" s="11">
        <v>1003</v>
      </c>
      <c r="BE112" s="11">
        <v>3317</v>
      </c>
      <c r="BF112" s="11">
        <v>204216</v>
      </c>
      <c r="BG112" s="11">
        <v>12973</v>
      </c>
      <c r="BH112" s="11">
        <v>114758</v>
      </c>
      <c r="BI112" s="11">
        <v>26354</v>
      </c>
      <c r="BJ112" s="11">
        <v>9082</v>
      </c>
      <c r="BK112" s="11">
        <v>0</v>
      </c>
      <c r="BL112" s="11">
        <v>246787</v>
      </c>
      <c r="BM112" s="11">
        <v>29927</v>
      </c>
      <c r="BN112" s="11">
        <v>1158280</v>
      </c>
      <c r="BO112" s="11">
        <v>3532</v>
      </c>
      <c r="BP112" s="11">
        <v>1890147</v>
      </c>
      <c r="BQ112" s="11">
        <v>371755</v>
      </c>
      <c r="BR112" s="11">
        <v>517310</v>
      </c>
      <c r="BS112" s="11">
        <v>4462</v>
      </c>
      <c r="BT112" s="11">
        <v>22403</v>
      </c>
      <c r="BU112" s="11">
        <v>19731</v>
      </c>
      <c r="BV112" s="11">
        <v>11579</v>
      </c>
      <c r="BW112" s="11">
        <v>12704</v>
      </c>
      <c r="BX112" s="11">
        <v>76772</v>
      </c>
      <c r="BY112" s="11">
        <v>52713</v>
      </c>
      <c r="BZ112" s="11">
        <v>45667</v>
      </c>
      <c r="CA112" s="11">
        <v>23624</v>
      </c>
      <c r="CB112" s="11">
        <v>39112</v>
      </c>
      <c r="CC112" s="11">
        <v>0</v>
      </c>
      <c r="CD112" s="11">
        <v>2716503</v>
      </c>
      <c r="CE112" s="12" t="s">
        <v>94</v>
      </c>
      <c r="CF112" s="12" t="s">
        <v>94</v>
      </c>
      <c r="CG112" s="12" t="s">
        <v>94</v>
      </c>
      <c r="CH112" s="12" t="s">
        <v>94</v>
      </c>
      <c r="CI112" s="12" t="s">
        <v>94</v>
      </c>
      <c r="CJ112" s="12" t="s">
        <v>94</v>
      </c>
      <c r="CK112" s="12" t="s">
        <v>94</v>
      </c>
    </row>
    <row r="113" spans="1:89" x14ac:dyDescent="0.3">
      <c r="A113" s="7" t="s">
        <v>199</v>
      </c>
      <c r="B113" s="13" t="s">
        <v>94</v>
      </c>
      <c r="C113" s="10">
        <f t="shared" si="1"/>
        <v>18811776</v>
      </c>
      <c r="D113" s="10">
        <v>18811776</v>
      </c>
      <c r="E113" s="10">
        <v>4026191</v>
      </c>
      <c r="F113" s="10">
        <v>691601</v>
      </c>
      <c r="G113" s="10">
        <v>55901</v>
      </c>
      <c r="H113" s="10">
        <v>107390</v>
      </c>
      <c r="I113" s="10">
        <v>1393</v>
      </c>
      <c r="J113" s="10">
        <v>0</v>
      </c>
      <c r="K113" s="10">
        <v>17387</v>
      </c>
      <c r="L113" s="10">
        <v>108</v>
      </c>
      <c r="M113" s="10">
        <v>4466</v>
      </c>
      <c r="N113" s="10">
        <v>630791</v>
      </c>
      <c r="O113" s="10">
        <v>12061</v>
      </c>
      <c r="P113" s="10">
        <v>524243</v>
      </c>
      <c r="Q113" s="10">
        <v>671044</v>
      </c>
      <c r="R113" s="10">
        <v>45746</v>
      </c>
      <c r="S113" s="10">
        <v>43310</v>
      </c>
      <c r="T113" s="10">
        <v>132580</v>
      </c>
      <c r="U113" s="10">
        <v>204375</v>
      </c>
      <c r="V113" s="10">
        <v>26390</v>
      </c>
      <c r="W113" s="10">
        <v>71111</v>
      </c>
      <c r="X113" s="10">
        <v>27914</v>
      </c>
      <c r="Y113" s="10">
        <v>19641</v>
      </c>
      <c r="Z113" s="10">
        <v>110</v>
      </c>
      <c r="AA113" s="10">
        <v>14841</v>
      </c>
      <c r="AB113" s="10">
        <v>5812</v>
      </c>
      <c r="AC113" s="10">
        <v>203466</v>
      </c>
      <c r="AD113" s="10">
        <v>3170</v>
      </c>
      <c r="AE113" s="10">
        <v>146506</v>
      </c>
      <c r="AF113" s="10">
        <v>8744</v>
      </c>
      <c r="AG113" s="10">
        <v>27373</v>
      </c>
      <c r="AH113" s="10">
        <v>7384</v>
      </c>
      <c r="AI113" s="10">
        <v>13063</v>
      </c>
      <c r="AJ113" s="10">
        <v>155710</v>
      </c>
      <c r="AK113" s="10">
        <v>145226</v>
      </c>
      <c r="AL113" s="10">
        <v>270940</v>
      </c>
      <c r="AM113" s="10">
        <v>5891524</v>
      </c>
      <c r="AN113" s="10">
        <v>42</v>
      </c>
      <c r="AO113" s="10">
        <v>0</v>
      </c>
      <c r="AP113" s="10">
        <v>972</v>
      </c>
      <c r="AQ113" s="10">
        <v>109280</v>
      </c>
      <c r="AR113" s="10">
        <v>309290</v>
      </c>
      <c r="AS113" s="10">
        <v>0</v>
      </c>
      <c r="AT113" s="10">
        <v>7959</v>
      </c>
      <c r="AU113" s="10">
        <v>13300</v>
      </c>
      <c r="AV113" s="10">
        <v>0</v>
      </c>
      <c r="AW113" s="10">
        <v>21138</v>
      </c>
      <c r="AX113" s="10">
        <v>11729</v>
      </c>
      <c r="AY113" s="10">
        <v>1589</v>
      </c>
      <c r="AZ113" s="10">
        <v>947</v>
      </c>
      <c r="BA113" s="10">
        <v>3083</v>
      </c>
      <c r="BB113" s="10">
        <v>11428</v>
      </c>
      <c r="BC113" s="10">
        <v>96</v>
      </c>
      <c r="BD113" s="10">
        <v>633</v>
      </c>
      <c r="BE113" s="10">
        <v>0</v>
      </c>
      <c r="BF113" s="10">
        <v>0</v>
      </c>
      <c r="BG113" s="10">
        <v>0</v>
      </c>
      <c r="BH113" s="10">
        <v>0</v>
      </c>
      <c r="BI113" s="10">
        <v>78229</v>
      </c>
      <c r="BJ113" s="10">
        <v>52891</v>
      </c>
      <c r="BK113" s="10">
        <v>20</v>
      </c>
      <c r="BL113" s="10">
        <v>257056</v>
      </c>
      <c r="BM113" s="10">
        <v>8371</v>
      </c>
      <c r="BN113" s="10">
        <v>157186</v>
      </c>
      <c r="BO113" s="10">
        <v>64447</v>
      </c>
      <c r="BP113" s="10">
        <v>133555</v>
      </c>
      <c r="BQ113" s="10">
        <v>200187</v>
      </c>
      <c r="BR113" s="10">
        <v>5463</v>
      </c>
      <c r="BS113" s="10">
        <v>12205</v>
      </c>
      <c r="BT113" s="10">
        <v>112494</v>
      </c>
      <c r="BU113" s="10">
        <v>76081</v>
      </c>
      <c r="BV113" s="10">
        <v>1697</v>
      </c>
      <c r="BW113" s="10">
        <v>58254</v>
      </c>
      <c r="BX113" s="10">
        <v>43255</v>
      </c>
      <c r="BY113" s="10">
        <v>1246216</v>
      </c>
      <c r="BZ113" s="10">
        <v>724485</v>
      </c>
      <c r="CA113" s="10">
        <v>788920</v>
      </c>
      <c r="CB113" s="10">
        <v>91766</v>
      </c>
      <c r="CC113" s="10">
        <v>0</v>
      </c>
      <c r="CD113" s="10">
        <v>0</v>
      </c>
      <c r="CE113" s="13" t="s">
        <v>94</v>
      </c>
      <c r="CF113" s="13" t="s">
        <v>94</v>
      </c>
      <c r="CG113" s="13" t="s">
        <v>94</v>
      </c>
      <c r="CH113" s="13" t="s">
        <v>94</v>
      </c>
      <c r="CI113" s="13" t="s">
        <v>94</v>
      </c>
      <c r="CJ113" s="13" t="s">
        <v>94</v>
      </c>
      <c r="CK113" s="13" t="s">
        <v>94</v>
      </c>
    </row>
    <row r="114" spans="1:89" x14ac:dyDescent="0.3">
      <c r="A114" s="8" t="s">
        <v>200</v>
      </c>
      <c r="B114" s="12" t="s">
        <v>94</v>
      </c>
      <c r="C114" s="10">
        <f t="shared" si="1"/>
        <v>3801836</v>
      </c>
      <c r="D114" s="11">
        <v>3801864</v>
      </c>
      <c r="E114" s="11">
        <v>0</v>
      </c>
      <c r="F114" s="11">
        <v>1023</v>
      </c>
      <c r="G114" s="11">
        <v>0</v>
      </c>
      <c r="H114" s="11">
        <v>2002</v>
      </c>
      <c r="I114" s="11">
        <v>3205</v>
      </c>
      <c r="J114" s="11">
        <v>28</v>
      </c>
      <c r="K114" s="11">
        <v>48222</v>
      </c>
      <c r="L114" s="11">
        <v>12930</v>
      </c>
      <c r="M114" s="11">
        <v>2767</v>
      </c>
      <c r="N114" s="11">
        <v>59147</v>
      </c>
      <c r="O114" s="11">
        <v>58631</v>
      </c>
      <c r="P114" s="11">
        <v>1598</v>
      </c>
      <c r="Q114" s="11">
        <v>159632</v>
      </c>
      <c r="R114" s="11">
        <v>45034</v>
      </c>
      <c r="S114" s="11">
        <v>14760</v>
      </c>
      <c r="T114" s="11">
        <v>5277</v>
      </c>
      <c r="U114" s="11">
        <v>32260</v>
      </c>
      <c r="V114" s="11">
        <v>10086</v>
      </c>
      <c r="W114" s="11">
        <v>4206</v>
      </c>
      <c r="X114" s="11">
        <v>30128</v>
      </c>
      <c r="Y114" s="11">
        <v>13575</v>
      </c>
      <c r="Z114" s="11">
        <v>2418</v>
      </c>
      <c r="AA114" s="11">
        <v>64033</v>
      </c>
      <c r="AB114" s="11">
        <v>103292</v>
      </c>
      <c r="AC114" s="11">
        <v>59908</v>
      </c>
      <c r="AD114" s="11">
        <v>49067</v>
      </c>
      <c r="AE114" s="11">
        <v>65121</v>
      </c>
      <c r="AF114" s="11">
        <v>37541</v>
      </c>
      <c r="AG114" s="11">
        <v>53972</v>
      </c>
      <c r="AH114" s="11">
        <v>57231</v>
      </c>
      <c r="AI114" s="11">
        <v>270412</v>
      </c>
      <c r="AJ114" s="11">
        <v>12765</v>
      </c>
      <c r="AK114" s="11">
        <v>26637</v>
      </c>
      <c r="AL114" s="11">
        <v>771852</v>
      </c>
      <c r="AM114" s="11">
        <v>307115</v>
      </c>
      <c r="AN114" s="11">
        <v>11769</v>
      </c>
      <c r="AO114" s="11">
        <v>4365</v>
      </c>
      <c r="AP114" s="11">
        <v>3473</v>
      </c>
      <c r="AQ114" s="11">
        <v>23484</v>
      </c>
      <c r="AR114" s="11">
        <v>12675</v>
      </c>
      <c r="AS114" s="11">
        <v>767</v>
      </c>
      <c r="AT114" s="11">
        <v>1087</v>
      </c>
      <c r="AU114" s="11">
        <v>73787</v>
      </c>
      <c r="AV114" s="11">
        <v>0</v>
      </c>
      <c r="AW114" s="11">
        <v>15269</v>
      </c>
      <c r="AX114" s="11">
        <v>24952</v>
      </c>
      <c r="AY114" s="11">
        <v>11848</v>
      </c>
      <c r="AZ114" s="11">
        <v>13747</v>
      </c>
      <c r="BA114" s="11">
        <v>20911</v>
      </c>
      <c r="BB114" s="11">
        <v>74723</v>
      </c>
      <c r="BC114" s="11">
        <v>4026</v>
      </c>
      <c r="BD114" s="11">
        <v>1158</v>
      </c>
      <c r="BE114" s="11">
        <v>0</v>
      </c>
      <c r="BF114" s="11">
        <v>170706</v>
      </c>
      <c r="BG114" s="11">
        <v>3172</v>
      </c>
      <c r="BH114" s="11">
        <v>34365</v>
      </c>
      <c r="BI114" s="11">
        <v>36104</v>
      </c>
      <c r="BJ114" s="11">
        <v>18138</v>
      </c>
      <c r="BK114" s="11">
        <v>357</v>
      </c>
      <c r="BL114" s="11">
        <v>105435</v>
      </c>
      <c r="BM114" s="11">
        <v>14410</v>
      </c>
      <c r="BN114" s="11">
        <v>161622</v>
      </c>
      <c r="BO114" s="11">
        <v>6222</v>
      </c>
      <c r="BP114" s="11">
        <v>42348</v>
      </c>
      <c r="BQ114" s="11">
        <v>13614</v>
      </c>
      <c r="BR114" s="11">
        <v>35183</v>
      </c>
      <c r="BS114" s="11">
        <v>495</v>
      </c>
      <c r="BT114" s="11">
        <v>773</v>
      </c>
      <c r="BU114" s="11">
        <v>4107</v>
      </c>
      <c r="BV114" s="11">
        <v>2853</v>
      </c>
      <c r="BW114" s="11">
        <v>33884</v>
      </c>
      <c r="BX114" s="11">
        <v>212809</v>
      </c>
      <c r="BY114" s="11">
        <v>183614</v>
      </c>
      <c r="BZ114" s="11">
        <v>21066</v>
      </c>
      <c r="CA114" s="11">
        <v>11970</v>
      </c>
      <c r="CB114" s="11">
        <v>4701</v>
      </c>
      <c r="CC114" s="11">
        <v>0</v>
      </c>
      <c r="CD114" s="11">
        <v>0</v>
      </c>
      <c r="CE114" s="12" t="s">
        <v>94</v>
      </c>
      <c r="CF114" s="12" t="s">
        <v>94</v>
      </c>
      <c r="CG114" s="12" t="s">
        <v>94</v>
      </c>
      <c r="CH114" s="12" t="s">
        <v>94</v>
      </c>
      <c r="CI114" s="12" t="s">
        <v>94</v>
      </c>
      <c r="CJ114" s="12" t="s">
        <v>94</v>
      </c>
      <c r="CK114" s="12" t="s">
        <v>94</v>
      </c>
    </row>
    <row r="115" spans="1:89" x14ac:dyDescent="0.3">
      <c r="A115" s="7" t="s">
        <v>201</v>
      </c>
      <c r="B115" s="13" t="s">
        <v>94</v>
      </c>
      <c r="C115" s="10">
        <f t="shared" si="1"/>
        <v>987891</v>
      </c>
      <c r="D115" s="10">
        <v>987899</v>
      </c>
      <c r="E115" s="10">
        <v>0</v>
      </c>
      <c r="F115" s="10">
        <v>0</v>
      </c>
      <c r="G115" s="10">
        <v>0</v>
      </c>
      <c r="H115" s="10">
        <v>0</v>
      </c>
      <c r="I115" s="10">
        <v>928</v>
      </c>
      <c r="J115" s="10">
        <v>8</v>
      </c>
      <c r="K115" s="10">
        <v>1524</v>
      </c>
      <c r="L115" s="10">
        <v>702</v>
      </c>
      <c r="M115" s="10">
        <v>960</v>
      </c>
      <c r="N115" s="10">
        <v>28760</v>
      </c>
      <c r="O115" s="10">
        <v>6204</v>
      </c>
      <c r="P115" s="10">
        <v>3623</v>
      </c>
      <c r="Q115" s="10">
        <v>5981</v>
      </c>
      <c r="R115" s="10">
        <v>2454</v>
      </c>
      <c r="S115" s="10">
        <v>509</v>
      </c>
      <c r="T115" s="10">
        <v>480</v>
      </c>
      <c r="U115" s="10">
        <v>2803</v>
      </c>
      <c r="V115" s="10">
        <v>2732</v>
      </c>
      <c r="W115" s="10">
        <v>1471</v>
      </c>
      <c r="X115" s="10">
        <v>794</v>
      </c>
      <c r="Y115" s="10">
        <v>1913</v>
      </c>
      <c r="Z115" s="10">
        <v>81</v>
      </c>
      <c r="AA115" s="10">
        <v>1741</v>
      </c>
      <c r="AB115" s="10">
        <v>1399</v>
      </c>
      <c r="AC115" s="10">
        <v>4079</v>
      </c>
      <c r="AD115" s="10">
        <v>3872</v>
      </c>
      <c r="AE115" s="10">
        <v>10056</v>
      </c>
      <c r="AF115" s="10">
        <v>14752</v>
      </c>
      <c r="AG115" s="10">
        <v>19713</v>
      </c>
      <c r="AH115" s="10">
        <v>14884</v>
      </c>
      <c r="AI115" s="10">
        <v>21027</v>
      </c>
      <c r="AJ115" s="10">
        <v>2322</v>
      </c>
      <c r="AK115" s="10">
        <v>6111</v>
      </c>
      <c r="AL115" s="10">
        <v>36073</v>
      </c>
      <c r="AM115" s="10">
        <v>316899</v>
      </c>
      <c r="AN115" s="10">
        <v>127</v>
      </c>
      <c r="AO115" s="10">
        <v>21</v>
      </c>
      <c r="AP115" s="10">
        <v>38</v>
      </c>
      <c r="AQ115" s="10">
        <v>4006</v>
      </c>
      <c r="AR115" s="10">
        <v>6317</v>
      </c>
      <c r="AS115" s="10">
        <v>4</v>
      </c>
      <c r="AT115" s="10">
        <v>480</v>
      </c>
      <c r="AU115" s="10">
        <v>3449</v>
      </c>
      <c r="AV115" s="10">
        <v>0</v>
      </c>
      <c r="AW115" s="10">
        <v>0</v>
      </c>
      <c r="AX115" s="10">
        <v>1842</v>
      </c>
      <c r="AY115" s="10">
        <v>2271</v>
      </c>
      <c r="AZ115" s="10">
        <v>4684</v>
      </c>
      <c r="BA115" s="10">
        <v>3149</v>
      </c>
      <c r="BB115" s="10">
        <v>6999</v>
      </c>
      <c r="BC115" s="10">
        <v>470</v>
      </c>
      <c r="BD115" s="10">
        <v>355</v>
      </c>
      <c r="BE115" s="10">
        <v>0</v>
      </c>
      <c r="BF115" s="10">
        <v>10067</v>
      </c>
      <c r="BG115" s="10">
        <v>389</v>
      </c>
      <c r="BH115" s="10">
        <v>20263</v>
      </c>
      <c r="BI115" s="10">
        <v>20154</v>
      </c>
      <c r="BJ115" s="10">
        <v>2839</v>
      </c>
      <c r="BK115" s="10">
        <v>18</v>
      </c>
      <c r="BL115" s="10">
        <v>41676</v>
      </c>
      <c r="BM115" s="10">
        <v>186</v>
      </c>
      <c r="BN115" s="10">
        <v>30750</v>
      </c>
      <c r="BO115" s="10">
        <v>198</v>
      </c>
      <c r="BP115" s="10">
        <v>142119</v>
      </c>
      <c r="BQ115" s="10">
        <v>23778</v>
      </c>
      <c r="BR115" s="10">
        <v>10484</v>
      </c>
      <c r="BS115" s="10">
        <v>1426</v>
      </c>
      <c r="BT115" s="10">
        <v>2434</v>
      </c>
      <c r="BU115" s="10">
        <v>5943</v>
      </c>
      <c r="BV115" s="10">
        <v>591</v>
      </c>
      <c r="BW115" s="10">
        <v>8844</v>
      </c>
      <c r="BX115" s="10">
        <v>4621</v>
      </c>
      <c r="BY115" s="10">
        <v>42498</v>
      </c>
      <c r="BZ115" s="10">
        <v>30587</v>
      </c>
      <c r="CA115" s="10">
        <v>25091</v>
      </c>
      <c r="CB115" s="10">
        <v>13876</v>
      </c>
      <c r="CC115" s="10">
        <v>0</v>
      </c>
      <c r="CD115" s="10">
        <v>0</v>
      </c>
      <c r="CE115" s="13" t="s">
        <v>94</v>
      </c>
      <c r="CF115" s="13" t="s">
        <v>94</v>
      </c>
      <c r="CG115" s="13" t="s">
        <v>94</v>
      </c>
      <c r="CH115" s="13" t="s">
        <v>94</v>
      </c>
      <c r="CI115" s="13" t="s">
        <v>94</v>
      </c>
      <c r="CJ115" s="13" t="s">
        <v>94</v>
      </c>
      <c r="CK115" s="13" t="s">
        <v>94</v>
      </c>
    </row>
    <row r="117" spans="1:89" ht="23.4" x14ac:dyDescent="0.45">
      <c r="A117" s="17" t="s">
        <v>220</v>
      </c>
      <c r="B117" s="17" t="s">
        <v>219</v>
      </c>
      <c r="C117" s="21">
        <f>1-C90/(C85+C90)</f>
        <v>0.61705597370340759</v>
      </c>
      <c r="D117" s="21">
        <f>1-D90/(D85+D90)</f>
        <v>0.6184699033930412</v>
      </c>
      <c r="E117" s="20">
        <f t="shared" ref="E117:BP117" si="2">1-E90/E94</f>
        <v>0.6636959091560255</v>
      </c>
      <c r="F117" s="20">
        <f t="shared" si="2"/>
        <v>0.95503586425625919</v>
      </c>
      <c r="G117" s="20">
        <f t="shared" si="2"/>
        <v>0.8137858945718397</v>
      </c>
      <c r="H117" s="20">
        <f t="shared" si="2"/>
        <v>0.82212147467522401</v>
      </c>
      <c r="I117" s="20">
        <f t="shared" si="2"/>
        <v>0.76395428700509083</v>
      </c>
      <c r="J117" s="21">
        <f>1-J90/(J85+J90)</f>
        <v>0.71829100279144031</v>
      </c>
      <c r="K117" s="20">
        <f t="shared" si="2"/>
        <v>0.76530791227040584</v>
      </c>
      <c r="L117" s="20">
        <f t="shared" si="2"/>
        <v>0.74444954980035583</v>
      </c>
      <c r="M117" s="20">
        <f t="shared" si="2"/>
        <v>0.62903849155658054</v>
      </c>
      <c r="N117" s="20">
        <f t="shared" si="2"/>
        <v>0.84455286091381387</v>
      </c>
      <c r="O117" s="20">
        <f t="shared" si="2"/>
        <v>0.89554481865032864</v>
      </c>
      <c r="P117" s="20">
        <f t="shared" si="2"/>
        <v>0.74424829173291074</v>
      </c>
      <c r="Q117" s="20">
        <f t="shared" si="2"/>
        <v>0.80527722591701245</v>
      </c>
      <c r="R117" s="20">
        <f t="shared" si="2"/>
        <v>0.74147857174395027</v>
      </c>
      <c r="S117" s="20">
        <f t="shared" si="2"/>
        <v>0.71601771848140239</v>
      </c>
      <c r="T117" s="20">
        <f t="shared" si="2"/>
        <v>0.743341444334366</v>
      </c>
      <c r="U117" s="20">
        <f t="shared" si="2"/>
        <v>0.57970415343232906</v>
      </c>
      <c r="V117" s="20">
        <f t="shared" si="2"/>
        <v>0.67825356926309355</v>
      </c>
      <c r="W117" s="20">
        <f t="shared" si="2"/>
        <v>0.78099852003022796</v>
      </c>
      <c r="X117" s="20">
        <f t="shared" si="2"/>
        <v>0.61463259642930956</v>
      </c>
      <c r="Y117" s="20">
        <f t="shared" si="2"/>
        <v>0.64860902832769407</v>
      </c>
      <c r="Z117" s="20">
        <f t="shared" si="2"/>
        <v>0.5807131823514482</v>
      </c>
      <c r="AA117" s="20">
        <f t="shared" si="2"/>
        <v>0.59036396832253568</v>
      </c>
      <c r="AB117" s="20">
        <f t="shared" si="2"/>
        <v>0.49280063196681756</v>
      </c>
      <c r="AC117" s="20">
        <f t="shared" si="2"/>
        <v>0.77641182331581793</v>
      </c>
      <c r="AD117" s="20">
        <f t="shared" si="2"/>
        <v>0.67732015311125005</v>
      </c>
      <c r="AE117" s="20">
        <f t="shared" si="2"/>
        <v>0.50586420752328509</v>
      </c>
      <c r="AF117" s="20">
        <f t="shared" si="2"/>
        <v>0.37788779026009933</v>
      </c>
      <c r="AG117" s="20">
        <f t="shared" si="2"/>
        <v>0.18786370173902367</v>
      </c>
      <c r="AH117" s="20">
        <f t="shared" si="2"/>
        <v>0.36480393325461258</v>
      </c>
      <c r="AI117" s="20">
        <f t="shared" si="2"/>
        <v>0.4308013441650641</v>
      </c>
      <c r="AJ117" s="20">
        <f t="shared" si="2"/>
        <v>0.5945013671319912</v>
      </c>
      <c r="AK117" s="20">
        <f t="shared" si="2"/>
        <v>0.21001942828081666</v>
      </c>
      <c r="AL117" s="20">
        <f t="shared" si="2"/>
        <v>0.79357244252242753</v>
      </c>
      <c r="AM117" s="20">
        <f t="shared" si="2"/>
        <v>0.72906226438328414</v>
      </c>
      <c r="AN117" s="20">
        <f t="shared" si="2"/>
        <v>0.65607453978652464</v>
      </c>
      <c r="AO117" s="20">
        <f t="shared" si="2"/>
        <v>0.76118854980485096</v>
      </c>
      <c r="AP117" s="20">
        <f t="shared" si="2"/>
        <v>0.77315592117227605</v>
      </c>
      <c r="AQ117" s="20">
        <f t="shared" si="2"/>
        <v>0.63151409178948426</v>
      </c>
      <c r="AR117" s="20">
        <f t="shared" si="2"/>
        <v>0.74906891844647983</v>
      </c>
      <c r="AS117" s="20">
        <f t="shared" si="2"/>
        <v>0.81365579634890073</v>
      </c>
      <c r="AT117" s="20">
        <f t="shared" si="2"/>
        <v>0.7736136668055501</v>
      </c>
      <c r="AU117" s="20">
        <f t="shared" si="2"/>
        <v>0.63774230187816783</v>
      </c>
      <c r="AV117" s="20">
        <f t="shared" si="2"/>
        <v>0.80163303077774661</v>
      </c>
      <c r="AW117" s="20">
        <f t="shared" si="2"/>
        <v>0.79595995970697264</v>
      </c>
      <c r="AX117" s="20">
        <f t="shared" si="2"/>
        <v>0.68681485020313193</v>
      </c>
      <c r="AY117" s="20">
        <f t="shared" si="2"/>
        <v>0.6715142033354593</v>
      </c>
      <c r="AZ117" s="20">
        <f t="shared" si="2"/>
        <v>0.91062766306884013</v>
      </c>
      <c r="BA117" s="20">
        <f t="shared" si="2"/>
        <v>0.75172467434829859</v>
      </c>
      <c r="BB117" s="20">
        <f t="shared" si="2"/>
        <v>0.73765674897434552</v>
      </c>
      <c r="BC117" s="20">
        <f t="shared" si="2"/>
        <v>0.9359671141932121</v>
      </c>
      <c r="BD117" s="20">
        <f t="shared" si="2"/>
        <v>0.87175864422168903</v>
      </c>
      <c r="BE117" s="20">
        <f t="shared" si="2"/>
        <v>0.97178622475311272</v>
      </c>
      <c r="BF117" s="20">
        <f t="shared" si="2"/>
        <v>0.92809012813662806</v>
      </c>
      <c r="BG117" s="20">
        <f t="shared" si="2"/>
        <v>0.95874512345893059</v>
      </c>
      <c r="BH117" s="20">
        <f t="shared" si="2"/>
        <v>0.8213705340714037</v>
      </c>
      <c r="BI117" s="20">
        <f t="shared" si="2"/>
        <v>0.78128403897790577</v>
      </c>
      <c r="BJ117" s="20">
        <f t="shared" si="2"/>
        <v>0.5994468257860126</v>
      </c>
      <c r="BK117" s="20">
        <f t="shared" si="2"/>
        <v>0.75223542756065442</v>
      </c>
      <c r="BL117" s="20">
        <f t="shared" si="2"/>
        <v>0.73384038558721021</v>
      </c>
      <c r="BM117" s="20">
        <f t="shared" si="2"/>
        <v>0.91018856667504988</v>
      </c>
      <c r="BN117" s="20">
        <f t="shared" si="2"/>
        <v>0.80530646420993512</v>
      </c>
      <c r="BO117" s="20">
        <f t="shared" si="2"/>
        <v>0.75847156859967335</v>
      </c>
      <c r="BP117" s="20">
        <f t="shared" si="2"/>
        <v>0.8094260823245828</v>
      </c>
      <c r="BQ117" s="20">
        <f t="shared" ref="BQ117:CK117" si="3">1-BQ90/BQ94</f>
        <v>0.8508351421471132</v>
      </c>
      <c r="BR117" s="20">
        <f t="shared" si="3"/>
        <v>0.84163495228781937</v>
      </c>
      <c r="BS117" s="20">
        <f t="shared" si="3"/>
        <v>0.91023730273526882</v>
      </c>
      <c r="BT117" s="20">
        <f t="shared" si="3"/>
        <v>0.90833927049561025</v>
      </c>
      <c r="BU117" s="20">
        <f t="shared" si="3"/>
        <v>0.77000925070119086</v>
      </c>
      <c r="BV117" s="20">
        <f t="shared" si="3"/>
        <v>0.84986368852070693</v>
      </c>
      <c r="BW117" s="20">
        <f t="shared" si="3"/>
        <v>0.73362614310395202</v>
      </c>
      <c r="BX117" s="20">
        <f t="shared" si="3"/>
        <v>0.86038233653723317</v>
      </c>
      <c r="BY117" s="20">
        <f t="shared" si="3"/>
        <v>0.84364287152976924</v>
      </c>
      <c r="BZ117" s="20">
        <f t="shared" si="3"/>
        <v>0.76188647897832396</v>
      </c>
      <c r="CA117" s="20">
        <f t="shared" si="3"/>
        <v>0.73388695424063577</v>
      </c>
      <c r="CB117" s="20">
        <f t="shared" si="3"/>
        <v>0.87200808504212457</v>
      </c>
      <c r="CC117" s="20" t="e">
        <f t="shared" si="3"/>
        <v>#DIV/0!</v>
      </c>
      <c r="CD117" s="20">
        <f t="shared" si="3"/>
        <v>0.93199245702255229</v>
      </c>
      <c r="CE117" s="20">
        <f t="shared" si="3"/>
        <v>0.91823217822483327</v>
      </c>
      <c r="CF117" s="20">
        <f t="shared" si="3"/>
        <v>0.9390427558795359</v>
      </c>
      <c r="CG117" s="20">
        <f t="shared" si="3"/>
        <v>0.99743660148303492</v>
      </c>
      <c r="CH117" s="20">
        <f t="shared" si="3"/>
        <v>0.77908081451076816</v>
      </c>
      <c r="CI117" s="20">
        <f t="shared" si="3"/>
        <v>0.482217804884573</v>
      </c>
      <c r="CJ117" s="20">
        <f t="shared" si="3"/>
        <v>0.94642062940293914</v>
      </c>
      <c r="CK117" s="20" t="e">
        <f t="shared" si="3"/>
        <v>#DIV/0!</v>
      </c>
    </row>
    <row r="118" spans="1:89" ht="23.4" x14ac:dyDescent="0.45">
      <c r="A118" s="22" t="s">
        <v>221</v>
      </c>
      <c r="B118" s="22" t="s">
        <v>222</v>
      </c>
      <c r="C118" s="21">
        <f>C94/C96</f>
        <v>0.45822650800682613</v>
      </c>
      <c r="D118" s="21">
        <f>D94/D96</f>
        <v>0.454860374656192</v>
      </c>
      <c r="E118" s="20">
        <f t="shared" ref="E118:BP118" si="4">E94/E96</f>
        <v>0.24382038290032276</v>
      </c>
      <c r="F118" s="20">
        <f t="shared" si="4"/>
        <v>0.51049813204127537</v>
      </c>
      <c r="G118" s="20">
        <f t="shared" si="4"/>
        <v>0.2128868068748091</v>
      </c>
      <c r="H118" s="20">
        <f t="shared" si="4"/>
        <v>0.58199303123147927</v>
      </c>
      <c r="I118" s="20">
        <f t="shared" si="4"/>
        <v>0.43102330584300885</v>
      </c>
      <c r="J118" s="21">
        <f t="shared" si="4"/>
        <v>0.29890884009348706</v>
      </c>
      <c r="K118" s="20">
        <f t="shared" si="4"/>
        <v>0.37145033958534934</v>
      </c>
      <c r="L118" s="20">
        <f t="shared" si="4"/>
        <v>0.59643795667478849</v>
      </c>
      <c r="M118" s="20">
        <f t="shared" si="4"/>
        <v>0.37906286648165993</v>
      </c>
      <c r="N118" s="20">
        <f t="shared" si="4"/>
        <v>0.4905420801461125</v>
      </c>
      <c r="O118" s="20">
        <f t="shared" si="4"/>
        <v>0.62324784909614739</v>
      </c>
      <c r="P118" s="20">
        <f t="shared" si="4"/>
        <v>0.40348682976066674</v>
      </c>
      <c r="Q118" s="20">
        <f t="shared" si="4"/>
        <v>0.61869913208207727</v>
      </c>
      <c r="R118" s="20">
        <f t="shared" si="4"/>
        <v>0.48257027795503277</v>
      </c>
      <c r="S118" s="20">
        <f t="shared" si="4"/>
        <v>0.67082216625206403</v>
      </c>
      <c r="T118" s="20">
        <f t="shared" si="4"/>
        <v>0.63325435579300782</v>
      </c>
      <c r="U118" s="20">
        <f t="shared" si="4"/>
        <v>0.58950539377435296</v>
      </c>
      <c r="V118" s="20">
        <f t="shared" si="4"/>
        <v>0.62682208340707002</v>
      </c>
      <c r="W118" s="20">
        <f t="shared" si="4"/>
        <v>0.56650467009822181</v>
      </c>
      <c r="X118" s="20">
        <f t="shared" si="4"/>
        <v>0.64951155548944128</v>
      </c>
      <c r="Y118" s="20">
        <f t="shared" si="4"/>
        <v>0.71307032212600185</v>
      </c>
      <c r="Z118" s="20">
        <f t="shared" si="4"/>
        <v>0.83544705485693316</v>
      </c>
      <c r="AA118" s="20">
        <f t="shared" si="4"/>
        <v>0.68080562212473772</v>
      </c>
      <c r="AB118" s="20">
        <f t="shared" si="4"/>
        <v>0.7244989484884542</v>
      </c>
      <c r="AC118" s="20">
        <f t="shared" si="4"/>
        <v>0.60395502206977536</v>
      </c>
      <c r="AD118" s="20">
        <f t="shared" si="4"/>
        <v>0.70787646190810438</v>
      </c>
      <c r="AE118" s="20">
        <f t="shared" si="4"/>
        <v>0.66715304061925007</v>
      </c>
      <c r="AF118" s="20">
        <f t="shared" si="4"/>
        <v>0.65250871211671391</v>
      </c>
      <c r="AG118" s="20">
        <f t="shared" si="4"/>
        <v>0.78648597044721413</v>
      </c>
      <c r="AH118" s="20">
        <f t="shared" si="4"/>
        <v>0.70725076919676111</v>
      </c>
      <c r="AI118" s="20">
        <f t="shared" si="4"/>
        <v>0.71300425333438833</v>
      </c>
      <c r="AJ118" s="20">
        <f t="shared" si="4"/>
        <v>0.59755231789223506</v>
      </c>
      <c r="AK118" s="20">
        <f t="shared" si="4"/>
        <v>0.7069594775852247</v>
      </c>
      <c r="AL118" s="20">
        <f t="shared" si="4"/>
        <v>0.21630691780508779</v>
      </c>
      <c r="AM118" s="20">
        <f t="shared" si="4"/>
        <v>0.22449102388712863</v>
      </c>
      <c r="AN118" s="20">
        <f t="shared" si="4"/>
        <v>0.72289203045009909</v>
      </c>
      <c r="AO118" s="20">
        <f t="shared" si="4"/>
        <v>0.4453203893034548</v>
      </c>
      <c r="AP118" s="20">
        <f t="shared" si="4"/>
        <v>0.40973379998090148</v>
      </c>
      <c r="AQ118" s="20">
        <f t="shared" si="4"/>
        <v>0.31386264917407702</v>
      </c>
      <c r="AR118" s="20">
        <f t="shared" si="4"/>
        <v>0.38167370044671867</v>
      </c>
      <c r="AS118" s="20">
        <f t="shared" si="4"/>
        <v>0.50802639351479462</v>
      </c>
      <c r="AT118" s="20">
        <f t="shared" si="4"/>
        <v>0.48782111621560564</v>
      </c>
      <c r="AU118" s="20">
        <f t="shared" si="4"/>
        <v>0.34010851831805078</v>
      </c>
      <c r="AV118" s="20">
        <f t="shared" si="4"/>
        <v>0.19107811018059195</v>
      </c>
      <c r="AW118" s="20">
        <f t="shared" si="4"/>
        <v>0.53331007983070144</v>
      </c>
      <c r="AX118" s="20">
        <f t="shared" si="4"/>
        <v>0.5436641285424898</v>
      </c>
      <c r="AY118" s="20">
        <f t="shared" si="4"/>
        <v>0.49608764604941913</v>
      </c>
      <c r="AZ118" s="20">
        <f t="shared" si="4"/>
        <v>0.47669194967759976</v>
      </c>
      <c r="BA118" s="20">
        <f t="shared" si="4"/>
        <v>0.54039081554836388</v>
      </c>
      <c r="BB118" s="20">
        <f t="shared" si="4"/>
        <v>0.41647931501924584</v>
      </c>
      <c r="BC118" s="20">
        <f t="shared" si="4"/>
        <v>0.38246836348337304</v>
      </c>
      <c r="BD118" s="20">
        <f t="shared" si="4"/>
        <v>0.47150802420072729</v>
      </c>
      <c r="BE118" s="20">
        <f t="shared" si="4"/>
        <v>0.11727834007078861</v>
      </c>
      <c r="BF118" s="20">
        <f t="shared" si="4"/>
        <v>0.27824470159950415</v>
      </c>
      <c r="BG118" s="20">
        <f t="shared" si="4"/>
        <v>0.38840754040584224</v>
      </c>
      <c r="BH118" s="20">
        <f t="shared" si="4"/>
        <v>0.58121412128752037</v>
      </c>
      <c r="BI118" s="20">
        <f t="shared" si="4"/>
        <v>8.401658297640005E-2</v>
      </c>
      <c r="BJ118" s="20">
        <f t="shared" si="4"/>
        <v>0.49302016825930745</v>
      </c>
      <c r="BK118" s="20">
        <f t="shared" si="4"/>
        <v>8.0094921503839241E-3</v>
      </c>
      <c r="BL118" s="20">
        <f t="shared" si="4"/>
        <v>0.25632532398256924</v>
      </c>
      <c r="BM118" s="20">
        <f t="shared" si="4"/>
        <v>0.40640921997590024</v>
      </c>
      <c r="BN118" s="20">
        <f t="shared" si="4"/>
        <v>0.22499383215741919</v>
      </c>
      <c r="BO118" s="20">
        <f t="shared" si="4"/>
        <v>0.4224469904630046</v>
      </c>
      <c r="BP118" s="20">
        <f t="shared" si="4"/>
        <v>0.13877652815797045</v>
      </c>
      <c r="BQ118" s="20">
        <f t="shared" ref="BQ118:CD118" si="5">BQ94/BQ96</f>
        <v>0.30936212523491446</v>
      </c>
      <c r="BR118" s="20">
        <f t="shared" si="5"/>
        <v>0.38273622449841249</v>
      </c>
      <c r="BS118" s="20">
        <f t="shared" si="5"/>
        <v>0.39754983751485079</v>
      </c>
      <c r="BT118" s="20">
        <f t="shared" si="5"/>
        <v>0.52259911802399861</v>
      </c>
      <c r="BU118" s="20">
        <f t="shared" si="5"/>
        <v>0.22574950231725033</v>
      </c>
      <c r="BV118" s="20">
        <f t="shared" si="5"/>
        <v>0.41102771219457146</v>
      </c>
      <c r="BW118" s="20">
        <f t="shared" si="5"/>
        <v>0.434259583810719</v>
      </c>
      <c r="BX118" s="20">
        <f t="shared" si="5"/>
        <v>0.37220388547270833</v>
      </c>
      <c r="BY118" s="20">
        <f t="shared" si="5"/>
        <v>0.37222120627025623</v>
      </c>
      <c r="BZ118" s="20">
        <f t="shared" si="5"/>
        <v>0.42853573201694739</v>
      </c>
      <c r="CA118" s="20">
        <f t="shared" si="5"/>
        <v>0.21352483571881389</v>
      </c>
      <c r="CB118" s="20">
        <f t="shared" si="5"/>
        <v>0.31690860988341241</v>
      </c>
      <c r="CC118" s="20">
        <f t="shared" si="5"/>
        <v>0</v>
      </c>
      <c r="CD118" s="20">
        <f t="shared" si="5"/>
        <v>0.34501286561757094</v>
      </c>
      <c r="CE118" s="20"/>
      <c r="CF118" s="20"/>
      <c r="CG118" s="20"/>
      <c r="CH118" s="20"/>
      <c r="CI118" s="20"/>
      <c r="CJ118" s="20"/>
      <c r="CK118" s="20"/>
    </row>
    <row r="119" spans="1:89" ht="23.4" x14ac:dyDescent="0.45">
      <c r="A119" s="22" t="s">
        <v>223</v>
      </c>
      <c r="B119" s="22" t="s">
        <v>224</v>
      </c>
      <c r="C119" s="21">
        <f>C98/C96</f>
        <v>0.14469113297499936</v>
      </c>
      <c r="D119" s="21">
        <f>D98/D96</f>
        <v>0.1423897058192963</v>
      </c>
      <c r="E119" s="20">
        <f t="shared" ref="E119:BP119" si="6">E98/E96</f>
        <v>0.12001670934990927</v>
      </c>
      <c r="F119" s="20">
        <f t="shared" si="6"/>
        <v>8.6849478625100882E-2</v>
      </c>
      <c r="G119" s="20">
        <f t="shared" si="6"/>
        <v>2.5576651471293999E-2</v>
      </c>
      <c r="H119" s="20">
        <f t="shared" si="6"/>
        <v>0.14357870139921677</v>
      </c>
      <c r="I119" s="20">
        <f t="shared" si="6"/>
        <v>0.14374723397049827</v>
      </c>
      <c r="J119" s="21">
        <f>J98/J96</f>
        <v>3.5765558992620489E-2</v>
      </c>
      <c r="K119" s="20">
        <f t="shared" si="6"/>
        <v>8.1732380915255712E-2</v>
      </c>
      <c r="L119" s="20">
        <f t="shared" si="6"/>
        <v>3.5339057316203605E-2</v>
      </c>
      <c r="M119" s="20">
        <f t="shared" si="6"/>
        <v>0.10955155386810458</v>
      </c>
      <c r="N119" s="20">
        <f t="shared" si="6"/>
        <v>0.14670659935634792</v>
      </c>
      <c r="O119" s="20">
        <f t="shared" si="6"/>
        <v>8.322296182957524E-2</v>
      </c>
      <c r="P119" s="20">
        <f t="shared" si="6"/>
        <v>0.13269692290798535</v>
      </c>
      <c r="Q119" s="20">
        <f t="shared" si="6"/>
        <v>4.2644624321329101E-2</v>
      </c>
      <c r="R119" s="20">
        <f t="shared" si="6"/>
        <v>4.852486825990468E-2</v>
      </c>
      <c r="S119" s="20">
        <f t="shared" si="6"/>
        <v>0.10931265302211569</v>
      </c>
      <c r="T119" s="20">
        <f t="shared" si="6"/>
        <v>0.13273350614564489</v>
      </c>
      <c r="U119" s="20">
        <f t="shared" si="6"/>
        <v>0.17081165171126098</v>
      </c>
      <c r="V119" s="20">
        <f t="shared" si="6"/>
        <v>0.16746982866009372</v>
      </c>
      <c r="W119" s="20">
        <f t="shared" si="6"/>
        <v>0.11655268933096172</v>
      </c>
      <c r="X119" s="20">
        <f t="shared" si="6"/>
        <v>7.0563247592632453E-2</v>
      </c>
      <c r="Y119" s="20">
        <f t="shared" si="6"/>
        <v>0.12474458735346827</v>
      </c>
      <c r="Z119" s="20">
        <f t="shared" si="6"/>
        <v>1.7598538720301565E-2</v>
      </c>
      <c r="AA119" s="20">
        <f t="shared" si="6"/>
        <v>5.4026058372229013E-2</v>
      </c>
      <c r="AB119" s="20">
        <f t="shared" si="6"/>
        <v>8.2369828841742043E-2</v>
      </c>
      <c r="AC119" s="20">
        <f t="shared" si="6"/>
        <v>6.3129497461427125E-2</v>
      </c>
      <c r="AD119" s="20">
        <f t="shared" si="6"/>
        <v>2.8127654408833309E-2</v>
      </c>
      <c r="AE119" s="20">
        <f t="shared" si="6"/>
        <v>0.10391894212520808</v>
      </c>
      <c r="AF119" s="20">
        <f t="shared" si="6"/>
        <v>9.7945832831844215E-2</v>
      </c>
      <c r="AG119" s="20">
        <f t="shared" si="6"/>
        <v>9.9788371031281797E-2</v>
      </c>
      <c r="AH119" s="20">
        <f t="shared" si="6"/>
        <v>9.709092590828873E-2</v>
      </c>
      <c r="AI119" s="20">
        <f t="shared" si="6"/>
        <v>4.1850674406840746E-2</v>
      </c>
      <c r="AJ119" s="20">
        <f t="shared" si="6"/>
        <v>0.15972399007789626</v>
      </c>
      <c r="AK119" s="20">
        <f t="shared" si="6"/>
        <v>0.11374135101060549</v>
      </c>
      <c r="AL119" s="20">
        <f t="shared" si="6"/>
        <v>3.200606329696401E-2</v>
      </c>
      <c r="AM119" s="20">
        <f t="shared" si="6"/>
        <v>0.16657171344968863</v>
      </c>
      <c r="AN119" s="20">
        <f t="shared" si="6"/>
        <v>6.1860814825163549E-2</v>
      </c>
      <c r="AO119" s="20">
        <f t="shared" si="6"/>
        <v>5.7707828202407316E-2</v>
      </c>
      <c r="AP119" s="20">
        <f t="shared" si="6"/>
        <v>0.10821459123164555</v>
      </c>
      <c r="AQ119" s="20">
        <f t="shared" si="6"/>
        <v>0.11942217687376919</v>
      </c>
      <c r="AR119" s="20">
        <f t="shared" si="6"/>
        <v>0.22931323885088037</v>
      </c>
      <c r="AS119" s="20">
        <f t="shared" si="6"/>
        <v>9.5037108863275363E-2</v>
      </c>
      <c r="AT119" s="20">
        <f t="shared" si="6"/>
        <v>0.19640845301003754</v>
      </c>
      <c r="AU119" s="20">
        <f t="shared" si="6"/>
        <v>0.1202580896498931</v>
      </c>
      <c r="AV119" s="20">
        <f t="shared" si="6"/>
        <v>0.74807049712047258</v>
      </c>
      <c r="AW119" s="20">
        <f t="shared" si="6"/>
        <v>0.17774637201101254</v>
      </c>
      <c r="AX119" s="20">
        <f t="shared" si="6"/>
        <v>0.21906094124692999</v>
      </c>
      <c r="AY119" s="20">
        <f t="shared" si="6"/>
        <v>0.18038097312934806</v>
      </c>
      <c r="AZ119" s="20">
        <f t="shared" si="6"/>
        <v>8.3351899373558871E-2</v>
      </c>
      <c r="BA119" s="20">
        <f t="shared" si="6"/>
        <v>2.8274306386354957E-2</v>
      </c>
      <c r="BB119" s="20">
        <f t="shared" si="6"/>
        <v>0.1081714111793305</v>
      </c>
      <c r="BC119" s="20">
        <f t="shared" si="6"/>
        <v>0.19312766297474074</v>
      </c>
      <c r="BD119" s="20">
        <f t="shared" si="6"/>
        <v>0.20969812896145917</v>
      </c>
      <c r="BE119" s="20">
        <f t="shared" si="6"/>
        <v>5.9947905131350593E-2</v>
      </c>
      <c r="BF119" s="20">
        <f t="shared" si="6"/>
        <v>0.17369397740064602</v>
      </c>
      <c r="BG119" s="20">
        <f t="shared" si="6"/>
        <v>0.16546107960869783</v>
      </c>
      <c r="BH119" s="20">
        <f t="shared" si="6"/>
        <v>9.5383082182464773E-2</v>
      </c>
      <c r="BI119" s="20">
        <f t="shared" si="6"/>
        <v>2.1743832653689538E-2</v>
      </c>
      <c r="BJ119" s="20">
        <f t="shared" si="6"/>
        <v>7.7959262525255382E-2</v>
      </c>
      <c r="BK119" s="20">
        <f t="shared" si="6"/>
        <v>1.8811927965778216E-3</v>
      </c>
      <c r="BL119" s="20">
        <f t="shared" si="6"/>
        <v>0.24216768620727339</v>
      </c>
      <c r="BM119" s="20">
        <f t="shared" si="6"/>
        <v>9.0375463846956633E-2</v>
      </c>
      <c r="BN119" s="20">
        <f t="shared" si="6"/>
        <v>0.48696679375826923</v>
      </c>
      <c r="BO119" s="20">
        <f t="shared" si="6"/>
        <v>0.14924491582286656</v>
      </c>
      <c r="BP119" s="20">
        <f t="shared" si="6"/>
        <v>0.74226813844486084</v>
      </c>
      <c r="BQ119" s="20">
        <f t="shared" ref="BQ119:CD119" si="7">BQ98/BQ96</f>
        <v>0.47475874646106736</v>
      </c>
      <c r="BR119" s="20">
        <f t="shared" si="7"/>
        <v>0.54336007601699421</v>
      </c>
      <c r="BS119" s="20">
        <f t="shared" si="7"/>
        <v>0.48542722237752467</v>
      </c>
      <c r="BT119" s="20">
        <f t="shared" si="7"/>
        <v>0.27588302170864676</v>
      </c>
      <c r="BU119" s="20">
        <f t="shared" si="7"/>
        <v>0.2419852205909179</v>
      </c>
      <c r="BV119" s="20">
        <f t="shared" si="7"/>
        <v>0.50482596036114602</v>
      </c>
      <c r="BW119" s="20">
        <f t="shared" si="7"/>
        <v>0.10545875034809848</v>
      </c>
      <c r="BX119" s="20">
        <f t="shared" si="7"/>
        <v>0.1232292946434182</v>
      </c>
      <c r="BY119" s="20">
        <f t="shared" si="7"/>
        <v>0.13384830973243245</v>
      </c>
      <c r="BZ119" s="20">
        <f t="shared" si="7"/>
        <v>0.11804118584487665</v>
      </c>
      <c r="CA119" s="20">
        <f t="shared" si="7"/>
        <v>7.7605035096993236E-2</v>
      </c>
      <c r="CB119" s="20">
        <f t="shared" si="7"/>
        <v>0.30350489752302884</v>
      </c>
      <c r="CC119" s="20">
        <f t="shared" si="7"/>
        <v>1</v>
      </c>
      <c r="CD119" s="20">
        <f t="shared" si="7"/>
        <v>0.63835795277990615</v>
      </c>
      <c r="CE119" s="20"/>
      <c r="CF119" s="20"/>
      <c r="CG119" s="20"/>
      <c r="CH119" s="20"/>
      <c r="CI119" s="20"/>
      <c r="CJ119" s="20"/>
      <c r="CK119" s="20"/>
    </row>
    <row r="120" spans="1:89" ht="23.4" x14ac:dyDescent="0.45">
      <c r="A120" s="22" t="s">
        <v>225</v>
      </c>
      <c r="B120" s="22" t="s">
        <v>226</v>
      </c>
      <c r="C120" s="21">
        <f>1-C119-C118</f>
        <v>0.39708235901817451</v>
      </c>
      <c r="D120" s="21">
        <f>1-D119-D118</f>
        <v>0.40274991952451167</v>
      </c>
      <c r="E120" s="20">
        <f t="shared" ref="E120:BP120" si="8">1-E119-E118</f>
        <v>0.63616290774976791</v>
      </c>
      <c r="F120" s="20">
        <f t="shared" si="8"/>
        <v>0.40265238933362379</v>
      </c>
      <c r="G120" s="20">
        <f t="shared" si="8"/>
        <v>0.76153654165389695</v>
      </c>
      <c r="H120" s="20">
        <f t="shared" si="8"/>
        <v>0.27442826736930392</v>
      </c>
      <c r="I120" s="20">
        <f t="shared" si="8"/>
        <v>0.42522946018649288</v>
      </c>
      <c r="J120" s="21">
        <f>1-J119-J118</f>
        <v>0.66532560091389248</v>
      </c>
      <c r="K120" s="20">
        <f t="shared" si="8"/>
        <v>0.54681727949939496</v>
      </c>
      <c r="L120" s="20">
        <f t="shared" si="8"/>
        <v>0.36822298600900794</v>
      </c>
      <c r="M120" s="20">
        <f t="shared" si="8"/>
        <v>0.51138557965023557</v>
      </c>
      <c r="N120" s="20">
        <f t="shared" si="8"/>
        <v>0.36275132049753961</v>
      </c>
      <c r="O120" s="20">
        <f t="shared" si="8"/>
        <v>0.29352918907427739</v>
      </c>
      <c r="P120" s="20">
        <f t="shared" si="8"/>
        <v>0.46381624733134796</v>
      </c>
      <c r="Q120" s="20">
        <f t="shared" si="8"/>
        <v>0.33865624359659363</v>
      </c>
      <c r="R120" s="20">
        <f t="shared" si="8"/>
        <v>0.46890485378506258</v>
      </c>
      <c r="S120" s="20">
        <f t="shared" si="8"/>
        <v>0.21986518072582029</v>
      </c>
      <c r="T120" s="20">
        <f t="shared" si="8"/>
        <v>0.23401213806134724</v>
      </c>
      <c r="U120" s="20">
        <f t="shared" si="8"/>
        <v>0.23968295451438604</v>
      </c>
      <c r="V120" s="20">
        <f t="shared" si="8"/>
        <v>0.20570808793283624</v>
      </c>
      <c r="W120" s="20">
        <f t="shared" si="8"/>
        <v>0.31694264057081645</v>
      </c>
      <c r="X120" s="20">
        <f t="shared" si="8"/>
        <v>0.27992519691792628</v>
      </c>
      <c r="Y120" s="20">
        <f t="shared" si="8"/>
        <v>0.16218509052052987</v>
      </c>
      <c r="Z120" s="20">
        <f t="shared" si="8"/>
        <v>0.14695440642276525</v>
      </c>
      <c r="AA120" s="20">
        <f t="shared" si="8"/>
        <v>0.26516831950303332</v>
      </c>
      <c r="AB120" s="20">
        <f t="shared" si="8"/>
        <v>0.19313122266980376</v>
      </c>
      <c r="AC120" s="20">
        <f t="shared" si="8"/>
        <v>0.33291548046879749</v>
      </c>
      <c r="AD120" s="20">
        <f t="shared" si="8"/>
        <v>0.26399588368306226</v>
      </c>
      <c r="AE120" s="20">
        <f t="shared" si="8"/>
        <v>0.2289280172555419</v>
      </c>
      <c r="AF120" s="20">
        <f t="shared" si="8"/>
        <v>0.24954545505144188</v>
      </c>
      <c r="AG120" s="20">
        <f t="shared" si="8"/>
        <v>0.11372565852150407</v>
      </c>
      <c r="AH120" s="20">
        <f t="shared" si="8"/>
        <v>0.19565830489495017</v>
      </c>
      <c r="AI120" s="20">
        <f t="shared" si="8"/>
        <v>0.24514507225877091</v>
      </c>
      <c r="AJ120" s="20">
        <f t="shared" si="8"/>
        <v>0.24272369202986865</v>
      </c>
      <c r="AK120" s="20">
        <f t="shared" si="8"/>
        <v>0.17929917140416984</v>
      </c>
      <c r="AL120" s="20">
        <f t="shared" si="8"/>
        <v>0.7516870188979482</v>
      </c>
      <c r="AM120" s="20">
        <f t="shared" si="8"/>
        <v>0.60893726266318271</v>
      </c>
      <c r="AN120" s="20">
        <f t="shared" si="8"/>
        <v>0.21524715472473732</v>
      </c>
      <c r="AO120" s="20">
        <f t="shared" si="8"/>
        <v>0.49697178249413793</v>
      </c>
      <c r="AP120" s="20">
        <f t="shared" si="8"/>
        <v>0.48205160878745296</v>
      </c>
      <c r="AQ120" s="20">
        <f t="shared" si="8"/>
        <v>0.56671517395215376</v>
      </c>
      <c r="AR120" s="20">
        <f t="shared" si="8"/>
        <v>0.38901306070240094</v>
      </c>
      <c r="AS120" s="20">
        <f t="shared" si="8"/>
        <v>0.39693649762193006</v>
      </c>
      <c r="AT120" s="20">
        <f t="shared" si="8"/>
        <v>0.31577043077435685</v>
      </c>
      <c r="AU120" s="20">
        <f t="shared" si="8"/>
        <v>0.53963339203205618</v>
      </c>
      <c r="AV120" s="20">
        <f t="shared" si="8"/>
        <v>6.0851392698935469E-2</v>
      </c>
      <c r="AW120" s="20">
        <f t="shared" si="8"/>
        <v>0.28894354815828605</v>
      </c>
      <c r="AX120" s="20">
        <f t="shared" si="8"/>
        <v>0.23727493021058021</v>
      </c>
      <c r="AY120" s="20">
        <f t="shared" si="8"/>
        <v>0.32353138082123278</v>
      </c>
      <c r="AZ120" s="20">
        <f t="shared" si="8"/>
        <v>0.43995615094884133</v>
      </c>
      <c r="BA120" s="20">
        <f t="shared" si="8"/>
        <v>0.43133487806528115</v>
      </c>
      <c r="BB120" s="20">
        <f t="shared" si="8"/>
        <v>0.47534927380142367</v>
      </c>
      <c r="BC120" s="20">
        <f t="shared" si="8"/>
        <v>0.42440397354188625</v>
      </c>
      <c r="BD120" s="20">
        <f t="shared" si="8"/>
        <v>0.31879384683781348</v>
      </c>
      <c r="BE120" s="20">
        <f t="shared" si="8"/>
        <v>0.82277375479786075</v>
      </c>
      <c r="BF120" s="20">
        <f t="shared" si="8"/>
        <v>0.54806132099984972</v>
      </c>
      <c r="BG120" s="20">
        <f t="shared" si="8"/>
        <v>0.44613137998545993</v>
      </c>
      <c r="BH120" s="20">
        <f t="shared" si="8"/>
        <v>0.3234027965300148</v>
      </c>
      <c r="BI120" s="20">
        <f t="shared" si="8"/>
        <v>0.89423958436991047</v>
      </c>
      <c r="BJ120" s="20">
        <f t="shared" si="8"/>
        <v>0.42902056921543713</v>
      </c>
      <c r="BK120" s="20">
        <f t="shared" si="8"/>
        <v>0.99010931505303823</v>
      </c>
      <c r="BL120" s="20">
        <f t="shared" si="8"/>
        <v>0.5015069898101574</v>
      </c>
      <c r="BM120" s="20">
        <f t="shared" si="8"/>
        <v>0.5032153161771431</v>
      </c>
      <c r="BN120" s="20">
        <f t="shared" si="8"/>
        <v>0.28803937408431157</v>
      </c>
      <c r="BO120" s="20">
        <f t="shared" si="8"/>
        <v>0.42830809371412881</v>
      </c>
      <c r="BP120" s="20">
        <f t="shared" si="8"/>
        <v>0.11895533339716871</v>
      </c>
      <c r="BQ120" s="20">
        <f t="shared" ref="BQ120:CD120" si="9">1-BQ119-BQ118</f>
        <v>0.21587912830401812</v>
      </c>
      <c r="BR120" s="20">
        <f t="shared" si="9"/>
        <v>7.3903699484593299E-2</v>
      </c>
      <c r="BS120" s="20">
        <f t="shared" si="9"/>
        <v>0.11702294010762454</v>
      </c>
      <c r="BT120" s="20">
        <f t="shared" si="9"/>
        <v>0.20151786026735463</v>
      </c>
      <c r="BU120" s="20">
        <f t="shared" si="9"/>
        <v>0.5322652770918318</v>
      </c>
      <c r="BV120" s="20">
        <f t="shared" si="9"/>
        <v>8.414632744428252E-2</v>
      </c>
      <c r="BW120" s="20">
        <f t="shared" si="9"/>
        <v>0.46028166584118252</v>
      </c>
      <c r="BX120" s="20">
        <f t="shared" si="9"/>
        <v>0.50456681988387353</v>
      </c>
      <c r="BY120" s="20">
        <f t="shared" si="9"/>
        <v>0.49393048399731132</v>
      </c>
      <c r="BZ120" s="20">
        <f t="shared" si="9"/>
        <v>0.45342308213817595</v>
      </c>
      <c r="CA120" s="20">
        <f t="shared" si="9"/>
        <v>0.7088701291841929</v>
      </c>
      <c r="CB120" s="20">
        <f t="shared" si="9"/>
        <v>0.37958649259355881</v>
      </c>
      <c r="CC120" s="20">
        <f t="shared" si="9"/>
        <v>0</v>
      </c>
      <c r="CD120" s="20">
        <f t="shared" si="9"/>
        <v>1.6629181602522913E-2</v>
      </c>
      <c r="CE120" s="20"/>
      <c r="CF120" s="20"/>
      <c r="CG120" s="20"/>
      <c r="CH120" s="20"/>
      <c r="CI120" s="20"/>
      <c r="CJ120" s="20"/>
      <c r="CK120" s="20"/>
    </row>
    <row r="121" spans="1:89" ht="16.8" x14ac:dyDescent="0.3">
      <c r="A121" s="2" t="s">
        <v>202</v>
      </c>
      <c r="C121" s="30">
        <f>C98/C95</f>
        <v>0.26706942128652977</v>
      </c>
      <c r="D121" s="30">
        <f>D98/D95</f>
        <v>0.26119859793625189</v>
      </c>
      <c r="E121" s="30">
        <f t="shared" ref="E121:BP121" si="10">E98/E95</f>
        <v>0.15871455225179529</v>
      </c>
      <c r="F121" s="30">
        <f t="shared" si="10"/>
        <v>0.17742420266397047</v>
      </c>
      <c r="G121" s="30">
        <f t="shared" si="10"/>
        <v>3.2494248215740443E-2</v>
      </c>
      <c r="H121" s="30">
        <f t="shared" si="10"/>
        <v>0.34348398980574446</v>
      </c>
      <c r="I121" s="30">
        <f t="shared" si="10"/>
        <v>0.25264169068203651</v>
      </c>
      <c r="J121" s="30">
        <f t="shared" si="10"/>
        <v>5.10141348771102E-2</v>
      </c>
      <c r="K121" s="30">
        <f t="shared" si="10"/>
        <v>0.13003329102323807</v>
      </c>
      <c r="L121" s="30">
        <f t="shared" si="10"/>
        <v>8.7567842171235949E-2</v>
      </c>
      <c r="M121" s="30">
        <f t="shared" si="10"/>
        <v>0.17642938061598284</v>
      </c>
      <c r="N121" s="30">
        <f t="shared" si="10"/>
        <v>0.28796607852994677</v>
      </c>
      <c r="O121" s="30">
        <f t="shared" si="10"/>
        <v>0.22089578421760298</v>
      </c>
      <c r="P121" s="30">
        <f t="shared" si="10"/>
        <v>0.22245430533368551</v>
      </c>
      <c r="Q121" s="30">
        <f t="shared" si="10"/>
        <v>0.11183983019547862</v>
      </c>
      <c r="R121" s="30">
        <f t="shared" si="10"/>
        <v>9.3780597040553512E-2</v>
      </c>
      <c r="S121" s="30">
        <f t="shared" si="10"/>
        <v>0.33207780662965464</v>
      </c>
      <c r="T121" s="30">
        <f t="shared" si="10"/>
        <v>0.36192251562428857</v>
      </c>
      <c r="U121" s="30">
        <f t="shared" si="10"/>
        <v>0.41611180541886722</v>
      </c>
      <c r="V121" s="30">
        <f t="shared" si="10"/>
        <v>0.44876671746568858</v>
      </c>
      <c r="W121" s="30">
        <f t="shared" si="10"/>
        <v>0.26886723175857591</v>
      </c>
      <c r="X121" s="30">
        <f t="shared" si="10"/>
        <v>0.20132831395103717</v>
      </c>
      <c r="Y121" s="30">
        <f t="shared" si="10"/>
        <v>0.43475665632695004</v>
      </c>
      <c r="Z121" s="30">
        <f t="shared" si="10"/>
        <v>0.10694757669029213</v>
      </c>
      <c r="AA121" s="30">
        <f t="shared" si="10"/>
        <v>0.1692575499977691</v>
      </c>
      <c r="AB121" s="30">
        <f t="shared" si="10"/>
        <v>0.29898190366177263</v>
      </c>
      <c r="AC121" s="30">
        <f t="shared" si="10"/>
        <v>0.15939981815032456</v>
      </c>
      <c r="AD121" s="30">
        <f t="shared" si="10"/>
        <v>9.6286846970835241E-2</v>
      </c>
      <c r="AE121" s="30">
        <f t="shared" si="10"/>
        <v>0.31221238228687925</v>
      </c>
      <c r="AF121" s="30">
        <f t="shared" si="10"/>
        <v>0.28186557835297965</v>
      </c>
      <c r="AG121" s="30">
        <f t="shared" si="10"/>
        <v>0.46736212716462944</v>
      </c>
      <c r="AH121" s="30">
        <f t="shared" si="10"/>
        <v>0.33165219816937785</v>
      </c>
      <c r="AI121" s="30">
        <f t="shared" si="10"/>
        <v>0.14582332627947395</v>
      </c>
      <c r="AJ121" s="30">
        <f t="shared" si="10"/>
        <v>0.39688137658381717</v>
      </c>
      <c r="AK121" s="30">
        <f t="shared" si="10"/>
        <v>0.38814205650921474</v>
      </c>
      <c r="AL121" s="30">
        <f t="shared" si="10"/>
        <v>4.0840048258846046E-2</v>
      </c>
      <c r="AM121" s="30">
        <f t="shared" si="10"/>
        <v>0.21479018113317747</v>
      </c>
      <c r="AN121" s="30">
        <f t="shared" si="10"/>
        <v>0.22323722744474808</v>
      </c>
      <c r="AO121" s="30">
        <f t="shared" si="10"/>
        <v>0.10403812775800439</v>
      </c>
      <c r="AP121" s="30">
        <f t="shared" si="10"/>
        <v>0.18333184456122373</v>
      </c>
      <c r="AQ121" s="30">
        <f t="shared" si="10"/>
        <v>0.17404995767978138</v>
      </c>
      <c r="AR121" s="30">
        <f t="shared" si="10"/>
        <v>0.3708612087445593</v>
      </c>
      <c r="AS121" s="30">
        <f t="shared" si="10"/>
        <v>0.1931752183663806</v>
      </c>
      <c r="AT121" s="30">
        <f t="shared" si="10"/>
        <v>0.38347627992550587</v>
      </c>
      <c r="AU121" s="30">
        <f t="shared" si="10"/>
        <v>0.18223919081873288</v>
      </c>
      <c r="AV121" s="30">
        <f t="shared" si="10"/>
        <v>0.92477469893598685</v>
      </c>
      <c r="AW121" s="30">
        <f t="shared" si="10"/>
        <v>0.38086610472866533</v>
      </c>
      <c r="AX121" s="30">
        <f t="shared" si="10"/>
        <v>0.48004322024315577</v>
      </c>
      <c r="AY121" s="30">
        <f t="shared" si="10"/>
        <v>0.35796100594715363</v>
      </c>
      <c r="AZ121" s="30">
        <f t="shared" si="10"/>
        <v>0.15927884029723474</v>
      </c>
      <c r="BA121" s="30">
        <f t="shared" si="10"/>
        <v>6.1518149207765042E-2</v>
      </c>
      <c r="BB121" s="30">
        <f t="shared" si="10"/>
        <v>0.18537716650592814</v>
      </c>
      <c r="BC121" s="30">
        <f t="shared" si="10"/>
        <v>0.31274132620012063</v>
      </c>
      <c r="BD121" s="30">
        <f t="shared" si="10"/>
        <v>0.3967858332083834</v>
      </c>
      <c r="BE121" s="30">
        <f t="shared" si="10"/>
        <v>6.7912579754934338E-2</v>
      </c>
      <c r="BF121" s="30">
        <f t="shared" si="10"/>
        <v>0.24065493912628638</v>
      </c>
      <c r="BG121" s="30">
        <f t="shared" si="10"/>
        <v>0.27054139895461587</v>
      </c>
      <c r="BH121" s="30">
        <f t="shared" si="10"/>
        <v>0.227760980087752</v>
      </c>
      <c r="BI121" s="30">
        <f t="shared" si="10"/>
        <v>2.37382383235103E-2</v>
      </c>
      <c r="BJ121" s="30">
        <f t="shared" si="10"/>
        <v>0.15377192078348706</v>
      </c>
      <c r="BK121" s="30">
        <f t="shared" si="10"/>
        <v>1.8963818521366405E-3</v>
      </c>
      <c r="BL121" s="30">
        <f t="shared" si="10"/>
        <v>0.32563659086005681</v>
      </c>
      <c r="BM121" s="30">
        <f t="shared" si="10"/>
        <v>0.15225213545818114</v>
      </c>
      <c r="BN121" s="30">
        <f t="shared" si="10"/>
        <v>0.62833924936863461</v>
      </c>
      <c r="BO121" s="30">
        <f t="shared" si="10"/>
        <v>0.25840903494297623</v>
      </c>
      <c r="BP121" s="30">
        <f t="shared" si="10"/>
        <v>0.86187634535466051</v>
      </c>
      <c r="BQ121" s="30">
        <f t="shared" ref="BQ121:CD121" si="11">BQ98/BQ95</f>
        <v>0.68742066400941648</v>
      </c>
      <c r="BR121" s="30">
        <f t="shared" si="11"/>
        <v>0.88027209368549242</v>
      </c>
      <c r="BS121" s="30">
        <f t="shared" si="11"/>
        <v>0.80575498623006969</v>
      </c>
      <c r="BT121" s="30">
        <f t="shared" si="11"/>
        <v>0.57788544622444826</v>
      </c>
      <c r="BU121" s="30">
        <f t="shared" si="11"/>
        <v>0.31254125288282569</v>
      </c>
      <c r="BV121" s="30">
        <f t="shared" si="11"/>
        <v>0.85713024332974919</v>
      </c>
      <c r="BW121" s="30">
        <f t="shared" si="11"/>
        <v>0.18640837269228247</v>
      </c>
      <c r="BX121" s="30">
        <f t="shared" si="11"/>
        <v>0.19628871825083771</v>
      </c>
      <c r="BY121" s="30">
        <f t="shared" si="11"/>
        <v>0.21320935187570797</v>
      </c>
      <c r="BZ121" s="30">
        <f t="shared" si="11"/>
        <v>0.20655917168976401</v>
      </c>
      <c r="CA121" s="30">
        <f t="shared" si="11"/>
        <v>9.8674489191177245E-2</v>
      </c>
      <c r="CB121" s="30">
        <f t="shared" si="11"/>
        <v>0.44431082270152417</v>
      </c>
      <c r="CC121" s="30">
        <f t="shared" si="11"/>
        <v>1</v>
      </c>
      <c r="CD121" s="30">
        <f t="shared" si="11"/>
        <v>0.97461143779838966</v>
      </c>
      <c r="CE121" s="30"/>
      <c r="CF121" s="30"/>
      <c r="CG121" s="30"/>
      <c r="CH121" s="30"/>
      <c r="CI121" s="30"/>
      <c r="CJ121" s="30"/>
      <c r="CK121" s="30"/>
    </row>
    <row r="122" spans="1:89" x14ac:dyDescent="0.3">
      <c r="A122" s="5" t="s">
        <v>205</v>
      </c>
    </row>
    <row r="123" spans="1:89" x14ac:dyDescent="0.3">
      <c r="A123" s="3"/>
    </row>
    <row r="125" spans="1:89" x14ac:dyDescent="0.3">
      <c r="I125" s="23" t="s">
        <v>227</v>
      </c>
      <c r="J125" s="23" t="s">
        <v>234</v>
      </c>
    </row>
    <row r="126" spans="1:89" x14ac:dyDescent="0.3">
      <c r="I126" s="23" t="s">
        <v>228</v>
      </c>
      <c r="J126" s="24">
        <v>81912409</v>
      </c>
      <c r="K126" s="23" t="s">
        <v>230</v>
      </c>
    </row>
    <row r="127" spans="1:89" x14ac:dyDescent="0.3">
      <c r="I127" s="23" t="s">
        <v>232</v>
      </c>
      <c r="J127" s="24">
        <v>1681119150</v>
      </c>
      <c r="K127" s="23" t="s">
        <v>230</v>
      </c>
    </row>
    <row r="128" spans="1:89" x14ac:dyDescent="0.3">
      <c r="I128" s="23" t="s">
        <v>235</v>
      </c>
      <c r="J128" s="24">
        <v>149842712</v>
      </c>
      <c r="K128" s="23" t="s">
        <v>230</v>
      </c>
    </row>
    <row r="129" spans="7:12" x14ac:dyDescent="0.3">
      <c r="I129" s="23" t="s">
        <v>236</v>
      </c>
      <c r="J129" s="24">
        <v>1199511561</v>
      </c>
      <c r="K129" s="23" t="s">
        <v>230</v>
      </c>
    </row>
    <row r="131" spans="7:12" x14ac:dyDescent="0.3">
      <c r="I131" s="23" t="s">
        <v>228</v>
      </c>
      <c r="J131" s="24">
        <f>J126/1000</f>
        <v>81912.409</v>
      </c>
      <c r="K131" s="23" t="s">
        <v>231</v>
      </c>
    </row>
    <row r="132" spans="7:12" x14ac:dyDescent="0.3">
      <c r="I132" s="23" t="s">
        <v>232</v>
      </c>
      <c r="J132" s="24">
        <f>J127/1000</f>
        <v>1681119.15</v>
      </c>
      <c r="K132" s="23" t="s">
        <v>231</v>
      </c>
    </row>
    <row r="133" spans="7:12" x14ac:dyDescent="0.3">
      <c r="H133" s="24">
        <v>7612837</v>
      </c>
      <c r="I133" s="23" t="s">
        <v>235</v>
      </c>
      <c r="J133" s="24">
        <f>J128/1000</f>
        <v>149842.712</v>
      </c>
      <c r="K133" s="23" t="s">
        <v>231</v>
      </c>
    </row>
    <row r="134" spans="7:12" x14ac:dyDescent="0.3">
      <c r="H134" s="24">
        <v>60941810</v>
      </c>
      <c r="I134" s="23" t="s">
        <v>236</v>
      </c>
      <c r="J134" s="24">
        <f>J129/1000</f>
        <v>1199511.561</v>
      </c>
      <c r="K134" s="23" t="s">
        <v>231</v>
      </c>
    </row>
    <row r="135" spans="7:12" ht="21" x14ac:dyDescent="0.4">
      <c r="I135" s="23" t="s">
        <v>229</v>
      </c>
      <c r="J135" s="25">
        <f>J131/J97</f>
        <v>0.13119985177912025</v>
      </c>
    </row>
    <row r="136" spans="7:12" ht="21.6" thickBot="1" x14ac:dyDescent="0.45">
      <c r="I136" s="23" t="s">
        <v>233</v>
      </c>
      <c r="J136" s="25">
        <f>J131/J132</f>
        <v>4.8724927676899052E-2</v>
      </c>
    </row>
    <row r="137" spans="7:12" ht="21.6" thickBot="1" x14ac:dyDescent="0.45">
      <c r="G137">
        <f>H137/H139</f>
        <v>0.44343550637737694</v>
      </c>
      <c r="H137" s="27">
        <f>H133/H134</f>
        <v>0.12491977182824074</v>
      </c>
      <c r="I137" s="26" t="s">
        <v>237</v>
      </c>
      <c r="J137" s="27">
        <f>J133/J134</f>
        <v>0.12491977307420049</v>
      </c>
      <c r="K137" s="28"/>
      <c r="L137" s="29" t="s">
        <v>238</v>
      </c>
    </row>
    <row r="139" spans="7:12" x14ac:dyDescent="0.3">
      <c r="H139" s="30">
        <f>(1-J117)</f>
        <v>0.28170899720855969</v>
      </c>
    </row>
  </sheetData>
  <mergeCells count="4">
    <mergeCell ref="A5:A6"/>
    <mergeCell ref="B5:B6"/>
    <mergeCell ref="D5:CD5"/>
    <mergeCell ref="CE5:CK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79B8-52A3-4801-B858-0AD1C9CC656E}">
  <dimension ref="A1:CA93"/>
  <sheetViews>
    <sheetView topLeftCell="A77" workbookViewId="0">
      <selection activeCell="G84" sqref="G84:G85"/>
    </sheetView>
  </sheetViews>
  <sheetFormatPr defaultRowHeight="14.4" x14ac:dyDescent="0.3"/>
  <cols>
    <col min="1" max="1" width="35" customWidth="1"/>
    <col min="2" max="6" width="14" customWidth="1"/>
    <col min="7" max="7" width="14" style="17" customWidth="1"/>
    <col min="8" max="79" width="14" customWidth="1"/>
  </cols>
  <sheetData>
    <row r="1" spans="1:79" ht="15.6" x14ac:dyDescent="0.3">
      <c r="A1" s="1" t="s">
        <v>0</v>
      </c>
    </row>
    <row r="2" spans="1:79" x14ac:dyDescent="0.3">
      <c r="A2" s="2" t="s">
        <v>1</v>
      </c>
    </row>
    <row r="3" spans="1:79" x14ac:dyDescent="0.3">
      <c r="A3" s="4" t="s">
        <v>215</v>
      </c>
    </row>
    <row r="5" spans="1:79" ht="171.6" x14ac:dyDescent="0.3">
      <c r="A5" s="6" t="s">
        <v>3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18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9" t="s">
        <v>43</v>
      </c>
      <c r="AL5" s="9" t="s">
        <v>44</v>
      </c>
      <c r="AM5" s="9" t="s">
        <v>45</v>
      </c>
      <c r="AN5" s="9" t="s">
        <v>46</v>
      </c>
      <c r="AO5" s="9" t="s">
        <v>47</v>
      </c>
      <c r="AP5" s="9" t="s">
        <v>48</v>
      </c>
      <c r="AQ5" s="9" t="s">
        <v>49</v>
      </c>
      <c r="AR5" s="9" t="s">
        <v>50</v>
      </c>
      <c r="AS5" s="9" t="s">
        <v>51</v>
      </c>
      <c r="AT5" s="9" t="s">
        <v>52</v>
      </c>
      <c r="AU5" s="9" t="s">
        <v>53</v>
      </c>
      <c r="AV5" s="9" t="s">
        <v>54</v>
      </c>
      <c r="AW5" s="9" t="s">
        <v>55</v>
      </c>
      <c r="AX5" s="9" t="s">
        <v>56</v>
      </c>
      <c r="AY5" s="9" t="s">
        <v>57</v>
      </c>
      <c r="AZ5" s="9" t="s">
        <v>58</v>
      </c>
      <c r="BA5" s="9" t="s">
        <v>59</v>
      </c>
      <c r="BB5" s="9" t="s">
        <v>60</v>
      </c>
      <c r="BC5" s="9" t="s">
        <v>61</v>
      </c>
      <c r="BD5" s="9" t="s">
        <v>62</v>
      </c>
      <c r="BE5" s="9" t="s">
        <v>63</v>
      </c>
      <c r="BF5" s="9" t="s">
        <v>64</v>
      </c>
      <c r="BG5" s="9" t="s">
        <v>65</v>
      </c>
      <c r="BH5" s="9" t="s">
        <v>66</v>
      </c>
      <c r="BI5" s="9" t="s">
        <v>67</v>
      </c>
      <c r="BJ5" s="9" t="s">
        <v>68</v>
      </c>
      <c r="BK5" s="9" t="s">
        <v>69</v>
      </c>
      <c r="BL5" s="9" t="s">
        <v>70</v>
      </c>
      <c r="BM5" s="9" t="s">
        <v>71</v>
      </c>
      <c r="BN5" s="9" t="s">
        <v>72</v>
      </c>
      <c r="BO5" s="9" t="s">
        <v>73</v>
      </c>
      <c r="BP5" s="9" t="s">
        <v>74</v>
      </c>
      <c r="BQ5" s="9" t="s">
        <v>75</v>
      </c>
      <c r="BR5" s="9" t="s">
        <v>76</v>
      </c>
      <c r="BS5" s="9" t="s">
        <v>77</v>
      </c>
      <c r="BT5" s="9" t="s">
        <v>78</v>
      </c>
      <c r="BU5" s="9" t="s">
        <v>79</v>
      </c>
      <c r="BV5" s="9" t="s">
        <v>80</v>
      </c>
      <c r="BW5" s="9" t="s">
        <v>81</v>
      </c>
      <c r="BX5" s="9" t="s">
        <v>82</v>
      </c>
      <c r="BY5" s="9" t="s">
        <v>83</v>
      </c>
      <c r="BZ5" s="9" t="s">
        <v>84</v>
      </c>
      <c r="CA5" s="9" t="s">
        <v>85</v>
      </c>
    </row>
    <row r="6" spans="1:79" x14ac:dyDescent="0.3">
      <c r="A6" s="8" t="s">
        <v>93</v>
      </c>
      <c r="B6" s="15">
        <v>1.90416634730496E-2</v>
      </c>
      <c r="C6" s="15">
        <v>0.113799884857422</v>
      </c>
      <c r="D6" s="15">
        <v>6.1249440861971902E-3</v>
      </c>
      <c r="E6" s="15">
        <v>5.1679192878265902E-4</v>
      </c>
      <c r="F6" s="15">
        <v>3.0232558139534901E-2</v>
      </c>
      <c r="G6" s="19">
        <v>0</v>
      </c>
      <c r="H6" s="15">
        <v>0</v>
      </c>
      <c r="I6" s="15">
        <v>0</v>
      </c>
      <c r="J6" s="15">
        <v>0</v>
      </c>
      <c r="K6" s="15">
        <v>1.6611391916813399E-5</v>
      </c>
      <c r="L6" s="15">
        <v>2.3882351386359398E-3</v>
      </c>
      <c r="M6" s="15">
        <v>2.7039775628069499E-5</v>
      </c>
      <c r="N6" s="15">
        <v>7.3765619188315701E-2</v>
      </c>
      <c r="O6" s="15">
        <v>5.5353071202639402E-2</v>
      </c>
      <c r="P6" s="15">
        <v>0.112085369793624</v>
      </c>
      <c r="Q6" s="15">
        <v>0</v>
      </c>
      <c r="R6" s="15">
        <v>2.7434120019580901E-3</v>
      </c>
      <c r="S6" s="15">
        <v>1.7924720069290599E-6</v>
      </c>
      <c r="T6" s="15">
        <v>4.7115248067223503E-3</v>
      </c>
      <c r="U6" s="15">
        <v>1.81501269851801E-5</v>
      </c>
      <c r="V6" s="15">
        <v>0</v>
      </c>
      <c r="W6" s="15">
        <v>0</v>
      </c>
      <c r="X6" s="15">
        <v>1.1899323842477099E-3</v>
      </c>
      <c r="Y6" s="15">
        <v>6.2024858562080695E-4</v>
      </c>
      <c r="Z6" s="15">
        <v>5.4080575705219103E-6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3.6687945082221899E-4</v>
      </c>
      <c r="AI6" s="15">
        <v>0</v>
      </c>
      <c r="AJ6" s="15">
        <v>4.8784061707855102E-8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5.5217905426261401E-8</v>
      </c>
      <c r="AY6" s="15">
        <v>0</v>
      </c>
      <c r="AZ6" s="15">
        <v>0</v>
      </c>
      <c r="BA6" s="15">
        <v>3.4303916924146102E-7</v>
      </c>
      <c r="BB6" s="15">
        <v>0</v>
      </c>
      <c r="BC6" s="15">
        <v>0</v>
      </c>
      <c r="BD6" s="15">
        <v>0</v>
      </c>
      <c r="BE6" s="15">
        <v>0</v>
      </c>
      <c r="BF6" s="15">
        <v>6.2957990487576502E-9</v>
      </c>
      <c r="BG6" s="15">
        <v>0</v>
      </c>
      <c r="BH6" s="15">
        <v>0</v>
      </c>
      <c r="BI6" s="15">
        <v>1.1282808814185599E-6</v>
      </c>
      <c r="BJ6" s="15">
        <v>0</v>
      </c>
      <c r="BK6" s="15">
        <v>1.9346503879848799E-6</v>
      </c>
      <c r="BL6" s="15">
        <v>0</v>
      </c>
      <c r="BM6" s="15">
        <v>2.6908200745536702E-6</v>
      </c>
      <c r="BN6" s="15">
        <v>2.8409996222004998E-7</v>
      </c>
      <c r="BO6" s="15">
        <v>1.23399534903961E-3</v>
      </c>
      <c r="BP6" s="15">
        <v>1.07262037878258E-2</v>
      </c>
      <c r="BQ6" s="15">
        <v>7.6923403210927997E-3</v>
      </c>
      <c r="BR6" s="15">
        <v>0</v>
      </c>
      <c r="BS6" s="15">
        <v>0</v>
      </c>
      <c r="BT6" s="15">
        <v>8.5161709311726598E-7</v>
      </c>
      <c r="BU6" s="15">
        <v>2.5358750064510899E-2</v>
      </c>
      <c r="BV6" s="15">
        <v>4.1714719959633703E-2</v>
      </c>
      <c r="BW6" s="15">
        <v>4.8265608423252204E-9</v>
      </c>
      <c r="BX6" s="15">
        <v>5.8694673874204299E-5</v>
      </c>
      <c r="BY6" s="15">
        <v>2.4420747606539702E-3</v>
      </c>
      <c r="BZ6" s="15">
        <v>0</v>
      </c>
      <c r="CA6" s="15">
        <v>3.1286294447571799E-5</v>
      </c>
    </row>
    <row r="7" spans="1:79" x14ac:dyDescent="0.3">
      <c r="A7" s="7" t="s">
        <v>95</v>
      </c>
      <c r="B7" s="16">
        <v>7.3783822381358498E-3</v>
      </c>
      <c r="C7" s="16">
        <v>2.3237824239937799E-2</v>
      </c>
      <c r="D7" s="16">
        <v>0</v>
      </c>
      <c r="E7" s="16">
        <v>0</v>
      </c>
      <c r="F7" s="16">
        <v>0</v>
      </c>
      <c r="G7" s="19">
        <v>9.0239145749322001E-9</v>
      </c>
      <c r="H7" s="16">
        <v>2.3712810490886902E-9</v>
      </c>
      <c r="I7" s="16">
        <v>7.8465124347900103E-8</v>
      </c>
      <c r="J7" s="16">
        <v>2.7180009637814E-9</v>
      </c>
      <c r="K7" s="16">
        <v>2.9611696957329098E-4</v>
      </c>
      <c r="L7" s="16">
        <v>1.7600139863383499E-8</v>
      </c>
      <c r="M7" s="16">
        <v>3.6092407706439101E-8</v>
      </c>
      <c r="N7" s="16">
        <v>0.145352020766845</v>
      </c>
      <c r="O7" s="16">
        <v>7.2107496951610902E-6</v>
      </c>
      <c r="P7" s="16">
        <v>5.9721432005091198E-3</v>
      </c>
      <c r="Q7" s="16">
        <v>0</v>
      </c>
      <c r="R7" s="16">
        <v>5.7667658871415902E-9</v>
      </c>
      <c r="S7" s="16">
        <v>0</v>
      </c>
      <c r="T7" s="16">
        <v>0</v>
      </c>
      <c r="U7" s="16">
        <v>3.44928296943749E-9</v>
      </c>
      <c r="V7" s="16">
        <v>1.1643073433737401E-8</v>
      </c>
      <c r="W7" s="16">
        <v>0</v>
      </c>
      <c r="X7" s="16">
        <v>2.5776869423528299E-4</v>
      </c>
      <c r="Y7" s="16">
        <v>3.6344962123851899E-9</v>
      </c>
      <c r="Z7" s="16">
        <v>0</v>
      </c>
      <c r="AA7" s="16">
        <v>1.1354530146584701E-9</v>
      </c>
      <c r="AB7" s="16">
        <v>1.94975407322928E-9</v>
      </c>
      <c r="AC7" s="16">
        <v>1.6639347105032099E-9</v>
      </c>
      <c r="AD7" s="16">
        <v>1.0433267348081799E-9</v>
      </c>
      <c r="AE7" s="16">
        <v>0</v>
      </c>
      <c r="AF7" s="16">
        <v>5.1578149599227498E-9</v>
      </c>
      <c r="AG7" s="16">
        <v>7.2461350637258497E-9</v>
      </c>
      <c r="AH7" s="16">
        <v>3.8648793927202201E-4</v>
      </c>
      <c r="AI7" s="16">
        <v>9.3286041774063705E-9</v>
      </c>
      <c r="AJ7" s="16">
        <v>1.52233951428768E-8</v>
      </c>
      <c r="AK7" s="16">
        <v>4.3587915177289398E-9</v>
      </c>
      <c r="AL7" s="16">
        <v>0</v>
      </c>
      <c r="AM7" s="16">
        <v>0</v>
      </c>
      <c r="AN7" s="16">
        <v>0</v>
      </c>
      <c r="AO7" s="16">
        <v>5.4819639657790401E-9</v>
      </c>
      <c r="AP7" s="16">
        <v>0</v>
      </c>
      <c r="AQ7" s="16">
        <v>0</v>
      </c>
      <c r="AR7" s="16">
        <v>4.2695776487678398E-9</v>
      </c>
      <c r="AS7" s="16">
        <v>0</v>
      </c>
      <c r="AT7" s="16">
        <v>0</v>
      </c>
      <c r="AU7" s="16">
        <v>3.0578212907106501E-8</v>
      </c>
      <c r="AV7" s="16">
        <v>0</v>
      </c>
      <c r="AW7" s="16">
        <v>1.9832738334656E-7</v>
      </c>
      <c r="AX7" s="16">
        <v>1.24792466263351E-6</v>
      </c>
      <c r="AY7" s="16">
        <v>3.0654695797753997E-8</v>
      </c>
      <c r="AZ7" s="16">
        <v>0</v>
      </c>
      <c r="BA7" s="16">
        <v>1.26924492619341E-5</v>
      </c>
      <c r="BB7" s="16">
        <v>0</v>
      </c>
      <c r="BC7" s="16">
        <v>1.1696399733537299E-8</v>
      </c>
      <c r="BD7" s="16">
        <v>0</v>
      </c>
      <c r="BE7" s="16">
        <v>5.7028978419949401E-9</v>
      </c>
      <c r="BF7" s="16">
        <v>1.77181773229322E-7</v>
      </c>
      <c r="BG7" s="16">
        <v>0</v>
      </c>
      <c r="BH7" s="16">
        <v>0</v>
      </c>
      <c r="BI7" s="16">
        <v>3.4138604581499399E-9</v>
      </c>
      <c r="BJ7" s="16">
        <v>9.3561034632164307E-9</v>
      </c>
      <c r="BK7" s="16">
        <v>5.2269396953570902E-5</v>
      </c>
      <c r="BL7" s="16">
        <v>0</v>
      </c>
      <c r="BM7" s="16">
        <v>7.5535233591189404E-8</v>
      </c>
      <c r="BN7" s="16">
        <v>7.79165242920334E-6</v>
      </c>
      <c r="BO7" s="16">
        <v>6.1925805065110096E-4</v>
      </c>
      <c r="BP7" s="16">
        <v>4.59129743518066E-3</v>
      </c>
      <c r="BQ7" s="16">
        <v>8.6658201249216601E-4</v>
      </c>
      <c r="BR7" s="16">
        <v>0</v>
      </c>
      <c r="BS7" s="16">
        <v>0</v>
      </c>
      <c r="BT7" s="16">
        <v>2.31038707850402E-5</v>
      </c>
      <c r="BU7" s="16">
        <v>4.9296681047215099E-9</v>
      </c>
      <c r="BV7" s="16">
        <v>2.43060827917495E-3</v>
      </c>
      <c r="BW7" s="16">
        <v>2.2202179874696001E-7</v>
      </c>
      <c r="BX7" s="16">
        <v>1.4118593761382E-5</v>
      </c>
      <c r="BY7" s="16">
        <v>1.20482049644484E-8</v>
      </c>
      <c r="BZ7" s="16">
        <v>0</v>
      </c>
      <c r="CA7" s="16">
        <v>2.5261511915056898E-6</v>
      </c>
    </row>
    <row r="8" spans="1:79" x14ac:dyDescent="0.3">
      <c r="A8" s="8" t="s">
        <v>96</v>
      </c>
      <c r="B8" s="15">
        <v>0</v>
      </c>
      <c r="C8" s="15">
        <v>0</v>
      </c>
      <c r="D8" s="15">
        <v>4.3810404901786802E-2</v>
      </c>
      <c r="E8" s="15">
        <v>0</v>
      </c>
      <c r="F8" s="15">
        <v>5.4839541425982003E-6</v>
      </c>
      <c r="G8" s="19">
        <v>0</v>
      </c>
      <c r="H8" s="15">
        <v>1.5911295839385099E-6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3.1678359068452999E-4</v>
      </c>
      <c r="O8" s="15">
        <v>0</v>
      </c>
      <c r="P8" s="15">
        <v>0</v>
      </c>
      <c r="Q8" s="15">
        <v>0</v>
      </c>
      <c r="R8" s="15">
        <v>0</v>
      </c>
      <c r="S8" s="15">
        <v>1.3889283918591701E-3</v>
      </c>
      <c r="T8" s="15">
        <v>0.17273883592602299</v>
      </c>
      <c r="U8" s="15">
        <v>4.04394280265148E-3</v>
      </c>
      <c r="V8" s="15">
        <v>0</v>
      </c>
      <c r="W8" s="15">
        <v>0</v>
      </c>
      <c r="X8" s="15">
        <v>3.02864042966542E-3</v>
      </c>
      <c r="Y8" s="15">
        <v>1.2126950924649701E-3</v>
      </c>
      <c r="Z8" s="15">
        <v>1.6496837324205899E-4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4.5173275523474601E-3</v>
      </c>
      <c r="AH8" s="15">
        <v>1.5624568548462301E-3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1.3655441832599801E-8</v>
      </c>
      <c r="BJ8" s="15">
        <v>0</v>
      </c>
      <c r="BK8" s="15">
        <v>0</v>
      </c>
      <c r="BL8" s="15">
        <v>0</v>
      </c>
      <c r="BM8" s="15">
        <v>9.8097705962583605E-9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</row>
    <row r="9" spans="1:79" x14ac:dyDescent="0.3">
      <c r="A9" s="7" t="s">
        <v>97</v>
      </c>
      <c r="B9" s="16">
        <v>0</v>
      </c>
      <c r="C9" s="16">
        <v>6.4585246704905105E-8</v>
      </c>
      <c r="D9" s="16">
        <v>5.8970742013236898E-7</v>
      </c>
      <c r="E9" s="16">
        <v>7.0305815715707002E-4</v>
      </c>
      <c r="F9" s="16">
        <v>6.7346805259977898E-7</v>
      </c>
      <c r="G9" s="19">
        <v>2.4138971487943599E-6</v>
      </c>
      <c r="H9" s="16">
        <v>8.2283452403377604E-7</v>
      </c>
      <c r="I9" s="16">
        <v>2.0937110680164699E-5</v>
      </c>
      <c r="J9" s="16">
        <v>5.1098418119090298E-7</v>
      </c>
      <c r="K9" s="16">
        <v>2.6407534884891802E-6</v>
      </c>
      <c r="L9" s="16">
        <v>4.0726723643869298E-6</v>
      </c>
      <c r="M9" s="16">
        <v>8.2914103885610508E-6</v>
      </c>
      <c r="N9" s="16">
        <v>2.03291772500944E-3</v>
      </c>
      <c r="O9" s="16">
        <v>3.1885000145917003E-7</v>
      </c>
      <c r="P9" s="16">
        <v>6.0745911807728598E-7</v>
      </c>
      <c r="Q9" s="16">
        <v>1.1851922085464199E-6</v>
      </c>
      <c r="R9" s="16">
        <v>1.0034172643626399E-6</v>
      </c>
      <c r="S9" s="16">
        <v>4.9856837278821405E-7</v>
      </c>
      <c r="T9" s="16">
        <v>5.46922446743064E-7</v>
      </c>
      <c r="U9" s="16">
        <v>2.9280963127554798E-5</v>
      </c>
      <c r="V9" s="16">
        <v>1.4204549589159599E-6</v>
      </c>
      <c r="W9" s="16">
        <v>1.6011286820407001E-8</v>
      </c>
      <c r="X9" s="16">
        <v>3.94956532257287E-7</v>
      </c>
      <c r="Y9" s="16">
        <v>5.9969187504355604E-7</v>
      </c>
      <c r="Z9" s="16">
        <v>4.2972948167251303E-7</v>
      </c>
      <c r="AA9" s="16">
        <v>2.5888328734213102E-7</v>
      </c>
      <c r="AB9" s="16">
        <v>5.9857450048139001E-7</v>
      </c>
      <c r="AC9" s="16">
        <v>4.67565653651401E-7</v>
      </c>
      <c r="AD9" s="16">
        <v>3.2708293136236502E-7</v>
      </c>
      <c r="AE9" s="16">
        <v>2.44211691617035E-7</v>
      </c>
      <c r="AF9" s="16">
        <v>1.08854456677989E-6</v>
      </c>
      <c r="AG9" s="16">
        <v>9.7098209853926307E-7</v>
      </c>
      <c r="AH9" s="16">
        <v>2.88943980531405E-7</v>
      </c>
      <c r="AI9" s="16">
        <v>1.4248579121342199E-6</v>
      </c>
      <c r="AJ9" s="16">
        <v>2.24406683856133E-6</v>
      </c>
      <c r="AK9" s="16">
        <v>4.5331431784381E-7</v>
      </c>
      <c r="AL9" s="16">
        <v>5.9068757979234803E-7</v>
      </c>
      <c r="AM9" s="16">
        <v>6.2250662751681003E-7</v>
      </c>
      <c r="AN9" s="16">
        <v>5.0478928327351799E-8</v>
      </c>
      <c r="AO9" s="16">
        <v>8.4833392370430601E-7</v>
      </c>
      <c r="AP9" s="16">
        <v>3.0864734567719501E-7</v>
      </c>
      <c r="AQ9" s="16">
        <v>6.1778364351906899E-7</v>
      </c>
      <c r="AR9" s="16">
        <v>8.5818510740233596E-7</v>
      </c>
      <c r="AS9" s="16">
        <v>8.1674240250903305E-7</v>
      </c>
      <c r="AT9" s="16">
        <v>4.3283804613529801E-7</v>
      </c>
      <c r="AU9" s="16">
        <v>3.5929400165850099E-6</v>
      </c>
      <c r="AV9" s="16">
        <v>8.9387188559623497E-7</v>
      </c>
      <c r="AW9" s="16">
        <v>6.5589698921041002E-6</v>
      </c>
      <c r="AX9" s="16">
        <v>1.36940405457128E-6</v>
      </c>
      <c r="AY9" s="16">
        <v>4.1011603735138101E-6</v>
      </c>
      <c r="AZ9" s="16">
        <v>8.9073561474972095E-7</v>
      </c>
      <c r="BA9" s="16">
        <v>4.4595092001390004E-6</v>
      </c>
      <c r="BB9" s="16">
        <v>4.6363422375367797E-8</v>
      </c>
      <c r="BC9" s="16">
        <v>1.81825850403171E-6</v>
      </c>
      <c r="BD9" s="16">
        <v>2.0802767600201498E-6</v>
      </c>
      <c r="BE9" s="16">
        <v>6.55833251829418E-7</v>
      </c>
      <c r="BF9" s="16">
        <v>2.7161875896068702E-7</v>
      </c>
      <c r="BG9" s="16">
        <v>1.27447616658435E-6</v>
      </c>
      <c r="BH9" s="16">
        <v>4.0021546800366402E-8</v>
      </c>
      <c r="BI9" s="16">
        <v>1.2665422299736299E-6</v>
      </c>
      <c r="BJ9" s="16">
        <v>1.2303276054129601E-6</v>
      </c>
      <c r="BK9" s="16">
        <v>7.2250832390793396E-7</v>
      </c>
      <c r="BL9" s="16">
        <v>5.4761312259407102E-7</v>
      </c>
      <c r="BM9" s="16">
        <v>1.66373709312542E-6</v>
      </c>
      <c r="BN9" s="16">
        <v>4.5962310719560502E-6</v>
      </c>
      <c r="BO9" s="16">
        <v>1.4865733091072199E-6</v>
      </c>
      <c r="BP9" s="16">
        <v>6.1150324970298396E-6</v>
      </c>
      <c r="BQ9" s="16">
        <v>5.3021775807671902E-6</v>
      </c>
      <c r="BR9" s="16">
        <v>1.17204355169587E-6</v>
      </c>
      <c r="BS9" s="16">
        <v>3.5972902394645702E-5</v>
      </c>
      <c r="BT9" s="16">
        <v>3.4265064217188799E-6</v>
      </c>
      <c r="BU9" s="16">
        <v>1.62019704346803E-3</v>
      </c>
      <c r="BV9" s="16">
        <v>1.08141512864814E-3</v>
      </c>
      <c r="BW9" s="16">
        <v>2.3505351302123799E-6</v>
      </c>
      <c r="BX9" s="16">
        <v>2.6858453572698701E-6</v>
      </c>
      <c r="BY9" s="16">
        <v>2.9397620113254099E-6</v>
      </c>
      <c r="BZ9" s="16">
        <v>0</v>
      </c>
      <c r="CA9" s="16">
        <v>4.2329687137445998E-6</v>
      </c>
    </row>
    <row r="10" spans="1:79" x14ac:dyDescent="0.3">
      <c r="A10" s="8" t="s">
        <v>98</v>
      </c>
      <c r="B10" s="15">
        <v>5.6527394854931599E-3</v>
      </c>
      <c r="C10" s="15">
        <v>1.47275150863467E-3</v>
      </c>
      <c r="D10" s="15">
        <v>2.6827871862127799E-3</v>
      </c>
      <c r="E10" s="15">
        <v>8.4527170427069404E-4</v>
      </c>
      <c r="F10" s="15">
        <v>2.51107373897918E-5</v>
      </c>
      <c r="G10" s="19">
        <v>1.80478291498644E-8</v>
      </c>
      <c r="H10" s="15">
        <v>7.1138431472660801E-9</v>
      </c>
      <c r="I10" s="15">
        <v>6.5387603623249998E-9</v>
      </c>
      <c r="J10" s="15">
        <v>6.7950024094534896E-9</v>
      </c>
      <c r="K10" s="15">
        <v>1.076394084982E-7</v>
      </c>
      <c r="L10" s="15">
        <v>3.6960293713105298E-8</v>
      </c>
      <c r="M10" s="15">
        <v>1.9686767839875901E-8</v>
      </c>
      <c r="N10" s="15">
        <v>1.71672257593892E-3</v>
      </c>
      <c r="O10" s="15">
        <v>2.58527028210138E-8</v>
      </c>
      <c r="P10" s="15">
        <v>5.3405274581696301E-3</v>
      </c>
      <c r="Q10" s="15">
        <v>4.2328293162372197E-8</v>
      </c>
      <c r="R10" s="15">
        <v>1.29723975307839E-3</v>
      </c>
      <c r="S10" s="15">
        <v>1.18706755425765E-8</v>
      </c>
      <c r="T10" s="15">
        <v>2.23233651731863E-8</v>
      </c>
      <c r="U10" s="15">
        <v>3.4492829694374897E-8</v>
      </c>
      <c r="V10" s="15">
        <v>3.4929220301212101E-8</v>
      </c>
      <c r="W10" s="15">
        <v>1.40098759678561E-8</v>
      </c>
      <c r="X10" s="15">
        <v>3.7614907834027302E-8</v>
      </c>
      <c r="Y10" s="15">
        <v>2.9075969699081499E-8</v>
      </c>
      <c r="Z10" s="15">
        <v>2.51303790451762E-8</v>
      </c>
      <c r="AA10" s="15">
        <v>2.49799663224863E-8</v>
      </c>
      <c r="AB10" s="15">
        <v>2.92463110984393E-8</v>
      </c>
      <c r="AC10" s="15">
        <v>2.4959020657548099E-8</v>
      </c>
      <c r="AD10" s="15">
        <v>1.1476594082889999E-8</v>
      </c>
      <c r="AE10" s="15">
        <v>1.9668055700700801E-8</v>
      </c>
      <c r="AF10" s="15">
        <v>3.8315196845140503E-8</v>
      </c>
      <c r="AG10" s="15">
        <v>2.8984540254903399E-8</v>
      </c>
      <c r="AH10" s="15">
        <v>1.7910115434465701E-6</v>
      </c>
      <c r="AI10" s="15">
        <v>2.4185270089572101E-8</v>
      </c>
      <c r="AJ10" s="15">
        <v>1.6953326409112798E-8</v>
      </c>
      <c r="AK10" s="15">
        <v>1.7435166070915799E-8</v>
      </c>
      <c r="AL10" s="15">
        <v>1.44070141412768E-8</v>
      </c>
      <c r="AM10" s="15">
        <v>0</v>
      </c>
      <c r="AN10" s="15">
        <v>6.41002264474309E-9</v>
      </c>
      <c r="AO10" s="15">
        <v>6.8524549572237999E-9</v>
      </c>
      <c r="AP10" s="15">
        <v>0</v>
      </c>
      <c r="AQ10" s="15">
        <v>0</v>
      </c>
      <c r="AR10" s="15">
        <v>8.5391552975356795E-9</v>
      </c>
      <c r="AS10" s="15">
        <v>0</v>
      </c>
      <c r="AT10" s="15">
        <v>2.1641902306764901E-8</v>
      </c>
      <c r="AU10" s="15">
        <v>0</v>
      </c>
      <c r="AV10" s="15">
        <v>0</v>
      </c>
      <c r="AW10" s="15">
        <v>3.1165731668745202E-7</v>
      </c>
      <c r="AX10" s="15">
        <v>1.1043581085252299E-8</v>
      </c>
      <c r="AY10" s="15">
        <v>1.3137726770466E-8</v>
      </c>
      <c r="AZ10" s="15">
        <v>0</v>
      </c>
      <c r="BA10" s="15">
        <v>0</v>
      </c>
      <c r="BB10" s="15">
        <v>2.3181711187683899E-8</v>
      </c>
      <c r="BC10" s="15">
        <v>1.4142010586913301E-7</v>
      </c>
      <c r="BD10" s="15">
        <v>8.0010644616159698E-8</v>
      </c>
      <c r="BE10" s="15">
        <v>2.8514489209974701E-9</v>
      </c>
      <c r="BF10" s="15">
        <v>7.6448988449199993E-9</v>
      </c>
      <c r="BG10" s="15">
        <v>2.9638980618240701E-8</v>
      </c>
      <c r="BH10" s="15">
        <v>0</v>
      </c>
      <c r="BI10" s="15">
        <v>5.9742558017623903E-8</v>
      </c>
      <c r="BJ10" s="15">
        <v>4.6780517316082203E-9</v>
      </c>
      <c r="BK10" s="15">
        <v>2.1894191633573702E-8</v>
      </c>
      <c r="BL10" s="15">
        <v>0</v>
      </c>
      <c r="BM10" s="15">
        <v>9.2211843604828606E-8</v>
      </c>
      <c r="BN10" s="15">
        <v>5.3444547348326098E-8</v>
      </c>
      <c r="BO10" s="15">
        <v>7.4110692829392006E-8</v>
      </c>
      <c r="BP10" s="15">
        <v>0</v>
      </c>
      <c r="BQ10" s="15">
        <v>0</v>
      </c>
      <c r="BR10" s="15">
        <v>0</v>
      </c>
      <c r="BS10" s="15">
        <v>7.8201961727490703E-8</v>
      </c>
      <c r="BT10" s="15">
        <v>2.0038049249818001E-8</v>
      </c>
      <c r="BU10" s="15">
        <v>1.23241702618038E-8</v>
      </c>
      <c r="BV10" s="15">
        <v>2.8598374722715602E-8</v>
      </c>
      <c r="BW10" s="15">
        <v>2.4132804211626099E-8</v>
      </c>
      <c r="BX10" s="15">
        <v>4.4764089287831204E-9</v>
      </c>
      <c r="BY10" s="15">
        <v>5.5421742836462601E-7</v>
      </c>
      <c r="BZ10" s="15">
        <v>0</v>
      </c>
      <c r="CA10" s="15">
        <v>4.3263880666890398E-7</v>
      </c>
    </row>
    <row r="11" spans="1:79" x14ac:dyDescent="0.3">
      <c r="A11" s="7" t="s">
        <v>99</v>
      </c>
      <c r="B11" s="16">
        <v>6.46851148379871E-6</v>
      </c>
      <c r="C11" s="16">
        <v>1.62613541469194E-5</v>
      </c>
      <c r="D11" s="16">
        <v>4.1279519409265802E-6</v>
      </c>
      <c r="E11" s="16">
        <v>9.48960920439856E-6</v>
      </c>
      <c r="F11" s="16">
        <v>8.0816166311973508E-6</v>
      </c>
      <c r="G11" s="19">
        <v>4.0912172704098903E-6</v>
      </c>
      <c r="H11" s="16">
        <v>4.1473705548561199E-6</v>
      </c>
      <c r="I11" s="16">
        <v>5.8979618468171496E-6</v>
      </c>
      <c r="J11" s="16">
        <v>4.4072385627715401E-6</v>
      </c>
      <c r="K11" s="16">
        <v>1.6879294444631101E-5</v>
      </c>
      <c r="L11" s="16">
        <v>8.5343078197546406E-6</v>
      </c>
      <c r="M11" s="16">
        <v>8.84592101605089E-6</v>
      </c>
      <c r="N11" s="16">
        <v>1.4261867433890801E-5</v>
      </c>
      <c r="O11" s="16">
        <v>7.4154169258274399E-6</v>
      </c>
      <c r="P11" s="16">
        <v>8.6360437953320798E-6</v>
      </c>
      <c r="Q11" s="16">
        <v>1.42646347957194E-5</v>
      </c>
      <c r="R11" s="16">
        <v>8.2637755162739001E-6</v>
      </c>
      <c r="S11" s="16">
        <v>1.0232522317701E-5</v>
      </c>
      <c r="T11" s="16">
        <v>1.1730928398509399E-5</v>
      </c>
      <c r="U11" s="16">
        <v>1.7318849789545599E-5</v>
      </c>
      <c r="V11" s="16">
        <v>1.57647214292804E-5</v>
      </c>
      <c r="W11" s="16">
        <v>0.281039629985326</v>
      </c>
      <c r="X11" s="16">
        <v>9.97003874075785E-2</v>
      </c>
      <c r="Y11" s="16">
        <v>1.5150397461327701E-5</v>
      </c>
      <c r="Z11" s="16">
        <v>1.32135533019536E-5</v>
      </c>
      <c r="AA11" s="16">
        <v>1.3834359530598799E-5</v>
      </c>
      <c r="AB11" s="16">
        <v>1.4915618660204001E-5</v>
      </c>
      <c r="AC11" s="16">
        <v>1.43214860533011E-5</v>
      </c>
      <c r="AD11" s="16">
        <v>6.3048234584458497E-6</v>
      </c>
      <c r="AE11" s="16">
        <v>1.05207707952332E-5</v>
      </c>
      <c r="AF11" s="16">
        <v>1.6730723678808499E-5</v>
      </c>
      <c r="AG11" s="16">
        <v>1.4492270127451701E-5</v>
      </c>
      <c r="AH11" s="16">
        <v>6.6920308162769599E-6</v>
      </c>
      <c r="AI11" s="16">
        <v>1.4442061282058799E-6</v>
      </c>
      <c r="AJ11" s="16">
        <v>6.8609074018919599E-7</v>
      </c>
      <c r="AK11" s="16">
        <v>8.46913191894733E-6</v>
      </c>
      <c r="AL11" s="16">
        <v>3.4720904080476999E-6</v>
      </c>
      <c r="AM11" s="16">
        <v>4.79330103187944E-6</v>
      </c>
      <c r="AN11" s="16">
        <v>3.4894560772320201E-6</v>
      </c>
      <c r="AO11" s="16">
        <v>4.3773482266745599E-6</v>
      </c>
      <c r="AP11" s="16">
        <v>4.9383575308351202E-6</v>
      </c>
      <c r="AQ11" s="16">
        <v>3.9126297422874298E-6</v>
      </c>
      <c r="AR11" s="16">
        <v>6.5367233802635604E-6</v>
      </c>
      <c r="AS11" s="16">
        <v>8.1674240250903305E-7</v>
      </c>
      <c r="AT11" s="16">
        <v>6.3843611804956502E-6</v>
      </c>
      <c r="AU11" s="16">
        <v>2.7979064810002402E-6</v>
      </c>
      <c r="AV11" s="16">
        <v>2.0343291189431501E-6</v>
      </c>
      <c r="AW11" s="16">
        <v>2.1957674584797702E-6</v>
      </c>
      <c r="AX11" s="16">
        <v>2.2749777035619699E-6</v>
      </c>
      <c r="AY11" s="16">
        <v>5.4105538083035796E-6</v>
      </c>
      <c r="AZ11" s="16">
        <v>2.5979788763533499E-6</v>
      </c>
      <c r="BA11" s="16">
        <v>1.0291175077243799E-6</v>
      </c>
      <c r="BB11" s="16">
        <v>3.2222578550880598E-6</v>
      </c>
      <c r="BC11" s="16">
        <v>1.3163766245562901E-6</v>
      </c>
      <c r="BD11" s="16">
        <v>1.1734894543703401E-6</v>
      </c>
      <c r="BE11" s="16">
        <v>2.4237315828478501E-7</v>
      </c>
      <c r="BF11" s="16">
        <v>1.05499604059896E-6</v>
      </c>
      <c r="BG11" s="16">
        <v>1.27447616658435E-5</v>
      </c>
      <c r="BH11" s="16">
        <v>1.00053867000916E-7</v>
      </c>
      <c r="BI11" s="16">
        <v>3.44458520227329E-6</v>
      </c>
      <c r="BJ11" s="16">
        <v>1.3145325365819101E-6</v>
      </c>
      <c r="BK11" s="16">
        <v>3.7011135766027598E-6</v>
      </c>
      <c r="BL11" s="16">
        <v>7.6274684932745702E-6</v>
      </c>
      <c r="BM11" s="16">
        <v>1.59310674483236E-6</v>
      </c>
      <c r="BN11" s="16">
        <v>6.7846446423243503E-6</v>
      </c>
      <c r="BO11" s="16">
        <v>9.7520952858441098E-6</v>
      </c>
      <c r="BP11" s="16">
        <v>8.9541547277937007E-6</v>
      </c>
      <c r="BQ11" s="16">
        <v>8.8664191767273502E-6</v>
      </c>
      <c r="BR11" s="16">
        <v>3.2306328668539901E-6</v>
      </c>
      <c r="BS11" s="16">
        <v>5.1613294740143903E-6</v>
      </c>
      <c r="BT11" s="16">
        <v>7.2938499269337602E-6</v>
      </c>
      <c r="BU11" s="16">
        <v>5.7627820144194502E-6</v>
      </c>
      <c r="BV11" s="16">
        <v>7.8493005822280197E-6</v>
      </c>
      <c r="BW11" s="16">
        <v>9.5517639069616102E-6</v>
      </c>
      <c r="BX11" s="16">
        <v>3.1200570233618398E-6</v>
      </c>
      <c r="BY11" s="16">
        <v>6.0241024822242003E-6</v>
      </c>
      <c r="BZ11" s="16">
        <v>0</v>
      </c>
      <c r="CA11" s="16">
        <v>2.25737911869014E-6</v>
      </c>
    </row>
    <row r="12" spans="1:79" x14ac:dyDescent="0.3">
      <c r="A12" s="8" t="s">
        <v>100</v>
      </c>
      <c r="B12" s="15">
        <v>7.5139295521311903E-4</v>
      </c>
      <c r="C12" s="15">
        <v>4.02957445636701E-4</v>
      </c>
      <c r="D12" s="15">
        <v>5.4599969369902805E-4</v>
      </c>
      <c r="E12" s="15">
        <v>5.9423236352864597E-4</v>
      </c>
      <c r="F12" s="15">
        <v>1.9434363803593599E-4</v>
      </c>
      <c r="G12" s="19">
        <v>8.3997755233570105E-4</v>
      </c>
      <c r="H12" s="15">
        <v>9.8084104269012297E-3</v>
      </c>
      <c r="I12" s="15">
        <v>2.1631984743868899E-3</v>
      </c>
      <c r="J12" s="15">
        <v>1.4855424527614699E-2</v>
      </c>
      <c r="K12" s="15">
        <v>1.2481807923369399E-2</v>
      </c>
      <c r="L12" s="15">
        <v>2.5359744086785499E-2</v>
      </c>
      <c r="M12" s="15">
        <v>1.6239175119965199E-2</v>
      </c>
      <c r="N12" s="15">
        <v>3.1681286638671999E-4</v>
      </c>
      <c r="O12" s="15">
        <v>1.74538275359559E-3</v>
      </c>
      <c r="P12" s="15">
        <v>1.4508148603412499E-5</v>
      </c>
      <c r="Q12" s="15">
        <v>4.3428828784593903E-5</v>
      </c>
      <c r="R12" s="15">
        <v>2.5148866033824502E-5</v>
      </c>
      <c r="S12" s="15">
        <v>2.74806138810647E-5</v>
      </c>
      <c r="T12" s="15">
        <v>2.84846139609857E-5</v>
      </c>
      <c r="U12" s="15">
        <v>6.08308645924056E-4</v>
      </c>
      <c r="V12" s="15">
        <v>7.2105553775135599E-5</v>
      </c>
      <c r="W12" s="15">
        <v>7.8893414255617805E-4</v>
      </c>
      <c r="X12" s="15">
        <v>4.2207500006022896E-3</v>
      </c>
      <c r="Y12" s="15">
        <v>2.14558849401947E-4</v>
      </c>
      <c r="Z12" s="15">
        <v>0.14647051189511601</v>
      </c>
      <c r="AA12" s="15">
        <v>0.21678140602944701</v>
      </c>
      <c r="AB12" s="15">
        <v>1.27572603986799E-3</v>
      </c>
      <c r="AC12" s="15">
        <v>3.1328562729354402E-5</v>
      </c>
      <c r="AD12" s="15">
        <v>2.19056881240326E-5</v>
      </c>
      <c r="AE12" s="15">
        <v>1.20619268598473E-4</v>
      </c>
      <c r="AF12" s="15">
        <v>9.81485520928424E-5</v>
      </c>
      <c r="AG12" s="15">
        <v>1.6513941810231199E-5</v>
      </c>
      <c r="AH12" s="15">
        <v>1.2621624489421899E-3</v>
      </c>
      <c r="AI12" s="15">
        <v>6.2289163115692895E-5</v>
      </c>
      <c r="AJ12" s="15">
        <v>6.3354580790854405E-5</v>
      </c>
      <c r="AK12" s="15">
        <v>4.6177037338820399E-5</v>
      </c>
      <c r="AL12" s="15">
        <v>4.2561201176159801E-4</v>
      </c>
      <c r="AM12" s="15">
        <v>4.0151677474834203E-5</v>
      </c>
      <c r="AN12" s="15">
        <v>1.52962370371504E-4</v>
      </c>
      <c r="AO12" s="15">
        <v>4.9368100592021402E-4</v>
      </c>
      <c r="AP12" s="15">
        <v>8.4438197593638699E-4</v>
      </c>
      <c r="AQ12" s="15">
        <v>3.9723488278276101E-4</v>
      </c>
      <c r="AR12" s="15">
        <v>1.49085112339675E-4</v>
      </c>
      <c r="AS12" s="15">
        <v>5.9213824181904902E-6</v>
      </c>
      <c r="AT12" s="15">
        <v>7.5688224937448998E-4</v>
      </c>
      <c r="AU12" s="15">
        <v>7.09261648380335E-5</v>
      </c>
      <c r="AV12" s="15">
        <v>3.6402161961694898E-5</v>
      </c>
      <c r="AW12" s="15">
        <v>2.0444719974696801E-4</v>
      </c>
      <c r="AX12" s="15">
        <v>2.1807759569047701E-4</v>
      </c>
      <c r="AY12" s="15">
        <v>3.5334791997619701E-4</v>
      </c>
      <c r="AZ12" s="15">
        <v>9.7684005750885996E-5</v>
      </c>
      <c r="BA12" s="15">
        <v>1.74949976313145E-4</v>
      </c>
      <c r="BB12" s="15">
        <v>7.6499646919356904E-7</v>
      </c>
      <c r="BC12" s="15">
        <v>3.6308814700099801E-5</v>
      </c>
      <c r="BD12" s="15">
        <v>6.8249079857584294E-5</v>
      </c>
      <c r="BE12" s="15">
        <v>1.5126936525891601E-5</v>
      </c>
      <c r="BF12" s="15">
        <v>8.5954295913027897E-5</v>
      </c>
      <c r="BG12" s="15">
        <v>2.2272211985576999E-4</v>
      </c>
      <c r="BH12" s="15">
        <v>2.9215729164267501E-6</v>
      </c>
      <c r="BI12" s="15">
        <v>1.11235522238129E-4</v>
      </c>
      <c r="BJ12" s="15">
        <v>1.8422167719073199E-5</v>
      </c>
      <c r="BK12" s="15">
        <v>5.7549877899377401E-5</v>
      </c>
      <c r="BL12" s="15">
        <v>4.6390654528326301E-5</v>
      </c>
      <c r="BM12" s="15">
        <v>1.19537940577766E-4</v>
      </c>
      <c r="BN12" s="15">
        <v>3.6426959611345202E-4</v>
      </c>
      <c r="BO12" s="15">
        <v>9.6298126426756195E-5</v>
      </c>
      <c r="BP12" s="15">
        <v>5.5035292473268598E-4</v>
      </c>
      <c r="BQ12" s="15">
        <v>3.7483449841812502E-4</v>
      </c>
      <c r="BR12" s="15">
        <v>3.2982507640672103E-5</v>
      </c>
      <c r="BS12" s="15">
        <v>1.6797781379065E-4</v>
      </c>
      <c r="BT12" s="15">
        <v>2.2107979737324201E-4</v>
      </c>
      <c r="BU12" s="15">
        <v>1.17718009506697E-4</v>
      </c>
      <c r="BV12" s="15">
        <v>1.47855503874755E-4</v>
      </c>
      <c r="BW12" s="15">
        <v>1.30317142742781E-5</v>
      </c>
      <c r="BX12" s="15">
        <v>9.5871250027748103E-5</v>
      </c>
      <c r="BY12" s="15">
        <v>2.36831564986162E-4</v>
      </c>
      <c r="BZ12" s="15">
        <v>0</v>
      </c>
      <c r="CA12" s="15">
        <v>3.3834651878711901E-4</v>
      </c>
    </row>
    <row r="13" spans="1:79" x14ac:dyDescent="0.3">
      <c r="A13" s="7" t="s">
        <v>101</v>
      </c>
      <c r="B13" s="16">
        <v>0</v>
      </c>
      <c r="C13" s="16">
        <v>1.4128022716698E-8</v>
      </c>
      <c r="D13" s="16">
        <v>7.9783945076732203E-7</v>
      </c>
      <c r="E13" s="16">
        <v>4.7883349196506499E-7</v>
      </c>
      <c r="F13" s="16">
        <v>4.8104860899984199E-7</v>
      </c>
      <c r="G13" s="19">
        <v>3.5008784188644299E-3</v>
      </c>
      <c r="H13" s="16">
        <v>7.11780318661806E-4</v>
      </c>
      <c r="I13" s="16">
        <v>2.8719543263403902E-4</v>
      </c>
      <c r="J13" s="16">
        <v>4.8516317203497902E-7</v>
      </c>
      <c r="K13" s="16">
        <v>3.4358499192625498E-6</v>
      </c>
      <c r="L13" s="16">
        <v>5.4366832037991503E-6</v>
      </c>
      <c r="M13" s="16">
        <v>1.0683352681106E-5</v>
      </c>
      <c r="N13" s="16">
        <v>3.7640188529666999E-8</v>
      </c>
      <c r="O13" s="16">
        <v>3.4470270428018299E-8</v>
      </c>
      <c r="P13" s="16">
        <v>7.0870230442349999E-8</v>
      </c>
      <c r="Q13" s="16">
        <v>2.1164146581186099E-7</v>
      </c>
      <c r="R13" s="16">
        <v>1.67236210727106E-7</v>
      </c>
      <c r="S13" s="16">
        <v>8.3094728798035701E-8</v>
      </c>
      <c r="T13" s="16">
        <v>1.56263556212304E-7</v>
      </c>
      <c r="U13" s="16">
        <v>3.03536901310499E-7</v>
      </c>
      <c r="V13" s="16">
        <v>6.0543981855434397E-7</v>
      </c>
      <c r="W13" s="16">
        <v>9.0063488364789496E-9</v>
      </c>
      <c r="X13" s="16">
        <v>1.4239929394310301E-7</v>
      </c>
      <c r="Y13" s="16">
        <v>1.72638570088296E-7</v>
      </c>
      <c r="Z13" s="16">
        <v>1.6334746379364499E-7</v>
      </c>
      <c r="AA13" s="16">
        <v>3.2928137425095601E-7</v>
      </c>
      <c r="AB13" s="16">
        <v>2.0862368583553299E-7</v>
      </c>
      <c r="AC13" s="16">
        <v>2.4792627186497802E-7</v>
      </c>
      <c r="AD13" s="16">
        <v>3.4168950564967998E-7</v>
      </c>
      <c r="AE13" s="16">
        <v>1.3603738526318101E-7</v>
      </c>
      <c r="AF13" s="16">
        <v>1.0266507872608101E-6</v>
      </c>
      <c r="AG13" s="16">
        <v>1.4492270127451701E-7</v>
      </c>
      <c r="AH13" s="16">
        <v>7.9404452665118804E-8</v>
      </c>
      <c r="AI13" s="16">
        <v>4.8785144809251101E-7</v>
      </c>
      <c r="AJ13" s="16">
        <v>4.8265082327984303E-7</v>
      </c>
      <c r="AK13" s="16">
        <v>1.0461099642549501E-7</v>
      </c>
      <c r="AL13" s="16">
        <v>5.4746653736851704E-7</v>
      </c>
      <c r="AM13" s="16">
        <v>3.7350397651008602E-7</v>
      </c>
      <c r="AN13" s="16">
        <v>9.6150339671146304E-9</v>
      </c>
      <c r="AO13" s="16">
        <v>1.6445891897337101E-8</v>
      </c>
      <c r="AP13" s="16">
        <v>3.8580918209649403E-8</v>
      </c>
      <c r="AQ13" s="16">
        <v>0</v>
      </c>
      <c r="AR13" s="16">
        <v>1.8786141654578501E-7</v>
      </c>
      <c r="AS13" s="16">
        <v>0</v>
      </c>
      <c r="AT13" s="16">
        <v>4.3283804613529802E-8</v>
      </c>
      <c r="AU13" s="16">
        <v>1.1772611969236001E-6</v>
      </c>
      <c r="AV13" s="16">
        <v>1.2329267387534301E-7</v>
      </c>
      <c r="AW13" s="16">
        <v>1.2749617500850301E-6</v>
      </c>
      <c r="AX13" s="16">
        <v>3.4235101364281999E-7</v>
      </c>
      <c r="AY13" s="16">
        <v>7.4447118365974001E-8</v>
      </c>
      <c r="AZ13" s="16">
        <v>2.2268390368743E-7</v>
      </c>
      <c r="BA13" s="16">
        <v>2.05823501544877E-6</v>
      </c>
      <c r="BB13" s="16">
        <v>2.3181711187683899E-8</v>
      </c>
      <c r="BC13" s="16">
        <v>6.9859405681218199E-7</v>
      </c>
      <c r="BD13" s="16">
        <v>1.1734894543703401E-6</v>
      </c>
      <c r="BE13" s="16">
        <v>2.252644647588E-7</v>
      </c>
      <c r="BF13" s="16">
        <v>9.48866856634188E-8</v>
      </c>
      <c r="BG13" s="16">
        <v>2.2229235463680501E-7</v>
      </c>
      <c r="BH13" s="16">
        <v>0</v>
      </c>
      <c r="BI13" s="16">
        <v>3.9088702245816798E-7</v>
      </c>
      <c r="BJ13" s="16">
        <v>1.8712206926432901E-8</v>
      </c>
      <c r="BK13" s="16">
        <v>1.3634110244543601E-7</v>
      </c>
      <c r="BL13" s="16">
        <v>1.9557611521216801E-7</v>
      </c>
      <c r="BM13" s="16">
        <v>1.7863592255786501E-6</v>
      </c>
      <c r="BN13" s="16">
        <v>4.6215469101736797E-6</v>
      </c>
      <c r="BO13" s="16">
        <v>1.5519650968978599E-6</v>
      </c>
      <c r="BP13" s="16">
        <v>7.6437906212873002E-6</v>
      </c>
      <c r="BQ13" s="16">
        <v>5.8913084230746503E-6</v>
      </c>
      <c r="BR13" s="16">
        <v>2.2539299071074299E-7</v>
      </c>
      <c r="BS13" s="16">
        <v>1.40763531109483E-6</v>
      </c>
      <c r="BT13" s="16">
        <v>9.2175026549162895E-7</v>
      </c>
      <c r="BU13" s="16">
        <v>1.7993288582233501E-7</v>
      </c>
      <c r="BV13" s="16">
        <v>3.5652640487652198E-7</v>
      </c>
      <c r="BW13" s="16">
        <v>1.2549058190045599E-7</v>
      </c>
      <c r="BX13" s="16">
        <v>1.13253145898213E-6</v>
      </c>
      <c r="BY13" s="16">
        <v>3.5662686694767298E-6</v>
      </c>
      <c r="BZ13" s="16">
        <v>0</v>
      </c>
      <c r="CA13" s="16">
        <v>5.7766852345313502E-6</v>
      </c>
    </row>
    <row r="14" spans="1:79" x14ac:dyDescent="0.3">
      <c r="A14" s="8" t="s">
        <v>102</v>
      </c>
      <c r="B14" s="15">
        <v>1.55891727187375E-2</v>
      </c>
      <c r="C14" s="15">
        <v>1.0828848870183601E-2</v>
      </c>
      <c r="D14" s="15">
        <v>3.5911100565754902E-3</v>
      </c>
      <c r="E14" s="15">
        <v>4.1258470183582604E-3</v>
      </c>
      <c r="F14" s="15">
        <v>1.5860076429003001E-2</v>
      </c>
      <c r="G14" s="19">
        <v>3.6380678641578E-3</v>
      </c>
      <c r="H14" s="15">
        <v>3.2504178475833999E-2</v>
      </c>
      <c r="I14" s="15">
        <v>3.9817225431747302E-2</v>
      </c>
      <c r="J14" s="15">
        <v>1.5919784192028101E-2</v>
      </c>
      <c r="K14" s="15">
        <v>1.1337084820270101E-3</v>
      </c>
      <c r="L14" s="15">
        <v>6.28126287543732E-3</v>
      </c>
      <c r="M14" s="15">
        <v>5.1701914681557704E-3</v>
      </c>
      <c r="N14" s="15">
        <v>1.02991627546487E-2</v>
      </c>
      <c r="O14" s="15">
        <v>9.9336834653924594E-3</v>
      </c>
      <c r="P14" s="15">
        <v>6.5716739646636393E-2</v>
      </c>
      <c r="Q14" s="15">
        <v>2.7129938547784001E-2</v>
      </c>
      <c r="R14" s="15">
        <v>2.54285368790532E-2</v>
      </c>
      <c r="S14" s="15">
        <v>1.8142582577523499E-2</v>
      </c>
      <c r="T14" s="15">
        <v>1.44652727518426E-2</v>
      </c>
      <c r="U14" s="15">
        <v>1.9414389222685E-2</v>
      </c>
      <c r="V14" s="15">
        <v>1.43272908692981E-2</v>
      </c>
      <c r="W14" s="15">
        <v>1.0720075892378699E-2</v>
      </c>
      <c r="X14" s="15">
        <v>1.1737881553646501E-2</v>
      </c>
      <c r="Y14" s="15">
        <v>2.24285579027938E-2</v>
      </c>
      <c r="Z14" s="15">
        <v>2.0556828484645299E-2</v>
      </c>
      <c r="AA14" s="15">
        <v>3.1263976610503598E-2</v>
      </c>
      <c r="AB14" s="15">
        <v>1.2834318579162099E-2</v>
      </c>
      <c r="AC14" s="15">
        <v>1.39343084133835E-2</v>
      </c>
      <c r="AD14" s="15">
        <v>7.9529296633232497E-3</v>
      </c>
      <c r="AE14" s="15">
        <v>6.2686240199877003E-3</v>
      </c>
      <c r="AF14" s="15">
        <v>1.0081642205645299E-2</v>
      </c>
      <c r="AG14" s="15">
        <v>7.1704057061748499E-3</v>
      </c>
      <c r="AH14" s="15">
        <v>4.8609134071967803E-3</v>
      </c>
      <c r="AI14" s="15">
        <v>5.4061990688551503E-3</v>
      </c>
      <c r="AJ14" s="15">
        <v>2.28647122514694E-2</v>
      </c>
      <c r="AK14" s="15">
        <v>4.81180072016651E-4</v>
      </c>
      <c r="AL14" s="15">
        <v>1.30256696254112E-3</v>
      </c>
      <c r="AM14" s="15">
        <v>4.9150322028903501E-3</v>
      </c>
      <c r="AN14" s="15">
        <v>5.1474725345212601E-4</v>
      </c>
      <c r="AO14" s="15">
        <v>2.3552175491086398E-3</v>
      </c>
      <c r="AP14" s="15">
        <v>1.35575275634619E-2</v>
      </c>
      <c r="AQ14" s="15">
        <v>3.8016346143351699E-3</v>
      </c>
      <c r="AR14" s="15">
        <v>4.3953380584122997E-3</v>
      </c>
      <c r="AS14" s="15">
        <v>3.2093892706592398E-3</v>
      </c>
      <c r="AT14" s="15">
        <v>2.4840359048681699E-3</v>
      </c>
      <c r="AU14" s="15">
        <v>2.8351935538191701E-2</v>
      </c>
      <c r="AV14" s="15">
        <v>4.6146598441432702E-3</v>
      </c>
      <c r="AW14" s="15">
        <v>8.7389703236078094E-3</v>
      </c>
      <c r="AX14" s="15">
        <v>1.0963724950424801E-2</v>
      </c>
      <c r="AY14" s="15">
        <v>1.08908689457583E-2</v>
      </c>
      <c r="AZ14" s="15">
        <v>1.9816492133208598E-2</v>
      </c>
      <c r="BA14" s="15">
        <v>8.9485197688327703E-3</v>
      </c>
      <c r="BB14" s="15">
        <v>7.7948503868587103E-4</v>
      </c>
      <c r="BC14" s="15">
        <v>4.0200834243796996E-3</v>
      </c>
      <c r="BD14" s="15">
        <v>4.2046660554386798E-3</v>
      </c>
      <c r="BE14" s="15">
        <v>4.0279025682715304E-3</v>
      </c>
      <c r="BF14" s="15">
        <v>8.2816779960080203E-3</v>
      </c>
      <c r="BG14" s="15">
        <v>8.7238634577214199E-3</v>
      </c>
      <c r="BH14" s="15">
        <v>1.7099205870456499E-4</v>
      </c>
      <c r="BI14" s="15">
        <v>6.8374828502799599E-3</v>
      </c>
      <c r="BJ14" s="15">
        <v>2.3020271546588199E-3</v>
      </c>
      <c r="BK14" s="15">
        <v>5.8315458069371703E-3</v>
      </c>
      <c r="BL14" s="15">
        <v>4.5567670235513499E-3</v>
      </c>
      <c r="BM14" s="15">
        <v>1.18840613034931E-2</v>
      </c>
      <c r="BN14" s="15">
        <v>1.10333398872288E-2</v>
      </c>
      <c r="BO14" s="15">
        <v>9.3774591944127596E-3</v>
      </c>
      <c r="BP14" s="15">
        <v>3.2204381857572198E-2</v>
      </c>
      <c r="BQ14" s="15">
        <v>1.43667214597625E-2</v>
      </c>
      <c r="BR14" s="15">
        <v>5.1236785434347603E-3</v>
      </c>
      <c r="BS14" s="15">
        <v>1.5565944077933601E-2</v>
      </c>
      <c r="BT14" s="15">
        <v>2.1581820640122502E-2</v>
      </c>
      <c r="BU14" s="15">
        <v>1.25596531126642E-2</v>
      </c>
      <c r="BV14" s="15">
        <v>9.2277994406123592E-3</v>
      </c>
      <c r="BW14" s="15">
        <v>9.6073948472302495E-3</v>
      </c>
      <c r="BX14" s="15">
        <v>1.28860996146112E-2</v>
      </c>
      <c r="BY14" s="15">
        <v>1.4221062585171799E-2</v>
      </c>
      <c r="BZ14" s="15">
        <v>0</v>
      </c>
      <c r="CA14" s="15">
        <v>1.20087369791311E-2</v>
      </c>
    </row>
    <row r="15" spans="1:79" x14ac:dyDescent="0.3">
      <c r="A15" s="7" t="s">
        <v>103</v>
      </c>
      <c r="B15" s="16">
        <v>1.7286463562318299E-5</v>
      </c>
      <c r="C15" s="16">
        <v>3.56550927590267E-5</v>
      </c>
      <c r="D15" s="16">
        <v>5.2345205704690797E-5</v>
      </c>
      <c r="E15" s="16">
        <v>2.6657966407218702E-4</v>
      </c>
      <c r="F15" s="16">
        <v>9.4093107920369102E-5</v>
      </c>
      <c r="G15" s="19">
        <v>4.9823288346844395E-4</v>
      </c>
      <c r="H15" s="16">
        <v>6.1802697982398598E-4</v>
      </c>
      <c r="I15" s="16">
        <v>2.5510188902367502E-3</v>
      </c>
      <c r="J15" s="16">
        <v>6.1112620870046503E-4</v>
      </c>
      <c r="K15" s="16">
        <v>7.4518776855225103E-3</v>
      </c>
      <c r="L15" s="16">
        <v>2.0139910446229101E-3</v>
      </c>
      <c r="M15" s="16">
        <v>1.8879479113322001E-3</v>
      </c>
      <c r="N15" s="16">
        <v>4.9599731098493103E-5</v>
      </c>
      <c r="O15" s="16">
        <v>3.52415427288452E-5</v>
      </c>
      <c r="P15" s="16">
        <v>4.5134212473142303E-5</v>
      </c>
      <c r="Q15" s="16">
        <v>7.8836446014918197E-5</v>
      </c>
      <c r="R15" s="16">
        <v>7.1727034104267099E-5</v>
      </c>
      <c r="S15" s="16">
        <v>4.9073372693011397E-5</v>
      </c>
      <c r="T15" s="16">
        <v>8.0431084718990195E-5</v>
      </c>
      <c r="U15" s="16">
        <v>1.16951388361747E-4</v>
      </c>
      <c r="V15" s="16">
        <v>3.0337192138946102E-4</v>
      </c>
      <c r="W15" s="16">
        <v>1.3010171247007E-5</v>
      </c>
      <c r="X15" s="16">
        <v>3.84924994575169E-4</v>
      </c>
      <c r="Y15" s="16">
        <v>1.03942957178004E-4</v>
      </c>
      <c r="Z15" s="16">
        <v>8.6194687087049794E-5</v>
      </c>
      <c r="AA15" s="16">
        <v>8.3589780033127095E-5</v>
      </c>
      <c r="AB15" s="16">
        <v>1.31243795931283E-4</v>
      </c>
      <c r="AC15" s="16">
        <v>7.5266422694901996E-5</v>
      </c>
      <c r="AD15" s="16">
        <v>3.9792481665584101E-5</v>
      </c>
      <c r="AE15" s="16">
        <v>4.4077751829912202E-5</v>
      </c>
      <c r="AF15" s="16">
        <v>2.3533979855041101E-4</v>
      </c>
      <c r="AG15" s="16">
        <v>1.1894530707106001E-4</v>
      </c>
      <c r="AH15" s="16">
        <v>2.8040800186990401E-5</v>
      </c>
      <c r="AI15" s="16">
        <v>5.8401553700723399E-5</v>
      </c>
      <c r="AJ15" s="16">
        <v>7.8721560228828694E-5</v>
      </c>
      <c r="AK15" s="16">
        <v>2.6065573276019099E-5</v>
      </c>
      <c r="AL15" s="16">
        <v>4.0815071062237103E-5</v>
      </c>
      <c r="AM15" s="16">
        <v>3.6790141686243499E-5</v>
      </c>
      <c r="AN15" s="16">
        <v>5.7994679878313096E-6</v>
      </c>
      <c r="AO15" s="16">
        <v>2.8127957108412199E-5</v>
      </c>
      <c r="AP15" s="16">
        <v>4.71111592258029E-3</v>
      </c>
      <c r="AQ15" s="16">
        <v>2.10046438796483E-5</v>
      </c>
      <c r="AR15" s="16">
        <v>4.18418609579248E-5</v>
      </c>
      <c r="AS15" s="16">
        <v>2.5523200078407299E-5</v>
      </c>
      <c r="AT15" s="16">
        <v>2.1793395622912299E-5</v>
      </c>
      <c r="AU15" s="16">
        <v>2.7884272349990399E-4</v>
      </c>
      <c r="AV15" s="16">
        <v>4.8114965979852498E-5</v>
      </c>
      <c r="AW15" s="16">
        <v>2.5281074880019401E-4</v>
      </c>
      <c r="AX15" s="16">
        <v>1.2930929092721901E-4</v>
      </c>
      <c r="AY15" s="16">
        <v>1.2626888161207701E-4</v>
      </c>
      <c r="AZ15" s="16">
        <v>4.1716117957445303E-5</v>
      </c>
      <c r="BA15" s="16">
        <v>4.5006739004479698E-4</v>
      </c>
      <c r="BB15" s="16">
        <v>5.2390667284165597E-6</v>
      </c>
      <c r="BC15" s="16">
        <v>6.7877397580917001E-5</v>
      </c>
      <c r="BD15" s="16">
        <v>2.4947318991318598E-4</v>
      </c>
      <c r="BE15" s="16">
        <v>3.7165785236281001E-4</v>
      </c>
      <c r="BF15" s="16">
        <v>4.5130536081155097E-5</v>
      </c>
      <c r="BG15" s="16">
        <v>1.0847866906276101E-4</v>
      </c>
      <c r="BH15" s="16">
        <v>2.2412066208205201E-6</v>
      </c>
      <c r="BI15" s="16">
        <v>1.8602125636459001E-4</v>
      </c>
      <c r="BJ15" s="16">
        <v>3.47064657968013E-5</v>
      </c>
      <c r="BK15" s="16">
        <v>7.2603129837988105E-4</v>
      </c>
      <c r="BL15" s="16">
        <v>1.3393052369729301E-4</v>
      </c>
      <c r="BM15" s="16">
        <v>1.7676912321339699E-4</v>
      </c>
      <c r="BN15" s="16">
        <v>5.2759894568085003E-4</v>
      </c>
      <c r="BO15" s="16">
        <v>1.13831844459686E-4</v>
      </c>
      <c r="BP15" s="16">
        <v>5.9337654622964599E-4</v>
      </c>
      <c r="BQ15" s="16">
        <v>7.0194939860934496E-4</v>
      </c>
      <c r="BR15" s="16">
        <v>1.1128403261358399E-4</v>
      </c>
      <c r="BS15" s="16">
        <v>1.9691253962982199E-4</v>
      </c>
      <c r="BT15" s="16">
        <v>4.9699371651861098E-4</v>
      </c>
      <c r="BU15" s="16">
        <v>8.5660377821693395E-5</v>
      </c>
      <c r="BV15" s="16">
        <v>1.74655994106569E-4</v>
      </c>
      <c r="BW15" s="16">
        <v>1.3249392168267001E-4</v>
      </c>
      <c r="BX15" s="16">
        <v>4.2257747928605598E-4</v>
      </c>
      <c r="BY15" s="16">
        <v>5.0269930393664496E-4</v>
      </c>
      <c r="BZ15" s="16">
        <v>0</v>
      </c>
      <c r="CA15" s="16">
        <v>4.5795774851405E-4</v>
      </c>
    </row>
    <row r="16" spans="1:79" x14ac:dyDescent="0.3">
      <c r="A16" s="8" t="s">
        <v>104</v>
      </c>
      <c r="B16" s="15">
        <v>1.29809567109784E-5</v>
      </c>
      <c r="C16" s="15">
        <v>2.57755683021357E-5</v>
      </c>
      <c r="D16" s="15">
        <v>9.1890291525331994E-5</v>
      </c>
      <c r="E16" s="15">
        <v>2.7297862073753798E-4</v>
      </c>
      <c r="F16" s="15">
        <v>1.0640795231076499E-4</v>
      </c>
      <c r="G16" s="19">
        <v>6.4903490389810095E-4</v>
      </c>
      <c r="H16" s="15">
        <v>6.4090272810454502E-4</v>
      </c>
      <c r="I16" s="15">
        <v>3.89734964883947E-3</v>
      </c>
      <c r="J16" s="15">
        <v>6.0286484477105101E-4</v>
      </c>
      <c r="K16" s="15">
        <v>1.12488061533804E-3</v>
      </c>
      <c r="L16" s="15">
        <v>5.9270574206657503E-2</v>
      </c>
      <c r="M16" s="15">
        <v>2.3664708960880899E-3</v>
      </c>
      <c r="N16" s="15">
        <v>3.3979889307315303E-5</v>
      </c>
      <c r="O16" s="15">
        <v>2.5587712617098402E-5</v>
      </c>
      <c r="P16" s="15">
        <v>3.0504572046114401E-5</v>
      </c>
      <c r="Q16" s="15">
        <v>5.84130445640736E-5</v>
      </c>
      <c r="R16" s="15">
        <v>5.5689658172126299E-5</v>
      </c>
      <c r="S16" s="15">
        <v>3.7178955799349703E-5</v>
      </c>
      <c r="T16" s="15">
        <v>7.0296276930363602E-5</v>
      </c>
      <c r="U16" s="15">
        <v>1.0894560258968299E-4</v>
      </c>
      <c r="V16" s="15">
        <v>2.9333559208957901E-4</v>
      </c>
      <c r="W16" s="15">
        <v>9.2905491775411797E-6</v>
      </c>
      <c r="X16" s="15">
        <v>3.6058814920655299E-4</v>
      </c>
      <c r="Y16" s="15">
        <v>9.0915105504709305E-5</v>
      </c>
      <c r="Z16" s="15">
        <v>7.76905668181622E-5</v>
      </c>
      <c r="AA16" s="15">
        <v>7.6137801897923599E-5</v>
      </c>
      <c r="AB16" s="15">
        <v>1.1947508034527099E-4</v>
      </c>
      <c r="AC16" s="15">
        <v>7.2168176263945094E-5</v>
      </c>
      <c r="AD16" s="15">
        <v>5.1564337214424803E-5</v>
      </c>
      <c r="AE16" s="15">
        <v>4.0970199029201502E-5</v>
      </c>
      <c r="AF16" s="15">
        <v>2.6408847669607503E-4</v>
      </c>
      <c r="AG16" s="15">
        <v>9.6105489350195906E-5</v>
      </c>
      <c r="AH16" s="15">
        <v>2.2842014216665801E-5</v>
      </c>
      <c r="AI16" s="15">
        <v>6.0671514050558897E-5</v>
      </c>
      <c r="AJ16" s="15">
        <v>6.4817756655836795E-5</v>
      </c>
      <c r="AK16" s="15">
        <v>1.8934590353014499E-5</v>
      </c>
      <c r="AL16" s="15">
        <v>6.29298377690969E-5</v>
      </c>
      <c r="AM16" s="15">
        <v>4.6127741098995601E-5</v>
      </c>
      <c r="AN16" s="15">
        <v>3.3019629148732798E-6</v>
      </c>
      <c r="AO16" s="15">
        <v>8.8081456020154698E-6</v>
      </c>
      <c r="AP16" s="15">
        <v>4.4802862889319599E-3</v>
      </c>
      <c r="AQ16" s="15">
        <v>1.13260334645163E-5</v>
      </c>
      <c r="AR16" s="15">
        <v>3.2435981397689301E-5</v>
      </c>
      <c r="AS16" s="15">
        <v>1.4905548845789801E-5</v>
      </c>
      <c r="AT16" s="15">
        <v>1.17515529525733E-5</v>
      </c>
      <c r="AU16" s="15">
        <v>2.7442417173482699E-4</v>
      </c>
      <c r="AV16" s="15">
        <v>3.63713387932261E-5</v>
      </c>
      <c r="AW16" s="15">
        <v>1.6199097346913699E-4</v>
      </c>
      <c r="AX16" s="15">
        <v>1.05234284161369E-4</v>
      </c>
      <c r="AY16" s="15">
        <v>4.1554629774984002E-5</v>
      </c>
      <c r="AZ16" s="15">
        <v>3.4367549135760103E-5</v>
      </c>
      <c r="BA16" s="15">
        <v>3.5916201019581002E-4</v>
      </c>
      <c r="BB16" s="15">
        <v>2.9672590320235399E-6</v>
      </c>
      <c r="BC16" s="15">
        <v>6.1539012234406503E-5</v>
      </c>
      <c r="BD16" s="15">
        <v>2.6912913827388898E-4</v>
      </c>
      <c r="BE16" s="15">
        <v>3.5610604994769E-4</v>
      </c>
      <c r="BF16" s="15">
        <v>4.1054905596948603E-5</v>
      </c>
      <c r="BG16" s="15">
        <v>8.5878946341352402E-5</v>
      </c>
      <c r="BH16" s="15">
        <v>1.8409911528168499E-6</v>
      </c>
      <c r="BI16" s="15">
        <v>1.74357802109321E-4</v>
      </c>
      <c r="BJ16" s="15">
        <v>9.1502691870256706E-6</v>
      </c>
      <c r="BK16" s="15">
        <v>1.2357479834200499E-4</v>
      </c>
      <c r="BL16" s="15">
        <v>1.2552075074317E-4</v>
      </c>
      <c r="BM16" s="15">
        <v>2.4705416758146902E-4</v>
      </c>
      <c r="BN16" s="15">
        <v>6.3938243576624305E-4</v>
      </c>
      <c r="BO16" s="15">
        <v>1.74615690937346E-4</v>
      </c>
      <c r="BP16" s="15">
        <v>9.5853134390942805E-4</v>
      </c>
      <c r="BQ16" s="15">
        <v>6.94703089248963E-4</v>
      </c>
      <c r="BR16" s="15">
        <v>9.5882178248350299E-5</v>
      </c>
      <c r="BS16" s="15">
        <v>2.2178076345916401E-4</v>
      </c>
      <c r="BT16" s="15">
        <v>2.17362739237401E-4</v>
      </c>
      <c r="BU16" s="15">
        <v>7.6680987368943094E-5</v>
      </c>
      <c r="BV16" s="15">
        <v>1.3919019633377199E-4</v>
      </c>
      <c r="BW16" s="15">
        <v>8.0758016013785595E-5</v>
      </c>
      <c r="BX16" s="15">
        <v>3.51398100909475E-4</v>
      </c>
      <c r="BY16" s="15">
        <v>6.5885608848086097E-4</v>
      </c>
      <c r="BZ16" s="15">
        <v>0</v>
      </c>
      <c r="CA16" s="15">
        <v>7.0322949393726499E-4</v>
      </c>
    </row>
    <row r="17" spans="1:79" x14ac:dyDescent="0.3">
      <c r="A17" s="7" t="s">
        <v>105</v>
      </c>
      <c r="B17" s="16">
        <v>1.1572148006560401E-5</v>
      </c>
      <c r="C17" s="16">
        <v>4.3239822668934003E-5</v>
      </c>
      <c r="D17" s="16">
        <v>4.4530368284424901E-2</v>
      </c>
      <c r="E17" s="16">
        <v>3.7914906500142897E-5</v>
      </c>
      <c r="F17" s="16">
        <v>1.16750497404262E-3</v>
      </c>
      <c r="G17" s="19">
        <v>1.8711650865782799E-4</v>
      </c>
      <c r="H17" s="16">
        <v>1.16180677871996E-2</v>
      </c>
      <c r="I17" s="16">
        <v>7.6611581947991798E-3</v>
      </c>
      <c r="J17" s="16">
        <v>7.9220215090854501E-5</v>
      </c>
      <c r="K17" s="16">
        <v>8.7758324593850495E-2</v>
      </c>
      <c r="L17" s="16">
        <v>0.121573325149174</v>
      </c>
      <c r="M17" s="16">
        <v>4.4395794212102697E-3</v>
      </c>
      <c r="N17" s="16">
        <v>3.8526824081699099E-4</v>
      </c>
      <c r="O17" s="16">
        <v>6.45843604306959E-5</v>
      </c>
      <c r="P17" s="16">
        <v>2.7669762828420401E-5</v>
      </c>
      <c r="Q17" s="16">
        <v>2.8034028561439099E-4</v>
      </c>
      <c r="R17" s="16">
        <v>2.4210036547397799E-4</v>
      </c>
      <c r="S17" s="16">
        <v>1.29010501796722E-4</v>
      </c>
      <c r="T17" s="16">
        <v>5.3029153968904002E-5</v>
      </c>
      <c r="U17" s="16">
        <v>7.7105271498805603E-5</v>
      </c>
      <c r="V17" s="16">
        <v>2.8255410608993899E-4</v>
      </c>
      <c r="W17" s="16">
        <v>1.3739085079506001E-4</v>
      </c>
      <c r="X17" s="16">
        <v>4.6085426841032798E-5</v>
      </c>
      <c r="Y17" s="16">
        <v>4.1524119226500801E-5</v>
      </c>
      <c r="Z17" s="16">
        <v>5.670670031544E-5</v>
      </c>
      <c r="AA17" s="16">
        <v>3.7499471262110601E-5</v>
      </c>
      <c r="AB17" s="16">
        <v>4.8108232002859402E-5</v>
      </c>
      <c r="AC17" s="16">
        <v>5.0340680731564002E-5</v>
      </c>
      <c r="AD17" s="16">
        <v>1.94090072476366E-5</v>
      </c>
      <c r="AE17" s="16">
        <v>2.27674134782029E-5</v>
      </c>
      <c r="AF17" s="16">
        <v>5.71058535748476E-5</v>
      </c>
      <c r="AG17" s="16">
        <v>7.0345479198650505E-5</v>
      </c>
      <c r="AH17" s="16">
        <v>3.2785216233731298E-5</v>
      </c>
      <c r="AI17" s="16">
        <v>3.4395392811357501E-4</v>
      </c>
      <c r="AJ17" s="16">
        <v>3.56077288309407E-4</v>
      </c>
      <c r="AK17" s="16">
        <v>3.58279586382766E-4</v>
      </c>
      <c r="AL17" s="16">
        <v>7.5492754100290298E-5</v>
      </c>
      <c r="AM17" s="16">
        <v>4.73852044865796E-4</v>
      </c>
      <c r="AN17" s="16">
        <v>2.9488507924309999E-5</v>
      </c>
      <c r="AO17" s="16">
        <v>1.70964639709759E-4</v>
      </c>
      <c r="AP17" s="16">
        <v>6.1081309709516902E-4</v>
      </c>
      <c r="AQ17" s="16">
        <v>3.1342223514534102E-4</v>
      </c>
      <c r="AR17" s="16">
        <v>1.02474133148077E-4</v>
      </c>
      <c r="AS17" s="16">
        <v>8.2899353854666794E-5</v>
      </c>
      <c r="AT17" s="16">
        <v>1.24224519240831E-4</v>
      </c>
      <c r="AU17" s="16">
        <v>5.0548843756737698E-4</v>
      </c>
      <c r="AV17" s="16">
        <v>7.49002993792707E-5</v>
      </c>
      <c r="AW17" s="16">
        <v>1.14335736499292E-4</v>
      </c>
      <c r="AX17" s="16">
        <v>6.90886432693382E-5</v>
      </c>
      <c r="AY17" s="16">
        <v>9.6444052221991E-5</v>
      </c>
      <c r="AZ17" s="16">
        <v>2.27137581761179E-5</v>
      </c>
      <c r="BA17" s="16">
        <v>1.1821129772060801E-3</v>
      </c>
      <c r="BB17" s="16">
        <v>5.5867923962318198E-6</v>
      </c>
      <c r="BC17" s="16">
        <v>1.1859543243638801E-3</v>
      </c>
      <c r="BD17" s="16">
        <v>3.4671279333669199E-5</v>
      </c>
      <c r="BE17" s="16">
        <v>4.7411041209424901E-5</v>
      </c>
      <c r="BF17" s="16">
        <v>4.0235552320746E-5</v>
      </c>
      <c r="BG17" s="16">
        <v>6.9029185859882598E-5</v>
      </c>
      <c r="BH17" s="16">
        <v>7.4039861580677802E-7</v>
      </c>
      <c r="BI17" s="16">
        <v>7.23449945919074E-4</v>
      </c>
      <c r="BJ17" s="16">
        <v>1.32108180900616E-5</v>
      </c>
      <c r="BK17" s="16">
        <v>5.5012142050940402E-5</v>
      </c>
      <c r="BL17" s="16">
        <v>4.5608350067477699E-5</v>
      </c>
      <c r="BM17" s="16">
        <v>4.3169514120983297E-3</v>
      </c>
      <c r="BN17" s="16">
        <v>5.0417504443935196E-3</v>
      </c>
      <c r="BO17" s="16">
        <v>2.6307595767951601E-3</v>
      </c>
      <c r="BP17" s="16">
        <v>3.4877524634845201E-4</v>
      </c>
      <c r="BQ17" s="16">
        <v>2.0578340321799802E-3</v>
      </c>
      <c r="BR17" s="16">
        <v>4.2772076537208697E-4</v>
      </c>
      <c r="BS17" s="16">
        <v>2.70640567126883E-2</v>
      </c>
      <c r="BT17" s="16">
        <v>1.32275170707899E-3</v>
      </c>
      <c r="BU17" s="16">
        <v>8.2155383799236304E-5</v>
      </c>
      <c r="BV17" s="16">
        <v>3.16450549098423E-4</v>
      </c>
      <c r="BW17" s="16">
        <v>5.5416640967241202E-4</v>
      </c>
      <c r="BX17" s="16">
        <v>1.05446288726415E-4</v>
      </c>
      <c r="BY17" s="16">
        <v>1.0444588883680299E-4</v>
      </c>
      <c r="BZ17" s="16">
        <v>0</v>
      </c>
      <c r="CA17" s="16">
        <v>8.1878341396328293E-3</v>
      </c>
    </row>
    <row r="18" spans="1:79" x14ac:dyDescent="0.3">
      <c r="A18" s="8" t="s">
        <v>106</v>
      </c>
      <c r="B18" s="15">
        <v>3.29466463904826E-4</v>
      </c>
      <c r="C18" s="15">
        <v>0.21201639919521001</v>
      </c>
      <c r="D18" s="15">
        <v>2.5926313282760701E-4</v>
      </c>
      <c r="E18" s="15">
        <v>0.125743633854311</v>
      </c>
      <c r="F18" s="15">
        <v>2.8420351819710699E-4</v>
      </c>
      <c r="G18" s="19">
        <v>1.07398119313556E-4</v>
      </c>
      <c r="H18" s="15">
        <v>3.0023975003036501E-4</v>
      </c>
      <c r="I18" s="15">
        <v>4.9602382232561304E-4</v>
      </c>
      <c r="J18" s="15">
        <v>1.7511672509499E-4</v>
      </c>
      <c r="K18" s="15">
        <v>1.7679701086223699E-4</v>
      </c>
      <c r="L18" s="15">
        <v>2.6799908971372602E-4</v>
      </c>
      <c r="M18" s="15">
        <v>2.21000374642473E-4</v>
      </c>
      <c r="N18" s="15">
        <v>0.101046340780842</v>
      </c>
      <c r="O18" s="15">
        <v>3.01036950617516E-2</v>
      </c>
      <c r="P18" s="15">
        <v>8.4626142171210096E-4</v>
      </c>
      <c r="Q18" s="15">
        <v>3.7962129722673499E-4</v>
      </c>
      <c r="R18" s="15">
        <v>8.9294909702855195E-4</v>
      </c>
      <c r="S18" s="15">
        <v>2.7406813891216499E-2</v>
      </c>
      <c r="T18" s="15">
        <v>2.30901727668852E-4</v>
      </c>
      <c r="U18" s="15">
        <v>4.9609243322275296E-3</v>
      </c>
      <c r="V18" s="15">
        <v>1.0906998331256499E-3</v>
      </c>
      <c r="W18" s="15">
        <v>1.4228029750784201E-4</v>
      </c>
      <c r="X18" s="15">
        <v>5.4568493106579999E-3</v>
      </c>
      <c r="Y18" s="15">
        <v>5.0980714921505799E-4</v>
      </c>
      <c r="Z18" s="15">
        <v>1.6316124768492E-3</v>
      </c>
      <c r="AA18" s="15">
        <v>3.8921853253573202E-4</v>
      </c>
      <c r="AB18" s="15">
        <v>2.90768774694756E-4</v>
      </c>
      <c r="AC18" s="15">
        <v>2.8163758909977298E-4</v>
      </c>
      <c r="AD18" s="15">
        <v>1.3328342538164299E-4</v>
      </c>
      <c r="AE18" s="15">
        <v>1.6470849346087699E-4</v>
      </c>
      <c r="AF18" s="15">
        <v>2.5060742205225401E-4</v>
      </c>
      <c r="AG18" s="15">
        <v>2.35339974599688E-4</v>
      </c>
      <c r="AH18" s="15">
        <v>1.64625281487958E-4</v>
      </c>
      <c r="AI18" s="15">
        <v>7.7407029944825996E-5</v>
      </c>
      <c r="AJ18" s="15">
        <v>2.3359192690734001E-4</v>
      </c>
      <c r="AK18" s="15">
        <v>1.18098971661701E-2</v>
      </c>
      <c r="AL18" s="15">
        <v>3.0079828545006098E-3</v>
      </c>
      <c r="AM18" s="15">
        <v>5.7172564937712604E-3</v>
      </c>
      <c r="AN18" s="15">
        <v>5.0813371258841299E-4</v>
      </c>
      <c r="AO18" s="15">
        <v>2.2852978397071102E-3</v>
      </c>
      <c r="AP18" s="15">
        <v>2.41555128910615E-4</v>
      </c>
      <c r="AQ18" s="15">
        <v>4.0349509037042102E-3</v>
      </c>
      <c r="AR18" s="15">
        <v>1.59737708573351E-3</v>
      </c>
      <c r="AS18" s="15">
        <v>2.6380779601041803E-4</v>
      </c>
      <c r="AT18" s="15">
        <v>1.6920937737567199E-3</v>
      </c>
      <c r="AU18" s="15">
        <v>2.5294450607823002E-3</v>
      </c>
      <c r="AV18" s="15">
        <v>1.9675969592081299E-3</v>
      </c>
      <c r="AW18" s="15">
        <v>3.1341109740590199E-3</v>
      </c>
      <c r="AX18" s="15">
        <v>1.22730298367302E-2</v>
      </c>
      <c r="AY18" s="15">
        <v>3.0979460403519898E-3</v>
      </c>
      <c r="AZ18" s="15">
        <v>7.9542690397150096E-4</v>
      </c>
      <c r="BA18" s="15">
        <v>5.1497040086528204E-3</v>
      </c>
      <c r="BB18" s="15">
        <v>4.6859510994784302E-4</v>
      </c>
      <c r="BC18" s="15">
        <v>2.14823520669613E-4</v>
      </c>
      <c r="BD18" s="15">
        <v>2.9078535274999599E-4</v>
      </c>
      <c r="BE18" s="15">
        <v>1.3548944693011599E-4</v>
      </c>
      <c r="BF18" s="15">
        <v>1.35487529238972E-3</v>
      </c>
      <c r="BG18" s="15">
        <v>3.63674738032906E-3</v>
      </c>
      <c r="BH18" s="15">
        <v>1.8592009566110199E-4</v>
      </c>
      <c r="BI18" s="15">
        <v>1.1463555656142301E-3</v>
      </c>
      <c r="BJ18" s="15">
        <v>2.4350475556471E-3</v>
      </c>
      <c r="BK18" s="15">
        <v>9.6826485288973203E-3</v>
      </c>
      <c r="BL18" s="15">
        <v>3.0727745765444601E-3</v>
      </c>
      <c r="BM18" s="15">
        <v>1.7716337789366E-3</v>
      </c>
      <c r="BN18" s="15">
        <v>1.31785815148233E-3</v>
      </c>
      <c r="BO18" s="15">
        <v>1.7389352583024899E-2</v>
      </c>
      <c r="BP18" s="15">
        <v>8.0154535606960606E-2</v>
      </c>
      <c r="BQ18" s="15">
        <v>4.07888273456627E-2</v>
      </c>
      <c r="BR18" s="15">
        <v>5.3515809094420901E-3</v>
      </c>
      <c r="BS18" s="15">
        <v>5.7227413572560398E-3</v>
      </c>
      <c r="BT18" s="15">
        <v>1.41192603575299E-2</v>
      </c>
      <c r="BU18" s="15">
        <v>2.49065885817755E-2</v>
      </c>
      <c r="BV18" s="15">
        <v>7.2515705278884998E-2</v>
      </c>
      <c r="BW18" s="15">
        <v>5.3294402164870804E-4</v>
      </c>
      <c r="BX18" s="15">
        <v>3.7124784102237798E-3</v>
      </c>
      <c r="BY18" s="15">
        <v>3.3714757012525201E-2</v>
      </c>
      <c r="BZ18" s="15">
        <v>0</v>
      </c>
      <c r="CA18" s="15">
        <v>7.2223520185437E-3</v>
      </c>
    </row>
    <row r="19" spans="1:79" x14ac:dyDescent="0.3">
      <c r="A19" s="7" t="s">
        <v>107</v>
      </c>
      <c r="B19" s="16">
        <v>1.8213465547657801E-5</v>
      </c>
      <c r="C19" s="16">
        <v>1.1869355542089899E-4</v>
      </c>
      <c r="D19" s="16">
        <v>1.27411491420364E-4</v>
      </c>
      <c r="E19" s="16">
        <v>1.4484713131943201E-3</v>
      </c>
      <c r="F19" s="16">
        <v>5.2145669215582902E-5</v>
      </c>
      <c r="G19" s="19">
        <v>3.8094455378076303E-5</v>
      </c>
      <c r="H19" s="16">
        <v>5.1535051039844599E-5</v>
      </c>
      <c r="I19" s="16">
        <v>1.1511487617873199E-4</v>
      </c>
      <c r="J19" s="16">
        <v>3.6430725918044E-5</v>
      </c>
      <c r="K19" s="16">
        <v>4.4634953121291398E-5</v>
      </c>
      <c r="L19" s="16">
        <v>1.05630759418068E-4</v>
      </c>
      <c r="M19" s="16">
        <v>6.7328746012375494E-5</v>
      </c>
      <c r="N19" s="16">
        <v>5.4712523373772902E-4</v>
      </c>
      <c r="O19" s="16">
        <v>3.0706978654039402E-3</v>
      </c>
      <c r="P19" s="16">
        <v>5.0152837220324197E-4</v>
      </c>
      <c r="Q19" s="16">
        <v>1.21143575030709E-3</v>
      </c>
      <c r="R19" s="16">
        <v>1.46538134604978E-3</v>
      </c>
      <c r="S19" s="16">
        <v>5.8134259334660003E-4</v>
      </c>
      <c r="T19" s="16">
        <v>2.4168391304750099E-4</v>
      </c>
      <c r="U19" s="16">
        <v>3.8041796941629098E-4</v>
      </c>
      <c r="V19" s="16">
        <v>3.2389865985313999E-4</v>
      </c>
      <c r="W19" s="16">
        <v>5.6959352299257001E-4</v>
      </c>
      <c r="X19" s="16">
        <v>2.5588284396323301E-3</v>
      </c>
      <c r="Y19" s="16">
        <v>2.2481885048470001E-3</v>
      </c>
      <c r="Z19" s="16">
        <v>2.5119371939154398E-3</v>
      </c>
      <c r="AA19" s="16">
        <v>3.0734328655473899E-4</v>
      </c>
      <c r="AB19" s="16">
        <v>2.2424316571617299E-4</v>
      </c>
      <c r="AC19" s="16">
        <v>2.0315311667475701E-4</v>
      </c>
      <c r="AD19" s="16">
        <v>1.14885923403403E-4</v>
      </c>
      <c r="AE19" s="16">
        <v>1.87944662266613E-4</v>
      </c>
      <c r="AF19" s="16">
        <v>2.50231147170416E-4</v>
      </c>
      <c r="AG19" s="16">
        <v>1.4580672975229099E-4</v>
      </c>
      <c r="AH19" s="16">
        <v>2.45275942924071E-4</v>
      </c>
      <c r="AI19" s="16">
        <v>1.7483531747751702E-5</v>
      </c>
      <c r="AJ19" s="16">
        <v>3.4960872931869703E-5</v>
      </c>
      <c r="AK19" s="16">
        <v>3.19743510574524E-4</v>
      </c>
      <c r="AL19" s="16">
        <v>5.5812772783306199E-5</v>
      </c>
      <c r="AM19" s="16">
        <v>7.70040698238294E-5</v>
      </c>
      <c r="AN19" s="16">
        <v>2.8730522746569099E-5</v>
      </c>
      <c r="AO19" s="16">
        <v>4.6637808438865203E-5</v>
      </c>
      <c r="AP19" s="16">
        <v>1.02046528664523E-4</v>
      </c>
      <c r="AQ19" s="16">
        <v>8.9578628310264902E-5</v>
      </c>
      <c r="AR19" s="16">
        <v>2.5864247480705798E-3</v>
      </c>
      <c r="AS19" s="16">
        <v>2.2746275909876599E-4</v>
      </c>
      <c r="AT19" s="16">
        <v>2.1048914183559601E-4</v>
      </c>
      <c r="AU19" s="16">
        <v>3.9143323233451497E-3</v>
      </c>
      <c r="AV19" s="16">
        <v>3.32159710370714E-3</v>
      </c>
      <c r="AW19" s="16">
        <v>5.1751405748034704E-3</v>
      </c>
      <c r="AX19" s="16">
        <v>2.1346800494549199E-2</v>
      </c>
      <c r="AY19" s="16">
        <v>4.8823777789505397E-3</v>
      </c>
      <c r="AZ19" s="16">
        <v>1.1488262591234501E-3</v>
      </c>
      <c r="BA19" s="16">
        <v>8.5893577586369507E-3</v>
      </c>
      <c r="BB19" s="16">
        <v>3.69887383710684E-4</v>
      </c>
      <c r="BC19" s="16">
        <v>3.9749789170799799E-4</v>
      </c>
      <c r="BD19" s="16">
        <v>2.9291896993976103E-4</v>
      </c>
      <c r="BE19" s="16">
        <v>1.2497045186055599E-4</v>
      </c>
      <c r="BF19" s="16">
        <v>2.3876786413418098E-3</v>
      </c>
      <c r="BG19" s="16">
        <v>6.5620703088784902E-3</v>
      </c>
      <c r="BH19" s="16">
        <v>3.21533106994144E-4</v>
      </c>
      <c r="BI19" s="16">
        <v>1.0960403832517901E-3</v>
      </c>
      <c r="BJ19" s="16">
        <v>4.6849658920675302E-3</v>
      </c>
      <c r="BK19" s="16">
        <v>1.8631807801591899E-3</v>
      </c>
      <c r="BL19" s="16">
        <v>1.1093468407064599E-3</v>
      </c>
      <c r="BM19" s="16">
        <v>8.2981438059985199E-4</v>
      </c>
      <c r="BN19" s="16">
        <v>1.8710739125685099E-3</v>
      </c>
      <c r="BO19" s="16">
        <v>1.4405592877652E-3</v>
      </c>
      <c r="BP19" s="16">
        <v>1.22890313788525E-3</v>
      </c>
      <c r="BQ19" s="16">
        <v>2.7864121448616199E-3</v>
      </c>
      <c r="BR19" s="16">
        <v>1.2126623738618199E-2</v>
      </c>
      <c r="BS19" s="16">
        <v>2.8470206186510302E-3</v>
      </c>
      <c r="BT19" s="16">
        <v>8.2495546668792004E-3</v>
      </c>
      <c r="BU19" s="16">
        <v>2.9818566572503299E-2</v>
      </c>
      <c r="BV19" s="16">
        <v>2.4423686934842599E-2</v>
      </c>
      <c r="BW19" s="16">
        <v>1.1943807460418E-4</v>
      </c>
      <c r="BX19" s="16">
        <v>7.9924043218958295E-4</v>
      </c>
      <c r="BY19" s="16">
        <v>3.6289434317017901E-3</v>
      </c>
      <c r="BZ19" s="16">
        <v>0</v>
      </c>
      <c r="CA19" s="16">
        <v>3.28198573567189E-3</v>
      </c>
    </row>
    <row r="20" spans="1:79" x14ac:dyDescent="0.3">
      <c r="A20" s="8" t="s">
        <v>108</v>
      </c>
      <c r="B20" s="15">
        <v>8.6246331631278605E-5</v>
      </c>
      <c r="C20" s="15">
        <v>2.1056808714758602E-5</v>
      </c>
      <c r="D20" s="15">
        <v>5.0021064695933799E-5</v>
      </c>
      <c r="E20" s="15">
        <v>1.22320192038348E-5</v>
      </c>
      <c r="F20" s="15">
        <v>9.2842381536969597E-5</v>
      </c>
      <c r="G20" s="19">
        <v>1.49819541730312E-5</v>
      </c>
      <c r="H20" s="15">
        <v>1.35352722281983E-5</v>
      </c>
      <c r="I20" s="15">
        <v>3.02679217172024E-5</v>
      </c>
      <c r="J20" s="15">
        <v>7.3304485993184301E-6</v>
      </c>
      <c r="K20" s="15">
        <v>2.9731918216687299E-5</v>
      </c>
      <c r="L20" s="15">
        <v>4.4361152525658002E-5</v>
      </c>
      <c r="M20" s="15">
        <v>2.48250142460835E-5</v>
      </c>
      <c r="N20" s="15">
        <v>2.7545926414644299E-5</v>
      </c>
      <c r="O20" s="15">
        <v>3.9472768423884498E-5</v>
      </c>
      <c r="P20" s="15">
        <v>8.6672884550703905E-2</v>
      </c>
      <c r="Q20" s="15">
        <v>0.17077134002063901</v>
      </c>
      <c r="R20" s="15">
        <v>9.0254655249154506E-2</v>
      </c>
      <c r="S20" s="15">
        <v>1.56661697285333E-2</v>
      </c>
      <c r="T20" s="15">
        <v>2.7968944225485103E-4</v>
      </c>
      <c r="U20" s="15">
        <v>7.6366124651284801E-3</v>
      </c>
      <c r="V20" s="15">
        <v>3.5356986819167602E-2</v>
      </c>
      <c r="W20" s="15">
        <v>1.02622341464546E-5</v>
      </c>
      <c r="X20" s="15">
        <v>1.47682397307697E-4</v>
      </c>
      <c r="Y20" s="15">
        <v>9.5360276097266998E-4</v>
      </c>
      <c r="Z20" s="15">
        <v>1.12342846483556E-4</v>
      </c>
      <c r="AA20" s="15">
        <v>1.8745193818996701E-5</v>
      </c>
      <c r="AB20" s="15">
        <v>7.7321397282053704E-5</v>
      </c>
      <c r="AC20" s="15">
        <v>2.47027747121306E-5</v>
      </c>
      <c r="AD20" s="15">
        <v>1.9167998771895902E-5</v>
      </c>
      <c r="AE20" s="15">
        <v>5.49181285302818E-5</v>
      </c>
      <c r="AF20" s="15">
        <v>1.6860735001231601E-3</v>
      </c>
      <c r="AG20" s="15">
        <v>1.51947611834747E-2</v>
      </c>
      <c r="AH20" s="15">
        <v>1.4123692052337099E-3</v>
      </c>
      <c r="AI20" s="15">
        <v>6.2867882078550499E-6</v>
      </c>
      <c r="AJ20" s="15">
        <v>1.17669924729372E-5</v>
      </c>
      <c r="AK20" s="15">
        <v>1.5931382997299301E-5</v>
      </c>
      <c r="AL20" s="15">
        <v>6.4255283070094402E-6</v>
      </c>
      <c r="AM20" s="15">
        <v>1.45666550838934E-5</v>
      </c>
      <c r="AN20" s="15">
        <v>9.3781515802781495E-4</v>
      </c>
      <c r="AO20" s="15">
        <v>8.1996476018140008E-6</v>
      </c>
      <c r="AP20" s="15">
        <v>2.69294809103353E-5</v>
      </c>
      <c r="AQ20" s="15">
        <v>8.2371152469209094E-6</v>
      </c>
      <c r="AR20" s="15">
        <v>1.6741013960818702E-5</v>
      </c>
      <c r="AS20" s="15">
        <v>2.85859840878161E-5</v>
      </c>
      <c r="AT20" s="15">
        <v>1.14052825156651E-5</v>
      </c>
      <c r="AU20" s="15">
        <v>3.0287719884488998E-5</v>
      </c>
      <c r="AV20" s="15">
        <v>1.50725293812606E-5</v>
      </c>
      <c r="AW20" s="15">
        <v>1.7438643492829698E-5</v>
      </c>
      <c r="AX20" s="15">
        <v>2.2208641562442299E-5</v>
      </c>
      <c r="AY20" s="15">
        <v>4.1858987111833101E-5</v>
      </c>
      <c r="AZ20" s="15">
        <v>1.3509490157037401E-5</v>
      </c>
      <c r="BA20" s="15">
        <v>6.58635204943606E-5</v>
      </c>
      <c r="BB20" s="15">
        <v>3.9269818751936501E-5</v>
      </c>
      <c r="BC20" s="15">
        <v>2.77938356940847E-5</v>
      </c>
      <c r="BD20" s="15">
        <v>3.7338300820874498E-5</v>
      </c>
      <c r="BE20" s="15">
        <v>1.9540979455595699E-5</v>
      </c>
      <c r="BF20" s="15">
        <v>8.2767272494560399E-6</v>
      </c>
      <c r="BG20" s="15">
        <v>2.0124867839785399E-5</v>
      </c>
      <c r="BH20" s="15">
        <v>4.2022624140384701E-7</v>
      </c>
      <c r="BI20" s="15">
        <v>2.19681920481949E-5</v>
      </c>
      <c r="BJ20" s="15">
        <v>7.0367254146850794E-5</v>
      </c>
      <c r="BK20" s="15">
        <v>6.5555190513035E-4</v>
      </c>
      <c r="BL20" s="15">
        <v>9.3137648738569299E-3</v>
      </c>
      <c r="BM20" s="15">
        <v>6.4329532639083406E-5</v>
      </c>
      <c r="BN20" s="15">
        <v>2.2358610769299598E-3</v>
      </c>
      <c r="BO20" s="15">
        <v>1.8864288333631601E-3</v>
      </c>
      <c r="BP20" s="15">
        <v>2.9743081277517599E-3</v>
      </c>
      <c r="BQ20" s="15">
        <v>3.3723616806206201E-3</v>
      </c>
      <c r="BR20" s="15">
        <v>1.52047106293591E-3</v>
      </c>
      <c r="BS20" s="15">
        <v>4.8868405883508901E-4</v>
      </c>
      <c r="BT20" s="15">
        <v>2.7884748955554202E-3</v>
      </c>
      <c r="BU20" s="15">
        <v>2.7114382344653998E-3</v>
      </c>
      <c r="BV20" s="15">
        <v>8.1206038304308504E-5</v>
      </c>
      <c r="BW20" s="15">
        <v>3.6912958134802201E-3</v>
      </c>
      <c r="BX20" s="15">
        <v>5.1884220565864402E-3</v>
      </c>
      <c r="BY20" s="15">
        <v>2.56083391698854E-3</v>
      </c>
      <c r="BZ20" s="15">
        <v>0</v>
      </c>
      <c r="CA20" s="15">
        <v>2.8243044165546699E-4</v>
      </c>
    </row>
    <row r="21" spans="1:79" x14ac:dyDescent="0.3">
      <c r="A21" s="7" t="s">
        <v>109</v>
      </c>
      <c r="B21" s="16">
        <v>2.5738730005581302E-4</v>
      </c>
      <c r="C21" s="16">
        <v>6.5675122743050399E-6</v>
      </c>
      <c r="D21" s="16">
        <v>1.2539954845755999E-4</v>
      </c>
      <c r="E21" s="16">
        <v>1.6715641901325901E-5</v>
      </c>
      <c r="F21" s="16">
        <v>6.1862851117379695E-4</v>
      </c>
      <c r="G21" s="19">
        <v>4.4984214156037001E-6</v>
      </c>
      <c r="H21" s="16">
        <v>3.7655943059528401E-6</v>
      </c>
      <c r="I21" s="16">
        <v>5.34216721601953E-6</v>
      </c>
      <c r="J21" s="16">
        <v>2.4842528808962001E-6</v>
      </c>
      <c r="K21" s="16">
        <v>3.76556138742681E-5</v>
      </c>
      <c r="L21" s="16">
        <v>3.1342329068713297E-5</v>
      </c>
      <c r="M21" s="16">
        <v>7.2184815412878195E-5</v>
      </c>
      <c r="N21" s="16">
        <v>3.13158004080489E-4</v>
      </c>
      <c r="O21" s="16">
        <v>1.4300853443824101E-5</v>
      </c>
      <c r="P21" s="16">
        <v>6.5469918882642901E-4</v>
      </c>
      <c r="Q21" s="16">
        <v>5.1661893446141E-2</v>
      </c>
      <c r="R21" s="16">
        <v>1.97996139969119E-3</v>
      </c>
      <c r="S21" s="16">
        <v>5.2832815637345401E-4</v>
      </c>
      <c r="T21" s="16">
        <v>6.44587169375754E-5</v>
      </c>
      <c r="U21" s="16">
        <v>2.2890338598759198E-3</v>
      </c>
      <c r="V21" s="16">
        <v>1.5751914048503301E-4</v>
      </c>
      <c r="W21" s="16">
        <v>3.9017504570479402E-6</v>
      </c>
      <c r="X21" s="16">
        <v>2.77527267964672E-4</v>
      </c>
      <c r="Y21" s="16">
        <v>2.0365899526100399E-4</v>
      </c>
      <c r="Z21" s="16">
        <v>3.24785018779857E-5</v>
      </c>
      <c r="AA21" s="16">
        <v>3.3298295107874198E-5</v>
      </c>
      <c r="AB21" s="16">
        <v>5.7749765894978202E-5</v>
      </c>
      <c r="AC21" s="16">
        <v>2.3171954778467601E-5</v>
      </c>
      <c r="AD21" s="16">
        <v>1.22491775300155E-5</v>
      </c>
      <c r="AE21" s="16">
        <v>3.1757353938064899E-5</v>
      </c>
      <c r="AF21" s="16">
        <v>1.1258871470897299E-4</v>
      </c>
      <c r="AG21" s="16">
        <v>1.20543804466118E-3</v>
      </c>
      <c r="AH21" s="16">
        <v>7.4391164318936905E-4</v>
      </c>
      <c r="AI21" s="16">
        <v>5.7611731880369602E-4</v>
      </c>
      <c r="AJ21" s="16">
        <v>6.0283572208406899E-4</v>
      </c>
      <c r="AK21" s="16">
        <v>5.3308020261824901E-6</v>
      </c>
      <c r="AL21" s="16">
        <v>2.29071524846301E-6</v>
      </c>
      <c r="AM21" s="16">
        <v>3.1747838003357302E-6</v>
      </c>
      <c r="AN21" s="16">
        <v>5.8805547742873102E-5</v>
      </c>
      <c r="AO21" s="16">
        <v>2.5791269967998902E-5</v>
      </c>
      <c r="AP21" s="16">
        <v>5.4399094675605697E-6</v>
      </c>
      <c r="AQ21" s="16">
        <v>2.2446139047859501E-5</v>
      </c>
      <c r="AR21" s="16">
        <v>1.6779440159657599E-5</v>
      </c>
      <c r="AS21" s="16">
        <v>3.06278400940887E-6</v>
      </c>
      <c r="AT21" s="16">
        <v>6.167942157428E-6</v>
      </c>
      <c r="AU21" s="16">
        <v>1.25370672919137E-5</v>
      </c>
      <c r="AV21" s="16">
        <v>1.12196333226562E-5</v>
      </c>
      <c r="AW21" s="16">
        <v>1.2962111125864499E-5</v>
      </c>
      <c r="AX21" s="16">
        <v>4.2738658799926297E-6</v>
      </c>
      <c r="AY21" s="16">
        <v>6.8775999643389499E-6</v>
      </c>
      <c r="AZ21" s="16">
        <v>2.44952294056173E-6</v>
      </c>
      <c r="BA21" s="16">
        <v>1.8524115139038898E-5</v>
      </c>
      <c r="BB21" s="16">
        <v>8.5076880058799896E-6</v>
      </c>
      <c r="BC21" s="16">
        <v>3.8087730768664199E-6</v>
      </c>
      <c r="BD21" s="16">
        <v>3.78717051183156E-6</v>
      </c>
      <c r="BE21" s="16">
        <v>1.7593439842554401E-6</v>
      </c>
      <c r="BF21" s="16">
        <v>9.2512270022173096E-6</v>
      </c>
      <c r="BG21" s="16">
        <v>4.1491608967475101E-4</v>
      </c>
      <c r="BH21" s="16">
        <v>8.0043093600732803E-8</v>
      </c>
      <c r="BI21" s="16">
        <v>1.9513626378785101E-5</v>
      </c>
      <c r="BJ21" s="16">
        <v>3.61753740405263E-5</v>
      </c>
      <c r="BK21" s="16">
        <v>1.7853329962344399E-3</v>
      </c>
      <c r="BL21" s="16">
        <v>1.08935896173178E-4</v>
      </c>
      <c r="BM21" s="16">
        <v>1.61465881083234E-4</v>
      </c>
      <c r="BN21" s="16">
        <v>1.9391932074703199E-4</v>
      </c>
      <c r="BO21" s="16">
        <v>3.3507841927053799E-4</v>
      </c>
      <c r="BP21" s="16">
        <v>2.5661297085750201E-4</v>
      </c>
      <c r="BQ21" s="16">
        <v>4.3701725882367798E-4</v>
      </c>
      <c r="BR21" s="16">
        <v>1.3860316570766501E-3</v>
      </c>
      <c r="BS21" s="16">
        <v>1.1836648927073001E-3</v>
      </c>
      <c r="BT21" s="16">
        <v>1.02956498948027E-3</v>
      </c>
      <c r="BU21" s="16">
        <v>1.40463498141882E-3</v>
      </c>
      <c r="BV21" s="16">
        <v>8.5795124168146903E-4</v>
      </c>
      <c r="BW21" s="16">
        <v>1.9432216607285599E-4</v>
      </c>
      <c r="BX21" s="16">
        <v>1.16204889945853E-3</v>
      </c>
      <c r="BY21" s="16">
        <v>2.3377614020717802E-3</v>
      </c>
      <c r="BZ21" s="16">
        <v>0</v>
      </c>
      <c r="CA21" s="16">
        <v>1.72233891801091E-4</v>
      </c>
    </row>
    <row r="22" spans="1:79" x14ac:dyDescent="0.3">
      <c r="A22" s="8" t="s">
        <v>110</v>
      </c>
      <c r="B22" s="15">
        <v>1.5026804694421201E-5</v>
      </c>
      <c r="C22" s="15">
        <v>4.61643233712905E-5</v>
      </c>
      <c r="D22" s="15">
        <v>9.7232346978295807E-5</v>
      </c>
      <c r="E22" s="15">
        <v>1.6393517552185799E-4</v>
      </c>
      <c r="F22" s="15">
        <v>9.0244719048370405E-5</v>
      </c>
      <c r="G22" s="19">
        <v>6.9260913140180595E-4</v>
      </c>
      <c r="H22" s="15">
        <v>4.3512532994567697E-4</v>
      </c>
      <c r="I22" s="15">
        <v>1.77788894251617E-4</v>
      </c>
      <c r="J22" s="15">
        <v>9.5999794040758994E-5</v>
      </c>
      <c r="K22" s="15">
        <v>7.1945893601774397E-4</v>
      </c>
      <c r="L22" s="15">
        <v>4.2996578481770097E-3</v>
      </c>
      <c r="M22" s="15">
        <v>1.6634577289773099E-2</v>
      </c>
      <c r="N22" s="15">
        <v>2.6174485234349999E-4</v>
      </c>
      <c r="O22" s="15">
        <v>9.1020903457084202E-5</v>
      </c>
      <c r="P22" s="15">
        <v>6.93546199427472E-4</v>
      </c>
      <c r="Q22" s="15">
        <v>5.5880331142703103E-3</v>
      </c>
      <c r="R22" s="15">
        <v>6.9896916349387397E-2</v>
      </c>
      <c r="S22" s="15">
        <v>3.3292496626710101E-4</v>
      </c>
      <c r="T22" s="15">
        <v>5.0417320243641198E-5</v>
      </c>
      <c r="U22" s="15">
        <v>2.4719631328770701E-4</v>
      </c>
      <c r="V22" s="15">
        <v>6.1694317510687605E-4</v>
      </c>
      <c r="W22" s="15">
        <v>2.9197982504608998E-4</v>
      </c>
      <c r="X22" s="15">
        <v>3.0723050685094199E-4</v>
      </c>
      <c r="Y22" s="15">
        <v>1.4160542417884599E-4</v>
      </c>
      <c r="Z22" s="15">
        <v>1.18924492755487E-4</v>
      </c>
      <c r="AA22" s="15">
        <v>1.08518650969954E-4</v>
      </c>
      <c r="AB22" s="15">
        <v>8.6155732987855597E-5</v>
      </c>
      <c r="AC22" s="15">
        <v>8.6271686870170199E-5</v>
      </c>
      <c r="AD22" s="15">
        <v>5.9567696597138398E-5</v>
      </c>
      <c r="AE22" s="15">
        <v>1.06122272542415E-4</v>
      </c>
      <c r="AF22" s="15">
        <v>1.6011208491899299E-4</v>
      </c>
      <c r="AG22" s="15">
        <v>2.3881811943027599E-4</v>
      </c>
      <c r="AH22" s="15">
        <v>8.3765080523978295E-5</v>
      </c>
      <c r="AI22" s="15">
        <v>4.2510863841070901E-4</v>
      </c>
      <c r="AJ22" s="15">
        <v>1.44762724276148E-4</v>
      </c>
      <c r="AK22" s="15">
        <v>1.96302534792441E-4</v>
      </c>
      <c r="AL22" s="15">
        <v>1.8376146537198501E-4</v>
      </c>
      <c r="AM22" s="15">
        <v>9.3158116807890595E-5</v>
      </c>
      <c r="AN22" s="15">
        <v>2.8952469780643301E-5</v>
      </c>
      <c r="AO22" s="15">
        <v>2.1236717256130599E-4</v>
      </c>
      <c r="AP22" s="15">
        <v>6.8133901558240905E-4</v>
      </c>
      <c r="AQ22" s="15">
        <v>6.8779912311789604E-5</v>
      </c>
      <c r="AR22" s="15">
        <v>1.7643602675768201E-4</v>
      </c>
      <c r="AS22" s="15">
        <v>1.6906567731937001E-4</v>
      </c>
      <c r="AT22" s="15">
        <v>9.7475127989669194E-5</v>
      </c>
      <c r="AU22" s="15">
        <v>2.5101654975443703E-4</v>
      </c>
      <c r="AV22" s="15">
        <v>1.41385873766549E-4</v>
      </c>
      <c r="AW22" s="15">
        <v>1.3316267167554701E-4</v>
      </c>
      <c r="AX22" s="15">
        <v>2.6030824976048102E-4</v>
      </c>
      <c r="AY22" s="15">
        <v>4.9745126567918199E-4</v>
      </c>
      <c r="AZ22" s="15">
        <v>1.64414948889219E-4</v>
      </c>
      <c r="BA22" s="15">
        <v>4.0615837638189001E-4</v>
      </c>
      <c r="BB22" s="15">
        <v>1.05778148149402E-4</v>
      </c>
      <c r="BC22" s="15">
        <v>1.00602860726288E-4</v>
      </c>
      <c r="BD22" s="15">
        <v>4.4139205613248099E-5</v>
      </c>
      <c r="BE22" s="15">
        <v>3.88338828550646E-5</v>
      </c>
      <c r="BF22" s="15">
        <v>2.2812827853173299E-5</v>
      </c>
      <c r="BG22" s="15">
        <v>6.2879097381597597E-5</v>
      </c>
      <c r="BH22" s="15">
        <v>2.5213574484230802E-6</v>
      </c>
      <c r="BI22" s="15">
        <v>1.24354987978799E-4</v>
      </c>
      <c r="BJ22" s="15">
        <v>1.8427781381151099E-4</v>
      </c>
      <c r="BK22" s="15">
        <v>5.8087181265875805E-4</v>
      </c>
      <c r="BL22" s="15">
        <v>6.5572759908335795E-4</v>
      </c>
      <c r="BM22" s="15">
        <v>8.6919079977323304E-4</v>
      </c>
      <c r="BN22" s="15">
        <v>1.9225325730522101E-3</v>
      </c>
      <c r="BO22" s="15">
        <v>1.26148823635305E-3</v>
      </c>
      <c r="BP22" s="15">
        <v>2.2844014256761499E-3</v>
      </c>
      <c r="BQ22" s="15">
        <v>2.2339841540299101E-4</v>
      </c>
      <c r="BR22" s="15">
        <v>1.44678258117288E-3</v>
      </c>
      <c r="BS22" s="15">
        <v>7.0163582081521902E-3</v>
      </c>
      <c r="BT22" s="15">
        <v>7.9074550710616903E-3</v>
      </c>
      <c r="BU22" s="15">
        <v>8.3356743916356999E-4</v>
      </c>
      <c r="BV22" s="15">
        <v>9.2126804331756206E-5</v>
      </c>
      <c r="BW22" s="15">
        <v>1.5657363372502999E-4</v>
      </c>
      <c r="BX22" s="15">
        <v>4.6837114262750701E-4</v>
      </c>
      <c r="BY22" s="15">
        <v>7.3306098285689798E-4</v>
      </c>
      <c r="BZ22" s="15">
        <v>0</v>
      </c>
      <c r="CA22" s="15">
        <v>2.5859717381509799E-3</v>
      </c>
    </row>
    <row r="23" spans="1:79" x14ac:dyDescent="0.3">
      <c r="A23" s="7" t="s">
        <v>111</v>
      </c>
      <c r="B23" s="16">
        <v>3.3023530441399399E-6</v>
      </c>
      <c r="C23" s="16">
        <v>5.0134297754682604E-6</v>
      </c>
      <c r="D23" s="16">
        <v>4.6829706892864604E-6</v>
      </c>
      <c r="E23" s="16">
        <v>1.5623030933296499E-4</v>
      </c>
      <c r="F23" s="16">
        <v>1.9915412412593501E-5</v>
      </c>
      <c r="G23" s="19">
        <v>3.39524785881824E-5</v>
      </c>
      <c r="H23" s="16">
        <v>4.55001407699138E-5</v>
      </c>
      <c r="I23" s="16">
        <v>5.6409885645777799E-5</v>
      </c>
      <c r="J23" s="16">
        <v>1.8066552406254999E-5</v>
      </c>
      <c r="K23" s="16">
        <v>4.0188727954259103E-5</v>
      </c>
      <c r="L23" s="16">
        <v>4.4846388381691502E-4</v>
      </c>
      <c r="M23" s="16">
        <v>6.1156944294574401E-5</v>
      </c>
      <c r="N23" s="16">
        <v>4.10637727885987E-5</v>
      </c>
      <c r="O23" s="16">
        <v>5.2545618483710404E-6</v>
      </c>
      <c r="P23" s="16">
        <v>1.0860356599358399E-4</v>
      </c>
      <c r="Q23" s="16">
        <v>2.7568417336653001E-4</v>
      </c>
      <c r="R23" s="16">
        <v>2.0503101767484302E-3</v>
      </c>
      <c r="S23" s="16">
        <v>0.21714468848284699</v>
      </c>
      <c r="T23" s="16">
        <v>4.0048117120696198E-5</v>
      </c>
      <c r="U23" s="16">
        <v>1.05206579850813E-4</v>
      </c>
      <c r="V23" s="16">
        <v>4.2188676587147399E-4</v>
      </c>
      <c r="W23" s="16">
        <v>1.09010844905889E-4</v>
      </c>
      <c r="X23" s="16">
        <v>5.1521587056788999E-4</v>
      </c>
      <c r="Y23" s="16">
        <v>4.3039158972633501E-4</v>
      </c>
      <c r="Z23" s="16">
        <v>4.7980678799583503E-4</v>
      </c>
      <c r="AA23" s="16">
        <v>9.9387337826070397E-5</v>
      </c>
      <c r="AB23" s="16">
        <v>8.9312384832413794E-5</v>
      </c>
      <c r="AC23" s="16">
        <v>6.3031510768571996E-5</v>
      </c>
      <c r="AD23" s="16">
        <v>2.76679816803782E-5</v>
      </c>
      <c r="AE23" s="16">
        <v>4.0467024604191898E-5</v>
      </c>
      <c r="AF23" s="16">
        <v>2.07570122806186E-4</v>
      </c>
      <c r="AG23" s="16">
        <v>2.3737396471207599E-3</v>
      </c>
      <c r="AH23" s="16">
        <v>6.4749919789923005E-5</v>
      </c>
      <c r="AI23" s="16">
        <v>1.23980604556315E-5</v>
      </c>
      <c r="AJ23" s="16">
        <v>1.86095626034071E-5</v>
      </c>
      <c r="AK23" s="16">
        <v>2.7460386561692301E-6</v>
      </c>
      <c r="AL23" s="16">
        <v>4.8983848080341002E-6</v>
      </c>
      <c r="AM23" s="16">
        <v>1.35706444798665E-5</v>
      </c>
      <c r="AN23" s="16">
        <v>3.6911314146922498E-5</v>
      </c>
      <c r="AO23" s="16">
        <v>1.19027142606977E-5</v>
      </c>
      <c r="AP23" s="16">
        <v>1.0571171589443899E-5</v>
      </c>
      <c r="AQ23" s="16">
        <v>1.50327353256307E-5</v>
      </c>
      <c r="AR23" s="16">
        <v>4.3763170899870403E-6</v>
      </c>
      <c r="AS23" s="16">
        <v>2.6544128081543601E-6</v>
      </c>
      <c r="AT23" s="16">
        <v>2.4671768629711999E-6</v>
      </c>
      <c r="AU23" s="16">
        <v>1.1451540733711401E-5</v>
      </c>
      <c r="AV23" s="16">
        <v>2.74326199372638E-6</v>
      </c>
      <c r="AW23" s="16">
        <v>5.34067310868951E-6</v>
      </c>
      <c r="AX23" s="16">
        <v>5.6543135156491604E-6</v>
      </c>
      <c r="AY23" s="16">
        <v>7.7446899311897097E-6</v>
      </c>
      <c r="AZ23" s="16">
        <v>5.5670975921857503E-6</v>
      </c>
      <c r="BA23" s="16">
        <v>2.2983624339177901E-5</v>
      </c>
      <c r="BB23" s="16">
        <v>4.3349799920968898E-6</v>
      </c>
      <c r="BC23" s="16">
        <v>4.2304814527137701E-5</v>
      </c>
      <c r="BD23" s="16">
        <v>4.4912641844537703E-5</v>
      </c>
      <c r="BE23" s="16">
        <v>2.7659054533675499E-6</v>
      </c>
      <c r="BF23" s="16">
        <v>3.1883725182636901E-6</v>
      </c>
      <c r="BG23" s="16">
        <v>5.0060238264208498E-5</v>
      </c>
      <c r="BH23" s="16">
        <v>6.0032320200549596E-8</v>
      </c>
      <c r="BI23" s="16">
        <v>1.7320221034423702E-5</v>
      </c>
      <c r="BJ23" s="16">
        <v>2.0336426487647201E-4</v>
      </c>
      <c r="BK23" s="16">
        <v>7.98331890297115E-5</v>
      </c>
      <c r="BL23" s="16">
        <v>3.2974133024771597E-5</v>
      </c>
      <c r="BM23" s="16">
        <v>1.3069361169983101E-4</v>
      </c>
      <c r="BN23" s="16">
        <v>7.9117620171914198E-5</v>
      </c>
      <c r="BO23" s="16">
        <v>9.6278508890418996E-5</v>
      </c>
      <c r="BP23" s="16">
        <v>1.2382940806485401E-4</v>
      </c>
      <c r="BQ23" s="16">
        <v>2.97805640786424E-5</v>
      </c>
      <c r="BR23" s="16">
        <v>4.6491060883936001E-5</v>
      </c>
      <c r="BS23" s="16">
        <v>3.7224133782285598E-5</v>
      </c>
      <c r="BT23" s="16">
        <v>3.7734652444794799E-4</v>
      </c>
      <c r="BU23" s="16">
        <v>1.7764798465579699E-4</v>
      </c>
      <c r="BV23" s="16">
        <v>1.9366819362222999E-5</v>
      </c>
      <c r="BW23" s="16">
        <v>9.886678963810559E-4</v>
      </c>
      <c r="BX23" s="16">
        <v>3.0770834976455197E-5</v>
      </c>
      <c r="BY23" s="16">
        <v>9.9831426335419401E-5</v>
      </c>
      <c r="BZ23" s="16">
        <v>0</v>
      </c>
      <c r="CA23" s="16">
        <v>5.9478876847880496E-4</v>
      </c>
    </row>
    <row r="24" spans="1:79" x14ac:dyDescent="0.3">
      <c r="A24" s="8" t="s">
        <v>112</v>
      </c>
      <c r="B24" s="15">
        <v>7.6588816161263001E-4</v>
      </c>
      <c r="C24" s="15">
        <v>2.18661425875294E-5</v>
      </c>
      <c r="D24" s="15">
        <v>3.5243690520852101E-5</v>
      </c>
      <c r="E24" s="15">
        <v>9.9266535916103099E-4</v>
      </c>
      <c r="F24" s="15">
        <v>5.9005422379920704E-4</v>
      </c>
      <c r="G24" s="19">
        <v>2.4030684513044401E-4</v>
      </c>
      <c r="H24" s="15">
        <v>3.96181425584336E-2</v>
      </c>
      <c r="I24" s="15">
        <v>2.4485630541194801E-3</v>
      </c>
      <c r="J24" s="15">
        <v>4.3364346376650303E-5</v>
      </c>
      <c r="K24" s="15">
        <v>8.2890391187396099E-3</v>
      </c>
      <c r="L24" s="15">
        <v>3.01313338452733E-3</v>
      </c>
      <c r="M24" s="15">
        <v>1.2635623825226999E-3</v>
      </c>
      <c r="N24" s="15">
        <v>1.93309134456128E-4</v>
      </c>
      <c r="O24" s="15">
        <v>3.2551353561128599E-4</v>
      </c>
      <c r="P24" s="15">
        <v>3.4689965369666902E-4</v>
      </c>
      <c r="Q24" s="15">
        <v>1.1149060777503E-3</v>
      </c>
      <c r="R24" s="15">
        <v>9.2633867151510195E-4</v>
      </c>
      <c r="S24" s="15">
        <v>2.3819697543734099E-4</v>
      </c>
      <c r="T24" s="15">
        <v>0.10260480521373801</v>
      </c>
      <c r="U24" s="15">
        <v>3.64809963979586E-4</v>
      </c>
      <c r="V24" s="15">
        <v>6.4360581327013505E-4</v>
      </c>
      <c r="W24" s="15">
        <v>1.2642912355563901E-4</v>
      </c>
      <c r="X24" s="15">
        <v>3.52686331782277E-4</v>
      </c>
      <c r="Y24" s="15">
        <v>6.5616285994349105E-4</v>
      </c>
      <c r="Z24" s="15">
        <v>4.5645563978705703E-4</v>
      </c>
      <c r="AA24" s="15">
        <v>1.7052687555346699E-4</v>
      </c>
      <c r="AB24" s="15">
        <v>4.0021471003815002E-3</v>
      </c>
      <c r="AC24" s="15">
        <v>8.6046889290781298E-4</v>
      </c>
      <c r="AD24" s="15">
        <v>1.0273794856666401E-3</v>
      </c>
      <c r="AE24" s="15">
        <v>1.3016499553234399E-3</v>
      </c>
      <c r="AF24" s="15">
        <v>7.9897009831565301E-4</v>
      </c>
      <c r="AG24" s="15">
        <v>5.4793171972726401E-2</v>
      </c>
      <c r="AH24" s="15">
        <v>3.3158373047672499E-3</v>
      </c>
      <c r="AI24" s="15">
        <v>3.3588192146925101E-4</v>
      </c>
      <c r="AJ24" s="15">
        <v>3.6592509503558201E-4</v>
      </c>
      <c r="AK24" s="15">
        <v>8.8383215604989697E-5</v>
      </c>
      <c r="AL24" s="15">
        <v>7.5067747183122605E-4</v>
      </c>
      <c r="AM24" s="15">
        <v>1.09872419756717E-4</v>
      </c>
      <c r="AN24" s="15">
        <v>3.0176703980506201E-4</v>
      </c>
      <c r="AO24" s="15">
        <v>1.04768143184689E-3</v>
      </c>
      <c r="AP24" s="15">
        <v>1.61360832320038E-3</v>
      </c>
      <c r="AQ24" s="15">
        <v>7.5616717966734001E-4</v>
      </c>
      <c r="AR24" s="15">
        <v>4.1702245768810098E-4</v>
      </c>
      <c r="AS24" s="15">
        <v>2.2664601669625701E-5</v>
      </c>
      <c r="AT24" s="15">
        <v>1.44515966843653E-3</v>
      </c>
      <c r="AU24" s="15">
        <v>3.1036886100713101E-5</v>
      </c>
      <c r="AV24" s="15">
        <v>1.2921072222135899E-4</v>
      </c>
      <c r="AW24" s="15">
        <v>3.6768480248285503E-4</v>
      </c>
      <c r="AX24" s="15">
        <v>4.0141208528675002E-4</v>
      </c>
      <c r="AY24" s="15">
        <v>7.0134878515681399E-4</v>
      </c>
      <c r="AZ24" s="15">
        <v>2.27879861440137E-4</v>
      </c>
      <c r="BA24" s="15">
        <v>1.6465880123590199E-4</v>
      </c>
      <c r="BB24" s="15">
        <v>1.64590149432556E-5</v>
      </c>
      <c r="BC24" s="15">
        <v>5.0147782203007802E-5</v>
      </c>
      <c r="BD24" s="15">
        <v>6.3021717742661805E-5</v>
      </c>
      <c r="BE24" s="15">
        <v>2.53408265609045E-5</v>
      </c>
      <c r="BF24" s="15">
        <v>1.78459370736288E-4</v>
      </c>
      <c r="BG24" s="15">
        <v>4.3108415360200198E-4</v>
      </c>
      <c r="BH24" s="15">
        <v>5.1627795372472596E-6</v>
      </c>
      <c r="BI24" s="15">
        <v>3.6477781767423702E-4</v>
      </c>
      <c r="BJ24" s="15">
        <v>1.2597525508047799E-4</v>
      </c>
      <c r="BK24" s="15">
        <v>2.5866693667379902E-4</v>
      </c>
      <c r="BL24" s="15">
        <v>1.7695726904397001E-4</v>
      </c>
      <c r="BM24" s="15">
        <v>1.00208768594898E-4</v>
      </c>
      <c r="BN24" s="15">
        <v>5.4300813382973699E-3</v>
      </c>
      <c r="BO24" s="15">
        <v>1.6542378530024201E-4</v>
      </c>
      <c r="BP24" s="15">
        <v>5.7961772311132802E-4</v>
      </c>
      <c r="BQ24" s="15">
        <v>2.0174785694819199E-4</v>
      </c>
      <c r="BR24" s="15">
        <v>3.5485872457499402E-4</v>
      </c>
      <c r="BS24" s="15">
        <v>9.1910765618319801E-4</v>
      </c>
      <c r="BT24" s="15">
        <v>8.0059020070260395E-4</v>
      </c>
      <c r="BU24" s="15">
        <v>4.6762831641388299E-4</v>
      </c>
      <c r="BV24" s="15">
        <v>3.7853418881647199E-3</v>
      </c>
      <c r="BW24" s="15">
        <v>4.12101417839412E-4</v>
      </c>
      <c r="BX24" s="15">
        <v>1.38782106019063E-4</v>
      </c>
      <c r="BY24" s="15">
        <v>1.74578489934857E-4</v>
      </c>
      <c r="BZ24" s="15">
        <v>0</v>
      </c>
      <c r="CA24" s="15">
        <v>1.14248039989039E-4</v>
      </c>
    </row>
    <row r="25" spans="1:79" x14ac:dyDescent="0.3">
      <c r="A25" s="7" t="s">
        <v>113</v>
      </c>
      <c r="B25" s="16">
        <v>3.9880562662497599E-4</v>
      </c>
      <c r="C25" s="16">
        <v>1.11605324595036E-4</v>
      </c>
      <c r="D25" s="16">
        <v>1.29746039030653E-3</v>
      </c>
      <c r="E25" s="16">
        <v>8.2215710570401695E-4</v>
      </c>
      <c r="F25" s="16">
        <v>3.5289725956228401E-4</v>
      </c>
      <c r="G25" s="19">
        <v>6.3689661080549602E-5</v>
      </c>
      <c r="H25" s="16">
        <v>6.0617057457854202E-5</v>
      </c>
      <c r="I25" s="16">
        <v>8.6017392566385405E-5</v>
      </c>
      <c r="J25" s="16">
        <v>7.7533695492828196E-5</v>
      </c>
      <c r="K25" s="16">
        <v>7.3229242389495505E-5</v>
      </c>
      <c r="L25" s="16">
        <v>1.53253217860411E-4</v>
      </c>
      <c r="M25" s="16">
        <v>1.30421555811204E-4</v>
      </c>
      <c r="N25" s="16">
        <v>3.0075731850209499E-3</v>
      </c>
      <c r="O25" s="16">
        <v>4.2262447409623996E-3</v>
      </c>
      <c r="P25" s="16">
        <v>3.2752170783000301E-3</v>
      </c>
      <c r="Q25" s="16">
        <v>7.5926375860005096E-3</v>
      </c>
      <c r="R25" s="16">
        <v>1.12647485830494E-2</v>
      </c>
      <c r="S25" s="16">
        <v>3.5718506587346498E-3</v>
      </c>
      <c r="T25" s="16">
        <v>1.4819477587045601E-3</v>
      </c>
      <c r="U25" s="16">
        <v>0.138363267699883</v>
      </c>
      <c r="V25" s="16">
        <v>0.108677425448673</v>
      </c>
      <c r="W25" s="16">
        <v>1.0114630096079E-4</v>
      </c>
      <c r="X25" s="16">
        <v>2.66144728176182E-3</v>
      </c>
      <c r="Y25" s="16">
        <v>5.7972286250384799E-3</v>
      </c>
      <c r="Z25" s="16">
        <v>4.03679833361864E-3</v>
      </c>
      <c r="AA25" s="16">
        <v>1.2045737169258E-3</v>
      </c>
      <c r="AB25" s="16">
        <v>7.6661366533184198E-3</v>
      </c>
      <c r="AC25" s="16">
        <v>7.9201678203283405E-3</v>
      </c>
      <c r="AD25" s="16">
        <v>1.0447363213932401E-2</v>
      </c>
      <c r="AE25" s="16">
        <v>1.25411357589856E-2</v>
      </c>
      <c r="AF25" s="16">
        <v>7.36288376597869E-3</v>
      </c>
      <c r="AG25" s="16">
        <v>1.4023155343426101E-2</v>
      </c>
      <c r="AH25" s="16">
        <v>1.9520102471269701E-2</v>
      </c>
      <c r="AI25" s="16">
        <v>1.49469287951786E-3</v>
      </c>
      <c r="AJ25" s="16">
        <v>2.4751752761428599E-3</v>
      </c>
      <c r="AK25" s="16">
        <v>1.5478068679455501E-5</v>
      </c>
      <c r="AL25" s="16">
        <v>9.03319786658053E-6</v>
      </c>
      <c r="AM25" s="16">
        <v>2.37175025083905E-5</v>
      </c>
      <c r="AN25" s="16">
        <v>9.2817127895879901E-6</v>
      </c>
      <c r="AO25" s="16">
        <v>3.2601239704487903E-5</v>
      </c>
      <c r="AP25" s="16">
        <v>3.3642560678814297E-5</v>
      </c>
      <c r="AQ25" s="16">
        <v>6.0213312454991902E-4</v>
      </c>
      <c r="AR25" s="16">
        <v>1.95149585592232E-4</v>
      </c>
      <c r="AS25" s="16">
        <v>2.7565056084679901E-5</v>
      </c>
      <c r="AT25" s="16">
        <v>7.4556353446805199E-5</v>
      </c>
      <c r="AU25" s="16">
        <v>1.05968796829578E-4</v>
      </c>
      <c r="AV25" s="16">
        <v>5.8286611574568302E-5</v>
      </c>
      <c r="AW25" s="16">
        <v>4.9879336911659901E-5</v>
      </c>
      <c r="AX25" s="16">
        <v>3.57922462973026E-5</v>
      </c>
      <c r="AY25" s="16">
        <v>4.6187868082701699E-5</v>
      </c>
      <c r="AZ25" s="16">
        <v>4.0973838278487202E-5</v>
      </c>
      <c r="BA25" s="16">
        <v>4.6962062269156099E-4</v>
      </c>
      <c r="BB25" s="16">
        <v>1.4198798102456399E-4</v>
      </c>
      <c r="BC25" s="16">
        <v>2.24647433136718E-4</v>
      </c>
      <c r="BD25" s="16">
        <v>4.8169075080415399E-4</v>
      </c>
      <c r="BE25" s="16">
        <v>5.8149597845901401E-5</v>
      </c>
      <c r="BF25" s="16">
        <v>3.69023764243609E-5</v>
      </c>
      <c r="BG25" s="16">
        <v>4.1838385040708599E-4</v>
      </c>
      <c r="BH25" s="16">
        <v>7.8042016260714395E-7</v>
      </c>
      <c r="BI25" s="16">
        <v>4.9777157954238504E-4</v>
      </c>
      <c r="BJ25" s="16">
        <v>2.0387931837212202E-3</v>
      </c>
      <c r="BK25" s="16">
        <v>2.9161082826767901E-3</v>
      </c>
      <c r="BL25" s="16">
        <v>3.0777422098708499E-3</v>
      </c>
      <c r="BM25" s="16">
        <v>3.7514760148705498E-3</v>
      </c>
      <c r="BN25" s="16">
        <v>2.2391465101564301E-3</v>
      </c>
      <c r="BO25" s="16">
        <v>3.0415856633161202E-3</v>
      </c>
      <c r="BP25" s="16">
        <v>1.12280732406178E-2</v>
      </c>
      <c r="BQ25" s="16">
        <v>1.2496908535905E-2</v>
      </c>
      <c r="BR25" s="16">
        <v>7.19875159931353E-3</v>
      </c>
      <c r="BS25" s="16">
        <v>6.6363748761183198E-3</v>
      </c>
      <c r="BT25" s="16">
        <v>4.6119173392396096E-3</v>
      </c>
      <c r="BU25" s="16">
        <v>1.9287720833171299E-3</v>
      </c>
      <c r="BV25" s="16">
        <v>2.9490758407563298E-3</v>
      </c>
      <c r="BW25" s="16">
        <v>6.80955336439454E-4</v>
      </c>
      <c r="BX25" s="16">
        <v>1.2927242289075601E-3</v>
      </c>
      <c r="BY25" s="16">
        <v>3.0845091457682898E-3</v>
      </c>
      <c r="BZ25" s="16">
        <v>0</v>
      </c>
      <c r="CA25" s="16">
        <v>2.9672697187853002E-3</v>
      </c>
    </row>
    <row r="26" spans="1:79" x14ac:dyDescent="0.3">
      <c r="A26" s="8" t="s">
        <v>114</v>
      </c>
      <c r="B26" s="15">
        <v>6.4319000309812001E-6</v>
      </c>
      <c r="C26" s="15">
        <v>9.4314643078756708E-6</v>
      </c>
      <c r="D26" s="15">
        <v>2.48370889891045E-5</v>
      </c>
      <c r="E26" s="15">
        <v>6.39460363360619E-5</v>
      </c>
      <c r="F26" s="15">
        <v>4.4794284372847298E-3</v>
      </c>
      <c r="G26" s="19">
        <v>8.97552383302412E-5</v>
      </c>
      <c r="H26" s="15">
        <v>7.3827464182327405E-5</v>
      </c>
      <c r="I26" s="15">
        <v>2.3225676806978401E-4</v>
      </c>
      <c r="J26" s="15">
        <v>2.9294614387635901E-5</v>
      </c>
      <c r="K26" s="15">
        <v>9.3589356106272902E-5</v>
      </c>
      <c r="L26" s="15">
        <v>8.3321526132838102E-4</v>
      </c>
      <c r="M26" s="15">
        <v>1.20305510156684E-3</v>
      </c>
      <c r="N26" s="15">
        <v>2.2625015456002401E-4</v>
      </c>
      <c r="O26" s="15">
        <v>5.9493532366857901E-5</v>
      </c>
      <c r="P26" s="15">
        <v>3.4837780421732303E-5</v>
      </c>
      <c r="Q26" s="15">
        <v>6.1441633939841303E-4</v>
      </c>
      <c r="R26" s="15">
        <v>3.0032163387056E-3</v>
      </c>
      <c r="S26" s="15">
        <v>1.3771170696942999E-4</v>
      </c>
      <c r="T26" s="15">
        <v>2.36984844678546E-4</v>
      </c>
      <c r="U26" s="15">
        <v>2.7091289312896499E-3</v>
      </c>
      <c r="V26" s="15">
        <v>1.02179496023745E-2</v>
      </c>
      <c r="W26" s="15">
        <v>9.7373641503731596E-5</v>
      </c>
      <c r="X26" s="15">
        <v>2.05852061086933E-4</v>
      </c>
      <c r="Y26" s="15">
        <v>2.2687615706572101E-4</v>
      </c>
      <c r="Z26" s="15">
        <v>1.308915792568E-4</v>
      </c>
      <c r="AA26" s="15">
        <v>2.3965439053889E-4</v>
      </c>
      <c r="AB26" s="15">
        <v>2.2323709261438699E-4</v>
      </c>
      <c r="AC26" s="15">
        <v>1.06287490289755E-3</v>
      </c>
      <c r="AD26" s="15">
        <v>8.4162559380139104E-5</v>
      </c>
      <c r="AE26" s="15">
        <v>1.07551484589999E-4</v>
      </c>
      <c r="AF26" s="15">
        <v>1.2993051665541401E-4</v>
      </c>
      <c r="AG26" s="15">
        <v>2.6829539686951299E-4</v>
      </c>
      <c r="AH26" s="15">
        <v>1.5584447243073999E-4</v>
      </c>
      <c r="AI26" s="15">
        <v>3.71957741396818E-3</v>
      </c>
      <c r="AJ26" s="15">
        <v>4.6973065862483302E-4</v>
      </c>
      <c r="AK26" s="15">
        <v>8.3074207536395903E-5</v>
      </c>
      <c r="AL26" s="15">
        <v>4.4805813979370698E-5</v>
      </c>
      <c r="AM26" s="15">
        <v>6.2091923561664202E-4</v>
      </c>
      <c r="AN26" s="15">
        <v>6.3360670084793605E-5</v>
      </c>
      <c r="AO26" s="15">
        <v>1.12289808893035E-4</v>
      </c>
      <c r="AP26" s="15">
        <v>2.4471876420380597E-4</v>
      </c>
      <c r="AQ26" s="15">
        <v>2.5761577934745202E-4</v>
      </c>
      <c r="AR26" s="15">
        <v>1.2819364194648999E-3</v>
      </c>
      <c r="AS26" s="15">
        <v>1.8029588535386899E-4</v>
      </c>
      <c r="AT26" s="15">
        <v>4.0115430115819498E-4</v>
      </c>
      <c r="AU26" s="15">
        <v>4.0793782275112597E-3</v>
      </c>
      <c r="AV26" s="15">
        <v>9.3952099809858003E-4</v>
      </c>
      <c r="AW26" s="15">
        <v>3.7884780091693301E-4</v>
      </c>
      <c r="AX26" s="15">
        <v>5.9449805698130005E-4</v>
      </c>
      <c r="AY26" s="15">
        <v>1.5887671945637399E-4</v>
      </c>
      <c r="AZ26" s="15">
        <v>5.8491638701898305E-4</v>
      </c>
      <c r="BA26" s="15">
        <v>6.6618206666691805E-4</v>
      </c>
      <c r="BB26" s="15">
        <v>2.6413241727246998E-4</v>
      </c>
      <c r="BC26" s="15">
        <v>1.1670210431224799E-2</v>
      </c>
      <c r="BD26" s="15">
        <v>2.8726221736539801E-3</v>
      </c>
      <c r="BE26" s="15">
        <v>1.79619325866149E-3</v>
      </c>
      <c r="BF26" s="15">
        <v>4.31461901609731E-4</v>
      </c>
      <c r="BG26" s="15">
        <v>1.9018889278015799E-3</v>
      </c>
      <c r="BH26" s="15">
        <v>4.36234860123994E-6</v>
      </c>
      <c r="BI26" s="15">
        <v>1.09370957002399E-2</v>
      </c>
      <c r="BJ26" s="15">
        <v>7.4182205333977297E-4</v>
      </c>
      <c r="BK26" s="15">
        <v>3.6259617638205199E-3</v>
      </c>
      <c r="BL26" s="15">
        <v>3.7597552388387299E-4</v>
      </c>
      <c r="BM26" s="15">
        <v>2.6283328168325601E-3</v>
      </c>
      <c r="BN26" s="15">
        <v>3.0097746898555999E-3</v>
      </c>
      <c r="BO26" s="15">
        <v>5.7176835463127905E-4</v>
      </c>
      <c r="BP26" s="15">
        <v>8.1067859389195602E-4</v>
      </c>
      <c r="BQ26" s="15">
        <v>9.5601207435443895E-4</v>
      </c>
      <c r="BR26" s="15">
        <v>1.6348504926219301E-4</v>
      </c>
      <c r="BS26" s="15">
        <v>2.6367355435657999E-3</v>
      </c>
      <c r="BT26" s="15">
        <v>8.6364994169178095E-4</v>
      </c>
      <c r="BU26" s="15">
        <v>4.1143256485410998E-4</v>
      </c>
      <c r="BV26" s="15">
        <v>1.6343780498200499E-4</v>
      </c>
      <c r="BW26" s="15">
        <v>5.8281204827161299E-4</v>
      </c>
      <c r="BX26" s="15">
        <v>8.1416925596707404E-4</v>
      </c>
      <c r="BY26" s="15">
        <v>2.0204237315131698E-3</v>
      </c>
      <c r="BZ26" s="15">
        <v>0</v>
      </c>
      <c r="CA26" s="15">
        <v>1.04298587922144E-2</v>
      </c>
    </row>
    <row r="27" spans="1:79" x14ac:dyDescent="0.3">
      <c r="A27" s="7" t="s">
        <v>115</v>
      </c>
      <c r="B27" s="16">
        <v>1.1664452801403999E-2</v>
      </c>
      <c r="C27" s="16">
        <v>7.6157530295041997E-3</v>
      </c>
      <c r="D27" s="16">
        <v>7.8314186053731697E-3</v>
      </c>
      <c r="E27" s="16">
        <v>7.8529084455127698E-2</v>
      </c>
      <c r="F27" s="16">
        <v>1.2064506694272399E-2</v>
      </c>
      <c r="G27" s="19">
        <v>6.2399387934946099E-3</v>
      </c>
      <c r="H27" s="16">
        <v>7.5245841199277699E-2</v>
      </c>
      <c r="I27" s="16">
        <v>6.6495171547222495E-2</v>
      </c>
      <c r="J27" s="16">
        <v>7.1314418688522299E-2</v>
      </c>
      <c r="K27" s="16">
        <v>6.6282147125284602E-3</v>
      </c>
      <c r="L27" s="16">
        <v>3.3645948014927998E-2</v>
      </c>
      <c r="M27" s="16">
        <v>8.3749807180413197E-3</v>
      </c>
      <c r="N27" s="16">
        <v>6.8903669075659601E-3</v>
      </c>
      <c r="O27" s="16">
        <v>7.2383345290711098E-3</v>
      </c>
      <c r="P27" s="16">
        <v>3.6007746683149201E-3</v>
      </c>
      <c r="Q27" s="16">
        <v>5.37630699187212E-3</v>
      </c>
      <c r="R27" s="16">
        <v>3.9065513810968896E-3</v>
      </c>
      <c r="S27" s="16">
        <v>2.7701645859667398E-3</v>
      </c>
      <c r="T27" s="16">
        <v>1.3523773663980901E-2</v>
      </c>
      <c r="U27" s="16">
        <v>1.4420513890250401E-2</v>
      </c>
      <c r="V27" s="16">
        <v>8.7670480064292993E-3</v>
      </c>
      <c r="W27" s="16">
        <v>6.9294707849109401E-3</v>
      </c>
      <c r="X27" s="16">
        <v>1.92079049125938E-2</v>
      </c>
      <c r="Y27" s="16">
        <v>7.8541426804681798E-3</v>
      </c>
      <c r="Z27" s="16">
        <v>2.4053200529935401E-2</v>
      </c>
      <c r="AA27" s="16">
        <v>1.0306256078938701E-2</v>
      </c>
      <c r="AB27" s="16">
        <v>6.8620210281912699E-3</v>
      </c>
      <c r="AC27" s="16">
        <v>2.3117660588863899E-3</v>
      </c>
      <c r="AD27" s="16">
        <v>8.6321202394457205E-4</v>
      </c>
      <c r="AE27" s="16">
        <v>1.4007179518878701E-3</v>
      </c>
      <c r="AF27" s="16">
        <v>2.8272403056163E-3</v>
      </c>
      <c r="AG27" s="16">
        <v>6.2640808708092103E-3</v>
      </c>
      <c r="AH27" s="16">
        <v>1.28669401345723E-3</v>
      </c>
      <c r="AI27" s="16">
        <v>1.50294316615313E-3</v>
      </c>
      <c r="AJ27" s="16">
        <v>6.72879601095205E-4</v>
      </c>
      <c r="AK27" s="16">
        <v>6.2627513176757493E-2</v>
      </c>
      <c r="AL27" s="16">
        <v>0.12511849228868199</v>
      </c>
      <c r="AM27" s="16">
        <v>5.0229219390384203E-2</v>
      </c>
      <c r="AN27" s="16">
        <v>5.4391052483996997E-2</v>
      </c>
      <c r="AO27" s="16">
        <v>0.12964484476985799</v>
      </c>
      <c r="AP27" s="16">
        <v>7.00475151014395E-2</v>
      </c>
      <c r="AQ27" s="16">
        <v>0.130843692707002</v>
      </c>
      <c r="AR27" s="16">
        <v>3.51983981364421E-3</v>
      </c>
      <c r="AS27" s="16">
        <v>3.9334314104834999E-3</v>
      </c>
      <c r="AT27" s="16">
        <v>9.9038474086603004E-2</v>
      </c>
      <c r="AU27" s="16">
        <v>1.5851225741424599E-2</v>
      </c>
      <c r="AV27" s="16">
        <v>5.1238585872484298E-3</v>
      </c>
      <c r="AW27" s="16">
        <v>2.5792759529053499E-3</v>
      </c>
      <c r="AX27" s="16">
        <v>6.2307332303938997E-3</v>
      </c>
      <c r="AY27" s="16">
        <v>8.5480071826754996E-3</v>
      </c>
      <c r="AZ27" s="16">
        <v>7.3164281115863103E-3</v>
      </c>
      <c r="BA27" s="16">
        <v>1.6181157613119699E-3</v>
      </c>
      <c r="BB27" s="16">
        <v>1.83900514851896E-4</v>
      </c>
      <c r="BC27" s="16">
        <v>9.2552866775134001E-4</v>
      </c>
      <c r="BD27" s="16">
        <v>6.7010515078926103E-3</v>
      </c>
      <c r="BE27" s="16">
        <v>6.5853357395760301E-4</v>
      </c>
      <c r="BF27" s="16">
        <v>1.9857139073753099E-3</v>
      </c>
      <c r="BG27" s="16">
        <v>1.9740079773909101E-2</v>
      </c>
      <c r="BH27" s="16">
        <v>1.7893633574443801E-4</v>
      </c>
      <c r="BI27" s="16">
        <v>7.6418668930106201E-3</v>
      </c>
      <c r="BJ27" s="16">
        <v>6.7925638606572501E-3</v>
      </c>
      <c r="BK27" s="16">
        <v>7.1418226138684404E-3</v>
      </c>
      <c r="BL27" s="16">
        <v>2.3001667794880099E-2</v>
      </c>
      <c r="BM27" s="16">
        <v>1.4649313012445901E-3</v>
      </c>
      <c r="BN27" s="16">
        <v>2.9089979636530401E-3</v>
      </c>
      <c r="BO27" s="16">
        <v>1.1730850784388901E-3</v>
      </c>
      <c r="BP27" s="16">
        <v>1.0507809770074801E-2</v>
      </c>
      <c r="BQ27" s="16">
        <v>4.0067672281594198E-3</v>
      </c>
      <c r="BR27" s="16">
        <v>9.0269892779652695E-4</v>
      </c>
      <c r="BS27" s="16">
        <v>2.98246641636304E-3</v>
      </c>
      <c r="BT27" s="16">
        <v>3.40530616561257E-3</v>
      </c>
      <c r="BU27" s="16">
        <v>2.0572244451218598E-3</v>
      </c>
      <c r="BV27" s="16">
        <v>3.0356202423422098E-3</v>
      </c>
      <c r="BW27" s="16">
        <v>9.9718629361167498E-3</v>
      </c>
      <c r="BX27" s="16">
        <v>2.3643004275064501E-3</v>
      </c>
      <c r="BY27" s="16">
        <v>5.8695722053501804E-3</v>
      </c>
      <c r="BZ27" s="16">
        <v>0</v>
      </c>
      <c r="CA27" s="16">
        <v>9.1310196646642895E-3</v>
      </c>
    </row>
    <row r="28" spans="1:79" x14ac:dyDescent="0.3">
      <c r="A28" s="8" t="s">
        <v>116</v>
      </c>
      <c r="B28" s="15">
        <v>4.16237920926157E-2</v>
      </c>
      <c r="C28" s="15">
        <v>5.5835156749766196E-3</v>
      </c>
      <c r="D28" s="15">
        <v>1.0486593608855E-2</v>
      </c>
      <c r="E28" s="15">
        <v>1.74725035308529E-2</v>
      </c>
      <c r="F28" s="15">
        <v>7.4209059877082498E-2</v>
      </c>
      <c r="G28" s="19">
        <v>4.0230045977465101E-2</v>
      </c>
      <c r="H28" s="15">
        <v>5.3055777289435597E-3</v>
      </c>
      <c r="I28" s="15">
        <v>1.1089986047397001E-2</v>
      </c>
      <c r="J28" s="15">
        <v>3.6150323348615502E-3</v>
      </c>
      <c r="K28" s="15">
        <v>4.98235792486701E-3</v>
      </c>
      <c r="L28" s="15">
        <v>7.7791632588322503E-3</v>
      </c>
      <c r="M28" s="15">
        <v>2.17863320998469E-2</v>
      </c>
      <c r="N28" s="15">
        <v>1.1550757992888801E-2</v>
      </c>
      <c r="O28" s="15">
        <v>7.1750027320920895E-2</v>
      </c>
      <c r="P28" s="15">
        <v>8.7052576872458098E-2</v>
      </c>
      <c r="Q28" s="15">
        <v>3.1677880842468503E-2</v>
      </c>
      <c r="R28" s="15">
        <v>9.6444603717392198E-3</v>
      </c>
      <c r="S28" s="15">
        <v>1.3029657078500401E-2</v>
      </c>
      <c r="T28" s="15">
        <v>1.9361266686673598E-2</v>
      </c>
      <c r="U28" s="15">
        <v>2.41707193355803E-2</v>
      </c>
      <c r="V28" s="15">
        <v>4.9185174059581699E-2</v>
      </c>
      <c r="W28" s="15">
        <v>1.8172627412069001E-2</v>
      </c>
      <c r="X28" s="15">
        <v>8.9792832939647002E-2</v>
      </c>
      <c r="Y28" s="15">
        <v>9.3539564316184001E-2</v>
      </c>
      <c r="Z28" s="15">
        <v>2.4391920343895802E-2</v>
      </c>
      <c r="AA28" s="15">
        <v>5.2704913016969699E-3</v>
      </c>
      <c r="AB28" s="15">
        <v>1.38282252155315E-2</v>
      </c>
      <c r="AC28" s="15">
        <v>4.8751140541967398E-3</v>
      </c>
      <c r="AD28" s="15">
        <v>2.2172294621211801E-3</v>
      </c>
      <c r="AE28" s="15">
        <v>7.8229494868980402E-3</v>
      </c>
      <c r="AF28" s="15">
        <v>9.9569544850915299E-3</v>
      </c>
      <c r="AG28" s="15">
        <v>1.0537844085259601E-2</v>
      </c>
      <c r="AH28" s="15">
        <v>1.53618412713858E-2</v>
      </c>
      <c r="AI28" s="15">
        <v>6.7278998939801699E-4</v>
      </c>
      <c r="AJ28" s="15">
        <v>1.711206144224E-3</v>
      </c>
      <c r="AK28" s="15">
        <v>1.43263016088108E-3</v>
      </c>
      <c r="AL28" s="15">
        <v>3.3646573035961999E-3</v>
      </c>
      <c r="AM28" s="15">
        <v>1.89049660217207E-2</v>
      </c>
      <c r="AN28" s="15">
        <v>1.8657845212733E-3</v>
      </c>
      <c r="AO28" s="15">
        <v>9.5778106018288706E-3</v>
      </c>
      <c r="AP28" s="15">
        <v>4.0368372150302503E-3</v>
      </c>
      <c r="AQ28" s="15">
        <v>6.3979733401646503E-3</v>
      </c>
      <c r="AR28" s="15">
        <v>3.9976269004295701E-3</v>
      </c>
      <c r="AS28" s="15">
        <v>5.7519083696698601E-4</v>
      </c>
      <c r="AT28" s="15">
        <v>3.9325933519668704E-3</v>
      </c>
      <c r="AU28" s="15">
        <v>5.2030969736345202E-3</v>
      </c>
      <c r="AV28" s="15">
        <v>1.88132291066385E-3</v>
      </c>
      <c r="AW28" s="15">
        <v>1.5411737635027799E-3</v>
      </c>
      <c r="AX28" s="15">
        <v>3.8454743261146099E-3</v>
      </c>
      <c r="AY28" s="15">
        <v>2.0866147816671599E-3</v>
      </c>
      <c r="AZ28" s="15">
        <v>8.1799220621182704E-4</v>
      </c>
      <c r="BA28" s="15">
        <v>2.7425981580854802E-3</v>
      </c>
      <c r="BB28" s="15">
        <v>1.7418737786425699E-4</v>
      </c>
      <c r="BC28" s="15">
        <v>3.6302541176606401E-4</v>
      </c>
      <c r="BD28" s="15">
        <v>1.15570042105068E-3</v>
      </c>
      <c r="BE28" s="15">
        <v>2.3363631879084901E-4</v>
      </c>
      <c r="BF28" s="15">
        <v>1.35056716704065E-3</v>
      </c>
      <c r="BG28" s="15">
        <v>1.42444792656362E-2</v>
      </c>
      <c r="BH28" s="15">
        <v>2.6246130391680299E-4</v>
      </c>
      <c r="BI28" s="15">
        <v>2.8042047228823801E-3</v>
      </c>
      <c r="BJ28" s="15">
        <v>3.06087263824991E-3</v>
      </c>
      <c r="BK28" s="15">
        <v>1.5735705834115599E-2</v>
      </c>
      <c r="BL28" s="15">
        <v>0.117000829320959</v>
      </c>
      <c r="BM28" s="15">
        <v>3.7087152248414601E-3</v>
      </c>
      <c r="BN28" s="15">
        <v>4.7749271353215501E-2</v>
      </c>
      <c r="BO28" s="15">
        <v>7.8655201928489293E-2</v>
      </c>
      <c r="BP28" s="15">
        <v>1.1790219442309E-2</v>
      </c>
      <c r="BQ28" s="15">
        <v>6.7558962276656101E-2</v>
      </c>
      <c r="BR28" s="15">
        <v>2.4825234782862699E-3</v>
      </c>
      <c r="BS28" s="15">
        <v>5.0343294881689399E-3</v>
      </c>
      <c r="BT28" s="15">
        <v>2.3273152225102602E-2</v>
      </c>
      <c r="BU28" s="15">
        <v>1.7356446943290998E-2</v>
      </c>
      <c r="BV28" s="15">
        <v>2.21428826621402E-3</v>
      </c>
      <c r="BW28" s="15">
        <v>2.3046514295648201E-2</v>
      </c>
      <c r="BX28" s="15">
        <v>2.5223924187216099E-2</v>
      </c>
      <c r="BY28" s="15">
        <v>1.8239102796200401E-2</v>
      </c>
      <c r="BZ28" s="15">
        <v>0</v>
      </c>
      <c r="CA28" s="15">
        <v>3.9367397742198001E-3</v>
      </c>
    </row>
    <row r="29" spans="1:79" x14ac:dyDescent="0.3">
      <c r="A29" s="7" t="s">
        <v>117</v>
      </c>
      <c r="B29" s="16">
        <v>3.7400253890759899E-3</v>
      </c>
      <c r="C29" s="16">
        <v>9.3765668481765095E-5</v>
      </c>
      <c r="D29" s="16">
        <v>1.4328155875627899E-3</v>
      </c>
      <c r="E29" s="16">
        <v>1.1801939667415301E-3</v>
      </c>
      <c r="F29" s="16">
        <v>1.220708950198E-3</v>
      </c>
      <c r="G29" s="19">
        <v>7.1582202365649703E-5</v>
      </c>
      <c r="H29" s="16">
        <v>1.64156673185263E-4</v>
      </c>
      <c r="I29" s="16">
        <v>1.36793482283984E-3</v>
      </c>
      <c r="J29" s="16">
        <v>1.1253747090488699E-4</v>
      </c>
      <c r="K29" s="16">
        <v>9.2828173265137003E-3</v>
      </c>
      <c r="L29" s="16">
        <v>6.8763764046378996E-3</v>
      </c>
      <c r="M29" s="16">
        <v>2.2425394114080999E-3</v>
      </c>
      <c r="N29" s="16">
        <v>6.5411956075489197E-3</v>
      </c>
      <c r="O29" s="16">
        <v>1.5152389769342699E-2</v>
      </c>
      <c r="P29" s="16">
        <v>4.81208864703557E-3</v>
      </c>
      <c r="Q29" s="16">
        <v>5.4724133814972901E-3</v>
      </c>
      <c r="R29" s="16">
        <v>5.8309038573383801E-3</v>
      </c>
      <c r="S29" s="16">
        <v>1.6273568454695901E-2</v>
      </c>
      <c r="T29" s="16">
        <v>1.6322063296852799E-3</v>
      </c>
      <c r="U29" s="16">
        <v>9.0288362022336293E-3</v>
      </c>
      <c r="V29" s="16">
        <v>3.28481489987393E-2</v>
      </c>
      <c r="W29" s="16">
        <v>1.9480332251133501E-4</v>
      </c>
      <c r="X29" s="16">
        <v>4.1885973147415901E-3</v>
      </c>
      <c r="Y29" s="16">
        <v>4.4321999841997597E-2</v>
      </c>
      <c r="Z29" s="16">
        <v>3.6867321535193399E-3</v>
      </c>
      <c r="AA29" s="16">
        <v>9.7728440971654295E-4</v>
      </c>
      <c r="AB29" s="16">
        <v>5.4083506828300001E-3</v>
      </c>
      <c r="AC29" s="16">
        <v>6.3410338784112199E-3</v>
      </c>
      <c r="AD29" s="16">
        <v>6.4236244654216198E-3</v>
      </c>
      <c r="AE29" s="16">
        <v>2.3195926324767999E-2</v>
      </c>
      <c r="AF29" s="16">
        <v>2.12272588668731E-2</v>
      </c>
      <c r="AG29" s="16">
        <v>4.7721944117168701E-2</v>
      </c>
      <c r="AH29" s="16">
        <v>1.55061522470669E-2</v>
      </c>
      <c r="AI29" s="16">
        <v>1.68220266053774E-3</v>
      </c>
      <c r="AJ29" s="16">
        <v>3.4334907682769802E-3</v>
      </c>
      <c r="AK29" s="16">
        <v>8.7275646680334796E-4</v>
      </c>
      <c r="AL29" s="16">
        <v>1.8670049625680601E-4</v>
      </c>
      <c r="AM29" s="16">
        <v>3.0241371964766602E-4</v>
      </c>
      <c r="AN29" s="16">
        <v>3.3554385287870499E-4</v>
      </c>
      <c r="AO29" s="16">
        <v>9.1770817769123994E-5</v>
      </c>
      <c r="AP29" s="16">
        <v>8.3064716905375196E-5</v>
      </c>
      <c r="AQ29" s="16">
        <v>1.25204151753198E-4</v>
      </c>
      <c r="AR29" s="16">
        <v>5.4475114262864002E-4</v>
      </c>
      <c r="AS29" s="16">
        <v>5.4109184166223402E-5</v>
      </c>
      <c r="AT29" s="16">
        <v>3.4378161814296101E-4</v>
      </c>
      <c r="AU29" s="16">
        <v>8.9844905163660195E-4</v>
      </c>
      <c r="AV29" s="16">
        <v>8.8447081921324004E-4</v>
      </c>
      <c r="AW29" s="16">
        <v>9.08325249485578E-4</v>
      </c>
      <c r="AX29" s="16">
        <v>1.6610650310327899E-4</v>
      </c>
      <c r="AY29" s="16">
        <v>1.9121523390187601E-4</v>
      </c>
      <c r="AZ29" s="16">
        <v>7.9572381584308398E-4</v>
      </c>
      <c r="BA29" s="16">
        <v>1.9416016979066701E-4</v>
      </c>
      <c r="BB29" s="16">
        <v>1.9240588468665801E-3</v>
      </c>
      <c r="BC29" s="16">
        <v>7.6293169851010404E-4</v>
      </c>
      <c r="BD29" s="16">
        <v>1.68849130354969E-4</v>
      </c>
      <c r="BE29" s="16">
        <v>1.3368162831420299E-4</v>
      </c>
      <c r="BF29" s="16">
        <v>8.5792403937488406E-5</v>
      </c>
      <c r="BG29" s="16">
        <v>6.5345060569035201E-4</v>
      </c>
      <c r="BH29" s="16">
        <v>1.60086187201466E-6</v>
      </c>
      <c r="BI29" s="16">
        <v>5.9468425022834504E-4</v>
      </c>
      <c r="BJ29" s="16">
        <v>2.07031857434053E-4</v>
      </c>
      <c r="BK29" s="16">
        <v>1.1826502893893601E-2</v>
      </c>
      <c r="BL29" s="16">
        <v>1.3445584114275299E-2</v>
      </c>
      <c r="BM29" s="16">
        <v>9.2076272575188295E-4</v>
      </c>
      <c r="BN29" s="16">
        <v>1.94385132170236E-3</v>
      </c>
      <c r="BO29" s="16">
        <v>3.40187479650621E-3</v>
      </c>
      <c r="BP29" s="16">
        <v>1.1354304982877899E-3</v>
      </c>
      <c r="BQ29" s="16">
        <v>7.5685639311240101E-4</v>
      </c>
      <c r="BR29" s="16">
        <v>1.67654819590341E-3</v>
      </c>
      <c r="BS29" s="16">
        <v>7.6393932372351104E-3</v>
      </c>
      <c r="BT29" s="16">
        <v>9.4960916536365094E-3</v>
      </c>
      <c r="BU29" s="16">
        <v>3.4776146458033699E-3</v>
      </c>
      <c r="BV29" s="16">
        <v>8.6316434408175696E-3</v>
      </c>
      <c r="BW29" s="16">
        <v>1.1115477915219E-2</v>
      </c>
      <c r="BX29" s="16">
        <v>7.6420313186310396E-3</v>
      </c>
      <c r="BY29" s="16">
        <v>8.3294180683267192E-3</v>
      </c>
      <c r="BZ29" s="16">
        <v>0</v>
      </c>
      <c r="CA29" s="16">
        <v>8.0512780176001005E-4</v>
      </c>
    </row>
    <row r="30" spans="1:79" x14ac:dyDescent="0.3">
      <c r="A30" s="8" t="s">
        <v>118</v>
      </c>
      <c r="B30" s="15">
        <v>1.21926974872362E-3</v>
      </c>
      <c r="C30" s="15">
        <v>4.0938165939487898E-4</v>
      </c>
      <c r="D30" s="15">
        <v>1.5353206126505101E-4</v>
      </c>
      <c r="E30" s="15">
        <v>7.4568304400545104E-3</v>
      </c>
      <c r="F30" s="15">
        <v>3.5508122024714402E-3</v>
      </c>
      <c r="G30" s="19">
        <v>7.2440602239590103E-4</v>
      </c>
      <c r="H30" s="15">
        <v>4.2204060111680598E-5</v>
      </c>
      <c r="I30" s="15">
        <v>1.2759148482608401E-2</v>
      </c>
      <c r="J30" s="15">
        <v>7.6238568033586298E-5</v>
      </c>
      <c r="K30" s="15">
        <v>6.4456535874212795E-2</v>
      </c>
      <c r="L30" s="15">
        <v>5.5204655015936098E-2</v>
      </c>
      <c r="M30" s="15">
        <v>3.6056669660553799E-2</v>
      </c>
      <c r="N30" s="15">
        <v>4.1190632770673197E-3</v>
      </c>
      <c r="O30" s="15">
        <v>3.8363364314077698E-2</v>
      </c>
      <c r="P30" s="15">
        <v>4.5858101255517799E-4</v>
      </c>
      <c r="Q30" s="15">
        <v>1.1753508803861699E-3</v>
      </c>
      <c r="R30" s="15">
        <v>1.4186763091298201E-3</v>
      </c>
      <c r="S30" s="15">
        <v>5.4922054532838803E-4</v>
      </c>
      <c r="T30" s="15">
        <v>1.8991714537914099E-3</v>
      </c>
      <c r="U30" s="15">
        <v>7.0948646326656601E-4</v>
      </c>
      <c r="V30" s="15">
        <v>1.35563796911034E-3</v>
      </c>
      <c r="W30" s="15">
        <v>5.1192887350887399E-4</v>
      </c>
      <c r="X30" s="15">
        <v>1.82353669925798E-3</v>
      </c>
      <c r="Y30" s="15">
        <v>1.64413886884479E-3</v>
      </c>
      <c r="Z30" s="15">
        <v>9.2064842067454397E-2</v>
      </c>
      <c r="AA30" s="15">
        <v>1.5856953340140001E-3</v>
      </c>
      <c r="AB30" s="15">
        <v>5.5910835843271302E-3</v>
      </c>
      <c r="AC30" s="15">
        <v>1.58304918029093E-3</v>
      </c>
      <c r="AD30" s="15">
        <v>1.43841578939881E-3</v>
      </c>
      <c r="AE30" s="15">
        <v>4.4621065478597597E-3</v>
      </c>
      <c r="AF30" s="15">
        <v>3.6469509603267499E-3</v>
      </c>
      <c r="AG30" s="15">
        <v>8.1674738909435201E-3</v>
      </c>
      <c r="AH30" s="15">
        <v>4.4172233824965003E-3</v>
      </c>
      <c r="AI30" s="15">
        <v>7.09990389834363E-4</v>
      </c>
      <c r="AJ30" s="15">
        <v>7.2884772136548495E-5</v>
      </c>
      <c r="AK30" s="15">
        <v>9.2769031630128595E-4</v>
      </c>
      <c r="AL30" s="15">
        <v>8.5117936177935803E-3</v>
      </c>
      <c r="AM30" s="15">
        <v>5.0861904001260996E-4</v>
      </c>
      <c r="AN30" s="15">
        <v>3.33678616414368E-3</v>
      </c>
      <c r="AO30" s="15">
        <v>1.07360056862439E-2</v>
      </c>
      <c r="AP30" s="15">
        <v>1.82344607925084E-2</v>
      </c>
      <c r="AQ30" s="15">
        <v>8.5950179043996298E-3</v>
      </c>
      <c r="AR30" s="15">
        <v>3.3121803655410901E-3</v>
      </c>
      <c r="AS30" s="15">
        <v>1.00050944307356E-4</v>
      </c>
      <c r="AT30" s="15">
        <v>1.6353248998158501E-2</v>
      </c>
      <c r="AU30" s="15">
        <v>3.0139415551889498E-4</v>
      </c>
      <c r="AV30" s="15">
        <v>8.9476575748183101E-4</v>
      </c>
      <c r="AW30" s="15">
        <v>3.6389958270926898E-3</v>
      </c>
      <c r="AX30" s="15">
        <v>5.4266390479956001E-3</v>
      </c>
      <c r="AY30" s="15">
        <v>8.0093647643286504E-3</v>
      </c>
      <c r="AZ30" s="15">
        <v>6.9700061854165597E-3</v>
      </c>
      <c r="BA30" s="15">
        <v>1.62463350552756E-3</v>
      </c>
      <c r="BB30" s="15">
        <v>5.0652038945089303E-5</v>
      </c>
      <c r="BC30" s="15">
        <v>1.5022324163222001E-4</v>
      </c>
      <c r="BD30" s="15">
        <v>1.6791567283444699E-4</v>
      </c>
      <c r="BE30" s="15">
        <v>9.5945553293722894E-5</v>
      </c>
      <c r="BF30" s="15">
        <v>2.4205571027741501E-3</v>
      </c>
      <c r="BG30" s="15">
        <v>5.2108440019832001E-3</v>
      </c>
      <c r="BH30" s="15">
        <v>7.0978213250449794E-5</v>
      </c>
      <c r="BI30" s="15">
        <v>2.1322921213697702E-3</v>
      </c>
      <c r="BJ30" s="15">
        <v>5.8891057638869502E-4</v>
      </c>
      <c r="BK30" s="15">
        <v>1.5582275319909601E-3</v>
      </c>
      <c r="BL30" s="15">
        <v>1.7798599940998599E-3</v>
      </c>
      <c r="BM30" s="15">
        <v>5.0194928480052704E-4</v>
      </c>
      <c r="BN30" s="15">
        <v>7.0229510660796196E-4</v>
      </c>
      <c r="BO30" s="15">
        <v>7.2297596526583498E-4</v>
      </c>
      <c r="BP30" s="15">
        <v>2.7305804039415801E-3</v>
      </c>
      <c r="BQ30" s="15">
        <v>7.8928804598142697E-4</v>
      </c>
      <c r="BR30" s="15">
        <v>5.9067989765595498E-4</v>
      </c>
      <c r="BS30" s="15">
        <v>2.0080699732385101E-3</v>
      </c>
      <c r="BT30" s="15">
        <v>3.6737759494616402E-3</v>
      </c>
      <c r="BU30" s="15">
        <v>3.3146028457504899E-3</v>
      </c>
      <c r="BV30" s="15">
        <v>2.01936937033725E-3</v>
      </c>
      <c r="BW30" s="15">
        <v>1.2593414284186499E-3</v>
      </c>
      <c r="BX30" s="15">
        <v>1.40157258841985E-3</v>
      </c>
      <c r="BY30" s="15">
        <v>8.2769963285264105E-4</v>
      </c>
      <c r="BZ30" s="15">
        <v>0</v>
      </c>
      <c r="CA30" s="15">
        <v>8.2421980771872898E-4</v>
      </c>
    </row>
    <row r="31" spans="1:79" x14ac:dyDescent="0.3">
      <c r="A31" s="7" t="s">
        <v>119</v>
      </c>
      <c r="B31" s="16">
        <v>1.2407621359856099E-4</v>
      </c>
      <c r="C31" s="16">
        <v>5.4187627472103298E-4</v>
      </c>
      <c r="D31" s="16">
        <v>3.3836371107042098E-3</v>
      </c>
      <c r="E31" s="16">
        <v>1.07902950898455E-3</v>
      </c>
      <c r="F31" s="16">
        <v>8.2355521860773002E-4</v>
      </c>
      <c r="G31" s="19">
        <v>2.3840167116581198E-2</v>
      </c>
      <c r="H31" s="16">
        <v>7.3976854888419897E-4</v>
      </c>
      <c r="I31" s="16">
        <v>1.9927722243032599E-3</v>
      </c>
      <c r="J31" s="16">
        <v>7.8054967307667001E-3</v>
      </c>
      <c r="K31" s="16">
        <v>4.6013451318946103E-2</v>
      </c>
      <c r="L31" s="16">
        <v>2.78118976533633E-2</v>
      </c>
      <c r="M31" s="16">
        <v>1.9589252716508999E-3</v>
      </c>
      <c r="N31" s="16">
        <v>3.7637595538901597E-4</v>
      </c>
      <c r="O31" s="16">
        <v>9.3141471405977798E-4</v>
      </c>
      <c r="P31" s="16">
        <v>6.91936432764567E-4</v>
      </c>
      <c r="Q31" s="16">
        <v>1.4839029733932801E-3</v>
      </c>
      <c r="R31" s="16">
        <v>9.6997578898310203E-4</v>
      </c>
      <c r="S31" s="16">
        <v>3.4492621924064599E-4</v>
      </c>
      <c r="T31" s="16">
        <v>3.1171230959578701E-4</v>
      </c>
      <c r="U31" s="16">
        <v>6.53911616062989E-4</v>
      </c>
      <c r="V31" s="16">
        <v>3.1727258676200001E-3</v>
      </c>
      <c r="W31" s="16">
        <v>2.5792581938993703E-4</v>
      </c>
      <c r="X31" s="16">
        <v>2.3901846871375999E-3</v>
      </c>
      <c r="Y31" s="16">
        <v>3.4719488210305802E-3</v>
      </c>
      <c r="Z31" s="16">
        <v>5.6716023686065797E-3</v>
      </c>
      <c r="AA31" s="16">
        <v>6.0455707186587902E-2</v>
      </c>
      <c r="AB31" s="16">
        <v>0.118681877493692</v>
      </c>
      <c r="AC31" s="16">
        <v>4.9949092000728897E-2</v>
      </c>
      <c r="AD31" s="16">
        <v>9.8477278663291999E-3</v>
      </c>
      <c r="AE31" s="16">
        <v>8.0364160738437398E-2</v>
      </c>
      <c r="AF31" s="16">
        <v>2.93178292723189E-2</v>
      </c>
      <c r="AG31" s="16">
        <v>3.3040651310444702E-2</v>
      </c>
      <c r="AH31" s="16">
        <v>1.1150392322291701E-2</v>
      </c>
      <c r="AI31" s="16">
        <v>1.60638218431079E-4</v>
      </c>
      <c r="AJ31" s="16">
        <v>2.7661012770483E-4</v>
      </c>
      <c r="AK31" s="16">
        <v>7.9669555481897802E-4</v>
      </c>
      <c r="AL31" s="16">
        <v>5.9107656917416196E-4</v>
      </c>
      <c r="AM31" s="16">
        <v>3.6032862373869298E-3</v>
      </c>
      <c r="AN31" s="16">
        <v>9.7431863448396499E-4</v>
      </c>
      <c r="AO31" s="16">
        <v>3.6837372539403998E-3</v>
      </c>
      <c r="AP31" s="16">
        <v>4.9078400245312903E-3</v>
      </c>
      <c r="AQ31" s="16">
        <v>3.4202561784027401E-3</v>
      </c>
      <c r="AR31" s="16">
        <v>2.0115308141994099E-2</v>
      </c>
      <c r="AS31" s="16">
        <v>2.2186807364157901E-3</v>
      </c>
      <c r="AT31" s="16">
        <v>5.0788350657423598E-3</v>
      </c>
      <c r="AU31" s="16">
        <v>2.5499538681791001E-2</v>
      </c>
      <c r="AV31" s="16">
        <v>9.2010240196321402E-4</v>
      </c>
      <c r="AW31" s="16">
        <v>1.9280821559285899E-3</v>
      </c>
      <c r="AX31" s="16">
        <v>1.87740878449289E-3</v>
      </c>
      <c r="AY31" s="16">
        <v>3.59832263985873E-3</v>
      </c>
      <c r="AZ31" s="16">
        <v>9.2243095704123198E-4</v>
      </c>
      <c r="BA31" s="16">
        <v>3.54187942241809E-3</v>
      </c>
      <c r="BB31" s="16">
        <v>6.2421393715076496E-4</v>
      </c>
      <c r="BC31" s="16">
        <v>1.3807674317075399E-3</v>
      </c>
      <c r="BD31" s="16">
        <v>1.97490274106067E-3</v>
      </c>
      <c r="BE31" s="16">
        <v>1.01300574367356E-3</v>
      </c>
      <c r="BF31" s="16">
        <v>7.8402395014056704E-4</v>
      </c>
      <c r="BG31" s="16">
        <v>1.7700547420116399E-3</v>
      </c>
      <c r="BH31" s="16">
        <v>3.0856612583082497E-5</v>
      </c>
      <c r="BI31" s="16">
        <v>1.20640707800332E-3</v>
      </c>
      <c r="BJ31" s="16">
        <v>3.62129387959311E-3</v>
      </c>
      <c r="BK31" s="16">
        <v>2.4658840874482099E-3</v>
      </c>
      <c r="BL31" s="16">
        <v>6.1982373585270801E-3</v>
      </c>
      <c r="BM31" s="16">
        <v>1.3631598361937001E-3</v>
      </c>
      <c r="BN31" s="16">
        <v>1.71660510637728E-3</v>
      </c>
      <c r="BO31" s="16">
        <v>1.7819109592111201E-3</v>
      </c>
      <c r="BP31" s="16">
        <v>3.7714462925431502E-3</v>
      </c>
      <c r="BQ31" s="16">
        <v>4.4581003664511702E-3</v>
      </c>
      <c r="BR31" s="16">
        <v>9.87491770901909E-4</v>
      </c>
      <c r="BS31" s="16">
        <v>8.4082749249398004E-3</v>
      </c>
      <c r="BT31" s="16">
        <v>5.0916482763295103E-3</v>
      </c>
      <c r="BU31" s="16">
        <v>1.1456400785329699E-3</v>
      </c>
      <c r="BV31" s="16">
        <v>5.8697401495047899E-4</v>
      </c>
      <c r="BW31" s="16">
        <v>3.4919525761630897E-2</v>
      </c>
      <c r="BX31" s="16">
        <v>9.0993307218053198E-4</v>
      </c>
      <c r="BY31" s="16">
        <v>1.31479651136032E-3</v>
      </c>
      <c r="BZ31" s="16">
        <v>0</v>
      </c>
      <c r="CA31" s="16">
        <v>4.1760234922657603E-3</v>
      </c>
    </row>
    <row r="32" spans="1:79" x14ac:dyDescent="0.3">
      <c r="A32" s="8" t="s">
        <v>120</v>
      </c>
      <c r="B32" s="15">
        <v>5.1714262887986296E-4</v>
      </c>
      <c r="C32" s="15">
        <v>5.0549379062099203E-3</v>
      </c>
      <c r="D32" s="15">
        <v>4.0457397888257702E-4</v>
      </c>
      <c r="E32" s="15">
        <v>2.8749598160756999E-3</v>
      </c>
      <c r="F32" s="15">
        <v>1.08164741830833E-2</v>
      </c>
      <c r="G32" s="19">
        <v>2.7512246114771901E-3</v>
      </c>
      <c r="H32" s="15">
        <v>1.4218201170335801E-4</v>
      </c>
      <c r="I32" s="15">
        <v>7.1493955762814499E-3</v>
      </c>
      <c r="J32" s="15">
        <v>2.07687780924426E-2</v>
      </c>
      <c r="K32" s="15">
        <v>1.7543165041318799E-2</v>
      </c>
      <c r="L32" s="15">
        <v>3.7136622474340499E-2</v>
      </c>
      <c r="M32" s="15">
        <v>2.2800039868329802E-2</v>
      </c>
      <c r="N32" s="15">
        <v>1.6305629297215601E-3</v>
      </c>
      <c r="O32" s="15">
        <v>2.1412606676707802E-2</v>
      </c>
      <c r="P32" s="15">
        <v>4.4988422284803799E-4</v>
      </c>
      <c r="Q32" s="15">
        <v>1.9914615367032898E-3</v>
      </c>
      <c r="R32" s="15">
        <v>5.8927697217756297E-4</v>
      </c>
      <c r="S32" s="15">
        <v>1.27463752773524E-3</v>
      </c>
      <c r="T32" s="15">
        <v>4.68460282832349E-3</v>
      </c>
      <c r="U32" s="15">
        <v>1.1563134776934401E-3</v>
      </c>
      <c r="V32" s="15">
        <v>1.5390745910588801E-3</v>
      </c>
      <c r="W32" s="15">
        <v>3.3406249033725099E-4</v>
      </c>
      <c r="X32" s="15">
        <v>6.8209799154572703E-4</v>
      </c>
      <c r="Y32" s="15">
        <v>3.08335212049857E-3</v>
      </c>
      <c r="Z32" s="15">
        <v>1.22322873913766E-3</v>
      </c>
      <c r="AA32" s="15">
        <v>7.6283798446548402E-3</v>
      </c>
      <c r="AB32" s="15">
        <v>1.60287859039706E-2</v>
      </c>
      <c r="AC32" s="15">
        <v>6.5117219649493503E-3</v>
      </c>
      <c r="AD32" s="15">
        <v>1.7344639237075799E-3</v>
      </c>
      <c r="AE32" s="15">
        <v>5.2454278412562196E-3</v>
      </c>
      <c r="AF32" s="15">
        <v>4.7325157837212204E-3</v>
      </c>
      <c r="AG32" s="15">
        <v>7.6617443864409E-3</v>
      </c>
      <c r="AH32" s="15">
        <v>1.3957582348720101E-3</v>
      </c>
      <c r="AI32" s="15">
        <v>1.65324287262863E-4</v>
      </c>
      <c r="AJ32" s="15">
        <v>5.8923188859264202E-4</v>
      </c>
      <c r="AK32" s="15">
        <v>6.2435329699949305E-4</v>
      </c>
      <c r="AL32" s="15">
        <v>2.7695899915049001E-3</v>
      </c>
      <c r="AM32" s="15">
        <v>9.3145666675340303E-4</v>
      </c>
      <c r="AN32" s="15">
        <v>1.14561366961943E-3</v>
      </c>
      <c r="AO32" s="15">
        <v>4.4364095359508702E-3</v>
      </c>
      <c r="AP32" s="15">
        <v>7.2627035292936598E-3</v>
      </c>
      <c r="AQ32" s="15">
        <v>3.7866018790095402E-3</v>
      </c>
      <c r="AR32" s="15">
        <v>9.7813675665564398E-3</v>
      </c>
      <c r="AS32" s="15">
        <v>4.8494080148973802E-4</v>
      </c>
      <c r="AT32" s="15">
        <v>6.7965312099279897E-3</v>
      </c>
      <c r="AU32" s="15">
        <v>1.0929050809767599E-2</v>
      </c>
      <c r="AV32" s="15">
        <v>5.9383916372058795E-4</v>
      </c>
      <c r="AW32" s="15">
        <v>1.90016049360172E-3</v>
      </c>
      <c r="AX32" s="15">
        <v>1.8634717851633001E-3</v>
      </c>
      <c r="AY32" s="15">
        <v>3.2468884487487702E-3</v>
      </c>
      <c r="AZ32" s="15">
        <v>1.20976742076591E-3</v>
      </c>
      <c r="BA32" s="15">
        <v>6.6137951829753805E-4</v>
      </c>
      <c r="BB32" s="15">
        <v>2.35407958939811E-3</v>
      </c>
      <c r="BC32" s="15">
        <v>1.9258972808522501E-4</v>
      </c>
      <c r="BD32" s="15">
        <v>2.8233089463555597E-4</v>
      </c>
      <c r="BE32" s="15">
        <v>1.04203349368932E-4</v>
      </c>
      <c r="BF32" s="15">
        <v>7.3107493104071898E-4</v>
      </c>
      <c r="BG32" s="15">
        <v>2.2844392506412101E-3</v>
      </c>
      <c r="BH32" s="15">
        <v>2.52135744842308E-5</v>
      </c>
      <c r="BI32" s="15">
        <v>1.90923389289471E-3</v>
      </c>
      <c r="BJ32" s="15">
        <v>4.9168662725068105E-4</v>
      </c>
      <c r="BK32" s="15">
        <v>3.8647587263963201E-3</v>
      </c>
      <c r="BL32" s="15">
        <v>2.0802375264096201E-2</v>
      </c>
      <c r="BM32" s="15">
        <v>2.17814086267495E-3</v>
      </c>
      <c r="BN32" s="15">
        <v>1.63792910693872E-3</v>
      </c>
      <c r="BO32" s="15">
        <v>2.9840343508815699E-3</v>
      </c>
      <c r="BP32" s="15">
        <v>1.57483926200293E-3</v>
      </c>
      <c r="BQ32" s="15">
        <v>3.3577806922735101E-3</v>
      </c>
      <c r="BR32" s="15">
        <v>1.5751063238842E-3</v>
      </c>
      <c r="BS32" s="15">
        <v>1.3130109374045701E-3</v>
      </c>
      <c r="BT32" s="15">
        <v>6.1231970326855196E-3</v>
      </c>
      <c r="BU32" s="15">
        <v>1.78028555033481E-3</v>
      </c>
      <c r="BV32" s="15">
        <v>9.3610869324033596E-4</v>
      </c>
      <c r="BW32" s="15">
        <v>1.8816284698513899E-2</v>
      </c>
      <c r="BX32" s="15">
        <v>8.6155025391467192E-3</v>
      </c>
      <c r="BY32" s="15">
        <v>1.41820625457019E-3</v>
      </c>
      <c r="BZ32" s="15">
        <v>0</v>
      </c>
      <c r="CA32" s="15">
        <v>6.2099059978251497E-4</v>
      </c>
    </row>
    <row r="33" spans="1:79" x14ac:dyDescent="0.3">
      <c r="A33" s="7" t="s">
        <v>121</v>
      </c>
      <c r="B33" s="16">
        <v>1.72133138795889E-3</v>
      </c>
      <c r="C33" s="16">
        <v>4.5586285413281598E-4</v>
      </c>
      <c r="D33" s="16">
        <v>2.4375729654530301E-4</v>
      </c>
      <c r="E33" s="16">
        <v>2.0920670567128199E-4</v>
      </c>
      <c r="F33" s="16">
        <v>1.9642176802681598E-3</v>
      </c>
      <c r="G33" s="19">
        <v>2.1113072452677399E-3</v>
      </c>
      <c r="H33" s="16">
        <v>7.2598429214584695E-4</v>
      </c>
      <c r="I33" s="16">
        <v>1.5441616072409001E-2</v>
      </c>
      <c r="J33" s="16">
        <v>1.2599959377844799E-3</v>
      </c>
      <c r="K33" s="16">
        <v>5.0151070953032501E-3</v>
      </c>
      <c r="L33" s="16">
        <v>3.1689843830315801E-3</v>
      </c>
      <c r="M33" s="16">
        <v>3.1607433879717998E-3</v>
      </c>
      <c r="N33" s="16">
        <v>4.6808334717132998E-4</v>
      </c>
      <c r="O33" s="16">
        <v>5.5740366234817201E-4</v>
      </c>
      <c r="P33" s="16">
        <v>2.06779083793508E-4</v>
      </c>
      <c r="Q33" s="16">
        <v>8.0722171475301903E-4</v>
      </c>
      <c r="R33" s="16">
        <v>3.7100488334925401E-4</v>
      </c>
      <c r="S33" s="16">
        <v>3.3998801821493401E-4</v>
      </c>
      <c r="T33" s="16">
        <v>6.7748064795844401E-4</v>
      </c>
      <c r="U33" s="16">
        <v>5.47604714944926E-4</v>
      </c>
      <c r="V33" s="16">
        <v>1.57769466563858E-3</v>
      </c>
      <c r="W33" s="16">
        <v>1.2520025729217301E-4</v>
      </c>
      <c r="X33" s="16">
        <v>4.3047754355522E-4</v>
      </c>
      <c r="Y33" s="16">
        <v>6.1411173876619403E-4</v>
      </c>
      <c r="Z33" s="16">
        <v>4.5302031697158201E-4</v>
      </c>
      <c r="AA33" s="16">
        <v>1.0960266796304801E-3</v>
      </c>
      <c r="AB33" s="16">
        <v>2.5264464837468198E-3</v>
      </c>
      <c r="AC33" s="16">
        <v>1.0366712590765499E-2</v>
      </c>
      <c r="AD33" s="16">
        <v>8.9173814186432995E-4</v>
      </c>
      <c r="AE33" s="16">
        <v>9.8626776514877494E-4</v>
      </c>
      <c r="AF33" s="16">
        <v>1.3387344514306199E-3</v>
      </c>
      <c r="AG33" s="16">
        <v>6.28493524752261E-4</v>
      </c>
      <c r="AH33" s="16">
        <v>7.7888048187139101E-4</v>
      </c>
      <c r="AI33" s="16">
        <v>1.14689314795618E-4</v>
      </c>
      <c r="AJ33" s="16">
        <v>2.22488882054384E-4</v>
      </c>
      <c r="AK33" s="16">
        <v>2.1394256406469001E-4</v>
      </c>
      <c r="AL33" s="16">
        <v>1.2287742361095E-4</v>
      </c>
      <c r="AM33" s="16">
        <v>1.1440426800503899E-2</v>
      </c>
      <c r="AN33" s="16">
        <v>2.9993777959281799E-4</v>
      </c>
      <c r="AO33" s="16">
        <v>3.4611887038036503E-4</v>
      </c>
      <c r="AP33" s="16">
        <v>2.2890058773784999E-4</v>
      </c>
      <c r="AQ33" s="16">
        <v>3.4534105672715898E-4</v>
      </c>
      <c r="AR33" s="16">
        <v>7.3728347712217698E-4</v>
      </c>
      <c r="AS33" s="16">
        <v>1.36600166819636E-4</v>
      </c>
      <c r="AT33" s="16">
        <v>2.3120044234317E-4</v>
      </c>
      <c r="AU33" s="16">
        <v>6.4539905072384305E-4</v>
      </c>
      <c r="AV33" s="16">
        <v>1.5936502793442099E-3</v>
      </c>
      <c r="AW33" s="16">
        <v>1.9090427271273201E-3</v>
      </c>
      <c r="AX33" s="16">
        <v>1.8911028250385999E-3</v>
      </c>
      <c r="AY33" s="16">
        <v>9.7281363341495297E-4</v>
      </c>
      <c r="AZ33" s="16">
        <v>1.3597821438833401E-3</v>
      </c>
      <c r="BA33" s="16">
        <v>1.2387144401309199E-3</v>
      </c>
      <c r="BB33" s="16">
        <v>1.2846145254655E-3</v>
      </c>
      <c r="BC33" s="16">
        <v>3.00405014210839E-4</v>
      </c>
      <c r="BD33" s="16">
        <v>2.32030869386863E-4</v>
      </c>
      <c r="BE33" s="16">
        <v>1.11411812241213E-4</v>
      </c>
      <c r="BF33" s="16">
        <v>2.9409341246495601E-4</v>
      </c>
      <c r="BG33" s="16">
        <v>5.5064039167083004E-3</v>
      </c>
      <c r="BH33" s="16">
        <v>3.74801785785431E-5</v>
      </c>
      <c r="BI33" s="16">
        <v>5.69327801675436E-4</v>
      </c>
      <c r="BJ33" s="16">
        <v>4.3187305781033903E-4</v>
      </c>
      <c r="BK33" s="16">
        <v>3.1868886784671303E-4</v>
      </c>
      <c r="BL33" s="16">
        <v>3.4708110862242702E-3</v>
      </c>
      <c r="BM33" s="16">
        <v>2.23089878991869E-4</v>
      </c>
      <c r="BN33" s="16">
        <v>4.1487595671049098E-4</v>
      </c>
      <c r="BO33" s="16">
        <v>3.3297716315619898E-4</v>
      </c>
      <c r="BP33" s="16">
        <v>6.9012509609336795E-4</v>
      </c>
      <c r="BQ33" s="16">
        <v>4.3610410601810102E-4</v>
      </c>
      <c r="BR33" s="16">
        <v>2.6411550651484899E-4</v>
      </c>
      <c r="BS33" s="16">
        <v>3.0545686250757899E-4</v>
      </c>
      <c r="BT33" s="16">
        <v>1.0820646785148001E-3</v>
      </c>
      <c r="BU33" s="16">
        <v>8.3538895152826401E-4</v>
      </c>
      <c r="BV33" s="16">
        <v>3.1427135294455198E-4</v>
      </c>
      <c r="BW33" s="16">
        <v>1.2769072139482101E-2</v>
      </c>
      <c r="BX33" s="16">
        <v>9.3613349364069897E-4</v>
      </c>
      <c r="BY33" s="16">
        <v>5.1379570070890198E-4</v>
      </c>
      <c r="BZ33" s="16">
        <v>0</v>
      </c>
      <c r="CA33" s="16">
        <v>4.4739676723692099E-4</v>
      </c>
    </row>
    <row r="34" spans="1:79" x14ac:dyDescent="0.3">
      <c r="A34" s="8" t="s">
        <v>122</v>
      </c>
      <c r="B34" s="15">
        <v>1.1207497936497999E-4</v>
      </c>
      <c r="C34" s="15">
        <v>1.3928212109704701E-4</v>
      </c>
      <c r="D34" s="15">
        <v>3.2662853340978702E-4</v>
      </c>
      <c r="E34" s="15">
        <v>1.4717600330308001E-4</v>
      </c>
      <c r="F34" s="15">
        <v>8.4770385877952197E-3</v>
      </c>
      <c r="G34" s="19">
        <v>4.8538282911374101E-4</v>
      </c>
      <c r="H34" s="15">
        <v>1.1514324241301899E-3</v>
      </c>
      <c r="I34" s="15">
        <v>4.8840878200764899E-3</v>
      </c>
      <c r="J34" s="15">
        <v>3.63600578929856E-3</v>
      </c>
      <c r="K34" s="15">
        <v>1.93663675616271E-3</v>
      </c>
      <c r="L34" s="15">
        <v>7.2054532597195303E-3</v>
      </c>
      <c r="M34" s="15">
        <v>1.7620874515167001E-2</v>
      </c>
      <c r="N34" s="15">
        <v>2.6341858606011902E-4</v>
      </c>
      <c r="O34" s="15">
        <v>4.59361595683281E-4</v>
      </c>
      <c r="P34" s="15">
        <v>2.33527533626178E-4</v>
      </c>
      <c r="Q34" s="15">
        <v>4.2810835704423198E-4</v>
      </c>
      <c r="R34" s="15">
        <v>5.0044571045203398E-4</v>
      </c>
      <c r="S34" s="15">
        <v>5.5013458734516705E-4</v>
      </c>
      <c r="T34" s="15">
        <v>6.0967342624489097E-4</v>
      </c>
      <c r="U34" s="15">
        <v>2.9170655058192202E-3</v>
      </c>
      <c r="V34" s="15">
        <v>2.5801283590630702E-3</v>
      </c>
      <c r="W34" s="15">
        <v>1.9155503269764501E-4</v>
      </c>
      <c r="X34" s="15">
        <v>2.2548077382498902E-3</v>
      </c>
      <c r="Y34" s="15">
        <v>2.6682181458718198E-3</v>
      </c>
      <c r="Z34" s="15">
        <v>4.11144058545862E-3</v>
      </c>
      <c r="AA34" s="15">
        <v>2.99570429397593E-3</v>
      </c>
      <c r="AB34" s="15">
        <v>1.8744116763315601E-3</v>
      </c>
      <c r="AC34" s="15">
        <v>9.56787750346943E-3</v>
      </c>
      <c r="AD34" s="15">
        <v>4.7118343269802403E-2</v>
      </c>
      <c r="AE34" s="15">
        <v>1.0198781777347701E-2</v>
      </c>
      <c r="AF34" s="15">
        <v>7.3491322944648297E-3</v>
      </c>
      <c r="AG34" s="15">
        <v>1.54212246426213E-3</v>
      </c>
      <c r="AH34" s="15">
        <v>1.0465131895791701E-3</v>
      </c>
      <c r="AI34" s="15">
        <v>2.4905887487083802E-4</v>
      </c>
      <c r="AJ34" s="15">
        <v>5.2041799071180005E-4</v>
      </c>
      <c r="AK34" s="15">
        <v>2.88312264940181E-4</v>
      </c>
      <c r="AL34" s="15">
        <v>1.59168692232826E-4</v>
      </c>
      <c r="AM34" s="15">
        <v>1.9670586922903698E-3</v>
      </c>
      <c r="AN34" s="15">
        <v>3.1778568639427498E-4</v>
      </c>
      <c r="AO34" s="15">
        <v>2.1242199220096301E-4</v>
      </c>
      <c r="AP34" s="15">
        <v>2.1265802117158801E-4</v>
      </c>
      <c r="AQ34" s="15">
        <v>2.4876088045701198E-4</v>
      </c>
      <c r="AR34" s="15">
        <v>1.9625843760339299E-2</v>
      </c>
      <c r="AS34" s="15">
        <v>8.4737024260312101E-5</v>
      </c>
      <c r="AT34" s="15">
        <v>8.2442662647390298E-4</v>
      </c>
      <c r="AU34" s="15">
        <v>2.1963871657980998E-3</v>
      </c>
      <c r="AV34" s="15">
        <v>9.0388355894659697E-2</v>
      </c>
      <c r="AW34" s="15">
        <v>9.9789145409146796E-2</v>
      </c>
      <c r="AX34" s="15">
        <v>6.7649002039064697E-3</v>
      </c>
      <c r="AY34" s="15">
        <v>6.7504245795797103E-3</v>
      </c>
      <c r="AZ34" s="15">
        <v>0.117881806955175</v>
      </c>
      <c r="BA34" s="15">
        <v>2.72235884710024E-3</v>
      </c>
      <c r="BB34" s="15">
        <v>6.2461498075431204E-3</v>
      </c>
      <c r="BC34" s="15">
        <v>2.6388460100646798E-3</v>
      </c>
      <c r="BD34" s="15">
        <v>9.3484437169520998E-4</v>
      </c>
      <c r="BE34" s="15">
        <v>1.0928206504212E-3</v>
      </c>
      <c r="BF34" s="15">
        <v>2.14086847853276E-4</v>
      </c>
      <c r="BG34" s="15">
        <v>2.9408685738836998E-3</v>
      </c>
      <c r="BH34" s="15">
        <v>3.7019930790338901E-6</v>
      </c>
      <c r="BI34" s="15">
        <v>2.0736493384987301E-2</v>
      </c>
      <c r="BJ34" s="15">
        <v>6.9975233411742003E-4</v>
      </c>
      <c r="BK34" s="15">
        <v>9.1016990913773098E-3</v>
      </c>
      <c r="BL34" s="15">
        <v>1.7448909846999199E-3</v>
      </c>
      <c r="BM34" s="15">
        <v>9.3398433456151999E-4</v>
      </c>
      <c r="BN34" s="15">
        <v>1.90373978248199E-3</v>
      </c>
      <c r="BO34" s="15">
        <v>1.0445814965252399E-3</v>
      </c>
      <c r="BP34" s="15">
        <v>2.46719721853379E-3</v>
      </c>
      <c r="BQ34" s="15">
        <v>1.14135263734437E-3</v>
      </c>
      <c r="BR34" s="15">
        <v>7.5309508152224102E-3</v>
      </c>
      <c r="BS34" s="15">
        <v>7.3877393243960499E-4</v>
      </c>
      <c r="BT34" s="15">
        <v>1.51529732232049E-3</v>
      </c>
      <c r="BU34" s="15">
        <v>1.4132471115977699E-3</v>
      </c>
      <c r="BV34" s="15">
        <v>3.1684330011128102E-4</v>
      </c>
      <c r="BW34" s="15">
        <v>9.3700052787613307E-3</v>
      </c>
      <c r="BX34" s="15">
        <v>1.6988553817892701E-3</v>
      </c>
      <c r="BY34" s="15">
        <v>1.33325918064785E-2</v>
      </c>
      <c r="BZ34" s="15">
        <v>0</v>
      </c>
      <c r="CA34" s="15">
        <v>6.0429763343670603E-4</v>
      </c>
    </row>
    <row r="35" spans="1:79" x14ac:dyDescent="0.3">
      <c r="A35" s="7" t="s">
        <v>123</v>
      </c>
      <c r="B35" s="16">
        <v>9.0324847475149896E-5</v>
      </c>
      <c r="C35" s="16">
        <v>5.48187464297478E-5</v>
      </c>
      <c r="D35" s="16">
        <v>2.6613148983856101E-4</v>
      </c>
      <c r="E35" s="16">
        <v>8.4274694585851495E-5</v>
      </c>
      <c r="F35" s="16">
        <v>8.6252015593671696E-4</v>
      </c>
      <c r="G35" s="19">
        <v>3.7354381583999598E-4</v>
      </c>
      <c r="H35" s="16">
        <v>2.4132290108470699E-4</v>
      </c>
      <c r="I35" s="16">
        <v>4.46509713357943E-3</v>
      </c>
      <c r="J35" s="16">
        <v>1.16139637582186E-3</v>
      </c>
      <c r="K35" s="16">
        <v>3.69869722205985E-3</v>
      </c>
      <c r="L35" s="16">
        <v>4.1690366501669299E-3</v>
      </c>
      <c r="M35" s="16">
        <v>1.58824935413703E-2</v>
      </c>
      <c r="N35" s="16">
        <v>2.74569282799875E-4</v>
      </c>
      <c r="O35" s="16">
        <v>6.6494875169168801E-4</v>
      </c>
      <c r="P35" s="16">
        <v>3.1501817431624598E-4</v>
      </c>
      <c r="Q35" s="16">
        <v>6.4034241896036598E-4</v>
      </c>
      <c r="R35" s="16">
        <v>3.6463260704396299E-4</v>
      </c>
      <c r="S35" s="16">
        <v>3.9399959193365798E-4</v>
      </c>
      <c r="T35" s="16">
        <v>2.6542481190918501E-4</v>
      </c>
      <c r="U35" s="16">
        <v>5.5562429784886797E-4</v>
      </c>
      <c r="V35" s="16">
        <v>6.80607500642552E-4</v>
      </c>
      <c r="W35" s="16">
        <v>5.7154289716295403E-5</v>
      </c>
      <c r="X35" s="16">
        <v>2.7104317432851999E-4</v>
      </c>
      <c r="Y35" s="16">
        <v>6.4709297464548405E-4</v>
      </c>
      <c r="Z35" s="16">
        <v>6.4144538601440797E-4</v>
      </c>
      <c r="AA35" s="16">
        <v>2.4590210720674601E-3</v>
      </c>
      <c r="AB35" s="16">
        <v>1.4626899077040199E-3</v>
      </c>
      <c r="AC35" s="16">
        <v>4.4784902569276397E-3</v>
      </c>
      <c r="AD35" s="16">
        <v>5.1486270291492796E-3</v>
      </c>
      <c r="AE35" s="16">
        <v>6.6886828806107801E-3</v>
      </c>
      <c r="AF35" s="16">
        <v>1.8527242207499199E-3</v>
      </c>
      <c r="AG35" s="16">
        <v>1.9683546209806201E-3</v>
      </c>
      <c r="AH35" s="16">
        <v>5.8072887592482798E-4</v>
      </c>
      <c r="AI35" s="16">
        <v>3.7908510594182902E-4</v>
      </c>
      <c r="AJ35" s="16">
        <v>5.3405815275981805E-4</v>
      </c>
      <c r="AK35" s="16">
        <v>4.8273616058848002E-5</v>
      </c>
      <c r="AL35" s="16">
        <v>6.2051009906479004E-5</v>
      </c>
      <c r="AM35" s="16">
        <v>8.0421631208896704E-4</v>
      </c>
      <c r="AN35" s="16">
        <v>1.7105385803346099E-4</v>
      </c>
      <c r="AO35" s="16">
        <v>1.16671268592684E-4</v>
      </c>
      <c r="AP35" s="16">
        <v>1.4413831043125E-4</v>
      </c>
      <c r="AQ35" s="16">
        <v>1.2541007963437099E-4</v>
      </c>
      <c r="AR35" s="16">
        <v>1.3481490296419899E-3</v>
      </c>
      <c r="AS35" s="16">
        <v>4.69626881442694E-5</v>
      </c>
      <c r="AT35" s="16">
        <v>9.8081101254258597E-5</v>
      </c>
      <c r="AU35" s="16">
        <v>1.75106136212545E-4</v>
      </c>
      <c r="AV35" s="16">
        <v>4.66188093823752E-3</v>
      </c>
      <c r="AW35" s="16">
        <v>4.6459747835515099E-3</v>
      </c>
      <c r="AX35" s="16">
        <v>5.0119084039200402E-4</v>
      </c>
      <c r="AY35" s="16">
        <v>6.7964657430468096E-3</v>
      </c>
      <c r="AZ35" s="16">
        <v>4.0708102153420196E-3</v>
      </c>
      <c r="BA35" s="16">
        <v>1.8386899471342299E-4</v>
      </c>
      <c r="BB35" s="16">
        <v>4.1720125624474701E-4</v>
      </c>
      <c r="BC35" s="16">
        <v>2.09589913443388E-4</v>
      </c>
      <c r="BD35" s="16">
        <v>1.00733401571745E-4</v>
      </c>
      <c r="BE35" s="16">
        <v>7.5246885576202299E-5</v>
      </c>
      <c r="BF35" s="16">
        <v>5.2114825725887598E-5</v>
      </c>
      <c r="BG35" s="16">
        <v>4.8994716910982805E-4</v>
      </c>
      <c r="BH35" s="16">
        <v>3.7220038524340702E-6</v>
      </c>
      <c r="BI35" s="16">
        <v>3.35187840767177E-3</v>
      </c>
      <c r="BJ35" s="16">
        <v>3.2523219053659801E-4</v>
      </c>
      <c r="BK35" s="16">
        <v>7.8001341823351496E-4</v>
      </c>
      <c r="BL35" s="16">
        <v>1.17533422197905E-3</v>
      </c>
      <c r="BM35" s="16">
        <v>1.8178780185044299E-4</v>
      </c>
      <c r="BN35" s="16">
        <v>2.7135203124201699E-4</v>
      </c>
      <c r="BO35" s="16">
        <v>2.7764263232775898E-4</v>
      </c>
      <c r="BP35" s="16">
        <v>2.2101474596407901E-4</v>
      </c>
      <c r="BQ35" s="16">
        <v>2.4702256217952001E-4</v>
      </c>
      <c r="BR35" s="16">
        <v>5.7158159824306505E-4</v>
      </c>
      <c r="BS35" s="16">
        <v>3.1155661552232299E-4</v>
      </c>
      <c r="BT35" s="16">
        <v>9.3503549214425804E-4</v>
      </c>
      <c r="BU35" s="16">
        <v>1.0206508085718E-2</v>
      </c>
      <c r="BV35" s="16">
        <v>4.7047376912171001E-4</v>
      </c>
      <c r="BW35" s="16">
        <v>4.1807476953787401E-3</v>
      </c>
      <c r="BX35" s="16">
        <v>1.1654420174265401E-3</v>
      </c>
      <c r="BY35" s="16">
        <v>1.1997843467696999E-3</v>
      </c>
      <c r="BZ35" s="16">
        <v>0</v>
      </c>
      <c r="CA35" s="16">
        <v>2.4059465191678399E-4</v>
      </c>
    </row>
    <row r="36" spans="1:79" x14ac:dyDescent="0.3">
      <c r="A36" s="8" t="s">
        <v>124</v>
      </c>
      <c r="B36" s="15">
        <v>1.12966248572369E-3</v>
      </c>
      <c r="C36" s="15">
        <v>1.00849862729709E-3</v>
      </c>
      <c r="D36" s="15">
        <v>7.7824035121586404E-4</v>
      </c>
      <c r="E36" s="15">
        <v>3.6051808913224297E-4</v>
      </c>
      <c r="F36" s="15">
        <v>4.0909335806564601E-3</v>
      </c>
      <c r="G36" s="19">
        <v>1.09410113866969E-3</v>
      </c>
      <c r="H36" s="15">
        <v>3.3650137983302903E-4</v>
      </c>
      <c r="I36" s="15">
        <v>2.351788093005E-2</v>
      </c>
      <c r="J36" s="15">
        <v>2.06474981714377E-3</v>
      </c>
      <c r="K36" s="15">
        <v>6.5243642112094002E-3</v>
      </c>
      <c r="L36" s="15">
        <v>1.4656106387973799E-2</v>
      </c>
      <c r="M36" s="15">
        <v>6.8809289387773299E-3</v>
      </c>
      <c r="N36" s="15">
        <v>9.7136319818811798E-4</v>
      </c>
      <c r="O36" s="15">
        <v>3.1087142649022402E-3</v>
      </c>
      <c r="P36" s="15">
        <v>8.1486590962614005E-4</v>
      </c>
      <c r="Q36" s="15">
        <v>4.4839630795695702E-3</v>
      </c>
      <c r="R36" s="15">
        <v>9.6506250444725798E-4</v>
      </c>
      <c r="S36" s="15">
        <v>3.9488277019402501E-3</v>
      </c>
      <c r="T36" s="15">
        <v>2.8423113089933601E-3</v>
      </c>
      <c r="U36" s="15">
        <v>4.16958638409621E-3</v>
      </c>
      <c r="V36" s="15">
        <v>7.3729063934735899E-3</v>
      </c>
      <c r="W36" s="15">
        <v>1.78317701318873E-4</v>
      </c>
      <c r="X36" s="15">
        <v>1.03490433279586E-3</v>
      </c>
      <c r="Y36" s="15">
        <v>4.3453346160996897E-3</v>
      </c>
      <c r="Z36" s="15">
        <v>2.24589443615368E-3</v>
      </c>
      <c r="AA36" s="15">
        <v>5.2936568141020296E-3</v>
      </c>
      <c r="AB36" s="15">
        <v>4.6563617328506399E-3</v>
      </c>
      <c r="AC36" s="15">
        <v>4.0487724622013501E-3</v>
      </c>
      <c r="AD36" s="15">
        <v>3.1995669676560499E-3</v>
      </c>
      <c r="AE36" s="15">
        <v>4.5460580046135703E-3</v>
      </c>
      <c r="AF36" s="15">
        <v>6.7894054045002303E-2</v>
      </c>
      <c r="AG36" s="15">
        <v>7.2634460803930904E-3</v>
      </c>
      <c r="AH36" s="15">
        <v>2.1571565030816301E-3</v>
      </c>
      <c r="AI36" s="15">
        <v>7.1520273014329602E-3</v>
      </c>
      <c r="AJ36" s="15">
        <v>7.8996885709575193E-3</v>
      </c>
      <c r="AK36" s="15">
        <v>7.74395977414277E-4</v>
      </c>
      <c r="AL36" s="15">
        <v>3.3340135845177001E-3</v>
      </c>
      <c r="AM36" s="15">
        <v>1.0148756673737901E-2</v>
      </c>
      <c r="AN36" s="15">
        <v>3.0792073365676999E-2</v>
      </c>
      <c r="AO36" s="15">
        <v>8.6405715570185403E-3</v>
      </c>
      <c r="AP36" s="15">
        <v>3.0301838971040699E-3</v>
      </c>
      <c r="AQ36" s="15">
        <v>1.1174676471854101E-2</v>
      </c>
      <c r="AR36" s="15">
        <v>1.52401720257238E-3</v>
      </c>
      <c r="AS36" s="15">
        <v>6.1255680188177506E-5</v>
      </c>
      <c r="AT36" s="15">
        <v>3.2084120169779002E-4</v>
      </c>
      <c r="AU36" s="15">
        <v>2.6850728753730199E-4</v>
      </c>
      <c r="AV36" s="15">
        <v>1.9997763470895901E-3</v>
      </c>
      <c r="AW36" s="15">
        <v>2.1861485803874601E-3</v>
      </c>
      <c r="AX36" s="15">
        <v>4.5210212246805698E-4</v>
      </c>
      <c r="AY36" s="15">
        <v>2.0342018207163901E-3</v>
      </c>
      <c r="AZ36" s="15">
        <v>1.91077634957394E-3</v>
      </c>
      <c r="BA36" s="15">
        <v>2.6482623865440799E-4</v>
      </c>
      <c r="BB36" s="15">
        <v>7.13648978912849E-4</v>
      </c>
      <c r="BC36" s="15">
        <v>2.4151045162527801E-4</v>
      </c>
      <c r="BD36" s="15">
        <v>1.5650082086920801E-4</v>
      </c>
      <c r="BE36" s="15">
        <v>5.65727465925898E-5</v>
      </c>
      <c r="BF36" s="15">
        <v>9.0469732930783303E-5</v>
      </c>
      <c r="BG36" s="15">
        <v>3.8400455942366699E-2</v>
      </c>
      <c r="BH36" s="15">
        <v>7.3839753846675996E-6</v>
      </c>
      <c r="BI36" s="15">
        <v>1.0573493957493399E-3</v>
      </c>
      <c r="BJ36" s="15">
        <v>4.29772612582847E-4</v>
      </c>
      <c r="BK36" s="15">
        <v>1.76377915976171E-3</v>
      </c>
      <c r="BL36" s="15">
        <v>5.3597634373894702E-3</v>
      </c>
      <c r="BM36" s="15">
        <v>4.9992258619533997E-4</v>
      </c>
      <c r="BN36" s="15">
        <v>9.6398211339267204E-4</v>
      </c>
      <c r="BO36" s="15">
        <v>1.1439203410842601E-3</v>
      </c>
      <c r="BP36" s="15">
        <v>6.3072192326507799E-4</v>
      </c>
      <c r="BQ36" s="15">
        <v>8.1320675817911001E-4</v>
      </c>
      <c r="BR36" s="15">
        <v>1.75551087364908E-3</v>
      </c>
      <c r="BS36" s="15">
        <v>1.79246716475581E-3</v>
      </c>
      <c r="BT36" s="15">
        <v>3.77287412202661E-3</v>
      </c>
      <c r="BU36" s="15">
        <v>3.6276441649024699E-3</v>
      </c>
      <c r="BV36" s="15">
        <v>1.3376413136971499E-3</v>
      </c>
      <c r="BW36" s="15">
        <v>6.5645957485248499E-2</v>
      </c>
      <c r="BX36" s="15">
        <v>3.1322462848749101E-3</v>
      </c>
      <c r="BY36" s="15">
        <v>1.5065195969595901E-3</v>
      </c>
      <c r="BZ36" s="15">
        <v>0</v>
      </c>
      <c r="CA36" s="15">
        <v>4.5550357616825499E-4</v>
      </c>
    </row>
    <row r="37" spans="1:79" x14ac:dyDescent="0.3">
      <c r="A37" s="7" t="s">
        <v>125</v>
      </c>
      <c r="B37" s="16">
        <v>4.9629020981311898E-5</v>
      </c>
      <c r="C37" s="16">
        <v>1.4023071690802499E-5</v>
      </c>
      <c r="D37" s="16">
        <v>3.3821454978180003E-5</v>
      </c>
      <c r="E37" s="16">
        <v>8.1140511729352902E-5</v>
      </c>
      <c r="F37" s="16">
        <v>1.40177564662554E-4</v>
      </c>
      <c r="G37" s="19">
        <v>1.7903446516665501E-5</v>
      </c>
      <c r="H37" s="16">
        <v>1.40166422811633E-5</v>
      </c>
      <c r="I37" s="16">
        <v>2.3064169426029001E-4</v>
      </c>
      <c r="J37" s="16">
        <v>7.2558394728626296E-5</v>
      </c>
      <c r="K37" s="16">
        <v>1.86997399608898E-3</v>
      </c>
      <c r="L37" s="16">
        <v>4.5627130586031202E-4</v>
      </c>
      <c r="M37" s="16">
        <v>2.4005716591147299E-4</v>
      </c>
      <c r="N37" s="16">
        <v>4.31866794216719E-5</v>
      </c>
      <c r="O37" s="16">
        <v>1.86210555244057E-4</v>
      </c>
      <c r="P37" s="16">
        <v>3.3845597195539397E-4</v>
      </c>
      <c r="Q37" s="16">
        <v>6.3312756139083997E-3</v>
      </c>
      <c r="R37" s="16">
        <v>1.4429024926217E-4</v>
      </c>
      <c r="S37" s="16">
        <v>2.3210731888399899E-4</v>
      </c>
      <c r="T37" s="16">
        <v>7.7632850894531304E-4</v>
      </c>
      <c r="U37" s="16">
        <v>8.08270478228286E-5</v>
      </c>
      <c r="V37" s="16">
        <v>2.68931710172466E-4</v>
      </c>
      <c r="W37" s="16">
        <v>1.5633020169274898E-5</v>
      </c>
      <c r="X37" s="16">
        <v>5.0308148041924199E-5</v>
      </c>
      <c r="Y37" s="16">
        <v>1.07908192545716E-4</v>
      </c>
      <c r="Z37" s="16">
        <v>2.5094693906932002E-4</v>
      </c>
      <c r="AA37" s="16">
        <v>1.2775436049128301E-4</v>
      </c>
      <c r="AB37" s="16">
        <v>2.6501447314147098E-4</v>
      </c>
      <c r="AC37" s="16">
        <v>1.09488567885821E-4</v>
      </c>
      <c r="AD37" s="16">
        <v>9.2007333099161794E-5</v>
      </c>
      <c r="AE37" s="16">
        <v>1.48364339173595E-4</v>
      </c>
      <c r="AF37" s="16">
        <v>1.10341872268336E-4</v>
      </c>
      <c r="AG37" s="16">
        <v>6.9888610382882596E-3</v>
      </c>
      <c r="AH37" s="16">
        <v>1.9464678163309501E-4</v>
      </c>
      <c r="AI37" s="16">
        <v>2.8562112968067801E-5</v>
      </c>
      <c r="AJ37" s="16">
        <v>3.6338936178553302E-5</v>
      </c>
      <c r="AK37" s="16">
        <v>2.0743488832871999E-5</v>
      </c>
      <c r="AL37" s="16">
        <v>8.1169117671953299E-5</v>
      </c>
      <c r="AM37" s="16">
        <v>2.0169214731544601E-5</v>
      </c>
      <c r="AN37" s="16">
        <v>3.8512217302446999E-5</v>
      </c>
      <c r="AO37" s="16">
        <v>1.06648867972248E-4</v>
      </c>
      <c r="AP37" s="16">
        <v>1.8221767670417401E-4</v>
      </c>
      <c r="AQ37" s="16">
        <v>8.8137133142053806E-5</v>
      </c>
      <c r="AR37" s="16">
        <v>7.2967082017442406E-5</v>
      </c>
      <c r="AS37" s="16">
        <v>2.2664601669625701E-5</v>
      </c>
      <c r="AT37" s="16">
        <v>1.5952246190316399E-4</v>
      </c>
      <c r="AU37" s="16">
        <v>7.0895586625126396E-5</v>
      </c>
      <c r="AV37" s="16">
        <v>4.4539478437467597E-5</v>
      </c>
      <c r="AW37" s="16">
        <v>5.4299204311954599E-5</v>
      </c>
      <c r="AX37" s="16">
        <v>5.7713754751528401E-5</v>
      </c>
      <c r="AY37" s="16">
        <v>1.18322746537074E-4</v>
      </c>
      <c r="AZ37" s="16">
        <v>4.1122294214278798E-5</v>
      </c>
      <c r="BA37" s="16">
        <v>5.8659697940289901E-5</v>
      </c>
      <c r="BB37" s="16">
        <v>1.4674023181803899E-4</v>
      </c>
      <c r="BC37" s="16">
        <v>1.3582571787658199E-3</v>
      </c>
      <c r="BD37" s="16">
        <v>5.8047189264726403E-3</v>
      </c>
      <c r="BE37" s="16">
        <v>2.1008620215233099E-4</v>
      </c>
      <c r="BF37" s="16">
        <v>2.4028816469447699E-5</v>
      </c>
      <c r="BG37" s="16">
        <v>6.43165879415823E-5</v>
      </c>
      <c r="BH37" s="16">
        <v>9.0048480300824399E-7</v>
      </c>
      <c r="BI37" s="16">
        <v>9.9058281983907699E-5</v>
      </c>
      <c r="BJ37" s="16">
        <v>4.0757993516809702E-4</v>
      </c>
      <c r="BK37" s="16">
        <v>5.0022654815754701E-4</v>
      </c>
      <c r="BL37" s="16">
        <v>3.3541303758886898E-4</v>
      </c>
      <c r="BM37" s="16">
        <v>8.7031794241474402E-4</v>
      </c>
      <c r="BN37" s="16">
        <v>7.1999087752208505E-4</v>
      </c>
      <c r="BO37" s="16">
        <v>4.42068103001064E-4</v>
      </c>
      <c r="BP37" s="16">
        <v>2.40670207561674E-4</v>
      </c>
      <c r="BQ37" s="16">
        <v>1.1166091419674499E-3</v>
      </c>
      <c r="BR37" s="16">
        <v>6.0421850329798001E-4</v>
      </c>
      <c r="BS37" s="16">
        <v>5.78459910898249E-4</v>
      </c>
      <c r="BT37" s="16">
        <v>1.78661250916302E-3</v>
      </c>
      <c r="BU37" s="16">
        <v>1.50856470923662E-3</v>
      </c>
      <c r="BV37" s="16">
        <v>5.8065758725338898E-4</v>
      </c>
      <c r="BW37" s="16">
        <v>1.44005269291615E-4</v>
      </c>
      <c r="BX37" s="16">
        <v>6.6504216891359396E-4</v>
      </c>
      <c r="BY37" s="16">
        <v>8.4098880292842696E-4</v>
      </c>
      <c r="BZ37" s="16">
        <v>0</v>
      </c>
      <c r="CA37" s="16">
        <v>4.1937708721279999E-4</v>
      </c>
    </row>
    <row r="38" spans="1:79" x14ac:dyDescent="0.3">
      <c r="A38" s="8" t="s">
        <v>126</v>
      </c>
      <c r="B38" s="15">
        <v>1.9472020849712799E-4</v>
      </c>
      <c r="C38" s="15">
        <v>7.5205483209942907E-5</v>
      </c>
      <c r="D38" s="15">
        <v>2.25372300505882E-4</v>
      </c>
      <c r="E38" s="15">
        <v>2.60790131851155E-4</v>
      </c>
      <c r="F38" s="15">
        <v>1.19293320351435E-2</v>
      </c>
      <c r="G38" s="19">
        <v>2.8253650936248303E-4</v>
      </c>
      <c r="H38" s="15">
        <v>4.8891546926320504E-4</v>
      </c>
      <c r="I38" s="15">
        <v>8.5555756084805296E-4</v>
      </c>
      <c r="J38" s="15">
        <v>5.5336461121866399E-4</v>
      </c>
      <c r="K38" s="15">
        <v>1.91296565424053E-3</v>
      </c>
      <c r="L38" s="15">
        <v>1.1533618054433301E-2</v>
      </c>
      <c r="M38" s="15">
        <v>9.4010255277038896E-3</v>
      </c>
      <c r="N38" s="15">
        <v>4.5880587714740198E-4</v>
      </c>
      <c r="O38" s="15">
        <v>5.7115945464085297E-4</v>
      </c>
      <c r="P38" s="15">
        <v>1.32855358850956E-3</v>
      </c>
      <c r="Q38" s="15">
        <v>1.31376228261247E-2</v>
      </c>
      <c r="R38" s="15">
        <v>6.90609428993238E-3</v>
      </c>
      <c r="S38" s="15">
        <v>2.1838719209188902E-3</v>
      </c>
      <c r="T38" s="15">
        <v>9.3819522981608702E-4</v>
      </c>
      <c r="U38" s="15">
        <v>2.08014528324679E-3</v>
      </c>
      <c r="V38" s="15">
        <v>2.9594829776811E-3</v>
      </c>
      <c r="W38" s="15">
        <v>2.3251790861680301E-4</v>
      </c>
      <c r="X38" s="15">
        <v>1.54483441322002E-3</v>
      </c>
      <c r="Y38" s="15">
        <v>2.2762104706444898E-3</v>
      </c>
      <c r="Z38" s="15">
        <v>1.4947851020619301E-3</v>
      </c>
      <c r="AA38" s="15">
        <v>7.9268927131145796E-4</v>
      </c>
      <c r="AB38" s="15">
        <v>1.60334126703864E-3</v>
      </c>
      <c r="AC38" s="15">
        <v>1.06340902593963E-3</v>
      </c>
      <c r="AD38" s="15">
        <v>8.2180655914697396E-4</v>
      </c>
      <c r="AE38" s="15">
        <v>1.5549532056881199E-3</v>
      </c>
      <c r="AF38" s="15">
        <v>1.3171546448587799E-3</v>
      </c>
      <c r="AG38" s="15">
        <v>2.68228007813421E-3</v>
      </c>
      <c r="AH38" s="15">
        <v>7.4689041300393102E-3</v>
      </c>
      <c r="AI38" s="15">
        <v>6.0371858554149099E-4</v>
      </c>
      <c r="AJ38" s="15">
        <v>9.6081351288256295E-4</v>
      </c>
      <c r="AK38" s="15">
        <v>3.4328098477025997E-4</v>
      </c>
      <c r="AL38" s="15">
        <v>1.2185452560691899E-4</v>
      </c>
      <c r="AM38" s="15">
        <v>9.3347981329283203E-4</v>
      </c>
      <c r="AN38" s="15">
        <v>1.5314585726971001E-4</v>
      </c>
      <c r="AO38" s="15">
        <v>4.4085954212795E-4</v>
      </c>
      <c r="AP38" s="15">
        <v>1.9969483265314499E-4</v>
      </c>
      <c r="AQ38" s="15">
        <v>4.4171530511613399E-4</v>
      </c>
      <c r="AR38" s="15">
        <v>2.8599765880271402E-3</v>
      </c>
      <c r="AS38" s="15">
        <v>1.78049843746969E-4</v>
      </c>
      <c r="AT38" s="15">
        <v>3.3940995387699398E-4</v>
      </c>
      <c r="AU38" s="15">
        <v>4.2692995078772999E-3</v>
      </c>
      <c r="AV38" s="15">
        <v>2.6646937372993098E-3</v>
      </c>
      <c r="AW38" s="15">
        <v>4.5238476141350398E-4</v>
      </c>
      <c r="AX38" s="15">
        <v>1.84692850069759E-4</v>
      </c>
      <c r="AY38" s="15">
        <v>3.4783226435373E-4</v>
      </c>
      <c r="AZ38" s="15">
        <v>4.4173063694796598E-4</v>
      </c>
      <c r="BA38" s="15">
        <v>1.5642586117410601E-4</v>
      </c>
      <c r="BB38" s="15">
        <v>4.6131628445202202E-2</v>
      </c>
      <c r="BC38" s="15">
        <v>3.9743515647306402E-4</v>
      </c>
      <c r="BD38" s="15">
        <v>7.3036383427117801E-4</v>
      </c>
      <c r="BE38" s="15">
        <v>9.4171952064862498E-5</v>
      </c>
      <c r="BF38" s="15">
        <v>5.7114139870533201E-5</v>
      </c>
      <c r="BG38" s="15">
        <v>9.3488754615085698E-4</v>
      </c>
      <c r="BH38" s="15">
        <v>3.7620253992344401E-6</v>
      </c>
      <c r="BI38" s="15">
        <v>3.41712752260839E-3</v>
      </c>
      <c r="BJ38" s="15">
        <v>6.13021255013404E-4</v>
      </c>
      <c r="BK38" s="15">
        <v>1.19287915620152E-3</v>
      </c>
      <c r="BL38" s="15">
        <v>7.2542701502267097E-3</v>
      </c>
      <c r="BM38" s="15">
        <v>1.7461381851569301E-3</v>
      </c>
      <c r="BN38" s="15">
        <v>2.1149762617182401E-2</v>
      </c>
      <c r="BO38" s="15">
        <v>1.6689039231681E-2</v>
      </c>
      <c r="BP38" s="15">
        <v>3.7672968062058801E-3</v>
      </c>
      <c r="BQ38" s="15">
        <v>3.50904003603596E-3</v>
      </c>
      <c r="BR38" s="15">
        <v>6.3899213390483404E-3</v>
      </c>
      <c r="BS38" s="15">
        <v>3.2704842414053902E-3</v>
      </c>
      <c r="BT38" s="15">
        <v>7.2763967860371703E-3</v>
      </c>
      <c r="BU38" s="15">
        <v>5.4785250273309402E-3</v>
      </c>
      <c r="BV38" s="15">
        <v>1.6083840337554199E-3</v>
      </c>
      <c r="BW38" s="15">
        <v>5.10536712938214E-3</v>
      </c>
      <c r="BX38" s="15">
        <v>5.8803495375263004E-3</v>
      </c>
      <c r="BY38" s="15">
        <v>4.7829807442214796E-3</v>
      </c>
      <c r="BZ38" s="15">
        <v>0</v>
      </c>
      <c r="CA38" s="15">
        <v>3.1877853356782398E-3</v>
      </c>
    </row>
    <row r="39" spans="1:79" x14ac:dyDescent="0.3">
      <c r="A39" s="7" t="s">
        <v>127</v>
      </c>
      <c r="B39" s="16">
        <v>1.7257082139203201E-2</v>
      </c>
      <c r="C39" s="16">
        <v>4.2476166711895198E-2</v>
      </c>
      <c r="D39" s="16">
        <v>1.0790258241551399E-2</v>
      </c>
      <c r="E39" s="16">
        <v>2.48187669645809E-2</v>
      </c>
      <c r="F39" s="16">
        <v>2.1634968770324298E-2</v>
      </c>
      <c r="G39" s="19">
        <v>1.04684165725251E-2</v>
      </c>
      <c r="H39" s="16">
        <v>1.0727386169789299E-2</v>
      </c>
      <c r="I39" s="16">
        <v>1.40153293520957E-2</v>
      </c>
      <c r="J39" s="16">
        <v>1.14416669591236E-2</v>
      </c>
      <c r="K39" s="16">
        <v>4.3950571715715099E-2</v>
      </c>
      <c r="L39" s="16">
        <v>2.20999693822687E-2</v>
      </c>
      <c r="M39" s="16">
        <v>2.2549634024790498E-2</v>
      </c>
      <c r="N39" s="16">
        <v>3.7165055175184002E-2</v>
      </c>
      <c r="O39" s="16">
        <v>1.93532536193105E-2</v>
      </c>
      <c r="P39" s="16">
        <v>2.2763244661479699E-2</v>
      </c>
      <c r="Q39" s="16">
        <v>3.8024267657035898E-2</v>
      </c>
      <c r="R39" s="16">
        <v>2.21767325632506E-2</v>
      </c>
      <c r="S39" s="16">
        <v>2.6777442544624601E-2</v>
      </c>
      <c r="T39" s="16">
        <v>3.0783786633632799E-2</v>
      </c>
      <c r="U39" s="16">
        <v>4.51073668140353E-2</v>
      </c>
      <c r="V39" s="16">
        <v>4.1082677755529803E-2</v>
      </c>
      <c r="W39" s="16">
        <v>1.6505520219863099E-2</v>
      </c>
      <c r="X39" s="16">
        <v>3.8558150009989897E-2</v>
      </c>
      <c r="Y39" s="16">
        <v>3.9464473847167503E-2</v>
      </c>
      <c r="Z39" s="16">
        <v>3.4533269729349197E-2</v>
      </c>
      <c r="AA39" s="16">
        <v>3.6050110907019602E-2</v>
      </c>
      <c r="AB39" s="16">
        <v>3.8870123675786503E-2</v>
      </c>
      <c r="AC39" s="16">
        <v>3.7255982373167497E-2</v>
      </c>
      <c r="AD39" s="16">
        <v>1.6392196172473301E-2</v>
      </c>
      <c r="AE39" s="16">
        <v>2.7410839831567401E-2</v>
      </c>
      <c r="AF39" s="16">
        <v>4.3492891006359703E-2</v>
      </c>
      <c r="AG39" s="16">
        <v>3.8794879625900003E-2</v>
      </c>
      <c r="AH39" s="16">
        <v>1.7461014878588001E-2</v>
      </c>
      <c r="AI39" s="16">
        <v>3.8535451530560499E-3</v>
      </c>
      <c r="AJ39" s="16">
        <v>1.9944920766852398E-3</v>
      </c>
      <c r="AK39" s="16">
        <v>2.2061857632907401E-2</v>
      </c>
      <c r="AL39" s="16">
        <v>9.0635390383620607E-3</v>
      </c>
      <c r="AM39" s="16">
        <v>1.24808843777355E-2</v>
      </c>
      <c r="AN39" s="16">
        <v>9.0771425256508196E-3</v>
      </c>
      <c r="AO39" s="16">
        <v>1.1520444578945001E-2</v>
      </c>
      <c r="AP39" s="16">
        <v>1.28794679259273E-2</v>
      </c>
      <c r="AQ39" s="16">
        <v>1.04467214119075E-2</v>
      </c>
      <c r="AR39" s="16">
        <v>1.70840745248972E-2</v>
      </c>
      <c r="AS39" s="16">
        <v>2.3424172103959102E-3</v>
      </c>
      <c r="AT39" s="16">
        <v>1.6644440793696001E-2</v>
      </c>
      <c r="AU39" s="16">
        <v>7.5624813033339502E-3</v>
      </c>
      <c r="AV39" s="16">
        <v>5.3896159457867297E-3</v>
      </c>
      <c r="AW39" s="16">
        <v>6.3885216723593898E-3</v>
      </c>
      <c r="AX39" s="16">
        <v>6.0432353107284899E-3</v>
      </c>
      <c r="AY39" s="16">
        <v>1.45111907090942E-2</v>
      </c>
      <c r="AZ39" s="16">
        <v>6.9182692917931898E-3</v>
      </c>
      <c r="BA39" s="16">
        <v>2.9357292103684299E-3</v>
      </c>
      <c r="BB39" s="16">
        <v>8.4629009398653893E-3</v>
      </c>
      <c r="BC39" s="16">
        <v>3.60015715452811E-3</v>
      </c>
      <c r="BD39" s="16">
        <v>3.0933982123648399E-3</v>
      </c>
      <c r="BE39" s="16">
        <v>6.7069215215673596E-4</v>
      </c>
      <c r="BF39" s="16">
        <v>2.7660485192732998E-3</v>
      </c>
      <c r="BG39" s="16">
        <v>3.3254565766408298E-2</v>
      </c>
      <c r="BH39" s="16">
        <v>2.8307240051899101E-4</v>
      </c>
      <c r="BI39" s="16">
        <v>9.0685925764713293E-3</v>
      </c>
      <c r="BJ39" s="16">
        <v>3.5604464607200902E-3</v>
      </c>
      <c r="BK39" s="16">
        <v>9.7127938452051601E-3</v>
      </c>
      <c r="BL39" s="16">
        <v>2.0114064684218499E-2</v>
      </c>
      <c r="BM39" s="16">
        <v>4.13354794103068E-3</v>
      </c>
      <c r="BN39" s="16">
        <v>1.7623452002947099E-2</v>
      </c>
      <c r="BO39" s="16">
        <v>2.54920773446045E-2</v>
      </c>
      <c r="BP39" s="16">
        <v>2.3079443007897101E-2</v>
      </c>
      <c r="BQ39" s="16">
        <v>2.30711001983132E-2</v>
      </c>
      <c r="BR39" s="16">
        <v>8.5266318647867993E-3</v>
      </c>
      <c r="BS39" s="16">
        <v>1.3545361790818699E-2</v>
      </c>
      <c r="BT39" s="16">
        <v>1.9360622918829399E-2</v>
      </c>
      <c r="BU39" s="16">
        <v>1.5230838142220499E-2</v>
      </c>
      <c r="BV39" s="16">
        <v>2.0669648827649399E-2</v>
      </c>
      <c r="BW39" s="16">
        <v>2.51220175093823E-2</v>
      </c>
      <c r="BX39" s="16">
        <v>8.37046391438513E-3</v>
      </c>
      <c r="BY39" s="16">
        <v>1.5580365165670801E-2</v>
      </c>
      <c r="BZ39" s="16">
        <v>0</v>
      </c>
      <c r="CA39" s="16">
        <v>5.7524298949914498E-3</v>
      </c>
    </row>
    <row r="40" spans="1:79" x14ac:dyDescent="0.3">
      <c r="A40" s="8" t="s">
        <v>128</v>
      </c>
      <c r="B40" s="15">
        <v>1.6754743717384599E-2</v>
      </c>
      <c r="C40" s="15">
        <v>4.2141855310350002E-2</v>
      </c>
      <c r="D40" s="15">
        <v>1.0716163238645399E-2</v>
      </c>
      <c r="E40" s="15">
        <v>2.4609168486052602E-2</v>
      </c>
      <c r="F40" s="15">
        <v>2.11035062671013E-2</v>
      </c>
      <c r="G40" s="19">
        <v>1.0514331377871699E-2</v>
      </c>
      <c r="H40" s="15">
        <v>1.0733681920974601E-2</v>
      </c>
      <c r="I40" s="15">
        <v>1.39693553279882E-2</v>
      </c>
      <c r="J40" s="15">
        <v>1.1449577700928699E-2</v>
      </c>
      <c r="K40" s="15">
        <v>4.35947407078833E-2</v>
      </c>
      <c r="L40" s="15">
        <v>2.1896649046538898E-2</v>
      </c>
      <c r="M40" s="15">
        <v>2.2491551497406899E-2</v>
      </c>
      <c r="N40" s="15">
        <v>3.7044995102279599E-2</v>
      </c>
      <c r="O40" s="15">
        <v>1.9404435507720402E-2</v>
      </c>
      <c r="P40" s="15">
        <v>2.2476260725462702E-2</v>
      </c>
      <c r="Q40" s="15">
        <v>3.7037658635860699E-2</v>
      </c>
      <c r="R40" s="15">
        <v>2.1599686901519598E-2</v>
      </c>
      <c r="S40" s="15">
        <v>2.6574086001904699E-2</v>
      </c>
      <c r="T40" s="15">
        <v>3.0436803407063399E-2</v>
      </c>
      <c r="U40" s="15">
        <v>4.4912799660295301E-2</v>
      </c>
      <c r="V40" s="15">
        <v>4.0926287993167797E-2</v>
      </c>
      <c r="W40" s="15">
        <v>1.6498807487863601E-2</v>
      </c>
      <c r="X40" s="15">
        <v>3.8535687640861703E-2</v>
      </c>
      <c r="Y40" s="15">
        <v>3.9307016567758299E-2</v>
      </c>
      <c r="Z40" s="15">
        <v>3.4290274042209801E-2</v>
      </c>
      <c r="AA40" s="15">
        <v>3.5846808044745E-2</v>
      </c>
      <c r="AB40" s="15">
        <v>3.86822492727983E-2</v>
      </c>
      <c r="AC40" s="15">
        <v>3.7121559743644797E-2</v>
      </c>
      <c r="AD40" s="15">
        <v>1.6316207556397101E-2</v>
      </c>
      <c r="AE40" s="15">
        <v>2.7263778501084E-2</v>
      </c>
      <c r="AF40" s="15">
        <v>4.33279602942169E-2</v>
      </c>
      <c r="AG40" s="15">
        <v>3.7644874514476297E-2</v>
      </c>
      <c r="AH40" s="15">
        <v>1.7376839541725201E-2</v>
      </c>
      <c r="AI40" s="15">
        <v>3.8827958552139601E-3</v>
      </c>
      <c r="AJ40" s="15">
        <v>2.0646608567338001E-3</v>
      </c>
      <c r="AK40" s="15">
        <v>2.2040085469276299E-2</v>
      </c>
      <c r="AL40" s="15">
        <v>9.0768511194285993E-3</v>
      </c>
      <c r="AM40" s="15">
        <v>1.24898484731718E-2</v>
      </c>
      <c r="AN40" s="15">
        <v>9.0717076277009104E-3</v>
      </c>
      <c r="AO40" s="15">
        <v>1.1543111129452501E-2</v>
      </c>
      <c r="AP40" s="15">
        <v>1.2845979688921301E-2</v>
      </c>
      <c r="AQ40" s="15">
        <v>1.04609304357084E-2</v>
      </c>
      <c r="AR40" s="15">
        <v>1.70271482461062E-2</v>
      </c>
      <c r="AS40" s="15">
        <v>2.3626315848580002E-3</v>
      </c>
      <c r="AT40" s="15">
        <v>1.6620136937405501E-2</v>
      </c>
      <c r="AU40" s="15">
        <v>7.5946954506315801E-3</v>
      </c>
      <c r="AV40" s="15">
        <v>5.4103907613347298E-3</v>
      </c>
      <c r="AW40" s="15">
        <v>6.6599043639858297E-3</v>
      </c>
      <c r="AX40" s="15">
        <v>6.0658304776289203E-3</v>
      </c>
      <c r="AY40" s="15">
        <v>1.46171880782995E-2</v>
      </c>
      <c r="AZ40" s="15">
        <v>6.9099557593888502E-3</v>
      </c>
      <c r="BA40" s="15">
        <v>3.0214890026787899E-3</v>
      </c>
      <c r="BB40" s="15">
        <v>8.4867317389663299E-3</v>
      </c>
      <c r="BC40" s="15">
        <v>3.67283326592698E-3</v>
      </c>
      <c r="BD40" s="15">
        <v>3.1501524296125702E-3</v>
      </c>
      <c r="BE40" s="15">
        <v>6.8582194013154898E-4</v>
      </c>
      <c r="BF40" s="15">
        <v>2.7636763521317201E-3</v>
      </c>
      <c r="BG40" s="15">
        <v>3.3196399266945002E-2</v>
      </c>
      <c r="BH40" s="15">
        <v>2.8405292841560001E-4</v>
      </c>
      <c r="BI40" s="15">
        <v>9.0733514979499906E-3</v>
      </c>
      <c r="BJ40" s="15">
        <v>3.58988076221536E-3</v>
      </c>
      <c r="BK40" s="15">
        <v>9.7166880257443505E-3</v>
      </c>
      <c r="BL40" s="15">
        <v>1.99004173359607E-2</v>
      </c>
      <c r="BM40" s="15">
        <v>4.1468725524315799E-3</v>
      </c>
      <c r="BN40" s="15">
        <v>1.75581483918292E-2</v>
      </c>
      <c r="BO40" s="15">
        <v>2.5303040584733E-2</v>
      </c>
      <c r="BP40" s="15">
        <v>2.29693724229506E-2</v>
      </c>
      <c r="BQ40" s="15">
        <v>2.2875744411004099E-2</v>
      </c>
      <c r="BR40" s="15">
        <v>8.5284650611112504E-3</v>
      </c>
      <c r="BS40" s="15">
        <v>1.3567571147949299E-2</v>
      </c>
      <c r="BT40" s="15">
        <v>1.9274078584119499E-2</v>
      </c>
      <c r="BU40" s="15">
        <v>1.5043744913475999E-2</v>
      </c>
      <c r="BV40" s="15">
        <v>2.0653771010003302E-2</v>
      </c>
      <c r="BW40" s="15">
        <v>2.5066454140965502E-2</v>
      </c>
      <c r="BX40" s="15">
        <v>8.3288735990278105E-3</v>
      </c>
      <c r="BY40" s="15">
        <v>1.55083048517784E-2</v>
      </c>
      <c r="BZ40" s="15">
        <v>0</v>
      </c>
      <c r="CA40" s="15">
        <v>5.8444226884724797E-3</v>
      </c>
    </row>
    <row r="41" spans="1:79" x14ac:dyDescent="0.3">
      <c r="A41" s="7" t="s">
        <v>129</v>
      </c>
      <c r="B41" s="16">
        <v>4.4728944136215602E-5</v>
      </c>
      <c r="C41" s="16">
        <v>8.5966999942147797E-5</v>
      </c>
      <c r="D41" s="16">
        <v>4.37424151051127E-5</v>
      </c>
      <c r="E41" s="16">
        <v>7.1085008398086495E-5</v>
      </c>
      <c r="F41" s="16">
        <v>6.6384708041978204E-5</v>
      </c>
      <c r="G41" s="19">
        <v>6.1500707562321903E-3</v>
      </c>
      <c r="H41" s="16">
        <v>1.1075068139768699E-4</v>
      </c>
      <c r="I41" s="16">
        <v>8.4181700982266308E-3</v>
      </c>
      <c r="J41" s="16">
        <v>4.8688910264698102E-5</v>
      </c>
      <c r="K41" s="16">
        <v>1.9547603621695799E-4</v>
      </c>
      <c r="L41" s="16">
        <v>6.4014172702706496E-4</v>
      </c>
      <c r="M41" s="16">
        <v>3.1042095529916302E-4</v>
      </c>
      <c r="N41" s="16">
        <v>1.20697446763547E-4</v>
      </c>
      <c r="O41" s="16">
        <v>8.6365262557400006E-5</v>
      </c>
      <c r="P41" s="16">
        <v>8.8253685537995007E-5</v>
      </c>
      <c r="Q41" s="16">
        <v>1.17355192792677E-4</v>
      </c>
      <c r="R41" s="16">
        <v>9.2677694572252504E-5</v>
      </c>
      <c r="S41" s="16">
        <v>8.0411956125413394E-5</v>
      </c>
      <c r="T41" s="16">
        <v>7.7763442580794395E-5</v>
      </c>
      <c r="U41" s="16">
        <v>1.23856852866561E-4</v>
      </c>
      <c r="V41" s="16">
        <v>1.16488949704542E-4</v>
      </c>
      <c r="W41" s="16">
        <v>2.5995324858357099E-4</v>
      </c>
      <c r="X41" s="16">
        <v>2.7626358618005698E-4</v>
      </c>
      <c r="Y41" s="16">
        <v>1.97901953260586E-4</v>
      </c>
      <c r="Z41" s="16">
        <v>1.48910061032191E-4</v>
      </c>
      <c r="AA41" s="16">
        <v>1.11231248221973E-4</v>
      </c>
      <c r="AB41" s="16">
        <v>9.3689582726813597E-5</v>
      </c>
      <c r="AC41" s="16">
        <v>1.2319107022681501E-4</v>
      </c>
      <c r="AD41" s="16">
        <v>3.9155530693983699E-5</v>
      </c>
      <c r="AE41" s="16">
        <v>6.1188960289521903E-5</v>
      </c>
      <c r="AF41" s="16">
        <v>1.3711338801269699E-4</v>
      </c>
      <c r="AG41" s="16">
        <v>6.9236820533900495E-5</v>
      </c>
      <c r="AH41" s="16">
        <v>3.25558255926987E-5</v>
      </c>
      <c r="AI41" s="16">
        <v>1.16728098513783E-3</v>
      </c>
      <c r="AJ41" s="16">
        <v>6.3146020277396995E-4</v>
      </c>
      <c r="AK41" s="16">
        <v>2.3352835787045301E-3</v>
      </c>
      <c r="AL41" s="16">
        <v>1.58477155554044E-4</v>
      </c>
      <c r="AM41" s="16">
        <v>3.3904823467703101E-4</v>
      </c>
      <c r="AN41" s="16">
        <v>2.1381191408522001E-4</v>
      </c>
      <c r="AO41" s="16">
        <v>1.6669007830744299E-4</v>
      </c>
      <c r="AP41" s="16">
        <v>2.21975312919218E-3</v>
      </c>
      <c r="AQ41" s="16">
        <v>3.01890273799651E-4</v>
      </c>
      <c r="AR41" s="16">
        <v>3.8626015072872901E-4</v>
      </c>
      <c r="AS41" s="16">
        <v>9.6579789096693097E-5</v>
      </c>
      <c r="AT41" s="16">
        <v>5.5340508388628602E-4</v>
      </c>
      <c r="AU41" s="16">
        <v>9.3650363759949695E-4</v>
      </c>
      <c r="AV41" s="16">
        <v>7.0424775317595798E-4</v>
      </c>
      <c r="AW41" s="16">
        <v>9.0539283746038195E-4</v>
      </c>
      <c r="AX41" s="16">
        <v>4.1891616130687403E-4</v>
      </c>
      <c r="AY41" s="16">
        <v>2.6735930864236801E-4</v>
      </c>
      <c r="AZ41" s="16">
        <v>3.9274017813673099E-4</v>
      </c>
      <c r="BA41" s="16">
        <v>2.44895662921479E-3</v>
      </c>
      <c r="BB41" s="16">
        <v>3.15224908730126E-4</v>
      </c>
      <c r="BC41" s="16">
        <v>8.9980296819195803E-4</v>
      </c>
      <c r="BD41" s="16">
        <v>2.0931584738033602E-3</v>
      </c>
      <c r="BE41" s="16">
        <v>3.26470941311763E-4</v>
      </c>
      <c r="BF41" s="16">
        <v>9.3859121318675196E-5</v>
      </c>
      <c r="BG41" s="16">
        <v>4.8696845155769402E-4</v>
      </c>
      <c r="BH41" s="16">
        <v>2.05910858287885E-5</v>
      </c>
      <c r="BI41" s="16">
        <v>6.2071493622173801E-4</v>
      </c>
      <c r="BJ41" s="16">
        <v>3.1141322572142698E-4</v>
      </c>
      <c r="BK41" s="16">
        <v>3.3486369951127998E-4</v>
      </c>
      <c r="BL41" s="16">
        <v>1.06432521898462E-4</v>
      </c>
      <c r="BM41" s="16">
        <v>1.72228278502095E-3</v>
      </c>
      <c r="BN41" s="16">
        <v>2.30465546085091E-3</v>
      </c>
      <c r="BO41" s="16">
        <v>2.2773344015968299E-4</v>
      </c>
      <c r="BP41" s="16">
        <v>3.6144209937801402E-4</v>
      </c>
      <c r="BQ41" s="16">
        <v>3.3103262029256502E-4</v>
      </c>
      <c r="BR41" s="16">
        <v>4.0016271570785401E-4</v>
      </c>
      <c r="BS41" s="16">
        <v>1.6545971062302499E-3</v>
      </c>
      <c r="BT41" s="16">
        <v>2.1652114116890901E-4</v>
      </c>
      <c r="BU41" s="16">
        <v>1.04156492550608E-4</v>
      </c>
      <c r="BV41" s="16">
        <v>4.9959454082269399E-5</v>
      </c>
      <c r="BW41" s="16">
        <v>6.2170930209991197E-5</v>
      </c>
      <c r="BX41" s="16">
        <v>1.23992050918364E-4</v>
      </c>
      <c r="BY41" s="16">
        <v>2.4680747869672498E-4</v>
      </c>
      <c r="BZ41" s="16">
        <v>0</v>
      </c>
      <c r="CA41" s="16">
        <v>2.4695903676922402E-3</v>
      </c>
    </row>
    <row r="42" spans="1:79" x14ac:dyDescent="0.3">
      <c r="A42" s="8" t="s">
        <v>130</v>
      </c>
      <c r="B42" s="15">
        <v>3.79035442103517E-4</v>
      </c>
      <c r="C42" s="15">
        <v>7.26135965281167E-4</v>
      </c>
      <c r="D42" s="15">
        <v>2.1073368101789101E-4</v>
      </c>
      <c r="E42" s="15">
        <v>5.0852116846689902E-4</v>
      </c>
      <c r="F42" s="15">
        <v>4.6286497157964801E-4</v>
      </c>
      <c r="G42" s="19">
        <v>3.4616525901965198E-4</v>
      </c>
      <c r="H42" s="15">
        <v>1.7317702629599601E-4</v>
      </c>
      <c r="I42" s="15">
        <v>4.2301856288025401E-4</v>
      </c>
      <c r="J42" s="15">
        <v>2.0286887393567999E-4</v>
      </c>
      <c r="K42" s="15">
        <v>5.4391676145990997E-4</v>
      </c>
      <c r="L42" s="15">
        <v>5.4782371340166003E-4</v>
      </c>
      <c r="M42" s="15">
        <v>3.8829196548979198E-4</v>
      </c>
      <c r="N42" s="15">
        <v>6.2235542387902303E-4</v>
      </c>
      <c r="O42" s="15">
        <v>5.3425041258005302E-4</v>
      </c>
      <c r="P42" s="15">
        <v>5.4016277211295697E-4</v>
      </c>
      <c r="Q42" s="15">
        <v>3.6448893242118702E-4</v>
      </c>
      <c r="R42" s="15">
        <v>2.7792928193078899E-4</v>
      </c>
      <c r="S42" s="15">
        <v>3.75125217820961E-4</v>
      </c>
      <c r="T42" s="15">
        <v>4.7518631275902999E-4</v>
      </c>
      <c r="U42" s="15">
        <v>4.9459613427061105E-4</v>
      </c>
      <c r="V42" s="15">
        <v>4.8046306831660702E-4</v>
      </c>
      <c r="W42" s="15">
        <v>3.1696944095104001E-4</v>
      </c>
      <c r="X42" s="15">
        <v>6.9472137549621803E-4</v>
      </c>
      <c r="Y42" s="15">
        <v>5.1622203502991798E-4</v>
      </c>
      <c r="Z42" s="15">
        <v>6.4477516123789401E-4</v>
      </c>
      <c r="AA42" s="15">
        <v>7.5893906590374896E-4</v>
      </c>
      <c r="AB42" s="15">
        <v>5.1409945550465804E-4</v>
      </c>
      <c r="AC42" s="15">
        <v>4.1902535027660103E-4</v>
      </c>
      <c r="AD42" s="15">
        <v>1.5305916197656501E-4</v>
      </c>
      <c r="AE42" s="15">
        <v>3.4593979271498499E-4</v>
      </c>
      <c r="AF42" s="15">
        <v>6.1280810052621599E-4</v>
      </c>
      <c r="AG42" s="15">
        <v>3.2279357868379499E-4</v>
      </c>
      <c r="AH42" s="15">
        <v>1.8338678910933301E-4</v>
      </c>
      <c r="AI42" s="15">
        <v>6.6203030823902502E-5</v>
      </c>
      <c r="AJ42" s="15">
        <v>6.98255616853367E-5</v>
      </c>
      <c r="AK42" s="15">
        <v>1.8031012871389299E-4</v>
      </c>
      <c r="AL42" s="15">
        <v>1.9854954503729899E-2</v>
      </c>
      <c r="AM42" s="15">
        <v>1.9456444643037901E-4</v>
      </c>
      <c r="AN42" s="15">
        <v>4.0194527745559898E-4</v>
      </c>
      <c r="AO42" s="15">
        <v>3.4827191172792502E-4</v>
      </c>
      <c r="AP42" s="15">
        <v>3.6682737033734701E-4</v>
      </c>
      <c r="AQ42" s="15">
        <v>3.32367600213259E-4</v>
      </c>
      <c r="AR42" s="15">
        <v>2.3749098713506201E-4</v>
      </c>
      <c r="AS42" s="15">
        <v>2.8340961367063399E-4</v>
      </c>
      <c r="AT42" s="15">
        <v>3.5557645490014801E-4</v>
      </c>
      <c r="AU42" s="15">
        <v>3.8884784443322002E-4</v>
      </c>
      <c r="AV42" s="15">
        <v>1.9954919266724201E-4</v>
      </c>
      <c r="AW42" s="15">
        <v>1.27496175008503E-4</v>
      </c>
      <c r="AX42" s="15">
        <v>2.19005256501638E-4</v>
      </c>
      <c r="AY42" s="15">
        <v>1.59507330341356E-4</v>
      </c>
      <c r="AZ42" s="15">
        <v>1.26781369166044E-4</v>
      </c>
      <c r="BA42" s="15">
        <v>1.05999103295612E-4</v>
      </c>
      <c r="BB42" s="15">
        <v>8.4984153214049193E-5</v>
      </c>
      <c r="BC42" s="15">
        <v>3.4970108585143202E-5</v>
      </c>
      <c r="BD42" s="15">
        <v>3.62448220111204E-5</v>
      </c>
      <c r="BE42" s="15">
        <v>6.2275644434584796E-6</v>
      </c>
      <c r="BF42" s="15">
        <v>3.8298694713388899E-5</v>
      </c>
      <c r="BG42" s="15">
        <v>4.2401525672455099E-4</v>
      </c>
      <c r="BH42" s="15">
        <v>2.9615944632271099E-6</v>
      </c>
      <c r="BI42" s="15">
        <v>1.2343324565509801E-4</v>
      </c>
      <c r="BJ42" s="15">
        <v>6.1109389769998097E-5</v>
      </c>
      <c r="BK42" s="15">
        <v>1.38462848652836E-4</v>
      </c>
      <c r="BL42" s="15">
        <v>4.0621159129567401E-4</v>
      </c>
      <c r="BM42" s="15">
        <v>5.7213525048557599E-5</v>
      </c>
      <c r="BN42" s="15">
        <v>1.7874388217102E-4</v>
      </c>
      <c r="BO42" s="15">
        <v>2.23969052909202E-4</v>
      </c>
      <c r="BP42" s="15">
        <v>2.3935984345516801E-4</v>
      </c>
      <c r="BQ42" s="15">
        <v>2.4001190515606099E-4</v>
      </c>
      <c r="BR42" s="15">
        <v>1.3836124389763501E-4</v>
      </c>
      <c r="BS42" s="15">
        <v>1.7274813345602701E-4</v>
      </c>
      <c r="BT42" s="15">
        <v>2.8559229693303099E-4</v>
      </c>
      <c r="BU42" s="15">
        <v>2.5620224590453401E-4</v>
      </c>
      <c r="BV42" s="15">
        <v>2.5703456577450901E-4</v>
      </c>
      <c r="BW42" s="15">
        <v>4.1976599645702399E-4</v>
      </c>
      <c r="BX42" s="15">
        <v>1.4841981444273301E-4</v>
      </c>
      <c r="BY42" s="15">
        <v>1.72325475606505E-4</v>
      </c>
      <c r="BZ42" s="15">
        <v>0</v>
      </c>
      <c r="CA42" s="15">
        <v>7.6769267613093194E-5</v>
      </c>
    </row>
    <row r="43" spans="1:79" x14ac:dyDescent="0.3">
      <c r="A43" s="7" t="s">
        <v>131</v>
      </c>
      <c r="B43" s="16">
        <v>1.03071490888096E-4</v>
      </c>
      <c r="C43" s="16">
        <v>1.9742498944313799E-4</v>
      </c>
      <c r="D43" s="16">
        <v>5.6715978348024903E-5</v>
      </c>
      <c r="E43" s="16">
        <v>1.37904045685939E-4</v>
      </c>
      <c r="F43" s="16">
        <v>1.25746106392559E-4</v>
      </c>
      <c r="G43" s="19">
        <v>6.4247666118183704E-3</v>
      </c>
      <c r="H43" s="16">
        <v>4.6389371163322102E-5</v>
      </c>
      <c r="I43" s="16">
        <v>2.0003702638442802E-3</v>
      </c>
      <c r="J43" s="16">
        <v>5.49919544997071E-5</v>
      </c>
      <c r="K43" s="16">
        <v>1.44945313894192E-4</v>
      </c>
      <c r="L43" s="16">
        <v>1.45083232935829E-4</v>
      </c>
      <c r="M43" s="16">
        <v>9.8164786705567705E-5</v>
      </c>
      <c r="N43" s="16">
        <v>1.6945361941465899E-4</v>
      </c>
      <c r="O43" s="16">
        <v>1.4549039390905801E-4</v>
      </c>
      <c r="P43" s="16">
        <v>1.4750119818779999E-4</v>
      </c>
      <c r="Q43" s="16">
        <v>1.00254562355079E-4</v>
      </c>
      <c r="R43" s="16">
        <v>7.6501916258820299E-5</v>
      </c>
      <c r="S43" s="16">
        <v>1.0242018858135E-4</v>
      </c>
      <c r="T43" s="16">
        <v>1.29553649782587E-4</v>
      </c>
      <c r="U43" s="16">
        <v>1.3473589135216699E-4</v>
      </c>
      <c r="V43" s="16">
        <v>1.3128729603882299E-4</v>
      </c>
      <c r="W43" s="16">
        <v>8.6167742140299197E-5</v>
      </c>
      <c r="X43" s="16">
        <v>1.8909103727469899E-4</v>
      </c>
      <c r="Y43" s="16">
        <v>1.40745865824616E-4</v>
      </c>
      <c r="Z43" s="16">
        <v>1.75528158516842E-4</v>
      </c>
      <c r="AA43" s="16">
        <v>2.0640151355160201E-4</v>
      </c>
      <c r="AB43" s="16">
        <v>1.4011517696447599E-4</v>
      </c>
      <c r="AC43" s="16">
        <v>1.14004486690127E-4</v>
      </c>
      <c r="AD43" s="16">
        <v>4.1439894579846202E-5</v>
      </c>
      <c r="AE43" s="16">
        <v>9.4113285532494999E-5</v>
      </c>
      <c r="AF43" s="16">
        <v>1.6623195517405899E-4</v>
      </c>
      <c r="AG43" s="16">
        <v>8.8692693180004306E-5</v>
      </c>
      <c r="AH43" s="16">
        <v>5.00733301223202E-5</v>
      </c>
      <c r="AI43" s="16">
        <v>1.8092309546291999E-5</v>
      </c>
      <c r="AJ43" s="16">
        <v>2.0087961863532398E-5</v>
      </c>
      <c r="AK43" s="16">
        <v>4.8827182581599598E-5</v>
      </c>
      <c r="AL43" s="16">
        <v>6.5234960031701196E-5</v>
      </c>
      <c r="AM43" s="16">
        <v>1.6903140334283601E-2</v>
      </c>
      <c r="AN43" s="16">
        <v>7.2417230828985003E-5</v>
      </c>
      <c r="AO43" s="16">
        <v>8.4272861554929703E-5</v>
      </c>
      <c r="AP43" s="16">
        <v>9.86128269438639E-5</v>
      </c>
      <c r="AQ43" s="16">
        <v>7.9282234251613798E-5</v>
      </c>
      <c r="AR43" s="16">
        <v>6.4308378545741202E-5</v>
      </c>
      <c r="AS43" s="16">
        <v>7.3915187427067505E-5</v>
      </c>
      <c r="AT43" s="16">
        <v>7.2889926969184205E-5</v>
      </c>
      <c r="AU43" s="16">
        <v>1.0593821861667E-4</v>
      </c>
      <c r="AV43" s="16">
        <v>5.3971367988931301E-5</v>
      </c>
      <c r="AW43" s="16">
        <v>4.0657113586044799E-5</v>
      </c>
      <c r="AX43" s="16">
        <v>5.6013043264399503E-5</v>
      </c>
      <c r="AY43" s="16">
        <v>4.7433762504767502E-5</v>
      </c>
      <c r="AZ43" s="16">
        <v>3.4664461007343301E-5</v>
      </c>
      <c r="BA43" s="16">
        <v>2.6414016031592501E-5</v>
      </c>
      <c r="BB43" s="16">
        <v>2.3181711187683899E-5</v>
      </c>
      <c r="BC43" s="16">
        <v>1.11753782908615E-5</v>
      </c>
      <c r="BD43" s="16">
        <v>1.07747668083095E-5</v>
      </c>
      <c r="BE43" s="16">
        <v>2.1642497310370802E-6</v>
      </c>
      <c r="BF43" s="16">
        <v>9.7800741223129504E-6</v>
      </c>
      <c r="BG43" s="16">
        <v>1.15102981230938E-4</v>
      </c>
      <c r="BH43" s="16">
        <v>7.8042016260714395E-7</v>
      </c>
      <c r="BI43" s="16">
        <v>3.3809167047287902E-5</v>
      </c>
      <c r="BJ43" s="16">
        <v>1.6752103250889001E-5</v>
      </c>
      <c r="BK43" s="16">
        <v>3.7798331474307502E-5</v>
      </c>
      <c r="BL43" s="16">
        <v>1.10774311656172E-4</v>
      </c>
      <c r="BM43" s="16">
        <v>1.4949109411638101E-5</v>
      </c>
      <c r="BN43" s="16">
        <v>4.6786481897089902E-5</v>
      </c>
      <c r="BO43" s="16">
        <v>6.03587998570204E-5</v>
      </c>
      <c r="BP43" s="16">
        <v>5.9839960863792003E-5</v>
      </c>
      <c r="BQ43" s="16">
        <v>6.1947108068629995E-5</v>
      </c>
      <c r="BR43" s="16">
        <v>3.8662411006582897E-5</v>
      </c>
      <c r="BS43" s="16">
        <v>4.5904551534037001E-5</v>
      </c>
      <c r="BT43" s="16">
        <v>8.0292463344020795E-5</v>
      </c>
      <c r="BU43" s="16">
        <v>7.0191079309077202E-5</v>
      </c>
      <c r="BV43" s="16">
        <v>7.2201363383282797E-5</v>
      </c>
      <c r="BW43" s="16">
        <v>1.1694756920954001E-4</v>
      </c>
      <c r="BX43" s="16">
        <v>4.1849947075193401E-5</v>
      </c>
      <c r="BY43" s="16">
        <v>4.4759081442925798E-5</v>
      </c>
      <c r="BZ43" s="16">
        <v>0</v>
      </c>
      <c r="CA43" s="16">
        <v>1.8031466583078499E-5</v>
      </c>
    </row>
    <row r="44" spans="1:79" x14ac:dyDescent="0.3">
      <c r="A44" s="8" t="s">
        <v>132</v>
      </c>
      <c r="B44" s="15">
        <v>7.6440349397797402E-3</v>
      </c>
      <c r="C44" s="15">
        <v>1.46425067736603E-2</v>
      </c>
      <c r="D44" s="15">
        <v>4.2027060285963003E-3</v>
      </c>
      <c r="E44" s="15">
        <v>1.02185679004392E-2</v>
      </c>
      <c r="F44" s="15">
        <v>9.3023255813953504E-3</v>
      </c>
      <c r="G44" s="19">
        <v>6.7896598775489796E-3</v>
      </c>
      <c r="H44" s="15">
        <v>3.4322467299151001E-3</v>
      </c>
      <c r="I44" s="15">
        <v>6.8220259999812903E-3</v>
      </c>
      <c r="J44" s="15">
        <v>4.0619804133457602E-3</v>
      </c>
      <c r="K44" s="15">
        <v>1.07376763557491E-2</v>
      </c>
      <c r="L44" s="15">
        <v>1.0746659480693799E-2</v>
      </c>
      <c r="M44" s="15">
        <v>7.2148526137493299E-3</v>
      </c>
      <c r="N44" s="15">
        <v>1.2533573009324899E-2</v>
      </c>
      <c r="O44" s="15">
        <v>1.07626870060106E-2</v>
      </c>
      <c r="P44" s="15">
        <v>1.08844423533902E-2</v>
      </c>
      <c r="Q44" s="15">
        <v>7.3291862893579097E-3</v>
      </c>
      <c r="R44" s="15">
        <v>5.5887342906737504E-3</v>
      </c>
      <c r="S44" s="15">
        <v>7.5538450281408603E-3</v>
      </c>
      <c r="T44" s="15">
        <v>9.5668344085251995E-3</v>
      </c>
      <c r="U44" s="15">
        <v>9.9439102783275696E-3</v>
      </c>
      <c r="V44" s="15">
        <v>1.1233819402541499E-2</v>
      </c>
      <c r="W44" s="15">
        <v>6.3904788338538703E-3</v>
      </c>
      <c r="X44" s="15">
        <v>1.4000362733094501E-2</v>
      </c>
      <c r="Y44" s="15">
        <v>1.0446356241546601E-2</v>
      </c>
      <c r="Z44" s="15">
        <v>1.30111808725407E-2</v>
      </c>
      <c r="AA44" s="15">
        <v>1.5293271316449E-2</v>
      </c>
      <c r="AB44" s="15">
        <v>1.03469646645835E-2</v>
      </c>
      <c r="AC44" s="15">
        <v>8.4282735792664404E-3</v>
      </c>
      <c r="AD44" s="15">
        <v>3.06606548698683E-3</v>
      </c>
      <c r="AE44" s="15">
        <v>6.9661712834687599E-3</v>
      </c>
      <c r="AF44" s="15">
        <v>1.2294074652192399E-2</v>
      </c>
      <c r="AG44" s="15">
        <v>6.4901965154727697E-3</v>
      </c>
      <c r="AH44" s="15">
        <v>3.6910851026286801E-3</v>
      </c>
      <c r="AI44" s="15">
        <v>1.23771091016568E-3</v>
      </c>
      <c r="AJ44" s="15">
        <v>1.30302989991438E-3</v>
      </c>
      <c r="AK44" s="15">
        <v>3.5917401040220401E-3</v>
      </c>
      <c r="AL44" s="15">
        <v>4.82114880522272E-3</v>
      </c>
      <c r="AM44" s="15">
        <v>4.0752396370387998E-3</v>
      </c>
      <c r="AN44" s="15">
        <v>5.7038392637528803E-3</v>
      </c>
      <c r="AO44" s="15">
        <v>6.2642237778038103E-3</v>
      </c>
      <c r="AP44" s="15">
        <v>7.2992396588382E-3</v>
      </c>
      <c r="AQ44" s="15">
        <v>6.1323263734514499E-3</v>
      </c>
      <c r="AR44" s="15">
        <v>4.7040584094617498E-3</v>
      </c>
      <c r="AS44" s="15">
        <v>5.4523680935496697E-3</v>
      </c>
      <c r="AT44" s="15">
        <v>5.5940638339595202E-3</v>
      </c>
      <c r="AU44" s="15">
        <v>7.5951082565058302E-3</v>
      </c>
      <c r="AV44" s="15">
        <v>3.9732913546437296E-3</v>
      </c>
      <c r="AW44" s="15">
        <v>2.39799055828493E-3</v>
      </c>
      <c r="AX44" s="15">
        <v>4.0731598373492496E-3</v>
      </c>
      <c r="AY44" s="15">
        <v>3.11325806090297E-3</v>
      </c>
      <c r="AZ44" s="15">
        <v>2.49287207381289E-3</v>
      </c>
      <c r="BA44" s="15">
        <v>2.00986649258572E-3</v>
      </c>
      <c r="BB44" s="15">
        <v>3.2430750317346E-3</v>
      </c>
      <c r="BC44" s="15">
        <v>9.9278402952824598E-4</v>
      </c>
      <c r="BD44" s="15">
        <v>8.05440489136008E-4</v>
      </c>
      <c r="BE44" s="15">
        <v>1.6229876968533401E-4</v>
      </c>
      <c r="BF44" s="15">
        <v>7.8582949536776399E-4</v>
      </c>
      <c r="BG44" s="15">
        <v>8.6981368225447792E-3</v>
      </c>
      <c r="BH44" s="15">
        <v>5.4109131274095401E-5</v>
      </c>
      <c r="BI44" s="15">
        <v>2.56500576216119E-3</v>
      </c>
      <c r="BJ44" s="15">
        <v>1.18651765094645E-3</v>
      </c>
      <c r="BK44" s="15">
        <v>2.8234769434467301E-3</v>
      </c>
      <c r="BL44" s="15">
        <v>8.1759812659986195E-3</v>
      </c>
      <c r="BM44" s="15">
        <v>1.1933909652778001E-3</v>
      </c>
      <c r="BN44" s="15">
        <v>3.6402065703764501E-3</v>
      </c>
      <c r="BO44" s="15">
        <v>5.3584973546101002E-3</v>
      </c>
      <c r="BP44" s="15">
        <v>4.3449489831574499E-3</v>
      </c>
      <c r="BQ44" s="15">
        <v>4.5251434563057602E-3</v>
      </c>
      <c r="BR44" s="15">
        <v>2.79013983200829E-3</v>
      </c>
      <c r="BS44" s="15">
        <v>6.6761014726758796E-3</v>
      </c>
      <c r="BT44" s="15">
        <v>5.8679323232920799E-3</v>
      </c>
      <c r="BU44" s="15">
        <v>5.1499651129853097E-3</v>
      </c>
      <c r="BV44" s="15">
        <v>5.1371927809824303E-3</v>
      </c>
      <c r="BW44" s="15">
        <v>8.4655174300312698E-3</v>
      </c>
      <c r="BX44" s="15">
        <v>2.91343494002707E-3</v>
      </c>
      <c r="BY44" s="15">
        <v>3.2747743985668599E-3</v>
      </c>
      <c r="BZ44" s="15">
        <v>0</v>
      </c>
      <c r="CA44" s="15">
        <v>2.2107421867960299E-3</v>
      </c>
    </row>
    <row r="45" spans="1:79" x14ac:dyDescent="0.3">
      <c r="A45" s="7" t="s">
        <v>133</v>
      </c>
      <c r="B45" s="16">
        <v>2.2098672920652601E-5</v>
      </c>
      <c r="C45" s="16">
        <v>4.1891605643969101E-5</v>
      </c>
      <c r="D45" s="16">
        <v>1.34938933194995E-5</v>
      </c>
      <c r="E45" s="16">
        <v>3.0340631263604599E-5</v>
      </c>
      <c r="F45" s="16">
        <v>2.8862916539990499E-5</v>
      </c>
      <c r="G45" s="19">
        <v>4.7384011438308E-4</v>
      </c>
      <c r="H45" s="16">
        <v>1.12901433309211E-4</v>
      </c>
      <c r="I45" s="16">
        <v>7.7515630955686896E-3</v>
      </c>
      <c r="J45" s="16">
        <v>3.3271049797648102E-5</v>
      </c>
      <c r="K45" s="16">
        <v>1.16360114176039E-4</v>
      </c>
      <c r="L45" s="16">
        <v>3.7977757798607402E-4</v>
      </c>
      <c r="M45" s="16">
        <v>2.7212691072263102E-4</v>
      </c>
      <c r="N45" s="16">
        <v>9.1634620751157206E-5</v>
      </c>
      <c r="O45" s="16">
        <v>5.7324059721794501E-5</v>
      </c>
      <c r="P45" s="16">
        <v>2.02455999736525E-4</v>
      </c>
      <c r="Q45" s="16">
        <v>5.9141091206466403E-4</v>
      </c>
      <c r="R45" s="16">
        <v>6.3661635334510795E-4</v>
      </c>
      <c r="S45" s="16">
        <v>3.6956974166703501E-4</v>
      </c>
      <c r="T45" s="16">
        <v>1.6198949937922601E-4</v>
      </c>
      <c r="U45" s="16">
        <v>4.63276644908118E-4</v>
      </c>
      <c r="V45" s="16">
        <v>4.0925403119586898E-4</v>
      </c>
      <c r="W45" s="16">
        <v>3.4605394346031E-5</v>
      </c>
      <c r="X45" s="16">
        <v>3.5803750021818899E-4</v>
      </c>
      <c r="Y45" s="16">
        <v>4.6840660285977798E-4</v>
      </c>
      <c r="Z45" s="16">
        <v>2.62863764812543E-4</v>
      </c>
      <c r="AA45" s="16">
        <v>3.3129566789895999E-4</v>
      </c>
      <c r="AB45" s="16">
        <v>2.9378309449196898E-4</v>
      </c>
      <c r="AC45" s="16">
        <v>4.5295297902376203E-4</v>
      </c>
      <c r="AD45" s="16">
        <v>1.0635568401961101E-4</v>
      </c>
      <c r="AE45" s="16">
        <v>1.69040382728956E-4</v>
      </c>
      <c r="AF45" s="16">
        <v>4.3512555053089297E-4</v>
      </c>
      <c r="AG45" s="16">
        <v>1.8893572565158799E-4</v>
      </c>
      <c r="AH45" s="16">
        <v>7.5134257655128003E-5</v>
      </c>
      <c r="AI45" s="16">
        <v>1.6833638990058999E-5</v>
      </c>
      <c r="AJ45" s="16">
        <v>2.7024986241138701E-5</v>
      </c>
      <c r="AK45" s="16">
        <v>1.7752616857152001E-3</v>
      </c>
      <c r="AL45" s="16">
        <v>1.4879564205110601E-4</v>
      </c>
      <c r="AM45" s="16">
        <v>3.2843449667786898E-4</v>
      </c>
      <c r="AN45" s="16">
        <v>1.5523712715755699E-4</v>
      </c>
      <c r="AO45" s="16">
        <v>3.0287576812730902E-4</v>
      </c>
      <c r="AP45" s="16">
        <v>1.1152971836045501E-3</v>
      </c>
      <c r="AQ45" s="16">
        <v>4.8866686202358295E-4</v>
      </c>
      <c r="AR45" s="16">
        <v>4.1406790995515398E-4</v>
      </c>
      <c r="AS45" s="16">
        <v>8.0857497848394198E-5</v>
      </c>
      <c r="AT45" s="16">
        <v>6.1211956484453903E-4</v>
      </c>
      <c r="AU45" s="16">
        <v>1.00872937648608E-3</v>
      </c>
      <c r="AV45" s="16">
        <v>8.2208472623231598E-4</v>
      </c>
      <c r="AW45" s="16">
        <v>1.0177736326095401E-3</v>
      </c>
      <c r="AX45" s="16">
        <v>4.3952348361195499E-4</v>
      </c>
      <c r="AY45" s="16">
        <v>2.9909786689868599E-4</v>
      </c>
      <c r="AZ45" s="16">
        <v>4.3081912566728201E-4</v>
      </c>
      <c r="BA45" s="16">
        <v>2.8081186394106001E-3</v>
      </c>
      <c r="BB45" s="16">
        <v>1.2902940447064899E-4</v>
      </c>
      <c r="BC45" s="16">
        <v>3.8416080608456599E-4</v>
      </c>
      <c r="BD45" s="16">
        <v>8.54673705789818E-4</v>
      </c>
      <c r="BE45" s="16">
        <v>1.2620512924334799E-4</v>
      </c>
      <c r="BF45" s="16">
        <v>1.6999197071564101E-4</v>
      </c>
      <c r="BG45" s="16">
        <v>7.82439449340936E-4</v>
      </c>
      <c r="BH45" s="16">
        <v>2.2372044661404802E-5</v>
      </c>
      <c r="BI45" s="16">
        <v>7.4508699350282802E-4</v>
      </c>
      <c r="BJ45" s="16">
        <v>1.7024272300634E-3</v>
      </c>
      <c r="BK45" s="16">
        <v>1.0350688084783E-3</v>
      </c>
      <c r="BL45" s="16">
        <v>2.4654325083645903E-4</v>
      </c>
      <c r="BM45" s="16">
        <v>1.0021602782514E-3</v>
      </c>
      <c r="BN45" s="16">
        <v>6.8296787056426004E-4</v>
      </c>
      <c r="BO45" s="16">
        <v>3.3620315802053701E-4</v>
      </c>
      <c r="BP45" s="16">
        <v>5.6323817177999895E-4</v>
      </c>
      <c r="BQ45" s="16">
        <v>2.14502539684148E-4</v>
      </c>
      <c r="BR45" s="16">
        <v>6.9272281765039899E-4</v>
      </c>
      <c r="BS45" s="16">
        <v>1.81139203949387E-3</v>
      </c>
      <c r="BT45" s="16">
        <v>4.6834932511599599E-4</v>
      </c>
      <c r="BU45" s="16">
        <v>2.0587279938938E-4</v>
      </c>
      <c r="BV45" s="16">
        <v>5.4763981035685601E-5</v>
      </c>
      <c r="BW45" s="16">
        <v>1.2591049269373799E-4</v>
      </c>
      <c r="BX45" s="16">
        <v>2.6674473165725699E-4</v>
      </c>
      <c r="BY45" s="16">
        <v>1.2336157063098699E-3</v>
      </c>
      <c r="BZ45" s="16">
        <v>0</v>
      </c>
      <c r="CA45" s="16">
        <v>5.3843040431222899E-3</v>
      </c>
    </row>
    <row r="46" spans="1:79" x14ac:dyDescent="0.3">
      <c r="A46" s="8" t="s">
        <v>134</v>
      </c>
      <c r="B46" s="15">
        <v>1.41759545309422E-6</v>
      </c>
      <c r="C46" s="15">
        <v>3.5622800135674202E-6</v>
      </c>
      <c r="D46" s="15">
        <v>8.6721679431230705E-7</v>
      </c>
      <c r="E46" s="15">
        <v>2.0894552376657402E-6</v>
      </c>
      <c r="F46" s="15">
        <v>1.73177499239943E-6</v>
      </c>
      <c r="G46" s="19">
        <v>8.8095966037775595E-7</v>
      </c>
      <c r="H46" s="15">
        <v>9.0582936075188104E-7</v>
      </c>
      <c r="I46" s="15">
        <v>1.1704381048561801E-6</v>
      </c>
      <c r="J46" s="15">
        <v>9.6353134166050596E-7</v>
      </c>
      <c r="K46" s="15">
        <v>3.6831813601228599E-6</v>
      </c>
      <c r="L46" s="15">
        <v>1.8462546716689199E-6</v>
      </c>
      <c r="M46" s="15">
        <v>1.8899297126280799E-6</v>
      </c>
      <c r="N46" s="15">
        <v>3.1245538722793499E-6</v>
      </c>
      <c r="O46" s="15">
        <v>1.6244114939203601E-6</v>
      </c>
      <c r="P46" s="15">
        <v>1.89324758467421E-6</v>
      </c>
      <c r="Q46" s="15">
        <v>3.1322936940155399E-6</v>
      </c>
      <c r="R46" s="15">
        <v>1.81076448856246E-6</v>
      </c>
      <c r="S46" s="15">
        <v>2.23168700200439E-6</v>
      </c>
      <c r="T46" s="15">
        <v>2.56718699491642E-6</v>
      </c>
      <c r="U46" s="15">
        <v>3.7907619834117999E-6</v>
      </c>
      <c r="V46" s="15">
        <v>3.4463497363862601E-6</v>
      </c>
      <c r="W46" s="15">
        <v>1.39298195337541E-6</v>
      </c>
      <c r="X46" s="15">
        <v>3.2465247832940199E-6</v>
      </c>
      <c r="Y46" s="15">
        <v>3.3182950419076798E-6</v>
      </c>
      <c r="Z46" s="15">
        <v>2.8925066280997798E-6</v>
      </c>
      <c r="AA46" s="15">
        <v>3.0293886431087901E-6</v>
      </c>
      <c r="AB46" s="15">
        <v>3.2658380726590498E-6</v>
      </c>
      <c r="AC46" s="15">
        <v>3.13651692929854E-6</v>
      </c>
      <c r="AD46" s="15">
        <v>1.3803212701512299E-6</v>
      </c>
      <c r="AE46" s="15">
        <v>2.30444052626544E-6</v>
      </c>
      <c r="AF46" s="15">
        <v>3.6610661806004101E-6</v>
      </c>
      <c r="AG46" s="15">
        <v>3.1738071579119199E-6</v>
      </c>
      <c r="AH46" s="15">
        <v>1.4645710158233001E-6</v>
      </c>
      <c r="AI46" s="15">
        <v>3.14063007306015E-7</v>
      </c>
      <c r="AJ46" s="15">
        <v>1.48082116389801E-7</v>
      </c>
      <c r="AK46" s="15">
        <v>1.8568451865525299E-6</v>
      </c>
      <c r="AL46" s="15">
        <v>7.6357174948766905E-7</v>
      </c>
      <c r="AM46" s="15">
        <v>1.05826126677858E-6</v>
      </c>
      <c r="AN46" s="15">
        <v>7.6439520038561301E-7</v>
      </c>
      <c r="AO46" s="15">
        <v>9.6071418500277601E-7</v>
      </c>
      <c r="AP46" s="15">
        <v>1.0802657098701801E-6</v>
      </c>
      <c r="AQ46" s="15">
        <v>8.2371152469209096E-7</v>
      </c>
      <c r="AR46" s="15">
        <v>1.4303085123372299E-6</v>
      </c>
      <c r="AS46" s="15">
        <v>2.04185600627258E-7</v>
      </c>
      <c r="AT46" s="15">
        <v>1.3850817476329501E-6</v>
      </c>
      <c r="AU46" s="15">
        <v>6.1156425814212995E-7</v>
      </c>
      <c r="AV46" s="15">
        <v>4.3152435856369902E-7</v>
      </c>
      <c r="AW46" s="15">
        <v>4.8165221669878902E-7</v>
      </c>
      <c r="AX46" s="15">
        <v>4.9696114883635203E-7</v>
      </c>
      <c r="AY46" s="15">
        <v>1.1845850304703499E-6</v>
      </c>
      <c r="AZ46" s="15">
        <v>5.9382374316647996E-7</v>
      </c>
      <c r="BA46" s="15">
        <v>3.4303916924146102E-7</v>
      </c>
      <c r="BB46" s="15">
        <v>7.1863304681820101E-7</v>
      </c>
      <c r="BC46" s="15">
        <v>2.8709344800500599E-7</v>
      </c>
      <c r="BD46" s="15">
        <v>2.4003193384847897E-7</v>
      </c>
      <c r="BE46" s="15">
        <v>5.13260805779545E-8</v>
      </c>
      <c r="BF46" s="15">
        <v>2.3069606514376199E-7</v>
      </c>
      <c r="BG46" s="15">
        <v>2.7860641781146198E-6</v>
      </c>
      <c r="BH46" s="15">
        <v>2.0010773400183201E-8</v>
      </c>
      <c r="BI46" s="15">
        <v>7.5446316125113704E-7</v>
      </c>
      <c r="BJ46" s="15">
        <v>2.9003920735970901E-7</v>
      </c>
      <c r="BK46" s="15">
        <v>8.1008509044222796E-7</v>
      </c>
      <c r="BL46" s="15">
        <v>1.6819545908246501E-6</v>
      </c>
      <c r="BM46" s="15">
        <v>3.40399039690165E-7</v>
      </c>
      <c r="BN46" s="15">
        <v>1.46550574570936E-6</v>
      </c>
      <c r="BO46" s="15">
        <v>2.1274128294554899E-6</v>
      </c>
      <c r="BP46" s="15">
        <v>1.7471521420085301E-6</v>
      </c>
      <c r="BQ46" s="15">
        <v>1.9146752374992602E-6</v>
      </c>
      <c r="BR46" s="15">
        <v>7.0623137089366305E-7</v>
      </c>
      <c r="BS46" s="15">
        <v>1.09482746418487E-6</v>
      </c>
      <c r="BT46" s="15">
        <v>1.60304393998544E-6</v>
      </c>
      <c r="BU46" s="15">
        <v>1.2619950348087099E-6</v>
      </c>
      <c r="BV46" s="15">
        <v>1.71590248336294E-6</v>
      </c>
      <c r="BW46" s="15">
        <v>2.0899008447268201E-6</v>
      </c>
      <c r="BX46" s="15">
        <v>6.7593774824625205E-7</v>
      </c>
      <c r="BY46" s="15">
        <v>1.3012061361604299E-6</v>
      </c>
      <c r="BZ46" s="15">
        <v>0</v>
      </c>
      <c r="CA46" s="15">
        <v>4.7169115912928299E-7</v>
      </c>
    </row>
    <row r="47" spans="1:79" x14ac:dyDescent="0.3">
      <c r="A47" s="7" t="s">
        <v>135</v>
      </c>
      <c r="B47" s="16">
        <v>4.3933743381019096E-9</v>
      </c>
      <c r="C47" s="16">
        <v>0</v>
      </c>
      <c r="D47" s="16">
        <v>0</v>
      </c>
      <c r="E47" s="16">
        <v>0</v>
      </c>
      <c r="F47" s="16">
        <v>0</v>
      </c>
      <c r="G47" s="19">
        <v>1.01519038967987E-8</v>
      </c>
      <c r="H47" s="16">
        <v>1.18564052454435E-8</v>
      </c>
      <c r="I47" s="16">
        <v>1.9616281086974999E-8</v>
      </c>
      <c r="J47" s="16">
        <v>4.0770014456721004E-9</v>
      </c>
      <c r="K47" s="16">
        <v>4.7839737110311201E-9</v>
      </c>
      <c r="L47" s="16">
        <v>1.5136120282509799E-7</v>
      </c>
      <c r="M47" s="16">
        <v>1.6405639866563201E-7</v>
      </c>
      <c r="N47" s="16">
        <v>3.59672912616818E-8</v>
      </c>
      <c r="O47" s="16">
        <v>4.3087838035022898E-9</v>
      </c>
      <c r="P47" s="16">
        <v>0</v>
      </c>
      <c r="Q47" s="16">
        <v>0</v>
      </c>
      <c r="R47" s="16">
        <v>5.1900892984274302E-8</v>
      </c>
      <c r="S47" s="16">
        <v>0</v>
      </c>
      <c r="T47" s="16">
        <v>0</v>
      </c>
      <c r="U47" s="16">
        <v>2.75942637554999E-8</v>
      </c>
      <c r="V47" s="16">
        <v>4.6572293734949497E-8</v>
      </c>
      <c r="W47" s="16">
        <v>0</v>
      </c>
      <c r="X47" s="16">
        <v>5.3735582620039001E-8</v>
      </c>
      <c r="Y47" s="16">
        <v>5.8697113830020803E-7</v>
      </c>
      <c r="Z47" s="16">
        <v>2.5632986626079701E-7</v>
      </c>
      <c r="AA47" s="16">
        <v>2.2709060293169402E-9</v>
      </c>
      <c r="AB47" s="16">
        <v>1.3648278512605E-8</v>
      </c>
      <c r="AC47" s="16">
        <v>3.4942628920567303E-8</v>
      </c>
      <c r="AD47" s="16">
        <v>1.1476594082889999E-8</v>
      </c>
      <c r="AE47" s="16">
        <v>1.4751041775525599E-8</v>
      </c>
      <c r="AF47" s="16">
        <v>6.14025590466994E-8</v>
      </c>
      <c r="AG47" s="16">
        <v>0</v>
      </c>
      <c r="AH47" s="16">
        <v>2.2056792406977402E-9</v>
      </c>
      <c r="AI47" s="16">
        <v>6.6682244675534398E-8</v>
      </c>
      <c r="AJ47" s="16">
        <v>1.76452989156072E-7</v>
      </c>
      <c r="AK47" s="16">
        <v>6.9740664283662997E-8</v>
      </c>
      <c r="AL47" s="16">
        <v>4.32210424238303E-8</v>
      </c>
      <c r="AM47" s="16">
        <v>2.1165225335571502E-6</v>
      </c>
      <c r="AN47" s="16">
        <v>1.6746184159391301E-7</v>
      </c>
      <c r="AO47" s="16">
        <v>1.9323922979371099E-7</v>
      </c>
      <c r="AP47" s="16">
        <v>0</v>
      </c>
      <c r="AQ47" s="16">
        <v>3.0889182175953402E-6</v>
      </c>
      <c r="AR47" s="16">
        <v>1.2808732946303499E-8</v>
      </c>
      <c r="AS47" s="16">
        <v>0</v>
      </c>
      <c r="AT47" s="16">
        <v>6.4925706920294802E-7</v>
      </c>
      <c r="AU47" s="16">
        <v>3.0578212907106501E-8</v>
      </c>
      <c r="AV47" s="16">
        <v>5.2399386397020695E-7</v>
      </c>
      <c r="AW47" s="16">
        <v>1.2749617500850301E-7</v>
      </c>
      <c r="AX47" s="16">
        <v>8.8348648682018197E-8</v>
      </c>
      <c r="AY47" s="16">
        <v>6.7878254980741005E-8</v>
      </c>
      <c r="AZ47" s="16">
        <v>0</v>
      </c>
      <c r="BA47" s="16">
        <v>0</v>
      </c>
      <c r="BB47" s="16">
        <v>0</v>
      </c>
      <c r="BC47" s="16">
        <v>1.06330906668521E-7</v>
      </c>
      <c r="BD47" s="16">
        <v>0</v>
      </c>
      <c r="BE47" s="16">
        <v>4.5908327628059298E-7</v>
      </c>
      <c r="BF47" s="16">
        <v>8.0091557898838295E-7</v>
      </c>
      <c r="BG47" s="16">
        <v>2.8157031587328701E-6</v>
      </c>
      <c r="BH47" s="16">
        <v>0</v>
      </c>
      <c r="BI47" s="16">
        <v>9.26863114387709E-7</v>
      </c>
      <c r="BJ47" s="16">
        <v>6.1750282857228405E-7</v>
      </c>
      <c r="BK47" s="16">
        <v>8.2899371048940597E-7</v>
      </c>
      <c r="BL47" s="16">
        <v>0</v>
      </c>
      <c r="BM47" s="16">
        <v>2.36415471369826E-7</v>
      </c>
      <c r="BN47" s="16">
        <v>4.6131082974344699E-7</v>
      </c>
      <c r="BO47" s="16">
        <v>1.5912001695722401E-7</v>
      </c>
      <c r="BP47" s="16">
        <v>0</v>
      </c>
      <c r="BQ47" s="16">
        <v>2.9456542115373299E-8</v>
      </c>
      <c r="BR47" s="16">
        <v>2.5544538947217601E-7</v>
      </c>
      <c r="BS47" s="16">
        <v>7.8201961727490703E-8</v>
      </c>
      <c r="BT47" s="16">
        <v>2.0739380973561602E-6</v>
      </c>
      <c r="BU47" s="16">
        <v>5.9156017256658103E-8</v>
      </c>
      <c r="BV47" s="16">
        <v>3.2411491352411101E-8</v>
      </c>
      <c r="BW47" s="16">
        <v>2.5098116380091102E-7</v>
      </c>
      <c r="BX47" s="16">
        <v>3.1334862501481897E-8</v>
      </c>
      <c r="BY47" s="16">
        <v>1.20482049644484E-7</v>
      </c>
      <c r="BZ47" s="16">
        <v>0</v>
      </c>
      <c r="CA47" s="16">
        <v>2.2481903298759302E-6</v>
      </c>
    </row>
    <row r="48" spans="1:79" x14ac:dyDescent="0.3">
      <c r="A48" s="8" t="s">
        <v>136</v>
      </c>
      <c r="B48" s="15">
        <v>9.5922006381891706E-7</v>
      </c>
      <c r="C48" s="15">
        <v>2.14326141190228E-4</v>
      </c>
      <c r="D48" s="15">
        <v>1.20716577768273E-5</v>
      </c>
      <c r="E48" s="15">
        <v>0.117966942641624</v>
      </c>
      <c r="F48" s="15">
        <v>6.6384708041978204E-5</v>
      </c>
      <c r="G48" s="19">
        <v>4.7138673760802099E-6</v>
      </c>
      <c r="H48" s="15">
        <v>7.0474472778915902E-6</v>
      </c>
      <c r="I48" s="15">
        <v>1.9457062272152401E-3</v>
      </c>
      <c r="J48" s="15">
        <v>1.1604505114864701E-5</v>
      </c>
      <c r="K48" s="15">
        <v>1.08251757133212E-5</v>
      </c>
      <c r="L48" s="15">
        <v>3.2967701985096702E-4</v>
      </c>
      <c r="M48" s="15">
        <v>2.2426509697591901E-5</v>
      </c>
      <c r="N48" s="15">
        <v>3.3823891637075698E-4</v>
      </c>
      <c r="O48" s="15">
        <v>1.7432046633829201E-4</v>
      </c>
      <c r="P48" s="15">
        <v>3.6761400962310401E-5</v>
      </c>
      <c r="Q48" s="15">
        <v>7.2042754962357399E-5</v>
      </c>
      <c r="R48" s="15">
        <v>1.0263689925934599E-4</v>
      </c>
      <c r="S48" s="15">
        <v>6.7366083704121805E-5</v>
      </c>
      <c r="T48" s="15">
        <v>1.6625326212730499E-4</v>
      </c>
      <c r="U48" s="15">
        <v>4.5212511306792698E-4</v>
      </c>
      <c r="V48" s="15">
        <v>4.01371670481229E-4</v>
      </c>
      <c r="W48" s="15">
        <v>2.3235379292689399E-5</v>
      </c>
      <c r="X48" s="15">
        <v>8.2545915241772903E-5</v>
      </c>
      <c r="Y48" s="15">
        <v>1.17314268743369E-4</v>
      </c>
      <c r="Z48" s="15">
        <v>8.0743907872151096E-5</v>
      </c>
      <c r="AA48" s="15">
        <v>1.5512218450359599E-4</v>
      </c>
      <c r="AB48" s="15">
        <v>2.4388108874173899E-4</v>
      </c>
      <c r="AC48" s="15">
        <v>4.1742298115038699E-4</v>
      </c>
      <c r="AD48" s="15">
        <v>8.4722825836731105E-5</v>
      </c>
      <c r="AE48" s="15">
        <v>1.12516029649784E-4</v>
      </c>
      <c r="AF48" s="15">
        <v>2.5777383752371302E-4</v>
      </c>
      <c r="AG48" s="15">
        <v>2.4235423334137499E-4</v>
      </c>
      <c r="AH48" s="15">
        <v>6.9183335063725495E-5</v>
      </c>
      <c r="AI48" s="15">
        <v>2.2124978756220201E-3</v>
      </c>
      <c r="AJ48" s="15">
        <v>2.0667561494834598E-3</v>
      </c>
      <c r="AK48" s="15">
        <v>0.18256619997434601</v>
      </c>
      <c r="AL48" s="15">
        <v>7.8462572774330594E-2</v>
      </c>
      <c r="AM48" s="15">
        <v>8.2213703288192094E-2</v>
      </c>
      <c r="AN48" s="15">
        <v>5.4004045764315001E-2</v>
      </c>
      <c r="AO48" s="15">
        <v>1.9304880007045E-2</v>
      </c>
      <c r="AP48" s="15">
        <v>1.8912366106370101E-3</v>
      </c>
      <c r="AQ48" s="15">
        <v>7.25974033729751E-2</v>
      </c>
      <c r="AR48" s="15">
        <v>2.0096816601197299E-3</v>
      </c>
      <c r="AS48" s="15">
        <v>5.2083663008001E-3</v>
      </c>
      <c r="AT48" s="15">
        <v>4.0775854406612702E-2</v>
      </c>
      <c r="AU48" s="15">
        <v>4.1539431996852399E-3</v>
      </c>
      <c r="AV48" s="15">
        <v>2.4727270440754101E-3</v>
      </c>
      <c r="AW48" s="15">
        <v>3.1161056808994801E-3</v>
      </c>
      <c r="AX48" s="15">
        <v>1.14527899387852E-2</v>
      </c>
      <c r="AY48" s="15">
        <v>2.6310159035817298E-3</v>
      </c>
      <c r="AZ48" s="15">
        <v>1.38450005719265E-3</v>
      </c>
      <c r="BA48" s="15">
        <v>6.6806878209774599E-3</v>
      </c>
      <c r="BB48" s="15">
        <v>2.56853359959538E-5</v>
      </c>
      <c r="BC48" s="15">
        <v>3.7379566930251797E-5</v>
      </c>
      <c r="BD48" s="15">
        <v>2.0642746310969201E-5</v>
      </c>
      <c r="BE48" s="15">
        <v>3.9144063468690704E-3</v>
      </c>
      <c r="BF48" s="15">
        <v>1.6605664661023601E-3</v>
      </c>
      <c r="BG48" s="15">
        <v>3.3481822650298699E-3</v>
      </c>
      <c r="BH48" s="15">
        <v>1.7401368548799299E-4</v>
      </c>
      <c r="BI48" s="15">
        <v>1.3348860094155601E-3</v>
      </c>
      <c r="BJ48" s="15">
        <v>2.2229446901359802E-3</v>
      </c>
      <c r="BK48" s="15">
        <v>9.2763799089447198E-4</v>
      </c>
      <c r="BL48" s="15">
        <v>1.1261272713916701E-4</v>
      </c>
      <c r="BM48" s="15">
        <v>2.8316099021511701E-4</v>
      </c>
      <c r="BN48" s="15">
        <v>6.0355771181738599E-5</v>
      </c>
      <c r="BO48" s="15">
        <v>1.5836801139763201E-4</v>
      </c>
      <c r="BP48" s="15">
        <v>6.3530819763785E-4</v>
      </c>
      <c r="BQ48" s="15">
        <v>2.10378623787996E-4</v>
      </c>
      <c r="BR48" s="15">
        <v>5.1963602698392895E-4</v>
      </c>
      <c r="BS48" s="15">
        <v>3.64217816549615E-3</v>
      </c>
      <c r="BT48" s="15">
        <v>2.67628185780569E-4</v>
      </c>
      <c r="BU48" s="15">
        <v>1.3163692740037901E-4</v>
      </c>
      <c r="BV48" s="15">
        <v>4.0752302668206798E-4</v>
      </c>
      <c r="BW48" s="15">
        <v>2.4050752677306598E-5</v>
      </c>
      <c r="BX48" s="15">
        <v>4.7534986414748002E-5</v>
      </c>
      <c r="BY48" s="15">
        <v>8.2542252211436005E-5</v>
      </c>
      <c r="BZ48" s="15">
        <v>0</v>
      </c>
      <c r="CA48" s="15">
        <v>1.41223567310906E-3</v>
      </c>
    </row>
    <row r="49" spans="1:79" x14ac:dyDescent="0.3">
      <c r="A49" s="7" t="s">
        <v>137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9">
        <v>0</v>
      </c>
      <c r="H49" s="16">
        <v>0</v>
      </c>
      <c r="I49" s="16">
        <v>0</v>
      </c>
      <c r="J49" s="16">
        <v>0</v>
      </c>
      <c r="K49" s="16">
        <v>9.5679474220622406E-10</v>
      </c>
      <c r="L49" s="16">
        <v>2.6690612102820998E-5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4.4840678602687298E-7</v>
      </c>
      <c r="V49" s="16">
        <v>1.1771147241508501E-5</v>
      </c>
      <c r="W49" s="16">
        <v>0</v>
      </c>
      <c r="X49" s="16">
        <v>0</v>
      </c>
      <c r="Y49" s="16">
        <v>0</v>
      </c>
      <c r="Z49" s="16">
        <v>0</v>
      </c>
      <c r="AA49" s="16">
        <v>3.4063590439754001E-7</v>
      </c>
      <c r="AB49" s="16">
        <v>3.0416163542376798E-7</v>
      </c>
      <c r="AC49" s="16">
        <v>4.24303351178318E-7</v>
      </c>
      <c r="AD49" s="16">
        <v>2.02405386552787E-7</v>
      </c>
      <c r="AE49" s="16">
        <v>2.0487558021563299E-7</v>
      </c>
      <c r="AF49" s="16">
        <v>2.69434429096917E-7</v>
      </c>
      <c r="AG49" s="16">
        <v>2.0289178178432399E-7</v>
      </c>
      <c r="AH49" s="16">
        <v>1.01461245072096E-7</v>
      </c>
      <c r="AI49" s="16">
        <v>5.1573360946720303E-5</v>
      </c>
      <c r="AJ49" s="16">
        <v>6.9690973032823604E-5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1.9680020745257001E-2</v>
      </c>
      <c r="AT49" s="16">
        <v>0</v>
      </c>
      <c r="AU49" s="16">
        <v>0</v>
      </c>
      <c r="AV49" s="16">
        <v>0</v>
      </c>
      <c r="AW49" s="16">
        <v>5.6098317003741296E-6</v>
      </c>
      <c r="AX49" s="16">
        <v>3.64438175813325E-7</v>
      </c>
      <c r="AY49" s="16">
        <v>0</v>
      </c>
      <c r="AZ49" s="16">
        <v>0</v>
      </c>
      <c r="BA49" s="16">
        <v>1.05313024957129E-4</v>
      </c>
      <c r="BB49" s="16">
        <v>2.2005239344908998E-3</v>
      </c>
      <c r="BC49" s="16">
        <v>1.26957294936801E-3</v>
      </c>
      <c r="BD49" s="16">
        <v>6.4936639170475204E-4</v>
      </c>
      <c r="BE49" s="16">
        <v>2.4734038230516302E-3</v>
      </c>
      <c r="BF49" s="16">
        <v>1.23622511321677E-6</v>
      </c>
      <c r="BG49" s="16">
        <v>0</v>
      </c>
      <c r="BH49" s="16">
        <v>0</v>
      </c>
      <c r="BI49" s="16">
        <v>4.5279738186671699E-5</v>
      </c>
      <c r="BJ49" s="16">
        <v>1.16904512772889E-5</v>
      </c>
      <c r="BK49" s="16">
        <v>3.1111646311308299E-5</v>
      </c>
      <c r="BL49" s="16">
        <v>6.9233944785107602E-6</v>
      </c>
      <c r="BM49" s="16">
        <v>1.9742653813499799E-4</v>
      </c>
      <c r="BN49" s="16">
        <v>9.1263596774549601E-5</v>
      </c>
      <c r="BO49" s="16">
        <v>8.3468257662232595E-5</v>
      </c>
      <c r="BP49" s="16">
        <v>5.6782444615277104E-6</v>
      </c>
      <c r="BQ49" s="16">
        <v>5.5378299176901701E-5</v>
      </c>
      <c r="BR49" s="16">
        <v>3.2141040475352002E-5</v>
      </c>
      <c r="BS49" s="16">
        <v>5.4248700850360301E-4</v>
      </c>
      <c r="BT49" s="16">
        <v>2.9375780200233201E-5</v>
      </c>
      <c r="BU49" s="16">
        <v>1.9920788811179599E-5</v>
      </c>
      <c r="BV49" s="16">
        <v>4.6138711219314599E-7</v>
      </c>
      <c r="BW49" s="16">
        <v>2.9393755529760598E-6</v>
      </c>
      <c r="BX49" s="16">
        <v>1.27040485398865E-5</v>
      </c>
      <c r="BY49" s="16">
        <v>4.4108478374845601E-5</v>
      </c>
      <c r="BZ49" s="16">
        <v>0</v>
      </c>
      <c r="CA49" s="16">
        <v>1.16660403345729E-3</v>
      </c>
    </row>
    <row r="50" spans="1:79" x14ac:dyDescent="0.3">
      <c r="A50" s="8" t="s">
        <v>138</v>
      </c>
      <c r="B50" s="15">
        <v>7.7616279973133804E-8</v>
      </c>
      <c r="C50" s="15">
        <v>1.0091444797641401E-8</v>
      </c>
      <c r="D50" s="15">
        <v>0</v>
      </c>
      <c r="E50" s="15">
        <v>9.14136666478761E-7</v>
      </c>
      <c r="F50" s="15">
        <v>9.6209721799968505E-7</v>
      </c>
      <c r="G50" s="19">
        <v>4.43334771162522E-4</v>
      </c>
      <c r="H50" s="15">
        <v>7.2622853409390299E-5</v>
      </c>
      <c r="I50" s="15">
        <v>1.4301576664477299E-3</v>
      </c>
      <c r="J50" s="15">
        <v>1.01805444099396E-4</v>
      </c>
      <c r="K50" s="15">
        <v>4.43804457198646E-5</v>
      </c>
      <c r="L50" s="15">
        <v>2.3069559327328499E-4</v>
      </c>
      <c r="M50" s="15">
        <v>2.4277065874540199E-5</v>
      </c>
      <c r="N50" s="15">
        <v>6.8843068372126894E-5</v>
      </c>
      <c r="O50" s="15">
        <v>5.43596164649849E-5</v>
      </c>
      <c r="P50" s="15">
        <v>2.63333527686503E-5</v>
      </c>
      <c r="Q50" s="15">
        <v>6.78924658177869E-4</v>
      </c>
      <c r="R50" s="15">
        <v>1.1088914124384599E-4</v>
      </c>
      <c r="S50" s="15">
        <v>4.7874434463211097E-5</v>
      </c>
      <c r="T50" s="15">
        <v>8.2596451140789298E-7</v>
      </c>
      <c r="U50" s="15">
        <v>8.7956715720655903E-7</v>
      </c>
      <c r="V50" s="15">
        <v>1.4670272526509099E-6</v>
      </c>
      <c r="W50" s="15">
        <v>1.33874371927128E-5</v>
      </c>
      <c r="X50" s="15">
        <v>1.1658292886634901E-4</v>
      </c>
      <c r="Y50" s="15">
        <v>1.2171746090467401E-4</v>
      </c>
      <c r="Z50" s="15">
        <v>1.5842944861450399E-4</v>
      </c>
      <c r="AA50" s="15">
        <v>4.0195036718909802E-7</v>
      </c>
      <c r="AB50" s="15">
        <v>5.0108679681992601E-7</v>
      </c>
      <c r="AC50" s="15">
        <v>7.4211488088443002E-7</v>
      </c>
      <c r="AD50" s="15">
        <v>2.7961156492859302E-7</v>
      </c>
      <c r="AE50" s="15">
        <v>4.1302916971471702E-7</v>
      </c>
      <c r="AF50" s="15">
        <v>7.3167289360046997E-7</v>
      </c>
      <c r="AG50" s="15">
        <v>7.1012123624513297E-7</v>
      </c>
      <c r="AH50" s="15">
        <v>7.4331390411514002E-7</v>
      </c>
      <c r="AI50" s="15">
        <v>5.3010656997757802E-5</v>
      </c>
      <c r="AJ50" s="15">
        <v>5.9226964789615303E-5</v>
      </c>
      <c r="AK50" s="15">
        <v>3.0723988122676698E-3</v>
      </c>
      <c r="AL50" s="15">
        <v>5.7890264222478297E-4</v>
      </c>
      <c r="AM50" s="15">
        <v>1.5148698780621599E-4</v>
      </c>
      <c r="AN50" s="15">
        <v>1.05050656113372E-4</v>
      </c>
      <c r="AO50" s="15">
        <v>6.49516795575415E-5</v>
      </c>
      <c r="AP50" s="15">
        <v>4.2998819153836397E-3</v>
      </c>
      <c r="AQ50" s="15">
        <v>2.7182480314839002E-4</v>
      </c>
      <c r="AR50" s="15">
        <v>2.6064490672432998E-4</v>
      </c>
      <c r="AS50" s="15">
        <v>3.48340634670102E-4</v>
      </c>
      <c r="AT50" s="15">
        <v>0.116178774145952</v>
      </c>
      <c r="AU50" s="15">
        <v>1.1212419108777799E-3</v>
      </c>
      <c r="AV50" s="15">
        <v>1.0303568755762401E-3</v>
      </c>
      <c r="AW50" s="15">
        <v>5.9360802459792203E-4</v>
      </c>
      <c r="AX50" s="15">
        <v>2.7725904236823502E-3</v>
      </c>
      <c r="AY50" s="15">
        <v>1.47697827747384E-3</v>
      </c>
      <c r="AZ50" s="15">
        <v>7.7865138322704796E-4</v>
      </c>
      <c r="BA50" s="15">
        <v>2.9600849913845699E-3</v>
      </c>
      <c r="BB50" s="15">
        <v>3.0838630392975898E-4</v>
      </c>
      <c r="BC50" s="15">
        <v>4.60165925509411E-3</v>
      </c>
      <c r="BD50" s="15">
        <v>2.93633731698332E-3</v>
      </c>
      <c r="BE50" s="15">
        <v>2.0833398679037801E-3</v>
      </c>
      <c r="BF50" s="15">
        <v>4.3690866718676998E-4</v>
      </c>
      <c r="BG50" s="15">
        <v>7.6081781297992904E-4</v>
      </c>
      <c r="BH50" s="15">
        <v>2.4993455976828801E-5</v>
      </c>
      <c r="BI50" s="15">
        <v>7.7648256120620401E-4</v>
      </c>
      <c r="BJ50" s="15">
        <v>3.0482185083159099E-4</v>
      </c>
      <c r="BK50" s="15">
        <v>7.1850865317269104E-4</v>
      </c>
      <c r="BL50" s="15">
        <v>1.7343689897015099E-4</v>
      </c>
      <c r="BM50" s="15">
        <v>1.4717108337036601E-4</v>
      </c>
      <c r="BN50" s="15">
        <v>6.35821341190297E-5</v>
      </c>
      <c r="BO50" s="15">
        <v>6.6529604898197205E-5</v>
      </c>
      <c r="BP50" s="15">
        <v>1.07231462715773E-4</v>
      </c>
      <c r="BQ50" s="15">
        <v>9.3112129626694902E-5</v>
      </c>
      <c r="BR50" s="15">
        <v>8.7948344975332106E-5</v>
      </c>
      <c r="BS50" s="15">
        <v>2.5439098149952701E-4</v>
      </c>
      <c r="BT50" s="15">
        <v>4.67828335835501E-4</v>
      </c>
      <c r="BU50" s="15">
        <v>4.9186749448479805E-4</v>
      </c>
      <c r="BV50" s="15">
        <v>1.29798490074832E-5</v>
      </c>
      <c r="BW50" s="15">
        <v>7.7258759403099796E-5</v>
      </c>
      <c r="BX50" s="15">
        <v>3.12627923177285E-4</v>
      </c>
      <c r="BY50" s="15">
        <v>1.0509890154587599E-3</v>
      </c>
      <c r="BZ50" s="15">
        <v>0</v>
      </c>
      <c r="CA50" s="15">
        <v>3.21760754977475E-4</v>
      </c>
    </row>
    <row r="51" spans="1:79" x14ac:dyDescent="0.3">
      <c r="A51" s="7" t="s">
        <v>139</v>
      </c>
      <c r="B51" s="16">
        <v>4.3933743381019101E-7</v>
      </c>
      <c r="C51" s="16">
        <v>1.06161999271188E-6</v>
      </c>
      <c r="D51" s="16">
        <v>2.4282070240744599E-7</v>
      </c>
      <c r="E51" s="16">
        <v>2.46076884552592E-4</v>
      </c>
      <c r="F51" s="16">
        <v>9.1303025988170102E-4</v>
      </c>
      <c r="G51" s="19">
        <v>3.68852508250354E-7</v>
      </c>
      <c r="H51" s="16">
        <v>1.3250718502307601E-4</v>
      </c>
      <c r="I51" s="16">
        <v>3.9053269364815102E-3</v>
      </c>
      <c r="J51" s="16">
        <v>1.7490336201933301E-6</v>
      </c>
      <c r="K51" s="16">
        <v>2.4461414379244299E-5</v>
      </c>
      <c r="L51" s="16">
        <v>5.49317965276061E-5</v>
      </c>
      <c r="M51" s="16">
        <v>1.53291017785193E-4</v>
      </c>
      <c r="N51" s="16">
        <v>1.3386850153384801E-3</v>
      </c>
      <c r="O51" s="16">
        <v>1.72975694913219E-3</v>
      </c>
      <c r="P51" s="16">
        <v>1.62489239494493E-3</v>
      </c>
      <c r="Q51" s="16">
        <v>1.8362013573837101E-3</v>
      </c>
      <c r="R51" s="16">
        <v>1.2924937047532701E-3</v>
      </c>
      <c r="S51" s="16">
        <v>8.0117563371957497E-4</v>
      </c>
      <c r="T51" s="16">
        <v>9.5974843889079801E-4</v>
      </c>
      <c r="U51" s="16">
        <v>1.5847903067229001E-3</v>
      </c>
      <c r="V51" s="16">
        <v>9.9833533157581101E-4</v>
      </c>
      <c r="W51" s="16">
        <v>4.4635464833589699E-5</v>
      </c>
      <c r="X51" s="16">
        <v>8.4743790130236904E-4</v>
      </c>
      <c r="Y51" s="16">
        <v>8.0387423775914299E-4</v>
      </c>
      <c r="Z51" s="16">
        <v>9.3628504512403301E-4</v>
      </c>
      <c r="AA51" s="16">
        <v>1.6595554171645199E-4</v>
      </c>
      <c r="AB51" s="16">
        <v>5.32565576332213E-4</v>
      </c>
      <c r="AC51" s="16">
        <v>2.0045920637845301E-4</v>
      </c>
      <c r="AD51" s="16">
        <v>8.1870370543765498E-5</v>
      </c>
      <c r="AE51" s="16">
        <v>2.0471823577002801E-4</v>
      </c>
      <c r="AF51" s="16">
        <v>1.73097989326661E-4</v>
      </c>
      <c r="AG51" s="16">
        <v>1.72468883719271E-3</v>
      </c>
      <c r="AH51" s="16">
        <v>3.1134265322068998E-4</v>
      </c>
      <c r="AI51" s="16">
        <v>8.0443556250304905E-3</v>
      </c>
      <c r="AJ51" s="16">
        <v>7.5502739399268999E-3</v>
      </c>
      <c r="AK51" s="16">
        <v>5.8843685489340696E-7</v>
      </c>
      <c r="AL51" s="16">
        <v>2.73733268684259E-7</v>
      </c>
      <c r="AM51" s="16">
        <v>9.0263460989937399E-7</v>
      </c>
      <c r="AN51" s="16">
        <v>1.37406847918374E-5</v>
      </c>
      <c r="AO51" s="16">
        <v>9.6071418500277601E-7</v>
      </c>
      <c r="AP51" s="16">
        <v>6.5587560956403995E-7</v>
      </c>
      <c r="AQ51" s="16">
        <v>3.9126297422874298E-6</v>
      </c>
      <c r="AR51" s="16">
        <v>2.3553295882533698E-3</v>
      </c>
      <c r="AS51" s="16">
        <v>4.08371201254516E-7</v>
      </c>
      <c r="AT51" s="16">
        <v>2.37844506351346E-5</v>
      </c>
      <c r="AU51" s="16">
        <v>6.3365243023557798E-3</v>
      </c>
      <c r="AV51" s="16">
        <v>1.7834593507752999E-3</v>
      </c>
      <c r="AW51" s="16">
        <v>3.1682799489612999E-4</v>
      </c>
      <c r="AX51" s="16">
        <v>2.1004891224149798E-5</v>
      </c>
      <c r="AY51" s="16">
        <v>2.6387124218481001E-5</v>
      </c>
      <c r="AZ51" s="16">
        <v>6.88835542073117E-5</v>
      </c>
      <c r="BA51" s="16">
        <v>1.7151958462073099E-6</v>
      </c>
      <c r="BB51" s="16">
        <v>2.0863540068915499E-7</v>
      </c>
      <c r="BC51" s="16">
        <v>2.38292027742235E-3</v>
      </c>
      <c r="BD51" s="16">
        <v>9.3345752052186399E-7</v>
      </c>
      <c r="BE51" s="16">
        <v>5.8169557988348398E-7</v>
      </c>
      <c r="BF51" s="16">
        <v>1.5191223464733699E-4</v>
      </c>
      <c r="BG51" s="16">
        <v>1.6758176031359501E-3</v>
      </c>
      <c r="BH51" s="16">
        <v>5.2228118574478097E-6</v>
      </c>
      <c r="BI51" s="16">
        <v>2.1781095425785998E-3</v>
      </c>
      <c r="BJ51" s="16">
        <v>6.4052819919526002E-4</v>
      </c>
      <c r="BK51" s="16">
        <v>3.1539389152491302E-3</v>
      </c>
      <c r="BL51" s="16">
        <v>3.5215435305103001E-4</v>
      </c>
      <c r="BM51" s="16">
        <v>3.75924142927455E-4</v>
      </c>
      <c r="BN51" s="16">
        <v>1.01162089517642E-4</v>
      </c>
      <c r="BO51" s="16">
        <v>1.8083662968249601E-3</v>
      </c>
      <c r="BP51" s="16">
        <v>1.79956670626878E-4</v>
      </c>
      <c r="BQ51" s="16">
        <v>1.8707849897473599E-4</v>
      </c>
      <c r="BR51" s="16">
        <v>5.9123586703304103E-4</v>
      </c>
      <c r="BS51" s="16">
        <v>2.4868223829342001E-4</v>
      </c>
      <c r="BT51" s="16">
        <v>1.2162093992177E-4</v>
      </c>
      <c r="BU51" s="16">
        <v>8.6799131153883998E-5</v>
      </c>
      <c r="BV51" s="16">
        <v>6.7023722967650802E-4</v>
      </c>
      <c r="BW51" s="16">
        <v>1.06987960911402E-3</v>
      </c>
      <c r="BX51" s="16">
        <v>4.1106863193015399E-4</v>
      </c>
      <c r="BY51" s="16">
        <v>8.3453096506748295E-4</v>
      </c>
      <c r="BZ51" s="16">
        <v>0</v>
      </c>
      <c r="CA51" s="16">
        <v>3.3607995087961397E-5</v>
      </c>
    </row>
    <row r="52" spans="1:79" x14ac:dyDescent="0.3">
      <c r="A52" s="8" t="s">
        <v>140</v>
      </c>
      <c r="B52" s="15">
        <v>1.3092255527543699E-6</v>
      </c>
      <c r="C52" s="15">
        <v>3.2575183806786499E-6</v>
      </c>
      <c r="D52" s="15">
        <v>8.3252812253981401E-7</v>
      </c>
      <c r="E52" s="15">
        <v>1.91533396786026E-6</v>
      </c>
      <c r="F52" s="15">
        <v>1.73177499239943E-6</v>
      </c>
      <c r="G52" s="19">
        <v>8.7419172444655702E-7</v>
      </c>
      <c r="H52" s="15">
        <v>1.1785266813970801E-6</v>
      </c>
      <c r="I52" s="15">
        <v>1.4842986022477799E-6</v>
      </c>
      <c r="J52" s="15">
        <v>1.05730237491096E-6</v>
      </c>
      <c r="K52" s="15">
        <v>3.3540439688039201E-6</v>
      </c>
      <c r="L52" s="15">
        <v>5.5510841129111398E-5</v>
      </c>
      <c r="M52" s="15">
        <v>1.7619657216688899E-6</v>
      </c>
      <c r="N52" s="15">
        <v>3.8610468945098402E-6</v>
      </c>
      <c r="O52" s="15">
        <v>1.67611689956239E-6</v>
      </c>
      <c r="P52" s="15">
        <v>3.9899939739043098E-5</v>
      </c>
      <c r="Q52" s="15">
        <v>1.1238161834609801E-4</v>
      </c>
      <c r="R52" s="15">
        <v>1.50206951062377E-4</v>
      </c>
      <c r="S52" s="15">
        <v>6.1798736874653398E-5</v>
      </c>
      <c r="T52" s="15">
        <v>1.4651940731420801E-4</v>
      </c>
      <c r="U52" s="15">
        <v>4.1640778791940202E-4</v>
      </c>
      <c r="V52" s="15">
        <v>4.45789995630937E-4</v>
      </c>
      <c r="W52" s="15">
        <v>5.3369621794121702E-5</v>
      </c>
      <c r="X52" s="15">
        <v>2.4328605912613899E-4</v>
      </c>
      <c r="Y52" s="15">
        <v>2.1210374721048099E-4</v>
      </c>
      <c r="Z52" s="15">
        <v>2.3870341839851001E-4</v>
      </c>
      <c r="AA52" s="15">
        <v>4.7060099190836301E-4</v>
      </c>
      <c r="AB52" s="15">
        <v>3.1357309833524602E-4</v>
      </c>
      <c r="AC52" s="15">
        <v>2.73457686062939E-4</v>
      </c>
      <c r="AD52" s="15">
        <v>1.03398896053165E-4</v>
      </c>
      <c r="AE52" s="15">
        <v>1.6885845321372499E-4</v>
      </c>
      <c r="AF52" s="15">
        <v>5.0741552012728E-4</v>
      </c>
      <c r="AG52" s="15">
        <v>1.1254696980979E-4</v>
      </c>
      <c r="AH52" s="15">
        <v>5.4008261887725002E-5</v>
      </c>
      <c r="AI52" s="15">
        <v>3.3499915911098198E-4</v>
      </c>
      <c r="AJ52" s="15">
        <v>3.3196585230686298E-4</v>
      </c>
      <c r="AK52" s="15">
        <v>2.0835023454744299E-6</v>
      </c>
      <c r="AL52" s="15">
        <v>1.12374710301959E-6</v>
      </c>
      <c r="AM52" s="15">
        <v>1.33838924916114E-6</v>
      </c>
      <c r="AN52" s="15">
        <v>7.8282401548924901E-7</v>
      </c>
      <c r="AO52" s="15">
        <v>1.0717239553098E-6</v>
      </c>
      <c r="AP52" s="15">
        <v>2.77782611109476E-6</v>
      </c>
      <c r="AQ52" s="15">
        <v>1.2355672870381401E-6</v>
      </c>
      <c r="AR52" s="15">
        <v>2.3098415079834E-6</v>
      </c>
      <c r="AS52" s="15">
        <v>4.2878976131724201E-6</v>
      </c>
      <c r="AT52" s="15">
        <v>1.88284550068855E-6</v>
      </c>
      <c r="AU52" s="15">
        <v>3.08839950361775E-6</v>
      </c>
      <c r="AV52" s="15">
        <v>4.25739774537153E-2</v>
      </c>
      <c r="AW52" s="15">
        <v>3.7400294626661001E-4</v>
      </c>
      <c r="AX52" s="15">
        <v>9.0888672331626205E-6</v>
      </c>
      <c r="AY52" s="15">
        <v>2.3122399116020199E-6</v>
      </c>
      <c r="AZ52" s="15">
        <v>9.6496358264553091E-7</v>
      </c>
      <c r="BA52" s="15">
        <v>7.9928126433260506E-5</v>
      </c>
      <c r="BB52" s="15">
        <v>1.32599387993552E-5</v>
      </c>
      <c r="BC52" s="15">
        <v>3.2956094881934699E-4</v>
      </c>
      <c r="BD52" s="15">
        <v>1.55700714423047E-4</v>
      </c>
      <c r="BE52" s="15">
        <v>3.0481988965463001E-5</v>
      </c>
      <c r="BF52" s="15">
        <v>8.1107879745280701E-6</v>
      </c>
      <c r="BG52" s="15">
        <v>3.74933104820745E-6</v>
      </c>
      <c r="BH52" s="15">
        <v>1.40075413801282E-7</v>
      </c>
      <c r="BI52" s="15">
        <v>3.0944596736854301E-4</v>
      </c>
      <c r="BJ52" s="15">
        <v>1.0183463692468699E-3</v>
      </c>
      <c r="BK52" s="15">
        <v>1.0051394485152099E-3</v>
      </c>
      <c r="BL52" s="15">
        <v>6.7239068409943506E-5</v>
      </c>
      <c r="BM52" s="15">
        <v>1.70399246774422E-3</v>
      </c>
      <c r="BN52" s="15">
        <v>2.1620288412037099E-4</v>
      </c>
      <c r="BO52" s="15">
        <v>1.6613001660838099E-4</v>
      </c>
      <c r="BP52" s="15">
        <v>2.5661297085750201E-4</v>
      </c>
      <c r="BQ52" s="15">
        <v>9.5851588043424597E-5</v>
      </c>
      <c r="BR52" s="15">
        <v>7.9949899044976804E-4</v>
      </c>
      <c r="BS52" s="15">
        <v>2.9403155589919198E-3</v>
      </c>
      <c r="BT52" s="15">
        <v>7.0009938371476703E-4</v>
      </c>
      <c r="BU52" s="15">
        <v>6.2034943429815502E-4</v>
      </c>
      <c r="BV52" s="15">
        <v>1.00666279023959E-5</v>
      </c>
      <c r="BW52" s="15">
        <v>2.7197670346502602E-5</v>
      </c>
      <c r="BX52" s="15">
        <v>2.6041061302302902E-4</v>
      </c>
      <c r="BY52" s="15">
        <v>2.0314357908506799E-3</v>
      </c>
      <c r="BZ52" s="15">
        <v>0</v>
      </c>
      <c r="CA52" s="15">
        <v>2.0756417220579599E-3</v>
      </c>
    </row>
    <row r="53" spans="1:79" x14ac:dyDescent="0.3">
      <c r="A53" s="7" t="s">
        <v>141</v>
      </c>
      <c r="B53" s="16">
        <v>5.3599166924843295E-7</v>
      </c>
      <c r="C53" s="16">
        <v>1.3482170249648899E-6</v>
      </c>
      <c r="D53" s="16">
        <v>3.8157538949741502E-7</v>
      </c>
      <c r="E53" s="16">
        <v>7.8354571412465203E-7</v>
      </c>
      <c r="F53" s="16">
        <v>7.6967777439974795E-7</v>
      </c>
      <c r="G53" s="19">
        <v>3.8802832672208498E-7</v>
      </c>
      <c r="H53" s="16">
        <v>6.4498844535212396E-7</v>
      </c>
      <c r="I53" s="16">
        <v>5.1656206862367502E-7</v>
      </c>
      <c r="J53" s="16">
        <v>3.8595613685695801E-7</v>
      </c>
      <c r="K53" s="16">
        <v>1.4160562184652101E-6</v>
      </c>
      <c r="L53" s="16">
        <v>2.1392970003942601E-5</v>
      </c>
      <c r="M53" s="16">
        <v>7.2184815412878204E-7</v>
      </c>
      <c r="N53" s="16">
        <v>1.26763790481578E-6</v>
      </c>
      <c r="O53" s="16">
        <v>6.3770000291833899E-7</v>
      </c>
      <c r="P53" s="16">
        <v>7.8969685350047201E-7</v>
      </c>
      <c r="Q53" s="16">
        <v>1.2063563551276099E-6</v>
      </c>
      <c r="R53" s="16">
        <v>7.4967956532840705E-7</v>
      </c>
      <c r="S53" s="16">
        <v>8.9030066569323998E-7</v>
      </c>
      <c r="T53" s="16">
        <v>9.710663850336029E-7</v>
      </c>
      <c r="U53" s="16">
        <v>1.71429363581043E-6</v>
      </c>
      <c r="V53" s="16">
        <v>1.3389534448797999E-6</v>
      </c>
      <c r="W53" s="16">
        <v>5.3637810848363502E-7</v>
      </c>
      <c r="X53" s="16">
        <v>1.3004010994049399E-6</v>
      </c>
      <c r="Y53" s="16">
        <v>1.44471224442311E-6</v>
      </c>
      <c r="Z53" s="16">
        <v>1.1333800949374499E-6</v>
      </c>
      <c r="AA53" s="16">
        <v>1.1706520581128801E-6</v>
      </c>
      <c r="AB53" s="16">
        <v>1.3745766216266499E-6</v>
      </c>
      <c r="AC53" s="16">
        <v>1.52915599895245E-6</v>
      </c>
      <c r="AD53" s="16">
        <v>5.2635833771072799E-7</v>
      </c>
      <c r="AE53" s="16">
        <v>9.997928314522909E-7</v>
      </c>
      <c r="AF53" s="16">
        <v>1.87376049186908E-6</v>
      </c>
      <c r="AG53" s="16">
        <v>1.22459682576967E-6</v>
      </c>
      <c r="AH53" s="16">
        <v>5.5803684789652904E-7</v>
      </c>
      <c r="AI53" s="16">
        <v>7.71164611998927E-7</v>
      </c>
      <c r="AJ53" s="16">
        <v>2.3706978072498101E-6</v>
      </c>
      <c r="AK53" s="16">
        <v>1.01559842363084E-6</v>
      </c>
      <c r="AL53" s="16">
        <v>5.9068757979234803E-7</v>
      </c>
      <c r="AM53" s="16">
        <v>7.1588262164433103E-7</v>
      </c>
      <c r="AN53" s="16">
        <v>2.9165603033580997E-7</v>
      </c>
      <c r="AO53" s="16">
        <v>3.7825551363875398E-7</v>
      </c>
      <c r="AP53" s="16">
        <v>4.2439010030614301E-7</v>
      </c>
      <c r="AQ53" s="16">
        <v>2.05927881173023E-7</v>
      </c>
      <c r="AR53" s="16">
        <v>7.5144566618314003E-7</v>
      </c>
      <c r="AS53" s="16">
        <v>0</v>
      </c>
      <c r="AT53" s="16">
        <v>7.1418277612324199E-7</v>
      </c>
      <c r="AU53" s="16">
        <v>2.9049302261751201E-7</v>
      </c>
      <c r="AV53" s="16">
        <v>9.8634139100274194E-7</v>
      </c>
      <c r="AW53" s="16">
        <v>8.1041852843546494E-2</v>
      </c>
      <c r="AX53" s="16">
        <v>6.1362288896149697E-2</v>
      </c>
      <c r="AY53" s="16">
        <v>8.6895771367329101E-3</v>
      </c>
      <c r="AZ53" s="16">
        <v>2.9691187158323998E-7</v>
      </c>
      <c r="BA53" s="16">
        <v>3.4303916924146102E-7</v>
      </c>
      <c r="BB53" s="16">
        <v>2.7818053425220702E-7</v>
      </c>
      <c r="BC53" s="16">
        <v>1.1760198277538399E-6</v>
      </c>
      <c r="BD53" s="16">
        <v>2.66702148720532E-7</v>
      </c>
      <c r="BE53" s="16">
        <v>2.85144892099747E-8</v>
      </c>
      <c r="BF53" s="16">
        <v>1.2591598097515299E-7</v>
      </c>
      <c r="BG53" s="16">
        <v>1.5560464824576399E-6</v>
      </c>
      <c r="BH53" s="16">
        <v>1.2006464040109901E-7</v>
      </c>
      <c r="BI53" s="16">
        <v>3.97714743374468E-7</v>
      </c>
      <c r="BJ53" s="16">
        <v>1.6594920712707E-4</v>
      </c>
      <c r="BK53" s="16">
        <v>3.4135035137799102E-7</v>
      </c>
      <c r="BL53" s="16">
        <v>6.2584356867893902E-7</v>
      </c>
      <c r="BM53" s="16">
        <v>3.5683040543889803E-5</v>
      </c>
      <c r="BN53" s="16">
        <v>2.79908784559575E-5</v>
      </c>
      <c r="BO53" s="16">
        <v>1.9339185293829801E-4</v>
      </c>
      <c r="BP53" s="16">
        <v>6.55182053253197E-7</v>
      </c>
      <c r="BQ53" s="16">
        <v>7.3641355288433203E-7</v>
      </c>
      <c r="BR53" s="16">
        <v>1.2811187330004799E-3</v>
      </c>
      <c r="BS53" s="16">
        <v>3.9248782571410304E-3</v>
      </c>
      <c r="BT53" s="16">
        <v>2.8972213888341898E-3</v>
      </c>
      <c r="BU53" s="16">
        <v>1.5598184685214E-3</v>
      </c>
      <c r="BV53" s="16">
        <v>8.3459971544121397E-4</v>
      </c>
      <c r="BW53" s="16">
        <v>6.7977282903308395E-5</v>
      </c>
      <c r="BX53" s="16">
        <v>6.6135360795627597E-4</v>
      </c>
      <c r="BY53" s="16">
        <v>6.0373555076850897E-5</v>
      </c>
      <c r="BZ53" s="16">
        <v>0</v>
      </c>
      <c r="CA53" s="16">
        <v>3.5998075631776702E-4</v>
      </c>
    </row>
    <row r="54" spans="1:79" x14ac:dyDescent="0.3">
      <c r="A54" s="8" t="s">
        <v>142</v>
      </c>
      <c r="B54" s="15">
        <v>1.46445811270064E-8</v>
      </c>
      <c r="C54" s="15">
        <v>2.8256045433396001E-8</v>
      </c>
      <c r="D54" s="15">
        <v>0</v>
      </c>
      <c r="E54" s="15">
        <v>0</v>
      </c>
      <c r="F54" s="15">
        <v>1.44314582699953E-6</v>
      </c>
      <c r="G54" s="19">
        <v>2.8775007600815E-6</v>
      </c>
      <c r="H54" s="15">
        <v>4.2469643589178498E-6</v>
      </c>
      <c r="I54" s="15">
        <v>3.34130654514808E-6</v>
      </c>
      <c r="J54" s="15">
        <v>7.8822027949660505E-7</v>
      </c>
      <c r="K54" s="15">
        <v>4.6882942368104999E-8</v>
      </c>
      <c r="L54" s="15">
        <v>1.9888158045623299E-7</v>
      </c>
      <c r="M54" s="15">
        <v>2.1983557421194699E-7</v>
      </c>
      <c r="N54" s="15">
        <v>8.0555189435018001E-4</v>
      </c>
      <c r="O54" s="15">
        <v>8.3115793251988695E-4</v>
      </c>
      <c r="P54" s="15">
        <v>1.8527503101357199E-6</v>
      </c>
      <c r="Q54" s="15">
        <v>3.5979049188016401E-7</v>
      </c>
      <c r="R54" s="15">
        <v>2.9641176659907801E-6</v>
      </c>
      <c r="S54" s="15">
        <v>1.38886903848145E-6</v>
      </c>
      <c r="T54" s="15">
        <v>3.3485047759779399E-8</v>
      </c>
      <c r="U54" s="15">
        <v>1.4662901903078801E-5</v>
      </c>
      <c r="V54" s="15">
        <v>1.5019564729521199E-6</v>
      </c>
      <c r="W54" s="15">
        <v>2.8219893020967402E-7</v>
      </c>
      <c r="X54" s="15">
        <v>3.73999655035471E-6</v>
      </c>
      <c r="Y54" s="15">
        <v>9.7477188416170702E-6</v>
      </c>
      <c r="Z54" s="15">
        <v>1.74907438154426E-6</v>
      </c>
      <c r="AA54" s="15">
        <v>5.8021649049047704E-7</v>
      </c>
      <c r="AB54" s="15">
        <v>7.29013047980429E-6</v>
      </c>
      <c r="AC54" s="15">
        <v>1.8081978499038301E-5</v>
      </c>
      <c r="AD54" s="15">
        <v>6.3121267455894999E-8</v>
      </c>
      <c r="AE54" s="15">
        <v>6.80350826780075E-6</v>
      </c>
      <c r="AF54" s="15">
        <v>2.6040334071232901E-5</v>
      </c>
      <c r="AG54" s="15">
        <v>9.2750528815690801E-7</v>
      </c>
      <c r="AH54" s="15">
        <v>9.2638528109305296E-8</v>
      </c>
      <c r="AI54" s="15">
        <v>3.4926639544067902E-5</v>
      </c>
      <c r="AJ54" s="15">
        <v>1.2387242029133499E-4</v>
      </c>
      <c r="AK54" s="15">
        <v>4.2340385457000198E-3</v>
      </c>
      <c r="AL54" s="15">
        <v>3.9689883257803399E-4</v>
      </c>
      <c r="AM54" s="15">
        <v>2.7032350299917502E-4</v>
      </c>
      <c r="AN54" s="15">
        <v>9.97071009861481E-5</v>
      </c>
      <c r="AO54" s="15">
        <v>4.15308108083454E-4</v>
      </c>
      <c r="AP54" s="15">
        <v>1.26429668973021E-4</v>
      </c>
      <c r="AQ54" s="15">
        <v>1.58214391105233E-3</v>
      </c>
      <c r="AR54" s="15">
        <v>6.0711686334419203E-4</v>
      </c>
      <c r="AS54" s="15">
        <v>8.91270146737982E-4</v>
      </c>
      <c r="AT54" s="15">
        <v>3.6775218913793401E-3</v>
      </c>
      <c r="AU54" s="15">
        <v>4.5694858239863599E-3</v>
      </c>
      <c r="AV54" s="15">
        <v>8.7260698166958493E-3</v>
      </c>
      <c r="AW54" s="15">
        <v>1.6885154264634401E-2</v>
      </c>
      <c r="AX54" s="15">
        <v>3.0636837600760799E-2</v>
      </c>
      <c r="AY54" s="15">
        <v>8.3875407982798994E-3</v>
      </c>
      <c r="AZ54" s="15">
        <v>4.92279883085012E-4</v>
      </c>
      <c r="BA54" s="15">
        <v>1.63029365182005E-2</v>
      </c>
      <c r="BB54" s="15">
        <v>0</v>
      </c>
      <c r="BC54" s="15">
        <v>9.8628295789453306E-5</v>
      </c>
      <c r="BD54" s="15">
        <v>4.2021590552407102E-4</v>
      </c>
      <c r="BE54" s="15">
        <v>5.0185501009555503E-7</v>
      </c>
      <c r="BF54" s="15">
        <v>1.6036825725970301E-3</v>
      </c>
      <c r="BG54" s="15">
        <v>2.4323081249456101E-3</v>
      </c>
      <c r="BH54" s="15">
        <v>4.8225963894441497E-4</v>
      </c>
      <c r="BI54" s="15">
        <v>2.28520746594145E-3</v>
      </c>
      <c r="BJ54" s="15">
        <v>4.6780517316082203E-9</v>
      </c>
      <c r="BK54" s="15">
        <v>2.6111809094623098E-5</v>
      </c>
      <c r="BL54" s="15">
        <v>3.9115223042433702E-8</v>
      </c>
      <c r="BM54" s="15">
        <v>3.61588144178083E-6</v>
      </c>
      <c r="BN54" s="15">
        <v>6.39928132723379E-6</v>
      </c>
      <c r="BO54" s="15">
        <v>1.10555715891375E-5</v>
      </c>
      <c r="BP54" s="15">
        <v>2.1839401775106599E-7</v>
      </c>
      <c r="BQ54" s="15">
        <v>5.3021775807671902E-7</v>
      </c>
      <c r="BR54" s="15">
        <v>2.69314571500577E-4</v>
      </c>
      <c r="BS54" s="15">
        <v>8.05558407754882E-4</v>
      </c>
      <c r="BT54" s="15">
        <v>5.70944137275065E-4</v>
      </c>
      <c r="BU54" s="15">
        <v>3.9898835717395598E-3</v>
      </c>
      <c r="BV54" s="15">
        <v>1.5336545740466501E-4</v>
      </c>
      <c r="BW54" s="15">
        <v>1.10721305722941E-5</v>
      </c>
      <c r="BX54" s="15">
        <v>1.1553163804296401E-4</v>
      </c>
      <c r="BY54" s="15">
        <v>2.38373735221612E-4</v>
      </c>
      <c r="BZ54" s="15">
        <v>0</v>
      </c>
      <c r="CA54" s="15">
        <v>6.4328949303739196E-4</v>
      </c>
    </row>
    <row r="55" spans="1:79" x14ac:dyDescent="0.3">
      <c r="A55" s="7" t="s">
        <v>143</v>
      </c>
      <c r="B55" s="16">
        <v>8.7969998829927294E-6</v>
      </c>
      <c r="C55" s="16">
        <v>6.2007891703587506E-5</v>
      </c>
      <c r="D55" s="16">
        <v>4.2174487140996097E-3</v>
      </c>
      <c r="E55" s="16">
        <v>3.6302543541744201E-3</v>
      </c>
      <c r="F55" s="16">
        <v>3.91919922724352E-3</v>
      </c>
      <c r="G55" s="19">
        <v>7.1164135683286301E-3</v>
      </c>
      <c r="H55" s="16">
        <v>1.08582856262611E-3</v>
      </c>
      <c r="I55" s="16">
        <v>4.6350068215944397E-3</v>
      </c>
      <c r="J55" s="16">
        <v>6.2250919673678099E-4</v>
      </c>
      <c r="K55" s="16">
        <v>1.4173579377119801E-3</v>
      </c>
      <c r="L55" s="16">
        <v>2.1138999985713999E-3</v>
      </c>
      <c r="M55" s="16">
        <v>2.4035246742907098E-3</v>
      </c>
      <c r="N55" s="16">
        <v>1.0017827438848399E-3</v>
      </c>
      <c r="O55" s="16">
        <v>4.8605666573787901E-4</v>
      </c>
      <c r="P55" s="16">
        <v>3.6306819055615899E-4</v>
      </c>
      <c r="Q55" s="16">
        <v>2.0754831986306002E-3</v>
      </c>
      <c r="R55" s="16">
        <v>1.8211504339251999E-3</v>
      </c>
      <c r="S55" s="16">
        <v>7.0118893362445297E-4</v>
      </c>
      <c r="T55" s="16">
        <v>1.27471995980187E-3</v>
      </c>
      <c r="U55" s="16">
        <v>1.33986017234611E-3</v>
      </c>
      <c r="V55" s="16">
        <v>3.0935180390502899E-3</v>
      </c>
      <c r="W55" s="16">
        <v>1.17251654091267E-4</v>
      </c>
      <c r="X55" s="16">
        <v>9.7394131431342097E-4</v>
      </c>
      <c r="Y55" s="16">
        <v>1.01223445387087E-3</v>
      </c>
      <c r="Z55" s="16">
        <v>1.4467307912517499E-3</v>
      </c>
      <c r="AA55" s="16">
        <v>9.2302338105204401E-4</v>
      </c>
      <c r="AB55" s="16">
        <v>1.04705498265152E-3</v>
      </c>
      <c r="AC55" s="16">
        <v>1.07418633105956E-3</v>
      </c>
      <c r="AD55" s="16">
        <v>3.9223816428776898E-4</v>
      </c>
      <c r="AE55" s="16">
        <v>3.4146531004307498E-4</v>
      </c>
      <c r="AF55" s="16">
        <v>5.9968981220124304E-4</v>
      </c>
      <c r="AG55" s="16">
        <v>1.37779461328696E-3</v>
      </c>
      <c r="AH55" s="16">
        <v>5.3248625957228704E-4</v>
      </c>
      <c r="AI55" s="16">
        <v>3.7347167020365399E-3</v>
      </c>
      <c r="AJ55" s="16">
        <v>2.2605845682776098E-3</v>
      </c>
      <c r="AK55" s="16">
        <v>1.6310331973059099E-2</v>
      </c>
      <c r="AL55" s="16">
        <v>4.6971476345087498E-3</v>
      </c>
      <c r="AM55" s="16">
        <v>2.3113671079699198E-3</v>
      </c>
      <c r="AN55" s="16">
        <v>6.2852755915480799E-4</v>
      </c>
      <c r="AO55" s="16">
        <v>1.1779219317458599E-3</v>
      </c>
      <c r="AP55" s="16">
        <v>3.4872867579601799E-2</v>
      </c>
      <c r="AQ55" s="16">
        <v>2.67356168126936E-3</v>
      </c>
      <c r="AR55" s="16">
        <v>2.2101169828411299E-3</v>
      </c>
      <c r="AS55" s="16">
        <v>2.8061227094204099E-3</v>
      </c>
      <c r="AT55" s="16">
        <v>2.8458452276326702E-3</v>
      </c>
      <c r="AU55" s="16">
        <v>9.1960917496831992E-3</v>
      </c>
      <c r="AV55" s="16">
        <v>8.3817133785620192E-3</v>
      </c>
      <c r="AW55" s="16">
        <v>5.0907522731895097E-3</v>
      </c>
      <c r="AX55" s="16">
        <v>2.3558134040316901E-2</v>
      </c>
      <c r="AY55" s="16">
        <v>8.3635732054083093E-3</v>
      </c>
      <c r="AZ55" s="16">
        <v>6.3162804721581698E-3</v>
      </c>
      <c r="BA55" s="16">
        <v>3.43749260321791E-2</v>
      </c>
      <c r="BB55" s="16">
        <v>6.6692392184295301E-3</v>
      </c>
      <c r="BC55" s="16">
        <v>3.2319629973888899E-3</v>
      </c>
      <c r="BD55" s="16">
        <v>3.08530113512968E-2</v>
      </c>
      <c r="BE55" s="16">
        <v>4.1310793960289E-3</v>
      </c>
      <c r="BF55" s="16">
        <v>3.00521783053683E-3</v>
      </c>
      <c r="BG55" s="16">
        <v>6.8053470617930097E-3</v>
      </c>
      <c r="BH55" s="16">
        <v>2.0192871438124899E-4</v>
      </c>
      <c r="BI55" s="16">
        <v>7.7533772310156299E-3</v>
      </c>
      <c r="BJ55" s="16">
        <v>4.1105072208932898E-2</v>
      </c>
      <c r="BK55" s="16">
        <v>1.00419630645107E-2</v>
      </c>
      <c r="BL55" s="16">
        <v>2.9872295837506599E-3</v>
      </c>
      <c r="BM55" s="16">
        <v>3.3831956451916998E-3</v>
      </c>
      <c r="BN55" s="16">
        <v>3.3192383090987999E-3</v>
      </c>
      <c r="BO55" s="16">
        <v>2.2504692754461699E-3</v>
      </c>
      <c r="BP55" s="16">
        <v>6.2323100845621598E-3</v>
      </c>
      <c r="BQ55" s="16">
        <v>1.80983940411065E-3</v>
      </c>
      <c r="BR55" s="16">
        <v>2.17909943419147E-3</v>
      </c>
      <c r="BS55" s="16">
        <v>6.9121931951311799E-3</v>
      </c>
      <c r="BT55" s="16">
        <v>7.5483030953325701E-3</v>
      </c>
      <c r="BU55" s="16">
        <v>6.4729549312537299E-3</v>
      </c>
      <c r="BV55" s="16">
        <v>1.37719095938035E-3</v>
      </c>
      <c r="BW55" s="16">
        <v>3.67373678513584E-3</v>
      </c>
      <c r="BX55" s="16">
        <v>5.3186094574622401E-3</v>
      </c>
      <c r="BY55" s="16">
        <v>3.4902926889709101E-3</v>
      </c>
      <c r="BZ55" s="16">
        <v>0</v>
      </c>
      <c r="CA55" s="16">
        <v>1.2234239811153E-2</v>
      </c>
    </row>
    <row r="56" spans="1:79" x14ac:dyDescent="0.3">
      <c r="A56" s="8" t="s">
        <v>144</v>
      </c>
      <c r="B56" s="15">
        <v>2.92891622540127E-7</v>
      </c>
      <c r="C56" s="15">
        <v>7.1447429167301301E-7</v>
      </c>
      <c r="D56" s="15">
        <v>4.5095273304239899E-7</v>
      </c>
      <c r="E56" s="15">
        <v>6.5295476177054295E-7</v>
      </c>
      <c r="F56" s="15">
        <v>5.7725833079981097E-7</v>
      </c>
      <c r="G56" s="19">
        <v>6.8130555040738098E-7</v>
      </c>
      <c r="H56" s="15">
        <v>2.4661322910522401E-7</v>
      </c>
      <c r="I56" s="15">
        <v>5.2963958934832495E-7</v>
      </c>
      <c r="J56" s="15">
        <v>2.20158078066293E-7</v>
      </c>
      <c r="K56" s="15">
        <v>8.32889823090518E-7</v>
      </c>
      <c r="L56" s="15">
        <v>3.83383846644082E-5</v>
      </c>
      <c r="M56" s="15">
        <v>5.41386115596586E-7</v>
      </c>
      <c r="N56" s="15">
        <v>3.9927875543636699E-6</v>
      </c>
      <c r="O56" s="15">
        <v>2.9730608244165798E-6</v>
      </c>
      <c r="P56" s="15">
        <v>1.68063689334716E-6</v>
      </c>
      <c r="Q56" s="15">
        <v>7.4709437431586898E-6</v>
      </c>
      <c r="R56" s="15">
        <v>5.8071332483515798E-6</v>
      </c>
      <c r="S56" s="15">
        <v>2.8014794280480599E-6</v>
      </c>
      <c r="T56" s="15">
        <v>7.4560039678442199E-6</v>
      </c>
      <c r="U56" s="15">
        <v>1.30382896244737E-5</v>
      </c>
      <c r="V56" s="15">
        <v>8.9372231677368097E-5</v>
      </c>
      <c r="W56" s="15">
        <v>9.3265745728870898E-7</v>
      </c>
      <c r="X56" s="15">
        <v>6.3345295978589301E-6</v>
      </c>
      <c r="Y56" s="15">
        <v>6.58207264062958E-6</v>
      </c>
      <c r="Z56" s="15">
        <v>8.3081033123352398E-6</v>
      </c>
      <c r="AA56" s="15">
        <v>1.0413239597432799E-5</v>
      </c>
      <c r="AB56" s="15">
        <v>9.0956027516146098E-6</v>
      </c>
      <c r="AC56" s="15">
        <v>1.22881578370662E-5</v>
      </c>
      <c r="AD56" s="15">
        <v>4.8707708614519997E-6</v>
      </c>
      <c r="AE56" s="15">
        <v>4.6580511917826398E-6</v>
      </c>
      <c r="AF56" s="15">
        <v>8.9011605696457297E-6</v>
      </c>
      <c r="AG56" s="15">
        <v>6.3621065859512901E-6</v>
      </c>
      <c r="AH56" s="15">
        <v>2.4174244478047302E-6</v>
      </c>
      <c r="AI56" s="15">
        <v>4.5905715653158298E-5</v>
      </c>
      <c r="AJ56" s="15">
        <v>4.7284903272534999E-5</v>
      </c>
      <c r="AK56" s="15">
        <v>1.49558854556315E-4</v>
      </c>
      <c r="AL56" s="15">
        <v>2.8367410844174E-5</v>
      </c>
      <c r="AM56" s="15">
        <v>1.9826836086410401E-5</v>
      </c>
      <c r="AN56" s="15">
        <v>4.0142766812703596E-6</v>
      </c>
      <c r="AO56" s="15">
        <v>3.1754276271775098E-6</v>
      </c>
      <c r="AP56" s="15">
        <v>9.9831983959288795E-4</v>
      </c>
      <c r="AQ56" s="15">
        <v>1.3179384395073499E-5</v>
      </c>
      <c r="AR56" s="15">
        <v>2.54851089854952E-5</v>
      </c>
      <c r="AS56" s="15">
        <v>8.0244941046512497E-5</v>
      </c>
      <c r="AT56" s="15">
        <v>8.1070566041141403E-5</v>
      </c>
      <c r="AU56" s="15">
        <v>2.1510243869504099E-4</v>
      </c>
      <c r="AV56" s="15">
        <v>5.0334234109608702E-5</v>
      </c>
      <c r="AW56" s="15">
        <v>1.8513861235401399E-4</v>
      </c>
      <c r="AX56" s="15">
        <v>2.4944136597259298E-4</v>
      </c>
      <c r="AY56" s="15">
        <v>3.4261877644698298E-4</v>
      </c>
      <c r="AZ56" s="15">
        <v>3.80789475305506E-5</v>
      </c>
      <c r="BA56" s="15">
        <v>2.9810103807083001E-4</v>
      </c>
      <c r="BB56" s="15">
        <v>2.19855348903994E-4</v>
      </c>
      <c r="BC56" s="15">
        <v>1.9631290478222302E-3</v>
      </c>
      <c r="BD56" s="15">
        <v>5.7927706702099705E-4</v>
      </c>
      <c r="BE56" s="15">
        <v>1.41692203767962E-3</v>
      </c>
      <c r="BF56" s="15">
        <v>3.6252560022542701E-5</v>
      </c>
      <c r="BG56" s="15">
        <v>3.7597046914238302E-5</v>
      </c>
      <c r="BH56" s="15">
        <v>1.2206571774111699E-6</v>
      </c>
      <c r="BI56" s="15">
        <v>1.07531483641036E-4</v>
      </c>
      <c r="BJ56" s="15">
        <v>5.2033969410678197E-5</v>
      </c>
      <c r="BK56" s="15">
        <v>5.2427632247649903E-5</v>
      </c>
      <c r="BL56" s="15">
        <v>1.29471388270455E-5</v>
      </c>
      <c r="BM56" s="15">
        <v>1.0797889168878299E-3</v>
      </c>
      <c r="BN56" s="15">
        <v>9.02509632458444E-5</v>
      </c>
      <c r="BO56" s="15">
        <v>2.8941315413007402E-4</v>
      </c>
      <c r="BP56" s="15">
        <v>4.36788035502132E-6</v>
      </c>
      <c r="BQ56" s="15">
        <v>1.72615336796087E-5</v>
      </c>
      <c r="BR56" s="15">
        <v>1.8407094241377399E-5</v>
      </c>
      <c r="BS56" s="15">
        <v>7.49409399234544E-4</v>
      </c>
      <c r="BT56" s="15">
        <v>2.9961893140790401E-4</v>
      </c>
      <c r="BU56" s="15">
        <v>3.59816474963623E-5</v>
      </c>
      <c r="BV56" s="15">
        <v>1.26595472105888E-6</v>
      </c>
      <c r="BW56" s="15">
        <v>5.9366698360600196E-6</v>
      </c>
      <c r="BX56" s="15">
        <v>4.7212684971875601E-5</v>
      </c>
      <c r="BY56" s="15">
        <v>4.1053294559960799E-3</v>
      </c>
      <c r="BZ56" s="15">
        <v>0</v>
      </c>
      <c r="CA56" s="15">
        <v>3.0692499599749802E-3</v>
      </c>
    </row>
    <row r="57" spans="1:79" x14ac:dyDescent="0.3">
      <c r="A57" s="7" t="s">
        <v>145</v>
      </c>
      <c r="B57" s="16">
        <v>8.7867486762038192E-9</v>
      </c>
      <c r="C57" s="16">
        <v>2.2201178554811099E-8</v>
      </c>
      <c r="D57" s="16">
        <v>0</v>
      </c>
      <c r="E57" s="16">
        <v>0</v>
      </c>
      <c r="F57" s="16">
        <v>3.2807515133789201E-5</v>
      </c>
      <c r="G57" s="19">
        <v>5.6399466093326197E-9</v>
      </c>
      <c r="H57" s="16">
        <v>1.65989673436209E-8</v>
      </c>
      <c r="I57" s="16">
        <v>6.5387603623249998E-9</v>
      </c>
      <c r="J57" s="16">
        <v>6.7950024094534896E-9</v>
      </c>
      <c r="K57" s="16">
        <v>4.44909555125894E-8</v>
      </c>
      <c r="L57" s="16">
        <v>6.2656497913645095E-7</v>
      </c>
      <c r="M57" s="16">
        <v>9.8433839199379305E-9</v>
      </c>
      <c r="N57" s="16">
        <v>7.1137028750851601E-5</v>
      </c>
      <c r="O57" s="16">
        <v>2.3461327810070001E-5</v>
      </c>
      <c r="P57" s="16">
        <v>1.6603882560779101E-6</v>
      </c>
      <c r="Q57" s="16">
        <v>8.7831208311922297E-5</v>
      </c>
      <c r="R57" s="16">
        <v>1.5454932577539499E-5</v>
      </c>
      <c r="S57" s="16">
        <v>1.05649012328931E-5</v>
      </c>
      <c r="T57" s="16">
        <v>2.0425879133465498E-6</v>
      </c>
      <c r="U57" s="16">
        <v>3.69418206026755E-6</v>
      </c>
      <c r="V57" s="16">
        <v>5.7982505700012096E-6</v>
      </c>
      <c r="W57" s="16">
        <v>2.1425103176557101E-6</v>
      </c>
      <c r="X57" s="16">
        <v>2.59721982663522E-5</v>
      </c>
      <c r="Y57" s="16">
        <v>5.6116621519227302E-6</v>
      </c>
      <c r="Z57" s="16">
        <v>1.27863368581856E-5</v>
      </c>
      <c r="AA57" s="16">
        <v>1.5975823916244599E-6</v>
      </c>
      <c r="AB57" s="16">
        <v>1.62219538892676E-6</v>
      </c>
      <c r="AC57" s="16">
        <v>2.0965577352340399E-6</v>
      </c>
      <c r="AD57" s="16">
        <v>1.5086504585326299E-6</v>
      </c>
      <c r="AE57" s="16">
        <v>1.82257316159827E-6</v>
      </c>
      <c r="AF57" s="16">
        <v>1.7664288186554501E-6</v>
      </c>
      <c r="AG57" s="16">
        <v>4.4056501187453099E-6</v>
      </c>
      <c r="AH57" s="16">
        <v>4.4223868775989801E-6</v>
      </c>
      <c r="AI57" s="16">
        <v>7.0648628970224297E-6</v>
      </c>
      <c r="AJ57" s="16">
        <v>9.5741315998564904E-6</v>
      </c>
      <c r="AK57" s="16">
        <v>1.18681175444724E-4</v>
      </c>
      <c r="AL57" s="16">
        <v>1.0718818521109899E-5</v>
      </c>
      <c r="AM57" s="16">
        <v>6.2312913414432696E-5</v>
      </c>
      <c r="AN57" s="16">
        <v>4.8531883949011097E-6</v>
      </c>
      <c r="AO57" s="16">
        <v>1.19780912652272E-5</v>
      </c>
      <c r="AP57" s="16">
        <v>8.8736111882193595E-7</v>
      </c>
      <c r="AQ57" s="16">
        <v>4.4686350214546001E-5</v>
      </c>
      <c r="AR57" s="16">
        <v>1.68989883338231E-5</v>
      </c>
      <c r="AS57" s="16">
        <v>2.5114828877152801E-5</v>
      </c>
      <c r="AT57" s="16">
        <v>1.0355650253787E-4</v>
      </c>
      <c r="AU57" s="16">
        <v>1.3370323593632301E-4</v>
      </c>
      <c r="AV57" s="16">
        <v>1.7695581017958601E-4</v>
      </c>
      <c r="AW57" s="16">
        <v>1.64739224352653E-4</v>
      </c>
      <c r="AX57" s="16">
        <v>1.14692007002779E-3</v>
      </c>
      <c r="AY57" s="16">
        <v>5.5436827729109703E-5</v>
      </c>
      <c r="AZ57" s="16">
        <v>2.4049861598242499E-5</v>
      </c>
      <c r="BA57" s="16">
        <v>4.7167885770701002E-4</v>
      </c>
      <c r="BB57" s="16">
        <v>4.2346031826542201E-4</v>
      </c>
      <c r="BC57" s="16">
        <v>5.7012505537527498E-5</v>
      </c>
      <c r="BD57" s="16">
        <v>2.29363847899658E-6</v>
      </c>
      <c r="BE57" s="16">
        <v>5.7251391435787197E-5</v>
      </c>
      <c r="BF57" s="16">
        <v>2.9181883020862602E-4</v>
      </c>
      <c r="BG57" s="16">
        <v>6.7799168164225606E-5</v>
      </c>
      <c r="BH57" s="16">
        <v>1.3407218178122699E-5</v>
      </c>
      <c r="BI57" s="16">
        <v>2.4597376680038997E-4</v>
      </c>
      <c r="BJ57" s="16">
        <v>5.6669918676701899E-5</v>
      </c>
      <c r="BK57" s="16">
        <v>4.9025075829686801E-5</v>
      </c>
      <c r="BL57" s="16">
        <v>1.12362389711695E-3</v>
      </c>
      <c r="BM57" s="16">
        <v>9.1690944786167294E-5</v>
      </c>
      <c r="BN57" s="16">
        <v>5.5216656023560102E-5</v>
      </c>
      <c r="BO57" s="16">
        <v>2.2987393134669701E-5</v>
      </c>
      <c r="BP57" s="16">
        <v>6.6610175414075098E-5</v>
      </c>
      <c r="BQ57" s="16">
        <v>7.1196462292857194E-5</v>
      </c>
      <c r="BR57" s="16">
        <v>3.97893759601366E-5</v>
      </c>
      <c r="BS57" s="16">
        <v>1.22620675988705E-4</v>
      </c>
      <c r="BT57" s="16">
        <v>7.4441352963073904E-5</v>
      </c>
      <c r="BU57" s="16">
        <v>2.9267439537731599E-5</v>
      </c>
      <c r="BV57" s="16">
        <v>1.5614712598602701E-5</v>
      </c>
      <c r="BW57" s="16">
        <v>1.2549058190045601E-6</v>
      </c>
      <c r="BX57" s="16">
        <v>1.28249115809636E-5</v>
      </c>
      <c r="BY57" s="16">
        <v>4.5469925535828297E-5</v>
      </c>
      <c r="BZ57" s="16">
        <v>0</v>
      </c>
      <c r="CA57" s="16">
        <v>3.2784067024287501E-4</v>
      </c>
    </row>
    <row r="58" spans="1:79" x14ac:dyDescent="0.3">
      <c r="A58" s="8" t="s">
        <v>146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9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3.8247574830731802E-2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</row>
    <row r="59" spans="1:79" x14ac:dyDescent="0.3">
      <c r="A59" s="7" t="s">
        <v>147</v>
      </c>
      <c r="B59" s="16">
        <v>2.4789936883524801E-3</v>
      </c>
      <c r="C59" s="16">
        <v>8.8408322267593197E-4</v>
      </c>
      <c r="D59" s="16">
        <v>3.9753217851276098E-5</v>
      </c>
      <c r="E59" s="16">
        <v>6.9935808017370304E-4</v>
      </c>
      <c r="F59" s="16">
        <v>1.3917698355583399E-3</v>
      </c>
      <c r="G59" s="19">
        <v>5.3820318508878404E-4</v>
      </c>
      <c r="H59" s="16">
        <v>7.4190270182837895E-4</v>
      </c>
      <c r="I59" s="16">
        <v>1.9625016870819099E-2</v>
      </c>
      <c r="J59" s="16">
        <v>6.6272202099592703E-4</v>
      </c>
      <c r="K59" s="16">
        <v>1.3893606883629199E-3</v>
      </c>
      <c r="L59" s="16">
        <v>4.3247943679298999E-3</v>
      </c>
      <c r="M59" s="16">
        <v>5.6526616498635599E-4</v>
      </c>
      <c r="N59" s="16">
        <v>1.3233311642129101E-3</v>
      </c>
      <c r="O59" s="16">
        <v>6.5606403948886599E-4</v>
      </c>
      <c r="P59" s="16">
        <v>2.10209202946918E-3</v>
      </c>
      <c r="Q59" s="16">
        <v>1.1332342286896101E-3</v>
      </c>
      <c r="R59" s="16">
        <v>1.24522929154226E-3</v>
      </c>
      <c r="S59" s="16">
        <v>2.3841895706998698E-3</v>
      </c>
      <c r="T59" s="16">
        <v>1.59994906701002E-3</v>
      </c>
      <c r="U59" s="16">
        <v>2.8511428097073299E-3</v>
      </c>
      <c r="V59" s="16">
        <v>2.8613318686346902E-3</v>
      </c>
      <c r="W59" s="16">
        <v>5.7497531677507903E-5</v>
      </c>
      <c r="X59" s="16">
        <v>1.5288427038323E-3</v>
      </c>
      <c r="Y59" s="16">
        <v>2.05992705278977E-3</v>
      </c>
      <c r="Z59" s="16">
        <v>2.7346275347863601E-3</v>
      </c>
      <c r="AA59" s="16">
        <v>2.5467586619631402E-3</v>
      </c>
      <c r="AB59" s="16">
        <v>2.2146262143234101E-3</v>
      </c>
      <c r="AC59" s="16">
        <v>7.8983819231637198E-4</v>
      </c>
      <c r="AD59" s="16">
        <v>6.1208327887624198E-5</v>
      </c>
      <c r="AE59" s="16">
        <v>4.0137748571669301E-4</v>
      </c>
      <c r="AF59" s="16">
        <v>4.4817727848185901E-4</v>
      </c>
      <c r="AG59" s="16">
        <v>9.9443059160548002E-4</v>
      </c>
      <c r="AH59" s="16">
        <v>3.4859436991683401E-4</v>
      </c>
      <c r="AI59" s="16">
        <v>1.3969368470250701E-2</v>
      </c>
      <c r="AJ59" s="16">
        <v>8.4815184296481994E-3</v>
      </c>
      <c r="AK59" s="16">
        <v>2.93386770025121E-3</v>
      </c>
      <c r="AL59" s="16">
        <v>3.2351814675085498E-3</v>
      </c>
      <c r="AM59" s="16">
        <v>4.3192622350253902E-4</v>
      </c>
      <c r="AN59" s="16">
        <v>2.50823384835966E-4</v>
      </c>
      <c r="AO59" s="16">
        <v>7.6377874100513898E-4</v>
      </c>
      <c r="AP59" s="16">
        <v>4.2276970174133796E-3</v>
      </c>
      <c r="AQ59" s="16">
        <v>1.9783491544292302E-3</v>
      </c>
      <c r="AR59" s="16">
        <v>1.34033997212239E-3</v>
      </c>
      <c r="AS59" s="16">
        <v>1.0462470176140701E-3</v>
      </c>
      <c r="AT59" s="16">
        <v>8.6496190949447303E-4</v>
      </c>
      <c r="AU59" s="16">
        <v>3.8958325045363499E-3</v>
      </c>
      <c r="AV59" s="16">
        <v>1.4216878224565801E-3</v>
      </c>
      <c r="AW59" s="16">
        <v>7.6660616784279302E-4</v>
      </c>
      <c r="AX59" s="16">
        <v>6.0977906012896401E-3</v>
      </c>
      <c r="AY59" s="16">
        <v>2.24454339517493E-3</v>
      </c>
      <c r="AZ59" s="16">
        <v>1.3730689501366901E-3</v>
      </c>
      <c r="BA59" s="16">
        <v>2.2297546000695E-4</v>
      </c>
      <c r="BB59" s="16">
        <v>2.5371687443584401E-3</v>
      </c>
      <c r="BC59" s="16">
        <v>1.14143942194164E-2</v>
      </c>
      <c r="BD59" s="16">
        <v>2.0302434369201799E-2</v>
      </c>
      <c r="BE59" s="16">
        <v>1.4149089147413901E-2</v>
      </c>
      <c r="BF59" s="16">
        <v>4.3033360448020702E-4</v>
      </c>
      <c r="BG59" s="16">
        <v>2.2545038802167898E-3</v>
      </c>
      <c r="BH59" s="16">
        <v>2.4713305149226199E-5</v>
      </c>
      <c r="BI59" s="16">
        <v>4.0034597632258697E-3</v>
      </c>
      <c r="BJ59" s="16">
        <v>8.2688727822216295E-3</v>
      </c>
      <c r="BK59" s="16">
        <v>1.23835538260551E-3</v>
      </c>
      <c r="BL59" s="16">
        <v>1.9932335357963401E-3</v>
      </c>
      <c r="BM59" s="16">
        <v>5.1908499207807101E-4</v>
      </c>
      <c r="BN59" s="16">
        <v>4.8772087474625902E-4</v>
      </c>
      <c r="BO59" s="16">
        <v>7.8636022517130299E-4</v>
      </c>
      <c r="BP59" s="16">
        <v>2.0965825704102301E-5</v>
      </c>
      <c r="BQ59" s="16">
        <v>1.55353803116479E-4</v>
      </c>
      <c r="BR59" s="16">
        <v>2.11133127498444E-4</v>
      </c>
      <c r="BS59" s="16">
        <v>9.7932316671336603E-4</v>
      </c>
      <c r="BT59" s="16">
        <v>3.7265762092349099E-4</v>
      </c>
      <c r="BU59" s="16">
        <v>2.9610125416031298E-3</v>
      </c>
      <c r="BV59" s="16">
        <v>7.1374489042133301E-4</v>
      </c>
      <c r="BW59" s="16">
        <v>2.0321269114441899E-4</v>
      </c>
      <c r="BX59" s="16">
        <v>1.3403263614562399E-4</v>
      </c>
      <c r="BY59" s="16">
        <v>3.36662991321582E-4</v>
      </c>
      <c r="BZ59" s="16">
        <v>0</v>
      </c>
      <c r="CA59" s="16">
        <v>1.1399524875143599E-2</v>
      </c>
    </row>
    <row r="60" spans="1:79" x14ac:dyDescent="0.3">
      <c r="A60" s="8" t="s">
        <v>148</v>
      </c>
      <c r="B60" s="15">
        <v>0</v>
      </c>
      <c r="C60" s="15">
        <v>7.0841942479442798E-7</v>
      </c>
      <c r="D60" s="15">
        <v>0</v>
      </c>
      <c r="E60" s="15">
        <v>0</v>
      </c>
      <c r="F60" s="15">
        <v>0</v>
      </c>
      <c r="G60" s="19">
        <v>0</v>
      </c>
      <c r="H60" s="15">
        <v>2.5185376022371E-5</v>
      </c>
      <c r="I60" s="15">
        <v>1.4714826319376199E-3</v>
      </c>
      <c r="J60" s="15">
        <v>2.40216925179E-4</v>
      </c>
      <c r="K60" s="15">
        <v>2.3333831775554302E-5</v>
      </c>
      <c r="L60" s="15">
        <v>8.1131364728238706E-5</v>
      </c>
      <c r="M60" s="15">
        <v>4.3310889247726902E-7</v>
      </c>
      <c r="N60" s="15">
        <v>5.0717226473507302E-5</v>
      </c>
      <c r="O60" s="15">
        <v>1.21938581639115E-4</v>
      </c>
      <c r="P60" s="15">
        <v>4.6673108905604797E-6</v>
      </c>
      <c r="Q60" s="15">
        <v>0</v>
      </c>
      <c r="R60" s="15">
        <v>4.0136690574505496E-6</v>
      </c>
      <c r="S60" s="15">
        <v>0</v>
      </c>
      <c r="T60" s="15">
        <v>0</v>
      </c>
      <c r="U60" s="15">
        <v>1.75854793630831E-4</v>
      </c>
      <c r="V60" s="15">
        <v>2.5178146300457101E-4</v>
      </c>
      <c r="W60" s="15">
        <v>0</v>
      </c>
      <c r="X60" s="15">
        <v>1.140018297145E-4</v>
      </c>
      <c r="Y60" s="15">
        <v>6.7428990980276197E-5</v>
      </c>
      <c r="Z60" s="15">
        <v>2.5222607536272001E-4</v>
      </c>
      <c r="AA60" s="15">
        <v>1.5055993429069801E-4</v>
      </c>
      <c r="AB60" s="15">
        <v>9.5863558518464198E-5</v>
      </c>
      <c r="AC60" s="15">
        <v>3.4578227218967098E-5</v>
      </c>
      <c r="AD60" s="15">
        <v>9.7551049704565101E-6</v>
      </c>
      <c r="AE60" s="15">
        <v>8.3848199461371005E-5</v>
      </c>
      <c r="AF60" s="15">
        <v>3.2482444956176401E-5</v>
      </c>
      <c r="AG60" s="15">
        <v>9.8830036134156798E-5</v>
      </c>
      <c r="AH60" s="15">
        <v>8.4874537182049207E-6</v>
      </c>
      <c r="AI60" s="15">
        <v>0</v>
      </c>
      <c r="AJ60" s="15">
        <v>6.2053672478644897E-5</v>
      </c>
      <c r="AK60" s="15">
        <v>6.1400596181555699E-3</v>
      </c>
      <c r="AL60" s="15">
        <v>1.4539558671376499E-4</v>
      </c>
      <c r="AM60" s="15">
        <v>0</v>
      </c>
      <c r="AN60" s="15">
        <v>2.11530747276522E-7</v>
      </c>
      <c r="AO60" s="15">
        <v>5.3443666702379803E-5</v>
      </c>
      <c r="AP60" s="15">
        <v>0</v>
      </c>
      <c r="AQ60" s="15">
        <v>2.3125701055730499E-4</v>
      </c>
      <c r="AR60" s="15">
        <v>4.3792204027881998E-4</v>
      </c>
      <c r="AS60" s="15">
        <v>3.16283495371623E-4</v>
      </c>
      <c r="AT60" s="15">
        <v>1.42901480931569E-4</v>
      </c>
      <c r="AU60" s="15">
        <v>2.2679860513200899E-4</v>
      </c>
      <c r="AV60" s="15">
        <v>0</v>
      </c>
      <c r="AW60" s="15">
        <v>1.9887986677159699E-4</v>
      </c>
      <c r="AX60" s="15">
        <v>2.9475317916538303E-4</v>
      </c>
      <c r="AY60" s="15">
        <v>1.15022768534445E-3</v>
      </c>
      <c r="AZ60" s="15">
        <v>4.41879092883757E-4</v>
      </c>
      <c r="BA60" s="15">
        <v>0</v>
      </c>
      <c r="BB60" s="15">
        <v>0</v>
      </c>
      <c r="BC60" s="15">
        <v>1.2799061868780501E-3</v>
      </c>
      <c r="BD60" s="15">
        <v>5.26394298164094E-2</v>
      </c>
      <c r="BE60" s="15">
        <v>3.4799681436126499E-3</v>
      </c>
      <c r="BF60" s="15">
        <v>4.2615364361176401E-5</v>
      </c>
      <c r="BG60" s="15">
        <v>2.3145079964784199E-4</v>
      </c>
      <c r="BH60" s="15">
        <v>0</v>
      </c>
      <c r="BI60" s="15">
        <v>1.5444646098716099E-4</v>
      </c>
      <c r="BJ60" s="15">
        <v>8.9421744762381905E-2</v>
      </c>
      <c r="BK60" s="15">
        <v>3.1369599696372898E-4</v>
      </c>
      <c r="BL60" s="15">
        <v>0</v>
      </c>
      <c r="BM60" s="15">
        <v>3.62745697108442E-5</v>
      </c>
      <c r="BN60" s="15">
        <v>3.3239695579745798E-5</v>
      </c>
      <c r="BO60" s="15">
        <v>3.7253701504327599E-5</v>
      </c>
      <c r="BP60" s="15">
        <v>0</v>
      </c>
      <c r="BQ60" s="15">
        <v>2.8720128562488901E-5</v>
      </c>
      <c r="BR60" s="15">
        <v>2.3846578417196699E-5</v>
      </c>
      <c r="BS60" s="15">
        <v>0</v>
      </c>
      <c r="BT60" s="15">
        <v>1.19557020849039E-4</v>
      </c>
      <c r="BU60" s="15">
        <v>2.1746737877168499E-4</v>
      </c>
      <c r="BV60" s="15">
        <v>2.0344121154414001E-4</v>
      </c>
      <c r="BW60" s="15">
        <v>6.5650880577307601E-5</v>
      </c>
      <c r="BX60" s="15">
        <v>6.6895455031735005E-5</v>
      </c>
      <c r="BY60" s="15">
        <v>2.1795202780687201E-5</v>
      </c>
      <c r="BZ60" s="15">
        <v>0</v>
      </c>
      <c r="CA60" s="15">
        <v>0</v>
      </c>
    </row>
    <row r="61" spans="1:79" x14ac:dyDescent="0.3">
      <c r="A61" s="7" t="s">
        <v>149</v>
      </c>
      <c r="B61" s="16">
        <v>1.50136392159881E-3</v>
      </c>
      <c r="C61" s="16">
        <v>1.3024018655836E-5</v>
      </c>
      <c r="D61" s="16">
        <v>0</v>
      </c>
      <c r="E61" s="16">
        <v>3.4606602373838801E-4</v>
      </c>
      <c r="F61" s="16">
        <v>4.5507198411385099E-4</v>
      </c>
      <c r="G61" s="19">
        <v>4.0870955974277902E-3</v>
      </c>
      <c r="H61" s="16">
        <v>3.0820962563635201E-4</v>
      </c>
      <c r="I61" s="16">
        <v>1.9443455111838402E-2</v>
      </c>
      <c r="J61" s="16">
        <v>7.62056802219246E-4</v>
      </c>
      <c r="K61" s="16">
        <v>1.80604097141476E-4</v>
      </c>
      <c r="L61" s="16">
        <v>8.2496607577441398E-4</v>
      </c>
      <c r="M61" s="16">
        <v>2.4008341493525899E-4</v>
      </c>
      <c r="N61" s="16">
        <v>1.3849707369491E-4</v>
      </c>
      <c r="O61" s="16">
        <v>7.3204082429602206E-5</v>
      </c>
      <c r="P61" s="16">
        <v>1.9060042261538301E-4</v>
      </c>
      <c r="Q61" s="16">
        <v>3.55578826710508E-4</v>
      </c>
      <c r="R61" s="16">
        <v>3.8133316105312502E-4</v>
      </c>
      <c r="S61" s="16">
        <v>1.66213198947157E-4</v>
      </c>
      <c r="T61" s="16">
        <v>1.5266949441942101E-4</v>
      </c>
      <c r="U61" s="16">
        <v>3.1674420580047501E-4</v>
      </c>
      <c r="V61" s="16">
        <v>3.4794160649380802E-4</v>
      </c>
      <c r="W61" s="16">
        <v>1.70600561283065E-3</v>
      </c>
      <c r="X61" s="16">
        <v>2.9429008296299298E-4</v>
      </c>
      <c r="Y61" s="16">
        <v>2.7432813961462201E-4</v>
      </c>
      <c r="Z61" s="16">
        <v>6.1152013064741297E-4</v>
      </c>
      <c r="AA61" s="16">
        <v>1.77597341475746E-4</v>
      </c>
      <c r="AB61" s="16">
        <v>2.5540803482267002E-4</v>
      </c>
      <c r="AC61" s="16">
        <v>2.31684605155756E-4</v>
      </c>
      <c r="AD61" s="16">
        <v>2.9259315782644398E-4</v>
      </c>
      <c r="AE61" s="16">
        <v>2.12577263027099E-4</v>
      </c>
      <c r="AF61" s="16">
        <v>3.0407308631657701E-4</v>
      </c>
      <c r="AG61" s="16">
        <v>1.41611217550394E-4</v>
      </c>
      <c r="AH61" s="16">
        <v>9.7219723892234505E-5</v>
      </c>
      <c r="AI61" s="16">
        <v>2.0011528199211401E-3</v>
      </c>
      <c r="AJ61" s="16">
        <v>8.1880656911352903E-4</v>
      </c>
      <c r="AK61" s="16">
        <v>6.3066482711716498E-4</v>
      </c>
      <c r="AL61" s="16">
        <v>9.7025477435842497E-4</v>
      </c>
      <c r="AM61" s="16">
        <v>1.2530124651972099E-3</v>
      </c>
      <c r="AN61" s="16">
        <v>1.9258704710394599E-3</v>
      </c>
      <c r="AO61" s="16">
        <v>9.5390421526628699E-4</v>
      </c>
      <c r="AP61" s="16">
        <v>4.9408267096005404E-3</v>
      </c>
      <c r="AQ61" s="16">
        <v>1.4007214477388999E-3</v>
      </c>
      <c r="AR61" s="16">
        <v>9.7356617378263795E-4</v>
      </c>
      <c r="AS61" s="16">
        <v>5.1781468319072699E-4</v>
      </c>
      <c r="AT61" s="16">
        <v>1.6878736028069E-3</v>
      </c>
      <c r="AU61" s="16">
        <v>2.8677624083865302E-3</v>
      </c>
      <c r="AV61" s="16">
        <v>3.8735475814785799E-4</v>
      </c>
      <c r="AW61" s="16">
        <v>3.0079180932839398E-4</v>
      </c>
      <c r="AX61" s="16">
        <v>2.66166869526208E-3</v>
      </c>
      <c r="AY61" s="16">
        <v>2.7074577667956898E-3</v>
      </c>
      <c r="AZ61" s="16">
        <v>1.5921899113651301E-4</v>
      </c>
      <c r="BA61" s="16">
        <v>4.38404058290588E-4</v>
      </c>
      <c r="BB61" s="16">
        <v>6.7899232068726196E-5</v>
      </c>
      <c r="BC61" s="16">
        <v>2.9317249227015199E-3</v>
      </c>
      <c r="BD61" s="16">
        <v>2.3533797603099801E-4</v>
      </c>
      <c r="BE61" s="16">
        <v>0.145827403507681</v>
      </c>
      <c r="BF61" s="16">
        <v>2.6757011047240403E-4</v>
      </c>
      <c r="BG61" s="16">
        <v>9.1408098175685198E-4</v>
      </c>
      <c r="BH61" s="16">
        <v>1.9350417877977101E-5</v>
      </c>
      <c r="BI61" s="16">
        <v>5.96200004271764E-4</v>
      </c>
      <c r="BJ61" s="16">
        <v>4.9614013249917304E-4</v>
      </c>
      <c r="BK61" s="16">
        <v>3.1177030329050399E-4</v>
      </c>
      <c r="BL61" s="16">
        <v>1.86227576905027E-4</v>
      </c>
      <c r="BM61" s="16">
        <v>9.6074146483987404E-4</v>
      </c>
      <c r="BN61" s="16">
        <v>3.6120159780856699E-3</v>
      </c>
      <c r="BO61" s="16">
        <v>2.6181062658576699E-3</v>
      </c>
      <c r="BP61" s="16">
        <v>1.5639195611153801E-3</v>
      </c>
      <c r="BQ61" s="16">
        <v>1.2373132145936201E-2</v>
      </c>
      <c r="BR61" s="16">
        <v>3.7526430333400699E-4</v>
      </c>
      <c r="BS61" s="16">
        <v>1.2099407518477399E-3</v>
      </c>
      <c r="BT61" s="16">
        <v>4.0368654018683401E-4</v>
      </c>
      <c r="BU61" s="16">
        <v>6.0167338668341798E-4</v>
      </c>
      <c r="BV61" s="16">
        <v>3.5913838976786298E-5</v>
      </c>
      <c r="BW61" s="16">
        <v>4.7778125778177399E-5</v>
      </c>
      <c r="BX61" s="16">
        <v>2.2745081408039901E-4</v>
      </c>
      <c r="BY61" s="16">
        <v>3.9074738340699099E-4</v>
      </c>
      <c r="BZ61" s="16">
        <v>0</v>
      </c>
      <c r="CA61" s="16">
        <v>5.6026472771930702E-3</v>
      </c>
    </row>
    <row r="62" spans="1:79" x14ac:dyDescent="0.3">
      <c r="A62" s="8" t="s">
        <v>150</v>
      </c>
      <c r="B62" s="15">
        <v>7.3222905635031901E-9</v>
      </c>
      <c r="C62" s="15">
        <v>1.6347131427699299E-4</v>
      </c>
      <c r="D62" s="15">
        <v>0</v>
      </c>
      <c r="E62" s="15">
        <v>1.0280555072489899E-3</v>
      </c>
      <c r="F62" s="15">
        <v>4.5025187705167204E-3</v>
      </c>
      <c r="G62" s="19">
        <v>3.35240682437375E-4</v>
      </c>
      <c r="H62" s="15">
        <v>1.0103933698924999E-3</v>
      </c>
      <c r="I62" s="15">
        <v>1.40708368888115E-2</v>
      </c>
      <c r="J62" s="15">
        <v>2.2657079364019101E-3</v>
      </c>
      <c r="K62" s="15">
        <v>3.91429513010277E-4</v>
      </c>
      <c r="L62" s="15">
        <v>1.71662964157511E-3</v>
      </c>
      <c r="M62" s="15">
        <v>6.5062995901684099E-3</v>
      </c>
      <c r="N62" s="15">
        <v>5.9005089936316297E-3</v>
      </c>
      <c r="O62" s="15">
        <v>4.3805896855876603E-3</v>
      </c>
      <c r="P62" s="15">
        <v>8.3306335994000908E-3</v>
      </c>
      <c r="Q62" s="15">
        <v>1.51942064418583E-2</v>
      </c>
      <c r="R62" s="15">
        <v>1.3089762750118999E-2</v>
      </c>
      <c r="S62" s="15">
        <v>6.4972955514738398E-3</v>
      </c>
      <c r="T62" s="15">
        <v>6.3906213649539004E-3</v>
      </c>
      <c r="U62" s="15">
        <v>7.5271529193763499E-3</v>
      </c>
      <c r="V62" s="15">
        <v>1.4846851378205199E-2</v>
      </c>
      <c r="W62" s="15">
        <v>1.47785178057783E-4</v>
      </c>
      <c r="X62" s="15">
        <v>4.3780824129554998E-3</v>
      </c>
      <c r="Y62" s="15">
        <v>7.3565528902710502E-3</v>
      </c>
      <c r="Z62" s="15">
        <v>4.6814453299233996E-3</v>
      </c>
      <c r="AA62" s="15">
        <v>2.4479946878421099E-3</v>
      </c>
      <c r="AB62" s="15">
        <v>6.6722339164571997E-3</v>
      </c>
      <c r="AC62" s="15">
        <v>4.2382097650574303E-3</v>
      </c>
      <c r="AD62" s="15">
        <v>1.1653531863846101E-3</v>
      </c>
      <c r="AE62" s="15">
        <v>2.1373128619533799E-3</v>
      </c>
      <c r="AF62" s="15">
        <v>5.2050239490304502E-3</v>
      </c>
      <c r="AG62" s="15">
        <v>1.28231301616575E-2</v>
      </c>
      <c r="AH62" s="15">
        <v>3.3982503039166798E-3</v>
      </c>
      <c r="AI62" s="15">
        <v>1.9732706930968399E-2</v>
      </c>
      <c r="AJ62" s="15">
        <v>3.4822657651449998E-2</v>
      </c>
      <c r="AK62" s="15">
        <v>6.2037764325617297E-3</v>
      </c>
      <c r="AL62" s="15">
        <v>2.84224456381936E-3</v>
      </c>
      <c r="AM62" s="15">
        <v>5.2850501422863402E-3</v>
      </c>
      <c r="AN62" s="15">
        <v>7.4973147233293297E-4</v>
      </c>
      <c r="AO62" s="15">
        <v>1.2459409071913599E-2</v>
      </c>
      <c r="AP62" s="15">
        <v>4.8546369383201801E-3</v>
      </c>
      <c r="AQ62" s="15">
        <v>7.8034311291705297E-3</v>
      </c>
      <c r="AR62" s="15">
        <v>1.1707083712635499E-2</v>
      </c>
      <c r="AS62" s="15">
        <v>1.14186713438782E-2</v>
      </c>
      <c r="AT62" s="15">
        <v>7.0098770828680799E-3</v>
      </c>
      <c r="AU62" s="15">
        <v>4.7529994398377198E-2</v>
      </c>
      <c r="AV62" s="15">
        <v>1.33882281634496E-2</v>
      </c>
      <c r="AW62" s="15">
        <v>9.5808077344506304E-2</v>
      </c>
      <c r="AX62" s="15">
        <v>1.96677233827664E-2</v>
      </c>
      <c r="AY62" s="15">
        <v>6.7006139833400605E-2</v>
      </c>
      <c r="AZ62" s="15">
        <v>1.21059877400635E-2</v>
      </c>
      <c r="BA62" s="15">
        <v>4.5029379589649698E-2</v>
      </c>
      <c r="BB62" s="15">
        <v>6.0239994692315403E-4</v>
      </c>
      <c r="BC62" s="15">
        <v>2.4123198161380401E-2</v>
      </c>
      <c r="BD62" s="15">
        <v>2.06478936624395E-2</v>
      </c>
      <c r="BE62" s="15">
        <v>8.0320383097865402E-3</v>
      </c>
      <c r="BF62" s="15">
        <v>3.7334353682092801E-3</v>
      </c>
      <c r="BG62" s="15">
        <v>1.8287162124512601E-2</v>
      </c>
      <c r="BH62" s="15">
        <v>6.6091582386125004E-4</v>
      </c>
      <c r="BI62" s="15">
        <v>1.6128720578110899E-2</v>
      </c>
      <c r="BJ62" s="15">
        <v>1.82584125182082E-2</v>
      </c>
      <c r="BK62" s="15">
        <v>9.5247326909780501E-3</v>
      </c>
      <c r="BL62" s="15">
        <v>6.4372313713163499E-3</v>
      </c>
      <c r="BM62" s="15">
        <v>8.5190206007438804E-3</v>
      </c>
      <c r="BN62" s="15">
        <v>1.8477605571538901E-2</v>
      </c>
      <c r="BO62" s="15">
        <v>6.52383568592206E-3</v>
      </c>
      <c r="BP62" s="15">
        <v>1.50370833042141E-2</v>
      </c>
      <c r="BQ62" s="15">
        <v>1.4274787591820499E-2</v>
      </c>
      <c r="BR62" s="15">
        <v>1.53944614751388E-2</v>
      </c>
      <c r="BS62" s="15">
        <v>2.9827792242099499E-2</v>
      </c>
      <c r="BT62" s="15">
        <v>4.1658383020598697E-2</v>
      </c>
      <c r="BU62" s="15">
        <v>9.2570022472335707E-3</v>
      </c>
      <c r="BV62" s="15">
        <v>3.1898625259158701E-2</v>
      </c>
      <c r="BW62" s="15">
        <v>3.3084114990437397E-2</v>
      </c>
      <c r="BX62" s="15">
        <v>2.8206738989230401E-2</v>
      </c>
      <c r="BY62" s="15">
        <v>5.4782826527197898E-3</v>
      </c>
      <c r="BZ62" s="15">
        <v>0</v>
      </c>
      <c r="CA62" s="15">
        <v>1.10328822469356E-2</v>
      </c>
    </row>
    <row r="63" spans="1:79" x14ac:dyDescent="0.3">
      <c r="A63" s="7" t="s">
        <v>151</v>
      </c>
      <c r="B63" s="16">
        <v>6.4392223215446999E-6</v>
      </c>
      <c r="C63" s="16">
        <v>1.45276439306846E-5</v>
      </c>
      <c r="D63" s="16">
        <v>7.7303705044998996E-4</v>
      </c>
      <c r="E63" s="16">
        <v>1.42570495716726E-3</v>
      </c>
      <c r="F63" s="16">
        <v>4.80278931225443E-4</v>
      </c>
      <c r="G63" s="19">
        <v>3.1102094691398598E-3</v>
      </c>
      <c r="H63" s="16">
        <v>1.0301603687177001E-3</v>
      </c>
      <c r="I63" s="16">
        <v>2.5920195332126798E-2</v>
      </c>
      <c r="J63" s="16">
        <v>4.87796914968884E-4</v>
      </c>
      <c r="K63" s="16">
        <v>3.20353106630483E-3</v>
      </c>
      <c r="L63" s="16">
        <v>5.4064408834719E-3</v>
      </c>
      <c r="M63" s="16">
        <v>1.0453388264840401E-2</v>
      </c>
      <c r="N63" s="16">
        <v>9.9438268281991206E-5</v>
      </c>
      <c r="O63" s="16">
        <v>3.7419632941515702E-5</v>
      </c>
      <c r="P63" s="16">
        <v>6.1252127739459705E-5</v>
      </c>
      <c r="Q63" s="16">
        <v>2.25271176210145E-4</v>
      </c>
      <c r="R63" s="16">
        <v>2.4978169763565099E-4</v>
      </c>
      <c r="S63" s="16">
        <v>8.5658794715232206E-5</v>
      </c>
      <c r="T63" s="16">
        <v>1.5524784309692399E-4</v>
      </c>
      <c r="U63" s="16">
        <v>3.06310124817927E-4</v>
      </c>
      <c r="V63" s="16">
        <v>6.3962388215579695E-4</v>
      </c>
      <c r="W63" s="16">
        <v>9.9330020612100093E-6</v>
      </c>
      <c r="X63" s="16">
        <v>2.3902303623828301E-4</v>
      </c>
      <c r="Y63" s="16">
        <v>1.34696973778344E-3</v>
      </c>
      <c r="Z63" s="16">
        <v>6.6958638446919705E-4</v>
      </c>
      <c r="AA63" s="16">
        <v>1.3211790642661501E-4</v>
      </c>
      <c r="AB63" s="16">
        <v>2.0776189453516601E-4</v>
      </c>
      <c r="AC63" s="16">
        <v>2.6327773350407998E-4</v>
      </c>
      <c r="AD63" s="16">
        <v>3.4756447849338502E-4</v>
      </c>
      <c r="AE63" s="16">
        <v>1.4355058254084799E-4</v>
      </c>
      <c r="AF63" s="16">
        <v>1.01245009462497E-3</v>
      </c>
      <c r="AG63" s="16">
        <v>1.4254596897361499E-4</v>
      </c>
      <c r="AH63" s="16">
        <v>8.3154107374305001E-5</v>
      </c>
      <c r="AI63" s="16">
        <v>5.05662171994189E-4</v>
      </c>
      <c r="AJ63" s="16">
        <v>5.0071095971309298E-4</v>
      </c>
      <c r="AK63" s="16">
        <v>2.0871201424341499E-4</v>
      </c>
      <c r="AL63" s="16">
        <v>5.9369864574787404E-4</v>
      </c>
      <c r="AM63" s="16">
        <v>4.7295252278903403E-3</v>
      </c>
      <c r="AN63" s="16">
        <v>3.54651329129854E-4</v>
      </c>
      <c r="AO63" s="16">
        <v>4.4391025507490602E-4</v>
      </c>
      <c r="AP63" s="16">
        <v>7.7547645601395296E-5</v>
      </c>
      <c r="AQ63" s="16">
        <v>4.2285231120068496E-3</v>
      </c>
      <c r="AR63" s="16">
        <v>1.9413769568947401E-4</v>
      </c>
      <c r="AS63" s="16">
        <v>1.01888614713002E-4</v>
      </c>
      <c r="AT63" s="16">
        <v>1.3350023856951001E-3</v>
      </c>
      <c r="AU63" s="16">
        <v>1.25067948611356E-3</v>
      </c>
      <c r="AV63" s="16">
        <v>1.1424607392973901E-3</v>
      </c>
      <c r="AW63" s="16">
        <v>7.2538240459004398E-4</v>
      </c>
      <c r="AX63" s="16">
        <v>3.4414007377863099E-4</v>
      </c>
      <c r="AY63" s="16">
        <v>8.8239541853834906E-5</v>
      </c>
      <c r="AZ63" s="16">
        <v>2.04646507488748E-4</v>
      </c>
      <c r="BA63" s="16">
        <v>2.1501695128054799E-3</v>
      </c>
      <c r="BB63" s="16">
        <v>5.6563375297948697E-6</v>
      </c>
      <c r="BC63" s="16">
        <v>4.3152165522379198E-4</v>
      </c>
      <c r="BD63" s="16">
        <v>9.9951964275994004E-4</v>
      </c>
      <c r="BE63" s="16">
        <v>1.17393011497897E-3</v>
      </c>
      <c r="BF63" s="16">
        <v>1.7224226917563999E-3</v>
      </c>
      <c r="BG63" s="16">
        <v>5.9233354570650898E-3</v>
      </c>
      <c r="BH63" s="16">
        <v>8.7447079758800504E-6</v>
      </c>
      <c r="BI63" s="16">
        <v>2.2172921259870099E-3</v>
      </c>
      <c r="BJ63" s="16">
        <v>1.27583569265805E-3</v>
      </c>
      <c r="BK63" s="16">
        <v>1.8294318789465699E-3</v>
      </c>
      <c r="BL63" s="16">
        <v>2.6011623323218401E-4</v>
      </c>
      <c r="BM63" s="16">
        <v>2.30214813473637E-3</v>
      </c>
      <c r="BN63" s="16">
        <v>5.6686803006276102E-3</v>
      </c>
      <c r="BO63" s="16">
        <v>1.73727016541271E-3</v>
      </c>
      <c r="BP63" s="16">
        <v>7.6616989307428897E-3</v>
      </c>
      <c r="BQ63" s="16">
        <v>6.0406236350574799E-3</v>
      </c>
      <c r="BR63" s="16">
        <v>2.8959994066454402E-3</v>
      </c>
      <c r="BS63" s="16">
        <v>1.5513705167499599E-3</v>
      </c>
      <c r="BT63" s="16">
        <v>5.1230078234054703E-3</v>
      </c>
      <c r="BU63" s="16">
        <v>2.5548744402934898E-4</v>
      </c>
      <c r="BV63" s="16">
        <v>4.7635168840638498E-4</v>
      </c>
      <c r="BW63" s="16">
        <v>6.2113494135967496E-4</v>
      </c>
      <c r="BX63" s="16">
        <v>1.1824076072666299E-3</v>
      </c>
      <c r="BY63" s="16">
        <v>4.1435222657333799E-3</v>
      </c>
      <c r="BZ63" s="16">
        <v>0</v>
      </c>
      <c r="CA63" s="16">
        <v>9.1975151006506994E-3</v>
      </c>
    </row>
    <row r="64" spans="1:79" x14ac:dyDescent="0.3">
      <c r="A64" s="8" t="s">
        <v>152</v>
      </c>
      <c r="B64" s="15">
        <v>0</v>
      </c>
      <c r="C64" s="15">
        <v>0</v>
      </c>
      <c r="D64" s="15">
        <v>0</v>
      </c>
      <c r="E64" s="15">
        <v>0</v>
      </c>
      <c r="F64" s="15">
        <v>5.7437203914581197E-5</v>
      </c>
      <c r="G64" s="19">
        <v>1.13630260316868E-4</v>
      </c>
      <c r="H64" s="15">
        <v>1.6713025962081999E-4</v>
      </c>
      <c r="I64" s="15">
        <v>1.3099752509881899E-4</v>
      </c>
      <c r="J64" s="15">
        <v>3.0322018751945301E-5</v>
      </c>
      <c r="K64" s="15">
        <v>1.9135894844124502E-9</v>
      </c>
      <c r="L64" s="15">
        <v>6.2656497913645101E-6</v>
      </c>
      <c r="M64" s="15">
        <v>8.0518880465092294E-6</v>
      </c>
      <c r="N64" s="15">
        <v>1.7595993511416999E-4</v>
      </c>
      <c r="O64" s="15">
        <v>4.5296089734317797E-5</v>
      </c>
      <c r="P64" s="15">
        <v>7.0212149731099601E-5</v>
      </c>
      <c r="Q64" s="15">
        <v>1.3100606733754201E-5</v>
      </c>
      <c r="R64" s="15">
        <v>1.16154198498806E-4</v>
      </c>
      <c r="S64" s="15">
        <v>5.37504188567865E-5</v>
      </c>
      <c r="T64" s="15">
        <v>2.7904206466482903E-7</v>
      </c>
      <c r="U64" s="15">
        <v>5.7974858293711399E-4</v>
      </c>
      <c r="V64" s="15">
        <v>5.7470210468927697E-5</v>
      </c>
      <c r="W64" s="15">
        <v>1.03843202084602E-5</v>
      </c>
      <c r="X64" s="15">
        <v>1.46953384570152E-4</v>
      </c>
      <c r="Y64" s="15">
        <v>3.8479865199006897E-4</v>
      </c>
      <c r="Z64" s="15">
        <v>6.7764067095317594E-5</v>
      </c>
      <c r="AA64" s="15">
        <v>2.0894606375745101E-5</v>
      </c>
      <c r="AB64" s="15">
        <v>2.8780904801159398E-4</v>
      </c>
      <c r="AC64" s="15">
        <v>7.1578976982955903E-4</v>
      </c>
      <c r="AD64" s="15">
        <v>1.77156879570429E-6</v>
      </c>
      <c r="AE64" s="15">
        <v>2.6892132559568202E-4</v>
      </c>
      <c r="AF64" s="15">
        <v>1.0313033819648999E-3</v>
      </c>
      <c r="AG64" s="15">
        <v>3.5614753838212503E-5</v>
      </c>
      <c r="AH64" s="15">
        <v>3.0658941445698601E-6</v>
      </c>
      <c r="AI64" s="15">
        <v>1.38524209422364E-3</v>
      </c>
      <c r="AJ64" s="15">
        <v>4.9128774731690304E-3</v>
      </c>
      <c r="AK64" s="15">
        <v>6.6871271827542104E-4</v>
      </c>
      <c r="AL64" s="15">
        <v>6.4772494877766203E-4</v>
      </c>
      <c r="AM64" s="15">
        <v>7.2011566671144605E-4</v>
      </c>
      <c r="AN64" s="15">
        <v>6.4132276560654598E-6</v>
      </c>
      <c r="AO64" s="15">
        <v>2.90996352213466E-5</v>
      </c>
      <c r="AP64" s="15">
        <v>0</v>
      </c>
      <c r="AQ64" s="15">
        <v>1.95631487114372E-5</v>
      </c>
      <c r="AR64" s="15">
        <v>4.3975368909014099E-4</v>
      </c>
      <c r="AS64" s="15">
        <v>0</v>
      </c>
      <c r="AT64" s="15">
        <v>3.80832554892142E-4</v>
      </c>
      <c r="AU64" s="15">
        <v>1.07543574794293E-4</v>
      </c>
      <c r="AV64" s="15">
        <v>1.71404557538348E-3</v>
      </c>
      <c r="AW64" s="15">
        <v>1.4896369763160099E-3</v>
      </c>
      <c r="AX64" s="15">
        <v>2.7257766834619698E-3</v>
      </c>
      <c r="AY64" s="15">
        <v>1.6596561785960401E-3</v>
      </c>
      <c r="AZ64" s="15">
        <v>1.85792603643213E-4</v>
      </c>
      <c r="BA64" s="15">
        <v>3.4406828674918597E-4</v>
      </c>
      <c r="BB64" s="15">
        <v>0</v>
      </c>
      <c r="BC64" s="15">
        <v>2.1655639545559002E-3</v>
      </c>
      <c r="BD64" s="15">
        <v>2.93799087030539E-4</v>
      </c>
      <c r="BE64" s="15">
        <v>1.9789055511722501E-5</v>
      </c>
      <c r="BF64" s="15">
        <v>7.0369045367828299E-5</v>
      </c>
      <c r="BG64" s="15">
        <v>1.0853498312593599E-3</v>
      </c>
      <c r="BH64" s="15">
        <v>2.2510118997866099E-4</v>
      </c>
      <c r="BI64" s="15">
        <v>2.1321777570444201E-4</v>
      </c>
      <c r="BJ64" s="15">
        <v>0</v>
      </c>
      <c r="BK64" s="15">
        <v>6.16610099738452E-5</v>
      </c>
      <c r="BL64" s="15">
        <v>1.21257191431544E-6</v>
      </c>
      <c r="BM64" s="15">
        <v>1.036127589918E-4</v>
      </c>
      <c r="BN64" s="15">
        <v>3.1889517541472303E-5</v>
      </c>
      <c r="BO64" s="15">
        <v>6.6165590612829301E-5</v>
      </c>
      <c r="BP64" s="15">
        <v>7.8621846390383695E-6</v>
      </c>
      <c r="BQ64" s="15">
        <v>1.98537093857616E-5</v>
      </c>
      <c r="BR64" s="15">
        <v>2.66068912434342E-4</v>
      </c>
      <c r="BS64" s="15">
        <v>6.3187185075812494E-5</v>
      </c>
      <c r="BT64" s="15">
        <v>6.8194491109443197E-4</v>
      </c>
      <c r="BU64" s="15">
        <v>5.5410208947285502E-4</v>
      </c>
      <c r="BV64" s="15">
        <v>7.1865999775701001E-4</v>
      </c>
      <c r="BW64" s="15">
        <v>1.0406065176053201E-5</v>
      </c>
      <c r="BX64" s="15">
        <v>2.22347707901587E-4</v>
      </c>
      <c r="BY64" s="15">
        <v>1.0362661089922099E-4</v>
      </c>
      <c r="BZ64" s="15">
        <v>0</v>
      </c>
      <c r="CA64" s="15">
        <v>3.4537977089199302E-4</v>
      </c>
    </row>
    <row r="65" spans="1:79" x14ac:dyDescent="0.3">
      <c r="A65" s="7" t="s">
        <v>153</v>
      </c>
      <c r="B65" s="16">
        <v>2.3683948827651099E-4</v>
      </c>
      <c r="C65" s="16">
        <v>8.4890848268927299E-4</v>
      </c>
      <c r="D65" s="16">
        <v>9.0859344200253499E-3</v>
      </c>
      <c r="E65" s="16">
        <v>7.7889232318910104E-3</v>
      </c>
      <c r="F65" s="16">
        <v>3.35138869112446E-2</v>
      </c>
      <c r="G65" s="19">
        <v>9.9353446108615406E-3</v>
      </c>
      <c r="H65" s="16">
        <v>1.46909255325958E-2</v>
      </c>
      <c r="I65" s="16">
        <v>2.59563677544511E-2</v>
      </c>
      <c r="J65" s="16">
        <v>1.3540860643480901E-2</v>
      </c>
      <c r="K65" s="16">
        <v>1.1228942137737501E-2</v>
      </c>
      <c r="L65" s="16">
        <v>2.3194976163981001E-2</v>
      </c>
      <c r="M65" s="16">
        <v>1.9369610728847499E-2</v>
      </c>
      <c r="N65" s="16">
        <v>6.6898973545785403E-3</v>
      </c>
      <c r="O65" s="16">
        <v>3.5230038276089898E-3</v>
      </c>
      <c r="P65" s="16">
        <v>1.55539907183689E-3</v>
      </c>
      <c r="Q65" s="16">
        <v>3.0341767104651602E-3</v>
      </c>
      <c r="R65" s="16">
        <v>4.1326432044681604E-3</v>
      </c>
      <c r="S65" s="16">
        <v>2.0587431300245901E-3</v>
      </c>
      <c r="T65" s="16">
        <v>2.4258131232746298E-3</v>
      </c>
      <c r="U65" s="16">
        <v>5.1649287241719403E-3</v>
      </c>
      <c r="V65" s="16">
        <v>1.2563959040832001E-2</v>
      </c>
      <c r="W65" s="16">
        <v>7.1405135550798703E-4</v>
      </c>
      <c r="X65" s="16">
        <v>5.2000406921655301E-3</v>
      </c>
      <c r="Y65" s="16">
        <v>3.9741998526200903E-3</v>
      </c>
      <c r="Z65" s="16">
        <v>2.9909724792745898E-3</v>
      </c>
      <c r="AA65" s="16">
        <v>2.7561055406347601E-3</v>
      </c>
      <c r="AB65" s="16">
        <v>4.2328731983911697E-3</v>
      </c>
      <c r="AC65" s="16">
        <v>4.9172315695890003E-3</v>
      </c>
      <c r="AD65" s="16">
        <v>1.29369698134031E-3</v>
      </c>
      <c r="AE65" s="16">
        <v>1.2823982068017399E-3</v>
      </c>
      <c r="AF65" s="16">
        <v>3.2548735158923199E-3</v>
      </c>
      <c r="AG65" s="16">
        <v>4.3625790919265299E-3</v>
      </c>
      <c r="AH65" s="16">
        <v>9.1040292931495695E-4</v>
      </c>
      <c r="AI65" s="16">
        <v>1.2230940584816399E-2</v>
      </c>
      <c r="AJ65" s="16">
        <v>1.2462916488430001E-2</v>
      </c>
      <c r="AK65" s="16">
        <v>5.2020084544166399E-3</v>
      </c>
      <c r="AL65" s="16">
        <v>5.0516034034265803E-3</v>
      </c>
      <c r="AM65" s="16">
        <v>5.5599490689977604E-3</v>
      </c>
      <c r="AN65" s="16">
        <v>1.9088254195742599E-3</v>
      </c>
      <c r="AO65" s="16">
        <v>4.4237599040998403E-3</v>
      </c>
      <c r="AP65" s="16">
        <v>7.0821371158888605E-2</v>
      </c>
      <c r="AQ65" s="16">
        <v>1.1232748134344901E-2</v>
      </c>
      <c r="AR65" s="16">
        <v>2.38409330591536E-2</v>
      </c>
      <c r="AS65" s="16">
        <v>7.7589507310354994E-2</v>
      </c>
      <c r="AT65" s="16">
        <v>1.2443812481659801E-2</v>
      </c>
      <c r="AU65" s="16">
        <v>6.0390563893741603E-2</v>
      </c>
      <c r="AV65" s="16">
        <v>2.78840868858268E-2</v>
      </c>
      <c r="AW65" s="16">
        <v>2.7390343266876699E-2</v>
      </c>
      <c r="AX65" s="16">
        <v>5.0189508955780997E-2</v>
      </c>
      <c r="AY65" s="16">
        <v>1.7598414174780402E-2</v>
      </c>
      <c r="AZ65" s="16">
        <v>3.1125716865878499E-2</v>
      </c>
      <c r="BA65" s="16">
        <v>0.101379737842606</v>
      </c>
      <c r="BB65" s="16">
        <v>3.13078282274146E-3</v>
      </c>
      <c r="BC65" s="16">
        <v>1.9106387957453199E-2</v>
      </c>
      <c r="BD65" s="16">
        <v>2.4252826596050301E-2</v>
      </c>
      <c r="BE65" s="16">
        <v>2.3322371413198002E-2</v>
      </c>
      <c r="BF65" s="16">
        <v>1.6991951056558902E-2</v>
      </c>
      <c r="BG65" s="16">
        <v>2.30219003613347E-2</v>
      </c>
      <c r="BH65" s="16">
        <v>9.6195789889360597E-4</v>
      </c>
      <c r="BI65" s="16">
        <v>2.6734420895166498E-2</v>
      </c>
      <c r="BJ65" s="16">
        <v>5.7671157410766297E-2</v>
      </c>
      <c r="BK65" s="16">
        <v>1.39464497968166E-2</v>
      </c>
      <c r="BL65" s="16">
        <v>2.3284509972699898E-3</v>
      </c>
      <c r="BM65" s="16">
        <v>9.2977800302754994E-3</v>
      </c>
      <c r="BN65" s="16">
        <v>1.3146590733929001E-2</v>
      </c>
      <c r="BO65" s="16">
        <v>1.13797579162884E-2</v>
      </c>
      <c r="BP65" s="16">
        <v>6.0108585505625799E-3</v>
      </c>
      <c r="BQ65" s="16">
        <v>1.2364619205264901E-2</v>
      </c>
      <c r="BR65" s="16">
        <v>3.9998690917509997E-3</v>
      </c>
      <c r="BS65" s="16">
        <v>1.30963261265794E-2</v>
      </c>
      <c r="BT65" s="16">
        <v>1.0243380643334601E-2</v>
      </c>
      <c r="BU65" s="16">
        <v>4.2779561219411198E-3</v>
      </c>
      <c r="BV65" s="16">
        <v>3.2692041408440898E-3</v>
      </c>
      <c r="BW65" s="16">
        <v>3.08410480639402E-3</v>
      </c>
      <c r="BX65" s="16">
        <v>3.7749959373231702E-3</v>
      </c>
      <c r="BY65" s="16">
        <v>5.5476260963926799E-2</v>
      </c>
      <c r="BZ65" s="16">
        <v>0</v>
      </c>
      <c r="CA65" s="16">
        <v>4.8028491260917801E-2</v>
      </c>
    </row>
    <row r="66" spans="1:79" x14ac:dyDescent="0.3">
      <c r="A66" s="8" t="s">
        <v>154</v>
      </c>
      <c r="B66" s="15">
        <v>8.7281703516958001E-7</v>
      </c>
      <c r="C66" s="15">
        <v>7.6694980462074796E-8</v>
      </c>
      <c r="D66" s="15">
        <v>0</v>
      </c>
      <c r="E66" s="15">
        <v>0</v>
      </c>
      <c r="F66" s="15">
        <v>0</v>
      </c>
      <c r="G66" s="19">
        <v>2.0427862931227E-2</v>
      </c>
      <c r="H66" s="15">
        <v>1.61854159286598E-4</v>
      </c>
      <c r="I66" s="15">
        <v>1.2507863921884301E-2</v>
      </c>
      <c r="J66" s="15">
        <v>0</v>
      </c>
      <c r="K66" s="15">
        <v>7.6543579376497908E-9</v>
      </c>
      <c r="L66" s="15">
        <v>2.0049727329569199E-4</v>
      </c>
      <c r="M66" s="15">
        <v>6.4342919556660894E-5</v>
      </c>
      <c r="N66" s="15">
        <v>6.5918843947688794E-5</v>
      </c>
      <c r="O66" s="15">
        <v>2.17464318562761E-5</v>
      </c>
      <c r="P66" s="15">
        <v>0</v>
      </c>
      <c r="Q66" s="15">
        <v>0</v>
      </c>
      <c r="R66" s="15">
        <v>0</v>
      </c>
      <c r="S66" s="15">
        <v>0</v>
      </c>
      <c r="T66" s="15">
        <v>1.1161682586593099E-7</v>
      </c>
      <c r="U66" s="15">
        <v>1.6556558253299901E-7</v>
      </c>
      <c r="V66" s="15">
        <v>6.5201211228929305E-7</v>
      </c>
      <c r="W66" s="15">
        <v>4.0499695409785499E-2</v>
      </c>
      <c r="X66" s="15">
        <v>9.3920923092765396E-3</v>
      </c>
      <c r="Y66" s="15">
        <v>2.7749378581560902E-6</v>
      </c>
      <c r="Z66" s="15">
        <v>0</v>
      </c>
      <c r="AA66" s="15">
        <v>1.0389667592848499E-3</v>
      </c>
      <c r="AB66" s="15">
        <v>2.41769505080431E-7</v>
      </c>
      <c r="AC66" s="15">
        <v>9.4844278498682801E-8</v>
      </c>
      <c r="AD66" s="15">
        <v>3.3386455513861803E-8</v>
      </c>
      <c r="AE66" s="15">
        <v>1.72095487381132E-7</v>
      </c>
      <c r="AF66" s="15">
        <v>2.9448667318796999E-7</v>
      </c>
      <c r="AG66" s="15">
        <v>1.95645646720598E-7</v>
      </c>
      <c r="AH66" s="15">
        <v>1.5909564363152799E-5</v>
      </c>
      <c r="AI66" s="15">
        <v>1.8885936055134701E-2</v>
      </c>
      <c r="AJ66" s="15">
        <v>1.1356875245746899E-2</v>
      </c>
      <c r="AK66" s="15">
        <v>4.0911617185403799E-5</v>
      </c>
      <c r="AL66" s="15">
        <v>5.7877297909751202E-4</v>
      </c>
      <c r="AM66" s="15">
        <v>7.8828014242453596E-4</v>
      </c>
      <c r="AN66" s="15">
        <v>3.9407216714219301E-5</v>
      </c>
      <c r="AO66" s="15">
        <v>1.54935377073822E-3</v>
      </c>
      <c r="AP66" s="15">
        <v>0</v>
      </c>
      <c r="AQ66" s="15">
        <v>4.2503514674111902E-4</v>
      </c>
      <c r="AR66" s="15">
        <v>5.1804066485794799E-4</v>
      </c>
      <c r="AS66" s="15">
        <v>1.265950723889E-3</v>
      </c>
      <c r="AT66" s="15">
        <v>3.3409903105091399E-3</v>
      </c>
      <c r="AU66" s="15">
        <v>5.1004459129053604E-4</v>
      </c>
      <c r="AV66" s="15">
        <v>1.69823328995897E-3</v>
      </c>
      <c r="AW66" s="15">
        <v>7.3522794254903304E-4</v>
      </c>
      <c r="AX66" s="15">
        <v>1.16752518361665E-2</v>
      </c>
      <c r="AY66" s="15">
        <v>1.9079548353156E-3</v>
      </c>
      <c r="AZ66" s="15">
        <v>1.48151601123247E-3</v>
      </c>
      <c r="BA66" s="15">
        <v>1.00681996172369E-3</v>
      </c>
      <c r="BB66" s="15">
        <v>6.9545133563051703E-8</v>
      </c>
      <c r="BC66" s="15">
        <v>5.0300611615162498E-3</v>
      </c>
      <c r="BD66" s="15">
        <v>3.4966305250583897E-2</v>
      </c>
      <c r="BE66" s="15">
        <v>5.07985397159786E-2</v>
      </c>
      <c r="BF66" s="15">
        <v>1.5237272737776101E-4</v>
      </c>
      <c r="BG66" s="15">
        <v>0</v>
      </c>
      <c r="BH66" s="15">
        <v>0</v>
      </c>
      <c r="BI66" s="15">
        <v>6.2964218131980002E-4</v>
      </c>
      <c r="BJ66" s="15">
        <v>8.7215837536652505E-2</v>
      </c>
      <c r="BK66" s="15">
        <v>5.0399583228537296E-3</v>
      </c>
      <c r="BL66" s="15">
        <v>1.77833450040121E-3</v>
      </c>
      <c r="BM66" s="15">
        <v>7.1503417876127199E-6</v>
      </c>
      <c r="BN66" s="15">
        <v>4.3880786243888797E-7</v>
      </c>
      <c r="BO66" s="15">
        <v>5.5583019622044E-7</v>
      </c>
      <c r="BP66" s="15">
        <v>0</v>
      </c>
      <c r="BQ66" s="15">
        <v>1.0898920582688099E-5</v>
      </c>
      <c r="BR66" s="15">
        <v>8.0238402073086598E-4</v>
      </c>
      <c r="BS66" s="15">
        <v>3.1280784690996302E-7</v>
      </c>
      <c r="BT66" s="15">
        <v>1.2994875318999501E-3</v>
      </c>
      <c r="BU66" s="15">
        <v>4.0441468934022803E-3</v>
      </c>
      <c r="BV66" s="15">
        <v>1.14832007303278E-5</v>
      </c>
      <c r="BW66" s="15">
        <v>6.8537163961018101E-7</v>
      </c>
      <c r="BX66" s="15">
        <v>0</v>
      </c>
      <c r="BY66" s="15">
        <v>8.81687639298334E-5</v>
      </c>
      <c r="BZ66" s="15">
        <v>0</v>
      </c>
      <c r="CA66" s="15">
        <v>5.8417724886319796E-6</v>
      </c>
    </row>
    <row r="67" spans="1:79" x14ac:dyDescent="0.3">
      <c r="A67" s="7" t="s">
        <v>155</v>
      </c>
      <c r="B67" s="16">
        <v>2.60673544060713E-7</v>
      </c>
      <c r="C67" s="16">
        <v>3.5529151527952102E-4</v>
      </c>
      <c r="D67" s="16">
        <v>0</v>
      </c>
      <c r="E67" s="16">
        <v>2.0663232269720801E-2</v>
      </c>
      <c r="F67" s="16">
        <v>3.8371323345481399E-2</v>
      </c>
      <c r="G67" s="19">
        <v>3.1089382251741102E-3</v>
      </c>
      <c r="H67" s="16">
        <v>3.9287754341145099E-2</v>
      </c>
      <c r="I67" s="16">
        <v>2.7673903938823002E-2</v>
      </c>
      <c r="J67" s="16">
        <v>8.1277945670509295E-3</v>
      </c>
      <c r="K67" s="16">
        <v>3.13024537302554E-3</v>
      </c>
      <c r="L67" s="16">
        <v>1.2279008617843401E-2</v>
      </c>
      <c r="M67" s="16">
        <v>4.0121600046387302E-3</v>
      </c>
      <c r="N67" s="16">
        <v>1.31377699698086E-2</v>
      </c>
      <c r="O67" s="16">
        <v>2.4151241655119199E-2</v>
      </c>
      <c r="P67" s="16">
        <v>2.3548729798428199E-2</v>
      </c>
      <c r="Q67" s="16">
        <v>1.8277928419469999E-2</v>
      </c>
      <c r="R67" s="16">
        <v>2.1915198196736901E-2</v>
      </c>
      <c r="S67" s="16">
        <v>2.03749699493849E-2</v>
      </c>
      <c r="T67" s="16">
        <v>9.3688261594390299E-3</v>
      </c>
      <c r="U67" s="16">
        <v>2.7579280070280699E-2</v>
      </c>
      <c r="V67" s="16">
        <v>3.4825026437053597E-2</v>
      </c>
      <c r="W67" s="16">
        <v>4.4884410322484202E-3</v>
      </c>
      <c r="X67" s="16">
        <v>1.53336625473656E-2</v>
      </c>
      <c r="Y67" s="16">
        <v>4.22626724810828E-2</v>
      </c>
      <c r="Z67" s="16">
        <v>2.7071389209715899E-2</v>
      </c>
      <c r="AA67" s="16">
        <v>2.3646205303364701E-2</v>
      </c>
      <c r="AB67" s="16">
        <v>2.1211592935117599E-2</v>
      </c>
      <c r="AC67" s="16">
        <v>1.9699998595139899E-2</v>
      </c>
      <c r="AD67" s="16">
        <v>6.5977223110055896E-3</v>
      </c>
      <c r="AE67" s="16">
        <v>2.0383125562806501E-2</v>
      </c>
      <c r="AF67" s="16">
        <v>1.45775867010919E-2</v>
      </c>
      <c r="AG67" s="16">
        <v>1.1532100769623599E-2</v>
      </c>
      <c r="AH67" s="16">
        <v>6.9987988907524402E-3</v>
      </c>
      <c r="AI67" s="16">
        <v>4.60800783213575E-2</v>
      </c>
      <c r="AJ67" s="16">
        <v>2.2854684877877798E-2</v>
      </c>
      <c r="AK67" s="16">
        <v>3.3353224242545297E-2</v>
      </c>
      <c r="AL67" s="16">
        <v>2.2843055678715501E-2</v>
      </c>
      <c r="AM67" s="16">
        <v>1.13394251001893E-2</v>
      </c>
      <c r="AN67" s="16">
        <v>2.6089585404406599E-3</v>
      </c>
      <c r="AO67" s="16">
        <v>6.06378535883204E-3</v>
      </c>
      <c r="AP67" s="16">
        <v>4.6231398547868299E-2</v>
      </c>
      <c r="AQ67" s="16">
        <v>2.2488766119262298E-2</v>
      </c>
      <c r="AR67" s="16">
        <v>3.70109448573629E-2</v>
      </c>
      <c r="AS67" s="16">
        <v>9.8221441325736306E-3</v>
      </c>
      <c r="AT67" s="16">
        <v>2.57058836476362E-2</v>
      </c>
      <c r="AU67" s="16">
        <v>4.8762495136917501E-2</v>
      </c>
      <c r="AV67" s="16">
        <v>6.6363483816973504E-2</v>
      </c>
      <c r="AW67" s="16">
        <v>2.5849693654315602E-2</v>
      </c>
      <c r="AX67" s="16">
        <v>7.4441842503116903E-2</v>
      </c>
      <c r="AY67" s="16">
        <v>6.6264112266920097E-2</v>
      </c>
      <c r="AZ67" s="16">
        <v>0.111828516173272</v>
      </c>
      <c r="BA67" s="16">
        <v>7.8278108029209106E-2</v>
      </c>
      <c r="BB67" s="16">
        <v>1.3974955499228101E-2</v>
      </c>
      <c r="BC67" s="16">
        <v>9.7870822056382506E-2</v>
      </c>
      <c r="BD67" s="16">
        <v>0.12190496490319699</v>
      </c>
      <c r="BE67" s="16">
        <v>0.122568833264091</v>
      </c>
      <c r="BF67" s="16">
        <v>3.9448550457655404E-3</v>
      </c>
      <c r="BG67" s="16">
        <v>2.4939912894592599E-2</v>
      </c>
      <c r="BH67" s="16">
        <v>9.2421758026086103E-4</v>
      </c>
      <c r="BI67" s="16">
        <v>2.2588219091534301E-2</v>
      </c>
      <c r="BJ67" s="16">
        <v>1.36472475702585E-2</v>
      </c>
      <c r="BK67" s="16">
        <v>2.0629702547682E-2</v>
      </c>
      <c r="BL67" s="16">
        <v>2.5013559292067701E-2</v>
      </c>
      <c r="BM67" s="16">
        <v>1.3814142497100499E-2</v>
      </c>
      <c r="BN67" s="16">
        <v>2.2351384503924002E-2</v>
      </c>
      <c r="BO67" s="16">
        <v>3.1409633070025603E-2</v>
      </c>
      <c r="BP67" s="16">
        <v>1.4701193304913001E-2</v>
      </c>
      <c r="BQ67" s="16">
        <v>6.0969622175073401E-2</v>
      </c>
      <c r="BR67" s="16">
        <v>4.2764578463717798E-2</v>
      </c>
      <c r="BS67" s="16">
        <v>0.100371201251732</v>
      </c>
      <c r="BT67" s="16">
        <v>5.68547586584787E-2</v>
      </c>
      <c r="BU67" s="16">
        <v>7.3265087238142707E-2</v>
      </c>
      <c r="BV67" s="16">
        <v>3.0549880149835899E-2</v>
      </c>
      <c r="BW67" s="16">
        <v>7.29185228312473E-3</v>
      </c>
      <c r="BX67" s="16">
        <v>5.6824430223758699E-3</v>
      </c>
      <c r="BY67" s="16">
        <v>2.95773431867088E-2</v>
      </c>
      <c r="BZ67" s="16">
        <v>0</v>
      </c>
      <c r="CA67" s="16">
        <v>4.7011322968481102E-2</v>
      </c>
    </row>
    <row r="68" spans="1:79" x14ac:dyDescent="0.3">
      <c r="A68" s="8" t="s">
        <v>156</v>
      </c>
      <c r="B68" s="15">
        <v>1.46445811270064E-9</v>
      </c>
      <c r="C68" s="15">
        <v>0</v>
      </c>
      <c r="D68" s="15">
        <v>0</v>
      </c>
      <c r="E68" s="15">
        <v>0</v>
      </c>
      <c r="F68" s="15">
        <v>0</v>
      </c>
      <c r="G68" s="19">
        <v>2.25597864373305E-9</v>
      </c>
      <c r="H68" s="15">
        <v>3.1063781743061903E-5</v>
      </c>
      <c r="I68" s="15">
        <v>0</v>
      </c>
      <c r="J68" s="15">
        <v>0</v>
      </c>
      <c r="K68" s="15">
        <v>6.3077267456790602E-4</v>
      </c>
      <c r="L68" s="15">
        <v>3.86172940808232E-3</v>
      </c>
      <c r="M68" s="15">
        <v>1.80363604692996E-5</v>
      </c>
      <c r="N68" s="15">
        <v>1.1715027721894301E-3</v>
      </c>
      <c r="O68" s="15">
        <v>1.03287580067275E-3</v>
      </c>
      <c r="P68" s="15">
        <v>6.0745911807728595E-8</v>
      </c>
      <c r="Q68" s="15">
        <v>0</v>
      </c>
      <c r="R68" s="15">
        <v>0</v>
      </c>
      <c r="S68" s="15">
        <v>0</v>
      </c>
      <c r="T68" s="15">
        <v>2.8595114618593001E-4</v>
      </c>
      <c r="U68" s="15">
        <v>8.2879026261346996E-4</v>
      </c>
      <c r="V68" s="15">
        <v>8.5191204007312995E-4</v>
      </c>
      <c r="W68" s="15">
        <v>8.6532999620889703E-5</v>
      </c>
      <c r="X68" s="15">
        <v>3.9964943980610302E-4</v>
      </c>
      <c r="Y68" s="15">
        <v>3.4740150321273201E-4</v>
      </c>
      <c r="Z68" s="15">
        <v>7.5391137135528501E-9</v>
      </c>
      <c r="AA68" s="15">
        <v>9.8349420225371108E-4</v>
      </c>
      <c r="AB68" s="15">
        <v>6.6010678927843301E-4</v>
      </c>
      <c r="AC68" s="15">
        <v>5.0880461151651295E-4</v>
      </c>
      <c r="AD68" s="15">
        <v>1.3326986213409099E-4</v>
      </c>
      <c r="AE68" s="15">
        <v>1.78369597149656E-4</v>
      </c>
      <c r="AF68" s="15">
        <v>9.1406379182349502E-4</v>
      </c>
      <c r="AG68" s="15">
        <v>1.9455872646103901E-4</v>
      </c>
      <c r="AH68" s="15">
        <v>7.6091522445590804E-5</v>
      </c>
      <c r="AI68" s="15">
        <v>5.2426755477023802E-6</v>
      </c>
      <c r="AJ68" s="15">
        <v>7.7846906980619796E-8</v>
      </c>
      <c r="AK68" s="15">
        <v>3.1503557985622498E-3</v>
      </c>
      <c r="AL68" s="15">
        <v>3.0826976298372701E-3</v>
      </c>
      <c r="AM68" s="15">
        <v>7.6188586141782402E-4</v>
      </c>
      <c r="AN68" s="15">
        <v>2.0529940401300099E-4</v>
      </c>
      <c r="AO68" s="15">
        <v>1.1669292235034899E-3</v>
      </c>
      <c r="AP68" s="15">
        <v>1.1333144724084501E-2</v>
      </c>
      <c r="AQ68" s="15">
        <v>3.0250805744317099E-4</v>
      </c>
      <c r="AR68" s="15">
        <v>2.6401958089791598E-3</v>
      </c>
      <c r="AS68" s="15">
        <v>2.46206997236348E-3</v>
      </c>
      <c r="AT68" s="15">
        <v>1.43680589414612E-3</v>
      </c>
      <c r="AU68" s="15">
        <v>3.6437762955430801E-3</v>
      </c>
      <c r="AV68" s="15">
        <v>2.0582787208434398E-3</v>
      </c>
      <c r="AW68" s="15">
        <v>2.4332645000372799E-3</v>
      </c>
      <c r="AX68" s="15">
        <v>7.2888076905908402E-3</v>
      </c>
      <c r="AY68" s="15">
        <v>7.8881254424485302E-3</v>
      </c>
      <c r="AZ68" s="15">
        <v>1.4542743470147099E-3</v>
      </c>
      <c r="BA68" s="15">
        <v>3.7732250381545297E-2</v>
      </c>
      <c r="BB68" s="15">
        <v>0</v>
      </c>
      <c r="BC68" s="15">
        <v>7.33683256012794E-8</v>
      </c>
      <c r="BD68" s="15">
        <v>2.6670214872053201E-8</v>
      </c>
      <c r="BE68" s="15">
        <v>2.8513291601427902E-3</v>
      </c>
      <c r="BF68" s="15">
        <v>6.7229195472233297E-4</v>
      </c>
      <c r="BG68" s="15">
        <v>4.5414328052299302E-4</v>
      </c>
      <c r="BH68" s="15">
        <v>3.6339564494732702E-5</v>
      </c>
      <c r="BI68" s="15">
        <v>4.9892717130746802E-4</v>
      </c>
      <c r="BJ68" s="15">
        <v>0</v>
      </c>
      <c r="BK68" s="15">
        <v>8.9567147591892599E-9</v>
      </c>
      <c r="BL68" s="15">
        <v>2.6089853769303299E-5</v>
      </c>
      <c r="BM68" s="15">
        <v>2.93047277022026E-5</v>
      </c>
      <c r="BN68" s="15">
        <v>1.51978852858979E-3</v>
      </c>
      <c r="BO68" s="15">
        <v>6.2560759324557205E-4</v>
      </c>
      <c r="BP68" s="15">
        <v>1.7471521420085301E-6</v>
      </c>
      <c r="BQ68" s="15">
        <v>2.1367775650491799E-4</v>
      </c>
      <c r="BR68" s="15">
        <v>7.1375949678340197E-4</v>
      </c>
      <c r="BS68" s="15">
        <v>5.6070806558610797E-5</v>
      </c>
      <c r="BT68" s="15">
        <v>4.7550290869818097E-5</v>
      </c>
      <c r="BU68" s="15">
        <v>5.33833759060293E-5</v>
      </c>
      <c r="BV68" s="15">
        <v>2.9742309711624297E-7</v>
      </c>
      <c r="BW68" s="15">
        <v>1.93062433693009E-7</v>
      </c>
      <c r="BX68" s="15">
        <v>2.72747596030756E-5</v>
      </c>
      <c r="BY68" s="15">
        <v>5.3012101843572902E-7</v>
      </c>
      <c r="BZ68" s="15">
        <v>0</v>
      </c>
      <c r="CA68" s="15">
        <v>1.9384745455690801E-4</v>
      </c>
    </row>
    <row r="69" spans="1:79" x14ac:dyDescent="0.3">
      <c r="A69" s="7" t="s">
        <v>157</v>
      </c>
      <c r="B69" s="16">
        <v>2.57744627835312E-7</v>
      </c>
      <c r="C69" s="16">
        <v>1.15849786276924E-6</v>
      </c>
      <c r="D69" s="16">
        <v>0</v>
      </c>
      <c r="E69" s="16">
        <v>6.9213204747677596E-5</v>
      </c>
      <c r="F69" s="16">
        <v>8.1268352004433401E-4</v>
      </c>
      <c r="G69" s="19">
        <v>5.1980003930253198E-5</v>
      </c>
      <c r="H69" s="16">
        <v>3.8322273034322402E-5</v>
      </c>
      <c r="I69" s="16">
        <v>5.81949672246925E-6</v>
      </c>
      <c r="J69" s="16">
        <v>6.9037224480047499E-6</v>
      </c>
      <c r="K69" s="16">
        <v>1.14590522300328E-5</v>
      </c>
      <c r="L69" s="16">
        <v>7.2885699202243593E-5</v>
      </c>
      <c r="M69" s="16">
        <v>1.5936438566379499E-5</v>
      </c>
      <c r="N69" s="16">
        <v>7.1807860555313599E-5</v>
      </c>
      <c r="O69" s="16">
        <v>5.5751353633516102E-5</v>
      </c>
      <c r="P69" s="16">
        <v>0</v>
      </c>
      <c r="Q69" s="16">
        <v>1.5760939959009299E-4</v>
      </c>
      <c r="R69" s="16">
        <v>1.8822723855630099E-5</v>
      </c>
      <c r="S69" s="16">
        <v>8.5112743640273692E-6</v>
      </c>
      <c r="T69" s="16">
        <v>1.4074881741694E-5</v>
      </c>
      <c r="U69" s="16">
        <v>5.8417056370393298E-5</v>
      </c>
      <c r="V69" s="16">
        <v>6.5620361872543905E-5</v>
      </c>
      <c r="W69" s="16">
        <v>0</v>
      </c>
      <c r="X69" s="16">
        <v>4.0590067925090102E-5</v>
      </c>
      <c r="Y69" s="16">
        <v>1.9989729168118501E-7</v>
      </c>
      <c r="Z69" s="16">
        <v>4.3425294990064399E-6</v>
      </c>
      <c r="AA69" s="16">
        <v>4.5222822667817503E-5</v>
      </c>
      <c r="AB69" s="16">
        <v>4.0172732924816203E-5</v>
      </c>
      <c r="AC69" s="16">
        <v>5.1199271042183701E-5</v>
      </c>
      <c r="AD69" s="16">
        <v>1.71956939124145E-4</v>
      </c>
      <c r="AE69" s="16">
        <v>1.4932315688900399E-4</v>
      </c>
      <c r="AF69" s="16">
        <v>1.01726823062824E-3</v>
      </c>
      <c r="AG69" s="16">
        <v>1.8948643191643099E-5</v>
      </c>
      <c r="AH69" s="16">
        <v>2.86363335819788E-5</v>
      </c>
      <c r="AI69" s="16">
        <v>3.0991696100494502E-6</v>
      </c>
      <c r="AJ69" s="16">
        <v>1.9496325370479701E-6</v>
      </c>
      <c r="AK69" s="16">
        <v>8.5647638048463003E-4</v>
      </c>
      <c r="AL69" s="16">
        <v>1.68706135594351E-5</v>
      </c>
      <c r="AM69" s="16">
        <v>2.2316862596477599E-5</v>
      </c>
      <c r="AN69" s="16">
        <v>6.9210617000952306E-5</v>
      </c>
      <c r="AO69" s="16">
        <v>1.4440178331357701E-4</v>
      </c>
      <c r="AP69" s="16">
        <v>5.9136831431750604E-4</v>
      </c>
      <c r="AQ69" s="16">
        <v>3.0189027379965198E-4</v>
      </c>
      <c r="AR69" s="16">
        <v>6.9828515487833204E-4</v>
      </c>
      <c r="AS69" s="16">
        <v>3.9734517882064401E-4</v>
      </c>
      <c r="AT69" s="16">
        <v>5.1689519469477296E-4</v>
      </c>
      <c r="AU69" s="16">
        <v>1.3564953918786E-3</v>
      </c>
      <c r="AV69" s="16">
        <v>7.2061485563290899E-4</v>
      </c>
      <c r="AW69" s="16">
        <v>7.70445219334716E-4</v>
      </c>
      <c r="AX69" s="16">
        <v>3.8975006366072297E-4</v>
      </c>
      <c r="AY69" s="16">
        <v>1.70356465108407E-3</v>
      </c>
      <c r="AZ69" s="16">
        <v>4.2057566609766001E-4</v>
      </c>
      <c r="BA69" s="16">
        <v>8.6480174565772405E-4</v>
      </c>
      <c r="BB69" s="16">
        <v>2.0863540068915499E-7</v>
      </c>
      <c r="BC69" s="16">
        <v>5.0331734671544401E-5</v>
      </c>
      <c r="BD69" s="16">
        <v>1.8135746112996199E-6</v>
      </c>
      <c r="BE69" s="16">
        <v>1.9133222259893002E-6</v>
      </c>
      <c r="BF69" s="16">
        <v>3.4022587999472698E-4</v>
      </c>
      <c r="BG69" s="16">
        <v>9.0317383688933903E-4</v>
      </c>
      <c r="BH69" s="16">
        <v>1.2126528680510999E-5</v>
      </c>
      <c r="BI69" s="16">
        <v>1.2434321016021801E-3</v>
      </c>
      <c r="BJ69" s="16">
        <v>0</v>
      </c>
      <c r="BK69" s="16">
        <v>7.2419318147319003E-4</v>
      </c>
      <c r="BL69" s="16">
        <v>4.4982506498798697E-6</v>
      </c>
      <c r="BM69" s="16">
        <v>9.23668379802495E-4</v>
      </c>
      <c r="BN69" s="16">
        <v>3.9934047065760602E-4</v>
      </c>
      <c r="BO69" s="16">
        <v>1.6714794877165499E-4</v>
      </c>
      <c r="BP69" s="16">
        <v>1.6065063945768399E-3</v>
      </c>
      <c r="BQ69" s="16">
        <v>4.1250941578368702E-4</v>
      </c>
      <c r="BR69" s="16">
        <v>3.1601599917584298E-4</v>
      </c>
      <c r="BS69" s="16">
        <v>1.6203446469936101E-3</v>
      </c>
      <c r="BT69" s="16">
        <v>9.3911323516659604E-4</v>
      </c>
      <c r="BU69" s="16">
        <v>9.6917274938824902E-6</v>
      </c>
      <c r="BV69" s="16">
        <v>1.47987056398479E-5</v>
      </c>
      <c r="BW69" s="16">
        <v>7.6452723742431504E-6</v>
      </c>
      <c r="BX69" s="16">
        <v>3.2006323840799299E-6</v>
      </c>
      <c r="BY69" s="16">
        <v>1.08079627454081E-3</v>
      </c>
      <c r="BZ69" s="16">
        <v>0</v>
      </c>
      <c r="CA69" s="16">
        <v>1.9910788300656099E-3</v>
      </c>
    </row>
    <row r="70" spans="1:79" x14ac:dyDescent="0.3">
      <c r="A70" s="8" t="s">
        <v>158</v>
      </c>
      <c r="B70" s="15">
        <v>2.00630761439987E-7</v>
      </c>
      <c r="C70" s="15">
        <v>1.6146311676226299E-8</v>
      </c>
      <c r="D70" s="15">
        <v>0</v>
      </c>
      <c r="E70" s="15">
        <v>0</v>
      </c>
      <c r="F70" s="15">
        <v>0</v>
      </c>
      <c r="G70" s="19">
        <v>2.18829928442106E-7</v>
      </c>
      <c r="H70" s="15">
        <v>5.2784716152714296E-6</v>
      </c>
      <c r="I70" s="15">
        <v>0</v>
      </c>
      <c r="J70" s="15">
        <v>0</v>
      </c>
      <c r="K70" s="15">
        <v>8.8503513654075703E-7</v>
      </c>
      <c r="L70" s="15">
        <v>4.9808395813375199E-7</v>
      </c>
      <c r="M70" s="15">
        <v>0</v>
      </c>
      <c r="N70" s="15">
        <v>3.55490669446855E-8</v>
      </c>
      <c r="O70" s="15">
        <v>1.0771959508755699E-8</v>
      </c>
      <c r="P70" s="15">
        <v>0</v>
      </c>
      <c r="Q70" s="15">
        <v>0</v>
      </c>
      <c r="R70" s="15">
        <v>1.15335317742832E-8</v>
      </c>
      <c r="S70" s="15">
        <v>0</v>
      </c>
      <c r="T70" s="15">
        <v>1.11616825865931E-8</v>
      </c>
      <c r="U70" s="15">
        <v>3.7942112663812401E-8</v>
      </c>
      <c r="V70" s="15">
        <v>6.4036903885555597E-7</v>
      </c>
      <c r="W70" s="15">
        <v>0</v>
      </c>
      <c r="X70" s="15">
        <v>6.2691513056712198E-9</v>
      </c>
      <c r="Y70" s="15">
        <v>0</v>
      </c>
      <c r="Z70" s="15">
        <v>0</v>
      </c>
      <c r="AA70" s="15">
        <v>2.14600619770451E-7</v>
      </c>
      <c r="AB70" s="15">
        <v>1.03336965881152E-7</v>
      </c>
      <c r="AC70" s="15">
        <v>1.6639347105032101E-8</v>
      </c>
      <c r="AD70" s="15">
        <v>7.3032871436572798E-9</v>
      </c>
      <c r="AE70" s="15">
        <v>3.7697106759676498E-8</v>
      </c>
      <c r="AF70" s="15">
        <v>1.4810297242063899E-7</v>
      </c>
      <c r="AG70" s="15">
        <v>4.3476810382355098E-8</v>
      </c>
      <c r="AH70" s="15">
        <v>4.4113584813954903E-9</v>
      </c>
      <c r="AI70" s="15">
        <v>1.7275192921122901E-9</v>
      </c>
      <c r="AJ70" s="15">
        <v>1.7427327576061399E-6</v>
      </c>
      <c r="AK70" s="15">
        <v>0</v>
      </c>
      <c r="AL70" s="15">
        <v>0</v>
      </c>
      <c r="AM70" s="15">
        <v>0</v>
      </c>
      <c r="AN70" s="15">
        <v>9.5205742709160305E-4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5.0573482753372798E-6</v>
      </c>
      <c r="AX70" s="15">
        <v>7.7305067596765901E-8</v>
      </c>
      <c r="AY70" s="15">
        <v>0</v>
      </c>
      <c r="AZ70" s="15">
        <v>0</v>
      </c>
      <c r="BA70" s="15">
        <v>0</v>
      </c>
      <c r="BB70" s="15">
        <v>1.3909026712610301E-7</v>
      </c>
      <c r="BC70" s="15">
        <v>2.2414555125724198E-6</v>
      </c>
      <c r="BD70" s="15">
        <v>1.1201490246262401E-6</v>
      </c>
      <c r="BE70" s="15">
        <v>1.41688183224983E-2</v>
      </c>
      <c r="BF70" s="15">
        <v>9.8484285119851799E-8</v>
      </c>
      <c r="BG70" s="15">
        <v>1.3337541278208299E-7</v>
      </c>
      <c r="BH70" s="15">
        <v>0</v>
      </c>
      <c r="BI70" s="15">
        <v>4.4533809676566001E-6</v>
      </c>
      <c r="BJ70" s="15">
        <v>1.0025064860836399E-5</v>
      </c>
      <c r="BK70" s="15">
        <v>1.2290603030665299E-6</v>
      </c>
      <c r="BL70" s="15">
        <v>0</v>
      </c>
      <c r="BM70" s="15">
        <v>1.97392203937911E-5</v>
      </c>
      <c r="BN70" s="15">
        <v>3.5258802449856402E-3</v>
      </c>
      <c r="BO70" s="15">
        <v>1.23458823458225E-2</v>
      </c>
      <c r="BP70" s="15">
        <v>3.66351596897058E-2</v>
      </c>
      <c r="BQ70" s="15">
        <v>7.8339673755835196E-4</v>
      </c>
      <c r="BR70" s="15">
        <v>0</v>
      </c>
      <c r="BS70" s="15">
        <v>4.6921177036494401E-7</v>
      </c>
      <c r="BT70" s="15">
        <v>2.4045659099781602E-7</v>
      </c>
      <c r="BU70" s="15">
        <v>1.20049742520231E-4</v>
      </c>
      <c r="BV70" s="15">
        <v>7.1686592638273896E-7</v>
      </c>
      <c r="BW70" s="15">
        <v>4.00604549912993E-7</v>
      </c>
      <c r="BX70" s="15">
        <v>1.19520118398509E-6</v>
      </c>
      <c r="BY70" s="15">
        <v>7.1988024662579205E-5</v>
      </c>
      <c r="BZ70" s="15">
        <v>0</v>
      </c>
      <c r="CA70" s="15">
        <v>8.1137005229446094E-6</v>
      </c>
    </row>
    <row r="71" spans="1:79" x14ac:dyDescent="0.3">
      <c r="A71" s="7" t="s">
        <v>159</v>
      </c>
      <c r="B71" s="16">
        <v>6.0042782620726106E-8</v>
      </c>
      <c r="C71" s="16">
        <v>4.0365779190565699E-9</v>
      </c>
      <c r="D71" s="16">
        <v>0</v>
      </c>
      <c r="E71" s="16">
        <v>0</v>
      </c>
      <c r="F71" s="16">
        <v>0</v>
      </c>
      <c r="G71" s="19">
        <v>6.6551369990125002E-8</v>
      </c>
      <c r="H71" s="16">
        <v>0</v>
      </c>
      <c r="I71" s="16">
        <v>0</v>
      </c>
      <c r="J71" s="16">
        <v>0</v>
      </c>
      <c r="K71" s="16">
        <v>6.8889221438848097E-8</v>
      </c>
      <c r="L71" s="16">
        <v>1.76001398633835E-7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1.0347848908312499E-8</v>
      </c>
      <c r="V71" s="16">
        <v>8.1501514036161605E-8</v>
      </c>
      <c r="W71" s="16">
        <v>0</v>
      </c>
      <c r="X71" s="16">
        <v>5.8008457031375802E-5</v>
      </c>
      <c r="Y71" s="16">
        <v>0</v>
      </c>
      <c r="Z71" s="16">
        <v>0</v>
      </c>
      <c r="AA71" s="16">
        <v>1.0219077131926201E-8</v>
      </c>
      <c r="AB71" s="16">
        <v>1.3648278512605E-8</v>
      </c>
      <c r="AC71" s="16">
        <v>3.3278694210064099E-9</v>
      </c>
      <c r="AD71" s="16">
        <v>1.56499010221227E-9</v>
      </c>
      <c r="AE71" s="16">
        <v>1.1473032492075501E-8</v>
      </c>
      <c r="AF71" s="16">
        <v>5.1823759835414303E-8</v>
      </c>
      <c r="AG71" s="16">
        <v>1.4492270127451699E-8</v>
      </c>
      <c r="AH71" s="16">
        <v>2.2056792406977402E-9</v>
      </c>
      <c r="AI71" s="16">
        <v>0</v>
      </c>
      <c r="AJ71" s="16">
        <v>5.7433718039035103E-8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1.8982763834599301E-6</v>
      </c>
      <c r="AX71" s="16">
        <v>2.20871621705045E-8</v>
      </c>
      <c r="AY71" s="16">
        <v>0</v>
      </c>
      <c r="AZ71" s="16">
        <v>0</v>
      </c>
      <c r="BA71" s="16">
        <v>0</v>
      </c>
      <c r="BB71" s="16">
        <v>4.6363422375367797E-8</v>
      </c>
      <c r="BC71" s="16">
        <v>8.3363430828120402E-7</v>
      </c>
      <c r="BD71" s="16">
        <v>4.5339365282490498E-7</v>
      </c>
      <c r="BE71" s="16">
        <v>5.90618276818091E-2</v>
      </c>
      <c r="BF71" s="16">
        <v>3.5526294632275298E-8</v>
      </c>
      <c r="BG71" s="16">
        <v>0</v>
      </c>
      <c r="BH71" s="16">
        <v>0</v>
      </c>
      <c r="BI71" s="16">
        <v>1.5020986015859701E-7</v>
      </c>
      <c r="BJ71" s="16">
        <v>0</v>
      </c>
      <c r="BK71" s="16">
        <v>1.29374768743845E-8</v>
      </c>
      <c r="BL71" s="16">
        <v>0</v>
      </c>
      <c r="BM71" s="16">
        <v>1.10556114619832E-6</v>
      </c>
      <c r="BN71" s="16">
        <v>1.64187275195884E-5</v>
      </c>
      <c r="BO71" s="16">
        <v>1.7206963988245502E-2</v>
      </c>
      <c r="BP71" s="16">
        <v>5.0075564330141903E-3</v>
      </c>
      <c r="BQ71" s="16">
        <v>1.7673925269224E-7</v>
      </c>
      <c r="BR71" s="16">
        <v>0</v>
      </c>
      <c r="BS71" s="16">
        <v>1.5640392345498101E-7</v>
      </c>
      <c r="BT71" s="16">
        <v>0</v>
      </c>
      <c r="BU71" s="16">
        <v>0</v>
      </c>
      <c r="BV71" s="16">
        <v>3.2411491352411101E-8</v>
      </c>
      <c r="BW71" s="16">
        <v>0</v>
      </c>
      <c r="BX71" s="16">
        <v>6.7146133931746794E-8</v>
      </c>
      <c r="BY71" s="16">
        <v>2.6385568872141998E-6</v>
      </c>
      <c r="BZ71" s="16">
        <v>0</v>
      </c>
      <c r="CA71" s="16">
        <v>1.65781064856315E-4</v>
      </c>
    </row>
    <row r="72" spans="1:79" x14ac:dyDescent="0.3">
      <c r="A72" s="8" t="s">
        <v>160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9">
        <v>0</v>
      </c>
      <c r="H72" s="15">
        <v>0</v>
      </c>
      <c r="I72" s="15">
        <v>0</v>
      </c>
      <c r="J72" s="15">
        <v>0</v>
      </c>
      <c r="K72" s="15">
        <v>6.1713260872301404E-8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1.3839450129888E-8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9.9519052879880603E-9</v>
      </c>
      <c r="BL72" s="15">
        <v>0</v>
      </c>
      <c r="BM72" s="15">
        <v>0</v>
      </c>
      <c r="BN72" s="15">
        <v>2.39094027610933E-7</v>
      </c>
      <c r="BO72" s="15">
        <v>1.9617536337191999E-8</v>
      </c>
      <c r="BP72" s="15">
        <v>9.6645904675379101E-3</v>
      </c>
      <c r="BQ72" s="15">
        <v>1.3844574794225399E-6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4.8265608423252204E-9</v>
      </c>
      <c r="BX72" s="15">
        <v>0</v>
      </c>
      <c r="BY72" s="15">
        <v>1.20482049644484E-8</v>
      </c>
      <c r="BZ72" s="15">
        <v>0</v>
      </c>
      <c r="CA72" s="15">
        <v>0</v>
      </c>
    </row>
    <row r="73" spans="1:79" x14ac:dyDescent="0.3">
      <c r="A73" s="7" t="s">
        <v>161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9">
        <v>0</v>
      </c>
      <c r="H73" s="16">
        <v>0</v>
      </c>
      <c r="I73" s="16">
        <v>0</v>
      </c>
      <c r="J73" s="16">
        <v>0</v>
      </c>
      <c r="K73" s="16">
        <v>8.9460308396281903E-8</v>
      </c>
      <c r="L73" s="16">
        <v>5.2800419590150396E-9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1.71927165330758E-9</v>
      </c>
      <c r="AG73" s="16">
        <v>0</v>
      </c>
      <c r="AH73" s="16">
        <v>0</v>
      </c>
      <c r="AI73" s="16">
        <v>0</v>
      </c>
      <c r="AJ73" s="16">
        <v>8.3036700779327802E-9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8.4997450005668604E-8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4.0405744534037997E-8</v>
      </c>
      <c r="BD73" s="16">
        <v>0</v>
      </c>
      <c r="BE73" s="16">
        <v>0</v>
      </c>
      <c r="BF73" s="16">
        <v>1.79879972821647E-9</v>
      </c>
      <c r="BG73" s="16">
        <v>4.4458470927360997E-8</v>
      </c>
      <c r="BH73" s="16">
        <v>0</v>
      </c>
      <c r="BI73" s="16">
        <v>6.8277209162998797E-9</v>
      </c>
      <c r="BJ73" s="16">
        <v>0</v>
      </c>
      <c r="BK73" s="16">
        <v>1.49278579319821E-8</v>
      </c>
      <c r="BL73" s="16">
        <v>0</v>
      </c>
      <c r="BM73" s="16">
        <v>1.34001466344889E-6</v>
      </c>
      <c r="BN73" s="16">
        <v>1.4064354565349E-8</v>
      </c>
      <c r="BO73" s="16">
        <v>1.7437810077504E-8</v>
      </c>
      <c r="BP73" s="16">
        <v>8.3426514780907094E-5</v>
      </c>
      <c r="BQ73" s="16">
        <v>0.103736750889205</v>
      </c>
      <c r="BR73" s="16">
        <v>0</v>
      </c>
      <c r="BS73" s="16">
        <v>0</v>
      </c>
      <c r="BT73" s="16">
        <v>0</v>
      </c>
      <c r="BU73" s="16">
        <v>0</v>
      </c>
      <c r="BV73" s="16">
        <v>1.6587057339175099E-7</v>
      </c>
      <c r="BW73" s="16">
        <v>0</v>
      </c>
      <c r="BX73" s="16">
        <v>1.3876867679227701E-7</v>
      </c>
      <c r="BY73" s="16">
        <v>6.6265127304466202E-7</v>
      </c>
      <c r="BZ73" s="16">
        <v>0</v>
      </c>
      <c r="CA73" s="16">
        <v>5.4290427243938602E-7</v>
      </c>
    </row>
    <row r="74" spans="1:79" x14ac:dyDescent="0.3">
      <c r="A74" s="8" t="s">
        <v>162</v>
      </c>
      <c r="B74" s="15">
        <v>1.46445811270064E-9</v>
      </c>
      <c r="C74" s="15">
        <v>0</v>
      </c>
      <c r="D74" s="15">
        <v>0</v>
      </c>
      <c r="E74" s="15">
        <v>0</v>
      </c>
      <c r="F74" s="15">
        <v>0</v>
      </c>
      <c r="G74" s="19">
        <v>2.25597864373305E-9</v>
      </c>
      <c r="H74" s="15">
        <v>0</v>
      </c>
      <c r="I74" s="15">
        <v>0</v>
      </c>
      <c r="J74" s="15">
        <v>0</v>
      </c>
      <c r="K74" s="15">
        <v>1.62655106175058E-8</v>
      </c>
      <c r="L74" s="15">
        <v>8.7648696519649601E-7</v>
      </c>
      <c r="M74" s="15">
        <v>0</v>
      </c>
      <c r="N74" s="15">
        <v>4.1822431699629998E-10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2.4561023618679802E-9</v>
      </c>
      <c r="AG74" s="15">
        <v>0</v>
      </c>
      <c r="AH74" s="15">
        <v>0</v>
      </c>
      <c r="AI74" s="15">
        <v>1.0365115752673701E-9</v>
      </c>
      <c r="AJ74" s="15">
        <v>2.0759175194831901E-9</v>
      </c>
      <c r="AK74" s="15">
        <v>0</v>
      </c>
      <c r="AL74" s="15">
        <v>0</v>
      </c>
      <c r="AM74" s="15">
        <v>0</v>
      </c>
      <c r="AN74" s="15">
        <v>0</v>
      </c>
      <c r="AO74" s="15">
        <v>1.37049099144476E-9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2.12063399065589E-5</v>
      </c>
      <c r="AW74" s="15">
        <v>9.9163691673280104E-8</v>
      </c>
      <c r="AX74" s="15">
        <v>0</v>
      </c>
      <c r="AY74" s="15">
        <v>4.3792422568220002E-9</v>
      </c>
      <c r="AZ74" s="15">
        <v>0</v>
      </c>
      <c r="BA74" s="15">
        <v>0</v>
      </c>
      <c r="BB74" s="15">
        <v>0</v>
      </c>
      <c r="BC74" s="15">
        <v>4.1469053600723197E-8</v>
      </c>
      <c r="BD74" s="15">
        <v>2.6670214872053201E-8</v>
      </c>
      <c r="BE74" s="15">
        <v>0</v>
      </c>
      <c r="BF74" s="15">
        <v>1.7987997282164698E-8</v>
      </c>
      <c r="BG74" s="15">
        <v>0</v>
      </c>
      <c r="BH74" s="15">
        <v>0</v>
      </c>
      <c r="BI74" s="15">
        <v>8.5346511453748498E-9</v>
      </c>
      <c r="BJ74" s="15">
        <v>8.5701907723062495E-6</v>
      </c>
      <c r="BK74" s="15">
        <v>2.1207510168702601E-6</v>
      </c>
      <c r="BL74" s="15">
        <v>1.9557611521216801E-7</v>
      </c>
      <c r="BM74" s="15">
        <v>1.1104660314964499E-6</v>
      </c>
      <c r="BN74" s="15">
        <v>2.7566134948084E-7</v>
      </c>
      <c r="BO74" s="15">
        <v>5.4929101744137595E-7</v>
      </c>
      <c r="BP74" s="15">
        <v>0</v>
      </c>
      <c r="BQ74" s="15">
        <v>0</v>
      </c>
      <c r="BR74" s="15">
        <v>3.6153035710003203E-5</v>
      </c>
      <c r="BS74" s="15">
        <v>1.40763531109483E-6</v>
      </c>
      <c r="BT74" s="15">
        <v>1.02294241420321E-5</v>
      </c>
      <c r="BU74" s="15">
        <v>6.1152532839070297E-6</v>
      </c>
      <c r="BV74" s="15">
        <v>9.34213574275378E-8</v>
      </c>
      <c r="BW74" s="15">
        <v>3.37859258962765E-8</v>
      </c>
      <c r="BX74" s="15">
        <v>5.6402752502667404E-7</v>
      </c>
      <c r="BY74" s="15">
        <v>3.7831363588368002E-6</v>
      </c>
      <c r="BZ74" s="15">
        <v>0</v>
      </c>
      <c r="CA74" s="15">
        <v>1.13648471518912E-4</v>
      </c>
    </row>
    <row r="75" spans="1:79" x14ac:dyDescent="0.3">
      <c r="A75" s="7" t="s">
        <v>163</v>
      </c>
      <c r="B75" s="16">
        <v>1.6109039239707E-8</v>
      </c>
      <c r="C75" s="16">
        <v>2.01828895952828E-9</v>
      </c>
      <c r="D75" s="16">
        <v>0</v>
      </c>
      <c r="E75" s="16">
        <v>0</v>
      </c>
      <c r="F75" s="16">
        <v>0</v>
      </c>
      <c r="G75" s="19">
        <v>1.69198398279979E-8</v>
      </c>
      <c r="H75" s="16">
        <v>0</v>
      </c>
      <c r="I75" s="16">
        <v>0</v>
      </c>
      <c r="J75" s="16">
        <v>0</v>
      </c>
      <c r="K75" s="16">
        <v>4.7839737110311201E-8</v>
      </c>
      <c r="L75" s="16">
        <v>1.9360153849721799E-8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3.44928296943749E-9</v>
      </c>
      <c r="V75" s="16">
        <v>1.1643073433737401E-8</v>
      </c>
      <c r="W75" s="16">
        <v>0</v>
      </c>
      <c r="X75" s="16">
        <v>8.9559304366731704E-10</v>
      </c>
      <c r="Y75" s="16">
        <v>0</v>
      </c>
      <c r="Z75" s="16">
        <v>0</v>
      </c>
      <c r="AA75" s="16">
        <v>3.4063590439753999E-9</v>
      </c>
      <c r="AB75" s="16">
        <v>3.8995081464585699E-9</v>
      </c>
      <c r="AC75" s="16">
        <v>0</v>
      </c>
      <c r="AD75" s="16">
        <v>5.2166336740409099E-10</v>
      </c>
      <c r="AE75" s="16">
        <v>1.6390046417250701E-9</v>
      </c>
      <c r="AF75" s="16">
        <v>5.8946456684831502E-9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9.9163691673280104E-8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4.3595671734093597E-8</v>
      </c>
      <c r="BD75" s="16">
        <v>0</v>
      </c>
      <c r="BE75" s="16">
        <v>0</v>
      </c>
      <c r="BF75" s="16">
        <v>1.79879972821647E-9</v>
      </c>
      <c r="BG75" s="16">
        <v>0</v>
      </c>
      <c r="BH75" s="16">
        <v>0</v>
      </c>
      <c r="BI75" s="16">
        <v>8.5346511453748498E-9</v>
      </c>
      <c r="BJ75" s="16">
        <v>3.1913668913031198E-5</v>
      </c>
      <c r="BK75" s="16">
        <v>7.8371254142905992E-6</v>
      </c>
      <c r="BL75" s="16">
        <v>0</v>
      </c>
      <c r="BM75" s="16">
        <v>3.74831334483032E-6</v>
      </c>
      <c r="BN75" s="16">
        <v>1.4064354565349E-8</v>
      </c>
      <c r="BO75" s="16">
        <v>1.7437810077504E-8</v>
      </c>
      <c r="BP75" s="16">
        <v>0</v>
      </c>
      <c r="BQ75" s="16">
        <v>0</v>
      </c>
      <c r="BR75" s="16">
        <v>1.37489724333554E-5</v>
      </c>
      <c r="BS75" s="16">
        <v>4.6921177036494404E-6</v>
      </c>
      <c r="BT75" s="16">
        <v>4.6187703520830496E-6</v>
      </c>
      <c r="BU75" s="16">
        <v>0</v>
      </c>
      <c r="BV75" s="16">
        <v>1.90655831484771E-9</v>
      </c>
      <c r="BW75" s="16">
        <v>0</v>
      </c>
      <c r="BX75" s="16">
        <v>0</v>
      </c>
      <c r="BY75" s="16">
        <v>1.1927722914803901E-6</v>
      </c>
      <c r="BZ75" s="16">
        <v>0</v>
      </c>
      <c r="CA75" s="16">
        <v>1.7075832546401001E-7</v>
      </c>
    </row>
    <row r="76" spans="1:79" x14ac:dyDescent="0.3">
      <c r="A76" s="8" t="s">
        <v>164</v>
      </c>
      <c r="B76" s="15">
        <v>5.8578324508025503E-9</v>
      </c>
      <c r="C76" s="15">
        <v>0</v>
      </c>
      <c r="D76" s="15">
        <v>0</v>
      </c>
      <c r="E76" s="15">
        <v>0</v>
      </c>
      <c r="F76" s="15">
        <v>0</v>
      </c>
      <c r="G76" s="19">
        <v>6.76793593119915E-9</v>
      </c>
      <c r="H76" s="15">
        <v>2.0461784172586301E-5</v>
      </c>
      <c r="I76" s="15">
        <v>0</v>
      </c>
      <c r="J76" s="15">
        <v>0</v>
      </c>
      <c r="K76" s="15">
        <v>7.8122290701138202E-7</v>
      </c>
      <c r="L76" s="15">
        <v>2.1120167836060099E-8</v>
      </c>
      <c r="M76" s="15">
        <v>0</v>
      </c>
      <c r="N76" s="15">
        <v>5.5623834160507803E-8</v>
      </c>
      <c r="O76" s="15">
        <v>1.7235135214009199E-8</v>
      </c>
      <c r="P76" s="15">
        <v>2.36909056050141E-6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1.1643073433737401E-8</v>
      </c>
      <c r="W76" s="15">
        <v>0</v>
      </c>
      <c r="X76" s="15">
        <v>8.0155577408224802E-7</v>
      </c>
      <c r="Y76" s="15">
        <v>0</v>
      </c>
      <c r="Z76" s="15">
        <v>3.39260117109878E-7</v>
      </c>
      <c r="AA76" s="15">
        <v>3.7345049652116999E-6</v>
      </c>
      <c r="AB76" s="15">
        <v>1.9497540732292801E-7</v>
      </c>
      <c r="AC76" s="15">
        <v>0</v>
      </c>
      <c r="AD76" s="15">
        <v>0</v>
      </c>
      <c r="AE76" s="15">
        <v>0</v>
      </c>
      <c r="AF76" s="15">
        <v>3.3206503932455098E-7</v>
      </c>
      <c r="AG76" s="15">
        <v>2.8404849449805302E-6</v>
      </c>
      <c r="AH76" s="15">
        <v>0</v>
      </c>
      <c r="AI76" s="15">
        <v>3.7659920568047997E-8</v>
      </c>
      <c r="AJ76" s="15">
        <v>6.8782067145543196E-7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2.5499235001700602E-7</v>
      </c>
      <c r="AX76" s="15">
        <v>5.5217905426261401E-8</v>
      </c>
      <c r="AY76" s="15">
        <v>0</v>
      </c>
      <c r="AZ76" s="15">
        <v>0</v>
      </c>
      <c r="BA76" s="15">
        <v>0</v>
      </c>
      <c r="BB76" s="15">
        <v>0</v>
      </c>
      <c r="BC76" s="15">
        <v>1.09520833868577E-7</v>
      </c>
      <c r="BD76" s="15">
        <v>5.3340429744106501E-8</v>
      </c>
      <c r="BE76" s="15">
        <v>0</v>
      </c>
      <c r="BF76" s="15">
        <v>4.9466992525952904E-9</v>
      </c>
      <c r="BG76" s="15">
        <v>0</v>
      </c>
      <c r="BH76" s="15">
        <v>0</v>
      </c>
      <c r="BI76" s="15">
        <v>1.8776232519824699E-8</v>
      </c>
      <c r="BJ76" s="15">
        <v>3.3014882290651799E-4</v>
      </c>
      <c r="BK76" s="15">
        <v>2.3128028851178499E-4</v>
      </c>
      <c r="BL76" s="15">
        <v>3.89196469272215E-5</v>
      </c>
      <c r="BM76" s="15">
        <v>9.0758035602463104E-5</v>
      </c>
      <c r="BN76" s="15">
        <v>3.02580524118918E-5</v>
      </c>
      <c r="BO76" s="15">
        <v>1.3720940859483999E-4</v>
      </c>
      <c r="BP76" s="15">
        <v>8.7357607100426302E-7</v>
      </c>
      <c r="BQ76" s="15">
        <v>5.8913084230746498E-8</v>
      </c>
      <c r="BR76" s="15">
        <v>3.4345383924503102E-4</v>
      </c>
      <c r="BS76" s="15">
        <v>1.7204431580048001E-6</v>
      </c>
      <c r="BT76" s="15">
        <v>6.4234972577679095E-4</v>
      </c>
      <c r="BU76" s="15">
        <v>9.8415894042660297E-5</v>
      </c>
      <c r="BV76" s="15">
        <v>1.7437382347597199E-5</v>
      </c>
      <c r="BW76" s="15">
        <v>1.2722814380369299E-5</v>
      </c>
      <c r="BX76" s="15">
        <v>7.7764175910820398E-5</v>
      </c>
      <c r="BY76" s="15">
        <v>1.16313370726785E-4</v>
      </c>
      <c r="BZ76" s="15">
        <v>0</v>
      </c>
      <c r="CA76" s="15">
        <v>3.6448862296353702E-7</v>
      </c>
    </row>
    <row r="77" spans="1:79" x14ac:dyDescent="0.3">
      <c r="A77" s="7" t="s">
        <v>165</v>
      </c>
      <c r="B77" s="16">
        <v>2.3431329803210201E-8</v>
      </c>
      <c r="C77" s="16">
        <v>6.7733777481769202E-6</v>
      </c>
      <c r="D77" s="16">
        <v>0</v>
      </c>
      <c r="E77" s="16">
        <v>1.5535099692044799E-3</v>
      </c>
      <c r="F77" s="16">
        <v>7.13202667703166E-4</v>
      </c>
      <c r="G77" s="19">
        <v>3.9990142952511902E-3</v>
      </c>
      <c r="H77" s="16">
        <v>1.4486630185092599E-4</v>
      </c>
      <c r="I77" s="16">
        <v>5.0863512943642901E-3</v>
      </c>
      <c r="J77" s="16">
        <v>2.85322151172952E-5</v>
      </c>
      <c r="K77" s="16">
        <v>2.37715653701136E-4</v>
      </c>
      <c r="L77" s="16">
        <v>7.3693721623371497E-4</v>
      </c>
      <c r="M77" s="16">
        <v>4.4576748419830901E-4</v>
      </c>
      <c r="N77" s="16">
        <v>1.8357119945918601E-4</v>
      </c>
      <c r="O77" s="16">
        <v>8.0796159491373196E-5</v>
      </c>
      <c r="P77" s="16">
        <v>6.3641466937230305E-5</v>
      </c>
      <c r="Q77" s="16">
        <v>1.9371543365759601E-4</v>
      </c>
      <c r="R77" s="16">
        <v>1.5453779224361999E-4</v>
      </c>
      <c r="S77" s="16">
        <v>9.4573672047707202E-5</v>
      </c>
      <c r="T77" s="16">
        <v>1.40637200591074E-6</v>
      </c>
      <c r="U77" s="16">
        <v>9.6579923144249599E-8</v>
      </c>
      <c r="V77" s="16">
        <v>6.5550503431941401E-6</v>
      </c>
      <c r="W77" s="16">
        <v>5.8241556161943702E-4</v>
      </c>
      <c r="X77" s="16">
        <v>3.72298028252503E-4</v>
      </c>
      <c r="Y77" s="16">
        <v>3.6689512364786002E-4</v>
      </c>
      <c r="Z77" s="16">
        <v>1.9213179995198999E-4</v>
      </c>
      <c r="AA77" s="16">
        <v>6.5969820151656997E-7</v>
      </c>
      <c r="AB77" s="16">
        <v>5.0693605903961397E-8</v>
      </c>
      <c r="AC77" s="16">
        <v>1.0981969089321201E-7</v>
      </c>
      <c r="AD77" s="16">
        <v>1.9301544593951401E-8</v>
      </c>
      <c r="AE77" s="16">
        <v>3.1141088192776297E-8</v>
      </c>
      <c r="AF77" s="16">
        <v>1.0929655510312499E-7</v>
      </c>
      <c r="AG77" s="16">
        <v>3.6230675318629199E-8</v>
      </c>
      <c r="AH77" s="16">
        <v>5.95533394988391E-8</v>
      </c>
      <c r="AI77" s="16">
        <v>3.7151269787678398E-4</v>
      </c>
      <c r="AJ77" s="16">
        <v>1.90204558777635E-4</v>
      </c>
      <c r="AK77" s="16">
        <v>5.6693842336966397E-3</v>
      </c>
      <c r="AL77" s="16">
        <v>4.1689576820612602E-4</v>
      </c>
      <c r="AM77" s="16">
        <v>7.9014766230708704E-4</v>
      </c>
      <c r="AN77" s="16">
        <v>3.9720346320415E-4</v>
      </c>
      <c r="AO77" s="16">
        <v>3.8483935236165401E-4</v>
      </c>
      <c r="AP77" s="16">
        <v>7.9301534143205992E-3</v>
      </c>
      <c r="AQ77" s="16">
        <v>8.8899066302393999E-4</v>
      </c>
      <c r="AR77" s="16">
        <v>1.27640731640974E-3</v>
      </c>
      <c r="AS77" s="16">
        <v>2.0051025981596799E-4</v>
      </c>
      <c r="AT77" s="16">
        <v>1.7207909362154899E-3</v>
      </c>
      <c r="AU77" s="16">
        <v>3.1197421718475401E-3</v>
      </c>
      <c r="AV77" s="16">
        <v>2.42048177352073E-3</v>
      </c>
      <c r="AW77" s="16">
        <v>3.1485038755933101E-3</v>
      </c>
      <c r="AX77" s="16">
        <v>1.3209889950935401E-3</v>
      </c>
      <c r="AY77" s="16">
        <v>8.6598858742316603E-4</v>
      </c>
      <c r="AZ77" s="16">
        <v>1.35369545051589E-3</v>
      </c>
      <c r="BA77" s="16">
        <v>7.9416998071090705E-3</v>
      </c>
      <c r="BB77" s="16">
        <v>5.3540480159074795E-4</v>
      </c>
      <c r="BC77" s="16">
        <v>1.13568213500007E-3</v>
      </c>
      <c r="BD77" s="16">
        <v>3.6211217540381602E-3</v>
      </c>
      <c r="BE77" s="16">
        <v>5.6236560764804202E-4</v>
      </c>
      <c r="BF77" s="16">
        <v>3.0308696140610598E-4</v>
      </c>
      <c r="BG77" s="16">
        <v>1.5506670074754299E-3</v>
      </c>
      <c r="BH77" s="16">
        <v>6.9117211324232699E-5</v>
      </c>
      <c r="BI77" s="16">
        <v>1.44961561783261E-3</v>
      </c>
      <c r="BJ77" s="16">
        <v>9.0501588799692494E-5</v>
      </c>
      <c r="BK77" s="16">
        <v>9.4901368826254201E-6</v>
      </c>
      <c r="BL77" s="16">
        <v>0</v>
      </c>
      <c r="BM77" s="16">
        <v>1.12118418684992E-3</v>
      </c>
      <c r="BN77" s="16">
        <v>3.2645898529996798E-4</v>
      </c>
      <c r="BO77" s="16">
        <v>2.6362917220422498E-4</v>
      </c>
      <c r="BP77" s="16">
        <v>3.1754490181004998E-4</v>
      </c>
      <c r="BQ77" s="16">
        <v>1.06868334794574E-4</v>
      </c>
      <c r="BR77" s="16">
        <v>2.5359716694834799E-4</v>
      </c>
      <c r="BS77" s="16">
        <v>7.7404301717870299E-4</v>
      </c>
      <c r="BT77" s="16">
        <v>9.7084348615368297E-5</v>
      </c>
      <c r="BU77" s="16">
        <v>9.1755912433181505E-5</v>
      </c>
      <c r="BV77" s="16">
        <v>3.9847068780317099E-7</v>
      </c>
      <c r="BW77" s="16">
        <v>1.9306243369300901E-8</v>
      </c>
      <c r="BX77" s="16">
        <v>1.82637484294351E-6</v>
      </c>
      <c r="BY77" s="16">
        <v>1.84889343743432E-3</v>
      </c>
      <c r="BZ77" s="16">
        <v>0</v>
      </c>
      <c r="CA77" s="16">
        <v>3.65183448544371E-3</v>
      </c>
    </row>
    <row r="78" spans="1:79" x14ac:dyDescent="0.3">
      <c r="A78" s="8" t="s">
        <v>166</v>
      </c>
      <c r="B78" s="15">
        <v>1.7573497352407599E-8</v>
      </c>
      <c r="C78" s="15">
        <v>5.5502946387027801E-6</v>
      </c>
      <c r="D78" s="15">
        <v>8.7349544390312797E-4</v>
      </c>
      <c r="E78" s="15">
        <v>1.32105807401416E-3</v>
      </c>
      <c r="F78" s="15">
        <v>6.0361979457300202E-4</v>
      </c>
      <c r="G78" s="19">
        <v>1.0192646871104499E-3</v>
      </c>
      <c r="H78" s="15">
        <v>1.0822052451831E-4</v>
      </c>
      <c r="I78" s="15">
        <v>6.10524055030286E-5</v>
      </c>
      <c r="J78" s="15">
        <v>2.93540027086945E-4</v>
      </c>
      <c r="K78" s="15">
        <v>6.1392734633662304E-5</v>
      </c>
      <c r="L78" s="15">
        <v>4.37977720486311E-4</v>
      </c>
      <c r="M78" s="15">
        <v>1.49314290681538E-4</v>
      </c>
      <c r="N78" s="15">
        <v>1.3483677447255799E-4</v>
      </c>
      <c r="O78" s="15">
        <v>5.8752421552655497E-5</v>
      </c>
      <c r="P78" s="15">
        <v>8.0599700650221196E-5</v>
      </c>
      <c r="Q78" s="15">
        <v>2.4222365762167501E-4</v>
      </c>
      <c r="R78" s="15">
        <v>2.23756283186981E-4</v>
      </c>
      <c r="S78" s="15">
        <v>1.2529498035189501E-4</v>
      </c>
      <c r="T78" s="15">
        <v>3.4890303597431502E-4</v>
      </c>
      <c r="U78" s="15">
        <v>1.0795600330575101E-3</v>
      </c>
      <c r="V78" s="15">
        <v>9.7614363361110798E-4</v>
      </c>
      <c r="W78" s="15">
        <v>4.9489886856451801E-5</v>
      </c>
      <c r="X78" s="15">
        <v>4.6243588572544402E-4</v>
      </c>
      <c r="Y78" s="15">
        <v>4.5988916098605402E-4</v>
      </c>
      <c r="Z78" s="15">
        <v>3.21626130133878E-4</v>
      </c>
      <c r="AA78" s="15">
        <v>6.1403482307906504E-4</v>
      </c>
      <c r="AB78" s="15">
        <v>6.0214255043540001E-4</v>
      </c>
      <c r="AC78" s="15">
        <v>1.10310718026281E-3</v>
      </c>
      <c r="AD78" s="15">
        <v>2.7130511912941798E-4</v>
      </c>
      <c r="AE78" s="15">
        <v>3.7206552670408202E-4</v>
      </c>
      <c r="AF78" s="15">
        <v>8.9253040558629002E-4</v>
      </c>
      <c r="AG78" s="15">
        <v>4.50274832859924E-4</v>
      </c>
      <c r="AH78" s="15">
        <v>1.6438045109224E-4</v>
      </c>
      <c r="AI78" s="15">
        <v>3.3513874266978401E-6</v>
      </c>
      <c r="AJ78" s="15">
        <v>2.8415850979192502E-6</v>
      </c>
      <c r="AK78" s="15">
        <v>4.1215119838783299E-3</v>
      </c>
      <c r="AL78" s="15">
        <v>3.0306594947589801E-4</v>
      </c>
      <c r="AM78" s="15">
        <v>2.5970976500001299E-4</v>
      </c>
      <c r="AN78" s="15">
        <v>2.8206182894229101E-4</v>
      </c>
      <c r="AO78" s="15">
        <v>2.7954178850697002E-4</v>
      </c>
      <c r="AP78" s="15">
        <v>5.7648765416404403E-3</v>
      </c>
      <c r="AQ78" s="15">
        <v>6.4640761900211898E-4</v>
      </c>
      <c r="AR78" s="15">
        <v>9.2945289751556902E-4</v>
      </c>
      <c r="AS78" s="15">
        <v>1.4599270444849E-4</v>
      </c>
      <c r="AT78" s="15">
        <v>1.25096687903793E-3</v>
      </c>
      <c r="AU78" s="15">
        <v>2.2677720038297398E-3</v>
      </c>
      <c r="AV78" s="15">
        <v>1.75938645620114E-3</v>
      </c>
      <c r="AW78" s="15">
        <v>2.2998326697700501E-3</v>
      </c>
      <c r="AX78" s="15">
        <v>9.6060381353849805E-4</v>
      </c>
      <c r="AY78" s="15">
        <v>6.2955329797734596E-4</v>
      </c>
      <c r="AZ78" s="15">
        <v>5.6242531274655302E-4</v>
      </c>
      <c r="BA78" s="15">
        <v>6.0844857448358004E-3</v>
      </c>
      <c r="BB78" s="15">
        <v>6.5715514874846405E-4</v>
      </c>
      <c r="BC78" s="15">
        <v>1.06888399612184E-3</v>
      </c>
      <c r="BD78" s="15">
        <v>3.09198469097662E-3</v>
      </c>
      <c r="BE78" s="15">
        <v>4.7476909679500001E-4</v>
      </c>
      <c r="BF78" s="15">
        <v>2.22474201286017E-4</v>
      </c>
      <c r="BG78" s="15">
        <v>1.1274075447566399E-3</v>
      </c>
      <c r="BH78" s="15">
        <v>5.0207030461059601E-5</v>
      </c>
      <c r="BI78" s="15">
        <v>1.24102532997919E-3</v>
      </c>
      <c r="BJ78" s="15">
        <v>1.0618101478852399E-3</v>
      </c>
      <c r="BK78" s="15">
        <v>7.0208502387592399E-4</v>
      </c>
      <c r="BL78" s="15">
        <v>2.0113047688419399E-4</v>
      </c>
      <c r="BM78" s="15">
        <v>1.9428858871666701E-3</v>
      </c>
      <c r="BN78" s="15">
        <v>2.8478067698101202E-3</v>
      </c>
      <c r="BO78" s="15">
        <v>8.3871724992900804E-4</v>
      </c>
      <c r="BP78" s="15">
        <v>1.06030295618142E-3</v>
      </c>
      <c r="BQ78" s="15">
        <v>8.0776024354197694E-3</v>
      </c>
      <c r="BR78" s="15">
        <v>5.9592404123982499E-4</v>
      </c>
      <c r="BS78" s="15">
        <v>1.9438661626602399E-3</v>
      </c>
      <c r="BT78" s="15">
        <v>2.6160675198099901E-4</v>
      </c>
      <c r="BU78" s="15">
        <v>3.2050976633062598E-4</v>
      </c>
      <c r="BV78" s="15">
        <v>1.0862501605345899E-3</v>
      </c>
      <c r="BW78" s="15">
        <v>3.9379909912531501E-5</v>
      </c>
      <c r="BX78" s="15">
        <v>3.0961977637714201E-4</v>
      </c>
      <c r="BY78" s="15">
        <v>1.8412669236918301E-3</v>
      </c>
      <c r="BZ78" s="15">
        <v>0</v>
      </c>
      <c r="CA78" s="15">
        <v>8.8122981015871203E-3</v>
      </c>
    </row>
    <row r="79" spans="1:79" x14ac:dyDescent="0.3">
      <c r="A79" s="7" t="s">
        <v>167</v>
      </c>
      <c r="B79" s="16">
        <v>9.3574919364666396E-4</v>
      </c>
      <c r="C79" s="16">
        <v>7.34525992485926E-4</v>
      </c>
      <c r="D79" s="16">
        <v>8.44634468988414E-4</v>
      </c>
      <c r="E79" s="16">
        <v>4.9645891750112496E-3</v>
      </c>
      <c r="F79" s="16">
        <v>2.9499824898306299E-3</v>
      </c>
      <c r="G79" s="19">
        <v>2.81488178646527E-2</v>
      </c>
      <c r="H79" s="16">
        <v>8.5650386939357705E-3</v>
      </c>
      <c r="I79" s="16">
        <v>3.27773671690555E-3</v>
      </c>
      <c r="J79" s="16">
        <v>8.3071486556484594E-3</v>
      </c>
      <c r="K79" s="16">
        <v>1.92540063710761E-3</v>
      </c>
      <c r="L79" s="16">
        <v>3.64324831187422E-3</v>
      </c>
      <c r="M79" s="16">
        <v>5.0907422354099802E-3</v>
      </c>
      <c r="N79" s="16">
        <v>1.1536947807717301E-3</v>
      </c>
      <c r="O79" s="16">
        <v>1.0778961282436399E-3</v>
      </c>
      <c r="P79" s="16">
        <v>3.4218172121293502E-4</v>
      </c>
      <c r="Q79" s="16">
        <v>1.22965808051349E-3</v>
      </c>
      <c r="R79" s="16">
        <v>3.68600141974316E-4</v>
      </c>
      <c r="S79" s="16">
        <v>3.4174487819523599E-4</v>
      </c>
      <c r="T79" s="16">
        <v>5.2328200302465997E-4</v>
      </c>
      <c r="U79" s="16">
        <v>7.4807359184566301E-4</v>
      </c>
      <c r="V79" s="16">
        <v>3.38304634612703E-3</v>
      </c>
      <c r="W79" s="16">
        <v>5.9569091980440697E-4</v>
      </c>
      <c r="X79" s="16">
        <v>2.1504496544295999E-3</v>
      </c>
      <c r="Y79" s="16">
        <v>6.1034821793826903E-4</v>
      </c>
      <c r="Z79" s="16">
        <v>1.02372117293591E-3</v>
      </c>
      <c r="AA79" s="16">
        <v>6.1500790631262704E-4</v>
      </c>
      <c r="AB79" s="16">
        <v>4.6569681063674098E-4</v>
      </c>
      <c r="AC79" s="16">
        <v>4.4161825577581401E-4</v>
      </c>
      <c r="AD79" s="16">
        <v>1.2823998394558001E-4</v>
      </c>
      <c r="AE79" s="16">
        <v>1.4631558337143799E-4</v>
      </c>
      <c r="AF79" s="16">
        <v>2.74886485119792E-4</v>
      </c>
      <c r="AG79" s="16">
        <v>3.8292200744259201E-4</v>
      </c>
      <c r="AH79" s="16">
        <v>8.8297751363612101E-5</v>
      </c>
      <c r="AI79" s="16">
        <v>4.98363402985014E-4</v>
      </c>
      <c r="AJ79" s="16">
        <v>6.0015432862140297E-4</v>
      </c>
      <c r="AK79" s="16">
        <v>2.0533525845462999E-2</v>
      </c>
      <c r="AL79" s="16">
        <v>3.5181352252432198E-3</v>
      </c>
      <c r="AM79" s="16">
        <v>2.4101744724225199E-2</v>
      </c>
      <c r="AN79" s="16">
        <v>2.1677991482030199E-3</v>
      </c>
      <c r="AO79" s="16">
        <v>1.8029557280537099E-2</v>
      </c>
      <c r="AP79" s="16">
        <v>3.2434283482324501E-2</v>
      </c>
      <c r="AQ79" s="16">
        <v>3.1793617430065299E-2</v>
      </c>
      <c r="AR79" s="16">
        <v>6.44899209873668E-3</v>
      </c>
      <c r="AS79" s="16">
        <v>5.7649762481100097E-3</v>
      </c>
      <c r="AT79" s="16">
        <v>8.2663410050919303E-3</v>
      </c>
      <c r="AU79" s="16">
        <v>3.44443845451229E-2</v>
      </c>
      <c r="AV79" s="16">
        <v>4.9165111329585696E-3</v>
      </c>
      <c r="AW79" s="16">
        <v>3.2969519220282101E-3</v>
      </c>
      <c r="AX79" s="16">
        <v>2.22723630253042E-3</v>
      </c>
      <c r="AY79" s="16">
        <v>6.0303786196074004E-3</v>
      </c>
      <c r="AZ79" s="16">
        <v>8.4033482454846605E-4</v>
      </c>
      <c r="BA79" s="16">
        <v>2.47331241023094E-3</v>
      </c>
      <c r="BB79" s="16">
        <v>8.6143238773433403E-5</v>
      </c>
      <c r="BC79" s="16">
        <v>1.4917949745236101E-3</v>
      </c>
      <c r="BD79" s="16">
        <v>1.5768231138804001E-3</v>
      </c>
      <c r="BE79" s="16">
        <v>3.66061028420676E-3</v>
      </c>
      <c r="BF79" s="16">
        <v>9.5388775637557204E-4</v>
      </c>
      <c r="BG79" s="16">
        <v>3.5276018342023899E-3</v>
      </c>
      <c r="BH79" s="16">
        <v>2.6674360942444199E-5</v>
      </c>
      <c r="BI79" s="16">
        <v>1.8959659242241099E-3</v>
      </c>
      <c r="BJ79" s="16">
        <v>9.2499116889089197E-5</v>
      </c>
      <c r="BK79" s="16">
        <v>7.3668083222855698E-4</v>
      </c>
      <c r="BL79" s="16">
        <v>1.39848656943613E-3</v>
      </c>
      <c r="BM79" s="16">
        <v>2.33266927399251E-3</v>
      </c>
      <c r="BN79" s="16">
        <v>5.2982561429563597E-3</v>
      </c>
      <c r="BO79" s="16">
        <v>5.3683802334715302E-3</v>
      </c>
      <c r="BP79" s="16">
        <v>6.8165140820462596E-3</v>
      </c>
      <c r="BQ79" s="16">
        <v>2.74526135552644E-3</v>
      </c>
      <c r="BR79" s="16">
        <v>5.2384336281052898E-4</v>
      </c>
      <c r="BS79" s="16">
        <v>1.37229584459018E-2</v>
      </c>
      <c r="BT79" s="16">
        <v>3.1086729035428901E-3</v>
      </c>
      <c r="BU79" s="16">
        <v>1.2090824422066799E-3</v>
      </c>
      <c r="BV79" s="16">
        <v>3.3108338416487897E-4</v>
      </c>
      <c r="BW79" s="16">
        <v>2.6661487702528699E-3</v>
      </c>
      <c r="BX79" s="16">
        <v>1.27101812201189E-3</v>
      </c>
      <c r="BY79" s="16">
        <v>9.9044678551240997E-4</v>
      </c>
      <c r="BZ79" s="16">
        <v>0</v>
      </c>
      <c r="CA79" s="16">
        <v>1.1676942832501E-2</v>
      </c>
    </row>
    <row r="80" spans="1:79" x14ac:dyDescent="0.3">
      <c r="A80" s="8" t="s">
        <v>168</v>
      </c>
      <c r="B80" s="15">
        <v>0</v>
      </c>
      <c r="C80" s="15">
        <v>0</v>
      </c>
      <c r="D80" s="15">
        <v>0</v>
      </c>
      <c r="E80" s="15">
        <v>7.4001539667328304E-7</v>
      </c>
      <c r="F80" s="15">
        <v>9.8133916235967793E-6</v>
      </c>
      <c r="G80" s="19">
        <v>0</v>
      </c>
      <c r="H80" s="15">
        <v>1.07276754660772E-5</v>
      </c>
      <c r="I80" s="15">
        <v>5.4925587043529996E-7</v>
      </c>
      <c r="J80" s="15">
        <v>0</v>
      </c>
      <c r="K80" s="15">
        <v>1.10940350358812E-6</v>
      </c>
      <c r="L80" s="15">
        <v>1.6237889037957599E-5</v>
      </c>
      <c r="M80" s="15">
        <v>1.2172984780989899E-6</v>
      </c>
      <c r="N80" s="15">
        <v>3.0050253624818102E-4</v>
      </c>
      <c r="O80" s="15">
        <v>1.5460562604536801E-4</v>
      </c>
      <c r="P80" s="15">
        <v>1.2256500139072699E-4</v>
      </c>
      <c r="Q80" s="15">
        <v>9.3058752517475202E-5</v>
      </c>
      <c r="R80" s="15">
        <v>1.33823569177008E-4</v>
      </c>
      <c r="S80" s="15">
        <v>5.6172036667472102E-5</v>
      </c>
      <c r="T80" s="15">
        <v>4.9256505254635497E-5</v>
      </c>
      <c r="U80" s="15">
        <v>1.25298653147786E-4</v>
      </c>
      <c r="V80" s="15">
        <v>1.52407831247622E-4</v>
      </c>
      <c r="W80" s="15">
        <v>4.25559989577893E-5</v>
      </c>
      <c r="X80" s="15">
        <v>2.1733177272066E-4</v>
      </c>
      <c r="Y80" s="15">
        <v>1.72286023955695E-4</v>
      </c>
      <c r="Z80" s="15">
        <v>1.9448400343061799E-4</v>
      </c>
      <c r="AA80" s="15">
        <v>1.4488721102946499E-4</v>
      </c>
      <c r="AB80" s="15">
        <v>1.01623132050784E-4</v>
      </c>
      <c r="AC80" s="15">
        <v>8.3660973309390694E-5</v>
      </c>
      <c r="AD80" s="15">
        <v>4.2105537036653799E-5</v>
      </c>
      <c r="AE80" s="15">
        <v>6.4117861584284599E-5</v>
      </c>
      <c r="AF80" s="15">
        <v>2.4598086203320401E-4</v>
      </c>
      <c r="AG80" s="15">
        <v>5.5469163912821298E-5</v>
      </c>
      <c r="AH80" s="15">
        <v>1.7499859095695901E-5</v>
      </c>
      <c r="AI80" s="15">
        <v>8.1794237939074405E-5</v>
      </c>
      <c r="AJ80" s="15">
        <v>2.07503871439995E-4</v>
      </c>
      <c r="AK80" s="15">
        <v>4.6448154171223099E-4</v>
      </c>
      <c r="AL80" s="15">
        <v>4.5449807511485798E-4</v>
      </c>
      <c r="AM80" s="15">
        <v>1.3374554892198699E-4</v>
      </c>
      <c r="AN80" s="15">
        <v>3.11190574345665E-5</v>
      </c>
      <c r="AO80" s="15">
        <v>2.9626040811160502E-4</v>
      </c>
      <c r="AP80" s="15">
        <v>1.67078524398708E-3</v>
      </c>
      <c r="AQ80" s="15">
        <v>1.3158791606956199E-4</v>
      </c>
      <c r="AR80" s="15">
        <v>4.2314930161408299E-4</v>
      </c>
      <c r="AS80" s="15">
        <v>3.63041997915265E-4</v>
      </c>
      <c r="AT80" s="15">
        <v>3.0380902458236597E-4</v>
      </c>
      <c r="AU80" s="15">
        <v>5.3898686980711195E-4</v>
      </c>
      <c r="AV80" s="15">
        <v>3.2268775070024101E-4</v>
      </c>
      <c r="AW80" s="15">
        <v>2.8804219182754302E-4</v>
      </c>
      <c r="AX80" s="15">
        <v>5.9535945630595001E-4</v>
      </c>
      <c r="AY80" s="15">
        <v>1.1686774329724499E-3</v>
      </c>
      <c r="AZ80" s="15">
        <v>3.7529660568121602E-4</v>
      </c>
      <c r="BA80" s="15">
        <v>8.9944870175111204E-4</v>
      </c>
      <c r="BB80" s="15">
        <v>4.0669994107672702E-4</v>
      </c>
      <c r="BC80" s="15">
        <v>4.8339731466016299E-4</v>
      </c>
      <c r="BD80" s="15">
        <v>3.6426179472250298E-4</v>
      </c>
      <c r="BE80" s="15">
        <v>2.35464097549208E-4</v>
      </c>
      <c r="BF80" s="15">
        <v>3.3790452894546403E-5</v>
      </c>
      <c r="BG80" s="15">
        <v>8.5834487870424999E-5</v>
      </c>
      <c r="BH80" s="15">
        <v>9.0448695768828008E-6</v>
      </c>
      <c r="BI80" s="15">
        <v>2.4052183164872501E-4</v>
      </c>
      <c r="BJ80" s="15">
        <v>4.5802804504175998E-5</v>
      </c>
      <c r="BK80" s="15">
        <v>9.3682260428475702E-5</v>
      </c>
      <c r="BL80" s="15">
        <v>8.6053490693354094E-6</v>
      </c>
      <c r="BM80" s="15">
        <v>5.0555437549465205E-4</v>
      </c>
      <c r="BN80" s="15">
        <v>2.4089510885657102E-3</v>
      </c>
      <c r="BO80" s="15">
        <v>1.1869590360817999E-3</v>
      </c>
      <c r="BP80" s="15">
        <v>1.2479034174295901E-3</v>
      </c>
      <c r="BQ80" s="15">
        <v>2.6905605568181901E-4</v>
      </c>
      <c r="BR80" s="15">
        <v>2.5379250754029701E-5</v>
      </c>
      <c r="BS80" s="15">
        <v>5.4757013601589E-4</v>
      </c>
      <c r="BT80" s="15">
        <v>3.17472833289492E-4</v>
      </c>
      <c r="BU80" s="15">
        <v>7.0679855901660397E-4</v>
      </c>
      <c r="BV80" s="15">
        <v>5.9957445885330803E-5</v>
      </c>
      <c r="BW80" s="15">
        <v>3.1705678173234403E-5</v>
      </c>
      <c r="BX80" s="15">
        <v>1.7773134010840499E-4</v>
      </c>
      <c r="BY80" s="15">
        <v>9.2145876388597802E-4</v>
      </c>
      <c r="BZ80" s="15">
        <v>0</v>
      </c>
      <c r="CA80" s="15">
        <v>1.4931705249846001E-3</v>
      </c>
    </row>
    <row r="81" spans="1:79" x14ac:dyDescent="0.3">
      <c r="A81" s="7" t="s">
        <v>169</v>
      </c>
      <c r="B81" s="16">
        <v>1.46445811270064E-9</v>
      </c>
      <c r="C81" s="16">
        <v>3.0074523785931E-5</v>
      </c>
      <c r="D81" s="16">
        <v>3.8213040824577502E-4</v>
      </c>
      <c r="E81" s="16">
        <v>6.6827743351342503E-4</v>
      </c>
      <c r="F81" s="16">
        <v>3.4548911098368701E-4</v>
      </c>
      <c r="G81" s="19">
        <v>4.5119572874661E-9</v>
      </c>
      <c r="H81" s="16">
        <v>1.3302886685387599E-6</v>
      </c>
      <c r="I81" s="16">
        <v>0</v>
      </c>
      <c r="J81" s="16">
        <v>0</v>
      </c>
      <c r="K81" s="16">
        <v>1.00941845302757E-7</v>
      </c>
      <c r="L81" s="16">
        <v>2.7141175683323602E-5</v>
      </c>
      <c r="M81" s="16">
        <v>3.0635891886820197E-5</v>
      </c>
      <c r="N81" s="16">
        <v>1.0873832241903801E-7</v>
      </c>
      <c r="O81" s="16">
        <v>1.32495101957695E-6</v>
      </c>
      <c r="P81" s="16">
        <v>9.6768237509711597E-5</v>
      </c>
      <c r="Q81" s="16">
        <v>2.8666836544216602E-4</v>
      </c>
      <c r="R81" s="16">
        <v>3.4891817000150201E-4</v>
      </c>
      <c r="S81" s="16">
        <v>1.3169327446934401E-4</v>
      </c>
      <c r="T81" s="16">
        <v>4.12580435130829E-4</v>
      </c>
      <c r="U81" s="16">
        <v>1.1899370880795099E-3</v>
      </c>
      <c r="V81" s="16">
        <v>1.22221999063315E-3</v>
      </c>
      <c r="W81" s="16">
        <v>1.3442075708987501E-4</v>
      </c>
      <c r="X81" s="16">
        <v>6.2084480091714397E-4</v>
      </c>
      <c r="Y81" s="16">
        <v>5.3965908385548403E-4</v>
      </c>
      <c r="Z81" s="16">
        <v>6.0983890828929005E-4</v>
      </c>
      <c r="AA81" s="16">
        <v>1.36539133375093E-3</v>
      </c>
      <c r="AB81" s="16">
        <v>8.8869790657790805E-4</v>
      </c>
      <c r="AC81" s="16">
        <v>7.3370369092283603E-4</v>
      </c>
      <c r="AD81" s="16">
        <v>2.0000573506272901E-4</v>
      </c>
      <c r="AE81" s="16">
        <v>2.74379211052626E-4</v>
      </c>
      <c r="AF81" s="16">
        <v>1.32156187493692E-3</v>
      </c>
      <c r="AG81" s="16">
        <v>2.8365720320461198E-4</v>
      </c>
      <c r="AH81" s="16">
        <v>1.21539543200168E-4</v>
      </c>
      <c r="AI81" s="16">
        <v>4.6643020887031897E-8</v>
      </c>
      <c r="AJ81" s="16">
        <v>3.5636584084461499E-7</v>
      </c>
      <c r="AK81" s="16">
        <v>0</v>
      </c>
      <c r="AL81" s="16">
        <v>0</v>
      </c>
      <c r="AM81" s="16">
        <v>0</v>
      </c>
      <c r="AN81" s="16">
        <v>0</v>
      </c>
      <c r="AO81" s="16">
        <v>8.0996017594385298E-7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7.0831208338057196E-8</v>
      </c>
      <c r="AX81" s="16">
        <v>8.4152087869622301E-6</v>
      </c>
      <c r="AY81" s="16">
        <v>0</v>
      </c>
      <c r="AZ81" s="16">
        <v>0</v>
      </c>
      <c r="BA81" s="16">
        <v>0</v>
      </c>
      <c r="BB81" s="16">
        <v>0</v>
      </c>
      <c r="BC81" s="16">
        <v>1.1242324229699999E-3</v>
      </c>
      <c r="BD81" s="16">
        <v>1.27974892446358E-2</v>
      </c>
      <c r="BE81" s="16">
        <v>0</v>
      </c>
      <c r="BF81" s="16">
        <v>4.0922693816924698E-8</v>
      </c>
      <c r="BG81" s="16">
        <v>0</v>
      </c>
      <c r="BH81" s="16">
        <v>0</v>
      </c>
      <c r="BI81" s="16">
        <v>2.33849441383271E-7</v>
      </c>
      <c r="BJ81" s="16">
        <v>0</v>
      </c>
      <c r="BK81" s="16">
        <v>4.1711420633544402E-5</v>
      </c>
      <c r="BL81" s="16">
        <v>0</v>
      </c>
      <c r="BM81" s="16">
        <v>5.9555117289884504E-6</v>
      </c>
      <c r="BN81" s="16">
        <v>8.9449295035619603E-6</v>
      </c>
      <c r="BO81" s="16">
        <v>1.58814855280868E-5</v>
      </c>
      <c r="BP81" s="16">
        <v>2.1839401775106599E-7</v>
      </c>
      <c r="BQ81" s="16">
        <v>5.9502215073053998E-6</v>
      </c>
      <c r="BR81" s="16">
        <v>8.6500570665000096E-3</v>
      </c>
      <c r="BS81" s="16">
        <v>0</v>
      </c>
      <c r="BT81" s="16">
        <v>1.10209270873999E-7</v>
      </c>
      <c r="BU81" s="16">
        <v>5.8503575682998304E-4</v>
      </c>
      <c r="BV81" s="16">
        <v>7.0161345986395698E-7</v>
      </c>
      <c r="BW81" s="16">
        <v>3.9577798907066798E-7</v>
      </c>
      <c r="BX81" s="16">
        <v>7.4487444574951197E-6</v>
      </c>
      <c r="BY81" s="16">
        <v>4.2506067114573999E-5</v>
      </c>
      <c r="BZ81" s="16">
        <v>0</v>
      </c>
      <c r="CA81" s="16">
        <v>1.0949973336929801E-7</v>
      </c>
    </row>
    <row r="82" spans="1:79" x14ac:dyDescent="0.3">
      <c r="A82" s="8" t="s">
        <v>170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9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</row>
    <row r="83" spans="1:79" x14ac:dyDescent="0.3">
      <c r="A83" s="7" t="s">
        <v>171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9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4.3932740708232799E-5</v>
      </c>
      <c r="BD83" s="16">
        <v>5.6370166153571705E-4</v>
      </c>
      <c r="BE83" s="16">
        <v>1.24655651899678E-3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x14ac:dyDescent="0.3">
      <c r="A84" s="8" t="s">
        <v>216</v>
      </c>
      <c r="B84" s="15">
        <v>0.15990869332122801</v>
      </c>
      <c r="C84" s="15">
        <v>0.48692347959346</v>
      </c>
      <c r="D84" s="15">
        <v>0.17128853326062601</v>
      </c>
      <c r="E84" s="15">
        <v>0.469301048928294</v>
      </c>
      <c r="F84" s="15">
        <v>0.32629488664570599</v>
      </c>
      <c r="G84" s="19">
        <v>0.212440985643161</v>
      </c>
      <c r="H84" s="15">
        <v>0.27409874537392998</v>
      </c>
      <c r="I84" s="15">
        <v>0.43085586874045401</v>
      </c>
      <c r="J84" s="15">
        <v>0.207787769384881</v>
      </c>
      <c r="K84" s="15">
        <v>0.41286245627322399</v>
      </c>
      <c r="L84" s="15">
        <v>0.55190894874588103</v>
      </c>
      <c r="M84" s="15">
        <v>0.29914716035813099</v>
      </c>
      <c r="N84" s="15">
        <v>0.495517487662958</v>
      </c>
      <c r="O84" s="15">
        <v>0.35462655510093599</v>
      </c>
      <c r="P84" s="15">
        <v>0.47845235696618299</v>
      </c>
      <c r="Q84" s="15">
        <v>0.46869856583277097</v>
      </c>
      <c r="R84" s="15">
        <v>0.339554827933229</v>
      </c>
      <c r="S84" s="15">
        <v>0.423194996120901</v>
      </c>
      <c r="T84" s="15">
        <v>0.44083545328100798</v>
      </c>
      <c r="U84" s="15">
        <v>0.39552550114054502</v>
      </c>
      <c r="V84" s="15">
        <v>0.45759829591977202</v>
      </c>
      <c r="W84" s="15">
        <v>0.41083611329050601</v>
      </c>
      <c r="X84" s="15">
        <v>0.39294854458831302</v>
      </c>
      <c r="Y84" s="15">
        <v>0.35353193336428201</v>
      </c>
      <c r="Z84" s="15">
        <v>0.46461329003308699</v>
      </c>
      <c r="AA84" s="15">
        <v>0.47683714852907799</v>
      </c>
      <c r="AB84" s="15">
        <v>0.33496909121159302</v>
      </c>
      <c r="AC84" s="15">
        <v>0.24564226023706301</v>
      </c>
      <c r="AD84" s="15">
        <v>0.14731724041804301</v>
      </c>
      <c r="AE84" s="15">
        <v>0.25691241889699001</v>
      </c>
      <c r="AF84" s="15">
        <v>0.305865768167769</v>
      </c>
      <c r="AG84" s="15">
        <v>0.35354491506674701</v>
      </c>
      <c r="AH84" s="15">
        <v>0.147790099420087</v>
      </c>
      <c r="AI84" s="15">
        <v>0.166538091724553</v>
      </c>
      <c r="AJ84" s="15">
        <v>0.16062985383011799</v>
      </c>
      <c r="AK84" s="15">
        <v>0.431115023155557</v>
      </c>
      <c r="AL84" s="15">
        <v>0.322467673721758</v>
      </c>
      <c r="AM84" s="15">
        <v>0.30000819841228399</v>
      </c>
      <c r="AN84" s="15">
        <v>0.18801291183360899</v>
      </c>
      <c r="AO84" s="15">
        <v>0.27313314924094301</v>
      </c>
      <c r="AP84" s="15">
        <v>0.405637304877489</v>
      </c>
      <c r="AQ84" s="15">
        <v>0.365304529239597</v>
      </c>
      <c r="AR84" s="15">
        <v>0.21474671644288301</v>
      </c>
      <c r="AS84" s="15">
        <v>0.16331111453689201</v>
      </c>
      <c r="AT84" s="15">
        <v>0.41141490017705001</v>
      </c>
      <c r="AU84" s="15">
        <v>0.36859830970366197</v>
      </c>
      <c r="AV84" s="15">
        <v>0.33102082511895897</v>
      </c>
      <c r="AW84" s="15">
        <v>0.431112052945818</v>
      </c>
      <c r="AX84" s="15">
        <v>0.40511175121179499</v>
      </c>
      <c r="AY84" s="15">
        <v>0.30556402391526999</v>
      </c>
      <c r="AZ84" s="15">
        <v>0.35706265382354602</v>
      </c>
      <c r="BA84" s="15">
        <v>0.401174360291981</v>
      </c>
      <c r="BB84" s="15">
        <v>0.115078859313301</v>
      </c>
      <c r="BC84" s="15">
        <v>0.25860076943978799</v>
      </c>
      <c r="BD84" s="15">
        <v>0.37129537046942102</v>
      </c>
      <c r="BE84" s="15">
        <v>0.47862570142079103</v>
      </c>
      <c r="BF84" s="15">
        <v>6.4724441500880595E-2</v>
      </c>
      <c r="BG84" s="15">
        <v>0.29136573221678902</v>
      </c>
      <c r="BH84" s="15">
        <v>5.9264907040652501E-3</v>
      </c>
      <c r="BI84" s="15">
        <v>0.18489233026354501</v>
      </c>
      <c r="BJ84" s="15">
        <v>0.36450450967227699</v>
      </c>
      <c r="BK84" s="15">
        <v>0.179803955905042</v>
      </c>
      <c r="BL84" s="15">
        <v>0.31798505438619701</v>
      </c>
      <c r="BM84" s="15">
        <v>0.103763954043069</v>
      </c>
      <c r="BN84" s="15">
        <v>0.24427325430833199</v>
      </c>
      <c r="BO84" s="15">
        <v>0.30386662469502002</v>
      </c>
      <c r="BP84" s="15">
        <v>0.35571821056677599</v>
      </c>
      <c r="BQ84" s="15">
        <v>0.45271167500620701</v>
      </c>
      <c r="BR84" s="15">
        <v>0.165862434423412</v>
      </c>
      <c r="BS84" s="15">
        <v>0.32852026326221201</v>
      </c>
      <c r="BT84" s="15">
        <v>0.31277495271896999</v>
      </c>
      <c r="BU84" s="15">
        <v>0.30290428980852302</v>
      </c>
      <c r="BV84" s="15">
        <v>0.30194996816915098</v>
      </c>
      <c r="BW84" s="15">
        <v>0.32561341497795598</v>
      </c>
      <c r="BX84" s="15">
        <v>0.15595301530748801</v>
      </c>
      <c r="BY84" s="15">
        <v>0.27529394126133799</v>
      </c>
      <c r="BZ84" s="15">
        <v>0</v>
      </c>
      <c r="CA84" s="15">
        <v>0.27837780139073598</v>
      </c>
    </row>
    <row r="85" spans="1:79" x14ac:dyDescent="0.3">
      <c r="A85" s="7" t="s">
        <v>217</v>
      </c>
      <c r="B85" s="16">
        <v>8.1997792200522807E-2</v>
      </c>
      <c r="C85" s="16">
        <v>2.2954107306030001E-2</v>
      </c>
      <c r="D85" s="16">
        <v>3.9642526299650101E-2</v>
      </c>
      <c r="E85" s="16">
        <v>0.103524062144752</v>
      </c>
      <c r="F85" s="16">
        <v>0.10174120354513599</v>
      </c>
      <c r="G85" s="19">
        <v>8.3317954420918106E-2</v>
      </c>
      <c r="H85" s="16">
        <v>8.7176455685152393E-2</v>
      </c>
      <c r="I85" s="16">
        <v>0.15241998834439799</v>
      </c>
      <c r="J85" s="16">
        <v>0.14061773274492301</v>
      </c>
      <c r="K85" s="16">
        <v>7.6253362960099796E-2</v>
      </c>
      <c r="L85" s="16">
        <v>6.5101467103130695E-2</v>
      </c>
      <c r="M85" s="16">
        <v>0.10319244597456299</v>
      </c>
      <c r="N85" s="16">
        <v>0.120474811321759</v>
      </c>
      <c r="O85" s="16">
        <v>0.124754757490854</v>
      </c>
      <c r="P85" s="16">
        <v>0.19050160926550899</v>
      </c>
      <c r="Q85" s="16">
        <v>0.16253014832680501</v>
      </c>
      <c r="R85" s="16">
        <v>0.24776666853259999</v>
      </c>
      <c r="S85" s="16">
        <v>0.20167776804329601</v>
      </c>
      <c r="T85" s="16">
        <v>0.124065361161298</v>
      </c>
      <c r="U85" s="16">
        <v>0.25030058172812703</v>
      </c>
      <c r="V85" s="16">
        <v>0.25056647336254001</v>
      </c>
      <c r="W85" s="16">
        <v>0.35029193694481903</v>
      </c>
      <c r="X85" s="16">
        <v>0.27888251339088499</v>
      </c>
      <c r="Y85" s="16">
        <v>0.36746540881404899</v>
      </c>
      <c r="Z85" s="16">
        <v>0.135037202183836</v>
      </c>
      <c r="AA85" s="16">
        <v>0.22841746834465701</v>
      </c>
      <c r="AB85" s="16">
        <v>0.32966419642964301</v>
      </c>
      <c r="AC85" s="16">
        <v>0.40593363676946598</v>
      </c>
      <c r="AD85" s="16">
        <v>0.63873380467319196</v>
      </c>
      <c r="AE85" s="16">
        <v>0.44924290679643297</v>
      </c>
      <c r="AF85" s="16">
        <v>0.405841062602526</v>
      </c>
      <c r="AG85" s="16">
        <v>0.242306647972411</v>
      </c>
      <c r="AH85" s="16">
        <v>0.55848425228507104</v>
      </c>
      <c r="AI85" s="16">
        <v>4.4651708708006298E-2</v>
      </c>
      <c r="AJ85" s="16">
        <v>6.0823089678256698E-2</v>
      </c>
      <c r="AK85" s="16">
        <v>0.248620974257204</v>
      </c>
      <c r="AL85" s="16">
        <v>0.10634760797102601</v>
      </c>
      <c r="AM85" s="16">
        <v>9.2945686421250506E-2</v>
      </c>
      <c r="AN85" s="16">
        <v>0.115653963334268</v>
      </c>
      <c r="AO85" s="16">
        <v>9.5773794453629504E-2</v>
      </c>
      <c r="AP85" s="16">
        <v>9.4667773733254398E-2</v>
      </c>
      <c r="AQ85" s="16">
        <v>0.110436033754875</v>
      </c>
      <c r="AR85" s="16">
        <v>0.123206928957524</v>
      </c>
      <c r="AS85" s="16">
        <v>3.7903585601239798E-2</v>
      </c>
      <c r="AT85" s="16">
        <v>0.108816610177334</v>
      </c>
      <c r="AU85" s="16">
        <v>0.17026753153676299</v>
      </c>
      <c r="AV85" s="16">
        <v>0.16295774562797999</v>
      </c>
      <c r="AW85" s="16">
        <v>4.2603073538958001E-2</v>
      </c>
      <c r="AX85" s="16">
        <v>0.13416570570945799</v>
      </c>
      <c r="AY85" s="16">
        <v>0.109260537487087</v>
      </c>
      <c r="AZ85" s="16">
        <v>2.4490553043639899E-2</v>
      </c>
      <c r="BA85" s="16">
        <v>6.0466828283853899E-2</v>
      </c>
      <c r="BB85" s="16">
        <v>3.30886472808525E-3</v>
      </c>
      <c r="BC85" s="16">
        <v>2.00085408386825E-2</v>
      </c>
      <c r="BD85" s="16">
        <v>1.6023705127063401E-2</v>
      </c>
      <c r="BE85" s="16">
        <v>0.10382196807574801</v>
      </c>
      <c r="BF85" s="16">
        <v>1.83757676874758E-2</v>
      </c>
      <c r="BG85" s="16">
        <v>0.19748079334777999</v>
      </c>
      <c r="BH85" s="16">
        <v>1.9844683980961698E-3</v>
      </c>
      <c r="BI85" s="16">
        <v>6.8223449395434094E-2</v>
      </c>
      <c r="BJ85" s="16">
        <v>3.6500194562510503E-2</v>
      </c>
      <c r="BK85" s="16">
        <v>4.3804844713684399E-2</v>
      </c>
      <c r="BL85" s="16">
        <v>0.102032958956318</v>
      </c>
      <c r="BM85" s="16">
        <v>2.6447186652457301E-2</v>
      </c>
      <c r="BN85" s="16">
        <v>4.6145957435733E-2</v>
      </c>
      <c r="BO85" s="16">
        <v>6.0612040453871002E-2</v>
      </c>
      <c r="BP85" s="16">
        <v>3.5685145712488597E-2</v>
      </c>
      <c r="BQ85" s="16">
        <v>4.7901816396430402E-2</v>
      </c>
      <c r="BR85" s="16">
        <v>5.1920297191777598E-2</v>
      </c>
      <c r="BS85" s="16">
        <v>6.1710184624665397E-2</v>
      </c>
      <c r="BT85" s="16">
        <v>0.115675400233734</v>
      </c>
      <c r="BU85" s="16">
        <v>5.19662368214628E-2</v>
      </c>
      <c r="BV85" s="16">
        <v>5.8199438968142697E-2</v>
      </c>
      <c r="BW85" s="16">
        <v>0.10204015203415701</v>
      </c>
      <c r="BX85" s="16">
        <v>5.6821744378401498E-2</v>
      </c>
      <c r="BY85" s="16">
        <v>4.0561739845616201E-2</v>
      </c>
      <c r="BZ85" s="16">
        <v>0</v>
      </c>
      <c r="CA85" s="16">
        <v>2.3463477286259301E-2</v>
      </c>
    </row>
    <row r="86" spans="1:79" x14ac:dyDescent="0.3">
      <c r="A86" s="8" t="s">
        <v>218</v>
      </c>
      <c r="B86" s="15">
        <v>1.9138973785722401E-3</v>
      </c>
      <c r="C86" s="15">
        <v>6.2054514178552604E-4</v>
      </c>
      <c r="D86" s="15">
        <v>1.9557473145331099E-3</v>
      </c>
      <c r="E86" s="15">
        <v>9.1679201584329399E-3</v>
      </c>
      <c r="F86" s="15">
        <v>2.9872156521672201E-3</v>
      </c>
      <c r="G86" s="19">
        <v>3.14990002940837E-3</v>
      </c>
      <c r="H86" s="15">
        <v>1.0175138526267001E-2</v>
      </c>
      <c r="I86" s="15">
        <v>1.31620995899367E-2</v>
      </c>
      <c r="J86" s="15">
        <v>3.0657364351856099E-2</v>
      </c>
      <c r="K86" s="15">
        <v>1.42626091278821E-3</v>
      </c>
      <c r="L86" s="15">
        <v>6.2374332471355296E-3</v>
      </c>
      <c r="M86" s="15">
        <v>1.14722342797295E-3</v>
      </c>
      <c r="N86" s="15">
        <v>2.7068330973607198E-3</v>
      </c>
      <c r="O86" s="15">
        <v>3.1889653632424702E-3</v>
      </c>
      <c r="P86" s="15">
        <v>1.8682000203721499E-3</v>
      </c>
      <c r="Q86" s="15">
        <v>2.0256416334319001E-3</v>
      </c>
      <c r="R86" s="15">
        <v>2.1838973085240702E-3</v>
      </c>
      <c r="S86" s="15">
        <v>1.94931924287312E-3</v>
      </c>
      <c r="T86" s="15">
        <v>1.60385565591533E-3</v>
      </c>
      <c r="U86" s="15">
        <v>3.6854726207697199E-3</v>
      </c>
      <c r="V86" s="15">
        <v>4.9055528436897002E-3</v>
      </c>
      <c r="W86" s="15">
        <v>7.4319004621608897E-2</v>
      </c>
      <c r="X86" s="15">
        <v>8.9745641455397096E-3</v>
      </c>
      <c r="Y86" s="15">
        <v>3.5016063101236399E-3</v>
      </c>
      <c r="Z86" s="15">
        <v>4.3045298528522303E-3</v>
      </c>
      <c r="AA86" s="15">
        <v>2.6218450343694901E-3</v>
      </c>
      <c r="AB86" s="15">
        <v>2.5197529780134299E-3</v>
      </c>
      <c r="AC86" s="15">
        <v>9.32815110185781E-4</v>
      </c>
      <c r="AD86" s="15">
        <v>4.3492535597907799E-4</v>
      </c>
      <c r="AE86" s="15">
        <v>1.0954435033387201E-3</v>
      </c>
      <c r="AF86" s="15">
        <v>1.2974225640937701E-3</v>
      </c>
      <c r="AG86" s="15">
        <v>1.70075485307722E-3</v>
      </c>
      <c r="AH86" s="15">
        <v>6.8512588006629303E-4</v>
      </c>
      <c r="AI86" s="15">
        <v>5.1171173725285098E-3</v>
      </c>
      <c r="AJ86" s="15">
        <v>3.03808037875342E-3</v>
      </c>
      <c r="AK86" s="15">
        <v>4.3156033037338302E-2</v>
      </c>
      <c r="AL86" s="15">
        <v>1.6505107610670901E-2</v>
      </c>
      <c r="AM86" s="15">
        <v>1.6779915147366601E-2</v>
      </c>
      <c r="AN86" s="15">
        <v>1.01957740062E-2</v>
      </c>
      <c r="AO86" s="15">
        <v>1.2766756752146001E-2</v>
      </c>
      <c r="AP86" s="15">
        <v>7.7213149040517596E-3</v>
      </c>
      <c r="AQ86" s="15">
        <v>1.20805532211342E-2</v>
      </c>
      <c r="AR86" s="15">
        <v>2.1548729176437201E-3</v>
      </c>
      <c r="AS86" s="15">
        <v>-1.0136589957539599E-2</v>
      </c>
      <c r="AT86" s="15">
        <v>1.30785694763173E-2</v>
      </c>
      <c r="AU86" s="15">
        <v>4.7982873020637898E-3</v>
      </c>
      <c r="AV86" s="15">
        <v>2.1090753024800798E-3</v>
      </c>
      <c r="AW86" s="15">
        <v>2.9768231928235301E-3</v>
      </c>
      <c r="AX86" s="15">
        <v>1.1133586271097099E-3</v>
      </c>
      <c r="AY86" s="15">
        <v>1.65475361688953E-3</v>
      </c>
      <c r="AZ86" s="15">
        <v>9.1515661618744198E-4</v>
      </c>
      <c r="BA86" s="15">
        <v>9.8668356248921597E-3</v>
      </c>
      <c r="BB86" s="15">
        <v>-1.1093839705978001E-3</v>
      </c>
      <c r="BC86" s="15">
        <v>-3.6460867896635801E-4</v>
      </c>
      <c r="BD86" s="15">
        <v>1.0884648093582401E-3</v>
      </c>
      <c r="BE86" s="15">
        <v>-1.2335482090191901E-3</v>
      </c>
      <c r="BF86" s="15">
        <v>9.1637378804361805E-4</v>
      </c>
      <c r="BG86" s="15">
        <v>4.1736426947381802E-3</v>
      </c>
      <c r="BH86" s="15">
        <v>9.8533048222502001E-5</v>
      </c>
      <c r="BI86" s="15">
        <v>3.2095443235901199E-3</v>
      </c>
      <c r="BJ86" s="15">
        <v>5.40451574111312E-3</v>
      </c>
      <c r="BK86" s="15">
        <v>1.38503153869252E-3</v>
      </c>
      <c r="BL86" s="15">
        <v>2.4289771204890499E-3</v>
      </c>
      <c r="BM86" s="15">
        <v>8.5653874624441496E-3</v>
      </c>
      <c r="BN86" s="15">
        <v>1.8942913490849801E-2</v>
      </c>
      <c r="BO86" s="15">
        <v>1.82575593495212E-2</v>
      </c>
      <c r="BP86" s="15">
        <v>6.1464812355859896E-3</v>
      </c>
      <c r="BQ86" s="15">
        <v>2.1985626621361699E-2</v>
      </c>
      <c r="BR86" s="15">
        <v>7.9667707020606993E-3</v>
      </c>
      <c r="BS86" s="15">
        <v>2.0797264307694099E-2</v>
      </c>
      <c r="BT86" s="15">
        <v>5.8092308580147403E-3</v>
      </c>
      <c r="BU86" s="15">
        <v>1.73333588427226E-2</v>
      </c>
      <c r="BV86" s="15">
        <v>1.20717991329625E-2</v>
      </c>
      <c r="BW86" s="15">
        <v>8.8216500483430697E-4</v>
      </c>
      <c r="BX86" s="15">
        <v>7.5007603292475799E-4</v>
      </c>
      <c r="BY86" s="15">
        <v>1.0529287764580401E-3</v>
      </c>
      <c r="BZ86" s="15">
        <v>0</v>
      </c>
      <c r="CA86" s="15">
        <v>4.3171586940575699E-2</v>
      </c>
    </row>
    <row r="87" spans="1:79" x14ac:dyDescent="0.3">
      <c r="A87" s="7" t="s">
        <v>181</v>
      </c>
      <c r="B87" s="16">
        <v>0.75617961709967696</v>
      </c>
      <c r="C87" s="16">
        <v>0.48950186795872502</v>
      </c>
      <c r="D87" s="16">
        <v>0.78711319312519101</v>
      </c>
      <c r="E87" s="16">
        <v>0.418006968768521</v>
      </c>
      <c r="F87" s="16">
        <v>0.56897669415699104</v>
      </c>
      <c r="G87" s="19">
        <v>0.70109115990651305</v>
      </c>
      <c r="H87" s="16">
        <v>0.62854966041465099</v>
      </c>
      <c r="I87" s="16">
        <v>0.40356204332521101</v>
      </c>
      <c r="J87" s="16">
        <v>0.62093713351834001</v>
      </c>
      <c r="K87" s="16">
        <v>0.509457919853888</v>
      </c>
      <c r="L87" s="16">
        <v>0.376752150903853</v>
      </c>
      <c r="M87" s="16">
        <v>0.59651317023933303</v>
      </c>
      <c r="N87" s="16">
        <v>0.381300867917923</v>
      </c>
      <c r="O87" s="16">
        <v>0.51742972204496696</v>
      </c>
      <c r="P87" s="16">
        <v>0.32917783374793602</v>
      </c>
      <c r="Q87" s="16">
        <v>0.36674564420699202</v>
      </c>
      <c r="R87" s="16">
        <v>0.41049460622564699</v>
      </c>
      <c r="S87" s="16">
        <v>0.37317791659292998</v>
      </c>
      <c r="T87" s="16">
        <v>0.43349532990177803</v>
      </c>
      <c r="U87" s="16">
        <v>0.35048844451055799</v>
      </c>
      <c r="V87" s="16">
        <v>0.28692967787399798</v>
      </c>
      <c r="W87" s="16">
        <v>0.16455294514306701</v>
      </c>
      <c r="X87" s="16">
        <v>0.319194377875262</v>
      </c>
      <c r="Y87" s="16">
        <v>0.27550105151154602</v>
      </c>
      <c r="Z87" s="16">
        <v>0.39604497793022397</v>
      </c>
      <c r="AA87" s="16">
        <v>0.29212353809189601</v>
      </c>
      <c r="AB87" s="16">
        <v>0.33284695938074998</v>
      </c>
      <c r="AC87" s="16">
        <v>0.34749128788328598</v>
      </c>
      <c r="AD87" s="16">
        <v>0.21351402955278601</v>
      </c>
      <c r="AE87" s="16">
        <v>0.292749230803239</v>
      </c>
      <c r="AF87" s="16">
        <v>0.28699574666561201</v>
      </c>
      <c r="AG87" s="16">
        <v>0.40244768210776499</v>
      </c>
      <c r="AH87" s="16">
        <v>0.29304052241477502</v>
      </c>
      <c r="AI87" s="16">
        <v>0.78369308219491196</v>
      </c>
      <c r="AJ87" s="16">
        <v>0.77550897611287095</v>
      </c>
      <c r="AK87" s="16">
        <v>0.27710796954990102</v>
      </c>
      <c r="AL87" s="16">
        <v>0.55467961069654503</v>
      </c>
      <c r="AM87" s="16">
        <v>0.59026620001909802</v>
      </c>
      <c r="AN87" s="16">
        <v>0.68613735082592298</v>
      </c>
      <c r="AO87" s="16">
        <v>0.618326299553281</v>
      </c>
      <c r="AP87" s="16">
        <v>0.491973606485205</v>
      </c>
      <c r="AQ87" s="16">
        <v>0.51217888378439402</v>
      </c>
      <c r="AR87" s="16">
        <v>0.659891481681949</v>
      </c>
      <c r="AS87" s="16">
        <v>0.80892188981940805</v>
      </c>
      <c r="AT87" s="16">
        <v>0.466689920169299</v>
      </c>
      <c r="AU87" s="16">
        <v>0.45633587145750998</v>
      </c>
      <c r="AV87" s="16">
        <v>0.50391235395058098</v>
      </c>
      <c r="AW87" s="16">
        <v>0.52330805032240002</v>
      </c>
      <c r="AX87" s="16">
        <v>0.45960918445163601</v>
      </c>
      <c r="AY87" s="16">
        <v>0.58352068498075405</v>
      </c>
      <c r="AZ87" s="16">
        <v>0.61753163651662701</v>
      </c>
      <c r="BA87" s="16">
        <v>0.52849197579927298</v>
      </c>
      <c r="BB87" s="16">
        <v>0.88272165992921103</v>
      </c>
      <c r="BC87" s="16">
        <v>0.72175529840049601</v>
      </c>
      <c r="BD87" s="16">
        <v>0.61159245959415798</v>
      </c>
      <c r="BE87" s="16">
        <v>0.41878587871248002</v>
      </c>
      <c r="BF87" s="16">
        <v>0.91598341702359998</v>
      </c>
      <c r="BG87" s="16">
        <v>0.50697983174069305</v>
      </c>
      <c r="BH87" s="16">
        <v>0.99199050784961595</v>
      </c>
      <c r="BI87" s="16">
        <v>0.74367467601743098</v>
      </c>
      <c r="BJ87" s="16">
        <v>0.59359078002410004</v>
      </c>
      <c r="BK87" s="16">
        <v>0.77500616784258103</v>
      </c>
      <c r="BL87" s="16">
        <v>0.57755300953699495</v>
      </c>
      <c r="BM87" s="16">
        <v>0.86122347184202996</v>
      </c>
      <c r="BN87" s="16">
        <v>0.69063787476508598</v>
      </c>
      <c r="BO87" s="16">
        <v>0.61726377550158695</v>
      </c>
      <c r="BP87" s="16">
        <v>0.60245016248514904</v>
      </c>
      <c r="BQ87" s="16">
        <v>0.477400881976001</v>
      </c>
      <c r="BR87" s="16">
        <v>0.77425049768275001</v>
      </c>
      <c r="BS87" s="16">
        <v>0.58897228780542799</v>
      </c>
      <c r="BT87" s="16">
        <v>0.56574041618928095</v>
      </c>
      <c r="BU87" s="16">
        <v>0.627796114527292</v>
      </c>
      <c r="BV87" s="16">
        <v>0.62777879372974399</v>
      </c>
      <c r="BW87" s="16">
        <v>0.57146426798305305</v>
      </c>
      <c r="BX87" s="16">
        <v>0.78647516428118602</v>
      </c>
      <c r="BY87" s="16">
        <v>0.68309139011658804</v>
      </c>
      <c r="BZ87" s="16">
        <v>1</v>
      </c>
      <c r="CA87" s="16">
        <v>0.65498713438242895</v>
      </c>
    </row>
    <row r="88" spans="1:79" x14ac:dyDescent="0.3">
      <c r="A88" s="8" t="s">
        <v>182</v>
      </c>
      <c r="B88" s="15">
        <v>1</v>
      </c>
      <c r="C88" s="15">
        <v>1</v>
      </c>
      <c r="D88" s="15">
        <v>1</v>
      </c>
      <c r="E88" s="15">
        <v>1</v>
      </c>
      <c r="F88" s="15">
        <v>1</v>
      </c>
      <c r="G88" s="19">
        <v>1</v>
      </c>
      <c r="H88" s="15">
        <v>1</v>
      </c>
      <c r="I88" s="15">
        <v>1</v>
      </c>
      <c r="J88" s="15">
        <v>1</v>
      </c>
      <c r="K88" s="15">
        <v>1</v>
      </c>
      <c r="L88" s="15">
        <v>1</v>
      </c>
      <c r="M88" s="15">
        <v>1</v>
      </c>
      <c r="N88" s="15">
        <v>1</v>
      </c>
      <c r="O88" s="15">
        <v>1</v>
      </c>
      <c r="P88" s="15">
        <v>1</v>
      </c>
      <c r="Q88" s="15">
        <v>1</v>
      </c>
      <c r="R88" s="15">
        <v>1</v>
      </c>
      <c r="S88" s="15">
        <v>1</v>
      </c>
      <c r="T88" s="15">
        <v>1</v>
      </c>
      <c r="U88" s="15">
        <v>1</v>
      </c>
      <c r="V88" s="15">
        <v>1</v>
      </c>
      <c r="W88" s="15">
        <v>1</v>
      </c>
      <c r="X88" s="15">
        <v>1</v>
      </c>
      <c r="Y88" s="15">
        <v>1</v>
      </c>
      <c r="Z88" s="15">
        <v>1</v>
      </c>
      <c r="AA88" s="15">
        <v>1</v>
      </c>
      <c r="AB88" s="15">
        <v>1</v>
      </c>
      <c r="AC88" s="15">
        <v>1</v>
      </c>
      <c r="AD88" s="15">
        <v>1</v>
      </c>
      <c r="AE88" s="15">
        <v>1</v>
      </c>
      <c r="AF88" s="15">
        <v>1</v>
      </c>
      <c r="AG88" s="15">
        <v>1</v>
      </c>
      <c r="AH88" s="15">
        <v>1</v>
      </c>
      <c r="AI88" s="15">
        <v>1</v>
      </c>
      <c r="AJ88" s="15">
        <v>1</v>
      </c>
      <c r="AK88" s="15">
        <v>1</v>
      </c>
      <c r="AL88" s="15">
        <v>1</v>
      </c>
      <c r="AM88" s="15">
        <v>1</v>
      </c>
      <c r="AN88" s="15">
        <v>1</v>
      </c>
      <c r="AO88" s="15">
        <v>1</v>
      </c>
      <c r="AP88" s="15">
        <v>1</v>
      </c>
      <c r="AQ88" s="15">
        <v>1</v>
      </c>
      <c r="AR88" s="15">
        <v>1</v>
      </c>
      <c r="AS88" s="15">
        <v>1</v>
      </c>
      <c r="AT88" s="15">
        <v>1</v>
      </c>
      <c r="AU88" s="15">
        <v>1</v>
      </c>
      <c r="AV88" s="15">
        <v>1</v>
      </c>
      <c r="AW88" s="15">
        <v>1</v>
      </c>
      <c r="AX88" s="15">
        <v>1</v>
      </c>
      <c r="AY88" s="15">
        <v>1</v>
      </c>
      <c r="AZ88" s="15">
        <v>1</v>
      </c>
      <c r="BA88" s="15">
        <v>1</v>
      </c>
      <c r="BB88" s="15">
        <v>1</v>
      </c>
      <c r="BC88" s="15">
        <v>1</v>
      </c>
      <c r="BD88" s="15">
        <v>1</v>
      </c>
      <c r="BE88" s="15">
        <v>1</v>
      </c>
      <c r="BF88" s="15">
        <v>1</v>
      </c>
      <c r="BG88" s="15">
        <v>1</v>
      </c>
      <c r="BH88" s="15">
        <v>1</v>
      </c>
      <c r="BI88" s="15">
        <v>1</v>
      </c>
      <c r="BJ88" s="15">
        <v>1</v>
      </c>
      <c r="BK88" s="15">
        <v>1</v>
      </c>
      <c r="BL88" s="15">
        <v>1</v>
      </c>
      <c r="BM88" s="15">
        <v>1</v>
      </c>
      <c r="BN88" s="15">
        <v>1</v>
      </c>
      <c r="BO88" s="15">
        <v>1</v>
      </c>
      <c r="BP88" s="15">
        <v>1</v>
      </c>
      <c r="BQ88" s="15">
        <v>1</v>
      </c>
      <c r="BR88" s="15">
        <v>1</v>
      </c>
      <c r="BS88" s="15">
        <v>1</v>
      </c>
      <c r="BT88" s="15">
        <v>1</v>
      </c>
      <c r="BU88" s="15">
        <v>1</v>
      </c>
      <c r="BV88" s="15">
        <v>1</v>
      </c>
      <c r="BW88" s="15">
        <v>1</v>
      </c>
      <c r="BX88" s="15">
        <v>1</v>
      </c>
      <c r="BY88" s="15">
        <v>1</v>
      </c>
      <c r="BZ88" s="15">
        <v>1</v>
      </c>
      <c r="CA88" s="15">
        <v>1</v>
      </c>
    </row>
    <row r="92" spans="1:79" x14ac:dyDescent="0.3">
      <c r="A92" s="5" t="s">
        <v>205</v>
      </c>
    </row>
    <row r="93" spans="1:79" x14ac:dyDescent="0.3">
      <c r="A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Domestic and imported</vt:lpstr>
      <vt:lpstr>Replicate technical coeff</vt:lpstr>
      <vt:lpstr>Domestic</vt:lpstr>
      <vt:lpstr>Domestic Technical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Esquivel Alvarez</cp:lastModifiedBy>
  <dcterms:modified xsi:type="dcterms:W3CDTF">2026-08-11T19:38:39Z</dcterms:modified>
</cp:coreProperties>
</file>